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5_설계변경_산수개발\"/>
    </mc:Choice>
  </mc:AlternateContent>
  <xr:revisionPtr revIDLastSave="0" documentId="8_{92190D81-4468-4E69-BCFA-7E660DF7F0A0}" xr6:coauthVersionLast="46" xr6:coauthVersionMax="46" xr10:uidLastSave="{00000000-0000-0000-0000-000000000000}"/>
  <bookViews>
    <workbookView xWindow="6525" yWindow="3420" windowWidth="25365" windowHeight="17025" tabRatio="689" firstSheet="1" activeTab="5"/>
  </bookViews>
  <sheets>
    <sheet name="1. 개요" sheetId="13" r:id="rId1"/>
    <sheet name="2. 위치 및 조사량" sheetId="10" r:id="rId2"/>
    <sheet name="3. 소요일수산출" sheetId="12" r:id="rId3"/>
    <sheet name="4. 용역비총괄" sheetId="9" r:id="rId4"/>
    <sheet name="5. 영향조사 명세서" sheetId="2" r:id="rId5"/>
    <sheet name="6. 사후관리 명세서" sheetId="15" r:id="rId6"/>
    <sheet name="6-1.사후관리 일위대가표" sheetId="16" r:id="rId7"/>
    <sheet name="단가표" sheetId="17" r:id="rId8"/>
    <sheet name="인용자료참고" sheetId="14" state="hidden" r:id="rId9"/>
    <sheet name="Sheet1" sheetId="18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</externalReferences>
  <definedNames>
    <definedName name="_1" localSheetId="5">#REF!</definedName>
    <definedName name="_1" localSheetId="6">#REF!</definedName>
    <definedName name="_1">#REF!</definedName>
    <definedName name="_1공장">#REF!</definedName>
    <definedName name="_2" localSheetId="5">#REF!</definedName>
    <definedName name="_2" localSheetId="6">#REF!</definedName>
    <definedName name="_2">#REF!</definedName>
    <definedName name="_2공장">#REF!</definedName>
    <definedName name="_3" localSheetId="5">#REF!</definedName>
    <definedName name="_3" localSheetId="6">#REF!</definedName>
    <definedName name="_3">#REF!</definedName>
    <definedName name="_3공장">#REF!</definedName>
    <definedName name="_4" localSheetId="5">#REF!</definedName>
    <definedName name="_4" localSheetId="6">#REF!</definedName>
    <definedName name="_4">#REF!</definedName>
    <definedName name="_5" localSheetId="5">#REF!</definedName>
    <definedName name="_5" localSheetId="6">#REF!</definedName>
    <definedName name="_5">#REF!</definedName>
    <definedName name="_6" localSheetId="5">#REF!</definedName>
    <definedName name="_6" localSheetId="6">#REF!</definedName>
    <definedName name="_6">#REF!</definedName>
    <definedName name="_95년_포상금_지급내역">#REF!</definedName>
    <definedName name="_Dist_Bin" hidden="1">[11]조명시설!#REF!</definedName>
    <definedName name="_Dist_Values" hidden="1">[11]조명시설!#REF!</definedName>
    <definedName name="_1F" hidden="1">[2]사통!#REF!</definedName>
    <definedName name="_Fill" localSheetId="5" hidden="1">#REF!</definedName>
    <definedName name="_Fill" localSheetId="6" hidden="1">#REF!</definedName>
    <definedName name="_Fill" hidden="1">#REF!</definedName>
    <definedName name="_xlnm._FilterDatabase" hidden="1">#REF!</definedName>
    <definedName name="_Key1" hidden="1">[13]내역서!#REF!</definedName>
    <definedName name="_Key2" hidden="1">[13]내역서!#REF!</definedName>
    <definedName name="_Order1" hidden="1">255</definedName>
    <definedName name="_Order2" hidden="1">255</definedName>
    <definedName name="_Parse_In" hidden="1">#REF!</definedName>
    <definedName name="_Sort" hidden="1">[14]집계표!#REF!</definedName>
    <definedName name="\0">#REF!</definedName>
    <definedName name="\a" localSheetId="5">[15]한전납입금!#REF!</definedName>
    <definedName name="\a" localSheetId="6">[15]한전납입금!#REF!</definedName>
    <definedName name="\a">[5]한전납입금!#REF!</definedName>
    <definedName name="\b" localSheetId="5">[15]한전납입금!#REF!</definedName>
    <definedName name="\b" localSheetId="6">[15]한전납입금!#REF!</definedName>
    <definedName name="\b">[5]한전납입금!#REF!</definedName>
    <definedName name="\c" localSheetId="5">[15]한전납입금!#REF!</definedName>
    <definedName name="\c" localSheetId="6">[15]한전납입금!#REF!</definedName>
    <definedName name="\c">[5]한전납입금!#REF!</definedName>
    <definedName name="\D" localSheetId="5">#REF!</definedName>
    <definedName name="\D" localSheetId="6">#REF!</definedName>
    <definedName name="\d">[5]한전납입금!#REF!</definedName>
    <definedName name="\e" localSheetId="5">[15]한전납입금!#REF!</definedName>
    <definedName name="\e" localSheetId="6">[15]한전납입금!#REF!</definedName>
    <definedName name="\e">[5]한전납입금!#REF!</definedName>
    <definedName name="\f" localSheetId="5">[15]한전납입금!#REF!</definedName>
    <definedName name="\f" localSheetId="6">[15]한전납입금!#REF!</definedName>
    <definedName name="\f">[5]한전납입금!#REF!</definedName>
    <definedName name="\M">#REF!</definedName>
    <definedName name="\P">#REF!</definedName>
    <definedName name="\X" localSheetId="5">#REF!</definedName>
    <definedName name="\X" localSheetId="6">#REF!</definedName>
    <definedName name="\x">#REF!</definedName>
    <definedName name="\y" localSheetId="5">#REF!</definedName>
    <definedName name="\y" localSheetId="6">#REF!</definedName>
    <definedName name="\y">#REF!</definedName>
    <definedName name="\z" localSheetId="5">#REF!</definedName>
    <definedName name="\z" localSheetId="6">#REF!</definedName>
    <definedName name="\z">#REF!</definedName>
    <definedName name="_2_0_F" localSheetId="5" hidden="1">[16]노임단가!#REF!</definedName>
    <definedName name="_3_0_F" localSheetId="6" hidden="1">[16]노임단가!#REF!</definedName>
    <definedName name="_4_0_F" hidden="1">[2]노임단가!#REF!</definedName>
    <definedName name="_5_2___Parse" hidden="1">[2]사통!#REF!</definedName>
    <definedName name="_6_2_0_Parse" localSheetId="5" hidden="1">[16]노임단가!#REF!</definedName>
    <definedName name="_7_2_0_Parse" localSheetId="6" hidden="1">[16]노임단가!#REF!</definedName>
    <definedName name="_8_2_0_Parse" hidden="1">[2]노임단가!#REF!</definedName>
    <definedName name="_9_3__Crite">#REF!</definedName>
    <definedName name="_10_3__Criteria">#REF!</definedName>
    <definedName name="a">#REF!</definedName>
    <definedName name="a1ㅁ">[18]설계내역서!#REF!</definedName>
    <definedName name="_A999999">#REF!</definedName>
    <definedName name="A999999999999">#REF!</definedName>
    <definedName name="aaaa">'[20]ABUT수량-A1'!$T$25</definedName>
    <definedName name="ADD">#REF!</definedName>
    <definedName name="agdump">#REF!</definedName>
    <definedName name="agedump">#REF!</definedName>
    <definedName name="agencydump">#REF!</definedName>
    <definedName name="AGENCYLY">#REF!</definedName>
    <definedName name="AGENCYPLAN">#REF!</definedName>
    <definedName name="anscount" hidden="1">1</definedName>
    <definedName name="aqaq">'[22]ABUT수량-A1'!$T$25</definedName>
    <definedName name="as">#REF!</definedName>
    <definedName name="asd">#REF!</definedName>
    <definedName name="ASS">#REF!</definedName>
    <definedName name="B" localSheetId="5">#REF!</definedName>
    <definedName name="B" localSheetId="6">#REF!</definedName>
    <definedName name="b">#REF!</definedName>
    <definedName name="bae" localSheetId="5">'6. 사후관리 명세서'!bae</definedName>
    <definedName name="bae">[0]!bae</definedName>
    <definedName name="BC">[25]교각계산!$E$32</definedName>
    <definedName name="BDCODE">#N/A</definedName>
    <definedName name="BOX형수로집계">#REF!</definedName>
    <definedName name="C.T.C">#REF!</definedName>
    <definedName name="C.T.C1">#REF!</definedName>
    <definedName name="C_본">#REF!</definedName>
    <definedName name="CalcAgencyPrice">#REF!</definedName>
    <definedName name="CCC">#REF!</definedName>
    <definedName name="CEN_PILE">#REF!</definedName>
    <definedName name="Commission">#REF!</definedName>
    <definedName name="d" hidden="1">#REF!</definedName>
    <definedName name="DaRWk1">#REF!</definedName>
    <definedName name="DaRWk10">#REF!</definedName>
    <definedName name="DaRWk11">#REF!</definedName>
    <definedName name="DaRWk12">#REF!</definedName>
    <definedName name="DaRWk2">#REF!</definedName>
    <definedName name="DaRWk3">#REF!</definedName>
    <definedName name="DaRWk4">#REF!</definedName>
    <definedName name="DaRWk5">#REF!</definedName>
    <definedName name="DaRWk6">#REF!</definedName>
    <definedName name="DaRWk8">#REF!</definedName>
    <definedName name="DaRwk9">#REF!</definedName>
    <definedName name="DATA">#REF!</definedName>
    <definedName name="_xlnm.Database">#REF!</definedName>
    <definedName name="DaWk7">#REF!</definedName>
    <definedName name="dbrwk1">#REF!</definedName>
    <definedName name="dbrwk10">#REF!</definedName>
    <definedName name="dbrwk11">#REF!</definedName>
    <definedName name="dbrwk12">#REF!</definedName>
    <definedName name="dbrwk2">#REF!</definedName>
    <definedName name="dbrwk3">#REF!</definedName>
    <definedName name="dbrwk4">#REF!</definedName>
    <definedName name="dbrwk5">#REF!</definedName>
    <definedName name="dbrwk6">#REF!</definedName>
    <definedName name="dbrwk7">#REF!</definedName>
    <definedName name="dbrwk8">#REF!</definedName>
    <definedName name="dbrwk9">#REF!</definedName>
    <definedName name="dcrwk1">#REF!</definedName>
    <definedName name="dcrwk10">#REF!</definedName>
    <definedName name="dcrwk11">#REF!</definedName>
    <definedName name="dcrwk12">#REF!</definedName>
    <definedName name="dcrwk2">#REF!</definedName>
    <definedName name="dcrwk3">#REF!</definedName>
    <definedName name="dcrwk4">#REF!</definedName>
    <definedName name="dcrwk5">#REF!</definedName>
    <definedName name="dcrwk6">#REF!</definedName>
    <definedName name="dcrwk7">#REF!</definedName>
    <definedName name="dcrwk8">#REF!</definedName>
    <definedName name="dcrwk9">#REF!</definedName>
    <definedName name="ddd">[18]설계내역서!#REF!</definedName>
    <definedName name="ddf">[28]총괄표!$J$24</definedName>
    <definedName name="DelDC">#REF!</definedName>
    <definedName name="DelDm">#REF!</definedName>
    <definedName name="Delivery">#REF!</definedName>
    <definedName name="DelType">#REF!</definedName>
    <definedName name="deptLookup">#REF!</definedName>
    <definedName name="df">#REF!</definedName>
    <definedName name="dl">#REF!</definedName>
    <definedName name="dumppr">#REF!</definedName>
    <definedName name="e">#REF!</definedName>
    <definedName name="EEEE">#REF!</definedName>
    <definedName name="f">#REF!</definedName>
    <definedName name="F_CODE">#N/A</definedName>
    <definedName name="F_DESC">#N/A</definedName>
    <definedName name="F_LVL">#N/A</definedName>
    <definedName name="F_PAGE">#N/A</definedName>
    <definedName name="F_REMK">#N/A</definedName>
    <definedName name="F_SEQ">#N/A</definedName>
    <definedName name="F_SIZE">#N/A</definedName>
    <definedName name="F_UNIT">#N/A</definedName>
    <definedName name="FG">#REF!</definedName>
    <definedName name="fid">[32]BID!$A$1:$M$631</definedName>
    <definedName name="fjkf">#REF!</definedName>
    <definedName name="_11G__Extr">#REF!</definedName>
    <definedName name="_12G__Extract">#REF!</definedName>
    <definedName name="GG">#REF!</definedName>
    <definedName name="ggg">#REF!</definedName>
    <definedName name="GGGG">#REF!</definedName>
    <definedName name="gh">#REF!</definedName>
    <definedName name="gjj">#REF!</definedName>
    <definedName name="grew" hidden="1">#REF!</definedName>
    <definedName name="GrphActSales">#REF!</definedName>
    <definedName name="GrphActStk">#REF!</definedName>
    <definedName name="GrphPlanSales">#REF!</definedName>
    <definedName name="GrphTgtStk">#REF!</definedName>
    <definedName name="H">#REF!</definedName>
    <definedName name="han" hidden="1">#REF!</definedName>
    <definedName name="HC">#REF!</definedName>
    <definedName name="HE">#REF!</definedName>
    <definedName name="HH">#REF!</definedName>
    <definedName name="HSO">[25]교각계산!$M$38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Count" hidden="1">1</definedName>
    <definedName name="i">#REF!</definedName>
    <definedName name="IELWSALES">#REF!</definedName>
    <definedName name="IELYSALES">#REF!</definedName>
    <definedName name="IEPLANSALES">#REF!</definedName>
    <definedName name="IESP">#REF!</definedName>
    <definedName name="IntFreeCred">#REF!</definedName>
    <definedName name="ITNUM">#N/A</definedName>
    <definedName name="J">#REF!</definedName>
    <definedName name="j1_l">#REF!</definedName>
    <definedName name="j2_l">#REF!</definedName>
    <definedName name="j3_l">#REF!</definedName>
    <definedName name="j4_l">#REF!</definedName>
    <definedName name="jg">#REF!</definedName>
    <definedName name="jhjyg">#REF!</definedName>
    <definedName name="jy">[36]일반공사!#REF!</definedName>
    <definedName name="kjjh">#REF!</definedName>
    <definedName name="KKK">'[37]ABUT수량-A1'!$T$25</definedName>
    <definedName name="L_1">#REF!</definedName>
    <definedName name="L_2">#REF!</definedName>
    <definedName name="L_3">#REF!</definedName>
    <definedName name="L_4">#REF!</definedName>
    <definedName name="L_5">#REF!</definedName>
    <definedName name="L_6">#REF!</definedName>
    <definedName name="LC">#REF!</definedName>
    <definedName name="LF">#REF!</definedName>
    <definedName name="list2">#REF!</definedName>
    <definedName name="_LL1">#REF!</definedName>
    <definedName name="LWSALES">#REF!</definedName>
    <definedName name="LYBin">#REF!</definedName>
    <definedName name="LYHolds">#REF!</definedName>
    <definedName name="LYNet">#REF!</definedName>
    <definedName name="LYoos">#REF!</definedName>
    <definedName name="LYReselects">#REF!</definedName>
    <definedName name="LYReturns">#REF!</definedName>
    <definedName name="LYSales">#REF!</definedName>
    <definedName name="LYTotal">#REF!</definedName>
    <definedName name="L형측구">[40]!수식입력매크로</definedName>
    <definedName name="m">#REF!</definedName>
    <definedName name="MARGINPLAN">#REF!</definedName>
    <definedName name="MARGINPROJ">#REF!</definedName>
    <definedName name="MO">#REF!</definedName>
    <definedName name="MOO">[41]우각부보강!#REF!</definedName>
    <definedName name="n" hidden="1">[42]실행철강하도!$A$1:$A$4</definedName>
    <definedName name="NAME">#REF!</definedName>
    <definedName name="NNN">#REF!</definedName>
    <definedName name="NNNN">'[22]ABUT수량-A1'!$T$25</definedName>
    <definedName name="NP">#REF!</definedName>
    <definedName name="NPZ">#REF!</definedName>
    <definedName name="OOO">#REF!</definedName>
    <definedName name="oooo">'[44]ABUT수량-A1'!$T$25</definedName>
    <definedName name="P">#REF!</definedName>
    <definedName name="_13p1_">#REF!</definedName>
    <definedName name="P1X">#REF!</definedName>
    <definedName name="P1Z">#REF!</definedName>
    <definedName name="P2X">#REF!</definedName>
    <definedName name="P2Z">#REF!</definedName>
    <definedName name="pcraig1" function="1" xlm="1" functionGroupId="14">#REF!</definedName>
    <definedName name="pile연결">#REF!</definedName>
    <definedName name="PRDump">#REF!</definedName>
    <definedName name="PRINT">#REF!</definedName>
    <definedName name="_xlnm.Print_Area" localSheetId="0">'1. 개요'!$A$1:$I$28</definedName>
    <definedName name="_xlnm.Print_Area" localSheetId="1">'2. 위치 및 조사량'!$A$1:$O$18</definedName>
    <definedName name="_xlnm.Print_Area" localSheetId="3">'4. 용역비총괄'!$A$1:$G$18</definedName>
    <definedName name="_xlnm.Print_Area" localSheetId="4">'5. 영향조사 명세서'!$A$1:$J$76</definedName>
    <definedName name="_xlnm.Print_Area" localSheetId="5">'6. 사후관리 명세서'!#REF!</definedName>
    <definedName name="_xlnm.Print_Area" localSheetId="6">'6-1.사후관리 일위대가표'!$A$1:$L$168</definedName>
    <definedName name="_xlnm.Print_Area" localSheetId="7">단가표!$A$1:$K$35</definedName>
    <definedName name="_xlnm.Print_Area" localSheetId="8">인용자료참고!$A$1:$A$21</definedName>
    <definedName name="_xlnm.Print_Area">[3]공사비명세서!$A$1:$M$17</definedName>
    <definedName name="PRINT_AREA_MI" localSheetId="5">#REF!</definedName>
    <definedName name="PRINT_AREA_MI" localSheetId="6">#REF!</definedName>
    <definedName name="PRINT_AREA_MI">#REF!</definedName>
    <definedName name="PRINT_AREA_MI1">#REF!</definedName>
    <definedName name="_xlnm.Print_Titles">[48]건축공사!$A$2:$IV$4</definedName>
    <definedName name="PRINT_TITLES_MI">#N/A</definedName>
    <definedName name="PVC관">#REF!</definedName>
    <definedName name="PWS">[25]교각계산!$G$108</definedName>
    <definedName name="q" hidden="1">#REF!</definedName>
    <definedName name="QAQA">'[37]ABUT수량-A1'!$T$25</definedName>
    <definedName name="qor" hidden="1">[50]실행철강하도!$A$1:$A$4</definedName>
    <definedName name="qqaa">'[44]ABUT수량-A1'!$T$25</definedName>
    <definedName name="qqq">'[51]ABUT수량-A1'!$T$25</definedName>
    <definedName name="QQQQ">'[52]ABUT수량-A1'!$T$25</definedName>
    <definedName name="QTY">#N/A</definedName>
    <definedName name="QWQW">'[37]ABUT수량-A1'!$T$25</definedName>
    <definedName name="RawAgencyPrice">#REF!</definedName>
    <definedName name="RBData">#REF!</definedName>
    <definedName name="_RD5">[25]교각계산!$K$86</definedName>
    <definedName name="Reselects">#REF!</definedName>
    <definedName name="RL5D">[25]교각계산!$K$98</definedName>
    <definedName name="rr">#REF!</definedName>
    <definedName name="RRR">[41]우각부보강!#REF!</definedName>
    <definedName name="s">#REF!</definedName>
    <definedName name="S_1">#REF!</definedName>
    <definedName name="S_10">#REF!</definedName>
    <definedName name="S_11">#REF!</definedName>
    <definedName name="S_2">#REF!</definedName>
    <definedName name="S_3">#REF!</definedName>
    <definedName name="S_4">#REF!</definedName>
    <definedName name="S_5">#REF!</definedName>
    <definedName name="S_6">#REF!</definedName>
    <definedName name="S_7">#REF!</definedName>
    <definedName name="S_8">#REF!</definedName>
    <definedName name="S_9">#REF!</definedName>
    <definedName name="S_B">#REF!</definedName>
    <definedName name="S_L">#REF!</definedName>
    <definedName name="S_TO">#REF!</definedName>
    <definedName name="S_본">#REF!</definedName>
    <definedName name="SALESPLAN">#REF!</definedName>
    <definedName name="SALESPROJ" function="1" xlm="1" functionGroupId="14">#REF!</definedName>
    <definedName name="SCK">#REF!</definedName>
    <definedName name="sd">#REF!</definedName>
    <definedName name="sdfg">'[44]ABUT수량-A1'!$T$25</definedName>
    <definedName name="sdg" hidden="1">#REF!</definedName>
    <definedName name="SIDE_PILE">#REF!</definedName>
    <definedName name="SK">#REF!</definedName>
    <definedName name="SORTCODE">#N/A</definedName>
    <definedName name="ss">#REF!</definedName>
    <definedName name="SSS">#REF!</definedName>
    <definedName name="STATION">#REF!</definedName>
    <definedName name="SY">#REF!</definedName>
    <definedName name="t">[54]BID!$A$1:$I$2091</definedName>
    <definedName name="T_AMOUNT">#N/A</definedName>
    <definedName name="T_UPRICE">#N/A</definedName>
    <definedName name="Table">#REF!</definedName>
    <definedName name="Table1">#REF!</definedName>
    <definedName name="TB">#REF!</definedName>
    <definedName name="text1">[55]가도공!#REF!</definedName>
    <definedName name="todl" hidden="1">#REF!</definedName>
    <definedName name="tofms" hidden="1">#REF!</definedName>
    <definedName name="tr" hidden="1">#REF!</definedName>
    <definedName name="TS">#REF!</definedName>
    <definedName name="TSS">[41]우각부보강!#REF!</definedName>
    <definedName name="TU">#REF!</definedName>
    <definedName name="TW">#REF!</definedName>
    <definedName name="TWW">#REF!</definedName>
    <definedName name="U측구">#REF!</definedName>
    <definedName name="w">#REF!</definedName>
    <definedName name="wrn.포장단가." localSheetId="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W">'[37]ABUT수량-A1'!$T$25</definedName>
    <definedName name="www">'[44]ABUT수량-A1'!$T$25</definedName>
    <definedName name="x">#REF!</definedName>
    <definedName name="xhwjr">#REF!</definedName>
    <definedName name="_XS1">[25]교각계산!$M$40</definedName>
    <definedName name="xx" hidden="1">#REF!</definedName>
    <definedName name="xxx" hidden="1">#REF!</definedName>
    <definedName name="xxxx">#REF!</definedName>
    <definedName name="_14Y_0Print_A">[2]노임단가!#REF!</definedName>
    <definedName name="_15Y_0PRINT_AREA">[2]노임단가!#REF!</definedName>
    <definedName name="_16Y__Print_A">[2]사통!#REF!</definedName>
    <definedName name="_17Y__PRINT_AREA">[2]사통!#REF!</definedName>
    <definedName name="za" hidden="1">[42]실행철강하도!$A$1:$A$4</definedName>
    <definedName name="zx" hidden="1">[2]사통!#REF!</definedName>
    <definedName name="ZZZ">[58]철집!#REF!</definedName>
    <definedName name="ㄱㅈㄱ" localSheetId="6" hidden="1">{#N/A,#N/A,FALSE,"포장단가"}</definedName>
    <definedName name="ㄱㅈㄱ" hidden="1">{#N/A,#N/A,FALSE,"포장단가"}</definedName>
    <definedName name="가" hidden="1">#REF!</definedName>
    <definedName name="가격">#REF!</definedName>
    <definedName name="가나다라" localSheetId="6" hidden="1">{#N/A,#N/A,FALSE,"포장단가"}</definedName>
    <definedName name="가나다라" hidden="1">{#N/A,#N/A,FALSE,"포장단가"}</definedName>
    <definedName name="간격1">#REF!</definedName>
    <definedName name="간격10">#REF!</definedName>
    <definedName name="간격11">#REF!</definedName>
    <definedName name="간격2">#REF!</definedName>
    <definedName name="간격3">#REF!</definedName>
    <definedName name="간격4">#REF!</definedName>
    <definedName name="간격5">#REF!</definedName>
    <definedName name="간격6">#REF!</definedName>
    <definedName name="간격7">#REF!</definedName>
    <definedName name="간격8">#REF!</definedName>
    <definedName name="간격9">#REF!</definedName>
    <definedName name="갑지">#REF!</definedName>
    <definedName name="갑지확인">#REF!</definedName>
    <definedName name="강감찬">#REF!</definedName>
    <definedName name="개" hidden="1">#REF!</definedName>
    <definedName name="개소">#REF!</definedName>
    <definedName name="거">#REF!</definedName>
    <definedName name="거리">#REF!</definedName>
    <definedName name="결재" localSheetId="5" hidden="1">{#N/A,#N/A,FALSE,"포장단가"}</definedName>
    <definedName name="결재" localSheetId="6" hidden="1">{#N/A,#N/A,FALSE,"포장단가"}</definedName>
    <definedName name="결재" hidden="1">{#N/A,#N/A,FALSE,"포장단가"}</definedName>
    <definedName name="결재란1" localSheetId="5" hidden="1">{#N/A,#N/A,FALSE,"포장단가"}</definedName>
    <definedName name="결재란1" localSheetId="6" hidden="1">{#N/A,#N/A,FALSE,"포장단가"}</definedName>
    <definedName name="결재란1" hidden="1">{#N/A,#N/A,FALSE,"포장단가"}</definedName>
    <definedName name="경비">#REF!</definedName>
    <definedName name="경암">#REF!</definedName>
    <definedName name="경운기" localSheetId="5" hidden="1">{#N/A,#N/A,FALSE,"포장단가"}</definedName>
    <definedName name="경운기" localSheetId="6" hidden="1">{#N/A,#N/A,FALSE,"포장단가"}</definedName>
    <definedName name="경운기" hidden="1">{#N/A,#N/A,FALSE,"포장단가"}</definedName>
    <definedName name="계_①___⑦">#REF!</definedName>
    <definedName name="계산">#REF!</definedName>
    <definedName name="계산서">#REF!</definedName>
    <definedName name="계산석">[64]군남내역서!#REF!</definedName>
    <definedName name="고" hidden="1">#REF!</definedName>
    <definedName name="고기" hidden="1">#REF!</definedName>
    <definedName name="공사물푸기">#REF!</definedName>
    <definedName name="공사비양식2">[68]구천!#REF!</definedName>
    <definedName name="공정표">#REF!</definedName>
    <definedName name="공정표2">#REF!</definedName>
    <definedName name="공제">#REF!</definedName>
    <definedName name="공제길이">#REF!</definedName>
    <definedName name="공종분류">OFFSET([71]파일의이용!$P$2,0,0,COUNTA([71]파일의이용!$P$2:$P$34),1)</definedName>
    <definedName name="관로토적">#REF!</definedName>
    <definedName name="구조">#REF!</definedName>
    <definedName name="구조물푸기">#REF!</definedName>
    <definedName name="구천수량이동">#REF!</definedName>
    <definedName name="권">#REF!</definedName>
    <definedName name="근입_TO">#REF!</definedName>
    <definedName name="근입_TO_C">#REF!</definedName>
    <definedName name="급수산출" localSheetId="5">[73]양수장내역!#REF!</definedName>
    <definedName name="급수산출" localSheetId="6">[73]양수장내역!#REF!</definedName>
    <definedName name="급수산출">[4]양수장내역!#REF!</definedName>
    <definedName name="기기기">#REF!</definedName>
    <definedName name="기성차수">#REF!</definedName>
    <definedName name="길이1">#REF!</definedName>
    <definedName name="김">#REF!</definedName>
    <definedName name="김유신">#REF!</definedName>
    <definedName name="깬잡석" localSheetId="5" hidden="1">{#N/A,#N/A,FALSE,"포장단가"}</definedName>
    <definedName name="깬잡석" localSheetId="6" hidden="1">{#N/A,#N/A,FALSE,"포장단가"}</definedName>
    <definedName name="깬잡석" hidden="1">{#N/A,#N/A,FALSE,"포장단가"}</definedName>
    <definedName name="ㄴㄱㄹ" hidden="1">#REF!</definedName>
    <definedName name="ㄴㄹㅇㅁㄴ" hidden="1">#REF!</definedName>
    <definedName name="나아라">#REF!</definedName>
    <definedName name="내" hidden="1">#REF!</definedName>
    <definedName name="내역적용">#REF!</definedName>
    <definedName name="녭" hidden="1">#REF!</definedName>
    <definedName name="노">#REF!</definedName>
    <definedName name="노니" hidden="1">#REF!</definedName>
    <definedName name="노부비">#REF!</definedName>
    <definedName name="노임단가">#REF!</definedName>
    <definedName name="누" hidden="1">#REF!</definedName>
    <definedName name="누산수량이동">#REF!</definedName>
    <definedName name="니">#REF!</definedName>
    <definedName name="ㄷㄷㄷ">'[37]ABUT수량-A1'!$T$25</definedName>
    <definedName name="단면계산">#REF!</definedName>
    <definedName name="단수">#REF!</definedName>
    <definedName name="대" hidden="1">#REF!</definedName>
    <definedName name="대기" hidden="1">#REF!</definedName>
    <definedName name="대동설계계산서">#REF!</definedName>
    <definedName name="대한" hidden="1">#REF!</definedName>
    <definedName name="대화">#REF!</definedName>
    <definedName name="덩덩">#REF!</definedName>
    <definedName name="도">#REF!</definedName>
    <definedName name="도급분류">OFFSET([71]파일의이용!$O$2,0,0,COUNTA([71]파일의이용!$O$2:$O$3),1)</definedName>
    <definedName name="도리">#REF!</definedName>
    <definedName name="동일">#REF!</definedName>
    <definedName name="뒷채움잡석운반">#REF!</definedName>
    <definedName name="뒷채움잡석운반1">#REF!</definedName>
    <definedName name="디디" hidden="1">#REF!</definedName>
    <definedName name="ㄹ609">#REF!</definedName>
    <definedName name="ㄹ호" hidden="1">#REF!</definedName>
    <definedName name="라라">#REF!</definedName>
    <definedName name="롸" hidden="1">#REF!</definedName>
    <definedName name="뢰" hidden="1">#REF!</definedName>
    <definedName name="루ㄴ" hidden="1">[16]노임단가!#REF!</definedName>
    <definedName name="루사" hidden="1">#REF!</definedName>
    <definedName name="를" hidden="1">#REF!</definedName>
    <definedName name="ㅁ" hidden="1">#REF!</definedName>
    <definedName name="ㅁ1">#REF!</definedName>
    <definedName name="ㅁ8529">[89]일반공사!#REF!</definedName>
    <definedName name="ㅁㄴ" hidden="1">#REF!</definedName>
    <definedName name="ㅁㅁㅁ">[40]!일위화면복귀매크로</definedName>
    <definedName name="ㅁㅁㅁㅁㅁㅁ" hidden="1">#REF!</definedName>
    <definedName name="ㅁㅇ">#REF!</definedName>
    <definedName name="매" hidden="1">#REF!</definedName>
    <definedName name="매매">#REF!</definedName>
    <definedName name="매몰본">#REF!</definedName>
    <definedName name="매미">#REF!</definedName>
    <definedName name="매크로11">[90]!매크로11</definedName>
    <definedName name="매크로4">[90]C.배수관공!매크로4</definedName>
    <definedName name="면수">#REF!</definedName>
    <definedName name="면적_원본_읍면삭제__Query_Query" localSheetId="2">#REF!</definedName>
    <definedName name="면적_원본_읍면삭제__Query_Query">#REF!</definedName>
    <definedName name="명_성">#REF!</definedName>
    <definedName name="명성">#REF!</definedName>
    <definedName name="명태">#REF!</definedName>
    <definedName name="모21">#REF!</definedName>
    <definedName name="물">#REF!</definedName>
    <definedName name="물푸기">#REF!</definedName>
    <definedName name="미리">#REF!</definedName>
    <definedName name="미이" hidden="1">#REF!</definedName>
    <definedName name="미출">#REF!</definedName>
    <definedName name="ㅂㅈㄷ">#REF!</definedName>
    <definedName name="발전기">#REF!</definedName>
    <definedName name="배" hidden="1">#REF!</definedName>
    <definedName name="배수토공계">#REF!</definedName>
    <definedName name="버_C.T.C">#REF!</definedName>
    <definedName name="버_단수">#REF!</definedName>
    <definedName name="버1">#REF!</definedName>
    <definedName name="버2">#REF!</definedName>
    <definedName name="버3">#REF!</definedName>
    <definedName name="버4">#REF!</definedName>
    <definedName name="버5">#REF!</definedName>
    <definedName name="버6">#REF!</definedName>
    <definedName name="변경">[93]표지!$T$7</definedName>
    <definedName name="보성토공" localSheetId="5">'6. 사후관리 명세서'!보성토공</definedName>
    <definedName name="보성토공">[0]!보성토공</definedName>
    <definedName name="보통암">#REF!</definedName>
    <definedName name="보호공산출" localSheetId="5">[73]양수장내역!#REF!</definedName>
    <definedName name="보호공산출" localSheetId="6">[73]양수장내역!#REF!</definedName>
    <definedName name="보호공산출">[4]양수장내역!#REF!</definedName>
    <definedName name="복공">#REF!</definedName>
    <definedName name="복사" hidden="1">#REF!</definedName>
    <definedName name="부표">#REF!</definedName>
    <definedName name="분기" hidden="1">#REF!</definedName>
    <definedName name="비겁" hidden="1">#REF!</definedName>
    <definedName name="사" hidden="1">#REF!</definedName>
    <definedName name="사_TO">#REF!</definedName>
    <definedName name="사랑" hidden="1">#REF!</definedName>
    <definedName name="사타" hidden="1">#REF!</definedName>
    <definedName name="산서" hidden="1">#REF!</definedName>
    <definedName name="산출1" localSheetId="5">'6. 사후관리 명세서'!산출1</definedName>
    <definedName name="산출1">[0]!산출1</definedName>
    <definedName name="산출3" localSheetId="5">'6. 사후관리 명세서'!산출3</definedName>
    <definedName name="산출3">[0]!산출3</definedName>
    <definedName name="삼">#REF!</definedName>
    <definedName name="상식">#REF!</definedName>
    <definedName name="상자">#REF!</definedName>
    <definedName name="상자다">#REF!</definedName>
    <definedName name="새이" hidden="1">#REF!</definedName>
    <definedName name="새이름">#REF!</definedName>
    <definedName name="설계">#REF!</definedName>
    <definedName name="설계서">#REF!</definedName>
    <definedName name="설계서간지">#REF!</definedName>
    <definedName name="설계설명" hidden="1">#REF!</definedName>
    <definedName name="설계설명서">#REF!</definedName>
    <definedName name="설계집계장">[100]BID!$A$1:$I$2091</definedName>
    <definedName name="설명">#REF!</definedName>
    <definedName name="성_문">#REF!</definedName>
    <definedName name="성문">#REF!</definedName>
    <definedName name="소" hidden="1">#REF!</definedName>
    <definedName name="수량산출내역" localSheetId="5" hidden="1">{#N/A,#N/A,FALSE,"포장단가"}</definedName>
    <definedName name="수량산출내역" localSheetId="6" hidden="1">{#N/A,#N/A,FALSE,"포장단가"}</definedName>
    <definedName name="수량산출내역" hidden="1">{#N/A,#N/A,FALSE,"포장단가"}</definedName>
    <definedName name="수량산출서">#REF!</definedName>
    <definedName name="수량집계">#REF!</definedName>
    <definedName name="수식입력매크로">[101]!수식입력매크로</definedName>
    <definedName name="수중계산">#REF!</definedName>
    <definedName name="수중모터">#REF!</definedName>
    <definedName name="수중모터펌프">#REF!</definedName>
    <definedName name="시멘트운반" localSheetId="5" hidden="1">{#N/A,#N/A,FALSE,"포장단가"}</definedName>
    <definedName name="시멘트운반" localSheetId="6" hidden="1">{#N/A,#N/A,FALSE,"포장단가"}</definedName>
    <definedName name="시멘트운반" hidden="1">{#N/A,#N/A,FALSE,"포장단가"}</definedName>
    <definedName name="실행집계">#REF!</definedName>
    <definedName name="ㅇ" localSheetId="5">'6. 사후관리 명세서'!ㅇ</definedName>
    <definedName name="ㅇ">[0]!ㅇ</definedName>
    <definedName name="ㅇㄹㄹ" hidden="1">#REF!</definedName>
    <definedName name="ㅇ러알ㅇㄹㅇㄹ" hidden="1">[103]조명시설!#REF!</definedName>
    <definedName name="ㅇㅇ">'[104]98NS-N'!#REF!</definedName>
    <definedName name="ㅇㅇㅇ" localSheetId="5" hidden="1">{#N/A,#N/A,FALSE,"포장단가"}</definedName>
    <definedName name="ㅇㅇㅇ" localSheetId="6" hidden="1">{#N/A,#N/A,FALSE,"포장단가"}</definedName>
    <definedName name="ㅇㅇㅇ" hidden="1">{#N/A,#N/A,FALSE,"포장단가"}</definedName>
    <definedName name="아니">#REF!</definedName>
    <definedName name="아니오" hidden="1">#REF!</definedName>
    <definedName name="아서">#REF!</definedName>
    <definedName name="아싸" localSheetId="5">'6. 사후관리 명세서'!아싸</definedName>
    <definedName name="아싸">[0]!아싸</definedName>
    <definedName name="아아" hidden="1">#REF!</definedName>
    <definedName name="안정계산서">#REF!</definedName>
    <definedName name="안정설계">#REF!</definedName>
    <definedName name="암_TOTAL">#REF!</definedName>
    <definedName name="암거">#REF!</definedName>
    <definedName name="암근">#REF!</definedName>
    <definedName name="암근C">#REF!</definedName>
    <definedName name="애" hidden="1">#REF!</definedName>
    <definedName name="양수3.4산출" localSheetId="5">[73]양수장내역!#REF!</definedName>
    <definedName name="양수3.4산출" localSheetId="6">[73]양수장내역!#REF!</definedName>
    <definedName name="양수3.4산출">[4]양수장내역!#REF!</definedName>
    <definedName name="양수4.4산출" localSheetId="5">[73]양수장내역!#REF!</definedName>
    <definedName name="양수4.4산출" localSheetId="6">[73]양수장내역!#REF!</definedName>
    <definedName name="양수4.4산출">[4]양수장내역!#REF!</definedName>
    <definedName name="어름" hidden="1">#REF!</definedName>
    <definedName name="업체" hidden="1">#REF!</definedName>
    <definedName name="여기">#REF!</definedName>
    <definedName name="여름">#REF!</definedName>
    <definedName name="연">#REF!</definedName>
    <definedName name="연암">#REF!</definedName>
    <definedName name="연암개소">#REF!</definedName>
    <definedName name="연장">#REF!</definedName>
    <definedName name="열수">#REF!</definedName>
    <definedName name="영수증">[64]군남내역서!#REF!</definedName>
    <definedName name="예" hidden="1">#REF!</definedName>
    <definedName name="옙">#REF!</definedName>
    <definedName name="오" hidden="1">[50]실행철강하도!$A$1:$A$4</definedName>
    <definedName name="오수맨홀수량2">#REF!</definedName>
    <definedName name="오수맨홀집계">#REF!</definedName>
    <definedName name="왕암내역">#REF!</definedName>
    <definedName name="왜" hidden="1">#REF!</definedName>
    <definedName name="요율">#REF!</definedName>
    <definedName name="우회">#REF!</definedName>
    <definedName name="원가계산" localSheetId="5" hidden="1">{#N/A,#N/A,FALSE,"포장단가"}</definedName>
    <definedName name="원가계산" localSheetId="6" hidden="1">{#N/A,#N/A,FALSE,"포장단가"}</definedName>
    <definedName name="원가계산" hidden="1">{#N/A,#N/A,FALSE,"포장단가"}</definedName>
    <definedName name="원남내역" hidden="1">[115]실행철강하도!$A$1:$A$4</definedName>
    <definedName name="유관순">#REF!</definedName>
    <definedName name="육">#REF!</definedName>
    <definedName name="으치" hidden="1">#REF!</definedName>
    <definedName name="을지">#REF!</definedName>
    <definedName name="이">#REF!</definedName>
    <definedName name="이롱">#REF!</definedName>
    <definedName name="이름" hidden="1">#REF!</definedName>
    <definedName name="이름이">#REF!</definedName>
    <definedName name="이릉" hidden="1">#REF!</definedName>
    <definedName name="이미" hidden="1">#REF!</definedName>
    <definedName name="이미리" hidden="1">#REF!</definedName>
    <definedName name="이순신">#REF!</definedName>
    <definedName name="이용시설">#REF!</definedName>
    <definedName name="이율곡">#REF!</definedName>
    <definedName name="이이이">#REF!</definedName>
    <definedName name="인구" hidden="1">#REF!</definedName>
    <definedName name="인구계산">[117]일위!$V$73:$AH$121</definedName>
    <definedName name="인구물푸기">#REF!</definedName>
    <definedName name="印刷1">#REF!</definedName>
    <definedName name="印刷2">#REF!</definedName>
    <definedName name="印刷3">#REF!</definedName>
    <definedName name="印刷4">#REF!</definedName>
    <definedName name="인쇄양식" localSheetId="5">'6. 사후관리 명세서'!인쇄양식</definedName>
    <definedName name="인쇄양식">[0]!인쇄양식</definedName>
    <definedName name="인정">#REF!</definedName>
    <definedName name="일" hidden="1">[50]실행철강하도!$A$1:$A$4</definedName>
    <definedName name="일위">#REF!</definedName>
    <definedName name="일위규격매크로">[101]!일위규격매크로</definedName>
    <definedName name="일위코드입력매크로">[101]!일위코드입력매크로</definedName>
    <definedName name="일위화면복귀매크로">[101]!일위화면복귀매크로</definedName>
    <definedName name="입력" hidden="1">#REF!</definedName>
    <definedName name="자재단가근거" hidden="1">#REF!</definedName>
    <definedName name="자재집계" localSheetId="5" hidden="1">{#N/A,#N/A,FALSE,"포장단가"}</definedName>
    <definedName name="자재집계" localSheetId="6" hidden="1">{#N/A,#N/A,FALSE,"포장단가"}</definedName>
    <definedName name="자재집계" hidden="1">{#N/A,#N/A,FALSE,"포장단가"}</definedName>
    <definedName name="잡철">#REF!</definedName>
    <definedName name="재" hidden="1">#REF!</definedName>
    <definedName name="재료비">#REF!</definedName>
    <definedName name="재아">#REF!</definedName>
    <definedName name="저축">#REF!</definedName>
    <definedName name="적용단가근거">#REF!</definedName>
    <definedName name="전기노무원수">#REF!</definedName>
    <definedName name="정수시설">#REF!</definedName>
    <definedName name="정열범위">#REF!</definedName>
    <definedName name="정채">#REF!</definedName>
    <definedName name="제5호표">#REF!</definedName>
    <definedName name="조영수">#REF!</definedName>
    <definedName name="조찬" hidden="1">#REF!</definedName>
    <definedName name="주형1">#REF!</definedName>
    <definedName name="주형2">#REF!</definedName>
    <definedName name="주형3">#REF!</definedName>
    <definedName name="주형4">#REF!</definedName>
    <definedName name="주형보공제량">#REF!</definedName>
    <definedName name="중기운반식" localSheetId="5" hidden="1">{#N/A,#N/A,FALSE,"포장단가"}</definedName>
    <definedName name="중기운반식" localSheetId="6" hidden="1">{#N/A,#N/A,FALSE,"포장단가"}</definedName>
    <definedName name="중기운반식" hidden="1">{#N/A,#N/A,FALSE,"포장단가"}</definedName>
    <definedName name="중앙공제">#REF!</definedName>
    <definedName name="중앙길이">#REF!</definedName>
    <definedName name="중앙본">#REF!</definedName>
    <definedName name="지" hidden="1">#REF!</definedName>
    <definedName name="지어닙재">#REF!</definedName>
    <definedName name="지준덕">#REF!</definedName>
    <definedName name="지지">#REF!</definedName>
    <definedName name="지하수공사비">#REF!</definedName>
    <definedName name="지하수단위단가">#REF!</definedName>
    <definedName name="집계">#REF!</definedName>
    <definedName name="집수" hidden="1">#REF!</definedName>
    <definedName name="차선도색집계">#REF!</definedName>
    <definedName name="창">#REF!</definedName>
    <definedName name="철근운반" localSheetId="5" hidden="1">{#N/A,#N/A,FALSE,"포장단가"}</definedName>
    <definedName name="철근운반" localSheetId="6" hidden="1">{#N/A,#N/A,FALSE,"포장단가"}</definedName>
    <definedName name="철근운반" hidden="1">{#N/A,#N/A,FALSE,"포장단가"}</definedName>
    <definedName name="총괄" localSheetId="5" hidden="1">{#N/A,#N/A,FALSE,"포장단가"}</definedName>
    <definedName name="총괄" localSheetId="6" hidden="1">{#N/A,#N/A,FALSE,"포장단가"}</definedName>
    <definedName name="총괄" hidden="1">{#N/A,#N/A,FALSE,"포장단가"}</definedName>
    <definedName name="총괄표">#REF!</definedName>
    <definedName name="최대값">#REF!</definedName>
    <definedName name="최소값">#REF!</definedName>
    <definedName name="추" hidden="1">#REF!</definedName>
    <definedName name="추억">#REF!</definedName>
    <definedName name="추초" hidden="1">#REF!</definedName>
    <definedName name="출국">#REF!</definedName>
    <definedName name="출근길">#REF!</definedName>
    <definedName name="충동" hidden="1">#REF!</definedName>
    <definedName name="취소">#REF!</definedName>
    <definedName name="취입" hidden="1">#REF!</definedName>
    <definedName name="측면길이">#REF!</definedName>
    <definedName name="측면본">#REF!</definedName>
    <definedName name="칠">#REF!</definedName>
    <definedName name="칠성" hidden="1">#REF!</definedName>
    <definedName name="칸수">#REF!</definedName>
    <definedName name="컴">#REF!</definedName>
    <definedName name="콘크" localSheetId="5">'6. 사후관리 명세서'!콘크</definedName>
    <definedName name="콘크">[0]!콘크</definedName>
    <definedName name="콘크리트2" hidden="1">#REF!</definedName>
    <definedName name="콘크리트집ㄱㅖ" localSheetId="5">'6. 사후관리 명세서'!콘크리트집ㄱㅖ</definedName>
    <definedName name="콘크리트집ㄱㅖ">[0]!콘크리트집ㄱㅖ</definedName>
    <definedName name="콘크리트집계" localSheetId="5">'6. 사후관리 명세서'!콘크리트집계</definedName>
    <definedName name="콘크리트집계">[0]!콘크리트집계</definedName>
    <definedName name="ㅌㅌㅌㅌㅌㅌㅌ">#REF!</definedName>
    <definedName name="태풍루사_상양혈리_수해복구공사_폐기물처리비_내역">#REF!</definedName>
    <definedName name="토" hidden="1">#REF!</definedName>
    <definedName name="토공">#REF!</definedName>
    <definedName name="토량계산" localSheetId="5" hidden="1">{#N/A,#N/A,FALSE,"포장단가"}</definedName>
    <definedName name="토량계산" localSheetId="6" hidden="1">{#N/A,#N/A,FALSE,"포장단가"}</definedName>
    <definedName name="토량계산" hidden="1">{#N/A,#N/A,FALSE,"포장단가"}</definedName>
    <definedName name="토류벽">#REF!</definedName>
    <definedName name="토목">#REF!</definedName>
    <definedName name="토목일위대가" localSheetId="5">[73]양수장!#REF!</definedName>
    <definedName name="토목일위대가" localSheetId="6">[73]양수장!#REF!</definedName>
    <definedName name="토목일위대가">[4]양수장!#REF!</definedName>
    <definedName name="토사">#REF!</definedName>
    <definedName name="토적">#REF!</definedName>
    <definedName name="통일">#REF!</definedName>
    <definedName name="파일" hidden="1">#REF!</definedName>
    <definedName name="팔" hidden="1">#REF!</definedName>
    <definedName name="페기갑지" hidden="1">#REF!</definedName>
    <definedName name="평균">#REF!</definedName>
    <definedName name="평소">#REF!</definedName>
    <definedName name="폐기" hidden="1">#REF!</definedName>
    <definedName name="폐기갑지">#REF!</definedName>
    <definedName name="폐기갑지용" hidden="1">#REF!</definedName>
    <definedName name="포장거푸집조서" localSheetId="5" hidden="1">{#N/A,#N/A,FALSE,"포장단가"}</definedName>
    <definedName name="포장거푸집조서" localSheetId="6" hidden="1">{#N/A,#N/A,FALSE,"포장단가"}</definedName>
    <definedName name="포장거푸집조서" hidden="1">{#N/A,#N/A,FALSE,"포장단가"}</definedName>
    <definedName name="포장수량">#REF!</definedName>
    <definedName name="포장집계2">#REF!</definedName>
    <definedName name="폭">#REF!</definedName>
    <definedName name="푸">#REF!</definedName>
    <definedName name="푸기">#REF!</definedName>
    <definedName name="품명">#REF!</definedName>
    <definedName name="품명2">#REF!</definedName>
    <definedName name="풍화암">#REF!</definedName>
    <definedName name="풍화암개소">#REF!</definedName>
    <definedName name="ㅎ" hidden="1">[16]노임단가!#REF!</definedName>
    <definedName name="ㅎㄹㄹ">#REF!</definedName>
    <definedName name="하_지">#REF!</definedName>
    <definedName name="하지">#REF!</definedName>
    <definedName name="한" hidden="1">#REF!</definedName>
    <definedName name="한_일">#REF!</definedName>
    <definedName name="한일">#REF!</definedName>
    <definedName name="합계">#REF!</definedName>
    <definedName name="해창철콘" localSheetId="5">'6. 사후관리 명세서'!해창철콘</definedName>
    <definedName name="해창철콘">[0]!해창철콘</definedName>
    <definedName name="행창토건" localSheetId="5">'6. 사후관리 명세서'!행창토건</definedName>
    <definedName name="행창토건">[0]!행창토건</definedName>
    <definedName name="허">#REF!</definedName>
    <definedName name="허균">#REF!</definedName>
    <definedName name="호" hidden="1">#REF!</definedName>
    <definedName name="호서" hidden="1">#REF!</definedName>
    <definedName name="화타A">#REF!</definedName>
    <definedName name="화타B">#REF!</definedName>
    <definedName name="확인">#REF!</definedName>
    <definedName name="확인서">#REF!</definedName>
    <definedName name="흄관운반" localSheetId="5" hidden="1">{#N/A,#N/A,FALSE,"포장단가"}</definedName>
    <definedName name="흄관운반" localSheetId="6" hidden="1">{#N/A,#N/A,FALSE,"포장단가"}</definedName>
    <definedName name="흄관운반" hidden="1">{#N/A,#N/A,FALSE,"포장단가"}</definedName>
    <definedName name="흙">#REF!</definedName>
    <definedName name="ㅐㅐㅐ">'[37]ABUT수량-A1'!$T$25</definedName>
    <definedName name="ㅓ8">#REF!</definedName>
    <definedName name="ㅓㄴㄱ" hidden="1">[132]실행철강하도!$A$1:$A$4</definedName>
    <definedName name="ㅔㅔ" hidden="1">[14]집계표!#REF!</definedName>
    <definedName name="ㅗㅓㅏ">#REF!</definedName>
    <definedName name="ㅜ1">#REF!</definedName>
    <definedName name="ㅜㄻ" hidden="1">[16]노임단가!#REF!</definedName>
    <definedName name="ㅡㄹㄴㅁ르" hidden="1">#REF!</definedName>
    <definedName name="ㅣㅣ">[134]일위!$A$1:$M$219</definedName>
  </definedNames>
  <calcPr calcId="191029" fullCalcOnLoad="1"/>
</workbook>
</file>

<file path=xl/calcChain.xml><?xml version="1.0" encoding="utf-8"?>
<calcChain xmlns="http://schemas.openxmlformats.org/spreadsheetml/2006/main">
  <c r="C11" i="2" l="1"/>
  <c r="H11" i="2"/>
  <c r="H10" i="2"/>
  <c r="H9" i="2"/>
  <c r="H8" i="2"/>
  <c r="H7" i="2"/>
  <c r="H6" i="2"/>
  <c r="H5" i="2"/>
  <c r="I5" i="2"/>
  <c r="C10" i="2"/>
  <c r="C9" i="2"/>
  <c r="C8" i="2"/>
  <c r="C6" i="2"/>
  <c r="I6" i="2"/>
  <c r="C5" i="2"/>
  <c r="F11" i="2"/>
  <c r="F10" i="2"/>
  <c r="F9" i="2"/>
  <c r="F8" i="2"/>
  <c r="F7" i="2"/>
  <c r="G7" i="2"/>
  <c r="F6" i="2"/>
  <c r="F5" i="2"/>
  <c r="H28" i="2"/>
  <c r="E155" i="16"/>
  <c r="K155" i="16"/>
  <c r="K168" i="16"/>
  <c r="E18" i="17"/>
  <c r="E19" i="17"/>
  <c r="E20" i="17"/>
  <c r="C73" i="2"/>
  <c r="C59" i="2"/>
  <c r="H82" i="16"/>
  <c r="I82" i="16"/>
  <c r="F8" i="17"/>
  <c r="J102" i="16"/>
  <c r="C80" i="16"/>
  <c r="H53" i="2"/>
  <c r="H61" i="2"/>
  <c r="F52" i="2"/>
  <c r="F60" i="2"/>
  <c r="F51" i="2"/>
  <c r="E51" i="2"/>
  <c r="E54" i="2"/>
  <c r="H47" i="2"/>
  <c r="I47" i="2"/>
  <c r="F46" i="2"/>
  <c r="G46" i="2"/>
  <c r="H42" i="2"/>
  <c r="I42" i="2"/>
  <c r="F41" i="2"/>
  <c r="F59" i="2"/>
  <c r="J81" i="16"/>
  <c r="J80" i="16"/>
  <c r="K80" i="16"/>
  <c r="J79" i="16"/>
  <c r="F159" i="16"/>
  <c r="F158" i="16"/>
  <c r="K158" i="16"/>
  <c r="J103" i="16"/>
  <c r="K103" i="16"/>
  <c r="E103" i="16"/>
  <c r="F101" i="16"/>
  <c r="G101" i="16"/>
  <c r="C101" i="16"/>
  <c r="F78" i="16"/>
  <c r="F77" i="16"/>
  <c r="J55" i="16"/>
  <c r="K55" i="16"/>
  <c r="J54" i="16"/>
  <c r="K54" i="16"/>
  <c r="J32" i="16"/>
  <c r="J31" i="16"/>
  <c r="K31" i="16"/>
  <c r="E31" i="16"/>
  <c r="J30" i="16"/>
  <c r="K30" i="16"/>
  <c r="F29" i="16"/>
  <c r="G29" i="16"/>
  <c r="C29" i="16"/>
  <c r="F7" i="17"/>
  <c r="F6" i="17"/>
  <c r="F5" i="17"/>
  <c r="F4" i="17"/>
  <c r="B2" i="9"/>
  <c r="F11" i="12"/>
  <c r="N6" i="10"/>
  <c r="C9" i="15"/>
  <c r="M6" i="10"/>
  <c r="D11" i="12"/>
  <c r="G11" i="12"/>
  <c r="L6" i="10"/>
  <c r="K6" i="10"/>
  <c r="F21" i="13"/>
  <c r="O6" i="10"/>
  <c r="C10" i="15"/>
  <c r="F9" i="16"/>
  <c r="G9" i="16"/>
  <c r="F11" i="15"/>
  <c r="G11" i="15"/>
  <c r="H9" i="16"/>
  <c r="I9" i="16"/>
  <c r="H11" i="15"/>
  <c r="I11" i="15"/>
  <c r="C30" i="16"/>
  <c r="C31" i="16"/>
  <c r="C32" i="16"/>
  <c r="K32" i="16"/>
  <c r="E32" i="16"/>
  <c r="I48" i="16"/>
  <c r="H5" i="16"/>
  <c r="I5" i="16"/>
  <c r="H6" i="15"/>
  <c r="K56" i="16"/>
  <c r="E56" i="16"/>
  <c r="G57" i="16"/>
  <c r="H70" i="16"/>
  <c r="I70" i="16"/>
  <c r="G72" i="16"/>
  <c r="F6" i="16"/>
  <c r="G6" i="16"/>
  <c r="C77" i="16"/>
  <c r="G77" i="16"/>
  <c r="C78" i="16"/>
  <c r="G78" i="16"/>
  <c r="E78" i="16"/>
  <c r="C79" i="16"/>
  <c r="K79" i="16"/>
  <c r="E79" i="16"/>
  <c r="C81" i="16"/>
  <c r="K81" i="16"/>
  <c r="E81" i="16"/>
  <c r="C85" i="16"/>
  <c r="M85" i="16"/>
  <c r="C82" i="16"/>
  <c r="C86" i="16"/>
  <c r="C87" i="16"/>
  <c r="C102" i="16"/>
  <c r="C103" i="16"/>
  <c r="C105" i="16"/>
  <c r="C106" i="16"/>
  <c r="C107" i="16"/>
  <c r="I120" i="16"/>
  <c r="H8" i="16"/>
  <c r="I8" i="16"/>
  <c r="H9" i="15"/>
  <c r="I125" i="16"/>
  <c r="I126" i="16"/>
  <c r="H127" i="16"/>
  <c r="I127" i="16"/>
  <c r="I129" i="16"/>
  <c r="I130" i="16"/>
  <c r="H132" i="16"/>
  <c r="G144" i="16"/>
  <c r="K144" i="16"/>
  <c r="H153" i="16"/>
  <c r="E159" i="16"/>
  <c r="K159" i="16"/>
  <c r="K157" i="16"/>
  <c r="E157" i="16"/>
  <c r="E158" i="16"/>
  <c r="C74" i="2"/>
  <c r="I75" i="2"/>
  <c r="E75" i="2"/>
  <c r="C53" i="2"/>
  <c r="I53" i="2"/>
  <c r="I54" i="2"/>
  <c r="H25" i="2"/>
  <c r="I25" i="2"/>
  <c r="I7" i="2"/>
  <c r="E53" i="2"/>
  <c r="C52" i="2"/>
  <c r="G52" i="2"/>
  <c r="E52" i="2"/>
  <c r="C51" i="2"/>
  <c r="G51" i="2"/>
  <c r="H6" i="10"/>
  <c r="I6" i="10"/>
  <c r="D15" i="12"/>
  <c r="C24" i="13"/>
  <c r="J6" i="10"/>
  <c r="D16" i="12"/>
  <c r="G16" i="12"/>
  <c r="G6" i="10"/>
  <c r="F7" i="12"/>
  <c r="F15" i="12"/>
  <c r="F16" i="12"/>
  <c r="I63" i="2"/>
  <c r="C65" i="2"/>
  <c r="C61" i="2"/>
  <c r="C60" i="2"/>
  <c r="G60" i="2"/>
  <c r="I45" i="2"/>
  <c r="F6" i="12"/>
  <c r="G6" i="12"/>
  <c r="I40" i="2"/>
  <c r="C41" i="2"/>
  <c r="I69" i="2"/>
  <c r="E69" i="2"/>
  <c r="H70" i="2"/>
  <c r="I70" i="2"/>
  <c r="G71" i="2"/>
  <c r="F28" i="2"/>
  <c r="G28" i="2"/>
  <c r="B25" i="13"/>
  <c r="B24" i="13"/>
  <c r="B22" i="13"/>
  <c r="B21" i="13"/>
  <c r="B20" i="2"/>
  <c r="E70" i="16"/>
  <c r="I72" i="16"/>
  <c r="I128" i="16"/>
  <c r="I134" i="16"/>
  <c r="I132" i="16"/>
  <c r="I131" i="16"/>
  <c r="I133" i="16"/>
  <c r="K102" i="16"/>
  <c r="E102" i="16"/>
  <c r="C47" i="2"/>
  <c r="F5" i="12"/>
  <c r="G5" i="12"/>
  <c r="C42" i="2"/>
  <c r="C46" i="2"/>
  <c r="F8" i="12"/>
  <c r="H6" i="16"/>
  <c r="I6" i="16"/>
  <c r="H7" i="15"/>
  <c r="F25" i="13"/>
  <c r="J87" i="16"/>
  <c r="K87" i="16"/>
  <c r="E87" i="16"/>
  <c r="E17" i="17"/>
  <c r="J85" i="16"/>
  <c r="J105" i="16"/>
  <c r="K105" i="16"/>
  <c r="E105" i="16"/>
  <c r="K85" i="16"/>
  <c r="E85" i="16"/>
  <c r="E15" i="17"/>
  <c r="J86" i="16"/>
  <c r="K86" i="16"/>
  <c r="E86" i="16"/>
  <c r="E16" i="17"/>
  <c r="J107" i="16"/>
  <c r="K107" i="16"/>
  <c r="E107" i="16"/>
  <c r="E55" i="16"/>
  <c r="G54" i="2"/>
  <c r="F25" i="2"/>
  <c r="G25" i="2"/>
  <c r="G88" i="16"/>
  <c r="G96" i="16"/>
  <c r="F7" i="16"/>
  <c r="G7" i="16"/>
  <c r="E77" i="16"/>
  <c r="G41" i="2"/>
  <c r="E41" i="2"/>
  <c r="F65" i="2"/>
  <c r="G65" i="2"/>
  <c r="E65" i="2"/>
  <c r="E60" i="2"/>
  <c r="D4" i="12"/>
  <c r="G4" i="12"/>
  <c r="D12" i="12"/>
  <c r="G12" i="12"/>
  <c r="F22" i="13"/>
  <c r="D5" i="12"/>
  <c r="C21" i="13"/>
  <c r="F24" i="13"/>
  <c r="C7" i="15"/>
  <c r="G7" i="15"/>
  <c r="I7" i="15"/>
  <c r="F23" i="13"/>
  <c r="C8" i="15"/>
  <c r="G10" i="15"/>
  <c r="I10" i="15"/>
  <c r="D10" i="12"/>
  <c r="G10" i="12"/>
  <c r="D13" i="12"/>
  <c r="G13" i="12"/>
  <c r="I71" i="2"/>
  <c r="I28" i="2"/>
  <c r="E70" i="2"/>
  <c r="E71" i="2"/>
  <c r="D6" i="12"/>
  <c r="D7" i="12"/>
  <c r="D8" i="12"/>
  <c r="G8" i="12"/>
  <c r="I144" i="16"/>
  <c r="E125" i="16"/>
  <c r="F7" i="15"/>
  <c r="D9" i="12"/>
  <c r="G9" i="12"/>
  <c r="C6" i="15"/>
  <c r="C64" i="2"/>
  <c r="C66" i="2"/>
  <c r="C22" i="13"/>
  <c r="E144" i="16"/>
  <c r="B122" i="16"/>
  <c r="H142" i="16"/>
  <c r="I142" i="16"/>
  <c r="E142" i="16"/>
  <c r="E28" i="2"/>
  <c r="F8" i="15"/>
  <c r="G8" i="15"/>
  <c r="H66" i="2"/>
  <c r="I61" i="2"/>
  <c r="E80" i="16"/>
  <c r="K88" i="16"/>
  <c r="K96" i="16"/>
  <c r="J7" i="16"/>
  <c r="K7" i="16"/>
  <c r="J8" i="15"/>
  <c r="K8" i="15"/>
  <c r="K57" i="16"/>
  <c r="E54" i="16"/>
  <c r="E57" i="16"/>
  <c r="J60" i="16"/>
  <c r="K60" i="16"/>
  <c r="F64" i="2"/>
  <c r="G64" i="2"/>
  <c r="G59" i="2"/>
  <c r="F73" i="2"/>
  <c r="G73" i="2"/>
  <c r="E82" i="16"/>
  <c r="H83" i="16"/>
  <c r="I83" i="16"/>
  <c r="E83" i="16"/>
  <c r="I88" i="16"/>
  <c r="I44" i="2"/>
  <c r="H23" i="2"/>
  <c r="I23" i="2"/>
  <c r="E42" i="2"/>
  <c r="E46" i="2"/>
  <c r="G49" i="2"/>
  <c r="F24" i="2"/>
  <c r="G24" i="2"/>
  <c r="I49" i="2"/>
  <c r="H24" i="2"/>
  <c r="I24" i="2"/>
  <c r="E47" i="2"/>
  <c r="E101" i="16"/>
  <c r="G120" i="16"/>
  <c r="E25" i="2"/>
  <c r="E44" i="2"/>
  <c r="G48" i="16"/>
  <c r="E29" i="16"/>
  <c r="J9" i="16"/>
  <c r="K9" i="16"/>
  <c r="E168" i="16"/>
  <c r="B146" i="16"/>
  <c r="K48" i="16"/>
  <c r="J5" i="16"/>
  <c r="K5" i="16"/>
  <c r="E30" i="16"/>
  <c r="C23" i="13"/>
  <c r="G7" i="12"/>
  <c r="G14" i="12"/>
  <c r="G20" i="12"/>
  <c r="H20" i="12"/>
  <c r="C28" i="13"/>
  <c r="I9" i="15"/>
  <c r="C25" i="13"/>
  <c r="G15" i="12"/>
  <c r="G18" i="12"/>
  <c r="K120" i="16"/>
  <c r="J8" i="16"/>
  <c r="K8" i="16"/>
  <c r="J9" i="15"/>
  <c r="K9" i="15"/>
  <c r="J106" i="16"/>
  <c r="K106" i="16"/>
  <c r="E106" i="16"/>
  <c r="G44" i="2"/>
  <c r="F23" i="2"/>
  <c r="G23" i="2"/>
  <c r="E120" i="16"/>
  <c r="B98" i="16"/>
  <c r="F8" i="16"/>
  <c r="G8" i="16"/>
  <c r="J10" i="15"/>
  <c r="K10" i="15"/>
  <c r="L10" i="15"/>
  <c r="E10" i="15"/>
  <c r="E9" i="16"/>
  <c r="G67" i="2"/>
  <c r="F27" i="2"/>
  <c r="G27" i="2"/>
  <c r="E64" i="2"/>
  <c r="E24" i="2"/>
  <c r="K72" i="16"/>
  <c r="E60" i="16"/>
  <c r="E59" i="2"/>
  <c r="E62" i="2"/>
  <c r="G62" i="2"/>
  <c r="F26" i="2"/>
  <c r="G26" i="2"/>
  <c r="F5" i="16"/>
  <c r="G5" i="16"/>
  <c r="E48" i="16"/>
  <c r="B26" i="16"/>
  <c r="E49" i="2"/>
  <c r="E73" i="2"/>
  <c r="G76" i="2"/>
  <c r="F29" i="2"/>
  <c r="G29" i="2"/>
  <c r="L9" i="15"/>
  <c r="I62" i="2"/>
  <c r="H26" i="2"/>
  <c r="I26" i="2"/>
  <c r="I8" i="2"/>
  <c r="E61" i="2"/>
  <c r="E23" i="2"/>
  <c r="G5" i="2"/>
  <c r="H74" i="2"/>
  <c r="I74" i="2"/>
  <c r="I66" i="2"/>
  <c r="J6" i="15"/>
  <c r="K6" i="15"/>
  <c r="H94" i="16"/>
  <c r="I94" i="16"/>
  <c r="E94" i="16"/>
  <c r="I96" i="16"/>
  <c r="E88" i="16"/>
  <c r="E26" i="2"/>
  <c r="J6" i="16"/>
  <c r="K6" i="16"/>
  <c r="E72" i="16"/>
  <c r="B50" i="16"/>
  <c r="H7" i="16"/>
  <c r="I7" i="16"/>
  <c r="E96" i="16"/>
  <c r="B74" i="16"/>
  <c r="I76" i="2"/>
  <c r="H29" i="2"/>
  <c r="I29" i="2"/>
  <c r="E74" i="2"/>
  <c r="E76" i="2"/>
  <c r="E67" i="2"/>
  <c r="G11" i="2"/>
  <c r="L6" i="15"/>
  <c r="F9" i="15"/>
  <c r="G9" i="15"/>
  <c r="E9" i="15"/>
  <c r="E8" i="16"/>
  <c r="I67" i="2"/>
  <c r="H27" i="2"/>
  <c r="I27" i="2"/>
  <c r="E66" i="2"/>
  <c r="E5" i="16"/>
  <c r="F6" i="15"/>
  <c r="G6" i="15"/>
  <c r="G24" i="16"/>
  <c r="E27" i="2"/>
  <c r="H8" i="15"/>
  <c r="I8" i="15"/>
  <c r="I24" i="16"/>
  <c r="E24" i="16"/>
  <c r="E7" i="16"/>
  <c r="E29" i="2"/>
  <c r="J7" i="15"/>
  <c r="K7" i="15"/>
  <c r="E6" i="16"/>
  <c r="K24" i="16"/>
  <c r="B2" i="16"/>
  <c r="G21" i="15"/>
  <c r="E6" i="15"/>
  <c r="L7" i="15"/>
  <c r="K21" i="15"/>
  <c r="D5" i="9"/>
  <c r="L8" i="15"/>
  <c r="E8" i="15"/>
  <c r="I21" i="15"/>
  <c r="E21" i="15"/>
  <c r="B2" i="15"/>
  <c r="E7" i="15"/>
  <c r="L21" i="15"/>
  <c r="E5" i="9"/>
  <c r="C5" i="9"/>
  <c r="I11" i="2"/>
  <c r="E11" i="2"/>
  <c r="I10" i="2"/>
  <c r="E7" i="2"/>
  <c r="G10" i="2"/>
  <c r="I9" i="2"/>
  <c r="G9" i="2"/>
  <c r="G8" i="2"/>
  <c r="E8" i="2"/>
  <c r="G6" i="2"/>
  <c r="E6" i="2"/>
  <c r="E5" i="2"/>
  <c r="I18" i="2"/>
  <c r="E4" i="9"/>
  <c r="E11" i="9"/>
  <c r="E10" i="2"/>
  <c r="E9" i="2"/>
  <c r="E18" i="2"/>
  <c r="B2" i="2"/>
  <c r="G18" i="2"/>
  <c r="D4" i="9"/>
  <c r="D11" i="9"/>
  <c r="C12" i="9"/>
  <c r="C13" i="9"/>
  <c r="C11" i="9"/>
  <c r="C14" i="9"/>
  <c r="C4" i="9"/>
  <c r="C15" i="9"/>
  <c r="C18" i="9"/>
  <c r="N1" i="10"/>
  <c r="B27" i="13"/>
</calcChain>
</file>

<file path=xl/sharedStrings.xml><?xml version="1.0" encoding="utf-8"?>
<sst xmlns="http://schemas.openxmlformats.org/spreadsheetml/2006/main" count="802" uniqueCount="486">
  <si>
    <t>지구</t>
  </si>
  <si>
    <t>일금 :</t>
  </si>
  <si>
    <t>원</t>
  </si>
  <si>
    <t>공  종  별</t>
  </si>
  <si>
    <t>단위</t>
  </si>
  <si>
    <t>재료또는치수</t>
  </si>
  <si>
    <t>원수</t>
  </si>
  <si>
    <t>총    액</t>
  </si>
  <si>
    <t>비 고</t>
  </si>
  <si>
    <t>단  가</t>
  </si>
  <si>
    <t>금    액</t>
  </si>
  <si>
    <t>회</t>
  </si>
  <si>
    <t>합      계</t>
  </si>
  <si>
    <t>인</t>
  </si>
  <si>
    <t>개</t>
  </si>
  <si>
    <t>농업용수기준</t>
  </si>
  <si>
    <t>4L</t>
  </si>
  <si>
    <r>
      <t>&lt;제 2호표&gt;</t>
    </r>
    <r>
      <rPr>
        <sz val="10"/>
        <rFont val="굴림체"/>
        <family val="3"/>
        <charset val="129"/>
      </rPr>
      <t/>
    </r>
  </si>
  <si>
    <t>소   계</t>
  </si>
  <si>
    <t>%</t>
    <phoneticPr fontId="6" type="noConversion"/>
  </si>
  <si>
    <t>회</t>
    <phoneticPr fontId="6" type="noConversion"/>
  </si>
  <si>
    <t>원</t>
    <phoneticPr fontId="6" type="noConversion"/>
  </si>
  <si>
    <t xml:space="preserve"> - 공사 지하수개발 부분 일률에서 중급기술자, 중급기능사, 보통인부 적용</t>
    <phoneticPr fontId="6" type="noConversion"/>
  </si>
  <si>
    <t xml:space="preserve"> - 양수시간은 지하수법정 시간인 16시간 적용</t>
    <phoneticPr fontId="6" type="noConversion"/>
  </si>
  <si>
    <t xml:space="preserve"> - 양수시간은 지하수법정 시간인 2시간 적용</t>
    <phoneticPr fontId="6" type="noConversion"/>
  </si>
  <si>
    <t xml:space="preserve"> - 수질검사비는 농업용수 기준 법정 수수료 적용</t>
    <phoneticPr fontId="6" type="noConversion"/>
  </si>
  <si>
    <t>&lt;제1호표&gt;</t>
    <phoneticPr fontId="6" type="noConversion"/>
  </si>
  <si>
    <t>&lt;제2호표&gt;</t>
    <phoneticPr fontId="6" type="noConversion"/>
  </si>
  <si>
    <t>&lt;제3호표&gt;</t>
    <phoneticPr fontId="6" type="noConversion"/>
  </si>
  <si>
    <t>&lt;제4호표&gt;</t>
    <phoneticPr fontId="6" type="noConversion"/>
  </si>
  <si>
    <t>&lt;제5호표&gt;</t>
    <phoneticPr fontId="6" type="noConversion"/>
  </si>
  <si>
    <t>&lt;제6호표&gt;</t>
    <phoneticPr fontId="6" type="noConversion"/>
  </si>
  <si>
    <t xml:space="preserve">    지침서 3-49페이지 산출근거1.기존자료 수집 및 현장답사에서 현장답사 부분만 적용</t>
    <phoneticPr fontId="6" type="noConversion"/>
  </si>
  <si>
    <t xml:space="preserve">    3.6.3. 개발ㆍ이용유효기간의 연장허가를 신청하는 경우 1.기존자료 수집 및 현지답사에서</t>
    <phoneticPr fontId="6" type="noConversion"/>
  </si>
  <si>
    <t xml:space="preserve">    기초조사 지표지질조사 부분 300ha기준 적용</t>
    <phoneticPr fontId="6" type="noConversion"/>
  </si>
  <si>
    <t xml:space="preserve">    정천현황조사 및 잠재오염원조사 면적을 300ha를 기준으로 할때 각각 2일씩 이므로</t>
    <phoneticPr fontId="6" type="noConversion"/>
  </si>
  <si>
    <t xml:space="preserve"> - 공사 지하수개발 부분 일률에서 중급기술자, 중급기능사, 보통인부만 적용</t>
    <phoneticPr fontId="6" type="noConversion"/>
  </si>
  <si>
    <t xml:space="preserve">    조사반경이 500m 일때 조사면적은 78.5ha이므로 300:2=78.5:X, X=0.5233x2(정천1+오염원1)=1.0466..이므로 1.04적용 </t>
    <phoneticPr fontId="6" type="noConversion"/>
  </si>
  <si>
    <t xml:space="preserve"> - 산출근거2.적정취수량 분석 및 오염영향 평가에서 중급기술자의 60%만 적용</t>
    <phoneticPr fontId="6" type="noConversion"/>
  </si>
  <si>
    <t>용역비 산출방식</t>
    <phoneticPr fontId="6" type="noConversion"/>
  </si>
  <si>
    <t>엔지니어링사업대가의 기준 중</t>
    <phoneticPr fontId="6" type="noConversion"/>
  </si>
  <si>
    <t>실비정액가산방식 적용</t>
    <phoneticPr fontId="6" type="noConversion"/>
  </si>
  <si>
    <t>&lt;제 5호표&gt;</t>
  </si>
  <si>
    <t>&lt;제 7호표&gt;</t>
  </si>
  <si>
    <r>
      <t>&lt;제 4호표&gt;</t>
    </r>
    <r>
      <rPr>
        <sz val="10"/>
        <rFont val="굴림체"/>
        <family val="3"/>
        <charset val="129"/>
      </rPr>
      <t/>
    </r>
  </si>
  <si>
    <r>
      <t>&lt;제 6호표&gt;</t>
    </r>
    <r>
      <rPr>
        <sz val="10"/>
        <rFont val="굴림체"/>
        <family val="3"/>
        <charset val="129"/>
      </rPr>
      <t/>
    </r>
  </si>
  <si>
    <t>중급기술자</t>
    <phoneticPr fontId="6" type="noConversion"/>
  </si>
  <si>
    <t>특별인부</t>
    <phoneticPr fontId="6" type="noConversion"/>
  </si>
  <si>
    <t>보통인부</t>
    <phoneticPr fontId="6" type="noConversion"/>
  </si>
  <si>
    <t>지하수법 제7조의3 및 동법 시행령 제12조의3규정에 의거『지하수개발·이용허가유효기간연장허가신청』을 위한 지하수영향조사</t>
    <phoneticPr fontId="14" type="noConversion"/>
  </si>
  <si>
    <t xml:space="preserve"> - 지하수법 제7조의3 및 동법 시행령 제12조의3규정에 의거『지하수개발·이용허가유효기간연장허가신청』을 위한 지하수영향조사</t>
    <phoneticPr fontId="14" type="noConversion"/>
  </si>
  <si>
    <t xml:space="preserve"> - 건설교통부 지하수 업무수행 지침 3-51페이지</t>
    <phoneticPr fontId="6" type="noConversion"/>
  </si>
  <si>
    <t xml:space="preserve"> - 한국농어촌공사 지하수영향조사 실무지침 33페이지</t>
    <phoneticPr fontId="6" type="noConversion"/>
  </si>
  <si>
    <t xml:space="preserve"> - 국토교통부 지하수 업무수행 지침 3-49페이지</t>
    <phoneticPr fontId="6" type="noConversion"/>
  </si>
  <si>
    <t xml:space="preserve">       한국농어촌공사 충남지역본부</t>
    <phoneticPr fontId="6" type="noConversion"/>
  </si>
  <si>
    <t>합   계</t>
  </si>
  <si>
    <t>m</t>
    <phoneticPr fontId="6" type="noConversion"/>
  </si>
  <si>
    <t>금  액</t>
  </si>
  <si>
    <t>금   액</t>
  </si>
  <si>
    <t>소  계</t>
    <phoneticPr fontId="6" type="noConversion"/>
  </si>
  <si>
    <t>경      비</t>
    <phoneticPr fontId="14" type="noConversion"/>
  </si>
  <si>
    <t>재   료   비</t>
    <phoneticPr fontId="14" type="noConversion"/>
  </si>
  <si>
    <t>직접인건비</t>
    <phoneticPr fontId="14" type="noConversion"/>
  </si>
  <si>
    <t>총   액</t>
  </si>
  <si>
    <t>원수</t>
    <phoneticPr fontId="6" type="noConversion"/>
  </si>
  <si>
    <t>규격</t>
    <phoneticPr fontId="6" type="noConversion"/>
  </si>
  <si>
    <t>공종별</t>
    <phoneticPr fontId="6" type="noConversion"/>
  </si>
  <si>
    <t>일  금 :</t>
    <phoneticPr fontId="14" type="noConversion"/>
  </si>
  <si>
    <t>시간</t>
  </si>
  <si>
    <t>대기시간</t>
  </si>
  <si>
    <t>대</t>
  </si>
  <si>
    <t>비고</t>
  </si>
  <si>
    <t>구   분</t>
  </si>
  <si>
    <t>( 회 당 )</t>
  </si>
  <si>
    <t>잡재료</t>
  </si>
  <si>
    <t>일</t>
  </si>
  <si>
    <t>관리비</t>
  </si>
  <si>
    <t>정비비</t>
  </si>
  <si>
    <t>상각비</t>
  </si>
  <si>
    <t>소  계</t>
  </si>
  <si>
    <t>잡  유</t>
  </si>
  <si>
    <t xml:space="preserve"> ℓ </t>
  </si>
  <si>
    <t>경  유</t>
  </si>
  <si>
    <t>보  인</t>
  </si>
  <si>
    <t>특  인</t>
  </si>
  <si>
    <t>보링공</t>
  </si>
  <si>
    <t>( M 당 )</t>
  </si>
  <si>
    <t xml:space="preserve"> 에어써징</t>
    <phoneticPr fontId="6" type="noConversion"/>
  </si>
  <si>
    <t xml:space="preserve"> 기계기구설치</t>
    <phoneticPr fontId="6" type="noConversion"/>
  </si>
  <si>
    <t>영 향 조 사</t>
    <phoneticPr fontId="6" type="noConversion"/>
  </si>
  <si>
    <t>사 후 관 리</t>
    <phoneticPr fontId="6" type="noConversion"/>
  </si>
  <si>
    <t>1. 용 역 개 요</t>
    <phoneticPr fontId="6" type="noConversion"/>
  </si>
  <si>
    <t xml:space="preserve"> </t>
    <phoneticPr fontId="14" type="noConversion"/>
  </si>
  <si>
    <t xml:space="preserve"> 대수성 시험</t>
    <phoneticPr fontId="6" type="noConversion"/>
  </si>
  <si>
    <t xml:space="preserve"> 펌프설치 인양</t>
    <phoneticPr fontId="6" type="noConversion"/>
  </si>
  <si>
    <t xml:space="preserve"> 기계기구 설치</t>
    <phoneticPr fontId="6" type="noConversion"/>
  </si>
  <si>
    <t xml:space="preserve"> 검사 및 정비</t>
    <phoneticPr fontId="6" type="noConversion"/>
  </si>
  <si>
    <t xml:space="preserve"> 장비 운반</t>
    <phoneticPr fontId="6" type="noConversion"/>
  </si>
  <si>
    <t>지하수법 제9조의5 및 동법 시행령 제14조의4, 시행규칙 제9조의5 및 제9조의7 규정에 의거한 사후관리</t>
    <phoneticPr fontId="14" type="noConversion"/>
  </si>
  <si>
    <t>기 종 : 450Hp이하</t>
    <phoneticPr fontId="14" type="noConversion"/>
  </si>
  <si>
    <t>표준품셈(p560)</t>
    <phoneticPr fontId="6" type="noConversion"/>
  </si>
  <si>
    <t>에어써징 : 고성능착정기 450hp이하</t>
    <phoneticPr fontId="6" type="noConversion"/>
  </si>
  <si>
    <t>경유소모량</t>
    <phoneticPr fontId="6" type="noConversion"/>
  </si>
  <si>
    <t>콤프 XRVS-466시리즈, 383마력 적용</t>
    <phoneticPr fontId="6" type="noConversion"/>
  </si>
  <si>
    <t>소모량산정=마력x0.24*5/6*0.75</t>
    <phoneticPr fontId="6" type="noConversion"/>
  </si>
  <si>
    <t>시간당 57로 1일456적용</t>
    <phoneticPr fontId="6" type="noConversion"/>
  </si>
  <si>
    <t>공압기(이동식)</t>
    <phoneticPr fontId="6" type="noConversion"/>
  </si>
  <si>
    <t>표준품셈(p363)</t>
    <phoneticPr fontId="6" type="noConversion"/>
  </si>
  <si>
    <t>기준없어 1일 2공기준으로 작성</t>
    <phoneticPr fontId="6" type="noConversion"/>
  </si>
  <si>
    <t>보  인</t>
    <phoneticPr fontId="6" type="noConversion"/>
  </si>
  <si>
    <t>압상관,전선,수중모터펌프 세척으로 세척시간 2시간 적용함.</t>
    <phoneticPr fontId="6" type="noConversion"/>
  </si>
  <si>
    <t>회/일</t>
    <phoneticPr fontId="14" type="noConversion"/>
  </si>
  <si>
    <t>제1호표</t>
    <phoneticPr fontId="6" type="noConversion"/>
  </si>
  <si>
    <t xml:space="preserve"> 수중펌프설치인양</t>
    <phoneticPr fontId="6" type="noConversion"/>
  </si>
  <si>
    <t>제2호표</t>
    <phoneticPr fontId="6" type="noConversion"/>
  </si>
  <si>
    <t>제3호표</t>
    <phoneticPr fontId="6" type="noConversion"/>
  </si>
  <si>
    <t xml:space="preserve"> 검사및정비</t>
    <phoneticPr fontId="6" type="noConversion"/>
  </si>
  <si>
    <t>제4호표</t>
    <phoneticPr fontId="6" type="noConversion"/>
  </si>
  <si>
    <t>제5호표</t>
    <phoneticPr fontId="6" type="noConversion"/>
  </si>
  <si>
    <t xml:space="preserve"> 운반비</t>
    <phoneticPr fontId="6" type="noConversion"/>
  </si>
  <si>
    <t>기 계 기 구 설 치</t>
    <phoneticPr fontId="14" type="noConversion"/>
  </si>
  <si>
    <t>보링공</t>
    <phoneticPr fontId="6" type="noConversion"/>
  </si>
  <si>
    <t>수 중 펌 프 설 치 인 양</t>
    <phoneticPr fontId="14" type="noConversion"/>
  </si>
  <si>
    <t>수중펌프설치</t>
    <phoneticPr fontId="6" type="noConversion"/>
  </si>
  <si>
    <t>적산정보(p796)</t>
    <phoneticPr fontId="6" type="noConversion"/>
  </si>
  <si>
    <t>5.기계설비 철거 및 이설공사의 Pump 및 Fan 류</t>
    <phoneticPr fontId="6" type="noConversion"/>
  </si>
  <si>
    <t>6.펌프설치 [1]펌프설치의 4)우물속의 수중펌프</t>
    <phoneticPr fontId="6" type="noConversion"/>
  </si>
  <si>
    <t>트럭탑제형크레인(5ton)</t>
    <phoneticPr fontId="6" type="noConversion"/>
  </si>
  <si>
    <t>시간</t>
    <phoneticPr fontId="6" type="noConversion"/>
  </si>
  <si>
    <t>수중펌프인양설치(동일구내)</t>
    <phoneticPr fontId="6" type="noConversion"/>
  </si>
  <si>
    <t>설치의140%</t>
    <phoneticPr fontId="6" type="noConversion"/>
  </si>
  <si>
    <t>조사비적산기준(p143)</t>
    <phoneticPr fontId="6" type="noConversion"/>
  </si>
  <si>
    <t xml:space="preserve"> 표준단가표(p.427) 건설기계사용료</t>
    <phoneticPr fontId="6" type="noConversion"/>
  </si>
  <si>
    <t>순번</t>
    <phoneticPr fontId="6" type="noConversion"/>
  </si>
  <si>
    <t>지구명</t>
    <phoneticPr fontId="6" type="noConversion"/>
  </si>
  <si>
    <t>위치</t>
    <phoneticPr fontId="6" type="noConversion"/>
  </si>
  <si>
    <t>조  사  량</t>
    <phoneticPr fontId="6" type="noConversion"/>
  </si>
  <si>
    <t>영향조사</t>
    <phoneticPr fontId="6" type="noConversion"/>
  </si>
  <si>
    <t>사후관리</t>
    <phoneticPr fontId="6" type="noConversion"/>
  </si>
  <si>
    <t>시군</t>
    <phoneticPr fontId="6" type="noConversion"/>
  </si>
  <si>
    <t>읍면</t>
    <phoneticPr fontId="6" type="noConversion"/>
  </si>
  <si>
    <t>동리</t>
    <phoneticPr fontId="6" type="noConversion"/>
  </si>
  <si>
    <t>지번</t>
    <phoneticPr fontId="6" type="noConversion"/>
  </si>
  <si>
    <t>현장
조사</t>
    <phoneticPr fontId="6" type="noConversion"/>
  </si>
  <si>
    <t>대수성
시  험</t>
    <phoneticPr fontId="6" type="noConversion"/>
  </si>
  <si>
    <t>수질
검사</t>
    <phoneticPr fontId="6" type="noConversion"/>
  </si>
  <si>
    <t>보고서
작  성</t>
    <phoneticPr fontId="6" type="noConversion"/>
  </si>
  <si>
    <t>펌프설치
인    양</t>
    <phoneticPr fontId="6" type="noConversion"/>
  </si>
  <si>
    <t>기계기구설    치</t>
    <phoneticPr fontId="6" type="noConversion"/>
  </si>
  <si>
    <t>에어
써징</t>
    <phoneticPr fontId="6" type="noConversion"/>
  </si>
  <si>
    <t>검사및
정  비</t>
    <phoneticPr fontId="6" type="noConversion"/>
  </si>
  <si>
    <t>장비
운반</t>
    <phoneticPr fontId="6" type="noConversion"/>
  </si>
  <si>
    <t>(지구)</t>
    <phoneticPr fontId="6" type="noConversion"/>
  </si>
  <si>
    <t>(회)</t>
    <phoneticPr fontId="6" type="noConversion"/>
  </si>
  <si>
    <t>(m)</t>
    <phoneticPr fontId="6" type="noConversion"/>
  </si>
  <si>
    <t>계</t>
    <phoneticPr fontId="6" type="noConversion"/>
  </si>
  <si>
    <t>2. 위치 및 조사량</t>
    <phoneticPr fontId="6" type="noConversion"/>
  </si>
  <si>
    <t>회</t>
    <phoneticPr fontId="6" type="noConversion"/>
  </si>
  <si>
    <t>m</t>
    <phoneticPr fontId="6" type="noConversion"/>
  </si>
  <si>
    <t>3. 소요일수 산출</t>
    <phoneticPr fontId="6" type="noConversion"/>
  </si>
  <si>
    <t>구분</t>
    <phoneticPr fontId="6" type="noConversion"/>
  </si>
  <si>
    <t>공정별</t>
    <phoneticPr fontId="6" type="noConversion"/>
  </si>
  <si>
    <t>사업량</t>
    <phoneticPr fontId="6" type="noConversion"/>
  </si>
  <si>
    <t>조사 소요일수</t>
    <phoneticPr fontId="6" type="noConversion"/>
  </si>
  <si>
    <t>비고</t>
    <phoneticPr fontId="6" type="noConversion"/>
  </si>
  <si>
    <t>지구당</t>
    <phoneticPr fontId="6" type="noConversion"/>
  </si>
  <si>
    <t>소요일수</t>
    <phoneticPr fontId="6" type="noConversion"/>
  </si>
  <si>
    <t>조사 준비</t>
    <phoneticPr fontId="6" type="noConversion"/>
  </si>
  <si>
    <t xml:space="preserve"> </t>
    <phoneticPr fontId="6" type="noConversion"/>
  </si>
  <si>
    <t>현장 조사</t>
    <phoneticPr fontId="6" type="noConversion"/>
  </si>
  <si>
    <t xml:space="preserve"> 자료수집 및 현장답사</t>
    <phoneticPr fontId="6" type="noConversion"/>
  </si>
  <si>
    <t>지구</t>
    <phoneticPr fontId="6" type="noConversion"/>
  </si>
  <si>
    <t xml:space="preserve"> 정천현황 및 오염원조사</t>
    <phoneticPr fontId="6" type="noConversion"/>
  </si>
  <si>
    <t xml:space="preserve"> 연속 대수성시험</t>
    <phoneticPr fontId="6" type="noConversion"/>
  </si>
  <si>
    <t>회</t>
    <phoneticPr fontId="6" type="noConversion"/>
  </si>
  <si>
    <t xml:space="preserve"> 수위회복시험</t>
    <phoneticPr fontId="6" type="noConversion"/>
  </si>
  <si>
    <t xml:space="preserve"> 기계기구설치</t>
    <phoneticPr fontId="6" type="noConversion"/>
  </si>
  <si>
    <t xml:space="preserve"> 수중펌프 설치인양</t>
    <phoneticPr fontId="6" type="noConversion"/>
  </si>
  <si>
    <t xml:space="preserve"> 에어써징</t>
    <phoneticPr fontId="6" type="noConversion"/>
  </si>
  <si>
    <t>m</t>
    <phoneticPr fontId="6" type="noConversion"/>
  </si>
  <si>
    <t xml:space="preserve"> 검사 및 정비</t>
    <phoneticPr fontId="6" type="noConversion"/>
  </si>
  <si>
    <t xml:space="preserve"> 장비운반</t>
    <phoneticPr fontId="6" type="noConversion"/>
  </si>
  <si>
    <t>소     계</t>
    <phoneticPr fontId="6" type="noConversion"/>
  </si>
  <si>
    <t>보고서작성</t>
    <phoneticPr fontId="6" type="noConversion"/>
  </si>
  <si>
    <t xml:space="preserve"> 수질검사</t>
    <phoneticPr fontId="6" type="noConversion"/>
  </si>
  <si>
    <t xml:space="preserve"> 자료분석 및 보고서작성</t>
    <phoneticPr fontId="6" type="noConversion"/>
  </si>
  <si>
    <t>준공 처리</t>
    <phoneticPr fontId="6" type="noConversion"/>
  </si>
  <si>
    <t>합     계</t>
    <phoneticPr fontId="6" type="noConversion"/>
  </si>
  <si>
    <t>직접경비</t>
    <phoneticPr fontId="6" type="noConversion"/>
  </si>
  <si>
    <t xml:space="preserve">구    분 </t>
    <phoneticPr fontId="6" type="noConversion"/>
  </si>
  <si>
    <t>총   액</t>
    <phoneticPr fontId="6" type="noConversion"/>
  </si>
  <si>
    <t>직접인건비</t>
    <phoneticPr fontId="6" type="noConversion"/>
  </si>
  <si>
    <t>직접경비</t>
    <phoneticPr fontId="6" type="noConversion"/>
  </si>
  <si>
    <t>적   요</t>
    <phoneticPr fontId="6" type="noConversion"/>
  </si>
  <si>
    <t xml:space="preserve">  1. 영향조사</t>
    <phoneticPr fontId="6" type="noConversion"/>
  </si>
  <si>
    <t xml:space="preserve">  2. 사후관리</t>
    <phoneticPr fontId="6" type="noConversion"/>
  </si>
  <si>
    <t xml:space="preserve">  3. 제경비(직접인건비의 110~120%)</t>
    <phoneticPr fontId="6" type="noConversion"/>
  </si>
  <si>
    <t xml:space="preserve"> 직접인건비 *</t>
    <phoneticPr fontId="6" type="noConversion"/>
  </si>
  <si>
    <t xml:space="preserve">  4. 기술료((직접인건비+제경비)의 20~40%)</t>
    <phoneticPr fontId="6" type="noConversion"/>
  </si>
  <si>
    <t xml:space="preserve"> (직접인건비+제경비) *</t>
    <phoneticPr fontId="6" type="noConversion"/>
  </si>
  <si>
    <t xml:space="preserve">  5. 부가가치세</t>
    <phoneticPr fontId="6" type="noConversion"/>
  </si>
  <si>
    <t xml:space="preserve"> 계     *</t>
    <phoneticPr fontId="6" type="noConversion"/>
  </si>
  <si>
    <t>합    계</t>
    <phoneticPr fontId="6" type="noConversion"/>
  </si>
  <si>
    <t>자료수집 및 현장답사</t>
    <phoneticPr fontId="6" type="noConversion"/>
  </si>
  <si>
    <t>&lt;제 1호표&gt;</t>
    <phoneticPr fontId="6" type="noConversion"/>
  </si>
  <si>
    <t>정천현황 및 오염원조사</t>
    <phoneticPr fontId="6" type="noConversion"/>
  </si>
  <si>
    <t>지구</t>
    <phoneticPr fontId="6" type="noConversion"/>
  </si>
  <si>
    <t>단계 대수성시험</t>
    <phoneticPr fontId="6" type="noConversion"/>
  </si>
  <si>
    <t>공</t>
    <phoneticPr fontId="6" type="noConversion"/>
  </si>
  <si>
    <t>&lt;제 3호표&gt;</t>
    <phoneticPr fontId="6" type="noConversion"/>
  </si>
  <si>
    <t>연속 대수성시험</t>
    <phoneticPr fontId="6" type="noConversion"/>
  </si>
  <si>
    <t>수위회복시험</t>
    <phoneticPr fontId="6" type="noConversion"/>
  </si>
  <si>
    <t>수질검사비</t>
    <phoneticPr fontId="6" type="noConversion"/>
  </si>
  <si>
    <t>회</t>
    <phoneticPr fontId="6" type="noConversion"/>
  </si>
  <si>
    <t>자료분석 및 보고서작성</t>
    <phoneticPr fontId="6" type="noConversion"/>
  </si>
  <si>
    <t xml:space="preserve"> 단           가           표 </t>
    <phoneticPr fontId="6" type="noConversion"/>
  </si>
  <si>
    <t>원수</t>
    <phoneticPr fontId="6" type="noConversion"/>
  </si>
  <si>
    <t xml:space="preserve">          직 접 인 건 비</t>
    <phoneticPr fontId="6" type="noConversion"/>
  </si>
  <si>
    <t xml:space="preserve">          직  접  경  비</t>
    <phoneticPr fontId="6" type="noConversion"/>
  </si>
  <si>
    <t>자료수집 및 현장답사 (1지구)</t>
    <phoneticPr fontId="6" type="noConversion"/>
  </si>
  <si>
    <t>일/지구</t>
    <phoneticPr fontId="6" type="noConversion"/>
  </si>
  <si>
    <t>중급 기술자</t>
    <phoneticPr fontId="6" type="noConversion"/>
  </si>
  <si>
    <t>1지구78.5ha</t>
    <phoneticPr fontId="6" type="noConversion"/>
  </si>
  <si>
    <t>보 통 인 부</t>
    <phoneticPr fontId="6" type="noConversion"/>
  </si>
  <si>
    <t>2.4인/㎢</t>
    <phoneticPr fontId="6" type="noConversion"/>
  </si>
  <si>
    <t>&lt;건설교통부&gt;</t>
    <phoneticPr fontId="6" type="noConversion"/>
  </si>
  <si>
    <t>&lt;제 2호표&gt;</t>
    <phoneticPr fontId="6" type="noConversion"/>
  </si>
  <si>
    <t>정천현황 및 오염원조사 (1지구)</t>
    <phoneticPr fontId="6" type="noConversion"/>
  </si>
  <si>
    <t>150ha/일</t>
    <phoneticPr fontId="6" type="noConversion"/>
  </si>
  <si>
    <t>&lt;한국농촌공사&gt;</t>
    <phoneticPr fontId="6" type="noConversion"/>
  </si>
  <si>
    <t>단계 대수성시험 (1회)</t>
    <phoneticPr fontId="6" type="noConversion"/>
  </si>
  <si>
    <t>일/회</t>
    <phoneticPr fontId="6" type="noConversion"/>
  </si>
  <si>
    <t>3시간/회</t>
    <phoneticPr fontId="6" type="noConversion"/>
  </si>
  <si>
    <t>원수적용 16시간</t>
    <phoneticPr fontId="6" type="noConversion"/>
  </si>
  <si>
    <t>16시간/8시간=2일</t>
    <phoneticPr fontId="6" type="noConversion"/>
  </si>
  <si>
    <t>&lt;제 4호표&gt;</t>
    <phoneticPr fontId="6" type="noConversion"/>
  </si>
  <si>
    <t>연속 대수성시험 (1회)</t>
    <phoneticPr fontId="6" type="noConversion"/>
  </si>
  <si>
    <t>16시간/회</t>
    <phoneticPr fontId="6" type="noConversion"/>
  </si>
  <si>
    <t>&lt;제 5호표&gt;</t>
    <phoneticPr fontId="6" type="noConversion"/>
  </si>
  <si>
    <t>수위회복시험 (1회)</t>
    <phoneticPr fontId="6" type="noConversion"/>
  </si>
  <si>
    <t>2시간/회</t>
    <phoneticPr fontId="6" type="noConversion"/>
  </si>
  <si>
    <t>&lt;제 6호표&gt;</t>
    <phoneticPr fontId="6" type="noConversion"/>
  </si>
  <si>
    <t>수질검사비 (농업용수, 1회당)</t>
    <phoneticPr fontId="6" type="noConversion"/>
  </si>
  <si>
    <t>수질 검사비</t>
    <phoneticPr fontId="6" type="noConversion"/>
  </si>
  <si>
    <t>시료 채취병</t>
    <phoneticPr fontId="6" type="noConversion"/>
  </si>
  <si>
    <t>&lt;제 7호표&gt;</t>
    <phoneticPr fontId="6" type="noConversion"/>
  </si>
  <si>
    <t>인</t>
    <phoneticPr fontId="6" type="noConversion"/>
  </si>
  <si>
    <t>보고서 유인</t>
    <phoneticPr fontId="6" type="noConversion"/>
  </si>
  <si>
    <t>식</t>
    <phoneticPr fontId="6" type="noConversion"/>
  </si>
  <si>
    <t>&lt;한국수자원공사&gt;</t>
    <phoneticPr fontId="6" type="noConversion"/>
  </si>
  <si>
    <t xml:space="preserve"> 지하수영향조사 일위대가표 </t>
    <phoneticPr fontId="6" type="noConversion"/>
  </si>
  <si>
    <t>원수</t>
    <phoneticPr fontId="6" type="noConversion"/>
  </si>
  <si>
    <t xml:space="preserve">          직 접 인 건 비</t>
    <phoneticPr fontId="6" type="noConversion"/>
  </si>
  <si>
    <t xml:space="preserve">          직  접  경  비</t>
    <phoneticPr fontId="6" type="noConversion"/>
  </si>
  <si>
    <t>자료분석 및 보고서작성</t>
    <phoneticPr fontId="6" type="noConversion"/>
  </si>
  <si>
    <t>일  금 :</t>
    <phoneticPr fontId="14" type="noConversion"/>
  </si>
  <si>
    <t>공종별</t>
    <phoneticPr fontId="6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</si>
  <si>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</si>
  <si>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</si>
  <si>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</si>
  <si>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</si>
  <si>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</si>
  <si>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소  계</t>
    <phoneticPr fontId="6" type="noConversion"/>
  </si>
  <si>
    <t>금  액</t>
    <phoneticPr fontId="6" type="noConversion"/>
  </si>
  <si>
    <t>1. 기계기구설치</t>
    <phoneticPr fontId="6" type="noConversion"/>
  </si>
  <si>
    <t>2. 수중펌프설치인양</t>
    <phoneticPr fontId="6" type="noConversion"/>
  </si>
  <si>
    <t>3. 에어써징</t>
    <phoneticPr fontId="6" type="noConversion"/>
  </si>
  <si>
    <t>4. 검사및정비</t>
    <phoneticPr fontId="6" type="noConversion"/>
  </si>
  <si>
    <t>5. 장비운반</t>
    <phoneticPr fontId="6" type="noConversion"/>
  </si>
  <si>
    <t>식</t>
    <phoneticPr fontId="6" type="noConversion"/>
  </si>
  <si>
    <t>&lt;제3호표&gt;</t>
    <phoneticPr fontId="6" type="noConversion"/>
  </si>
  <si>
    <t>에 어 써 징</t>
    <phoneticPr fontId="14" type="noConversion"/>
  </si>
  <si>
    <t>일  금 :</t>
    <phoneticPr fontId="14" type="noConversion"/>
  </si>
  <si>
    <t>m/일</t>
    <phoneticPr fontId="14" type="noConversion"/>
  </si>
  <si>
    <t>기 종 : 450Hp이하</t>
    <phoneticPr fontId="14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</si>
  <si>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</si>
  <si>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</si>
  <si>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</si>
  <si>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</si>
  <si>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</si>
  <si>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중급기술자</t>
    <phoneticPr fontId="6" type="noConversion"/>
  </si>
  <si>
    <t>공압기손료</t>
    <phoneticPr fontId="6" type="noConversion"/>
  </si>
  <si>
    <t>일</t>
    <phoneticPr fontId="6" type="noConversion"/>
  </si>
  <si>
    <t>&lt;제4호표&gt;</t>
    <phoneticPr fontId="6" type="noConversion"/>
  </si>
  <si>
    <t>검 사 및 정 비</t>
    <phoneticPr fontId="14" type="noConversion"/>
  </si>
  <si>
    <t>(공  당 )</t>
    <phoneticPr fontId="6" type="noConversion"/>
  </si>
  <si>
    <t>공/일</t>
    <phoneticPr fontId="14" type="noConversion"/>
  </si>
  <si>
    <t>보  인</t>
    <phoneticPr fontId="6" type="noConversion"/>
  </si>
  <si>
    <t>고압세척기</t>
    <phoneticPr fontId="6" type="noConversion"/>
  </si>
  <si>
    <t>세척시간</t>
    <phoneticPr fontId="6" type="noConversion"/>
  </si>
  <si>
    <t>&lt;제5호표&gt;</t>
    <phoneticPr fontId="6" type="noConversion"/>
  </si>
  <si>
    <t>관정 유지보수</t>
    <phoneticPr fontId="14" type="noConversion"/>
  </si>
  <si>
    <t>일  금 :</t>
    <phoneticPr fontId="14" type="noConversion"/>
  </si>
  <si>
    <t>( M 당 )</t>
    <phoneticPr fontId="6" type="noConversion"/>
  </si>
  <si>
    <t>규격</t>
    <phoneticPr fontId="6" type="noConversion"/>
  </si>
  <si>
    <t>원수</t>
    <phoneticPr fontId="6" type="noConversion"/>
  </si>
  <si>
    <t>직접인건비</t>
    <phoneticPr fontId="14" type="noConversion"/>
  </si>
  <si>
    <t>재   료   비</t>
    <phoneticPr fontId="14" type="noConversion"/>
  </si>
  <si>
    <t>경      비</t>
    <phoneticPr fontId="14" type="noConversion"/>
  </si>
  <si>
    <t>PE파이프</t>
    <phoneticPr fontId="6" type="noConversion"/>
  </si>
  <si>
    <t>m</t>
    <phoneticPr fontId="6" type="noConversion"/>
  </si>
  <si>
    <t>수중모터펌프</t>
    <phoneticPr fontId="6" type="noConversion"/>
  </si>
  <si>
    <t>PSB-5533Q</t>
    <phoneticPr fontId="6" type="noConversion"/>
  </si>
  <si>
    <t>대</t>
    <phoneticPr fontId="6" type="noConversion"/>
  </si>
  <si>
    <t>물가정보Ⅱ 667</t>
    <phoneticPr fontId="6" type="noConversion"/>
  </si>
  <si>
    <t>압상파이프</t>
    <phoneticPr fontId="6" type="noConversion"/>
  </si>
  <si>
    <t>STS 50mm, 2.5T</t>
    <phoneticPr fontId="6" type="noConversion"/>
  </si>
  <si>
    <t>물가정보Ⅱ 527</t>
    <phoneticPr fontId="6" type="noConversion"/>
  </si>
  <si>
    <t>수중케이블</t>
    <phoneticPr fontId="6" type="noConversion"/>
  </si>
  <si>
    <t>6㎟-3C</t>
    <phoneticPr fontId="6" type="noConversion"/>
  </si>
  <si>
    <t>물가정보Ⅰ 762</t>
    <phoneticPr fontId="6" type="noConversion"/>
  </si>
  <si>
    <t>수위제어선</t>
    <phoneticPr fontId="6" type="noConversion"/>
  </si>
  <si>
    <t>2㎟-3C</t>
    <phoneticPr fontId="6" type="noConversion"/>
  </si>
  <si>
    <t>물가정보Ⅰ 751</t>
    <phoneticPr fontId="6" type="noConversion"/>
  </si>
  <si>
    <t>플랜지</t>
    <phoneticPr fontId="6" type="noConversion"/>
  </si>
  <si>
    <t>STS Φ50㎜</t>
    <phoneticPr fontId="6" type="noConversion"/>
  </si>
  <si>
    <t>개</t>
    <phoneticPr fontId="6" type="noConversion"/>
  </si>
  <si>
    <t>육각볼트</t>
    <phoneticPr fontId="6" type="noConversion"/>
  </si>
  <si>
    <t>STS Φ16*50㎜</t>
    <phoneticPr fontId="6" type="noConversion"/>
  </si>
  <si>
    <t>물가정보Ⅰ 118</t>
    <phoneticPr fontId="6" type="noConversion"/>
  </si>
  <si>
    <t>육각너트</t>
    <phoneticPr fontId="6" type="noConversion"/>
  </si>
  <si>
    <t>STS Φ16㎜</t>
    <phoneticPr fontId="6" type="noConversion"/>
  </si>
  <si>
    <t>물가정보Ⅰ 119</t>
    <phoneticPr fontId="6" type="noConversion"/>
  </si>
  <si>
    <t>와셔</t>
    <phoneticPr fontId="6" type="noConversion"/>
  </si>
  <si>
    <t>물가정보Ⅰ 120</t>
    <phoneticPr fontId="6" type="noConversion"/>
  </si>
  <si>
    <t>고무패킹</t>
    <phoneticPr fontId="6" type="noConversion"/>
  </si>
  <si>
    <t>Φ50㎜</t>
    <phoneticPr fontId="6" type="noConversion"/>
  </si>
  <si>
    <t>설계단가 32</t>
    <phoneticPr fontId="6" type="noConversion"/>
  </si>
  <si>
    <t>※ 설치품은 수중펌프설치인양에 포함됨</t>
    <phoneticPr fontId="6" type="noConversion"/>
  </si>
  <si>
    <t>운  반  비</t>
    <phoneticPr fontId="14" type="noConversion"/>
  </si>
  <si>
    <t>회/일</t>
    <phoneticPr fontId="14" type="noConversion"/>
  </si>
  <si>
    <t xml:space="preserve">부대품 운반비 </t>
    <phoneticPr fontId="14" type="noConversion"/>
  </si>
  <si>
    <t xml:space="preserve">  가. 조    건</t>
    <phoneticPr fontId="14" type="noConversion"/>
  </si>
  <si>
    <t>운반거리 :</t>
    <phoneticPr fontId="6" type="noConversion"/>
  </si>
  <si>
    <t>㎞</t>
    <phoneticPr fontId="14" type="noConversion"/>
  </si>
  <si>
    <t>사용차종 :</t>
    <phoneticPr fontId="6" type="noConversion"/>
  </si>
  <si>
    <t>톤,</t>
    <phoneticPr fontId="14" type="noConversion"/>
  </si>
  <si>
    <t xml:space="preserve">  나. 대기시간</t>
    <phoneticPr fontId="14" type="noConversion"/>
  </si>
  <si>
    <t>적재시간 :</t>
    <phoneticPr fontId="6" type="noConversion"/>
  </si>
  <si>
    <t>시간</t>
    <phoneticPr fontId="14" type="noConversion"/>
  </si>
  <si>
    <t>적하시간 :</t>
    <phoneticPr fontId="6" type="noConversion"/>
  </si>
  <si>
    <t>소요시간</t>
    <phoneticPr fontId="14" type="noConversion"/>
  </si>
  <si>
    <t>기준대기시간 :</t>
    <phoneticPr fontId="6" type="noConversion"/>
  </si>
  <si>
    <t xml:space="preserve">  다. 구역화물운임 :</t>
    <phoneticPr fontId="14" type="noConversion"/>
  </si>
  <si>
    <t>운   임</t>
    <phoneticPr fontId="6" type="noConversion"/>
  </si>
  <si>
    <t>원 × 1대</t>
    <phoneticPr fontId="6" type="noConversion"/>
  </si>
  <si>
    <t xml:space="preserve">  라. 기준대기료   :</t>
    <phoneticPr fontId="14" type="noConversion"/>
  </si>
  <si>
    <t>대기료</t>
    <phoneticPr fontId="6" type="noConversion"/>
  </si>
  <si>
    <t>×</t>
    <phoneticPr fontId="6" type="noConversion"/>
  </si>
  <si>
    <t>대기시간</t>
    <phoneticPr fontId="6" type="noConversion"/>
  </si>
  <si>
    <t>=</t>
    <phoneticPr fontId="6" type="noConversion"/>
  </si>
  <si>
    <t xml:space="preserve">  마. 상하차인부임 :</t>
    <phoneticPr fontId="14" type="noConversion"/>
  </si>
  <si>
    <t>보링공</t>
    <phoneticPr fontId="6" type="noConversion"/>
  </si>
  <si>
    <t>원  =</t>
    <phoneticPr fontId="14" type="noConversion"/>
  </si>
  <si>
    <t>보   인</t>
    <phoneticPr fontId="14" type="noConversion"/>
  </si>
  <si>
    <t>단   가   표</t>
    <phoneticPr fontId="6" type="noConversion"/>
  </si>
  <si>
    <t>구  분</t>
    <phoneticPr fontId="14" type="noConversion"/>
  </si>
  <si>
    <t>규  격</t>
    <phoneticPr fontId="14" type="noConversion"/>
  </si>
  <si>
    <t>원수</t>
    <phoneticPr fontId="14" type="noConversion"/>
  </si>
  <si>
    <t>단위</t>
    <phoneticPr fontId="14" type="noConversion"/>
  </si>
  <si>
    <t>단가</t>
    <phoneticPr fontId="14" type="noConversion"/>
  </si>
  <si>
    <t>보험료제외</t>
    <phoneticPr fontId="14" type="noConversion"/>
  </si>
  <si>
    <t>비  고</t>
    <phoneticPr fontId="14" type="noConversion"/>
  </si>
  <si>
    <t>산재보험</t>
    <phoneticPr fontId="14" type="noConversion"/>
  </si>
  <si>
    <t>요율</t>
    <phoneticPr fontId="14" type="noConversion"/>
  </si>
  <si>
    <t>%</t>
    <phoneticPr fontId="14" type="noConversion"/>
  </si>
  <si>
    <t>특급기술자</t>
    <phoneticPr fontId="14" type="noConversion"/>
  </si>
  <si>
    <t>산재제외</t>
    <phoneticPr fontId="14" type="noConversion"/>
  </si>
  <si>
    <t>인</t>
    <phoneticPr fontId="14" type="noConversion"/>
  </si>
  <si>
    <t>고급기술자</t>
    <phoneticPr fontId="14" type="noConversion"/>
  </si>
  <si>
    <t>중급기술자</t>
    <phoneticPr fontId="14" type="noConversion"/>
  </si>
  <si>
    <t>초급기술자</t>
    <phoneticPr fontId="14" type="noConversion"/>
  </si>
  <si>
    <t>보링공</t>
    <phoneticPr fontId="14" type="noConversion"/>
  </si>
  <si>
    <t>특별인부</t>
    <phoneticPr fontId="14" type="noConversion"/>
  </si>
  <si>
    <t>보통인부</t>
    <phoneticPr fontId="14" type="noConversion"/>
  </si>
  <si>
    <t>계장공</t>
    <phoneticPr fontId="14" type="noConversion"/>
  </si>
  <si>
    <t>경유</t>
    <phoneticPr fontId="6" type="noConversion"/>
  </si>
  <si>
    <t>공압기손료</t>
    <phoneticPr fontId="6" type="noConversion"/>
  </si>
  <si>
    <t>상각비</t>
    <phoneticPr fontId="6" type="noConversion"/>
  </si>
  <si>
    <t>정비비</t>
    <phoneticPr fontId="6" type="noConversion"/>
  </si>
  <si>
    <t>관리비</t>
    <phoneticPr fontId="6" type="noConversion"/>
  </si>
  <si>
    <t>TV검층기손료</t>
    <phoneticPr fontId="6" type="noConversion"/>
  </si>
  <si>
    <t>pe 파이프</t>
    <phoneticPr fontId="6" type="noConversion"/>
  </si>
  <si>
    <t>25mm</t>
    <phoneticPr fontId="6" type="noConversion"/>
  </si>
  <si>
    <t>수질검사</t>
    <phoneticPr fontId="6" type="noConversion"/>
  </si>
  <si>
    <t>농업용</t>
    <phoneticPr fontId="6" type="noConversion"/>
  </si>
  <si>
    <t>먹는물</t>
    <phoneticPr fontId="6" type="noConversion"/>
  </si>
  <si>
    <t>30분당대기료</t>
    <phoneticPr fontId="14" type="noConversion"/>
  </si>
  <si>
    <t>기종별</t>
    <phoneticPr fontId="6" type="noConversion"/>
  </si>
  <si>
    <t>단가적용율</t>
    <phoneticPr fontId="14" type="noConversion"/>
  </si>
  <si>
    <t>적용가격(원)</t>
    <phoneticPr fontId="14" type="noConversion"/>
  </si>
  <si>
    <t>상각비계수</t>
    <phoneticPr fontId="6" type="noConversion"/>
  </si>
  <si>
    <t>정비비계수</t>
    <phoneticPr fontId="6" type="noConversion"/>
  </si>
  <si>
    <t>관리비계수</t>
    <phoneticPr fontId="6" type="noConversion"/>
  </si>
  <si>
    <t>참고</t>
    <phoneticPr fontId="14" type="noConversion"/>
  </si>
  <si>
    <t>가격($)</t>
    <phoneticPr fontId="14" type="noConversion"/>
  </si>
  <si>
    <t>취득가격(원)</t>
    <phoneticPr fontId="14" type="noConversion"/>
  </si>
  <si>
    <t>평균취득가격(원)</t>
    <phoneticPr fontId="14" type="noConversion"/>
  </si>
  <si>
    <t>자료분석 및 보고서 작성</t>
    <phoneticPr fontId="6" type="noConversion"/>
  </si>
  <si>
    <t>병행시행</t>
    <phoneticPr fontId="6" type="noConversion"/>
  </si>
  <si>
    <t>중급숙련기술자</t>
    <phoneticPr fontId="14" type="noConversion"/>
  </si>
  <si>
    <t>기계설비공</t>
    <phoneticPr fontId="6" type="noConversion"/>
  </si>
  <si>
    <t>기계설비공</t>
    <phoneticPr fontId="6" type="noConversion"/>
  </si>
  <si>
    <t>사후관리 일위대가표</t>
    <phoneticPr fontId="14" type="noConversion"/>
  </si>
  <si>
    <t>중급 숙련기술자</t>
    <phoneticPr fontId="6" type="noConversion"/>
  </si>
  <si>
    <t>인허가 대기</t>
    <phoneticPr fontId="6" type="noConversion"/>
  </si>
  <si>
    <t xml:space="preserve"> 조사명:</t>
    <phoneticPr fontId="6" type="noConversion"/>
  </si>
  <si>
    <t xml:space="preserve">  가. 용 역 명:</t>
    <phoneticPr fontId="6" type="noConversion"/>
  </si>
  <si>
    <t xml:space="preserve">  나. 목     적:</t>
    <phoneticPr fontId="6" type="noConversion"/>
  </si>
  <si>
    <t xml:space="preserve">  다. 조 사 량:</t>
    <phoneticPr fontId="6" type="noConversion"/>
  </si>
  <si>
    <t xml:space="preserve">  라. 위     치:</t>
    <phoneticPr fontId="6" type="noConversion"/>
  </si>
  <si>
    <t xml:space="preserve">  마. 용 역 비:</t>
    <phoneticPr fontId="6" type="noConversion"/>
  </si>
  <si>
    <t xml:space="preserve">  바. 용역기간:</t>
    <phoneticPr fontId="6" type="noConversion"/>
  </si>
  <si>
    <t>인</t>
    <phoneticPr fontId="14" type="noConversion"/>
  </si>
  <si>
    <t>ℓ</t>
    <phoneticPr fontId="6" type="noConversion"/>
  </si>
  <si>
    <t>일</t>
    <phoneticPr fontId="14" type="noConversion"/>
  </si>
  <si>
    <t>구역화물운임</t>
    <phoneticPr fontId="14" type="noConversion"/>
  </si>
  <si>
    <t>운인(원)</t>
    <phoneticPr fontId="14" type="noConversion"/>
  </si>
  <si>
    <t>20km</t>
    <phoneticPr fontId="14" type="noConversion"/>
  </si>
  <si>
    <t>30km</t>
    <phoneticPr fontId="14" type="noConversion"/>
  </si>
  <si>
    <t>시간</t>
    <phoneticPr fontId="14" type="noConversion"/>
  </si>
  <si>
    <t>40km</t>
    <phoneticPr fontId="14" type="noConversion"/>
  </si>
  <si>
    <t>50km</t>
    <phoneticPr fontId="14" type="noConversion"/>
  </si>
  <si>
    <t>60km</t>
    <phoneticPr fontId="14" type="noConversion"/>
  </si>
  <si>
    <t>m</t>
    <phoneticPr fontId="14" type="noConversion"/>
  </si>
  <si>
    <t>70km</t>
    <phoneticPr fontId="14" type="noConversion"/>
  </si>
  <si>
    <t>회</t>
    <phoneticPr fontId="14" type="noConversion"/>
  </si>
  <si>
    <t>80km</t>
    <phoneticPr fontId="14" type="noConversion"/>
  </si>
  <si>
    <t>90km</t>
    <phoneticPr fontId="14" type="noConversion"/>
  </si>
  <si>
    <t>중급숙련기술자</t>
    <phoneticPr fontId="6" type="noConversion"/>
  </si>
  <si>
    <t>건설업 시중노임 ('20.01.01)</t>
  </si>
  <si>
    <t>건설업 시중노임 1014번('20.01.01)</t>
  </si>
  <si>
    <t>건설업 시중노임 1003번('20.01.01)</t>
  </si>
  <si>
    <t>건설업 시중노임 1002번('20.01.01)</t>
  </si>
  <si>
    <t>2020년 1월 한국석유공사</t>
  </si>
  <si>
    <t>건설업 시중노임 1084번('20.01.01)</t>
    <phoneticPr fontId="6" type="noConversion"/>
  </si>
  <si>
    <t>물가정보 2020년 1월 p766</t>
    <phoneticPr fontId="14" type="noConversion"/>
  </si>
  <si>
    <t>60항목(기본 59항목 + 우라늄 포함)</t>
  </si>
  <si>
    <t>2020년 1월 현재</t>
    <phoneticPr fontId="14" type="noConversion"/>
  </si>
  <si>
    <t>착정기</t>
  </si>
  <si>
    <t>표준품셈P.373</t>
  </si>
  <si>
    <t>R50기준</t>
  </si>
  <si>
    <t>공압기</t>
  </si>
  <si>
    <t>표준품셈P.365</t>
  </si>
  <si>
    <t>XRVS466기준</t>
  </si>
  <si>
    <t>환율(2020.1.2)</t>
  </si>
  <si>
    <t>수중TV검층기</t>
  </si>
  <si>
    <t>구  분</t>
  </si>
  <si>
    <t>적용가격(원)</t>
  </si>
  <si>
    <t>내용시간</t>
  </si>
  <si>
    <t>연간표준가동시간</t>
  </si>
  <si>
    <t>내용년수</t>
  </si>
  <si>
    <t>상각비계수</t>
  </si>
  <si>
    <t>정비비계수</t>
  </si>
  <si>
    <t>관리비계수</t>
  </si>
  <si>
    <t>상각비(시간당)</t>
  </si>
  <si>
    <t>정비비(시간당)</t>
  </si>
  <si>
    <t>관리비(시간당)</t>
  </si>
  <si>
    <t>공압기1일</t>
  </si>
  <si>
    <t>수중TV카메라</t>
  </si>
  <si>
    <t>카메라1일</t>
  </si>
  <si>
    <t>2020. 3.</t>
    <phoneticPr fontId="6" type="noConversion"/>
  </si>
  <si>
    <t>2020년 엔지니어링 임금실태 조사결과 기타_ 적용</t>
    <phoneticPr fontId="6" type="noConversion"/>
  </si>
  <si>
    <t>2021년 엔지니어링 임금실태 조사결과 기타_ 적용</t>
  </si>
  <si>
    <t>2022년 엔지니어링 임금실태 조사결과 기타_ 적용</t>
  </si>
  <si>
    <t>2023년 엔지니어링 임금실태 조사결과 기타_ 적용</t>
  </si>
  <si>
    <t>2024년 엔지니어링 임금실태 조사결과 기타_ 적용</t>
  </si>
  <si>
    <t>2020. 3.  ∼  2020. 6.</t>
    <phoneticPr fontId="20" type="noConversion"/>
  </si>
  <si>
    <t>죽청등 2지구 공사관리관정 유지관리용역 외주시행계획서</t>
    <phoneticPr fontId="14" type="noConversion"/>
  </si>
  <si>
    <t>죽청1</t>
    <phoneticPr fontId="6" type="noConversion"/>
  </si>
  <si>
    <t>죽청2</t>
    <phoneticPr fontId="6" type="noConversion"/>
  </si>
  <si>
    <t>보령</t>
    <phoneticPr fontId="6" type="noConversion"/>
  </si>
  <si>
    <t>웅천</t>
    <phoneticPr fontId="6" type="noConversion"/>
  </si>
  <si>
    <t>웅천</t>
    <phoneticPr fontId="6" type="noConversion"/>
  </si>
  <si>
    <t>죽청</t>
    <phoneticPr fontId="6" type="noConversion"/>
  </si>
  <si>
    <t>죽청</t>
    <phoneticPr fontId="6" type="noConversion"/>
  </si>
  <si>
    <t>1035</t>
    <phoneticPr fontId="6" type="noConversion"/>
  </si>
  <si>
    <r>
      <t>2020.0</t>
    </r>
    <r>
      <rPr>
        <sz val="12"/>
        <rFont val="휴먼명조"/>
        <family val="3"/>
        <charset val="129"/>
      </rPr>
      <t>5</t>
    </r>
    <r>
      <rPr>
        <sz val="12"/>
        <rFont val="휴먼명조"/>
        <family val="3"/>
        <charset val="129"/>
      </rPr>
      <t>.</t>
    </r>
    <r>
      <rPr>
        <sz val="12"/>
        <rFont val="휴먼명조"/>
        <family val="3"/>
        <charset val="129"/>
      </rPr>
      <t>28</t>
    </r>
    <phoneticPr fontId="6" type="noConversion"/>
  </si>
  <si>
    <t>2020.05.28</t>
    <phoneticPr fontId="6" type="noConversion"/>
  </si>
  <si>
    <t>죽청등 2지구 공사관리관정 유지관리용역</t>
    <phoneticPr fontId="6" type="noConversion"/>
  </si>
  <si>
    <t>보령시 일원</t>
    <phoneticPr fontId="6" type="noConversion"/>
  </si>
  <si>
    <t>지하수연장허가 2지구, 사후관리 2지구</t>
    <phoneticPr fontId="6" type="noConversion"/>
  </si>
  <si>
    <t>낙찰율</t>
    <phoneticPr fontId="6" type="noConversion"/>
  </si>
  <si>
    <t>* 용역비 총괄표</t>
    <phoneticPr fontId="6" type="noConversion"/>
  </si>
  <si>
    <t>1. 지하수영향조사비 명세서</t>
    <phoneticPr fontId="6" type="noConversion"/>
  </si>
  <si>
    <t>2. 사후관리 사업비 명세서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</si>
</sst>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5">
    <numFmt numFmtId="41" formatCode="_-* #,##0_-;\-* #,##0_-;_-* &quot;-&quot;_-;_-@_-"/>
    <numFmt numFmtId="43" formatCode="_-* #,##0.00_-;\-* #,##0.00_-;_-* &quot;-&quot;??_-;_-@_-"/>
    <numFmt numFmtId="24" formatCode="\$#,##0_);[Red]\(\$#,##0\)"/>
    <numFmt numFmtId="176" formatCode="_-* #,##0_-;&quot;₩&quot;&quot;₩&quot;\!\!\-* #,##0_-;_-* &quot;-&quot;_-;_-@_-"/>
    <numFmt numFmtId="177" formatCode="#,##0_ "/>
    <numFmt numFmtId="178" formatCode="0.00_ "/>
    <numFmt numFmtId="179" formatCode="_-* #,##0.00_-;&quot;₩&quot;&quot;₩&quot;\!\!\-* #,##0.00_-;_-* &quot;-&quot;_-;_-@_-"/>
    <numFmt numFmtId="180" formatCode="_ * #,##0_ ;_ * \-#,##0_ ;_ * &quot;-&quot;_ ;_ @_ "/>
    <numFmt numFmtId="181" formatCode="#,##0.0;\-#,##0.0"/>
    <numFmt numFmtId="182" formatCode="mm&quot;월&quot;dd&quot;일&quot;"/>
    <numFmt numFmtId="183" formatCode="&quot;?#,##0.00;\-&quot;&quot;?&quot;#,##0.00"/>
    <numFmt numFmtId="184" formatCode="_-* #,##0.0_-;\-* #,##0.0_-;_-* &quot;-&quot;??_-;_-@_-"/>
    <numFmt numFmtId="185" formatCode="_ * #,##0.00_ ;_ * \-#,##0.00_ ;_ * &quot;-&quot;??_ ;_ @_ "/>
    <numFmt numFmtId="186" formatCode="#,##0.000_);[Red]\(#,##0.000\)"/>
    <numFmt numFmtId="187" formatCode="#,##0;&quot;-&quot;#,##0"/>
    <numFmt numFmtId="188" formatCode="#,##0.0"/>
    <numFmt numFmtId="189" formatCode="#,##0.000"/>
    <numFmt numFmtId="190" formatCode="#,##0;\-#,##0;&quot;-&quot;"/>
    <numFmt numFmtId="191" formatCode="0.0_ "/>
    <numFmt numFmtId="192" formatCode="00&quot;지구&quot;"/>
    <numFmt numFmtId="193" formatCode="0.0%"/>
    <numFmt numFmtId="194" formatCode="0.0000%"/>
    <numFmt numFmtId="195" formatCode="#,##0.0000"/>
    <numFmt numFmtId="196" formatCode="&quot;(연일수&quot;000&quot;일)&quot;"/>
    <numFmt numFmtId="197" formatCode="#,##0;[Red]#,##0"/>
    <numFmt numFmtId="198" formatCode="_-* #,##0.0000_-;\-* #,##0.0000_-;_-* &quot;-&quot;_-;_-@_-"/>
    <numFmt numFmtId="199" formatCode="0.00;[Red]0.00"/>
    <numFmt numFmtId="200" formatCode="0.0;[Red]0.0"/>
    <numFmt numFmtId="201" formatCode="&quot;소요일수&quot;00&quot;일&quot;"/>
    <numFmt numFmtId="202" formatCode="0&quot;지구&quot;"/>
    <numFmt numFmtId="203" formatCode="&quot;₩&quot;\!\$#,##0_);[Red]&quot;₩&quot;\!\(&quot;₩&quot;\!\$#,##0&quot;₩&quot;\!\)"/>
    <numFmt numFmtId="204" formatCode="#,##0.0;[Red]#,##0.0;&quot; &quot;"/>
    <numFmt numFmtId="205" formatCode="#,##0.00;[Red]#,##0.00;&quot; &quot;"/>
    <numFmt numFmtId="206" formatCode="&quot;₩&quot;#,##0.00;&quot;₩&quot;\-#,##0.00"/>
    <numFmt numFmtId="207" formatCode="&quot;W&quot;#,##0.00;[Red]\-&quot;W&quot;#,##0.00"/>
    <numFmt numFmtId="208" formatCode="&quot;₩&quot;#,##0.00;[Red]&quot;₩&quot;\-#,##0.00"/>
    <numFmt numFmtId="209" formatCode="0.000"/>
    <numFmt numFmtId="210" formatCode="&quot;W&quot;#,##0;[Red]\-&quot;W&quot;#,##0"/>
    <numFmt numFmtId="211" formatCode="&quot;₩&quot;#,##0;[Red]&quot;₩&quot;\-#,##0"/>
    <numFmt numFmtId="212" formatCode="#,##0.00;[Red]&quot;-&quot;#,##0.00"/>
    <numFmt numFmtId="213" formatCode="&quot;$&quot;#,##0_);[Red]\(&quot;$&quot;#,##0\)"/>
    <numFmt numFmtId="214" formatCode="[&lt;&gt;0]#,##0.0#;[=0]&quot; &quot;;General"/>
    <numFmt numFmtId="215" formatCode="#,##0.###"/>
    <numFmt numFmtId="216" formatCode="#,###"/>
    <numFmt numFmtId="217" formatCode="&quot;$&quot;#,##0.00_);[Red]\(&quot;$&quot;#,##0.00\)"/>
    <numFmt numFmtId="218" formatCode="\ 0.00"/>
    <numFmt numFmtId="219" formatCode="m\o\n\th\ d\,\ yyyy"/>
    <numFmt numFmtId="220" formatCode="_-* #,##0.00_-;&quot;₩&quot;&quot;₩&quot;\!\!\-* #,##0.00_-;_-* &quot;-&quot;??_-;_-@_-"/>
    <numFmt numFmtId="221" formatCode="&quot;$&quot;#,##0.00;;"/>
    <numFmt numFmtId="222" formatCode="#\ &quot;EA&quot;"/>
    <numFmt numFmtId="223" formatCode="_-[$€-2]* #,##0.00_-;\-[$€-2]* #,##0.00_-;_-[$€-2]* &quot;-&quot;??_-"/>
    <numFmt numFmtId="224" formatCode="#.00"/>
    <numFmt numFmtId="225" formatCode="#."/>
    <numFmt numFmtId="226" formatCode="General_)"/>
    <numFmt numFmtId="227" formatCode="&quot;Fr.&quot;\ #,##0;[Red]&quot;Fr.&quot;\ \-#,##0"/>
    <numFmt numFmtId="228" formatCode="&quot;Fr.&quot;\ #,##0.00;[Red]&quot;Fr.&quot;\ \-#,##0.00"/>
    <numFmt numFmtId="229" formatCode="\(0\)"/>
    <numFmt numFmtId="230" formatCode="&quot;$&quot;#,##0.00"/>
    <numFmt numFmtId="232" formatCode="0.00_);[Red]\(0.00\)"/>
    <numFmt numFmtId="233" formatCode="&quot;STA.&quot;\ 0\+#00.00"/>
    <numFmt numFmtId="234" formatCode="&quot;STA.&quot;\ #\+#00.00"/>
    <numFmt numFmtId="235" formatCode="&quot;T=&quot;0&quot;cm&quot;"/>
    <numFmt numFmtId="236" formatCode="0.0_)"/>
    <numFmt numFmtId="237" formatCode="0.00\ &quot;TON&quot;"/>
    <numFmt numFmtId="238" formatCode="&quot;Φ&quot;\ #"/>
    <numFmt numFmtId="239" formatCode=";;;"/>
    <numFmt numFmtId="240" formatCode="0.00\ &quot;㎡&quot;"/>
    <numFmt numFmtId="241" formatCode="_-* #,##0;\-* #,##0;_-* &quot;-&quot;;_-@"/>
    <numFmt numFmtId="242" formatCode=";\ ;\ ;"/>
    <numFmt numFmtId="243" formatCode="#,##0.000000"/>
    <numFmt numFmtId="244" formatCode="0.0000000"/>
    <numFmt numFmtId="245" formatCode="0.0000"/>
    <numFmt numFmtId="246" formatCode="_ * #,##0.000_ ;_ * \-#,##0.000_ ;_ * &quot;-&quot;_ ;_ @_ "/>
    <numFmt numFmtId="247" formatCode="0.00\ &quot;㎥&quot;"/>
    <numFmt numFmtId="248" formatCode="_-* #,##0_-;\-* #,##0_-;_-* &quot;-&quot;?_-;_-@_-"/>
    <numFmt numFmtId="249" formatCode="0.0&quot; 일 ×&quot;"/>
    <numFmt numFmtId="250" formatCode="0&quot; 인 ×&quot;"/>
    <numFmt numFmtId="251" formatCode="_-* #,##0_-;&quot;₩&quot;\!\-* #,##0_-;_-* &quot;-&quot;_-;_-@_-"/>
    <numFmt numFmtId="252" formatCode="0;[Red]0"/>
    <numFmt numFmtId="253" formatCode="0.000;[Red]0.000"/>
    <numFmt numFmtId="254" formatCode="0&quot;시간적용&quot;"/>
    <numFmt numFmtId="255" formatCode="_-* #,##0.000_-;&quot;₩&quot;&quot;₩&quot;\!\!\-* #,##0.000_-;_-* &quot;-&quot;_-;_-@_-"/>
    <numFmt numFmtId="256" formatCode="#,##0.00;[Red]#,##0.00"/>
    <numFmt numFmtId="257" formatCode="#,##0.0;[Red]#,##0.0"/>
    <numFmt numFmtId="258" formatCode="0.0"/>
  </numFmts>
  <fonts count="120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10"/>
      <name val="Arial"/>
      <family val="2"/>
    </font>
    <font>
      <sz val="10"/>
      <name val="Times New Roman"/>
      <family val="1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2"/>
      <name val="굴림체"/>
      <family val="3"/>
      <charset val="129"/>
    </font>
    <font>
      <sz val="8"/>
      <name val="바탕"/>
      <family val="1"/>
      <charset val="129"/>
    </font>
    <font>
      <sz val="12"/>
      <name val="한컴바탕"/>
      <family val="1"/>
      <charset val="129"/>
    </font>
    <font>
      <sz val="11"/>
      <name val="한컴바탕"/>
      <family val="1"/>
      <charset val="129"/>
    </font>
    <font>
      <b/>
      <sz val="10"/>
      <name val="한컴바탕"/>
      <family val="1"/>
      <charset val="129"/>
    </font>
    <font>
      <b/>
      <sz val="11"/>
      <name val="한컴바탕"/>
      <family val="1"/>
      <charset val="129"/>
    </font>
    <font>
      <sz val="10"/>
      <name val="한컴바탕"/>
      <family val="1"/>
      <charset val="129"/>
    </font>
    <font>
      <sz val="9"/>
      <name val="굴림체"/>
      <family val="3"/>
      <charset val="129"/>
    </font>
    <font>
      <sz val="22"/>
      <name val="휴먼옛체"/>
      <family val="1"/>
      <charset val="129"/>
    </font>
    <font>
      <sz val="12"/>
      <name val="바탕"/>
      <family val="1"/>
      <charset val="129"/>
    </font>
    <font>
      <sz val="11"/>
      <name val="굴림"/>
      <family val="3"/>
      <charset val="129"/>
    </font>
    <font>
      <sz val="11"/>
      <name val="바탕"/>
      <family val="1"/>
      <charset val="129"/>
    </font>
    <font>
      <sz val="10"/>
      <name val="바탕"/>
      <family val="1"/>
      <charset val="129"/>
    </font>
    <font>
      <i/>
      <sz val="12"/>
      <name val="굴림체"/>
      <family val="3"/>
      <charset val="129"/>
    </font>
    <font>
      <sz val="10"/>
      <name val="Arial Narrow"/>
      <family val="2"/>
    </font>
    <font>
      <sz val="11"/>
      <name val="바탕체"/>
      <family val="1"/>
      <charset val="129"/>
    </font>
    <font>
      <sz val="9"/>
      <name val="돋움체"/>
      <family val="3"/>
      <charset val="129"/>
    </font>
    <font>
      <sz val="10"/>
      <name val="Courier New"/>
      <family val="3"/>
    </font>
    <font>
      <sz val="12"/>
      <name val="돋움"/>
      <family val="3"/>
      <charset val="129"/>
    </font>
    <font>
      <sz val="10"/>
      <name val="돋움체"/>
      <family val="3"/>
      <charset val="129"/>
    </font>
    <font>
      <sz val="10"/>
      <name val="굴림"/>
      <family val="3"/>
      <charset val="129"/>
    </font>
    <font>
      <sz val="12"/>
      <name val="¹UAAA¼"/>
      <family val="3"/>
      <charset val="129"/>
    </font>
    <font>
      <sz val="12"/>
      <name val="¹ÙÅÁÃ¼"/>
      <family val="1"/>
      <charset val="129"/>
    </font>
    <font>
      <sz val="12"/>
      <name val="¸íÁ¶"/>
      <family val="3"/>
      <charset val="129"/>
    </font>
    <font>
      <sz val="10"/>
      <name val="μ¸¿oA¼"/>
      <family val="3"/>
      <charset val="129"/>
    </font>
    <font>
      <sz val="10"/>
      <name val="바탕체"/>
      <family val="1"/>
      <charset val="129"/>
    </font>
    <font>
      <b/>
      <sz val="8"/>
      <name val="Arial"/>
      <family val="2"/>
    </font>
    <font>
      <sz val="8"/>
      <name val="¹UAAA¼"/>
      <family val="3"/>
      <charset val="129"/>
    </font>
    <font>
      <sz val="11"/>
      <name val="μ¸¿o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11"/>
      <color indexed="16"/>
      <name val="Arial"/>
      <family val="2"/>
    </font>
    <font>
      <b/>
      <sz val="10"/>
      <color indexed="17"/>
      <name val="Arial"/>
      <family val="2"/>
    </font>
    <font>
      <b/>
      <sz val="9"/>
      <name val="Arial"/>
      <family val="2"/>
    </font>
    <font>
      <sz val="10"/>
      <name val="MS Serif"/>
      <family val="1"/>
    </font>
    <font>
      <b/>
      <i/>
      <sz val="14"/>
      <name val="Times New Roman"/>
      <family val="1"/>
    </font>
    <font>
      <sz val="8"/>
      <name val="Arial"/>
      <family val="2"/>
    </font>
    <font>
      <sz val="1"/>
      <color indexed="8"/>
      <name val="Courier"/>
      <family val="3"/>
    </font>
    <font>
      <sz val="9"/>
      <name val="돋움"/>
      <family val="3"/>
      <charset val="129"/>
    </font>
    <font>
      <sz val="10"/>
      <color indexed="16"/>
      <name val="MS Serif"/>
      <family val="1"/>
    </font>
    <font>
      <i/>
      <sz val="1"/>
      <color indexed="8"/>
      <name val="Courier"/>
      <family val="3"/>
    </font>
    <font>
      <b/>
      <sz val="12"/>
      <name val="Helv"/>
      <family val="2"/>
    </font>
    <font>
      <b/>
      <sz val="9"/>
      <color indexed="9"/>
      <name val="Arial"/>
      <family val="2"/>
    </font>
    <font>
      <b/>
      <sz val="10"/>
      <color indexed="16"/>
      <name val="Arial"/>
      <family val="2"/>
    </font>
    <font>
      <b/>
      <i/>
      <sz val="12"/>
      <color indexed="16"/>
      <name val="Times New Roman"/>
      <family val="1"/>
    </font>
    <font>
      <b/>
      <sz val="1"/>
      <color indexed="8"/>
      <name val="Courier"/>
      <family val="3"/>
    </font>
    <font>
      <b/>
      <sz val="10"/>
      <name val="Arial"/>
      <family val="2"/>
    </font>
    <font>
      <b/>
      <i/>
      <sz val="12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b/>
      <sz val="16"/>
      <name val="Times New Roman"/>
      <family val="1"/>
    </font>
    <font>
      <sz val="12"/>
      <color indexed="10"/>
      <name val="바탕체"/>
      <family val="1"/>
      <charset val="129"/>
    </font>
    <font>
      <sz val="10"/>
      <color indexed="10"/>
      <name val="바탕체"/>
      <family val="1"/>
      <charset val="129"/>
    </font>
    <font>
      <sz val="8"/>
      <name val="Helv"/>
      <family val="2"/>
    </font>
    <font>
      <b/>
      <sz val="12"/>
      <color indexed="16"/>
      <name val="Arial"/>
      <family val="2"/>
    </font>
    <font>
      <b/>
      <i/>
      <sz val="18"/>
      <color indexed="16"/>
      <name val="Times New Roman"/>
      <family val="1"/>
    </font>
    <font>
      <b/>
      <sz val="8"/>
      <color indexed="8"/>
      <name val="Helv"/>
      <family val="2"/>
    </font>
    <font>
      <b/>
      <i/>
      <sz val="9"/>
      <name val="Times New Roman"/>
      <family val="1"/>
    </font>
    <font>
      <b/>
      <u/>
      <sz val="13"/>
      <name val="굴림체"/>
      <family val="3"/>
      <charset val="129"/>
    </font>
    <font>
      <b/>
      <sz val="8"/>
      <color indexed="32"/>
      <name val="Arial"/>
      <family val="2"/>
    </font>
    <font>
      <sz val="8"/>
      <name val="바탕체"/>
      <family val="1"/>
      <charset val="129"/>
    </font>
    <font>
      <sz val="12"/>
      <name val="궁서체"/>
      <family val="1"/>
      <charset val="129"/>
    </font>
    <font>
      <b/>
      <sz val="11"/>
      <name val="돋움"/>
      <family val="3"/>
      <charset val="129"/>
    </font>
    <font>
      <u/>
      <sz val="12"/>
      <color indexed="36"/>
      <name val="바탕체"/>
      <family val="1"/>
      <charset val="129"/>
    </font>
    <font>
      <sz val="14"/>
      <name val="뼻뮝"/>
      <family val="1"/>
      <charset val="129"/>
    </font>
    <font>
      <sz val="14"/>
      <name val="ＭＳ 明朝"/>
      <family val="3"/>
      <charset val="128"/>
    </font>
    <font>
      <sz val="1"/>
      <color indexed="0"/>
      <name val="Courier"/>
      <family val="3"/>
    </font>
    <font>
      <sz val="12"/>
      <name val="뼻뮝"/>
      <family val="3"/>
      <charset val="129"/>
    </font>
    <font>
      <sz val="10"/>
      <color indexed="10"/>
      <name val="돋움체"/>
      <family val="3"/>
      <charset val="129"/>
    </font>
    <font>
      <sz val="10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10"/>
      <name val="명조"/>
      <family val="3"/>
      <charset val="129"/>
    </font>
    <font>
      <sz val="10"/>
      <color indexed="12"/>
      <name val="굴림체"/>
      <family val="3"/>
      <charset val="129"/>
    </font>
    <font>
      <sz val="11"/>
      <name val="돋움체"/>
      <family val="3"/>
      <charset val="129"/>
    </font>
    <font>
      <sz val="9"/>
      <name val="휴먼명조"/>
      <family val="3"/>
      <charset val="129"/>
    </font>
    <font>
      <sz val="11"/>
      <name val="휴먼명조"/>
      <family val="3"/>
      <charset val="129"/>
    </font>
    <font>
      <sz val="12"/>
      <name val="휴먼명조"/>
      <family val="3"/>
      <charset val="129"/>
    </font>
    <font>
      <sz val="12"/>
      <color indexed="8"/>
      <name val="굴림"/>
      <family val="3"/>
      <charset val="129"/>
    </font>
    <font>
      <sz val="12"/>
      <name val="휴먼명조"/>
      <family val="3"/>
      <charset val="129"/>
    </font>
    <font>
      <sz val="11"/>
      <color indexed="8"/>
      <name val="함초롱바탕"/>
      <family val="3"/>
      <charset val="129"/>
    </font>
    <font>
      <sz val="10"/>
      <color indexed="8"/>
      <name val="함초롱바탕"/>
      <family val="3"/>
      <charset val="129"/>
    </font>
    <font>
      <sz val="9"/>
      <color indexed="8"/>
      <name val="함초롱바탕"/>
      <family val="3"/>
      <charset val="129"/>
    </font>
    <font>
      <sz val="10"/>
      <name val="굴림"/>
      <family val="3"/>
      <charset val="129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24"/>
      <name val="맑은 고딕"/>
      <family val="3"/>
      <charset val="129"/>
      <scheme val="minor"/>
    </font>
    <font>
      <b/>
      <sz val="2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함초롱바탕"/>
      <family val="3"/>
      <charset val="129"/>
    </font>
    <font>
      <b/>
      <sz val="24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51"/>
      </left>
      <right/>
      <top style="thick">
        <color indexed="51"/>
      </top>
      <bottom style="thick">
        <color indexed="51"/>
      </bottom>
      <diagonal/>
    </border>
    <border>
      <left style="thick">
        <color indexed="9"/>
      </left>
      <right/>
      <top style="thick">
        <color indexed="9"/>
      </top>
      <bottom style="thick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9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3"/>
      </left>
      <right style="thin">
        <color indexed="9"/>
      </right>
      <top style="thin">
        <color indexed="9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</borders>
  <cellStyleXfs count="539">
    <xf numFmtId="0" fontId="0" fillId="0" borderId="0"/>
    <xf numFmtId="24" fontId="7" fillId="0" borderId="0" applyFont="0" applyFill="0" applyBorder="0" applyAlignment="0" applyProtection="0"/>
    <xf numFmtId="182" fontId="2" fillId="0" borderId="0" applyNumberFormat="0" applyFont="0" applyFill="0" applyBorder="0" applyAlignment="0" applyProtection="0"/>
    <xf numFmtId="183" fontId="8" fillId="0" borderId="0" applyNumberFormat="0" applyFont="0" applyFill="0" applyBorder="0" applyAlignment="0" applyProtection="0"/>
    <xf numFmtId="203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182" fontId="2" fillId="0" borderId="0" applyNumberFormat="0" applyFont="0" applyFill="0" applyBorder="0" applyAlignment="0" applyProtection="0"/>
    <xf numFmtId="24" fontId="7" fillId="0" borderId="0" applyFont="0" applyFill="0" applyBorder="0" applyAlignment="0" applyProtection="0"/>
    <xf numFmtId="183" fontId="8" fillId="0" borderId="0" applyNumberFormat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4" fontId="7" fillId="0" borderId="0" applyFont="0" applyFill="0" applyBorder="0" applyAlignment="0" applyProtection="0"/>
    <xf numFmtId="0" fontId="13" fillId="0" borderId="0">
      <alignment vertical="center"/>
    </xf>
    <xf numFmtId="0" fontId="26" fillId="0" borderId="0">
      <alignment vertical="center"/>
    </xf>
    <xf numFmtId="0" fontId="13" fillId="0" borderId="0">
      <alignment vertical="center"/>
    </xf>
    <xf numFmtId="38" fontId="8" fillId="0" borderId="1">
      <alignment horizontal="right"/>
    </xf>
    <xf numFmtId="0" fontId="8" fillId="0" borderId="0"/>
    <xf numFmtId="0" fontId="8" fillId="0" borderId="0"/>
    <xf numFmtId="0" fontId="4" fillId="0" borderId="0"/>
    <xf numFmtId="0" fontId="13" fillId="0" borderId="0"/>
    <xf numFmtId="0" fontId="5" fillId="0" borderId="0"/>
    <xf numFmtId="0" fontId="5" fillId="0" borderId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7" fillId="0" borderId="0"/>
    <xf numFmtId="0" fontId="7" fillId="0" borderId="0"/>
    <xf numFmtId="9" fontId="27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4" fillId="0" borderId="0"/>
    <xf numFmtId="0" fontId="7" fillId="0" borderId="0"/>
    <xf numFmtId="0" fontId="7" fillId="0" borderId="0"/>
    <xf numFmtId="0" fontId="4" fillId="0" borderId="0"/>
    <xf numFmtId="0" fontId="5" fillId="0" borderId="0"/>
    <xf numFmtId="0" fontId="5" fillId="0" borderId="0"/>
    <xf numFmtId="9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7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43" fontId="27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4" fillId="0" borderId="0"/>
    <xf numFmtId="0" fontId="7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5" fillId="0" borderId="0"/>
    <xf numFmtId="0" fontId="5" fillId="0" borderId="0"/>
    <xf numFmtId="0" fontId="4" fillId="0" borderId="0"/>
    <xf numFmtId="0" fontId="7" fillId="0" borderId="0"/>
    <xf numFmtId="0" fontId="5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7" fillId="0" borderId="0"/>
    <xf numFmtId="0" fontId="4" fillId="0" borderId="0"/>
    <xf numFmtId="0" fontId="4" fillId="0" borderId="0"/>
    <xf numFmtId="0" fontId="7" fillId="0" borderId="0"/>
    <xf numFmtId="0" fontId="4" fillId="0" borderId="0"/>
    <xf numFmtId="0" fontId="7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5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180" fontId="28" fillId="0" borderId="2">
      <alignment vertical="center"/>
    </xf>
    <xf numFmtId="180" fontId="29" fillId="0" borderId="3" applyBorder="0">
      <alignment vertical="center"/>
    </xf>
    <xf numFmtId="3" fontId="30" fillId="0" borderId="4">
      <alignment horizontal="right" vertical="center"/>
    </xf>
    <xf numFmtId="204" fontId="31" fillId="0" borderId="0">
      <alignment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194" fontId="2" fillId="0" borderId="0">
      <alignment vertical="center"/>
    </xf>
    <xf numFmtId="194" fontId="2" fillId="0" borderId="0">
      <alignment vertical="center"/>
    </xf>
    <xf numFmtId="194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195" fontId="2" fillId="0" borderId="0">
      <alignment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3" fontId="30" fillId="0" borderId="4">
      <alignment horizontal="right" vertical="center"/>
    </xf>
    <xf numFmtId="205" fontId="32" fillId="0" borderId="0">
      <alignment vertical="center"/>
    </xf>
    <xf numFmtId="0" fontId="2" fillId="0" borderId="0"/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" fontId="30" fillId="0" borderId="4">
      <alignment horizontal="right" vertical="center"/>
    </xf>
    <xf numFmtId="0" fontId="8" fillId="0" borderId="5">
      <alignment horizont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" fontId="30" fillId="0" borderId="4">
      <alignment horizontal="right" vertical="center"/>
    </xf>
    <xf numFmtId="205" fontId="32" fillId="0" borderId="0">
      <alignment vertical="center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207" fontId="34" fillId="0" borderId="0" applyFont="0" applyFill="0" applyBorder="0" applyAlignment="0" applyProtection="0"/>
    <xf numFmtId="208" fontId="36" fillId="0" borderId="0" applyFont="0" applyFill="0" applyBorder="0" applyAlignment="0" applyProtection="0"/>
    <xf numFmtId="209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210" fontId="34" fillId="0" borderId="0" applyFont="0" applyFill="0" applyBorder="0" applyAlignment="0" applyProtection="0"/>
    <xf numFmtId="211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7" fillId="0" borderId="0"/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37" fillId="0" borderId="0" applyFont="0" applyFill="0" applyBorder="0" applyAlignment="0" applyProtection="0"/>
    <xf numFmtId="0" fontId="35" fillId="0" borderId="0" applyFont="0" applyFill="0" applyBorder="0" applyAlignment="0" applyProtection="0"/>
    <xf numFmtId="38" fontId="34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40" fontId="34" fillId="0" borderId="0" applyFont="0" applyFill="0" applyBorder="0" applyAlignment="0" applyProtection="0"/>
    <xf numFmtId="212" fontId="36" fillId="0" borderId="0" applyFont="0" applyFill="0" applyBorder="0" applyAlignment="0" applyProtection="0"/>
    <xf numFmtId="213" fontId="28" fillId="0" borderId="0" applyFont="0" applyFill="0" applyBorder="0" applyAlignment="0" applyProtection="0"/>
    <xf numFmtId="0" fontId="4" fillId="2" borderId="0" applyBorder="0" applyAlignment="0" applyProtection="0"/>
    <xf numFmtId="214" fontId="8" fillId="0" borderId="6"/>
    <xf numFmtId="215" fontId="38" fillId="0" borderId="6"/>
    <xf numFmtId="216" fontId="38" fillId="0" borderId="6"/>
    <xf numFmtId="49" fontId="39" fillId="3" borderId="0" applyBorder="0">
      <alignment horizontal="right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206" fontId="33" fillId="0" borderId="0">
      <protection locked="0"/>
    </xf>
    <xf numFmtId="0" fontId="40" fillId="0" borderId="0"/>
    <xf numFmtId="0" fontId="35" fillId="0" borderId="0"/>
    <xf numFmtId="0" fontId="41" fillId="0" borderId="0"/>
    <xf numFmtId="190" fontId="42" fillId="0" borderId="0" applyFill="0" applyBorder="0" applyAlignment="0"/>
    <xf numFmtId="0" fontId="43" fillId="0" borderId="0"/>
    <xf numFmtId="0" fontId="39" fillId="4" borderId="2">
      <alignment horizontal="center"/>
    </xf>
    <xf numFmtId="0" fontId="44" fillId="5" borderId="7" applyNumberFormat="0" applyBorder="0" applyAlignment="0">
      <alignment horizontal="left" wrapText="1"/>
    </xf>
    <xf numFmtId="41" fontId="2" fillId="0" borderId="0" applyFont="0" applyFill="0" applyBorder="0" applyAlignment="0" applyProtection="0"/>
    <xf numFmtId="0" fontId="2" fillId="0" borderId="0"/>
    <xf numFmtId="3" fontId="4" fillId="0" borderId="0" applyFont="0" applyFill="0" applyBorder="0" applyAlignment="0" applyProtection="0"/>
    <xf numFmtId="0" fontId="45" fillId="3" borderId="0"/>
    <xf numFmtId="0" fontId="46" fillId="3" borderId="0" applyNumberFormat="0" applyFill="0" applyBorder="0"/>
    <xf numFmtId="0" fontId="47" fillId="3" borderId="0" applyNumberFormat="0" applyFill="0" applyBorder="0"/>
    <xf numFmtId="0" fontId="48" fillId="3" borderId="0" applyNumberFormat="0" applyFill="0" applyBorder="0"/>
    <xf numFmtId="0" fontId="49" fillId="0" borderId="0" applyNumberFormat="0" applyAlignment="0">
      <alignment horizontal="left"/>
    </xf>
    <xf numFmtId="0" fontId="50" fillId="4" borderId="8" applyFont="0" applyBorder="0">
      <alignment horizontal="centerContinuous" vertical="center"/>
    </xf>
    <xf numFmtId="217" fontId="51" fillId="3" borderId="9" applyBorder="0"/>
    <xf numFmtId="218" fontId="2" fillId="0" borderId="0" applyFont="0" applyFill="0" applyBorder="0" applyAlignment="0" applyProtection="0"/>
    <xf numFmtId="0" fontId="5" fillId="0" borderId="0"/>
    <xf numFmtId="0" fontId="4" fillId="0" borderId="0"/>
    <xf numFmtId="219" fontId="52" fillId="0" borderId="0">
      <protection locked="0"/>
    </xf>
    <xf numFmtId="176" fontId="4" fillId="0" borderId="0" applyFont="0" applyFill="0" applyBorder="0" applyAlignment="0" applyProtection="0"/>
    <xf numFmtId="220" fontId="4" fillId="0" borderId="0" applyFont="0" applyFill="0" applyBorder="0" applyAlignment="0" applyProtection="0"/>
    <xf numFmtId="0" fontId="4" fillId="6" borderId="10" applyBorder="0"/>
    <xf numFmtId="221" fontId="4" fillId="6" borderId="11" applyBorder="0">
      <alignment horizontal="center"/>
    </xf>
    <xf numFmtId="0" fontId="5" fillId="0" borderId="0"/>
    <xf numFmtId="222" fontId="53" fillId="0" borderId="0" applyFont="0" applyBorder="0" applyAlignment="0">
      <alignment vertical="center"/>
    </xf>
    <xf numFmtId="0" fontId="54" fillId="0" borderId="0" applyNumberFormat="0" applyAlignment="0">
      <alignment horizontal="left"/>
    </xf>
    <xf numFmtId="223" fontId="2" fillId="0" borderId="0" applyFont="0" applyFill="0" applyBorder="0" applyAlignment="0" applyProtection="0"/>
    <xf numFmtId="0" fontId="52" fillId="0" borderId="0">
      <protection locked="0"/>
    </xf>
    <xf numFmtId="0" fontId="52" fillId="0" borderId="0">
      <protection locked="0"/>
    </xf>
    <xf numFmtId="0" fontId="55" fillId="0" borderId="0">
      <protection locked="0"/>
    </xf>
    <xf numFmtId="0" fontId="52" fillId="0" borderId="0">
      <protection locked="0"/>
    </xf>
    <xf numFmtId="0" fontId="52" fillId="0" borderId="0">
      <protection locked="0"/>
    </xf>
    <xf numFmtId="0" fontId="52" fillId="0" borderId="0">
      <protection locked="0"/>
    </xf>
    <xf numFmtId="0" fontId="55" fillId="0" borderId="0">
      <protection locked="0"/>
    </xf>
    <xf numFmtId="0" fontId="51" fillId="3" borderId="0"/>
    <xf numFmtId="224" fontId="52" fillId="0" borderId="0">
      <protection locked="0"/>
    </xf>
    <xf numFmtId="38" fontId="51" fillId="3" borderId="0" applyNumberFormat="0" applyBorder="0" applyAlignment="0" applyProtection="0"/>
    <xf numFmtId="3" fontId="38" fillId="0" borderId="12">
      <alignment horizontal="right" vertical="center"/>
    </xf>
    <xf numFmtId="4" fontId="38" fillId="0" borderId="12">
      <alignment horizontal="right" vertical="center"/>
    </xf>
    <xf numFmtId="0" fontId="56" fillId="0" borderId="0">
      <alignment horizontal="left"/>
    </xf>
    <xf numFmtId="0" fontId="12" fillId="0" borderId="13" applyNumberFormat="0" applyAlignment="0" applyProtection="0">
      <alignment horizontal="left" vertical="center"/>
    </xf>
    <xf numFmtId="0" fontId="12" fillId="0" borderId="14">
      <alignment horizontal="left" vertical="center"/>
    </xf>
    <xf numFmtId="0" fontId="57" fillId="7" borderId="6" applyBorder="0" applyAlignment="0"/>
    <xf numFmtId="0" fontId="57" fillId="7" borderId="15" applyBorder="0" applyAlignment="0"/>
    <xf numFmtId="0" fontId="58" fillId="6" borderId="16">
      <alignment horizontal="left"/>
    </xf>
    <xf numFmtId="0" fontId="59" fillId="3" borderId="0" applyNumberFormat="0" applyFill="0" applyBorder="0"/>
    <xf numFmtId="225" fontId="60" fillId="0" borderId="0">
      <protection locked="0"/>
    </xf>
    <xf numFmtId="225" fontId="60" fillId="0" borderId="0">
      <protection locked="0"/>
    </xf>
    <xf numFmtId="12" fontId="4" fillId="2" borderId="17" applyNumberFormat="0" applyBorder="0" applyAlignment="0" applyProtection="0">
      <alignment horizontal="center"/>
    </xf>
    <xf numFmtId="0" fontId="4" fillId="8" borderId="18" applyBorder="0">
      <protection locked="0"/>
    </xf>
    <xf numFmtId="10" fontId="51" fillId="6" borderId="2" applyNumberFormat="0" applyBorder="0" applyAlignment="0" applyProtection="0"/>
    <xf numFmtId="221" fontId="4" fillId="8" borderId="16" applyBorder="0">
      <alignment horizontal="center"/>
      <protection locked="0"/>
    </xf>
    <xf numFmtId="12" fontId="4" fillId="8" borderId="16" applyBorder="0">
      <alignment horizontal="center"/>
      <protection locked="0"/>
    </xf>
    <xf numFmtId="0" fontId="61" fillId="8" borderId="19">
      <alignment horizontal="center" vertical="center"/>
      <protection locked="0"/>
    </xf>
    <xf numFmtId="217" fontId="51" fillId="6" borderId="0" applyBorder="0">
      <protection locked="0"/>
    </xf>
    <xf numFmtId="15" fontId="51" fillId="6" borderId="0" applyBorder="0">
      <protection locked="0"/>
    </xf>
    <xf numFmtId="49" fontId="51" fillId="6" borderId="0" applyBorder="0">
      <protection locked="0"/>
    </xf>
    <xf numFmtId="49" fontId="51" fillId="6" borderId="20" applyNumberFormat="0" applyBorder="0"/>
    <xf numFmtId="0" fontId="45" fillId="6" borderId="16" applyBorder="0">
      <alignment horizontal="left"/>
    </xf>
    <xf numFmtId="0" fontId="45" fillId="8" borderId="0">
      <alignment horizontal="left"/>
    </xf>
    <xf numFmtId="226" fontId="62" fillId="0" borderId="0">
      <alignment horizontal="left"/>
    </xf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0" fontId="63" fillId="0" borderId="21"/>
    <xf numFmtId="227" fontId="7" fillId="0" borderId="0" applyFont="0" applyFill="0" applyBorder="0" applyAlignment="0" applyProtection="0"/>
    <xf numFmtId="228" fontId="7" fillId="0" borderId="0" applyFont="0" applyFill="0" applyBorder="0" applyAlignment="0" applyProtection="0"/>
    <xf numFmtId="37" fontId="64" fillId="0" borderId="0"/>
    <xf numFmtId="229" fontId="2" fillId="0" borderId="0"/>
    <xf numFmtId="0" fontId="8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85" fontId="32" fillId="0" borderId="0">
      <alignment vertical="center"/>
    </xf>
    <xf numFmtId="230" fontId="61" fillId="6" borderId="19">
      <alignment horizontal="center"/>
    </xf>
    <xf numFmtId="0" fontId="4" fillId="3" borderId="16" applyBorder="0">
      <alignment horizontal="center"/>
      <protection locked="0"/>
    </xf>
    <xf numFmtId="9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62" fillId="3" borderId="0"/>
    <xf numFmtId="0" fontId="5" fillId="0" borderId="0"/>
    <xf numFmtId="0" fontId="65" fillId="3" borderId="0"/>
    <xf numFmtId="0" fontId="5" fillId="0" borderId="0"/>
    <xf numFmtId="214" fontId="66" fillId="0" borderId="22"/>
    <xf numFmtId="215" fontId="67" fillId="0" borderId="22"/>
    <xf numFmtId="216" fontId="67" fillId="0" borderId="22"/>
    <xf numFmtId="230" fontId="4" fillId="0" borderId="0"/>
    <xf numFmtId="30" fontId="68" fillId="0" borderId="0" applyNumberFormat="0" applyFill="0" applyBorder="0" applyAlignment="0" applyProtection="0">
      <alignment horizontal="left"/>
    </xf>
    <xf numFmtId="49" fontId="69" fillId="3" borderId="0" applyBorder="0">
      <alignment horizontal="centerContinuous"/>
    </xf>
    <xf numFmtId="232" fontId="32" fillId="0" borderId="0">
      <alignment vertical="center"/>
    </xf>
    <xf numFmtId="232" fontId="32" fillId="0" borderId="0">
      <alignment vertical="distributed"/>
    </xf>
    <xf numFmtId="0" fontId="4" fillId="9" borderId="0"/>
    <xf numFmtId="233" fontId="53" fillId="0" borderId="23" applyFont="0" applyBorder="0">
      <alignment horizontal="center" vertical="center"/>
    </xf>
    <xf numFmtId="234" fontId="53" fillId="0" borderId="0" applyFont="0" applyBorder="0">
      <alignment vertical="center"/>
    </xf>
    <xf numFmtId="0" fontId="63" fillId="0" borderId="0"/>
    <xf numFmtId="0" fontId="70" fillId="3" borderId="0" applyProtection="0">
      <alignment horizontal="centerContinuous" vertical="center"/>
      <protection hidden="1"/>
    </xf>
    <xf numFmtId="40" fontId="71" fillId="0" borderId="0" applyBorder="0">
      <alignment horizontal="right"/>
    </xf>
    <xf numFmtId="0" fontId="4" fillId="3" borderId="16" applyBorder="0">
      <alignment horizontal="center"/>
    </xf>
    <xf numFmtId="0" fontId="4" fillId="3" borderId="16" applyBorder="0">
      <alignment horizontal="center"/>
    </xf>
    <xf numFmtId="235" fontId="53" fillId="0" borderId="0">
      <alignment vertical="center"/>
    </xf>
    <xf numFmtId="236" fontId="72" fillId="0" borderId="0">
      <alignment horizontal="center"/>
    </xf>
    <xf numFmtId="0" fontId="73" fillId="0" borderId="0" applyFill="0" applyBorder="0" applyProtection="0">
      <alignment horizontal="centerContinuous" vertical="center"/>
    </xf>
    <xf numFmtId="0" fontId="13" fillId="2" borderId="0" applyFill="0" applyBorder="0" applyProtection="0">
      <alignment horizontal="center" vertical="center"/>
    </xf>
    <xf numFmtId="237" fontId="53" fillId="0" borderId="0" applyFont="0" applyBorder="0">
      <alignment vertical="center"/>
    </xf>
    <xf numFmtId="225" fontId="52" fillId="0" borderId="24">
      <protection locked="0"/>
    </xf>
    <xf numFmtId="217" fontId="39" fillId="3" borderId="0"/>
    <xf numFmtId="49" fontId="74" fillId="3" borderId="0" applyBorder="0">
      <alignment horizontal="right"/>
    </xf>
    <xf numFmtId="0" fontId="75" fillId="0" borderId="5">
      <alignment horizontal="left"/>
    </xf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38" fontId="53" fillId="0" borderId="0" applyFont="0" applyBorder="0" applyAlignment="0">
      <alignment vertical="center"/>
    </xf>
    <xf numFmtId="0" fontId="2" fillId="0" borderId="0" applyNumberFormat="0" applyBorder="0">
      <alignment vertical="center"/>
    </xf>
    <xf numFmtId="239" fontId="25" fillId="0" borderId="0" applyFont="0" applyFill="0" applyBorder="0" applyAlignment="0" applyProtection="0">
      <alignment horizontal="right"/>
    </xf>
    <xf numFmtId="0" fontId="8" fillId="0" borderId="0">
      <protection locked="0"/>
    </xf>
    <xf numFmtId="0" fontId="60" fillId="0" borderId="0">
      <protection locked="0"/>
    </xf>
    <xf numFmtId="0" fontId="60" fillId="0" borderId="0">
      <protection locked="0"/>
    </xf>
    <xf numFmtId="0" fontId="32" fillId="0" borderId="0">
      <alignment vertical="center"/>
    </xf>
    <xf numFmtId="0" fontId="76" fillId="0" borderId="23">
      <alignment horizontal="center" vertical="center"/>
    </xf>
    <xf numFmtId="0" fontId="52" fillId="0" borderId="0">
      <protection locked="0"/>
    </xf>
    <xf numFmtId="3" fontId="7" fillId="0" borderId="25">
      <alignment horizontal="center"/>
    </xf>
    <xf numFmtId="0" fontId="77" fillId="0" borderId="26">
      <alignment vertical="center"/>
    </xf>
    <xf numFmtId="0" fontId="52" fillId="0" borderId="0">
      <protection locked="0"/>
    </xf>
    <xf numFmtId="0" fontId="78" fillId="0" borderId="0" applyNumberFormat="0" applyFill="0" applyBorder="0" applyAlignment="0" applyProtection="0">
      <alignment vertical="top"/>
      <protection locked="0"/>
    </xf>
    <xf numFmtId="40" fontId="79" fillId="0" borderId="0" applyFont="0" applyFill="0" applyBorder="0" applyAlignment="0" applyProtection="0"/>
    <xf numFmtId="38" fontId="79" fillId="0" borderId="0" applyFont="0" applyFill="0" applyBorder="0" applyAlignment="0" applyProtection="0"/>
    <xf numFmtId="180" fontId="3" fillId="0" borderId="12">
      <alignment vertical="center"/>
    </xf>
    <xf numFmtId="240" fontId="53" fillId="0" borderId="0" applyFont="0" applyBorder="0">
      <alignment vertical="center"/>
    </xf>
    <xf numFmtId="0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1" fontId="80" fillId="0" borderId="0"/>
    <xf numFmtId="0" fontId="2" fillId="0" borderId="0" applyNumberFormat="0"/>
    <xf numFmtId="225" fontId="81" fillId="0" borderId="0">
      <protection locked="0"/>
    </xf>
    <xf numFmtId="10" fontId="29" fillId="0" borderId="0">
      <alignment vertical="center"/>
    </xf>
    <xf numFmtId="9" fontId="11" fillId="2" borderId="0" applyFill="0" applyBorder="0" applyProtection="0">
      <alignment horizontal="right"/>
    </xf>
    <xf numFmtId="10" fontId="11" fillId="0" borderId="0" applyFill="0" applyBorder="0" applyProtection="0">
      <alignment horizontal="right"/>
    </xf>
    <xf numFmtId="0" fontId="82" fillId="0" borderId="0"/>
    <xf numFmtId="180" fontId="83" fillId="0" borderId="27">
      <alignment vertical="center"/>
    </xf>
    <xf numFmtId="241" fontId="29" fillId="0" borderId="0">
      <alignment vertical="center"/>
    </xf>
    <xf numFmtId="180" fontId="84" fillId="0" borderId="27">
      <alignment vertical="center"/>
    </xf>
    <xf numFmtId="242" fontId="38" fillId="0" borderId="0" applyFont="0" applyFill="0" applyBorder="0" applyAlignment="0" applyProtection="0"/>
    <xf numFmtId="0" fontId="85" fillId="0" borderId="0">
      <alignment vertical="center"/>
    </xf>
    <xf numFmtId="41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6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4" fillId="0" borderId="0" applyFont="0" applyFill="0" applyProtection="0"/>
    <xf numFmtId="0" fontId="4" fillId="0" borderId="0" applyFont="0" applyFill="0" applyBorder="0" applyAlignment="0" applyProtection="0"/>
    <xf numFmtId="0" fontId="86" fillId="0" borderId="28"/>
    <xf numFmtId="0" fontId="53" fillId="0" borderId="23" applyNumberFormat="0" applyFont="0" applyAlignment="0">
      <alignment vertical="center"/>
    </xf>
    <xf numFmtId="0" fontId="9" fillId="0" borderId="0" applyNumberFormat="0" applyFill="0" applyBorder="0" applyAlignment="0" applyProtection="0"/>
    <xf numFmtId="184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4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43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7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2" fillId="0" borderId="0" applyFont="0" applyFill="0" applyBorder="0" applyAlignment="0" applyProtection="0"/>
    <xf numFmtId="245" fontId="8" fillId="0" borderId="0" applyFont="0" applyFill="0" applyBorder="0" applyAlignment="0" applyProtection="0"/>
    <xf numFmtId="245" fontId="8" fillId="0" borderId="0" applyFont="0" applyFill="0" applyBorder="0" applyAlignment="0" applyProtection="0"/>
    <xf numFmtId="245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7" fontId="10" fillId="0" borderId="0" applyFont="0" applyFill="0" applyBorder="0" applyAlignment="0" applyProtection="0"/>
    <xf numFmtId="246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245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6" fontId="2" fillId="0" borderId="0" applyFont="0" applyFill="0" applyBorder="0" applyAlignment="0" applyProtection="0"/>
    <xf numFmtId="187" fontId="10" fillId="0" borderId="0" applyFont="0" applyFill="0" applyBorder="0" applyAlignment="0" applyProtection="0"/>
    <xf numFmtId="183" fontId="8" fillId="0" borderId="0" applyFont="0" applyFill="0" applyBorder="0" applyAlignment="0" applyProtection="0"/>
    <xf numFmtId="244" fontId="2" fillId="0" borderId="0" applyFont="0" applyFill="0" applyBorder="0" applyAlignment="0" applyProtection="0"/>
    <xf numFmtId="245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245" fontId="8" fillId="0" borderId="0" applyFont="0" applyFill="0" applyBorder="0" applyAlignment="0" applyProtection="0"/>
    <xf numFmtId="186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45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10" fillId="0" borderId="0" applyFont="0" applyFill="0" applyBorder="0" applyAlignment="0" applyProtection="0"/>
    <xf numFmtId="245" fontId="8" fillId="0" borderId="0" applyFont="0" applyFill="0" applyBorder="0" applyAlignment="0" applyProtection="0"/>
    <xf numFmtId="245" fontId="8" fillId="0" borderId="0" applyFont="0" applyFill="0" applyBorder="0" applyAlignment="0" applyProtection="0"/>
    <xf numFmtId="187" fontId="10" fillId="0" borderId="0" applyFont="0" applyFill="0" applyBorder="0" applyAlignment="0" applyProtection="0"/>
    <xf numFmtId="245" fontId="8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0" fontId="87" fillId="0" borderId="0">
      <alignment vertical="center"/>
    </xf>
    <xf numFmtId="49" fontId="11" fillId="0" borderId="1" applyNumberFormat="0" applyAlignment="0"/>
    <xf numFmtId="0" fontId="2" fillId="0" borderId="2">
      <alignment vertical="center"/>
    </xf>
    <xf numFmtId="4" fontId="52" fillId="0" borderId="0">
      <protection locked="0"/>
    </xf>
    <xf numFmtId="0" fontId="8" fillId="0" borderId="0">
      <protection locked="0"/>
    </xf>
    <xf numFmtId="0" fontId="8" fillId="0" borderId="0"/>
    <xf numFmtId="247" fontId="53" fillId="0" borderId="0" applyFont="0" applyBorder="0">
      <alignment vertical="center"/>
    </xf>
    <xf numFmtId="225" fontId="81" fillId="0" borderId="0">
      <protection locked="0"/>
    </xf>
    <xf numFmtId="225" fontId="81" fillId="0" borderId="0">
      <protection locked="0"/>
    </xf>
    <xf numFmtId="41" fontId="2" fillId="0" borderId="0" applyFont="0" applyFill="0" applyBorder="0" applyAlignment="0" applyProtection="0"/>
    <xf numFmtId="180" fontId="3" fillId="0" borderId="29">
      <alignment vertical="center"/>
    </xf>
    <xf numFmtId="0" fontId="4" fillId="0" borderId="2"/>
    <xf numFmtId="188" fontId="8" fillId="2" borderId="0" applyFill="0" applyBorder="0" applyProtection="0">
      <alignment horizontal="right"/>
    </xf>
    <xf numFmtId="241" fontId="88" fillId="0" borderId="0" applyFont="0" applyFill="0" applyBorder="0" applyAlignment="0" applyProtection="0"/>
    <xf numFmtId="0" fontId="13" fillId="0" borderId="0"/>
    <xf numFmtId="0" fontId="8" fillId="0" borderId="0" applyFont="0" applyFill="0" applyBorder="0" applyAlignment="0" applyProtection="0"/>
    <xf numFmtId="225" fontId="81" fillId="0" borderId="0">
      <protection locked="0"/>
    </xf>
    <xf numFmtId="225" fontId="81" fillId="0" borderId="0">
      <protection locked="0"/>
    </xf>
    <xf numFmtId="0" fontId="8" fillId="0" borderId="0" applyFont="0" applyFill="0" applyBorder="0" applyAlignment="0" applyProtection="0"/>
    <xf numFmtId="0" fontId="8" fillId="0" borderId="0">
      <protection locked="0"/>
    </xf>
    <xf numFmtId="225" fontId="81" fillId="0" borderId="0">
      <protection locked="0"/>
    </xf>
    <xf numFmtId="0" fontId="8" fillId="0" borderId="0"/>
    <xf numFmtId="0" fontId="3" fillId="0" borderId="0"/>
    <xf numFmtId="0" fontId="3" fillId="0" borderId="0"/>
    <xf numFmtId="0" fontId="2" fillId="0" borderId="0"/>
    <xf numFmtId="0" fontId="92" fillId="0" borderId="0"/>
    <xf numFmtId="0" fontId="2" fillId="0" borderId="0"/>
    <xf numFmtId="0" fontId="4" fillId="0" borderId="0"/>
    <xf numFmtId="0" fontId="8" fillId="0" borderId="0"/>
    <xf numFmtId="0" fontId="2" fillId="0" borderId="0">
      <alignment vertical="center"/>
    </xf>
    <xf numFmtId="0" fontId="1" fillId="0" borderId="0"/>
    <xf numFmtId="0" fontId="3" fillId="0" borderId="0"/>
    <xf numFmtId="0" fontId="3" fillId="0" borderId="0" applyProtection="0"/>
    <xf numFmtId="0" fontId="52" fillId="0" borderId="30">
      <protection locked="0"/>
    </xf>
    <xf numFmtId="0" fontId="8" fillId="0" borderId="0">
      <protection locked="0"/>
    </xf>
    <xf numFmtId="0" fontId="8" fillId="0" borderId="0">
      <protection locked="0"/>
    </xf>
  </cellStyleXfs>
  <cellXfs count="739">
    <xf numFmtId="0" fontId="0" fillId="0" borderId="0" xfId="0"/>
    <xf numFmtId="0" fontId="16" fillId="0" borderId="0" xfId="526" applyFont="1" applyFill="1" applyAlignment="1">
      <alignment vertical="center"/>
    </xf>
    <xf numFmtId="0" fontId="16" fillId="0" borderId="0" xfId="0" applyFont="1"/>
    <xf numFmtId="0" fontId="15" fillId="0" borderId="0" xfId="0" applyFont="1"/>
    <xf numFmtId="0" fontId="17" fillId="0" borderId="0" xfId="530" applyFont="1" applyAlignment="1">
      <alignment vertical="center"/>
    </xf>
    <xf numFmtId="0" fontId="18" fillId="0" borderId="0" xfId="530" applyFont="1" applyAlignment="1">
      <alignment vertical="center"/>
    </xf>
    <xf numFmtId="0" fontId="18" fillId="0" borderId="0" xfId="530" applyFont="1" applyAlignment="1">
      <alignment horizontal="center" vertical="center"/>
    </xf>
    <xf numFmtId="0" fontId="17" fillId="0" borderId="0" xfId="530" applyFont="1"/>
    <xf numFmtId="3" fontId="19" fillId="0" borderId="0" xfId="525" applyNumberFormat="1" applyFont="1" applyAlignment="1">
      <alignment vertical="center"/>
    </xf>
    <xf numFmtId="3" fontId="19" fillId="0" borderId="0" xfId="525" applyNumberFormat="1" applyFont="1" applyAlignment="1">
      <alignment horizontal="center" vertical="center"/>
    </xf>
    <xf numFmtId="3" fontId="17" fillId="0" borderId="0" xfId="525" applyNumberFormat="1" applyFont="1" applyAlignment="1">
      <alignment vertical="center"/>
    </xf>
    <xf numFmtId="3" fontId="19" fillId="0" borderId="0" xfId="0" applyNumberFormat="1" applyFont="1" applyAlignment="1">
      <alignment vertical="center"/>
    </xf>
    <xf numFmtId="0" fontId="16" fillId="2" borderId="0" xfId="533" applyFont="1" applyFill="1" applyAlignment="1">
      <alignment shrinkToFit="1"/>
    </xf>
    <xf numFmtId="0" fontId="16" fillId="2" borderId="0" xfId="533" applyFont="1" applyFill="1" applyAlignment="1">
      <alignment vertical="center" shrinkToFit="1"/>
    </xf>
    <xf numFmtId="41" fontId="19" fillId="0" borderId="0" xfId="273" applyFont="1" applyAlignment="1">
      <alignment vertical="center"/>
    </xf>
    <xf numFmtId="0" fontId="15" fillId="0" borderId="0" xfId="526" applyFont="1" applyFill="1" applyAlignment="1">
      <alignment vertical="center"/>
    </xf>
    <xf numFmtId="43" fontId="17" fillId="0" borderId="0" xfId="530" applyNumberFormat="1" applyFont="1" applyAlignment="1">
      <alignment vertical="center"/>
    </xf>
    <xf numFmtId="189" fontId="19" fillId="0" borderId="0" xfId="525" applyNumberFormat="1" applyFont="1" applyAlignment="1">
      <alignment vertical="center"/>
    </xf>
    <xf numFmtId="0" fontId="16" fillId="0" borderId="0" xfId="530" applyFont="1" applyAlignment="1">
      <alignment horizontal="left" vertical="center"/>
    </xf>
    <xf numFmtId="0" fontId="19" fillId="0" borderId="0" xfId="530" applyFont="1" applyAlignment="1">
      <alignment vertical="center"/>
    </xf>
    <xf numFmtId="0" fontId="16" fillId="0" borderId="0" xfId="530" applyFont="1" applyAlignment="1">
      <alignment vertical="center"/>
    </xf>
    <xf numFmtId="0" fontId="19" fillId="0" borderId="0" xfId="530" applyFont="1"/>
    <xf numFmtId="0" fontId="21" fillId="0" borderId="0" xfId="529" applyFont="1" applyAlignment="1">
      <alignment vertical="center"/>
    </xf>
    <xf numFmtId="0" fontId="22" fillId="0" borderId="0" xfId="0" applyFont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3" fillId="0" borderId="0" xfId="0" applyFont="1"/>
    <xf numFmtId="0" fontId="24" fillId="0" borderId="0" xfId="532" applyFont="1" applyFill="1" applyAlignment="1">
      <alignment vertical="center"/>
    </xf>
    <xf numFmtId="0" fontId="24" fillId="0" borderId="0" xfId="532" applyFont="1" applyFill="1" applyAlignment="1">
      <alignment vertical="center" shrinkToFit="1"/>
    </xf>
    <xf numFmtId="0" fontId="90" fillId="0" borderId="0" xfId="0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0" xfId="0" applyNumberFormat="1" applyFont="1" applyAlignment="1">
      <alignment horizontal="center" vertical="center"/>
    </xf>
    <xf numFmtId="3" fontId="90" fillId="0" borderId="0" xfId="273" applyNumberFormat="1" applyFont="1" applyAlignment="1">
      <alignment horizontal="right" vertical="center"/>
    </xf>
    <xf numFmtId="3" fontId="90" fillId="0" borderId="0" xfId="0" applyNumberFormat="1" applyFont="1" applyAlignment="1">
      <alignment horizontal="right" vertical="center"/>
    </xf>
    <xf numFmtId="3" fontId="89" fillId="0" borderId="0" xfId="0" applyNumberFormat="1" applyFont="1" applyAlignment="1">
      <alignment horizontal="right" vertical="center"/>
    </xf>
    <xf numFmtId="0" fontId="16" fillId="0" borderId="0" xfId="532" applyFont="1" applyFill="1" applyAlignment="1">
      <alignment vertical="center" shrinkToFit="1"/>
    </xf>
    <xf numFmtId="0" fontId="16" fillId="0" borderId="0" xfId="532" applyFont="1" applyFill="1" applyAlignment="1">
      <alignment vertical="center"/>
    </xf>
    <xf numFmtId="0" fontId="16" fillId="0" borderId="0" xfId="0" applyFont="1" applyFill="1" applyAlignment="1">
      <alignment vertical="center"/>
    </xf>
    <xf numFmtId="251" fontId="16" fillId="0" borderId="0" xfId="409" applyFont="1" applyFill="1" applyAlignment="1">
      <alignment vertical="center"/>
    </xf>
    <xf numFmtId="0" fontId="18" fillId="0" borderId="0" xfId="532" applyFont="1" applyFill="1" applyAlignment="1">
      <alignment vertical="center"/>
    </xf>
    <xf numFmtId="37" fontId="16" fillId="0" borderId="0" xfId="532" applyNumberFormat="1" applyFont="1" applyFill="1" applyAlignment="1">
      <alignment vertical="center"/>
    </xf>
    <xf numFmtId="0" fontId="16" fillId="0" borderId="0" xfId="532" applyFont="1" applyFill="1">
      <alignment vertical="center"/>
    </xf>
    <xf numFmtId="0" fontId="99" fillId="0" borderId="0" xfId="0" applyFont="1" applyBorder="1" applyAlignment="1">
      <alignment vertical="center"/>
    </xf>
    <xf numFmtId="0" fontId="100" fillId="0" borderId="0" xfId="0" applyFont="1" applyBorder="1" applyAlignment="1">
      <alignment vertical="center"/>
    </xf>
    <xf numFmtId="0" fontId="100" fillId="0" borderId="0" xfId="0" applyNumberFormat="1" applyFont="1" applyBorder="1" applyAlignment="1">
      <alignment vertical="center"/>
    </xf>
    <xf numFmtId="3" fontId="100" fillId="0" borderId="0" xfId="0" applyNumberFormat="1" applyFont="1" applyBorder="1" applyAlignment="1">
      <alignment horizontal="right" vertical="center"/>
    </xf>
    <xf numFmtId="3" fontId="101" fillId="0" borderId="0" xfId="0" applyNumberFormat="1" applyFont="1" applyBorder="1" applyAlignment="1">
      <alignment horizontal="right" vertical="center"/>
    </xf>
    <xf numFmtId="0" fontId="102" fillId="0" borderId="0" xfId="0" applyFont="1"/>
    <xf numFmtId="0" fontId="98" fillId="0" borderId="0" xfId="0" applyFont="1"/>
    <xf numFmtId="0" fontId="103" fillId="0" borderId="0" xfId="0" applyFont="1" applyAlignment="1">
      <alignment horizontal="center"/>
    </xf>
    <xf numFmtId="0" fontId="102" fillId="0" borderId="0" xfId="0" applyFont="1" applyAlignment="1">
      <alignment horizontal="center"/>
    </xf>
    <xf numFmtId="0" fontId="99" fillId="0" borderId="0" xfId="273" applyNumberFormat="1" applyFont="1" applyAlignment="1">
      <alignment vertical="center"/>
    </xf>
    <xf numFmtId="0" fontId="98" fillId="0" borderId="0" xfId="273" applyNumberFormat="1" applyFont="1" applyAlignment="1">
      <alignment vertical="center"/>
    </xf>
    <xf numFmtId="0" fontId="98" fillId="0" borderId="0" xfId="0" applyFont="1" applyAlignment="1">
      <alignment horizontal="left" vertical="center"/>
    </xf>
    <xf numFmtId="41" fontId="98" fillId="0" borderId="0" xfId="273" applyFont="1" applyAlignment="1">
      <alignment vertical="center"/>
    </xf>
    <xf numFmtId="0" fontId="98" fillId="0" borderId="0" xfId="0" applyFont="1" applyAlignment="1">
      <alignment vertical="center"/>
    </xf>
    <xf numFmtId="3" fontId="98" fillId="0" borderId="34" xfId="273" applyNumberFormat="1" applyFont="1" applyBorder="1" applyAlignment="1">
      <alignment vertical="center"/>
    </xf>
    <xf numFmtId="3" fontId="98" fillId="0" borderId="28" xfId="273" applyNumberFormat="1" applyFont="1" applyBorder="1" applyAlignment="1">
      <alignment vertical="center"/>
    </xf>
    <xf numFmtId="0" fontId="98" fillId="0" borderId="35" xfId="273" applyNumberFormat="1" applyFont="1" applyBorder="1" applyAlignment="1">
      <alignment vertical="center"/>
    </xf>
    <xf numFmtId="0" fontId="98" fillId="2" borderId="28" xfId="533" applyFont="1" applyFill="1" applyBorder="1" applyAlignment="1">
      <alignment vertical="center" shrinkToFit="1"/>
    </xf>
    <xf numFmtId="0" fontId="98" fillId="0" borderId="36" xfId="273" applyNumberFormat="1" applyFont="1" applyBorder="1" applyAlignment="1">
      <alignment vertical="center"/>
    </xf>
    <xf numFmtId="3" fontId="98" fillId="0" borderId="37" xfId="273" applyNumberFormat="1" applyFont="1" applyBorder="1" applyAlignment="1">
      <alignment vertical="center"/>
    </xf>
    <xf numFmtId="0" fontId="98" fillId="0" borderId="38" xfId="273" applyNumberFormat="1" applyFont="1" applyBorder="1" applyAlignment="1">
      <alignment vertical="center"/>
    </xf>
    <xf numFmtId="0" fontId="98" fillId="0" borderId="39" xfId="273" applyNumberFormat="1" applyFont="1" applyBorder="1" applyAlignment="1">
      <alignment vertical="center"/>
    </xf>
    <xf numFmtId="0" fontId="98" fillId="2" borderId="38" xfId="533" applyFont="1" applyFill="1" applyBorder="1" applyAlignment="1">
      <alignment vertical="center" shrinkToFit="1"/>
    </xf>
    <xf numFmtId="3" fontId="98" fillId="0" borderId="38" xfId="273" applyNumberFormat="1" applyFont="1" applyBorder="1" applyAlignment="1">
      <alignment vertical="center"/>
    </xf>
    <xf numFmtId="0" fontId="98" fillId="0" borderId="40" xfId="273" applyNumberFormat="1" applyFont="1" applyBorder="1" applyAlignment="1">
      <alignment vertical="center"/>
    </xf>
    <xf numFmtId="3" fontId="98" fillId="0" borderId="39" xfId="273" applyNumberFormat="1" applyFont="1" applyBorder="1" applyAlignment="1">
      <alignment vertical="center"/>
    </xf>
    <xf numFmtId="3" fontId="98" fillId="0" borderId="41" xfId="273" applyNumberFormat="1" applyFont="1" applyBorder="1" applyAlignment="1">
      <alignment vertical="center"/>
    </xf>
    <xf numFmtId="3" fontId="98" fillId="0" borderId="42" xfId="273" applyNumberFormat="1" applyFont="1" applyBorder="1" applyAlignment="1">
      <alignment vertical="center"/>
    </xf>
    <xf numFmtId="3" fontId="98" fillId="0" borderId="43" xfId="273" applyNumberFormat="1" applyFont="1" applyBorder="1" applyAlignment="1">
      <alignment vertical="center"/>
    </xf>
    <xf numFmtId="0" fontId="98" fillId="2" borderId="42" xfId="533" applyFont="1" applyFill="1" applyBorder="1" applyAlignment="1">
      <alignment vertical="center" shrinkToFit="1"/>
    </xf>
    <xf numFmtId="3" fontId="98" fillId="0" borderId="44" xfId="273" applyNumberFormat="1" applyFont="1" applyBorder="1" applyAlignment="1">
      <alignment vertical="center"/>
    </xf>
    <xf numFmtId="0" fontId="104" fillId="0" borderId="0" xfId="0" applyFont="1" applyBorder="1" applyAlignment="1">
      <alignment horizontal="left" vertical="center"/>
    </xf>
    <xf numFmtId="197" fontId="98" fillId="0" borderId="0" xfId="273" applyNumberFormat="1" applyFont="1" applyAlignment="1">
      <alignment horizontal="right" vertical="center"/>
    </xf>
    <xf numFmtId="196" fontId="98" fillId="0" borderId="0" xfId="273" applyNumberFormat="1" applyFont="1" applyAlignment="1">
      <alignment horizontal="left" vertical="center"/>
    </xf>
    <xf numFmtId="0" fontId="99" fillId="0" borderId="0" xfId="526" applyFont="1" applyFill="1" applyBorder="1" applyAlignment="1">
      <alignment vertical="center"/>
    </xf>
    <xf numFmtId="0" fontId="105" fillId="0" borderId="0" xfId="526" applyFont="1" applyFill="1" applyBorder="1" applyAlignment="1">
      <alignment vertical="center"/>
    </xf>
    <xf numFmtId="0" fontId="105" fillId="0" borderId="0" xfId="526" applyFont="1" applyFill="1" applyAlignment="1">
      <alignment vertical="center"/>
    </xf>
    <xf numFmtId="0" fontId="105" fillId="0" borderId="45" xfId="526" applyFont="1" applyFill="1" applyBorder="1" applyAlignment="1">
      <alignment horizontal="center" vertical="center"/>
    </xf>
    <xf numFmtId="0" fontId="105" fillId="0" borderId="46" xfId="526" applyFont="1" applyFill="1" applyBorder="1" applyAlignment="1">
      <alignment vertical="center"/>
    </xf>
    <xf numFmtId="255" fontId="105" fillId="0" borderId="23" xfId="411" applyNumberFormat="1" applyFont="1" applyFill="1" applyBorder="1" applyAlignment="1">
      <alignment vertical="center"/>
    </xf>
    <xf numFmtId="0" fontId="105" fillId="0" borderId="47" xfId="526" applyFont="1" applyFill="1" applyBorder="1" applyAlignment="1">
      <alignment vertical="center"/>
    </xf>
    <xf numFmtId="0" fontId="105" fillId="0" borderId="46" xfId="526" applyFont="1" applyFill="1" applyBorder="1" applyAlignment="1">
      <alignment horizontal="center" vertical="center"/>
    </xf>
    <xf numFmtId="0" fontId="105" fillId="0" borderId="47" xfId="526" applyFont="1" applyFill="1" applyBorder="1" applyAlignment="1">
      <alignment horizontal="center" vertical="center"/>
    </xf>
    <xf numFmtId="0" fontId="105" fillId="0" borderId="48" xfId="526" applyFont="1" applyFill="1" applyBorder="1" applyAlignment="1">
      <alignment horizontal="center" vertical="center"/>
    </xf>
    <xf numFmtId="0" fontId="105" fillId="0" borderId="49" xfId="526" applyFont="1" applyFill="1" applyBorder="1" applyAlignment="1">
      <alignment vertical="center"/>
    </xf>
    <xf numFmtId="192" fontId="105" fillId="0" borderId="50" xfId="526" applyNumberFormat="1" applyFont="1" applyFill="1" applyBorder="1" applyAlignment="1">
      <alignment horizontal="left" vertical="center"/>
    </xf>
    <xf numFmtId="179" fontId="105" fillId="0" borderId="51" xfId="411" applyNumberFormat="1" applyFont="1" applyFill="1" applyBorder="1" applyAlignment="1">
      <alignment vertical="center"/>
    </xf>
    <xf numFmtId="0" fontId="105" fillId="0" borderId="52" xfId="526" applyFont="1" applyFill="1" applyBorder="1" applyAlignment="1">
      <alignment vertical="center"/>
    </xf>
    <xf numFmtId="0" fontId="105" fillId="0" borderId="53" xfId="526" applyFont="1" applyFill="1" applyBorder="1" applyAlignment="1">
      <alignment horizontal="center" vertical="center"/>
    </xf>
    <xf numFmtId="0" fontId="105" fillId="0" borderId="54" xfId="526" applyFont="1" applyFill="1" applyBorder="1" applyAlignment="1">
      <alignment vertical="center"/>
    </xf>
    <xf numFmtId="179" fontId="105" fillId="0" borderId="55" xfId="411" applyNumberFormat="1" applyFont="1" applyFill="1" applyBorder="1" applyAlignment="1">
      <alignment vertical="center"/>
    </xf>
    <xf numFmtId="176" fontId="106" fillId="0" borderId="56" xfId="526" applyNumberFormat="1" applyFont="1" applyFill="1" applyBorder="1" applyAlignment="1">
      <alignment vertical="center"/>
    </xf>
    <xf numFmtId="0" fontId="99" fillId="0" borderId="0" xfId="530" applyFont="1" applyAlignment="1"/>
    <xf numFmtId="0" fontId="98" fillId="0" borderId="0" xfId="531" applyFont="1" applyFill="1" applyAlignment="1" applyProtection="1">
      <alignment horizontal="left"/>
    </xf>
    <xf numFmtId="0" fontId="106" fillId="0" borderId="0" xfId="530" applyFont="1" applyAlignment="1">
      <alignment vertical="center"/>
    </xf>
    <xf numFmtId="0" fontId="107" fillId="0" borderId="0" xfId="530" applyFont="1" applyAlignment="1">
      <alignment vertical="center"/>
    </xf>
    <xf numFmtId="0" fontId="98" fillId="0" borderId="57" xfId="530" applyFont="1" applyBorder="1" applyAlignment="1">
      <alignment horizontal="center" vertical="center"/>
    </xf>
    <xf numFmtId="0" fontId="98" fillId="0" borderId="58" xfId="530" applyFont="1" applyBorder="1" applyAlignment="1">
      <alignment horizontal="center" vertical="center"/>
    </xf>
    <xf numFmtId="41" fontId="98" fillId="0" borderId="59" xfId="273" applyNumberFormat="1" applyFont="1" applyBorder="1" applyAlignment="1">
      <alignment vertical="center" shrinkToFit="1"/>
    </xf>
    <xf numFmtId="41" fontId="98" fillId="0" borderId="59" xfId="273" applyNumberFormat="1" applyFont="1" applyBorder="1" applyAlignment="1" applyProtection="1">
      <alignment vertical="center" shrinkToFit="1"/>
      <protection locked="0"/>
    </xf>
    <xf numFmtId="0" fontId="98" fillId="0" borderId="59" xfId="530" applyFont="1" applyBorder="1" applyAlignment="1">
      <alignment vertical="center" shrinkToFit="1"/>
    </xf>
    <xf numFmtId="0" fontId="108" fillId="0" borderId="60" xfId="530" applyFont="1" applyBorder="1" applyAlignment="1">
      <alignment vertical="center" shrinkToFit="1"/>
    </xf>
    <xf numFmtId="41" fontId="98" fillId="0" borderId="23" xfId="273" applyNumberFormat="1" applyFont="1" applyBorder="1" applyAlignment="1">
      <alignment vertical="center" shrinkToFit="1"/>
    </xf>
    <xf numFmtId="41" fontId="98" fillId="0" borderId="23" xfId="273" applyNumberFormat="1" applyFont="1" applyBorder="1" applyAlignment="1" applyProtection="1">
      <alignment vertical="center" shrinkToFit="1"/>
      <protection locked="0"/>
    </xf>
    <xf numFmtId="0" fontId="98" fillId="0" borderId="23" xfId="530" applyFont="1" applyBorder="1" applyAlignment="1">
      <alignment vertical="center" shrinkToFit="1"/>
    </xf>
    <xf numFmtId="0" fontId="108" fillId="0" borderId="61" xfId="530" applyFont="1" applyBorder="1" applyAlignment="1">
      <alignment vertical="center" shrinkToFit="1"/>
    </xf>
    <xf numFmtId="0" fontId="98" fillId="0" borderId="23" xfId="530" applyFont="1" applyBorder="1" applyAlignment="1">
      <alignment horizontal="center" vertical="center" shrinkToFit="1"/>
    </xf>
    <xf numFmtId="9" fontId="98" fillId="0" borderId="61" xfId="342" applyNumberFormat="1" applyFont="1" applyBorder="1" applyAlignment="1">
      <alignment horizontal="left" vertical="center" shrinkToFit="1"/>
    </xf>
    <xf numFmtId="193" fontId="108" fillId="0" borderId="61" xfId="530" applyNumberFormat="1" applyFont="1" applyBorder="1" applyAlignment="1">
      <alignment horizontal="left" vertical="center" shrinkToFit="1"/>
    </xf>
    <xf numFmtId="0" fontId="98" fillId="0" borderId="23" xfId="530" applyFont="1" applyBorder="1" applyAlignment="1">
      <alignment horizontal="left" vertical="center" shrinkToFit="1"/>
    </xf>
    <xf numFmtId="193" fontId="98" fillId="0" borderId="61" xfId="342" applyNumberFormat="1" applyFont="1" applyBorder="1" applyAlignment="1">
      <alignment horizontal="left" vertical="center" shrinkToFit="1"/>
    </xf>
    <xf numFmtId="193" fontId="108" fillId="0" borderId="61" xfId="342" applyNumberFormat="1" applyFont="1" applyBorder="1" applyAlignment="1">
      <alignment horizontal="center" vertical="center" shrinkToFit="1"/>
    </xf>
    <xf numFmtId="41" fontId="98" fillId="0" borderId="62" xfId="273" applyFont="1" applyBorder="1" applyAlignment="1">
      <alignment vertical="center" shrinkToFit="1"/>
    </xf>
    <xf numFmtId="41" fontId="98" fillId="0" borderId="62" xfId="273" applyFont="1" applyBorder="1" applyAlignment="1" applyProtection="1">
      <alignment vertical="center" shrinkToFit="1"/>
      <protection locked="0"/>
    </xf>
    <xf numFmtId="0" fontId="98" fillId="0" borderId="62" xfId="530" applyFont="1" applyBorder="1" applyAlignment="1">
      <alignment vertical="center" shrinkToFit="1"/>
    </xf>
    <xf numFmtId="9" fontId="108" fillId="0" borderId="63" xfId="342" applyFont="1" applyBorder="1" applyAlignment="1">
      <alignment vertical="center" shrinkToFit="1"/>
    </xf>
    <xf numFmtId="41" fontId="108" fillId="0" borderId="64" xfId="273" applyFont="1" applyBorder="1" applyAlignment="1">
      <alignment vertical="center" shrinkToFit="1"/>
    </xf>
    <xf numFmtId="41" fontId="98" fillId="0" borderId="64" xfId="273" applyFont="1" applyBorder="1" applyAlignment="1">
      <alignment vertical="center" shrinkToFit="1"/>
    </xf>
    <xf numFmtId="41" fontId="98" fillId="0" borderId="64" xfId="273" applyFont="1" applyBorder="1" applyAlignment="1">
      <alignment horizontal="left" vertical="center" shrinkToFit="1"/>
    </xf>
    <xf numFmtId="177" fontId="98" fillId="0" borderId="64" xfId="530" applyNumberFormat="1" applyFont="1" applyBorder="1" applyAlignment="1">
      <alignment vertical="center" shrinkToFit="1"/>
    </xf>
    <xf numFmtId="41" fontId="108" fillId="0" borderId="65" xfId="530" applyNumberFormat="1" applyFont="1" applyBorder="1" applyAlignment="1">
      <alignment vertical="center" shrinkToFit="1"/>
    </xf>
    <xf numFmtId="3" fontId="109" fillId="0" borderId="26" xfId="525" applyNumberFormat="1" applyFont="1" applyBorder="1" applyAlignment="1">
      <alignment horizontal="right" vertical="center"/>
    </xf>
    <xf numFmtId="3" fontId="109" fillId="0" borderId="26" xfId="525" applyNumberFormat="1" applyFont="1" applyBorder="1" applyAlignment="1">
      <alignment vertical="center"/>
    </xf>
    <xf numFmtId="3" fontId="109" fillId="0" borderId="26" xfId="525" applyNumberFormat="1" applyFont="1" applyBorder="1" applyAlignment="1">
      <alignment horizontal="center" vertical="center"/>
    </xf>
    <xf numFmtId="41" fontId="109" fillId="0" borderId="26" xfId="273" applyFont="1" applyBorder="1" applyAlignment="1">
      <alignment vertical="center"/>
    </xf>
    <xf numFmtId="3" fontId="109" fillId="0" borderId="66" xfId="525" applyNumberFormat="1" applyFont="1" applyBorder="1" applyAlignment="1">
      <alignment horizontal="center" vertical="center"/>
    </xf>
    <xf numFmtId="3" fontId="109" fillId="0" borderId="67" xfId="525" applyNumberFormat="1" applyFont="1" applyBorder="1" applyAlignment="1">
      <alignment horizontal="center" vertical="center"/>
    </xf>
    <xf numFmtId="41" fontId="109" fillId="0" borderId="67" xfId="273" applyFont="1" applyBorder="1" applyAlignment="1">
      <alignment horizontal="center" vertical="center"/>
    </xf>
    <xf numFmtId="41" fontId="109" fillId="0" borderId="68" xfId="273" applyFont="1" applyBorder="1" applyAlignment="1">
      <alignment horizontal="left" vertical="center"/>
    </xf>
    <xf numFmtId="41" fontId="109" fillId="0" borderId="69" xfId="273" applyFont="1" applyBorder="1" applyAlignment="1">
      <alignment horizontal="center" vertical="center"/>
    </xf>
    <xf numFmtId="3" fontId="109" fillId="0" borderId="70" xfId="525" applyNumberFormat="1" applyFont="1" applyBorder="1" applyAlignment="1">
      <alignment horizontal="center" vertical="center"/>
    </xf>
    <xf numFmtId="3" fontId="109" fillId="0" borderId="71" xfId="525" applyNumberFormat="1" applyFont="1" applyBorder="1" applyAlignment="1">
      <alignment horizontal="center" vertical="center"/>
    </xf>
    <xf numFmtId="3" fontId="109" fillId="0" borderId="72" xfId="525" applyNumberFormat="1" applyFont="1" applyBorder="1" applyAlignment="1">
      <alignment horizontal="center" vertical="center"/>
    </xf>
    <xf numFmtId="41" fontId="109" fillId="0" borderId="72" xfId="273" applyFont="1" applyBorder="1" applyAlignment="1">
      <alignment horizontal="center" vertical="center"/>
    </xf>
    <xf numFmtId="41" fontId="109" fillId="0" borderId="25" xfId="273" applyFont="1" applyBorder="1" applyAlignment="1">
      <alignment horizontal="center" vertical="center"/>
    </xf>
    <xf numFmtId="3" fontId="109" fillId="0" borderId="73" xfId="525" applyNumberFormat="1" applyFont="1" applyBorder="1" applyAlignment="1">
      <alignment horizontal="center" vertical="center"/>
    </xf>
    <xf numFmtId="3" fontId="109" fillId="0" borderId="74" xfId="525" applyNumberFormat="1" applyFont="1" applyBorder="1" applyAlignment="1">
      <alignment horizontal="left" vertical="center" indent="1"/>
    </xf>
    <xf numFmtId="3" fontId="109" fillId="0" borderId="4" xfId="525" applyNumberFormat="1" applyFont="1" applyBorder="1" applyAlignment="1">
      <alignment vertical="center"/>
    </xf>
    <xf numFmtId="3" fontId="109" fillId="0" borderId="4" xfId="525" applyNumberFormat="1" applyFont="1" applyBorder="1" applyAlignment="1">
      <alignment horizontal="center" vertical="center"/>
    </xf>
    <xf numFmtId="41" fontId="109" fillId="0" borderId="4" xfId="273" applyFont="1" applyBorder="1" applyAlignment="1">
      <alignment vertical="center"/>
    </xf>
    <xf numFmtId="3" fontId="109" fillId="0" borderId="75" xfId="525" applyNumberFormat="1" applyFont="1" applyBorder="1" applyAlignment="1">
      <alignment horizontal="center" vertical="center"/>
    </xf>
    <xf numFmtId="3" fontId="109" fillId="0" borderId="5" xfId="525" applyNumberFormat="1" applyFont="1" applyBorder="1" applyAlignment="1">
      <alignment horizontal="left" vertical="center" indent="1"/>
    </xf>
    <xf numFmtId="3" fontId="109" fillId="0" borderId="23" xfId="525" applyNumberFormat="1" applyFont="1" applyBorder="1" applyAlignment="1">
      <alignment vertical="center"/>
    </xf>
    <xf numFmtId="3" fontId="109" fillId="0" borderId="23" xfId="525" applyNumberFormat="1" applyFont="1" applyBorder="1" applyAlignment="1">
      <alignment horizontal="center" vertical="center"/>
    </xf>
    <xf numFmtId="41" fontId="109" fillId="0" borderId="23" xfId="273" applyFont="1" applyBorder="1" applyAlignment="1">
      <alignment vertical="center"/>
    </xf>
    <xf numFmtId="3" fontId="109" fillId="0" borderId="29" xfId="525" applyNumberFormat="1" applyFont="1" applyBorder="1" applyAlignment="1">
      <alignment horizontal="center" vertical="center"/>
    </xf>
    <xf numFmtId="41" fontId="109" fillId="0" borderId="23" xfId="273" applyFont="1" applyBorder="1" applyAlignment="1">
      <alignment vertical="center" shrinkToFit="1"/>
    </xf>
    <xf numFmtId="3" fontId="109" fillId="0" borderId="76" xfId="525" applyNumberFormat="1" applyFont="1" applyBorder="1" applyAlignment="1">
      <alignment horizontal="center" vertical="center"/>
    </xf>
    <xf numFmtId="3" fontId="109" fillId="0" borderId="25" xfId="525" applyNumberFormat="1" applyFont="1" applyBorder="1" applyAlignment="1">
      <alignment vertical="center"/>
    </xf>
    <xf numFmtId="3" fontId="109" fillId="0" borderId="25" xfId="525" applyNumberFormat="1" applyFont="1" applyBorder="1" applyAlignment="1">
      <alignment horizontal="center" vertical="center"/>
    </xf>
    <xf numFmtId="41" fontId="109" fillId="0" borderId="25" xfId="273" applyFont="1" applyBorder="1" applyAlignment="1">
      <alignment vertical="center"/>
    </xf>
    <xf numFmtId="3" fontId="109" fillId="0" borderId="77" xfId="525" applyNumberFormat="1" applyFont="1" applyBorder="1" applyAlignment="1">
      <alignment horizontal="center" vertical="center"/>
    </xf>
    <xf numFmtId="3" fontId="107" fillId="2" borderId="78" xfId="525" applyNumberFormat="1" applyFont="1" applyFill="1" applyBorder="1" applyAlignment="1">
      <alignment horizontal="center" vertical="center"/>
    </xf>
    <xf numFmtId="3" fontId="107" fillId="0" borderId="28" xfId="525" applyNumberFormat="1" applyFont="1" applyBorder="1" applyAlignment="1">
      <alignment horizontal="left" vertical="center"/>
    </xf>
    <xf numFmtId="3" fontId="107" fillId="0" borderId="28" xfId="525" applyNumberFormat="1" applyFont="1" applyBorder="1" applyAlignment="1">
      <alignment horizontal="center" vertical="center"/>
    </xf>
    <xf numFmtId="41" fontId="107" fillId="0" borderId="28" xfId="273" applyFont="1" applyBorder="1" applyAlignment="1">
      <alignment horizontal="center" vertical="center"/>
    </xf>
    <xf numFmtId="199" fontId="107" fillId="0" borderId="28" xfId="273" applyNumberFormat="1" applyFont="1" applyBorder="1" applyAlignment="1">
      <alignment horizontal="right" vertical="center"/>
    </xf>
    <xf numFmtId="3" fontId="107" fillId="0" borderId="79" xfId="525" applyNumberFormat="1" applyFont="1" applyBorder="1" applyAlignment="1">
      <alignment horizontal="center" vertical="center"/>
    </xf>
    <xf numFmtId="4" fontId="109" fillId="0" borderId="23" xfId="525" applyNumberFormat="1" applyFont="1" applyBorder="1" applyAlignment="1">
      <alignment vertical="center"/>
    </xf>
    <xf numFmtId="3" fontId="109" fillId="0" borderId="29" xfId="525" applyNumberFormat="1" applyFont="1" applyBorder="1" applyAlignment="1">
      <alignment horizontal="center" vertical="center" shrinkToFit="1"/>
    </xf>
    <xf numFmtId="4" fontId="109" fillId="0" borderId="25" xfId="525" applyNumberFormat="1" applyFont="1" applyBorder="1" applyAlignment="1">
      <alignment vertical="center"/>
    </xf>
    <xf numFmtId="3" fontId="110" fillId="0" borderId="77" xfId="525" applyNumberFormat="1" applyFont="1" applyBorder="1" applyAlignment="1">
      <alignment horizontal="center" vertical="center" shrinkToFit="1"/>
    </xf>
    <xf numFmtId="3" fontId="110" fillId="0" borderId="77" xfId="525" applyNumberFormat="1" applyFont="1" applyFill="1" applyBorder="1" applyAlignment="1">
      <alignment horizontal="center" vertical="center" shrinkToFit="1"/>
    </xf>
    <xf numFmtId="3" fontId="107" fillId="0" borderId="78" xfId="525" applyNumberFormat="1" applyFont="1" applyBorder="1" applyAlignment="1">
      <alignment horizontal="center" vertical="center"/>
    </xf>
    <xf numFmtId="4" fontId="107" fillId="0" borderId="28" xfId="525" applyNumberFormat="1" applyFont="1" applyBorder="1" applyAlignment="1">
      <alignment horizontal="center" vertical="center"/>
    </xf>
    <xf numFmtId="199" fontId="111" fillId="0" borderId="28" xfId="273" applyNumberFormat="1" applyFont="1" applyBorder="1" applyAlignment="1">
      <alignment horizontal="right" vertical="center"/>
    </xf>
    <xf numFmtId="3" fontId="109" fillId="0" borderId="80" xfId="525" applyNumberFormat="1" applyFont="1" applyBorder="1" applyAlignment="1">
      <alignment vertical="center"/>
    </xf>
    <xf numFmtId="3" fontId="109" fillId="0" borderId="81" xfId="525" applyNumberFormat="1" applyFont="1" applyBorder="1" applyAlignment="1">
      <alignment horizontal="center" vertical="center"/>
    </xf>
    <xf numFmtId="199" fontId="107" fillId="0" borderId="28" xfId="273" applyNumberFormat="1" applyFont="1" applyBorder="1" applyAlignment="1">
      <alignment vertical="center"/>
    </xf>
    <xf numFmtId="3" fontId="109" fillId="0" borderId="5" xfId="0" applyNumberFormat="1" applyFont="1" applyBorder="1" applyAlignment="1">
      <alignment horizontal="left" vertical="center" indent="1"/>
    </xf>
    <xf numFmtId="3" fontId="109" fillId="0" borderId="23" xfId="0" applyNumberFormat="1" applyFont="1" applyBorder="1" applyAlignment="1">
      <alignment vertical="center"/>
    </xf>
    <xf numFmtId="4" fontId="109" fillId="0" borderId="23" xfId="0" applyNumberFormat="1" applyFont="1" applyBorder="1" applyAlignment="1">
      <alignment vertical="center"/>
    </xf>
    <xf numFmtId="3" fontId="109" fillId="0" borderId="23" xfId="0" applyNumberFormat="1" applyFont="1" applyBorder="1" applyAlignment="1">
      <alignment horizontal="center" vertical="center"/>
    </xf>
    <xf numFmtId="201" fontId="109" fillId="0" borderId="29" xfId="0" applyNumberFormat="1" applyFont="1" applyBorder="1" applyAlignment="1">
      <alignment horizontal="center" vertical="center"/>
    </xf>
    <xf numFmtId="3" fontId="109" fillId="0" borderId="29" xfId="0" applyNumberFormat="1" applyFont="1" applyBorder="1" applyAlignment="1">
      <alignment horizontal="center" vertical="center"/>
    </xf>
    <xf numFmtId="3" fontId="109" fillId="0" borderId="76" xfId="0" applyNumberFormat="1" applyFont="1" applyBorder="1" applyAlignment="1">
      <alignment horizontal="center" vertical="center"/>
    </xf>
    <xf numFmtId="3" fontId="109" fillId="0" borderId="25" xfId="0" applyNumberFormat="1" applyFont="1" applyBorder="1" applyAlignment="1">
      <alignment vertical="center"/>
    </xf>
    <xf numFmtId="4" fontId="109" fillId="0" borderId="25" xfId="0" applyNumberFormat="1" applyFont="1" applyBorder="1" applyAlignment="1">
      <alignment vertical="center"/>
    </xf>
    <xf numFmtId="3" fontId="109" fillId="0" borderId="25" xfId="0" applyNumberFormat="1" applyFont="1" applyBorder="1" applyAlignment="1">
      <alignment horizontal="center" vertical="center"/>
    </xf>
    <xf numFmtId="3" fontId="109" fillId="0" borderId="77" xfId="0" applyNumberFormat="1" applyFont="1" applyBorder="1" applyAlignment="1">
      <alignment horizontal="center" vertical="center"/>
    </xf>
    <xf numFmtId="3" fontId="109" fillId="0" borderId="28" xfId="525" applyNumberFormat="1" applyFont="1" applyBorder="1" applyAlignment="1">
      <alignment vertical="center"/>
    </xf>
    <xf numFmtId="3" fontId="109" fillId="0" borderId="28" xfId="525" applyNumberFormat="1" applyFont="1" applyBorder="1" applyAlignment="1">
      <alignment horizontal="center" vertical="center"/>
    </xf>
    <xf numFmtId="41" fontId="109" fillId="0" borderId="28" xfId="273" applyFont="1" applyBorder="1" applyAlignment="1">
      <alignment vertical="center"/>
    </xf>
    <xf numFmtId="37" fontId="99" fillId="0" borderId="0" xfId="532" applyNumberFormat="1" applyFont="1" applyFill="1" applyAlignment="1" applyProtection="1">
      <alignment horizontal="left" vertical="center"/>
    </xf>
    <xf numFmtId="37" fontId="98" fillId="0" borderId="0" xfId="532" applyNumberFormat="1" applyFont="1" applyFill="1" applyAlignment="1">
      <alignment vertical="center"/>
    </xf>
    <xf numFmtId="0" fontId="98" fillId="0" borderId="0" xfId="532" applyFont="1" applyFill="1" applyAlignment="1">
      <alignment vertical="center"/>
    </xf>
    <xf numFmtId="0" fontId="105" fillId="0" borderId="0" xfId="532" applyFont="1" applyFill="1" applyAlignment="1">
      <alignment vertical="center" shrinkToFit="1"/>
    </xf>
    <xf numFmtId="37" fontId="99" fillId="0" borderId="0" xfId="532" applyNumberFormat="1" applyFont="1" applyFill="1" applyAlignment="1" applyProtection="1">
      <alignment horizontal="center" vertical="center"/>
    </xf>
    <xf numFmtId="0" fontId="105" fillId="0" borderId="0" xfId="532" applyFont="1" applyFill="1" applyAlignment="1">
      <alignment horizontal="right" vertical="center"/>
    </xf>
    <xf numFmtId="37" fontId="105" fillId="0" borderId="0" xfId="532" applyNumberFormat="1" applyFont="1" applyFill="1" applyAlignment="1" applyProtection="1">
      <alignment vertical="center"/>
    </xf>
    <xf numFmtId="0" fontId="105" fillId="0" borderId="0" xfId="532" applyFont="1" applyFill="1" applyAlignment="1" applyProtection="1">
      <alignment horizontal="left" vertical="center"/>
    </xf>
    <xf numFmtId="0" fontId="105" fillId="0" borderId="0" xfId="532" applyFont="1" applyFill="1" applyAlignment="1">
      <alignment vertical="center"/>
    </xf>
    <xf numFmtId="0" fontId="105" fillId="0" borderId="0" xfId="532" applyFont="1" applyFill="1" applyAlignment="1" applyProtection="1">
      <alignment vertical="center"/>
    </xf>
    <xf numFmtId="0" fontId="105" fillId="0" borderId="61" xfId="532" applyFont="1" applyFill="1" applyBorder="1" applyAlignment="1" applyProtection="1">
      <alignment horizontal="center" vertical="center"/>
    </xf>
    <xf numFmtId="37" fontId="105" fillId="0" borderId="62" xfId="532" applyNumberFormat="1" applyFont="1" applyFill="1" applyBorder="1" applyAlignment="1" applyProtection="1">
      <alignment horizontal="center" vertical="center"/>
    </xf>
    <xf numFmtId="0" fontId="105" fillId="0" borderId="63" xfId="532" applyFont="1" applyFill="1" applyBorder="1" applyAlignment="1" applyProtection="1">
      <alignment horizontal="center" vertical="center"/>
    </xf>
    <xf numFmtId="1" fontId="105" fillId="0" borderId="4" xfId="532" applyNumberFormat="1" applyFont="1" applyFill="1" applyBorder="1" applyAlignment="1" applyProtection="1">
      <alignment vertical="center"/>
    </xf>
    <xf numFmtId="0" fontId="105" fillId="0" borderId="4" xfId="532" applyFont="1" applyFill="1" applyBorder="1" applyAlignment="1" applyProtection="1">
      <alignment horizontal="center" vertical="center"/>
    </xf>
    <xf numFmtId="37" fontId="105" fillId="0" borderId="4" xfId="532" applyNumberFormat="1" applyFont="1" applyFill="1" applyBorder="1" applyAlignment="1" applyProtection="1">
      <alignment vertical="center" shrinkToFit="1"/>
    </xf>
    <xf numFmtId="1" fontId="105" fillId="0" borderId="23" xfId="532" applyNumberFormat="1" applyFont="1" applyFill="1" applyBorder="1" applyAlignment="1" applyProtection="1">
      <alignment vertical="center"/>
    </xf>
    <xf numFmtId="0" fontId="105" fillId="0" borderId="23" xfId="532" applyFont="1" applyFill="1" applyBorder="1" applyAlignment="1" applyProtection="1">
      <alignment horizontal="center" vertical="center"/>
    </xf>
    <xf numFmtId="37" fontId="105" fillId="0" borderId="23" xfId="532" applyNumberFormat="1" applyFont="1" applyFill="1" applyBorder="1" applyAlignment="1" applyProtection="1">
      <alignment vertical="center" shrinkToFit="1"/>
    </xf>
    <xf numFmtId="37" fontId="105" fillId="0" borderId="23" xfId="532" applyNumberFormat="1" applyFont="1" applyFill="1" applyBorder="1" applyAlignment="1">
      <alignment vertical="center" shrinkToFit="1"/>
    </xf>
    <xf numFmtId="37" fontId="105" fillId="0" borderId="61" xfId="532" applyNumberFormat="1" applyFont="1" applyFill="1" applyBorder="1" applyAlignment="1">
      <alignment horizontal="right" vertical="center" shrinkToFit="1"/>
    </xf>
    <xf numFmtId="0" fontId="105" fillId="0" borderId="23" xfId="532" applyFont="1" applyFill="1" applyBorder="1" applyAlignment="1">
      <alignment vertical="center" shrinkToFit="1"/>
    </xf>
    <xf numFmtId="0" fontId="105" fillId="0" borderId="23" xfId="532" applyFont="1" applyFill="1" applyBorder="1" applyAlignment="1">
      <alignment vertical="center"/>
    </xf>
    <xf numFmtId="0" fontId="105" fillId="0" borderId="61" xfId="532" applyFont="1" applyFill="1" applyBorder="1" applyAlignment="1">
      <alignment vertical="center" shrinkToFit="1"/>
    </xf>
    <xf numFmtId="0" fontId="105" fillId="0" borderId="23" xfId="532" applyFont="1" applyFill="1" applyBorder="1" applyAlignment="1" applyProtection="1">
      <alignment vertical="center"/>
    </xf>
    <xf numFmtId="0" fontId="105" fillId="0" borderId="61" xfId="532" applyFont="1" applyFill="1" applyBorder="1" applyAlignment="1">
      <alignment horizontal="center" vertical="center" shrinkToFit="1"/>
    </xf>
    <xf numFmtId="9" fontId="105" fillId="0" borderId="23" xfId="532" applyNumberFormat="1" applyFont="1" applyFill="1" applyBorder="1" applyAlignment="1">
      <alignment vertical="center"/>
    </xf>
    <xf numFmtId="0" fontId="105" fillId="0" borderId="23" xfId="532" applyFont="1" applyFill="1" applyBorder="1" applyAlignment="1" applyProtection="1">
      <alignment horizontal="left" vertical="center"/>
    </xf>
    <xf numFmtId="0" fontId="105" fillId="0" borderId="82" xfId="532" applyFont="1" applyFill="1" applyBorder="1" applyAlignment="1" applyProtection="1">
      <alignment horizontal="center" vertical="center"/>
    </xf>
    <xf numFmtId="0" fontId="105" fillId="0" borderId="62" xfId="532" applyFont="1" applyFill="1" applyBorder="1" applyAlignment="1">
      <alignment vertical="center"/>
    </xf>
    <xf numFmtId="37" fontId="105" fillId="0" borderId="62" xfId="532" applyNumberFormat="1" applyFont="1" applyFill="1" applyBorder="1" applyAlignment="1" applyProtection="1">
      <alignment vertical="center" shrinkToFit="1"/>
    </xf>
    <xf numFmtId="0" fontId="105" fillId="0" borderId="62" xfId="532" applyFont="1" applyFill="1" applyBorder="1" applyAlignment="1">
      <alignment vertical="center" shrinkToFit="1"/>
    </xf>
    <xf numFmtId="37" fontId="105" fillId="0" borderId="63" xfId="532" applyNumberFormat="1" applyFont="1" applyFill="1" applyBorder="1" applyAlignment="1">
      <alignment vertical="center" shrinkToFit="1"/>
    </xf>
    <xf numFmtId="37" fontId="105" fillId="0" borderId="0" xfId="532" applyNumberFormat="1" applyFont="1" applyFill="1" applyAlignment="1">
      <alignment vertical="center"/>
    </xf>
    <xf numFmtId="37" fontId="105" fillId="0" borderId="25" xfId="532" applyNumberFormat="1" applyFont="1" applyFill="1" applyBorder="1" applyAlignment="1" applyProtection="1">
      <alignment horizontal="center" vertical="center"/>
    </xf>
    <xf numFmtId="0" fontId="105" fillId="0" borderId="75" xfId="532" applyFont="1" applyFill="1" applyBorder="1" applyAlignment="1">
      <alignment horizontal="center" vertical="center"/>
    </xf>
    <xf numFmtId="0" fontId="105" fillId="0" borderId="29" xfId="532" applyFont="1" applyFill="1" applyBorder="1" applyAlignment="1">
      <alignment horizontal="center" vertical="center"/>
    </xf>
    <xf numFmtId="0" fontId="105" fillId="0" borderId="23" xfId="532" applyFont="1" applyFill="1" applyBorder="1" applyAlignment="1">
      <alignment horizontal="center" vertical="center"/>
    </xf>
    <xf numFmtId="0" fontId="105" fillId="0" borderId="5" xfId="532" applyFont="1" applyFill="1" applyBorder="1" applyAlignment="1">
      <alignment vertical="center"/>
    </xf>
    <xf numFmtId="0" fontId="105" fillId="0" borderId="29" xfId="532" applyFont="1" applyFill="1" applyBorder="1" applyAlignment="1">
      <alignment vertical="center"/>
    </xf>
    <xf numFmtId="0" fontId="105" fillId="0" borderId="5" xfId="532" applyFont="1" applyFill="1" applyBorder="1" applyAlignment="1" applyProtection="1">
      <alignment horizontal="center" vertical="center"/>
    </xf>
    <xf numFmtId="0" fontId="105" fillId="0" borderId="76" xfId="532" applyFont="1" applyFill="1" applyBorder="1" applyAlignment="1" applyProtection="1">
      <alignment horizontal="center" vertical="center"/>
    </xf>
    <xf numFmtId="0" fontId="105" fillId="0" borderId="25" xfId="532" applyFont="1" applyFill="1" applyBorder="1" applyAlignment="1">
      <alignment vertical="center"/>
    </xf>
    <xf numFmtId="37" fontId="105" fillId="0" borderId="25" xfId="532" applyNumberFormat="1" applyFont="1" applyFill="1" applyBorder="1" applyAlignment="1" applyProtection="1">
      <alignment vertical="center" shrinkToFit="1"/>
    </xf>
    <xf numFmtId="0" fontId="105" fillId="0" borderId="25" xfId="532" applyFont="1" applyFill="1" applyBorder="1" applyAlignment="1">
      <alignment vertical="center" shrinkToFit="1"/>
    </xf>
    <xf numFmtId="0" fontId="105" fillId="0" borderId="77" xfId="532" applyFont="1" applyFill="1" applyBorder="1" applyAlignment="1">
      <alignment vertical="center"/>
    </xf>
    <xf numFmtId="0" fontId="105" fillId="2" borderId="0" xfId="532" applyFont="1" applyFill="1" applyAlignment="1">
      <alignment vertical="center"/>
    </xf>
    <xf numFmtId="37" fontId="105" fillId="2" borderId="25" xfId="532" applyNumberFormat="1" applyFont="1" applyFill="1" applyBorder="1" applyAlignment="1" applyProtection="1">
      <alignment horizontal="center" vertical="center"/>
    </xf>
    <xf numFmtId="0" fontId="105" fillId="2" borderId="74" xfId="532" applyFont="1" applyFill="1" applyBorder="1" applyAlignment="1" applyProtection="1">
      <alignment horizontal="center" vertical="center" shrinkToFit="1"/>
    </xf>
    <xf numFmtId="0" fontId="105" fillId="2" borderId="4" xfId="532" applyFont="1" applyFill="1" applyBorder="1" applyAlignment="1">
      <alignment vertical="center"/>
    </xf>
    <xf numFmtId="258" fontId="105" fillId="2" borderId="4" xfId="532" applyNumberFormat="1" applyFont="1" applyFill="1" applyBorder="1" applyAlignment="1" applyProtection="1">
      <alignment vertical="center"/>
    </xf>
    <xf numFmtId="0" fontId="105" fillId="2" borderId="4" xfId="532" applyFont="1" applyFill="1" applyBorder="1" applyAlignment="1" applyProtection="1">
      <alignment horizontal="center" vertical="center"/>
    </xf>
    <xf numFmtId="251" fontId="105" fillId="2" borderId="4" xfId="409" applyFont="1" applyFill="1" applyBorder="1" applyAlignment="1" applyProtection="1">
      <alignment vertical="center" shrinkToFit="1"/>
    </xf>
    <xf numFmtId="251" fontId="105" fillId="2" borderId="4" xfId="409" applyFont="1" applyFill="1" applyBorder="1" applyAlignment="1">
      <alignment vertical="center" shrinkToFit="1"/>
    </xf>
    <xf numFmtId="0" fontId="105" fillId="2" borderId="75" xfId="532" applyFont="1" applyFill="1" applyBorder="1" applyAlignment="1">
      <alignment vertical="center"/>
    </xf>
    <xf numFmtId="0" fontId="105" fillId="2" borderId="5" xfId="532" applyFont="1" applyFill="1" applyBorder="1" applyAlignment="1" applyProtection="1">
      <alignment horizontal="center" vertical="center" shrinkToFit="1"/>
    </xf>
    <xf numFmtId="0" fontId="105" fillId="2" borderId="23" xfId="532" applyFont="1" applyFill="1" applyBorder="1" applyAlignment="1">
      <alignment vertical="center"/>
    </xf>
    <xf numFmtId="200" fontId="105" fillId="2" borderId="23" xfId="532" applyNumberFormat="1" applyFont="1" applyFill="1" applyBorder="1" applyAlignment="1" applyProtection="1">
      <alignment vertical="center"/>
    </xf>
    <xf numFmtId="0" fontId="105" fillId="2" borderId="23" xfId="532" applyFont="1" applyFill="1" applyBorder="1" applyAlignment="1" applyProtection="1">
      <alignment horizontal="center" vertical="center"/>
    </xf>
    <xf numFmtId="251" fontId="105" fillId="2" borderId="23" xfId="409" applyFont="1" applyFill="1" applyBorder="1" applyAlignment="1" applyProtection="1">
      <alignment vertical="center" shrinkToFit="1"/>
    </xf>
    <xf numFmtId="37" fontId="105" fillId="2" borderId="23" xfId="532" applyNumberFormat="1" applyFont="1" applyFill="1" applyBorder="1" applyAlignment="1" applyProtection="1">
      <alignment vertical="center" shrinkToFit="1"/>
    </xf>
    <xf numFmtId="251" fontId="105" fillId="2" borderId="23" xfId="409" applyFont="1" applyFill="1" applyBorder="1" applyAlignment="1">
      <alignment vertical="center" shrinkToFit="1"/>
    </xf>
    <xf numFmtId="0" fontId="105" fillId="2" borderId="29" xfId="532" applyFont="1" applyFill="1" applyBorder="1" applyAlignment="1">
      <alignment vertical="center"/>
    </xf>
    <xf numFmtId="0" fontId="105" fillId="2" borderId="23" xfId="532" applyFont="1" applyFill="1" applyBorder="1" applyAlignment="1" applyProtection="1">
      <alignment horizontal="left" vertical="center"/>
    </xf>
    <xf numFmtId="253" fontId="105" fillId="2" borderId="23" xfId="532" applyNumberFormat="1" applyFont="1" applyFill="1" applyBorder="1" applyAlignment="1" applyProtection="1">
      <alignment vertical="center"/>
    </xf>
    <xf numFmtId="0" fontId="105" fillId="2" borderId="23" xfId="532" applyFont="1" applyFill="1" applyBorder="1" applyAlignment="1">
      <alignment vertical="center" shrinkToFit="1"/>
    </xf>
    <xf numFmtId="0" fontId="105" fillId="2" borderId="5" xfId="532" applyFont="1" applyFill="1" applyBorder="1" applyAlignment="1" applyProtection="1">
      <alignment horizontal="center" vertical="center"/>
    </xf>
    <xf numFmtId="0" fontId="105" fillId="2" borderId="23" xfId="532" applyFont="1" applyFill="1" applyBorder="1" applyAlignment="1" applyProtection="1">
      <alignment vertical="center"/>
    </xf>
    <xf numFmtId="0" fontId="105" fillId="2" borderId="5" xfId="532" applyFont="1" applyFill="1" applyBorder="1" applyAlignment="1">
      <alignment vertical="center"/>
    </xf>
    <xf numFmtId="0" fontId="105" fillId="2" borderId="5" xfId="532" applyFont="1" applyFill="1" applyBorder="1" applyAlignment="1">
      <alignment horizontal="center" vertical="center" shrinkToFit="1"/>
    </xf>
    <xf numFmtId="0" fontId="105" fillId="2" borderId="23" xfId="532" applyFont="1" applyFill="1" applyBorder="1" applyAlignment="1">
      <alignment horizontal="center" vertical="center"/>
    </xf>
    <xf numFmtId="9" fontId="105" fillId="2" borderId="23" xfId="532" applyNumberFormat="1" applyFont="1" applyFill="1" applyBorder="1" applyAlignment="1">
      <alignment vertical="center"/>
    </xf>
    <xf numFmtId="0" fontId="105" fillId="2" borderId="76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>
      <alignment vertical="center"/>
    </xf>
    <xf numFmtId="251" fontId="105" fillId="2" borderId="25" xfId="409" applyFont="1" applyFill="1" applyBorder="1" applyAlignment="1" applyProtection="1">
      <alignment vertical="center" shrinkToFit="1"/>
    </xf>
    <xf numFmtId="251" fontId="105" fillId="2" borderId="25" xfId="409" applyFont="1" applyFill="1" applyBorder="1" applyAlignment="1">
      <alignment vertical="center" shrinkToFit="1"/>
    </xf>
    <xf numFmtId="37" fontId="105" fillId="2" borderId="25" xfId="532" applyNumberFormat="1" applyFont="1" applyFill="1" applyBorder="1" applyAlignment="1" applyProtection="1">
      <alignment vertical="center" shrinkToFit="1"/>
    </xf>
    <xf numFmtId="0" fontId="105" fillId="2" borderId="77" xfId="532" applyFont="1" applyFill="1" applyBorder="1" applyAlignment="1">
      <alignment vertical="center"/>
    </xf>
    <xf numFmtId="0" fontId="105" fillId="2" borderId="0" xfId="532" applyFont="1" applyFill="1" applyBorder="1" applyAlignment="1">
      <alignment vertical="center"/>
    </xf>
    <xf numFmtId="0" fontId="105" fillId="2" borderId="0" xfId="532" applyFont="1" applyFill="1" applyAlignment="1">
      <alignment horizontal="right" vertical="center"/>
    </xf>
    <xf numFmtId="37" fontId="105" fillId="2" borderId="0" xfId="532" applyNumberFormat="1" applyFont="1" applyFill="1" applyAlignment="1" applyProtection="1">
      <alignment vertical="center"/>
    </xf>
    <xf numFmtId="0" fontId="105" fillId="2" borderId="0" xfId="532" applyFont="1" applyFill="1" applyAlignment="1" applyProtection="1">
      <alignment horizontal="left" vertical="center"/>
    </xf>
    <xf numFmtId="37" fontId="105" fillId="2" borderId="4" xfId="532" applyNumberFormat="1" applyFont="1" applyFill="1" applyBorder="1" applyAlignment="1" applyProtection="1">
      <alignment vertical="center" shrinkToFit="1"/>
    </xf>
    <xf numFmtId="0" fontId="105" fillId="2" borderId="4" xfId="532" applyFont="1" applyFill="1" applyBorder="1" applyAlignment="1">
      <alignment vertical="center" shrinkToFit="1"/>
    </xf>
    <xf numFmtId="191" fontId="105" fillId="2" borderId="23" xfId="532" applyNumberFormat="1" applyFont="1" applyFill="1" applyBorder="1" applyAlignment="1">
      <alignment vertical="center"/>
    </xf>
    <xf numFmtId="191" fontId="105" fillId="2" borderId="23" xfId="532" applyNumberFormat="1" applyFont="1" applyFill="1" applyBorder="1" applyAlignment="1" applyProtection="1">
      <alignment vertical="center"/>
    </xf>
    <xf numFmtId="0" fontId="105" fillId="0" borderId="5" xfId="532" applyFont="1" applyFill="1" applyBorder="1" applyAlignment="1" applyProtection="1">
      <alignment horizontal="left" vertical="center"/>
    </xf>
    <xf numFmtId="191" fontId="105" fillId="0" borderId="23" xfId="532" applyNumberFormat="1" applyFont="1" applyFill="1" applyBorder="1" applyAlignment="1" applyProtection="1">
      <alignment vertical="center"/>
    </xf>
    <xf numFmtId="0" fontId="106" fillId="2" borderId="5" xfId="532" applyFont="1" applyFill="1" applyBorder="1" applyAlignment="1">
      <alignment horizontal="center" vertical="center"/>
    </xf>
    <xf numFmtId="41" fontId="105" fillId="2" borderId="23" xfId="532" applyNumberFormat="1" applyFont="1" applyFill="1" applyBorder="1" applyAlignment="1">
      <alignment vertical="center" shrinkToFit="1"/>
    </xf>
    <xf numFmtId="37" fontId="105" fillId="2" borderId="23" xfId="532" applyNumberFormat="1" applyFont="1" applyFill="1" applyBorder="1" applyAlignment="1">
      <alignment vertical="center" shrinkToFit="1"/>
    </xf>
    <xf numFmtId="0" fontId="106" fillId="2" borderId="5" xfId="532" applyFont="1" applyFill="1" applyBorder="1" applyAlignment="1" applyProtection="1">
      <alignment horizontal="center" vertical="center"/>
    </xf>
    <xf numFmtId="0" fontId="106" fillId="2" borderId="76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>
      <alignment vertical="center" shrinkToFit="1"/>
    </xf>
    <xf numFmtId="0" fontId="105" fillId="2" borderId="0" xfId="532" applyFont="1" applyFill="1" applyAlignment="1" applyProtection="1">
      <alignment vertical="center"/>
    </xf>
    <xf numFmtId="0" fontId="105" fillId="2" borderId="74" xfId="532" applyFont="1" applyFill="1" applyBorder="1" applyAlignment="1" applyProtection="1">
      <alignment horizontal="center" vertical="center"/>
    </xf>
    <xf numFmtId="0" fontId="105" fillId="2" borderId="4" xfId="532" applyFont="1" applyFill="1" applyBorder="1" applyAlignment="1" applyProtection="1">
      <alignment horizontal="left" vertical="center"/>
    </xf>
    <xf numFmtId="209" fontId="105" fillId="2" borderId="4" xfId="532" applyNumberFormat="1" applyFont="1" applyFill="1" applyBorder="1" applyAlignment="1" applyProtection="1">
      <alignment vertical="center"/>
    </xf>
    <xf numFmtId="209" fontId="105" fillId="2" borderId="23" xfId="532" applyNumberFormat="1" applyFont="1" applyFill="1" applyBorder="1" applyAlignment="1" applyProtection="1">
      <alignment vertical="center"/>
    </xf>
    <xf numFmtId="9" fontId="105" fillId="2" borderId="23" xfId="532" applyNumberFormat="1" applyFont="1" applyFill="1" applyBorder="1" applyAlignment="1" applyProtection="1">
      <alignment vertical="center"/>
    </xf>
    <xf numFmtId="0" fontId="105" fillId="2" borderId="5" xfId="532" applyFont="1" applyFill="1" applyBorder="1" applyAlignment="1" applyProtection="1">
      <alignment horizontal="left" vertical="center"/>
    </xf>
    <xf numFmtId="181" fontId="105" fillId="2" borderId="23" xfId="532" applyNumberFormat="1" applyFont="1" applyFill="1" applyBorder="1" applyAlignment="1" applyProtection="1">
      <alignment vertical="center" shrinkToFit="1"/>
    </xf>
    <xf numFmtId="0" fontId="105" fillId="2" borderId="25" xfId="532" applyFont="1" applyFill="1" applyBorder="1" applyAlignment="1">
      <alignment horizontal="center" vertical="center"/>
    </xf>
    <xf numFmtId="0" fontId="105" fillId="0" borderId="74" xfId="532" applyFont="1" applyFill="1" applyBorder="1" applyAlignment="1" applyProtection="1">
      <alignment horizontal="center" vertical="center"/>
    </xf>
    <xf numFmtId="200" fontId="105" fillId="0" borderId="4" xfId="532" applyNumberFormat="1" applyFont="1" applyFill="1" applyBorder="1" applyAlignment="1" applyProtection="1">
      <alignment vertical="center"/>
    </xf>
    <xf numFmtId="0" fontId="105" fillId="0" borderId="4" xfId="532" applyFont="1" applyFill="1" applyBorder="1" applyAlignment="1">
      <alignment vertical="center" shrinkToFit="1"/>
    </xf>
    <xf numFmtId="0" fontId="105" fillId="0" borderId="75" xfId="532" applyFont="1" applyFill="1" applyBorder="1" applyAlignment="1" applyProtection="1">
      <alignment horizontal="center" vertical="center"/>
    </xf>
    <xf numFmtId="200" fontId="105" fillId="0" borderId="23" xfId="532" applyNumberFormat="1" applyFont="1" applyFill="1" applyBorder="1" applyAlignment="1" applyProtection="1">
      <alignment vertical="center"/>
    </xf>
    <xf numFmtId="253" fontId="105" fillId="0" borderId="23" xfId="532" applyNumberFormat="1" applyFont="1" applyFill="1" applyBorder="1" applyAlignment="1" applyProtection="1">
      <alignment vertical="center"/>
    </xf>
    <xf numFmtId="254" fontId="105" fillId="0" borderId="29" xfId="532" applyNumberFormat="1" applyFont="1" applyFill="1" applyBorder="1" applyAlignment="1">
      <alignment horizontal="left" vertical="center"/>
    </xf>
    <xf numFmtId="0" fontId="105" fillId="0" borderId="5" xfId="532" applyFont="1" applyFill="1" applyBorder="1" applyAlignment="1">
      <alignment horizontal="center" vertical="center"/>
    </xf>
    <xf numFmtId="41" fontId="105" fillId="0" borderId="23" xfId="532" applyNumberFormat="1" applyFont="1" applyFill="1" applyBorder="1" applyAlignment="1">
      <alignment vertical="center" shrinkToFit="1"/>
    </xf>
    <xf numFmtId="37" fontId="105" fillId="0" borderId="25" xfId="532" applyNumberFormat="1" applyFont="1" applyFill="1" applyBorder="1" applyAlignment="1" applyProtection="1">
      <alignment horizontal="center" vertical="center" shrinkToFit="1"/>
    </xf>
    <xf numFmtId="0" fontId="105" fillId="0" borderId="74" xfId="532" applyFont="1" applyFill="1" applyBorder="1" applyAlignment="1" applyProtection="1">
      <alignment horizontal="center" vertical="center" shrinkToFit="1"/>
    </xf>
    <xf numFmtId="252" fontId="105" fillId="0" borderId="4" xfId="532" applyNumberFormat="1" applyFont="1" applyFill="1" applyBorder="1" applyAlignment="1" applyProtection="1">
      <alignment vertical="center" shrinkToFit="1"/>
    </xf>
    <xf numFmtId="0" fontId="105" fillId="0" borderId="4" xfId="532" applyFont="1" applyFill="1" applyBorder="1" applyAlignment="1" applyProtection="1">
      <alignment horizontal="center" vertical="center" shrinkToFit="1"/>
    </xf>
    <xf numFmtId="41" fontId="105" fillId="0" borderId="4" xfId="412" applyFont="1" applyFill="1" applyBorder="1" applyAlignment="1">
      <alignment vertical="center" shrinkToFit="1"/>
    </xf>
    <xf numFmtId="0" fontId="105" fillId="0" borderId="75" xfId="532" applyFont="1" applyFill="1" applyBorder="1" applyAlignment="1">
      <alignment vertical="center" shrinkToFit="1"/>
    </xf>
    <xf numFmtId="0" fontId="105" fillId="0" borderId="5" xfId="532" applyFont="1" applyFill="1" applyBorder="1" applyAlignment="1">
      <alignment horizontal="center" vertical="center" shrinkToFit="1"/>
    </xf>
    <xf numFmtId="0" fontId="105" fillId="0" borderId="23" xfId="532" applyFont="1" applyFill="1" applyBorder="1" applyAlignment="1">
      <alignment horizontal="center" vertical="center" shrinkToFit="1"/>
    </xf>
    <xf numFmtId="251" fontId="105" fillId="0" borderId="23" xfId="409" applyFont="1" applyFill="1" applyBorder="1" applyAlignment="1">
      <alignment vertical="center" shrinkToFit="1"/>
    </xf>
    <xf numFmtId="0" fontId="105" fillId="0" borderId="29" xfId="532" applyFont="1" applyFill="1" applyBorder="1" applyAlignment="1">
      <alignment vertical="center" shrinkToFit="1"/>
    </xf>
    <xf numFmtId="0" fontId="105" fillId="0" borderId="5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vertical="center" shrinkToFit="1"/>
    </xf>
    <xf numFmtId="41" fontId="105" fillId="0" borderId="23" xfId="412" applyFont="1" applyFill="1" applyBorder="1" applyAlignment="1">
      <alignment vertical="center" shrinkToFit="1"/>
    </xf>
    <xf numFmtId="251" fontId="105" fillId="0" borderId="23" xfId="409" applyFont="1" applyFill="1" applyBorder="1" applyAlignment="1" applyProtection="1">
      <alignment vertical="center" shrinkToFit="1"/>
    </xf>
    <xf numFmtId="251" fontId="105" fillId="0" borderId="23" xfId="409" applyNumberFormat="1" applyFont="1" applyFill="1" applyBorder="1" applyAlignment="1" applyProtection="1">
      <alignment vertical="center" shrinkToFit="1"/>
    </xf>
    <xf numFmtId="0" fontId="105" fillId="0" borderId="5" xfId="532" applyFont="1" applyFill="1" applyBorder="1" applyAlignment="1">
      <alignment vertical="center" shrinkToFit="1"/>
    </xf>
    <xf numFmtId="9" fontId="105" fillId="0" borderId="23" xfId="532" applyNumberFormat="1" applyFont="1" applyFill="1" applyBorder="1" applyAlignment="1">
      <alignment vertical="center" shrinkToFit="1"/>
    </xf>
    <xf numFmtId="0" fontId="105" fillId="0" borderId="23" xfId="532" applyFont="1" applyFill="1" applyBorder="1" applyAlignment="1" applyProtection="1">
      <alignment horizontal="left" vertical="center" shrinkToFit="1"/>
    </xf>
    <xf numFmtId="0" fontId="105" fillId="0" borderId="76" xfId="532" applyFont="1" applyFill="1" applyBorder="1" applyAlignment="1" applyProtection="1">
      <alignment horizontal="center" vertical="center" shrinkToFit="1"/>
    </xf>
    <xf numFmtId="0" fontId="105" fillId="0" borderId="77" xfId="532" applyFont="1" applyFill="1" applyBorder="1" applyAlignment="1">
      <alignment vertical="center" shrinkToFit="1"/>
    </xf>
    <xf numFmtId="0" fontId="105" fillId="0" borderId="0" xfId="0" applyFont="1" applyFill="1" applyAlignment="1">
      <alignment vertical="center"/>
    </xf>
    <xf numFmtId="0" fontId="105" fillId="0" borderId="0" xfId="0" applyFont="1" applyFill="1" applyAlignment="1">
      <alignment horizontal="right" vertical="center"/>
    </xf>
    <xf numFmtId="37" fontId="105" fillId="0" borderId="0" xfId="0" applyNumberFormat="1" applyFont="1" applyFill="1" applyAlignment="1" applyProtection="1">
      <alignment vertical="center"/>
    </xf>
    <xf numFmtId="0" fontId="105" fillId="0" borderId="0" xfId="0" applyFont="1" applyFill="1" applyAlignment="1" applyProtection="1">
      <alignment horizontal="left" vertical="center"/>
    </xf>
    <xf numFmtId="37" fontId="105" fillId="2" borderId="25" xfId="0" applyNumberFormat="1" applyFont="1" applyFill="1" applyBorder="1" applyAlignment="1" applyProtection="1">
      <alignment horizontal="center" vertical="center"/>
    </xf>
    <xf numFmtId="0" fontId="105" fillId="2" borderId="4" xfId="0" applyFont="1" applyFill="1" applyBorder="1" applyAlignment="1" applyProtection="1">
      <alignment vertical="center"/>
    </xf>
    <xf numFmtId="0" fontId="105" fillId="2" borderId="4" xfId="0" applyFont="1" applyFill="1" applyBorder="1" applyAlignment="1" applyProtection="1">
      <alignment horizontal="center" vertical="center"/>
    </xf>
    <xf numFmtId="37" fontId="105" fillId="2" borderId="4" xfId="0" applyNumberFormat="1" applyFont="1" applyFill="1" applyBorder="1" applyAlignment="1" applyProtection="1">
      <alignment vertical="center" shrinkToFit="1"/>
    </xf>
    <xf numFmtId="0" fontId="105" fillId="2" borderId="4" xfId="0" applyFont="1" applyFill="1" applyBorder="1" applyAlignment="1">
      <alignment vertical="center" shrinkToFit="1"/>
    </xf>
    <xf numFmtId="0" fontId="105" fillId="2" borderId="75" xfId="0" applyFont="1" applyFill="1" applyBorder="1" applyAlignment="1">
      <alignment vertical="center"/>
    </xf>
    <xf numFmtId="0" fontId="105" fillId="2" borderId="5" xfId="531" applyFont="1" applyFill="1" applyBorder="1" applyAlignment="1" applyProtection="1">
      <alignment horizontal="left" vertical="center"/>
    </xf>
    <xf numFmtId="0" fontId="105" fillId="2" borderId="23" xfId="531" applyFont="1" applyFill="1" applyBorder="1" applyAlignment="1">
      <alignment vertical="center"/>
    </xf>
    <xf numFmtId="0" fontId="105" fillId="2" borderId="23" xfId="531" applyFont="1" applyFill="1" applyBorder="1" applyAlignment="1" applyProtection="1">
      <alignment horizontal="right" vertical="center"/>
    </xf>
    <xf numFmtId="188" fontId="105" fillId="2" borderId="23" xfId="531" applyNumberFormat="1" applyFont="1" applyFill="1" applyBorder="1" applyAlignment="1" applyProtection="1">
      <alignment vertical="center" shrinkToFit="1"/>
      <protection locked="0"/>
    </xf>
    <xf numFmtId="0" fontId="105" fillId="2" borderId="23" xfId="531" applyFont="1" applyFill="1" applyBorder="1" applyAlignment="1" applyProtection="1">
      <alignment horizontal="left" vertical="center" shrinkToFit="1"/>
    </xf>
    <xf numFmtId="0" fontId="105" fillId="2" borderId="23" xfId="531" applyFont="1" applyFill="1" applyBorder="1" applyAlignment="1">
      <alignment vertical="center" shrinkToFit="1"/>
    </xf>
    <xf numFmtId="37" fontId="105" fillId="2" borderId="23" xfId="531" applyNumberFormat="1" applyFont="1" applyFill="1" applyBorder="1" applyAlignment="1" applyProtection="1">
      <alignment vertical="center" shrinkToFit="1"/>
    </xf>
    <xf numFmtId="0" fontId="105" fillId="2" borderId="29" xfId="0" applyFont="1" applyFill="1" applyBorder="1" applyAlignment="1">
      <alignment vertical="center"/>
    </xf>
    <xf numFmtId="0" fontId="105" fillId="2" borderId="5" xfId="531" applyFont="1" applyFill="1" applyBorder="1" applyAlignment="1">
      <alignment vertical="center"/>
    </xf>
    <xf numFmtId="188" fontId="105" fillId="2" borderId="23" xfId="531" applyNumberFormat="1" applyFont="1" applyFill="1" applyBorder="1" applyAlignment="1" applyProtection="1">
      <alignment vertical="center" shrinkToFit="1"/>
    </xf>
    <xf numFmtId="3" fontId="105" fillId="2" borderId="23" xfId="531" applyNumberFormat="1" applyFont="1" applyFill="1" applyBorder="1" applyAlignment="1" applyProtection="1">
      <alignment vertical="center" shrinkToFit="1"/>
    </xf>
    <xf numFmtId="181" fontId="105" fillId="2" borderId="23" xfId="531" applyNumberFormat="1" applyFont="1" applyFill="1" applyBorder="1" applyAlignment="1" applyProtection="1">
      <alignment horizontal="left" vertical="center" shrinkToFit="1"/>
    </xf>
    <xf numFmtId="181" fontId="105" fillId="2" borderId="23" xfId="531" applyNumberFormat="1" applyFont="1" applyFill="1" applyBorder="1" applyAlignment="1" applyProtection="1">
      <alignment vertical="center" shrinkToFit="1"/>
    </xf>
    <xf numFmtId="0" fontId="105" fillId="2" borderId="23" xfId="531" applyFont="1" applyFill="1" applyBorder="1" applyAlignment="1" applyProtection="1">
      <alignment horizontal="left" vertical="center"/>
    </xf>
    <xf numFmtId="188" fontId="105" fillId="2" borderId="23" xfId="531" applyNumberFormat="1" applyFont="1" applyFill="1" applyBorder="1" applyAlignment="1" applyProtection="1">
      <alignment horizontal="center" vertical="center"/>
    </xf>
    <xf numFmtId="0" fontId="105" fillId="2" borderId="23" xfId="531" applyFont="1" applyFill="1" applyBorder="1" applyAlignment="1">
      <alignment horizontal="center" vertical="center" shrinkToFit="1"/>
    </xf>
    <xf numFmtId="0" fontId="105" fillId="2" borderId="23" xfId="531" quotePrefix="1" applyFont="1" applyFill="1" applyBorder="1" applyAlignment="1" applyProtection="1">
      <alignment horizontal="center" vertical="center" shrinkToFit="1"/>
    </xf>
    <xf numFmtId="37" fontId="105" fillId="2" borderId="23" xfId="531" applyNumberFormat="1" applyFont="1" applyFill="1" applyBorder="1" applyAlignment="1" applyProtection="1">
      <alignment horizontal="right" vertical="center"/>
    </xf>
    <xf numFmtId="188" fontId="105" fillId="2" borderId="23" xfId="531" applyNumberFormat="1" applyFont="1" applyFill="1" applyBorder="1" applyAlignment="1">
      <alignment vertical="center" shrinkToFit="1"/>
    </xf>
    <xf numFmtId="250" fontId="105" fillId="2" borderId="23" xfId="531" applyNumberFormat="1" applyFont="1" applyFill="1" applyBorder="1" applyAlignment="1" applyProtection="1">
      <alignment vertical="center"/>
    </xf>
    <xf numFmtId="249" fontId="105" fillId="2" borderId="23" xfId="531" applyNumberFormat="1" applyFont="1" applyFill="1" applyBorder="1" applyAlignment="1" applyProtection="1">
      <alignment horizontal="center" vertical="center" shrinkToFit="1"/>
    </xf>
    <xf numFmtId="41" fontId="105" fillId="2" borderId="23" xfId="531" quotePrefix="1" applyNumberFormat="1" applyFont="1" applyFill="1" applyBorder="1" applyAlignment="1" applyProtection="1">
      <alignment horizontal="center" vertical="center" shrinkToFit="1"/>
    </xf>
    <xf numFmtId="248" fontId="105" fillId="2" borderId="23" xfId="531" applyNumberFormat="1" applyFont="1" applyFill="1" applyBorder="1" applyAlignment="1">
      <alignment horizontal="right" vertical="center" shrinkToFit="1"/>
    </xf>
    <xf numFmtId="0" fontId="105" fillId="2" borderId="5" xfId="0" applyFont="1" applyFill="1" applyBorder="1" applyAlignment="1">
      <alignment horizontal="center" vertical="center"/>
    </xf>
    <xf numFmtId="0" fontId="105" fillId="2" borderId="23" xfId="0" applyFont="1" applyFill="1" applyBorder="1" applyAlignment="1">
      <alignment horizontal="center" vertical="center"/>
    </xf>
    <xf numFmtId="0" fontId="105" fillId="2" borderId="23" xfId="0" applyFont="1" applyFill="1" applyBorder="1" applyAlignment="1">
      <alignment vertical="center"/>
    </xf>
    <xf numFmtId="37" fontId="105" fillId="2" borderId="23" xfId="0" applyNumberFormat="1" applyFont="1" applyFill="1" applyBorder="1" applyAlignment="1" applyProtection="1">
      <alignment vertical="center" shrinkToFit="1"/>
    </xf>
    <xf numFmtId="41" fontId="105" fillId="2" borderId="23" xfId="0" applyNumberFormat="1" applyFont="1" applyFill="1" applyBorder="1" applyAlignment="1">
      <alignment vertical="center" shrinkToFit="1"/>
    </xf>
    <xf numFmtId="0" fontId="105" fillId="2" borderId="23" xfId="0" applyFont="1" applyFill="1" applyBorder="1" applyAlignment="1">
      <alignment vertical="center" shrinkToFit="1"/>
    </xf>
    <xf numFmtId="37" fontId="105" fillId="2" borderId="23" xfId="0" applyNumberFormat="1" applyFont="1" applyFill="1" applyBorder="1" applyAlignment="1">
      <alignment vertical="center" shrinkToFit="1"/>
    </xf>
    <xf numFmtId="0" fontId="105" fillId="2" borderId="5" xfId="0" applyFont="1" applyFill="1" applyBorder="1" applyAlignment="1">
      <alignment vertical="center"/>
    </xf>
    <xf numFmtId="0" fontId="105" fillId="2" borderId="5" xfId="0" applyFont="1" applyFill="1" applyBorder="1" applyAlignment="1" applyProtection="1">
      <alignment horizontal="center" vertical="center"/>
    </xf>
    <xf numFmtId="9" fontId="105" fillId="2" borderId="23" xfId="0" applyNumberFormat="1" applyFont="1" applyFill="1" applyBorder="1" applyAlignment="1">
      <alignment vertical="center"/>
    </xf>
    <xf numFmtId="0" fontId="105" fillId="2" borderId="23" xfId="0" applyFont="1" applyFill="1" applyBorder="1" applyAlignment="1" applyProtection="1">
      <alignment horizontal="left" vertical="center"/>
    </xf>
    <xf numFmtId="0" fontId="105" fillId="2" borderId="76" xfId="0" applyFont="1" applyFill="1" applyBorder="1" applyAlignment="1" applyProtection="1">
      <alignment horizontal="center" vertical="center"/>
    </xf>
    <xf numFmtId="0" fontId="105" fillId="2" borderId="25" xfId="0" applyFont="1" applyFill="1" applyBorder="1" applyAlignment="1">
      <alignment vertical="center"/>
    </xf>
    <xf numFmtId="37" fontId="105" fillId="2" borderId="25" xfId="0" applyNumberFormat="1" applyFont="1" applyFill="1" applyBorder="1" applyAlignment="1" applyProtection="1">
      <alignment vertical="center" shrinkToFit="1"/>
    </xf>
    <xf numFmtId="0" fontId="105" fillId="2" borderId="25" xfId="0" applyFont="1" applyFill="1" applyBorder="1" applyAlignment="1">
      <alignment vertical="center" shrinkToFit="1"/>
    </xf>
    <xf numFmtId="0" fontId="105" fillId="2" borderId="77" xfId="0" applyFont="1" applyFill="1" applyBorder="1" applyAlignment="1">
      <alignment vertical="center"/>
    </xf>
    <xf numFmtId="0" fontId="112" fillId="2" borderId="83" xfId="531" applyFont="1" applyFill="1" applyBorder="1" applyAlignment="1" applyProtection="1">
      <alignment horizontal="center" vertical="center"/>
    </xf>
    <xf numFmtId="0" fontId="112" fillId="2" borderId="84" xfId="531" applyFont="1" applyFill="1" applyBorder="1" applyAlignment="1">
      <alignment horizontal="center" vertical="center"/>
    </xf>
    <xf numFmtId="0" fontId="112" fillId="2" borderId="84" xfId="531" applyFont="1" applyFill="1" applyBorder="1" applyAlignment="1" applyProtection="1">
      <alignment horizontal="center" vertical="center"/>
    </xf>
    <xf numFmtId="41" fontId="112" fillId="2" borderId="84" xfId="531" applyNumberFormat="1" applyFont="1" applyFill="1" applyBorder="1" applyAlignment="1" applyProtection="1">
      <alignment horizontal="center" vertical="center"/>
    </xf>
    <xf numFmtId="37" fontId="112" fillId="2" borderId="84" xfId="531" applyNumberFormat="1" applyFont="1" applyFill="1" applyBorder="1" applyAlignment="1" applyProtection="1">
      <alignment horizontal="center" vertical="center"/>
    </xf>
    <xf numFmtId="0" fontId="112" fillId="2" borderId="5" xfId="531" applyFont="1" applyFill="1" applyBorder="1" applyAlignment="1" applyProtection="1">
      <alignment horizontal="center" vertical="center"/>
    </xf>
    <xf numFmtId="0" fontId="112" fillId="2" borderId="23" xfId="531" applyFont="1" applyFill="1" applyBorder="1" applyAlignment="1">
      <alignment horizontal="center" vertical="center"/>
    </xf>
    <xf numFmtId="0" fontId="112" fillId="2" borderId="23" xfId="531" applyFont="1" applyFill="1" applyBorder="1" applyAlignment="1" applyProtection="1">
      <alignment vertical="center"/>
    </xf>
    <xf numFmtId="0" fontId="112" fillId="2" borderId="23" xfId="531" applyFont="1" applyFill="1" applyBorder="1" applyAlignment="1" applyProtection="1">
      <alignment horizontal="center" vertical="center"/>
    </xf>
    <xf numFmtId="0" fontId="112" fillId="2" borderId="5" xfId="531" applyFont="1" applyFill="1" applyBorder="1" applyAlignment="1">
      <alignment horizontal="centerContinuous" vertical="center"/>
    </xf>
    <xf numFmtId="0" fontId="112" fillId="2" borderId="23" xfId="531" applyFont="1" applyFill="1" applyBorder="1" applyAlignment="1">
      <alignment vertical="center"/>
    </xf>
    <xf numFmtId="37" fontId="112" fillId="2" borderId="23" xfId="531" applyNumberFormat="1" applyFont="1" applyFill="1" applyBorder="1" applyAlignment="1" applyProtection="1">
      <alignment vertical="center"/>
    </xf>
    <xf numFmtId="0" fontId="112" fillId="2" borderId="5" xfId="531" applyFont="1" applyFill="1" applyBorder="1" applyAlignment="1">
      <alignment horizontal="center" vertical="center"/>
    </xf>
    <xf numFmtId="0" fontId="112" fillId="2" borderId="23" xfId="532" applyFont="1" applyFill="1" applyBorder="1" applyAlignment="1">
      <alignment vertical="center"/>
    </xf>
    <xf numFmtId="0" fontId="112" fillId="2" borderId="23" xfId="532" applyFont="1" applyFill="1" applyBorder="1" applyAlignment="1">
      <alignment horizontal="center" vertical="center"/>
    </xf>
    <xf numFmtId="37" fontId="112" fillId="2" borderId="83" xfId="531" applyNumberFormat="1" applyFont="1" applyFill="1" applyBorder="1" applyAlignment="1" applyProtection="1">
      <alignment horizontal="center" vertical="center"/>
    </xf>
    <xf numFmtId="37" fontId="112" fillId="2" borderId="85" xfId="531" applyNumberFormat="1" applyFont="1" applyFill="1" applyBorder="1" applyAlignment="1" applyProtection="1">
      <alignment horizontal="center" vertical="center"/>
    </xf>
    <xf numFmtId="0" fontId="112" fillId="2" borderId="5" xfId="532" applyFont="1" applyFill="1" applyBorder="1" applyAlignment="1">
      <alignment vertical="center"/>
    </xf>
    <xf numFmtId="37" fontId="112" fillId="2" borderId="5" xfId="531" applyNumberFormat="1" applyFont="1" applyFill="1" applyBorder="1" applyAlignment="1" applyProtection="1">
      <alignment horizontal="right" vertical="center"/>
    </xf>
    <xf numFmtId="37" fontId="112" fillId="2" borderId="29" xfId="531" applyNumberFormat="1" applyFont="1" applyFill="1" applyBorder="1" applyAlignment="1" applyProtection="1">
      <alignment horizontal="right" vertical="center"/>
    </xf>
    <xf numFmtId="0" fontId="112" fillId="2" borderId="5" xfId="532" applyFont="1" applyFill="1" applyBorder="1" applyAlignment="1">
      <alignment horizontal="center" vertical="center"/>
    </xf>
    <xf numFmtId="0" fontId="112" fillId="2" borderId="76" xfId="532" applyFont="1" applyFill="1" applyBorder="1" applyAlignment="1">
      <alignment vertical="center"/>
    </xf>
    <xf numFmtId="0" fontId="112" fillId="2" borderId="25" xfId="532" applyFont="1" applyFill="1" applyBorder="1" applyAlignment="1">
      <alignment vertical="center"/>
    </xf>
    <xf numFmtId="251" fontId="112" fillId="2" borderId="25" xfId="410" applyNumberFormat="1" applyFont="1" applyFill="1" applyBorder="1" applyAlignment="1">
      <alignment vertical="center"/>
    </xf>
    <xf numFmtId="37" fontId="112" fillId="2" borderId="25" xfId="531" applyNumberFormat="1" applyFont="1" applyFill="1" applyBorder="1" applyAlignment="1" applyProtection="1">
      <alignment horizontal="left" vertical="center"/>
    </xf>
    <xf numFmtId="37" fontId="112" fillId="2" borderId="86" xfId="531" applyNumberFormat="1" applyFont="1" applyFill="1" applyBorder="1" applyAlignment="1" applyProtection="1">
      <alignment horizontal="left" vertical="center"/>
    </xf>
    <xf numFmtId="37" fontId="112" fillId="2" borderId="76" xfId="531" applyNumberFormat="1" applyFont="1" applyFill="1" applyBorder="1" applyAlignment="1" applyProtection="1">
      <alignment horizontal="center" vertical="center"/>
    </xf>
    <xf numFmtId="37" fontId="112" fillId="2" borderId="77" xfId="531" applyNumberFormat="1" applyFont="1" applyFill="1" applyBorder="1" applyAlignment="1" applyProtection="1">
      <alignment horizontal="right" vertical="center"/>
    </xf>
    <xf numFmtId="0" fontId="112" fillId="2" borderId="0" xfId="532" applyFont="1" applyFill="1" applyAlignment="1">
      <alignment vertical="center"/>
    </xf>
    <xf numFmtId="37" fontId="112" fillId="2" borderId="14" xfId="531" applyNumberFormat="1" applyFont="1" applyFill="1" applyBorder="1" applyAlignment="1" applyProtection="1">
      <alignment horizontal="center" vertical="center"/>
    </xf>
    <xf numFmtId="37" fontId="112" fillId="2" borderId="20" xfId="531" applyNumberFormat="1" applyFont="1" applyFill="1" applyBorder="1" applyAlignment="1" applyProtection="1">
      <alignment horizontal="right" vertical="center"/>
    </xf>
    <xf numFmtId="216" fontId="112" fillId="2" borderId="83" xfId="0" applyNumberFormat="1" applyFont="1" applyFill="1" applyBorder="1" applyAlignment="1" applyProtection="1">
      <alignment horizontal="center" vertical="center"/>
    </xf>
    <xf numFmtId="216" fontId="112" fillId="2" borderId="84" xfId="0" applyNumberFormat="1" applyFont="1" applyFill="1" applyBorder="1" applyAlignment="1">
      <alignment horizontal="center" vertical="center"/>
    </xf>
    <xf numFmtId="216" fontId="112" fillId="2" borderId="84" xfId="0" applyNumberFormat="1" applyFont="1" applyFill="1" applyBorder="1" applyAlignment="1" applyProtection="1">
      <alignment horizontal="center" vertical="center"/>
    </xf>
    <xf numFmtId="0" fontId="112" fillId="2" borderId="84" xfId="532" applyFont="1" applyFill="1" applyBorder="1" applyAlignment="1">
      <alignment horizontal="center" vertical="center"/>
    </xf>
    <xf numFmtId="0" fontId="112" fillId="2" borderId="85" xfId="532" applyFont="1" applyFill="1" applyBorder="1" applyAlignment="1">
      <alignment horizontal="center" vertical="center"/>
    </xf>
    <xf numFmtId="41" fontId="112" fillId="0" borderId="23" xfId="273" applyFont="1" applyBorder="1" applyAlignment="1">
      <alignment vertical="center"/>
    </xf>
    <xf numFmtId="3" fontId="109" fillId="0" borderId="87" xfId="0" applyNumberFormat="1" applyFont="1" applyBorder="1" applyAlignment="1">
      <alignment horizontal="center" vertical="center" shrinkToFit="1"/>
    </xf>
    <xf numFmtId="3" fontId="109" fillId="0" borderId="88" xfId="0" applyNumberFormat="1" applyFont="1" applyBorder="1" applyAlignment="1">
      <alignment horizontal="center" vertical="center" shrinkToFit="1"/>
    </xf>
    <xf numFmtId="0" fontId="109" fillId="0" borderId="51" xfId="0" applyFont="1" applyBorder="1" applyAlignment="1">
      <alignment horizontal="center" vertical="center" shrinkToFit="1"/>
    </xf>
    <xf numFmtId="3" fontId="109" fillId="0" borderId="51" xfId="273" applyNumberFormat="1" applyFont="1" applyBorder="1" applyAlignment="1">
      <alignment horizontal="center" vertical="center" shrinkToFit="1"/>
    </xf>
    <xf numFmtId="3" fontId="109" fillId="0" borderId="51" xfId="0" applyNumberFormat="1" applyFont="1" applyBorder="1" applyAlignment="1">
      <alignment horizontal="center" vertical="center" shrinkToFit="1"/>
    </xf>
    <xf numFmtId="3" fontId="109" fillId="0" borderId="49" xfId="0" applyNumberFormat="1" applyFont="1" applyBorder="1" applyAlignment="1">
      <alignment horizontal="center" vertical="center" shrinkToFit="1"/>
    </xf>
    <xf numFmtId="3" fontId="109" fillId="0" borderId="52" xfId="0" applyNumberFormat="1" applyFont="1" applyBorder="1" applyAlignment="1">
      <alignment horizontal="center" vertical="center" shrinkToFit="1"/>
    </xf>
    <xf numFmtId="0" fontId="109" fillId="0" borderId="89" xfId="0" applyFont="1" applyBorder="1" applyAlignment="1">
      <alignment horizontal="center" vertical="center" shrinkToFit="1"/>
    </xf>
    <xf numFmtId="0" fontId="109" fillId="0" borderId="90" xfId="0" applyFont="1" applyBorder="1" applyAlignment="1">
      <alignment horizontal="center" vertical="center" shrinkToFit="1"/>
    </xf>
    <xf numFmtId="0" fontId="109" fillId="0" borderId="90" xfId="0" applyNumberFormat="1" applyFont="1" applyBorder="1" applyAlignment="1">
      <alignment horizontal="center" vertical="center" shrinkToFit="1"/>
    </xf>
    <xf numFmtId="3" fontId="109" fillId="0" borderId="90" xfId="273" applyNumberFormat="1" applyFont="1" applyBorder="1" applyAlignment="1">
      <alignment horizontal="center" vertical="center" shrinkToFit="1"/>
    </xf>
    <xf numFmtId="3" fontId="109" fillId="0" borderId="91" xfId="273" applyNumberFormat="1" applyFont="1" applyBorder="1" applyAlignment="1">
      <alignment horizontal="center" vertical="center" shrinkToFit="1"/>
    </xf>
    <xf numFmtId="3" fontId="109" fillId="0" borderId="92" xfId="273" applyNumberFormat="1" applyFont="1" applyBorder="1" applyAlignment="1">
      <alignment horizontal="center" vertical="center" shrinkToFit="1"/>
    </xf>
    <xf numFmtId="0" fontId="109" fillId="0" borderId="93" xfId="0" applyFont="1" applyBorder="1" applyAlignment="1">
      <alignment horizontal="center" vertical="center" shrinkToFit="1"/>
    </xf>
    <xf numFmtId="0" fontId="109" fillId="0" borderId="51" xfId="0" applyNumberFormat="1" applyFont="1" applyBorder="1" applyAlignment="1">
      <alignment horizontal="center" vertical="center" shrinkToFit="1"/>
    </xf>
    <xf numFmtId="0" fontId="113" fillId="0" borderId="0" xfId="529" applyFont="1" applyAlignment="1">
      <alignment horizontal="center" vertical="center"/>
    </xf>
    <xf numFmtId="0" fontId="105" fillId="0" borderId="23" xfId="532" applyFont="1" applyFill="1" applyBorder="1" applyAlignment="1">
      <alignment horizontal="left" vertical="center"/>
    </xf>
    <xf numFmtId="0" fontId="105" fillId="0" borderId="5" xfId="532" applyFont="1" applyFill="1" applyBorder="1" applyAlignment="1">
      <alignment horizontal="left" vertical="center"/>
    </xf>
    <xf numFmtId="179" fontId="106" fillId="0" borderId="51" xfId="526" applyNumberFormat="1" applyFont="1" applyFill="1" applyBorder="1" applyAlignment="1">
      <alignment vertical="center"/>
    </xf>
    <xf numFmtId="179" fontId="106" fillId="0" borderId="55" xfId="526" applyNumberFormat="1" applyFont="1" applyFill="1" applyBorder="1" applyAlignment="1">
      <alignment vertical="center"/>
    </xf>
    <xf numFmtId="3" fontId="105" fillId="0" borderId="94" xfId="526" applyNumberFormat="1" applyFont="1" applyFill="1" applyBorder="1" applyAlignment="1">
      <alignment vertical="center"/>
    </xf>
    <xf numFmtId="0" fontId="105" fillId="0" borderId="95" xfId="526" applyFont="1" applyFill="1" applyBorder="1" applyAlignment="1">
      <alignment vertical="center"/>
    </xf>
    <xf numFmtId="192" fontId="105" fillId="0" borderId="95" xfId="526" applyNumberFormat="1" applyFont="1" applyFill="1" applyBorder="1" applyAlignment="1">
      <alignment horizontal="left" vertical="center"/>
    </xf>
    <xf numFmtId="179" fontId="105" fillId="0" borderId="22" xfId="411" applyNumberFormat="1" applyFont="1" applyFill="1" applyBorder="1" applyAlignment="1">
      <alignment vertical="center"/>
    </xf>
    <xf numFmtId="179" fontId="106" fillId="0" borderId="22" xfId="526" applyNumberFormat="1" applyFont="1" applyFill="1" applyBorder="1" applyAlignment="1">
      <alignment vertical="center"/>
    </xf>
    <xf numFmtId="0" fontId="105" fillId="0" borderId="96" xfId="526" applyFont="1" applyFill="1" applyBorder="1" applyAlignment="1">
      <alignment vertical="center"/>
    </xf>
    <xf numFmtId="0" fontId="105" fillId="0" borderId="51" xfId="526" applyFont="1" applyFill="1" applyBorder="1" applyAlignment="1">
      <alignment horizontal="center" vertical="center"/>
    </xf>
    <xf numFmtId="3" fontId="105" fillId="0" borderId="97" xfId="526" applyNumberFormat="1" applyFont="1" applyFill="1" applyBorder="1" applyAlignment="1">
      <alignment vertical="center"/>
    </xf>
    <xf numFmtId="192" fontId="105" fillId="0" borderId="98" xfId="526" applyNumberFormat="1" applyFont="1" applyFill="1" applyBorder="1" applyAlignment="1">
      <alignment horizontal="left" vertical="center"/>
    </xf>
    <xf numFmtId="179" fontId="105" fillId="0" borderId="99" xfId="411" applyNumberFormat="1" applyFont="1" applyFill="1" applyBorder="1" applyAlignment="1">
      <alignment vertical="center"/>
    </xf>
    <xf numFmtId="179" fontId="105" fillId="0" borderId="99" xfId="526" applyNumberFormat="1" applyFont="1" applyFill="1" applyBorder="1" applyAlignment="1">
      <alignment vertical="center"/>
    </xf>
    <xf numFmtId="0" fontId="105" fillId="0" borderId="100" xfId="526" applyFont="1" applyFill="1" applyBorder="1" applyAlignment="1">
      <alignment vertical="center"/>
    </xf>
    <xf numFmtId="3" fontId="105" fillId="0" borderId="101" xfId="526" applyNumberFormat="1" applyFont="1" applyFill="1" applyBorder="1" applyAlignment="1">
      <alignment vertical="center"/>
    </xf>
    <xf numFmtId="192" fontId="105" fillId="0" borderId="102" xfId="526" applyNumberFormat="1" applyFont="1" applyFill="1" applyBorder="1" applyAlignment="1">
      <alignment horizontal="left" vertical="center"/>
    </xf>
    <xf numFmtId="179" fontId="105" fillId="0" borderId="103" xfId="411" applyNumberFormat="1" applyFont="1" applyFill="1" applyBorder="1" applyAlignment="1">
      <alignment vertical="center"/>
    </xf>
    <xf numFmtId="179" fontId="105" fillId="0" borderId="103" xfId="526" applyNumberFormat="1" applyFont="1" applyFill="1" applyBorder="1" applyAlignment="1">
      <alignment vertical="center"/>
    </xf>
    <xf numFmtId="0" fontId="105" fillId="0" borderId="104" xfId="526" applyFont="1" applyFill="1" applyBorder="1" applyAlignment="1">
      <alignment vertical="center"/>
    </xf>
    <xf numFmtId="3" fontId="105" fillId="0" borderId="101" xfId="526" applyNumberFormat="1" applyFont="1" applyFill="1" applyBorder="1" applyAlignment="1">
      <alignment horizontal="left" vertical="center"/>
    </xf>
    <xf numFmtId="3" fontId="105" fillId="0" borderId="102" xfId="526" applyNumberFormat="1" applyFont="1" applyFill="1" applyBorder="1" applyAlignment="1">
      <alignment horizontal="left" vertical="center"/>
    </xf>
    <xf numFmtId="0" fontId="105" fillId="0" borderId="104" xfId="526" applyFont="1" applyFill="1" applyBorder="1" applyAlignment="1">
      <alignment vertical="center" wrapText="1"/>
    </xf>
    <xf numFmtId="0" fontId="105" fillId="0" borderId="105" xfId="526" applyFont="1" applyFill="1" applyBorder="1" applyAlignment="1">
      <alignment vertical="center"/>
    </xf>
    <xf numFmtId="178" fontId="105" fillId="0" borderId="106" xfId="526" applyNumberFormat="1" applyFont="1" applyFill="1" applyBorder="1" applyAlignment="1">
      <alignment horizontal="left" vertical="center"/>
    </xf>
    <xf numFmtId="179" fontId="105" fillId="0" borderId="107" xfId="411" applyNumberFormat="1" applyFont="1" applyFill="1" applyBorder="1" applyAlignment="1">
      <alignment vertical="center"/>
    </xf>
    <xf numFmtId="179" fontId="106" fillId="0" borderId="107" xfId="526" applyNumberFormat="1" applyFont="1" applyFill="1" applyBorder="1" applyAlignment="1">
      <alignment vertical="center"/>
    </xf>
    <xf numFmtId="179" fontId="105" fillId="0" borderId="108" xfId="526" applyNumberFormat="1" applyFont="1" applyFill="1" applyBorder="1" applyAlignment="1">
      <alignment vertical="center"/>
    </xf>
    <xf numFmtId="0" fontId="105" fillId="0" borderId="108" xfId="526" applyFont="1" applyFill="1" applyBorder="1" applyAlignment="1">
      <alignment vertical="center"/>
    </xf>
    <xf numFmtId="41" fontId="105" fillId="0" borderId="4" xfId="273" applyFont="1" applyFill="1" applyBorder="1" applyAlignment="1" applyProtection="1">
      <alignment vertical="center"/>
    </xf>
    <xf numFmtId="41" fontId="105" fillId="0" borderId="23" xfId="273" applyFont="1" applyFill="1" applyBorder="1" applyAlignment="1" applyProtection="1">
      <alignment vertical="center"/>
    </xf>
    <xf numFmtId="41" fontId="105" fillId="0" borderId="4" xfId="273" applyFont="1" applyFill="1" applyBorder="1" applyAlignment="1" applyProtection="1">
      <alignment vertical="center" shrinkToFit="1"/>
    </xf>
    <xf numFmtId="41" fontId="105" fillId="0" borderId="4" xfId="273" applyFont="1" applyFill="1" applyBorder="1" applyAlignment="1">
      <alignment vertical="center" shrinkToFit="1"/>
    </xf>
    <xf numFmtId="41" fontId="105" fillId="0" borderId="4" xfId="273" applyFont="1" applyFill="1" applyBorder="1" applyAlignment="1" applyProtection="1">
      <alignment horizontal="center" vertical="center" shrinkToFit="1"/>
    </xf>
    <xf numFmtId="41" fontId="105" fillId="0" borderId="109" xfId="273" applyFont="1" applyFill="1" applyBorder="1" applyAlignment="1">
      <alignment horizontal="right" vertical="center" shrinkToFit="1"/>
    </xf>
    <xf numFmtId="41" fontId="105" fillId="0" borderId="23" xfId="273" applyFont="1" applyFill="1" applyBorder="1" applyAlignment="1" applyProtection="1">
      <alignment vertical="center" shrinkToFit="1"/>
    </xf>
    <xf numFmtId="41" fontId="105" fillId="0" borderId="23" xfId="273" applyFont="1" applyFill="1" applyBorder="1" applyAlignment="1">
      <alignment vertical="center" shrinkToFit="1"/>
    </xf>
    <xf numFmtId="41" fontId="105" fillId="0" borderId="61" xfId="273" applyFont="1" applyFill="1" applyBorder="1" applyAlignment="1">
      <alignment horizontal="right" vertical="center" shrinkToFit="1"/>
    </xf>
    <xf numFmtId="3" fontId="105" fillId="0" borderId="110" xfId="526" applyNumberFormat="1" applyFont="1" applyFill="1" applyBorder="1" applyAlignment="1">
      <alignment horizontal="left" vertical="center"/>
    </xf>
    <xf numFmtId="3" fontId="105" fillId="0" borderId="111" xfId="526" applyNumberFormat="1" applyFont="1" applyFill="1" applyBorder="1" applyAlignment="1">
      <alignment horizontal="left" vertical="center"/>
    </xf>
    <xf numFmtId="3" fontId="105" fillId="0" borderId="110" xfId="526" applyNumberFormat="1" applyFont="1" applyFill="1" applyBorder="1" applyAlignment="1">
      <alignment vertical="center"/>
    </xf>
    <xf numFmtId="192" fontId="105" fillId="0" borderId="111" xfId="526" applyNumberFormat="1" applyFont="1" applyFill="1" applyBorder="1" applyAlignment="1">
      <alignment horizontal="left" vertical="center"/>
    </xf>
    <xf numFmtId="179" fontId="105" fillId="0" borderId="112" xfId="411" applyNumberFormat="1" applyFont="1" applyFill="1" applyBorder="1" applyAlignment="1">
      <alignment vertical="center"/>
    </xf>
    <xf numFmtId="179" fontId="105" fillId="0" borderId="112" xfId="526" applyNumberFormat="1" applyFont="1" applyFill="1" applyBorder="1" applyAlignment="1">
      <alignment vertical="center"/>
    </xf>
    <xf numFmtId="0" fontId="105" fillId="0" borderId="113" xfId="526" applyFont="1" applyFill="1" applyBorder="1" applyAlignment="1">
      <alignment vertical="center"/>
    </xf>
    <xf numFmtId="9" fontId="112" fillId="2" borderId="23" xfId="342" applyFont="1" applyFill="1" applyBorder="1" applyAlignment="1" applyProtection="1">
      <alignment horizontal="center" vertical="center"/>
    </xf>
    <xf numFmtId="10" fontId="112" fillId="2" borderId="23" xfId="342" applyNumberFormat="1" applyFont="1" applyFill="1" applyBorder="1" applyAlignment="1" applyProtection="1">
      <alignment vertical="center"/>
    </xf>
    <xf numFmtId="41" fontId="112" fillId="2" borderId="23" xfId="273" applyFont="1" applyFill="1" applyBorder="1" applyAlignment="1">
      <alignment vertical="center"/>
    </xf>
    <xf numFmtId="37" fontId="112" fillId="2" borderId="101" xfId="531" applyNumberFormat="1" applyFont="1" applyFill="1" applyBorder="1" applyAlignment="1" applyProtection="1">
      <alignment horizontal="left" vertical="center"/>
    </xf>
    <xf numFmtId="37" fontId="112" fillId="2" borderId="102" xfId="531" applyNumberFormat="1" applyFont="1" applyFill="1" applyBorder="1" applyAlignment="1" applyProtection="1">
      <alignment horizontal="left" vertical="center"/>
    </xf>
    <xf numFmtId="0" fontId="105" fillId="2" borderId="5" xfId="532" applyFont="1" applyFill="1" applyBorder="1" applyAlignment="1">
      <alignment horizontal="center" vertical="center"/>
    </xf>
    <xf numFmtId="4" fontId="19" fillId="0" borderId="0" xfId="525" applyNumberFormat="1" applyFont="1" applyAlignment="1">
      <alignment vertical="center"/>
    </xf>
    <xf numFmtId="41" fontId="109" fillId="0" borderId="23" xfId="273" applyNumberFormat="1" applyFont="1" applyBorder="1" applyAlignment="1">
      <alignment vertical="center"/>
    </xf>
    <xf numFmtId="3" fontId="109" fillId="0" borderId="114" xfId="525" applyNumberFormat="1" applyFont="1" applyBorder="1" applyAlignment="1">
      <alignment horizontal="left" vertical="center" indent="1"/>
    </xf>
    <xf numFmtId="3" fontId="109" fillId="0" borderId="115" xfId="525" applyNumberFormat="1" applyFont="1" applyBorder="1" applyAlignment="1">
      <alignment vertical="center"/>
    </xf>
    <xf numFmtId="4" fontId="109" fillId="0" borderId="115" xfId="525" applyNumberFormat="1" applyFont="1" applyBorder="1" applyAlignment="1">
      <alignment vertical="center"/>
    </xf>
    <xf numFmtId="3" fontId="109" fillId="0" borderId="115" xfId="525" applyNumberFormat="1" applyFont="1" applyBorder="1" applyAlignment="1">
      <alignment horizontal="center" vertical="center"/>
    </xf>
    <xf numFmtId="41" fontId="109" fillId="0" borderId="115" xfId="273" applyFont="1" applyBorder="1" applyAlignment="1">
      <alignment vertical="center"/>
    </xf>
    <xf numFmtId="3" fontId="109" fillId="0" borderId="116" xfId="525" applyNumberFormat="1" applyFont="1" applyBorder="1" applyAlignment="1">
      <alignment horizontal="center" vertical="center" shrinkToFit="1"/>
    </xf>
    <xf numFmtId="3" fontId="105" fillId="0" borderId="88" xfId="0" applyNumberFormat="1" applyFont="1" applyBorder="1" applyAlignment="1">
      <alignment horizontal="center" vertical="center"/>
    </xf>
    <xf numFmtId="0" fontId="114" fillId="0" borderId="2" xfId="528" applyFont="1" applyFill="1" applyBorder="1" applyAlignment="1">
      <alignment horizontal="center" vertical="center" shrinkToFit="1"/>
    </xf>
    <xf numFmtId="0" fontId="98" fillId="0" borderId="0" xfId="273" applyNumberFormat="1" applyFont="1" applyAlignment="1">
      <alignment vertical="center"/>
    </xf>
    <xf numFmtId="0" fontId="98" fillId="0" borderId="0" xfId="531" applyFont="1" applyFill="1" applyAlignment="1" applyProtection="1">
      <alignment horizontal="left" vertical="center"/>
    </xf>
    <xf numFmtId="202" fontId="98" fillId="0" borderId="0" xfId="0" applyNumberFormat="1" applyFont="1" applyAlignment="1">
      <alignment horizontal="left" vertical="center"/>
    </xf>
    <xf numFmtId="3" fontId="109" fillId="0" borderId="2" xfId="273" applyNumberFormat="1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 shrinkToFit="1"/>
    </xf>
    <xf numFmtId="3" fontId="109" fillId="0" borderId="6" xfId="273" applyNumberFormat="1" applyFont="1" applyBorder="1" applyAlignment="1">
      <alignment horizontal="center" vertical="center" wrapText="1" shrinkToFit="1"/>
    </xf>
    <xf numFmtId="3" fontId="109" fillId="0" borderId="1" xfId="273" applyNumberFormat="1" applyFont="1" applyBorder="1" applyAlignment="1">
      <alignment horizontal="center" vertical="center" wrapText="1" shrinkToFit="1"/>
    </xf>
    <xf numFmtId="3" fontId="109" fillId="0" borderId="6" xfId="409" applyNumberFormat="1" applyFont="1" applyBorder="1" applyAlignment="1">
      <alignment horizontal="center" vertical="center" wrapText="1" shrinkToFit="1"/>
    </xf>
    <xf numFmtId="3" fontId="109" fillId="0" borderId="117" xfId="409" applyNumberFormat="1" applyFont="1" applyBorder="1" applyAlignment="1">
      <alignment horizontal="center" vertical="center" wrapText="1" shrinkToFit="1"/>
    </xf>
    <xf numFmtId="3" fontId="109" fillId="0" borderId="27" xfId="273" applyNumberFormat="1" applyFont="1" applyBorder="1" applyAlignment="1">
      <alignment horizontal="center" vertical="center" shrinkToFit="1"/>
    </xf>
    <xf numFmtId="3" fontId="109" fillId="0" borderId="118" xfId="273" applyNumberFormat="1" applyFont="1" applyBorder="1" applyAlignment="1">
      <alignment horizontal="center" vertical="center" shrinkToFit="1"/>
    </xf>
    <xf numFmtId="3" fontId="109" fillId="0" borderId="55" xfId="409" applyNumberFormat="1" applyFont="1" applyBorder="1" applyAlignment="1">
      <alignment horizontal="center" vertical="center"/>
    </xf>
    <xf numFmtId="3" fontId="109" fillId="0" borderId="56" xfId="409" applyNumberFormat="1" applyFont="1" applyBorder="1" applyAlignment="1">
      <alignment horizontal="center" vertical="center"/>
    </xf>
    <xf numFmtId="0" fontId="109" fillId="0" borderId="2" xfId="0" applyFont="1" applyBorder="1" applyAlignment="1">
      <alignment horizontal="center" vertical="center" shrinkToFit="1"/>
    </xf>
    <xf numFmtId="0" fontId="109" fillId="0" borderId="2" xfId="0" applyNumberFormat="1" applyFont="1" applyBorder="1" applyAlignment="1">
      <alignment horizontal="center" vertical="center" shrinkToFit="1"/>
    </xf>
    <xf numFmtId="0" fontId="109" fillId="0" borderId="47" xfId="0" applyFont="1" applyBorder="1" applyAlignment="1">
      <alignment horizontal="center" vertical="center" shrinkToFit="1"/>
    </xf>
    <xf numFmtId="0" fontId="109" fillId="0" borderId="119" xfId="0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/>
    </xf>
    <xf numFmtId="41" fontId="105" fillId="2" borderId="23" xfId="531" applyNumberFormat="1" applyFont="1" applyFill="1" applyBorder="1" applyAlignment="1">
      <alignment horizontal="center" vertical="center"/>
    </xf>
    <xf numFmtId="41" fontId="112" fillId="2" borderId="23" xfId="531" applyNumberFormat="1" applyFont="1" applyFill="1" applyBorder="1" applyAlignment="1">
      <alignment horizontal="center" vertical="center"/>
    </xf>
    <xf numFmtId="41" fontId="112" fillId="2" borderId="23" xfId="531" applyNumberFormat="1" applyFont="1" applyFill="1" applyBorder="1" applyAlignment="1" applyProtection="1">
      <alignment horizontal="center" vertical="center"/>
    </xf>
    <xf numFmtId="41" fontId="112" fillId="0" borderId="23" xfId="273" applyFont="1" applyBorder="1" applyAlignment="1">
      <alignment vertical="center"/>
    </xf>
    <xf numFmtId="0" fontId="112" fillId="2" borderId="80" xfId="531" applyFont="1" applyFill="1" applyBorder="1" applyAlignment="1">
      <alignment horizontal="left" vertical="center"/>
    </xf>
    <xf numFmtId="0" fontId="112" fillId="2" borderId="38" xfId="531" applyFont="1" applyFill="1" applyBorder="1" applyAlignment="1">
      <alignment horizontal="left" vertical="center"/>
    </xf>
    <xf numFmtId="0" fontId="112" fillId="2" borderId="102" xfId="531" applyFont="1" applyFill="1" applyBorder="1" applyAlignment="1">
      <alignment horizontal="left" vertical="center"/>
    </xf>
    <xf numFmtId="41" fontId="105" fillId="2" borderId="23" xfId="531" applyNumberFormat="1" applyFont="1" applyFill="1" applyBorder="1" applyAlignment="1" applyProtection="1">
      <alignment horizontal="center" vertical="center"/>
    </xf>
    <xf numFmtId="41" fontId="112" fillId="2" borderId="23" xfId="273" applyFont="1" applyFill="1" applyBorder="1" applyAlignment="1" applyProtection="1">
      <alignment vertical="center"/>
    </xf>
    <xf numFmtId="37" fontId="112" fillId="2" borderId="23" xfId="531" applyNumberFormat="1" applyFont="1" applyFill="1" applyBorder="1" applyAlignment="1" applyProtection="1">
      <alignment vertical="center"/>
    </xf>
    <xf numFmtId="41" fontId="112" fillId="0" borderId="29" xfId="273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114" fillId="0" borderId="2" xfId="528" applyFont="1" applyFill="1" applyBorder="1" applyAlignment="1">
      <alignment horizontal="center" vertical="center" shrinkToFit="1"/>
    </xf>
    <xf numFmtId="0" fontId="98" fillId="0" borderId="0" xfId="273" quotePrefix="1" applyNumberFormat="1" applyFont="1" applyAlignment="1">
      <alignment vertical="center"/>
    </xf>
    <xf numFmtId="3" fontId="109" fillId="0" borderId="2" xfId="273" applyNumberFormat="1" applyFont="1" applyBorder="1" applyAlignment="1">
      <alignment horizontal="center" vertical="center" shrinkToFit="1"/>
    </xf>
    <xf numFmtId="3" fontId="109" fillId="0" borderId="2" xfId="0" applyNumberFormat="1" applyFont="1" applyBorder="1" applyAlignment="1">
      <alignment horizontal="center" vertical="center" shrinkToFit="1"/>
    </xf>
    <xf numFmtId="3" fontId="109" fillId="0" borderId="88" xfId="0" applyNumberFormat="1" applyFont="1" applyBorder="1" applyAlignment="1">
      <alignment horizontal="center" vertical="center" shrinkToFit="1"/>
    </xf>
    <xf numFmtId="17" fontId="114" fillId="0" borderId="2" xfId="528" quotePrefix="1" applyNumberFormat="1" applyFont="1" applyFill="1" applyBorder="1" applyAlignment="1">
      <alignment horizontal="center" vertical="center" shrinkToFit="1"/>
    </xf>
    <xf numFmtId="0" fontId="114" fillId="10" borderId="2" xfId="528" applyFont="1" applyFill="1" applyBorder="1" applyAlignment="1">
      <alignment horizontal="center" vertical="center" shrinkToFit="1"/>
    </xf>
    <xf numFmtId="0" fontId="94" fillId="2" borderId="84" xfId="0" applyFont="1" applyFill="1" applyBorder="1" applyAlignment="1">
      <alignment horizontal="center" vertical="center" shrinkToFit="1"/>
    </xf>
    <xf numFmtId="0" fontId="94" fillId="2" borderId="84" xfId="0" applyFont="1" applyFill="1" applyBorder="1" applyAlignment="1" applyProtection="1">
      <alignment horizontal="center" vertical="center" shrinkToFit="1"/>
    </xf>
    <xf numFmtId="0" fontId="94" fillId="2" borderId="5" xfId="0" applyFont="1" applyFill="1" applyBorder="1" applyAlignment="1" applyProtection="1">
      <alignment horizontal="center" vertical="center" shrinkToFit="1"/>
    </xf>
    <xf numFmtId="0" fontId="94" fillId="2" borderId="23" xfId="0" applyFont="1" applyFill="1" applyBorder="1" applyAlignment="1">
      <alignment horizontal="center" vertical="center" shrinkToFit="1"/>
    </xf>
    <xf numFmtId="0" fontId="94" fillId="2" borderId="23" xfId="0" applyFont="1" applyFill="1" applyBorder="1" applyAlignment="1" applyProtection="1">
      <alignment vertical="center" shrinkToFit="1"/>
    </xf>
    <xf numFmtId="37" fontId="94" fillId="2" borderId="23" xfId="0" applyNumberFormat="1" applyFont="1" applyFill="1" applyBorder="1" applyAlignment="1" applyProtection="1">
      <alignment vertical="center" shrinkToFit="1"/>
    </xf>
    <xf numFmtId="0" fontId="94" fillId="2" borderId="25" xfId="0" applyFont="1" applyFill="1" applyBorder="1" applyAlignment="1">
      <alignment vertical="center" shrinkToFit="1"/>
    </xf>
    <xf numFmtId="216" fontId="94" fillId="2" borderId="84" xfId="0" applyNumberFormat="1" applyFont="1" applyFill="1" applyBorder="1" applyAlignment="1">
      <alignment horizontal="center" vertical="center" shrinkToFit="1"/>
    </xf>
    <xf numFmtId="216" fontId="94" fillId="2" borderId="5" xfId="0" applyNumberFormat="1" applyFont="1" applyFill="1" applyBorder="1" applyAlignment="1" applyProtection="1">
      <alignment horizontal="center" vertical="center" shrinkToFit="1"/>
    </xf>
    <xf numFmtId="9" fontId="94" fillId="2" borderId="23" xfId="0" applyNumberFormat="1" applyFont="1" applyFill="1" applyBorder="1" applyAlignment="1">
      <alignment vertical="center" shrinkToFit="1"/>
    </xf>
    <xf numFmtId="216" fontId="94" fillId="2" borderId="23" xfId="0" applyNumberFormat="1" applyFont="1" applyFill="1" applyBorder="1" applyAlignment="1" applyProtection="1">
      <alignment vertical="center" shrinkToFit="1"/>
    </xf>
    <xf numFmtId="197" fontId="94" fillId="2" borderId="23" xfId="0" applyNumberFormat="1" applyFont="1" applyFill="1" applyBorder="1" applyAlignment="1">
      <alignment horizontal="right" vertical="center" shrinkToFit="1"/>
    </xf>
    <xf numFmtId="197" fontId="94" fillId="2" borderId="23" xfId="0" applyNumberFormat="1" applyFont="1" applyFill="1" applyBorder="1" applyAlignment="1">
      <alignment vertical="center" shrinkToFit="1"/>
    </xf>
    <xf numFmtId="177" fontId="94" fillId="2" borderId="23" xfId="0" applyNumberFormat="1" applyFont="1" applyFill="1" applyBorder="1" applyAlignment="1">
      <alignment vertical="center" shrinkToFit="1"/>
    </xf>
    <xf numFmtId="251" fontId="94" fillId="2" borderId="29" xfId="0" applyNumberFormat="1" applyFont="1" applyFill="1" applyBorder="1" applyAlignment="1">
      <alignment vertical="center" shrinkToFit="1"/>
    </xf>
    <xf numFmtId="43" fontId="94" fillId="2" borderId="29" xfId="0" applyNumberFormat="1" applyFont="1" applyFill="1" applyBorder="1" applyAlignment="1">
      <alignment vertical="center" shrinkToFit="1"/>
    </xf>
    <xf numFmtId="0" fontId="95" fillId="2" borderId="76" xfId="0" applyFont="1" applyFill="1" applyBorder="1" applyAlignment="1">
      <alignment horizontal="center" vertical="center" shrinkToFit="1"/>
    </xf>
    <xf numFmtId="0" fontId="94" fillId="2" borderId="25" xfId="0" applyFont="1" applyFill="1" applyBorder="1" applyAlignment="1">
      <alignment horizontal="left" vertical="center" shrinkToFit="1"/>
    </xf>
    <xf numFmtId="0" fontId="94" fillId="2" borderId="25" xfId="0" applyFont="1" applyFill="1" applyBorder="1" applyAlignment="1">
      <alignment horizontal="center" vertical="center" shrinkToFit="1"/>
    </xf>
    <xf numFmtId="177" fontId="94" fillId="2" borderId="25" xfId="0" applyNumberFormat="1" applyFont="1" applyFill="1" applyBorder="1" applyAlignment="1">
      <alignment vertical="center" shrinkToFit="1"/>
    </xf>
    <xf numFmtId="0" fontId="94" fillId="2" borderId="77" xfId="0" applyFont="1" applyFill="1" applyBorder="1" applyAlignment="1">
      <alignment vertical="center" shrinkToFit="1"/>
    </xf>
    <xf numFmtId="0" fontId="94" fillId="2" borderId="0" xfId="0" applyFont="1" applyFill="1" applyBorder="1" applyAlignment="1">
      <alignment horizontal="left" vertical="center" shrinkToFit="1"/>
    </xf>
    <xf numFmtId="0" fontId="94" fillId="2" borderId="0" xfId="0" applyFont="1" applyFill="1" applyBorder="1" applyAlignment="1">
      <alignment vertical="center" shrinkToFit="1"/>
    </xf>
    <xf numFmtId="257" fontId="94" fillId="2" borderId="0" xfId="0" applyNumberFormat="1" applyFont="1" applyFill="1" applyBorder="1" applyAlignment="1">
      <alignment horizontal="right" vertical="center" shrinkToFit="1"/>
    </xf>
    <xf numFmtId="0" fontId="94" fillId="2" borderId="0" xfId="0" applyFont="1" applyFill="1" applyBorder="1" applyAlignment="1" applyProtection="1">
      <alignment horizontal="center" vertical="center" shrinkToFit="1"/>
    </xf>
    <xf numFmtId="0" fontId="94" fillId="2" borderId="83" xfId="0" applyFont="1" applyFill="1" applyBorder="1" applyAlignment="1">
      <alignment horizontal="center" vertical="center" shrinkToFit="1"/>
    </xf>
    <xf numFmtId="0" fontId="96" fillId="2" borderId="84" xfId="0" applyFont="1" applyFill="1" applyBorder="1" applyAlignment="1">
      <alignment horizontal="center" vertical="center" shrinkToFit="1"/>
    </xf>
    <xf numFmtId="0" fontId="94" fillId="2" borderId="85" xfId="0" applyFont="1" applyFill="1" applyBorder="1" applyAlignment="1" applyProtection="1">
      <alignment horizontal="center" vertical="center" shrinkToFit="1"/>
    </xf>
    <xf numFmtId="1" fontId="94" fillId="2" borderId="23" xfId="0" applyNumberFormat="1" applyFont="1" applyFill="1" applyBorder="1" applyAlignment="1" applyProtection="1">
      <alignment vertical="center" shrinkToFit="1"/>
    </xf>
    <xf numFmtId="37" fontId="94" fillId="2" borderId="29" xfId="0" applyNumberFormat="1" applyFont="1" applyFill="1" applyBorder="1" applyAlignment="1" applyProtection="1">
      <alignment vertical="center" shrinkToFit="1"/>
    </xf>
    <xf numFmtId="0" fontId="94" fillId="2" borderId="76" xfId="0" applyFont="1" applyFill="1" applyBorder="1" applyAlignment="1">
      <alignment horizontal="center" vertical="center" shrinkToFit="1"/>
    </xf>
    <xf numFmtId="37" fontId="94" fillId="2" borderId="25" xfId="0" applyNumberFormat="1" applyFont="1" applyFill="1" applyBorder="1" applyAlignment="1" applyProtection="1">
      <alignment vertical="center" shrinkToFit="1"/>
    </xf>
    <xf numFmtId="37" fontId="94" fillId="2" borderId="77" xfId="0" applyNumberFormat="1" applyFont="1" applyFill="1" applyBorder="1" applyAlignment="1" applyProtection="1">
      <alignment vertical="center" shrinkToFit="1"/>
    </xf>
    <xf numFmtId="256" fontId="115" fillId="2" borderId="25" xfId="0" applyNumberFormat="1" applyFont="1" applyFill="1" applyBorder="1" applyAlignment="1">
      <alignment horizontal="right" vertical="center" shrinkToFit="1"/>
    </xf>
    <xf numFmtId="0" fontId="109" fillId="0" borderId="47" xfId="0" applyFont="1" applyBorder="1" applyAlignment="1">
      <alignment horizontal="center" vertical="center" shrinkToFit="1"/>
    </xf>
    <xf numFmtId="3" fontId="97" fillId="11" borderId="0" xfId="525" applyNumberFormat="1" applyFont="1" applyFill="1" applyAlignment="1">
      <alignment vertical="center"/>
    </xf>
    <xf numFmtId="9" fontId="19" fillId="11" borderId="0" xfId="525" applyNumberFormat="1" applyFont="1" applyFill="1" applyAlignment="1">
      <alignment vertical="center"/>
    </xf>
    <xf numFmtId="9" fontId="24" fillId="11" borderId="0" xfId="532" applyNumberFormat="1" applyFont="1" applyFill="1" applyAlignment="1">
      <alignment vertical="center"/>
    </xf>
    <xf numFmtId="9" fontId="16" fillId="11" borderId="0" xfId="532" applyNumberFormat="1" applyFont="1" applyFill="1" applyAlignment="1">
      <alignment vertical="center"/>
    </xf>
    <xf numFmtId="0" fontId="98" fillId="0" borderId="32" xfId="273" applyNumberFormat="1" applyFont="1" applyBorder="1" applyAlignment="1">
      <alignment horizontal="center" vertical="center"/>
    </xf>
    <xf numFmtId="0" fontId="98" fillId="0" borderId="13" xfId="273" applyNumberFormat="1" applyFont="1" applyBorder="1" applyAlignment="1">
      <alignment horizontal="center" vertical="center"/>
    </xf>
    <xf numFmtId="0" fontId="98" fillId="0" borderId="31" xfId="273" applyNumberFormat="1" applyFont="1" applyBorder="1" applyAlignment="1">
      <alignment horizontal="center" vertical="center"/>
    </xf>
    <xf numFmtId="3" fontId="98" fillId="0" borderId="13" xfId="273" applyNumberFormat="1" applyFont="1" applyBorder="1" applyAlignment="1">
      <alignment horizontal="center" vertical="center"/>
    </xf>
    <xf numFmtId="3" fontId="98" fillId="0" borderId="33" xfId="273" applyNumberFormat="1" applyFont="1" applyBorder="1" applyAlignment="1">
      <alignment horizontal="center" vertical="center"/>
    </xf>
    <xf numFmtId="0" fontId="116" fillId="0" borderId="0" xfId="0" applyFont="1" applyAlignment="1">
      <alignment horizontal="center"/>
    </xf>
    <xf numFmtId="0" fontId="117" fillId="0" borderId="0" xfId="0" applyFont="1" applyAlignment="1">
      <alignment horizontal="center"/>
    </xf>
    <xf numFmtId="0" fontId="113" fillId="0" borderId="0" xfId="529" applyFont="1" applyAlignment="1">
      <alignment horizontal="center" vertical="center"/>
    </xf>
    <xf numFmtId="196" fontId="98" fillId="0" borderId="0" xfId="273" applyNumberFormat="1" applyFont="1" applyAlignment="1">
      <alignment horizontal="left" vertical="center"/>
    </xf>
    <xf numFmtId="41" fontId="118" fillId="0" borderId="21" xfId="0" applyNumberFormat="1" applyFont="1" applyBorder="1" applyAlignment="1">
      <alignment horizontal="center" vertical="center"/>
    </xf>
    <xf numFmtId="3" fontId="109" fillId="0" borderId="122" xfId="273" applyNumberFormat="1" applyFont="1" applyBorder="1" applyAlignment="1">
      <alignment horizontal="center" vertical="center" shrinkToFit="1"/>
    </xf>
    <xf numFmtId="3" fontId="109" fillId="0" borderId="123" xfId="273" applyNumberFormat="1" applyFont="1" applyBorder="1" applyAlignment="1">
      <alignment horizontal="center" vertical="center" shrinkToFit="1"/>
    </xf>
    <xf numFmtId="3" fontId="109" fillId="0" borderId="124" xfId="273" applyNumberFormat="1" applyFont="1" applyBorder="1" applyAlignment="1">
      <alignment horizontal="center" vertical="center" shrinkToFit="1"/>
    </xf>
    <xf numFmtId="0" fontId="109" fillId="0" borderId="125" xfId="0" applyFont="1" applyBorder="1" applyAlignment="1">
      <alignment horizontal="center" vertical="center" shrinkToFit="1"/>
    </xf>
    <xf numFmtId="0" fontId="109" fillId="0" borderId="126" xfId="0" applyFont="1" applyBorder="1" applyAlignment="1">
      <alignment horizontal="center" vertical="center" shrinkToFit="1"/>
    </xf>
    <xf numFmtId="0" fontId="109" fillId="0" borderId="127" xfId="0" applyFont="1" applyBorder="1" applyAlignment="1">
      <alignment horizontal="center" vertical="center" shrinkToFit="1"/>
    </xf>
    <xf numFmtId="0" fontId="109" fillId="0" borderId="94" xfId="0" applyFont="1" applyBorder="1" applyAlignment="1">
      <alignment horizontal="center" vertical="center" shrinkToFit="1"/>
    </xf>
    <xf numFmtId="0" fontId="109" fillId="0" borderId="26" xfId="0" applyFont="1" applyBorder="1" applyAlignment="1">
      <alignment horizontal="center" vertical="center" shrinkToFit="1"/>
    </xf>
    <xf numFmtId="0" fontId="109" fillId="0" borderId="95" xfId="0" applyFont="1" applyBorder="1" applyAlignment="1">
      <alignment horizontal="center" vertical="center" shrinkToFit="1"/>
    </xf>
    <xf numFmtId="3" fontId="109" fillId="0" borderId="87" xfId="273" applyNumberFormat="1" applyFont="1" applyBorder="1" applyAlignment="1">
      <alignment horizontal="center" vertical="center" shrinkToFit="1"/>
    </xf>
    <xf numFmtId="3" fontId="109" fillId="0" borderId="14" xfId="273" applyNumberFormat="1" applyFont="1" applyBorder="1" applyAlignment="1">
      <alignment horizontal="center" vertical="center" shrinkToFit="1"/>
    </xf>
    <xf numFmtId="3" fontId="109" fillId="0" borderId="128" xfId="273" applyNumberFormat="1" applyFont="1" applyBorder="1" applyAlignment="1">
      <alignment horizontal="center" vertical="center" shrinkToFit="1"/>
    </xf>
    <xf numFmtId="0" fontId="109" fillId="0" borderId="120" xfId="0" applyFont="1" applyBorder="1" applyAlignment="1">
      <alignment horizontal="center" vertical="center" shrinkToFit="1"/>
    </xf>
    <xf numFmtId="0" fontId="109" fillId="0" borderId="47" xfId="0" applyFont="1" applyBorder="1" applyAlignment="1">
      <alignment horizontal="center" vertical="center" shrinkToFit="1"/>
    </xf>
    <xf numFmtId="0" fontId="109" fillId="0" borderId="119" xfId="0" applyFont="1" applyBorder="1" applyAlignment="1">
      <alignment horizontal="center" vertical="center" shrinkToFit="1"/>
    </xf>
    <xf numFmtId="0" fontId="109" fillId="0" borderId="45" xfId="0" applyFont="1" applyBorder="1" applyAlignment="1">
      <alignment horizontal="center" vertical="center" shrinkToFit="1"/>
    </xf>
    <xf numFmtId="0" fontId="109" fillId="0" borderId="121" xfId="0" applyFont="1" applyBorder="1" applyAlignment="1">
      <alignment horizontal="center" vertical="center" shrinkToFit="1"/>
    </xf>
    <xf numFmtId="0" fontId="109" fillId="0" borderId="22" xfId="0" applyFont="1" applyBorder="1" applyAlignment="1">
      <alignment horizontal="center" vertical="center" shrinkToFit="1"/>
    </xf>
    <xf numFmtId="0" fontId="109" fillId="0" borderId="2" xfId="0" applyFont="1" applyBorder="1" applyAlignment="1">
      <alignment horizontal="center" vertical="center" shrinkToFit="1"/>
    </xf>
    <xf numFmtId="0" fontId="109" fillId="0" borderId="6" xfId="0" applyFont="1" applyBorder="1" applyAlignment="1">
      <alignment horizontal="center" vertical="center" shrinkToFit="1"/>
    </xf>
    <xf numFmtId="0" fontId="109" fillId="0" borderId="2" xfId="0" applyNumberFormat="1" applyFont="1" applyBorder="1" applyAlignment="1">
      <alignment horizontal="center" vertical="center" shrinkToFit="1"/>
    </xf>
    <xf numFmtId="0" fontId="109" fillId="0" borderId="6" xfId="0" applyNumberFormat="1" applyFont="1" applyBorder="1" applyAlignment="1">
      <alignment horizontal="center" vertical="center" shrinkToFit="1"/>
    </xf>
    <xf numFmtId="0" fontId="105" fillId="0" borderId="129" xfId="526" applyFont="1" applyFill="1" applyBorder="1" applyAlignment="1">
      <alignment horizontal="center" vertical="center"/>
    </xf>
    <xf numFmtId="0" fontId="105" fillId="0" borderId="21" xfId="526" applyFont="1" applyFill="1" applyBorder="1" applyAlignment="1">
      <alignment horizontal="center" vertical="center"/>
    </xf>
    <xf numFmtId="0" fontId="105" fillId="0" borderId="54" xfId="526" applyFont="1" applyFill="1" applyBorder="1" applyAlignment="1">
      <alignment horizontal="center" vertical="center"/>
    </xf>
    <xf numFmtId="0" fontId="105" fillId="0" borderId="130" xfId="526" applyFont="1" applyFill="1" applyBorder="1" applyAlignment="1">
      <alignment horizontal="center" vertical="center"/>
    </xf>
    <xf numFmtId="0" fontId="105" fillId="0" borderId="48" xfId="526" applyFont="1" applyFill="1" applyBorder="1" applyAlignment="1">
      <alignment horizontal="center" vertical="center"/>
    </xf>
    <xf numFmtId="0" fontId="105" fillId="0" borderId="105" xfId="526" applyFont="1" applyFill="1" applyBorder="1" applyAlignment="1">
      <alignment horizontal="center" vertical="center"/>
    </xf>
    <xf numFmtId="0" fontId="105" fillId="0" borderId="106" xfId="526" applyFont="1" applyFill="1" applyBorder="1" applyAlignment="1">
      <alignment horizontal="center" vertical="center"/>
    </xf>
    <xf numFmtId="0" fontId="105" fillId="0" borderId="131" xfId="526" applyFont="1" applyFill="1" applyBorder="1" applyAlignment="1">
      <alignment horizontal="center" vertical="center"/>
    </xf>
    <xf numFmtId="0" fontId="105" fillId="0" borderId="52" xfId="526" applyFont="1" applyFill="1" applyBorder="1" applyAlignment="1">
      <alignment horizontal="center" vertical="center"/>
    </xf>
    <xf numFmtId="0" fontId="105" fillId="0" borderId="125" xfId="526" applyFont="1" applyFill="1" applyBorder="1" applyAlignment="1">
      <alignment horizontal="center" vertical="center"/>
    </xf>
    <xf numFmtId="0" fontId="105" fillId="0" borderId="127" xfId="526" applyFont="1" applyFill="1" applyBorder="1" applyAlignment="1">
      <alignment horizontal="center" vertical="center"/>
    </xf>
    <xf numFmtId="0" fontId="105" fillId="0" borderId="53" xfId="526" applyFont="1" applyFill="1" applyBorder="1" applyAlignment="1">
      <alignment horizontal="center" vertical="center"/>
    </xf>
    <xf numFmtId="0" fontId="105" fillId="0" borderId="121" xfId="526" applyFont="1" applyFill="1" applyBorder="1" applyAlignment="1">
      <alignment horizontal="center" vertical="center"/>
    </xf>
    <xf numFmtId="3" fontId="105" fillId="0" borderId="97" xfId="526" applyNumberFormat="1" applyFont="1" applyFill="1" applyBorder="1" applyAlignment="1">
      <alignment horizontal="left" vertical="center"/>
    </xf>
    <xf numFmtId="3" fontId="105" fillId="0" borderId="98" xfId="526" applyNumberFormat="1" applyFont="1" applyFill="1" applyBorder="1" applyAlignment="1">
      <alignment horizontal="left" vertical="center"/>
    </xf>
    <xf numFmtId="3" fontId="105" fillId="0" borderId="101" xfId="526" applyNumberFormat="1" applyFont="1" applyFill="1" applyBorder="1" applyAlignment="1">
      <alignment horizontal="left" vertical="center"/>
    </xf>
    <xf numFmtId="3" fontId="105" fillId="0" borderId="102" xfId="526" applyNumberFormat="1" applyFont="1" applyFill="1" applyBorder="1" applyAlignment="1">
      <alignment horizontal="left" vertical="center"/>
    </xf>
    <xf numFmtId="0" fontId="105" fillId="0" borderId="49" xfId="526" applyFont="1" applyFill="1" applyBorder="1" applyAlignment="1">
      <alignment horizontal="left" vertical="center"/>
    </xf>
    <xf numFmtId="0" fontId="105" fillId="0" borderId="50" xfId="526" applyFont="1" applyFill="1" applyBorder="1" applyAlignment="1">
      <alignment horizontal="left" vertical="center"/>
    </xf>
    <xf numFmtId="3" fontId="98" fillId="0" borderId="132" xfId="530" applyNumberFormat="1" applyFont="1" applyBorder="1" applyAlignment="1">
      <alignment vertical="center" shrinkToFit="1"/>
    </xf>
    <xf numFmtId="3" fontId="98" fillId="0" borderId="23" xfId="530" applyNumberFormat="1" applyFont="1" applyBorder="1" applyAlignment="1">
      <alignment vertical="center" shrinkToFit="1"/>
    </xf>
    <xf numFmtId="0" fontId="98" fillId="0" borderId="134" xfId="530" applyFont="1" applyBorder="1" applyAlignment="1">
      <alignment horizontal="center" vertical="center"/>
    </xf>
    <xf numFmtId="0" fontId="98" fillId="0" borderId="57" xfId="530" applyFont="1" applyBorder="1" applyAlignment="1">
      <alignment horizontal="center" vertical="center"/>
    </xf>
    <xf numFmtId="3" fontId="98" fillId="0" borderId="135" xfId="530" applyNumberFormat="1" applyFont="1" applyBorder="1" applyAlignment="1">
      <alignment vertical="center" shrinkToFit="1"/>
    </xf>
    <xf numFmtId="3" fontId="98" fillId="0" borderId="59" xfId="530" applyNumberFormat="1" applyFont="1" applyBorder="1" applyAlignment="1">
      <alignment vertical="center" shrinkToFit="1"/>
    </xf>
    <xf numFmtId="0" fontId="107" fillId="0" borderId="82" xfId="530" applyFont="1" applyBorder="1" applyAlignment="1">
      <alignment vertical="center" shrinkToFit="1"/>
    </xf>
    <xf numFmtId="0" fontId="107" fillId="0" borderId="62" xfId="530" applyFont="1" applyBorder="1" applyAlignment="1">
      <alignment vertical="center" shrinkToFit="1"/>
    </xf>
    <xf numFmtId="0" fontId="108" fillId="0" borderId="133" xfId="530" applyFont="1" applyBorder="1" applyAlignment="1">
      <alignment horizontal="center" vertical="center" shrinkToFit="1"/>
    </xf>
    <xf numFmtId="0" fontId="108" fillId="0" borderId="64" xfId="530" applyFont="1" applyBorder="1" applyAlignment="1">
      <alignment horizontal="center" vertical="center" shrinkToFit="1"/>
    </xf>
    <xf numFmtId="0" fontId="98" fillId="0" borderId="132" xfId="530" applyFont="1" applyBorder="1" applyAlignment="1">
      <alignment horizontal="center" vertical="center" shrinkToFit="1"/>
    </xf>
    <xf numFmtId="0" fontId="98" fillId="0" borderId="23" xfId="530" applyFont="1" applyBorder="1" applyAlignment="1">
      <alignment horizontal="center" vertical="center" shrinkToFit="1"/>
    </xf>
    <xf numFmtId="0" fontId="98" fillId="0" borderId="132" xfId="530" applyFont="1" applyBorder="1" applyAlignment="1">
      <alignment vertical="center" shrinkToFit="1"/>
    </xf>
    <xf numFmtId="0" fontId="98" fillId="0" borderId="23" xfId="530" applyFont="1" applyBorder="1" applyAlignment="1">
      <alignment vertical="center" shrinkToFit="1"/>
    </xf>
    <xf numFmtId="0" fontId="107" fillId="0" borderId="132" xfId="530" applyFont="1" applyBorder="1" applyAlignment="1">
      <alignment vertical="center" shrinkToFit="1"/>
    </xf>
    <xf numFmtId="0" fontId="107" fillId="0" borderId="23" xfId="530" applyFont="1" applyBorder="1" applyAlignment="1">
      <alignment vertical="center" shrinkToFit="1"/>
    </xf>
    <xf numFmtId="41" fontId="99" fillId="0" borderId="0" xfId="273" applyFont="1" applyBorder="1" applyAlignment="1">
      <alignment horizontal="left" vertical="center"/>
    </xf>
    <xf numFmtId="41" fontId="99" fillId="0" borderId="0" xfId="273" applyFont="1" applyBorder="1" applyAlignment="1">
      <alignment horizontal="center" vertical="center"/>
    </xf>
    <xf numFmtId="3" fontId="99" fillId="0" borderId="26" xfId="525" applyNumberFormat="1" applyFont="1" applyBorder="1" applyAlignment="1">
      <alignment horizontal="center" vertical="center"/>
    </xf>
    <xf numFmtId="3" fontId="109" fillId="0" borderId="66" xfId="525" applyNumberFormat="1" applyFont="1" applyBorder="1" applyAlignment="1">
      <alignment horizontal="center" vertical="center"/>
    </xf>
    <xf numFmtId="3" fontId="109" fillId="0" borderId="71" xfId="525" applyNumberFormat="1" applyFont="1" applyBorder="1" applyAlignment="1">
      <alignment horizontal="center" vertical="center"/>
    </xf>
    <xf numFmtId="3" fontId="109" fillId="0" borderId="67" xfId="525" applyNumberFormat="1" applyFont="1" applyBorder="1" applyAlignment="1">
      <alignment horizontal="center" vertical="center"/>
    </xf>
    <xf numFmtId="3" fontId="109" fillId="0" borderId="72" xfId="525" applyNumberFormat="1" applyFont="1" applyBorder="1" applyAlignment="1">
      <alignment horizontal="center" vertical="center"/>
    </xf>
    <xf numFmtId="41" fontId="109" fillId="0" borderId="67" xfId="273" applyFont="1" applyBorder="1" applyAlignment="1">
      <alignment horizontal="center" vertical="center"/>
    </xf>
    <xf numFmtId="41" fontId="109" fillId="0" borderId="72" xfId="273" applyFont="1" applyBorder="1" applyAlignment="1">
      <alignment horizontal="center" vertical="center"/>
    </xf>
    <xf numFmtId="3" fontId="109" fillId="0" borderId="70" xfId="525" applyNumberFormat="1" applyFont="1" applyBorder="1" applyAlignment="1">
      <alignment horizontal="center" vertical="center"/>
    </xf>
    <xf numFmtId="3" fontId="109" fillId="0" borderId="73" xfId="525" applyNumberFormat="1" applyFont="1" applyBorder="1" applyAlignment="1">
      <alignment horizontal="center" vertical="center"/>
    </xf>
    <xf numFmtId="0" fontId="105" fillId="0" borderId="132" xfId="532" applyFont="1" applyFill="1" applyBorder="1" applyAlignment="1" applyProtection="1">
      <alignment horizontal="left" vertical="center"/>
    </xf>
    <xf numFmtId="0" fontId="105" fillId="0" borderId="23" xfId="532" applyFont="1" applyFill="1" applyBorder="1" applyAlignment="1" applyProtection="1">
      <alignment horizontal="left" vertical="center"/>
    </xf>
    <xf numFmtId="37" fontId="105" fillId="0" borderId="0" xfId="532" applyNumberFormat="1" applyFont="1" applyFill="1" applyBorder="1" applyAlignment="1" applyProtection="1">
      <alignment horizontal="center" vertical="center"/>
    </xf>
    <xf numFmtId="0" fontId="105" fillId="0" borderId="135" xfId="532" applyFont="1" applyFill="1" applyBorder="1" applyAlignment="1" applyProtection="1">
      <alignment horizontal="center" vertical="center"/>
    </xf>
    <xf numFmtId="0" fontId="105" fillId="0" borderId="132" xfId="532" applyFont="1" applyFill="1" applyBorder="1" applyAlignment="1" applyProtection="1">
      <alignment horizontal="center" vertical="center"/>
    </xf>
    <xf numFmtId="0" fontId="105" fillId="0" borderId="82" xfId="532" applyFont="1" applyFill="1" applyBorder="1" applyAlignment="1" applyProtection="1">
      <alignment horizontal="center" vertical="center"/>
    </xf>
    <xf numFmtId="0" fontId="105" fillId="0" borderId="59" xfId="532" applyFont="1" applyFill="1" applyBorder="1" applyAlignment="1" applyProtection="1">
      <alignment horizontal="center" vertical="center"/>
    </xf>
    <xf numFmtId="0" fontId="105" fillId="0" borderId="23" xfId="532" applyFont="1" applyFill="1" applyBorder="1" applyAlignment="1" applyProtection="1">
      <alignment horizontal="center" vertical="center"/>
    </xf>
    <xf numFmtId="0" fontId="105" fillId="0" borderId="62" xfId="532" applyFont="1" applyFill="1" applyBorder="1" applyAlignment="1" applyProtection="1">
      <alignment horizontal="center" vertical="center"/>
    </xf>
    <xf numFmtId="0" fontId="105" fillId="0" borderId="59" xfId="532" applyFont="1" applyFill="1" applyBorder="1" applyAlignment="1" applyProtection="1">
      <alignment horizontal="center" vertical="center" shrinkToFit="1"/>
    </xf>
    <xf numFmtId="0" fontId="105" fillId="0" borderId="23" xfId="532" applyFont="1" applyFill="1" applyBorder="1" applyAlignment="1" applyProtection="1">
      <alignment horizontal="center" vertical="center" shrinkToFit="1"/>
    </xf>
    <xf numFmtId="0" fontId="105" fillId="0" borderId="62" xfId="532" applyFont="1" applyFill="1" applyBorder="1" applyAlignment="1" applyProtection="1">
      <alignment horizontal="center" vertical="center" shrinkToFit="1"/>
    </xf>
    <xf numFmtId="0" fontId="105" fillId="0" borderId="60" xfId="532" applyFont="1" applyFill="1" applyBorder="1" applyAlignment="1" applyProtection="1">
      <alignment horizontal="center" vertical="center"/>
    </xf>
    <xf numFmtId="37" fontId="105" fillId="0" borderId="23" xfId="532" applyNumberFormat="1" applyFont="1" applyFill="1" applyBorder="1" applyAlignment="1" applyProtection="1">
      <alignment horizontal="center" vertical="center"/>
    </xf>
    <xf numFmtId="0" fontId="105" fillId="0" borderId="23" xfId="532" applyFont="1" applyFill="1" applyBorder="1" applyAlignment="1">
      <alignment horizontal="center" vertical="center"/>
    </xf>
    <xf numFmtId="37" fontId="105" fillId="0" borderId="59" xfId="532" applyNumberFormat="1" applyFont="1" applyFill="1" applyBorder="1" applyAlignment="1" applyProtection="1">
      <alignment horizontal="center" vertical="center"/>
    </xf>
    <xf numFmtId="0" fontId="105" fillId="0" borderId="136" xfId="532" applyFont="1" applyFill="1" applyBorder="1" applyAlignment="1" applyProtection="1">
      <alignment horizontal="left" vertical="center"/>
    </xf>
    <xf numFmtId="0" fontId="105" fillId="0" borderId="4" xfId="532" applyFont="1" applyFill="1" applyBorder="1" applyAlignment="1" applyProtection="1">
      <alignment horizontal="left" vertical="center"/>
    </xf>
    <xf numFmtId="0" fontId="105" fillId="0" borderId="37" xfId="532" applyFont="1" applyFill="1" applyBorder="1" applyAlignment="1" applyProtection="1">
      <alignment horizontal="left" vertical="center" shrinkToFit="1"/>
    </xf>
    <xf numFmtId="0" fontId="105" fillId="0" borderId="81" xfId="532" applyFont="1" applyFill="1" applyBorder="1" applyAlignment="1" applyProtection="1">
      <alignment horizontal="left" vertical="center" shrinkToFit="1"/>
    </xf>
    <xf numFmtId="0" fontId="105" fillId="0" borderId="132" xfId="532" applyFont="1" applyFill="1" applyBorder="1" applyAlignment="1">
      <alignment horizontal="left" vertical="center"/>
    </xf>
    <xf numFmtId="0" fontId="105" fillId="0" borderId="23" xfId="532" applyFont="1" applyFill="1" applyBorder="1" applyAlignment="1">
      <alignment horizontal="left" vertical="center"/>
    </xf>
    <xf numFmtId="0" fontId="105" fillId="0" borderId="84" xfId="532" applyFont="1" applyFill="1" applyBorder="1" applyAlignment="1">
      <alignment horizontal="center" vertical="center"/>
    </xf>
    <xf numFmtId="0" fontId="105" fillId="0" borderId="5" xfId="532" applyFont="1" applyFill="1" applyBorder="1" applyAlignment="1">
      <alignment horizontal="left" vertical="center"/>
    </xf>
    <xf numFmtId="0" fontId="105" fillId="0" borderId="83" xfId="532" applyFont="1" applyFill="1" applyBorder="1" applyAlignment="1" applyProtection="1">
      <alignment horizontal="center" vertical="center" shrinkToFit="1"/>
    </xf>
    <xf numFmtId="0" fontId="105" fillId="0" borderId="76" xfId="532" applyFont="1" applyFill="1" applyBorder="1" applyAlignment="1" applyProtection="1">
      <alignment horizontal="center" vertical="center" shrinkToFit="1"/>
    </xf>
    <xf numFmtId="0" fontId="105" fillId="2" borderId="84" xfId="532" applyFont="1" applyFill="1" applyBorder="1" applyAlignment="1">
      <alignment horizontal="center" vertical="center"/>
    </xf>
    <xf numFmtId="0" fontId="105" fillId="0" borderId="84" xfId="532" applyFont="1" applyFill="1" applyBorder="1" applyAlignment="1" applyProtection="1">
      <alignment horizontal="center" vertical="center"/>
    </xf>
    <xf numFmtId="0" fontId="105" fillId="0" borderId="25" xfId="532" applyFont="1" applyFill="1" applyBorder="1" applyAlignment="1" applyProtection="1">
      <alignment horizontal="center" vertical="center"/>
    </xf>
    <xf numFmtId="0" fontId="105" fillId="0" borderId="84" xfId="532" applyFont="1" applyFill="1" applyBorder="1" applyAlignment="1" applyProtection="1">
      <alignment horizontal="center" vertical="center" shrinkToFit="1"/>
    </xf>
    <xf numFmtId="0" fontId="105" fillId="0" borderId="25" xfId="532" applyFont="1" applyFill="1" applyBorder="1" applyAlignment="1" applyProtection="1">
      <alignment horizontal="center" vertical="center" shrinkToFit="1"/>
    </xf>
    <xf numFmtId="37" fontId="105" fillId="0" borderId="84" xfId="532" applyNumberFormat="1" applyFont="1" applyFill="1" applyBorder="1" applyAlignment="1" applyProtection="1">
      <alignment horizontal="center" vertical="center"/>
    </xf>
    <xf numFmtId="0" fontId="105" fillId="2" borderId="84" xfId="532" applyFont="1" applyFill="1" applyBorder="1" applyAlignment="1" applyProtection="1">
      <alignment horizontal="center" vertical="center" shrinkToFit="1"/>
    </xf>
    <xf numFmtId="0" fontId="105" fillId="2" borderId="25" xfId="532" applyFont="1" applyFill="1" applyBorder="1" applyAlignment="1" applyProtection="1">
      <alignment horizontal="center" vertical="center" shrinkToFit="1"/>
    </xf>
    <xf numFmtId="37" fontId="105" fillId="2" borderId="26" xfId="532" applyNumberFormat="1" applyFont="1" applyFill="1" applyBorder="1" applyAlignment="1" applyProtection="1">
      <alignment horizontal="center" vertical="center"/>
    </xf>
    <xf numFmtId="0" fontId="105" fillId="2" borderId="83" xfId="532" applyFont="1" applyFill="1" applyBorder="1" applyAlignment="1" applyProtection="1">
      <alignment horizontal="center" vertical="center"/>
    </xf>
    <xf numFmtId="0" fontId="105" fillId="2" borderId="76" xfId="532" applyFont="1" applyFill="1" applyBorder="1" applyAlignment="1" applyProtection="1">
      <alignment horizontal="center" vertical="center"/>
    </xf>
    <xf numFmtId="0" fontId="105" fillId="0" borderId="5" xfId="532" applyFont="1" applyFill="1" applyBorder="1" applyAlignment="1" applyProtection="1">
      <alignment horizontal="left" vertical="center" shrinkToFit="1"/>
    </xf>
    <xf numFmtId="0" fontId="105" fillId="0" borderId="23" xfId="532" applyFont="1" applyFill="1" applyBorder="1" applyAlignment="1" applyProtection="1">
      <alignment horizontal="left" vertical="center" shrinkToFit="1"/>
    </xf>
    <xf numFmtId="37" fontId="105" fillId="2" borderId="84" xfId="0" applyNumberFormat="1" applyFont="1" applyFill="1" applyBorder="1" applyAlignment="1" applyProtection="1">
      <alignment horizontal="center" vertical="center"/>
    </xf>
    <xf numFmtId="37" fontId="106" fillId="0" borderId="0" xfId="0" applyNumberFormat="1" applyFont="1" applyFill="1" applyBorder="1" applyAlignment="1" applyProtection="1">
      <alignment horizontal="center" vertical="center"/>
    </xf>
    <xf numFmtId="0" fontId="105" fillId="2" borderId="84" xfId="532" applyFont="1" applyFill="1" applyBorder="1" applyAlignment="1" applyProtection="1">
      <alignment horizontal="center" vertical="center"/>
    </xf>
    <xf numFmtId="0" fontId="105" fillId="2" borderId="25" xfId="532" applyFont="1" applyFill="1" applyBorder="1" applyAlignment="1" applyProtection="1">
      <alignment horizontal="center" vertical="center"/>
    </xf>
    <xf numFmtId="0" fontId="105" fillId="0" borderId="84" xfId="0" applyFont="1" applyBorder="1"/>
    <xf numFmtId="0" fontId="105" fillId="2" borderId="74" xfId="531" applyFont="1" applyFill="1" applyBorder="1" applyAlignment="1" applyProtection="1">
      <alignment horizontal="left" vertical="center"/>
    </xf>
    <xf numFmtId="0" fontId="105" fillId="2" borderId="4" xfId="531" applyFont="1" applyFill="1" applyBorder="1" applyAlignment="1" applyProtection="1">
      <alignment horizontal="left" vertical="center"/>
    </xf>
    <xf numFmtId="37" fontId="105" fillId="0" borderId="26" xfId="0" applyNumberFormat="1" applyFont="1" applyFill="1" applyBorder="1" applyAlignment="1" applyProtection="1">
      <alignment horizontal="center" vertical="center"/>
    </xf>
    <xf numFmtId="37" fontId="105" fillId="2" borderId="84" xfId="532" applyNumberFormat="1" applyFont="1" applyFill="1" applyBorder="1" applyAlignment="1" applyProtection="1">
      <alignment horizontal="center" vertical="center"/>
    </xf>
    <xf numFmtId="0" fontId="105" fillId="2" borderId="84" xfId="0" applyFont="1" applyFill="1" applyBorder="1" applyAlignment="1" applyProtection="1">
      <alignment horizontal="center" vertical="center"/>
    </xf>
    <xf numFmtId="0" fontId="105" fillId="2" borderId="25" xfId="0" applyFont="1" applyFill="1" applyBorder="1" applyAlignment="1" applyProtection="1">
      <alignment horizontal="center" vertical="center"/>
    </xf>
    <xf numFmtId="0" fontId="105" fillId="2" borderId="83" xfId="0" applyFont="1" applyFill="1" applyBorder="1" applyAlignment="1" applyProtection="1">
      <alignment horizontal="center" vertical="center"/>
    </xf>
    <xf numFmtId="0" fontId="105" fillId="2" borderId="76" xfId="0" applyFont="1" applyFill="1" applyBorder="1" applyAlignment="1" applyProtection="1">
      <alignment horizontal="center" vertical="center"/>
    </xf>
    <xf numFmtId="0" fontId="105" fillId="0" borderId="83" xfId="532" applyFont="1" applyFill="1" applyBorder="1" applyAlignment="1" applyProtection="1">
      <alignment horizontal="center" vertical="center"/>
    </xf>
    <xf numFmtId="0" fontId="105" fillId="0" borderId="76" xfId="532" applyFont="1" applyFill="1" applyBorder="1" applyAlignment="1" applyProtection="1">
      <alignment horizontal="center" vertical="center"/>
    </xf>
    <xf numFmtId="0" fontId="105" fillId="2" borderId="85" xfId="0" applyFont="1" applyFill="1" applyBorder="1" applyAlignment="1" applyProtection="1">
      <alignment horizontal="center" vertical="center"/>
    </xf>
    <xf numFmtId="0" fontId="105" fillId="0" borderId="77" xfId="0" applyFont="1" applyBorder="1"/>
    <xf numFmtId="0" fontId="105" fillId="0" borderId="85" xfId="532" applyFont="1" applyFill="1" applyBorder="1" applyAlignment="1" applyProtection="1">
      <alignment horizontal="center" vertical="center"/>
    </xf>
    <xf numFmtId="0" fontId="105" fillId="0" borderId="77" xfId="532" applyFont="1" applyFill="1" applyBorder="1" applyAlignment="1" applyProtection="1">
      <alignment horizontal="center" vertical="center"/>
    </xf>
    <xf numFmtId="0" fontId="105" fillId="0" borderId="85" xfId="532" applyFont="1" applyFill="1" applyBorder="1" applyAlignment="1" applyProtection="1">
      <alignment horizontal="center" vertical="center" shrinkToFit="1"/>
    </xf>
    <xf numFmtId="0" fontId="105" fillId="0" borderId="77" xfId="532" applyFont="1" applyFill="1" applyBorder="1" applyAlignment="1" applyProtection="1">
      <alignment horizontal="center" vertical="center" shrinkToFit="1"/>
    </xf>
    <xf numFmtId="0" fontId="105" fillId="2" borderId="84" xfId="0" applyFont="1" applyFill="1" applyBorder="1" applyAlignment="1">
      <alignment horizontal="center" vertical="center"/>
    </xf>
    <xf numFmtId="0" fontId="105" fillId="0" borderId="84" xfId="532" applyFont="1" applyFill="1" applyBorder="1" applyAlignment="1">
      <alignment horizontal="center" vertical="center" shrinkToFit="1"/>
    </xf>
    <xf numFmtId="0" fontId="105" fillId="0" borderId="5" xfId="532" applyFont="1" applyFill="1" applyBorder="1" applyAlignment="1">
      <alignment horizontal="left" vertical="center" shrinkToFit="1"/>
    </xf>
    <xf numFmtId="0" fontId="105" fillId="0" borderId="23" xfId="532" applyFont="1" applyFill="1" applyBorder="1" applyAlignment="1">
      <alignment horizontal="left" vertical="center" shrinkToFit="1"/>
    </xf>
    <xf numFmtId="0" fontId="105" fillId="2" borderId="84" xfId="0" applyFont="1" applyFill="1" applyBorder="1" applyAlignment="1" applyProtection="1">
      <alignment horizontal="center" vertical="center" shrinkToFit="1"/>
    </xf>
    <xf numFmtId="0" fontId="105" fillId="0" borderId="25" xfId="0" applyFont="1" applyBorder="1" applyAlignment="1">
      <alignment shrinkToFit="1"/>
    </xf>
    <xf numFmtId="37" fontId="99" fillId="0" borderId="0" xfId="532" applyNumberFormat="1" applyFont="1" applyFill="1" applyAlignment="1" applyProtection="1">
      <alignment horizontal="center" vertical="center"/>
    </xf>
    <xf numFmtId="37" fontId="105" fillId="0" borderId="26" xfId="532" applyNumberFormat="1" applyFont="1" applyFill="1" applyBorder="1" applyAlignment="1" applyProtection="1">
      <alignment horizontal="right" vertical="center"/>
    </xf>
    <xf numFmtId="37" fontId="105" fillId="0" borderId="26" xfId="532" applyNumberFormat="1" applyFont="1" applyFill="1" applyBorder="1" applyAlignment="1" applyProtection="1">
      <alignment horizontal="center" vertical="center"/>
    </xf>
    <xf numFmtId="0" fontId="105" fillId="2" borderId="85" xfId="532" applyFont="1" applyFill="1" applyBorder="1" applyAlignment="1" applyProtection="1">
      <alignment horizontal="center" vertical="center"/>
    </xf>
    <xf numFmtId="37" fontId="105" fillId="0" borderId="84" xfId="532" applyNumberFormat="1" applyFont="1" applyFill="1" applyBorder="1" applyAlignment="1" applyProtection="1">
      <alignment horizontal="center" vertical="center" shrinkToFit="1"/>
    </xf>
    <xf numFmtId="0" fontId="105" fillId="0" borderId="84" xfId="0" applyFont="1" applyBorder="1" applyAlignment="1">
      <alignment shrinkToFit="1"/>
    </xf>
    <xf numFmtId="37" fontId="106" fillId="0" borderId="0" xfId="532" applyNumberFormat="1" applyFont="1" applyFill="1" applyBorder="1" applyAlignment="1" applyProtection="1">
      <alignment horizontal="center" vertical="center"/>
    </xf>
    <xf numFmtId="0" fontId="105" fillId="2" borderId="74" xfId="532" applyFont="1" applyFill="1" applyBorder="1" applyAlignment="1" applyProtection="1">
      <alignment horizontal="left" vertical="center"/>
    </xf>
    <xf numFmtId="0" fontId="105" fillId="2" borderId="4" xfId="532" applyFont="1" applyFill="1" applyBorder="1" applyAlignment="1" applyProtection="1">
      <alignment horizontal="left" vertical="center"/>
    </xf>
    <xf numFmtId="0" fontId="105" fillId="2" borderId="5" xfId="532" applyFont="1" applyFill="1" applyBorder="1" applyAlignment="1">
      <alignment horizontal="left" vertical="center"/>
    </xf>
    <xf numFmtId="0" fontId="105" fillId="2" borderId="23" xfId="532" applyFont="1" applyFill="1" applyBorder="1" applyAlignment="1">
      <alignment horizontal="left" vertical="center"/>
    </xf>
    <xf numFmtId="0" fontId="105" fillId="2" borderId="5" xfId="532" applyFont="1" applyFill="1" applyBorder="1" applyAlignment="1" applyProtection="1">
      <alignment horizontal="left" vertical="center"/>
    </xf>
    <xf numFmtId="0" fontId="105" fillId="2" borderId="23" xfId="532" applyFont="1" applyFill="1" applyBorder="1" applyAlignment="1" applyProtection="1">
      <alignment horizontal="left" vertical="center"/>
    </xf>
    <xf numFmtId="0" fontId="105" fillId="0" borderId="78" xfId="532" applyFont="1" applyFill="1" applyBorder="1" applyAlignment="1" applyProtection="1">
      <alignment horizontal="left" vertical="center"/>
    </xf>
    <xf numFmtId="0" fontId="105" fillId="0" borderId="12" xfId="532" applyFont="1" applyFill="1" applyBorder="1" applyAlignment="1" applyProtection="1">
      <alignment horizontal="left" vertical="center"/>
    </xf>
    <xf numFmtId="0" fontId="105" fillId="0" borderId="5" xfId="532" applyFont="1" applyFill="1" applyBorder="1" applyAlignment="1" applyProtection="1">
      <alignment horizontal="left" vertical="center"/>
    </xf>
    <xf numFmtId="0" fontId="105" fillId="2" borderId="77" xfId="532" applyFont="1" applyFill="1" applyBorder="1" applyAlignment="1" applyProtection="1">
      <alignment horizontal="center" vertical="center"/>
    </xf>
    <xf numFmtId="37" fontId="106" fillId="2" borderId="0" xfId="532" applyNumberFormat="1" applyFont="1" applyFill="1" applyBorder="1" applyAlignment="1" applyProtection="1">
      <alignment horizontal="center" vertical="center"/>
    </xf>
    <xf numFmtId="37" fontId="105" fillId="2" borderId="26" xfId="532" applyNumberFormat="1" applyFont="1" applyFill="1" applyBorder="1" applyAlignment="1" applyProtection="1">
      <alignment horizontal="right" vertical="center"/>
    </xf>
    <xf numFmtId="0" fontId="119" fillId="2" borderId="0" xfId="532" applyFont="1" applyFill="1" applyBorder="1" applyAlignment="1">
      <alignment horizontal="center" vertical="center"/>
    </xf>
    <xf numFmtId="0" fontId="112" fillId="2" borderId="84" xfId="531" applyFont="1" applyFill="1" applyBorder="1" applyAlignment="1">
      <alignment horizontal="center" vertical="center"/>
    </xf>
    <xf numFmtId="0" fontId="112" fillId="2" borderId="85" xfId="531" applyFont="1" applyFill="1" applyBorder="1" applyAlignment="1">
      <alignment horizontal="center" vertical="center"/>
    </xf>
    <xf numFmtId="0" fontId="112" fillId="2" borderId="23" xfId="531" applyFont="1" applyFill="1" applyBorder="1" applyAlignment="1">
      <alignment horizontal="left" vertical="center"/>
    </xf>
    <xf numFmtId="0" fontId="112" fillId="2" borderId="29" xfId="531" applyFont="1" applyFill="1" applyBorder="1" applyAlignment="1">
      <alignment horizontal="left" vertical="center"/>
    </xf>
    <xf numFmtId="0" fontId="112" fillId="0" borderId="23" xfId="531" applyFont="1" applyFill="1" applyBorder="1" applyAlignment="1">
      <alignment horizontal="left" vertical="center"/>
    </xf>
    <xf numFmtId="0" fontId="112" fillId="0" borderId="29" xfId="531" applyFont="1" applyFill="1" applyBorder="1" applyAlignment="1">
      <alignment horizontal="left" vertical="center"/>
    </xf>
    <xf numFmtId="0" fontId="112" fillId="0" borderId="80" xfId="531" applyFont="1" applyFill="1" applyBorder="1" applyAlignment="1">
      <alignment horizontal="left" vertical="center"/>
    </xf>
    <xf numFmtId="0" fontId="112" fillId="0" borderId="38" xfId="531" applyFont="1" applyFill="1" applyBorder="1" applyAlignment="1">
      <alignment horizontal="left" vertical="center"/>
    </xf>
    <xf numFmtId="0" fontId="112" fillId="0" borderId="102" xfId="531" applyFont="1" applyFill="1" applyBorder="1" applyAlignment="1">
      <alignment horizontal="left" vertical="center"/>
    </xf>
    <xf numFmtId="37" fontId="112" fillId="2" borderId="23" xfId="531" applyNumberFormat="1" applyFont="1" applyFill="1" applyBorder="1" applyAlignment="1" applyProtection="1">
      <alignment horizontal="left" vertical="center"/>
    </xf>
    <xf numFmtId="37" fontId="112" fillId="2" borderId="80" xfId="531" applyNumberFormat="1" applyFont="1" applyFill="1" applyBorder="1" applyAlignment="1" applyProtection="1">
      <alignment horizontal="left" vertical="center"/>
    </xf>
    <xf numFmtId="37" fontId="112" fillId="2" borderId="115" xfId="531" applyNumberFormat="1" applyFont="1" applyFill="1" applyBorder="1" applyAlignment="1" applyProtection="1">
      <alignment horizontal="left" vertical="center"/>
    </xf>
    <xf numFmtId="37" fontId="112" fillId="2" borderId="29" xfId="531" applyNumberFormat="1" applyFont="1" applyFill="1" applyBorder="1" applyAlignment="1" applyProtection="1">
      <alignment horizontal="left" vertical="center"/>
    </xf>
    <xf numFmtId="37" fontId="112" fillId="0" borderId="80" xfId="531" applyNumberFormat="1" applyFont="1" applyFill="1" applyBorder="1" applyAlignment="1" applyProtection="1">
      <alignment horizontal="left" vertical="center"/>
    </xf>
    <xf numFmtId="37" fontId="112" fillId="0" borderId="81" xfId="531" applyNumberFormat="1" applyFont="1" applyFill="1" applyBorder="1" applyAlignment="1" applyProtection="1">
      <alignment horizontal="left" vertical="center"/>
    </xf>
    <xf numFmtId="37" fontId="112" fillId="2" borderId="25" xfId="531" applyNumberFormat="1" applyFont="1" applyFill="1" applyBorder="1" applyAlignment="1" applyProtection="1">
      <alignment horizontal="left" vertical="center"/>
    </xf>
    <xf numFmtId="37" fontId="112" fillId="2" borderId="86" xfId="531" applyNumberFormat="1" applyFont="1" applyFill="1" applyBorder="1" applyAlignment="1" applyProtection="1">
      <alignment horizontal="left" vertical="center"/>
    </xf>
  </cellXfs>
  <cellStyles count="539">
    <cellStyle name="$" xfId="1"/>
    <cellStyle name="$_db진흥" xfId="2"/>
    <cellStyle name="$_SE40" xfId="3"/>
    <cellStyle name="$_강릉재료집계" xfId="4"/>
    <cellStyle name="$_개보수토적계산" xfId="5"/>
    <cellStyle name="$_견적2" xfId="6"/>
    <cellStyle name="$_결재요약(앵천)(1)" xfId="7"/>
    <cellStyle name="$_기아" xfId="8"/>
    <cellStyle name="$_단암토적계산" xfId="9"/>
    <cellStyle name="$_수원공제계산서" xfId="10"/>
    <cellStyle name="$_신대용지매수" xfId="11"/>
    <cellStyle name="$_앵천관정개발" xfId="12"/>
    <cellStyle name="$_앵천지구지하수 " xfId="13"/>
    <cellStyle name="$_전기앵천" xfId="14"/>
    <cellStyle name="$_추풍지재료집계" xfId="15"/>
    <cellStyle name="$_폐기물" xfId="16"/>
    <cellStyle name="(△콤마)" xfId="17"/>
    <cellStyle name="(백분율)" xfId="18"/>
    <cellStyle name="(콤마)" xfId="19"/>
    <cellStyle name="(표준)" xfId="20"/>
    <cellStyle name="??&amp;O?&amp;H?_x0008__x000f__x0007_?_x0007__x0001__x0001_" xfId="21"/>
    <cellStyle name="??&amp;O?&amp;H?_x0008_??_x0007__x0001__x0001_" xfId="22"/>
    <cellStyle name="?W?_laroux" xfId="23"/>
    <cellStyle name="?潮%뾁?둃u_x0008_??_x0007__x0001__x0001_" xfId="24"/>
    <cellStyle name="_ 서대2농로포장(04)" xfId="25"/>
    <cellStyle name="_00 포장공" xfId="26"/>
    <cellStyle name="_01.깨기" xfId="27"/>
    <cellStyle name="_02.깨기" xfId="28"/>
    <cellStyle name="_02수량" xfId="29"/>
    <cellStyle name="_2(1).구조물 수량산출서" xfId="30"/>
    <cellStyle name="_2.토공" xfId="31"/>
    <cellStyle name="_2004한발대비5개지구 설계서-수량산출서" xfId="32"/>
    <cellStyle name="_2004한발대비5개지구 이용시설 설계서-수량산출서" xfId="33"/>
    <cellStyle name="_2-4.상반기실적부문별요약" xfId="34"/>
    <cellStyle name="_2-4.상반기실적부문별요약(표지및목차포함)" xfId="35"/>
    <cellStyle name="_2-4.상반기실적부문별요약(표지및목차포함)_1" xfId="36"/>
    <cellStyle name="_2-4.상반기실적부문별요약_1" xfId="37"/>
    <cellStyle name="_3.0 부대공" xfId="38"/>
    <cellStyle name="_'99상반기경영개선활동결과(게시용)" xfId="39"/>
    <cellStyle name="_BOX구체" xfId="40"/>
    <cellStyle name="_경영개선활동상반기실적(990708)" xfId="41"/>
    <cellStyle name="_경영개선활동상반기실적(990708)_1" xfId="42"/>
    <cellStyle name="_경영개선활동상반기실적(990708)_2" xfId="43"/>
    <cellStyle name="_경영개선활성화방안(990802)" xfId="44"/>
    <cellStyle name="_경영개선활성화방안(990802)_1" xfId="45"/>
    <cellStyle name="_구조물공사" xfId="46"/>
    <cellStyle name="_구조물수량산출서2" xfId="47"/>
    <cellStyle name="_깨기조서" xfId="48"/>
    <cellStyle name="_돌망태(last)" xfId="49"/>
    <cellStyle name="_동산농로포장공사(상반기주민숙원사업)" xfId="50"/>
    <cellStyle name="_동산농로포장공사(상반기주민숙원사업)완료" xfId="51"/>
    <cellStyle name="_명곡2리-수량산출서" xfId="52"/>
    <cellStyle name="_문과장님이 작업한것(옹벽)" xfId="53"/>
    <cellStyle name="_바이오엑스포 안개분수대 급배수시설보수공사" xfId="54"/>
    <cellStyle name="_반중력식옹벽" xfId="55"/>
    <cellStyle name="_반중력식옹벽단위수량" xfId="56"/>
    <cellStyle name="_백암선 석축(찰쌓기) (version 1)" xfId="57"/>
    <cellStyle name="_백암선 석축(찰쌓기1)" xfId="58"/>
    <cellStyle name="_별첨(계획서및실적서양식)" xfId="59"/>
    <cellStyle name="_별첨(계획서및실적서양식)_1" xfId="60"/>
    <cellStyle name="_사본 - 사양배수로정비공사(주민숙원사업)" xfId="61"/>
    <cellStyle name="_사본 - 월전배수로정비공사(주민숙원사업)" xfId="62"/>
    <cellStyle name="_사양리배수로 설치공사(상반기주민숙원사업)완료" xfId="63"/>
    <cellStyle name="_상계하천정화및화계하수구정비" xfId="64"/>
    <cellStyle name="_서대2농로포장변경" xfId="65"/>
    <cellStyle name="_서정및옥각하수구정비" xfId="66"/>
    <cellStyle name="_성암2하수구정비" xfId="67"/>
    <cellStyle name="_송암1리 간이상수도 보수공사" xfId="68"/>
    <cellStyle name="_수량산출서" xfId="69"/>
    <cellStyle name="_신기1안길재포장변경" xfId="70"/>
    <cellStyle name="_앙성수량총괄(관수정)" xfId="71"/>
    <cellStyle name="_앙성수량총괄(관수정)_1" xfId="72"/>
    <cellStyle name="_앙성수량총괄(관수정)_2" xfId="73"/>
    <cellStyle name="_양식" xfId="74"/>
    <cellStyle name="_양식_1" xfId="75"/>
    <cellStyle name="_양식_2" xfId="76"/>
    <cellStyle name="_오동1리 농로및배수로정비공사(100%)" xfId="77"/>
    <cellStyle name="_오동1리 농로및배수로정비공사(70%)" xfId="78"/>
    <cellStyle name="_오동2리 송수관로 매설공사" xfId="79"/>
    <cellStyle name="_오동2리 송수관로매설(주민숙원사업)" xfId="80"/>
    <cellStyle name="_외부2리 포장" xfId="81"/>
    <cellStyle name="_원각하수구정비" xfId="82"/>
    <cellStyle name="_월전리 배수로 설치공사(상반기주민숙원사업)완료" xfId="83"/>
    <cellStyle name="_유첨3(서식)" xfId="84"/>
    <cellStyle name="_유첨3(서식)_1" xfId="85"/>
    <cellStyle name="_이중벽관" xfId="86"/>
    <cellStyle name="_장용산휴양림 지하수개발 및 물탱크설치공사 도급내역서" xfId="87"/>
    <cellStyle name="_지정과제1분기실적(확정990408)" xfId="88"/>
    <cellStyle name="_지정과제1분기실적(확정990408)_1" xfId="89"/>
    <cellStyle name="_지정과제2차심의list" xfId="90"/>
    <cellStyle name="_지정과제2차심의list_1" xfId="91"/>
    <cellStyle name="_지정과제2차심의list_2" xfId="92"/>
    <cellStyle name="_지정과제2차심의결과" xfId="93"/>
    <cellStyle name="_지정과제2차심의결과(금액조정후최종)" xfId="94"/>
    <cellStyle name="_지정과제2차심의결과(금액조정후최종)_1" xfId="95"/>
    <cellStyle name="_지정과제2차심의결과(금액조정후최종)_1_dimon" xfId="96"/>
    <cellStyle name="_지정과제2차심의결과(금액조정후최종)_1_경영개선실적보고(전주공장)" xfId="97"/>
    <cellStyle name="_지정과제2차심의결과(금액조정후최종)_1_별첨1_2" xfId="98"/>
    <cellStyle name="_지정과제2차심의결과(금액조정후최종)_1_제안과제집계표(공장전체)" xfId="99"/>
    <cellStyle name="_지정과제2차심의결과(금액조정후최종)_dimon" xfId="100"/>
    <cellStyle name="_지정과제2차심의결과(금액조정후최종)_경영개선실적보고(전주공장)" xfId="101"/>
    <cellStyle name="_지정과제2차심의결과(금액조정후최종)_별첨1_2" xfId="102"/>
    <cellStyle name="_지정과제2차심의결과(금액조정후최종)_제안과제집계표(공장전체)" xfId="103"/>
    <cellStyle name="_지정과제2차심의결과_1" xfId="104"/>
    <cellStyle name="_집중관리(981231)" xfId="105"/>
    <cellStyle name="_집중관리(981231)_1" xfId="106"/>
    <cellStyle name="_집중관리(지정과제및 양식)" xfId="107"/>
    <cellStyle name="_집중관리(지정과제및 양식)_1" xfId="108"/>
    <cellStyle name="_청성거포지구외 1개소 지하수개발(옥천군)도급-1" xfId="109"/>
    <cellStyle name="_총자재집계" xfId="110"/>
    <cellStyle name="_탄동지구 이용시설공사(예산적용)" xfId="111"/>
    <cellStyle name="_평곡리 배수로정비공사(면장포괄사업)" xfId="112"/>
    <cellStyle name="_포장공(2공구)" xfId="113"/>
    <cellStyle name="_포장공제" xfId="114"/>
    <cellStyle name="_포장수량" xfId="115"/>
    <cellStyle name="_횡배수관수량" xfId="116"/>
    <cellStyle name="’E‰Y [0.00]_laroux" xfId="117"/>
    <cellStyle name="’E‰Y_laroux" xfId="118"/>
    <cellStyle name="△백분율" xfId="119"/>
    <cellStyle name="△콤마" xfId="120"/>
    <cellStyle name="0" xfId="121"/>
    <cellStyle name="00" xfId="122"/>
    <cellStyle name="1" xfId="123"/>
    <cellStyle name="1_00-예산서양식100" xfId="124"/>
    <cellStyle name="1_laroux" xfId="125"/>
    <cellStyle name="1_laroux_ATC-YOON1" xfId="126"/>
    <cellStyle name="1_total" xfId="127"/>
    <cellStyle name="1_total_현충묘지-예산서(조경)" xfId="128"/>
    <cellStyle name="1_total_현충묘지-예산서(조경)_예산서-엑셀변환양식100" xfId="129"/>
    <cellStyle name="1_tree" xfId="130"/>
    <cellStyle name="1_tree_수량산출" xfId="131"/>
    <cellStyle name="1_tree_수량산출_현충묘지-예산서(조경)" xfId="132"/>
    <cellStyle name="1_tree_수량산출_현충묘지-예산서(조경)_예산서-엑셀변환양식100" xfId="133"/>
    <cellStyle name="1_tree_현충묘지-예산서(조경)" xfId="134"/>
    <cellStyle name="1_tree_현충묘지-예산서(조경)_예산서-엑셀변환양식100" xfId="135"/>
    <cellStyle name="1_단가조사표" xfId="136"/>
    <cellStyle name="1_단가조사표_1011소각" xfId="137"/>
    <cellStyle name="1_단가조사표_1113교~1" xfId="138"/>
    <cellStyle name="1_단가조사표_121내역" xfId="139"/>
    <cellStyle name="1_단가조사표_객토량" xfId="140"/>
    <cellStyle name="1_단가조사표_교통센~1" xfId="141"/>
    <cellStyle name="1_단가조사표_교통센터412" xfId="142"/>
    <cellStyle name="1_단가조사표_교통수" xfId="143"/>
    <cellStyle name="1_단가조사표_교통수량산출서" xfId="144"/>
    <cellStyle name="1_단가조사표_구조물대가 (2)" xfId="145"/>
    <cellStyle name="1_단가조사표_내역서 (2)" xfId="146"/>
    <cellStyle name="1_단가조사표_대전관저지구" xfId="147"/>
    <cellStyle name="1_단가조사표_동측지~1" xfId="148"/>
    <cellStyle name="1_단가조사표_동측지원422" xfId="149"/>
    <cellStyle name="1_단가조사표_동측지원512" xfId="150"/>
    <cellStyle name="1_단가조사표_동측지원524" xfId="151"/>
    <cellStyle name="1_단가조사표_부대422" xfId="152"/>
    <cellStyle name="1_단가조사표_부대시설" xfId="153"/>
    <cellStyle name="1_단가조사표_소각수~1" xfId="154"/>
    <cellStyle name="1_단가조사표_소각수내역서" xfId="155"/>
    <cellStyle name="1_단가조사표_소각수목2" xfId="156"/>
    <cellStyle name="1_단가조사표_수량산출서 (2)" xfId="157"/>
    <cellStyle name="1_단가조사표_엑스포~1" xfId="158"/>
    <cellStyle name="1_단가조사표_엑스포한빛1" xfId="159"/>
    <cellStyle name="1_단가조사표_여객터미널331" xfId="160"/>
    <cellStyle name="1_단가조사표_여객터미널513" xfId="161"/>
    <cellStyle name="1_단가조사표_여객터미널629" xfId="162"/>
    <cellStyle name="1_단가조사표_외곽도로616" xfId="163"/>
    <cellStyle name="1_단가조사표_원가계~1" xfId="164"/>
    <cellStyle name="1_단가조사표_유기질" xfId="165"/>
    <cellStyle name="1_단가조사표_자재조서 (2)" xfId="166"/>
    <cellStyle name="1_단가조사표_총괄내역" xfId="167"/>
    <cellStyle name="1_단가조사표_총괄내역 (2)" xfId="168"/>
    <cellStyle name="1_단가조사표_터미널도로403" xfId="169"/>
    <cellStyle name="1_단가조사표_터미널도로429" xfId="170"/>
    <cellStyle name="1_단가조사표_포장일위" xfId="171"/>
    <cellStyle name="1_현충묘지-수량산출서" xfId="172"/>
    <cellStyle name="11" xfId="173"/>
    <cellStyle name="111" xfId="174"/>
    <cellStyle name="¹eº" xfId="175"/>
    <cellStyle name="¹éº" xfId="176"/>
    <cellStyle name="¹eº_마곡보완" xfId="177"/>
    <cellStyle name="¹éº_마곡보완" xfId="178"/>
    <cellStyle name="2" xfId="179"/>
    <cellStyle name="2)" xfId="180"/>
    <cellStyle name="2_laroux" xfId="181"/>
    <cellStyle name="2_laroux_ATC-YOON1" xfId="182"/>
    <cellStyle name="2_단가조사표" xfId="183"/>
    <cellStyle name="2_단가조사표_1011소각" xfId="184"/>
    <cellStyle name="2_단가조사표_1113교~1" xfId="185"/>
    <cellStyle name="2_단가조사표_121내역" xfId="186"/>
    <cellStyle name="2_단가조사표_객토량" xfId="187"/>
    <cellStyle name="2_단가조사표_교통센~1" xfId="188"/>
    <cellStyle name="2_단가조사표_교통센터412" xfId="189"/>
    <cellStyle name="2_단가조사표_교통수" xfId="190"/>
    <cellStyle name="2_단가조사표_교통수량산출서" xfId="191"/>
    <cellStyle name="2_단가조사표_구조물대가 (2)" xfId="192"/>
    <cellStyle name="2_단가조사표_내역서 (2)" xfId="193"/>
    <cellStyle name="2_단가조사표_대전관저지구" xfId="194"/>
    <cellStyle name="2_단가조사표_동측지~1" xfId="195"/>
    <cellStyle name="2_단가조사표_동측지원422" xfId="196"/>
    <cellStyle name="2_단가조사표_동측지원512" xfId="197"/>
    <cellStyle name="2_단가조사표_동측지원524" xfId="198"/>
    <cellStyle name="2_단가조사표_부대422" xfId="199"/>
    <cellStyle name="2_단가조사표_부대시설" xfId="200"/>
    <cellStyle name="2_단가조사표_소각수~1" xfId="201"/>
    <cellStyle name="2_단가조사표_소각수내역서" xfId="202"/>
    <cellStyle name="2_단가조사표_소각수목2" xfId="203"/>
    <cellStyle name="2_단가조사표_수량산출서 (2)" xfId="204"/>
    <cellStyle name="2_단가조사표_엑스포~1" xfId="205"/>
    <cellStyle name="2_단가조사표_엑스포한빛1" xfId="206"/>
    <cellStyle name="2_단가조사표_여객터미널331" xfId="207"/>
    <cellStyle name="2_단가조사표_여객터미널513" xfId="208"/>
    <cellStyle name="2_단가조사표_여객터미널629" xfId="209"/>
    <cellStyle name="2_단가조사표_외곽도로616" xfId="210"/>
    <cellStyle name="2_단가조사표_원가계~1" xfId="211"/>
    <cellStyle name="2_단가조사표_유기질" xfId="212"/>
    <cellStyle name="2_단가조사표_자재조서 (2)" xfId="213"/>
    <cellStyle name="2_단가조사표_총괄내역" xfId="214"/>
    <cellStyle name="2_단가조사표_총괄내역 (2)" xfId="215"/>
    <cellStyle name="2_단가조사표_터미널도로403" xfId="216"/>
    <cellStyle name="2_단가조사표_터미널도로429" xfId="217"/>
    <cellStyle name="2_단가조사표_포장일위" xfId="218"/>
    <cellStyle name="2자리" xfId="219"/>
    <cellStyle name="Ae" xfId="220"/>
    <cellStyle name="Åë" xfId="221"/>
    <cellStyle name="Ae_마곡보완" xfId="222"/>
    <cellStyle name="Åë_마곡보완" xfId="223"/>
    <cellStyle name="Aee­ [" xfId="224"/>
    <cellStyle name="Åëè­ [" xfId="225"/>
    <cellStyle name="Aee­ [_마곡보완" xfId="226"/>
    <cellStyle name="Åëè­ [_마곡보완" xfId="227"/>
    <cellStyle name="AeE­ [0]_ 2ÆAAþº° " xfId="228"/>
    <cellStyle name="ÅëÈ­ [0]_»óºÎ¼ö·®Áý°è " xfId="229"/>
    <cellStyle name="AeE­ [0]_·Oμ￥(2)" xfId="230"/>
    <cellStyle name="ÅëÈ­ [0]_¼ÕÀÍ¿¹»ê" xfId="231"/>
    <cellStyle name="AeE­ [0]_¼oAI¼º " xfId="232"/>
    <cellStyle name="AeE­_ 2ÆAAþº° " xfId="233"/>
    <cellStyle name="ÅëÈ­_»óºÎ¼ö·®Áý°è " xfId="234"/>
    <cellStyle name="AeE­_·Oμ￥(2)" xfId="235"/>
    <cellStyle name="ÅëÈ­_¼ÕÀÍ¿¹»ê" xfId="236"/>
    <cellStyle name="AeE­_¼oAI¼º " xfId="237"/>
    <cellStyle name="ALIGNMENT" xfId="238"/>
    <cellStyle name="Aþ" xfId="239"/>
    <cellStyle name="Äþ" xfId="240"/>
    <cellStyle name="Aþ_마곡보완" xfId="241"/>
    <cellStyle name="Äþ_마곡보완" xfId="242"/>
    <cellStyle name="Aþ¸¶ [" xfId="243"/>
    <cellStyle name="Äþ¸¶ [" xfId="244"/>
    <cellStyle name="Aþ¸¶ [_마곡보완" xfId="245"/>
    <cellStyle name="Äþ¸¶ [_마곡보완" xfId="246"/>
    <cellStyle name="AÞ¸¶ [0]_ 2ÆAAþº° " xfId="247"/>
    <cellStyle name="ÄÞ¸¶ [0]_»óºÎ¼ö·®Áý°è " xfId="248"/>
    <cellStyle name="AÞ¸¶ [0]_·Oμ￥(2)" xfId="249"/>
    <cellStyle name="ÄÞ¸¶ [0]_¼ÕÀÍ¿¹»ê" xfId="250"/>
    <cellStyle name="AÞ¸¶ [0]_¼oAI¼º " xfId="251"/>
    <cellStyle name="AÞ¸¶_ 2ÆAAþº° " xfId="252"/>
    <cellStyle name="ÄÞ¸¶_»óºÎ¼ö·®Áý°è " xfId="253"/>
    <cellStyle name="AÞ¸¶_·Oμ￥(2)" xfId="254"/>
    <cellStyle name="ÄÞ¸¶_¼ÕÀÍ¿¹»ê" xfId="255"/>
    <cellStyle name="AÞ¸¶_¼oAI¼º " xfId="256"/>
    <cellStyle name="Background" xfId="257"/>
    <cellStyle name="bln2" xfId="258"/>
    <cellStyle name="bln3" xfId="259"/>
    <cellStyle name="bls" xfId="260"/>
    <cellStyle name="BoldHdr" xfId="261"/>
    <cellStyle name="C￥" xfId="262"/>
    <cellStyle name="Ç¥" xfId="263"/>
    <cellStyle name="C￥_마곡보완" xfId="264"/>
    <cellStyle name="Ç¥_마곡보완" xfId="265"/>
    <cellStyle name="C￥AØ_  FAB AIA¤  " xfId="266"/>
    <cellStyle name="Ç¥ÁØ_»óºÎ¼ö·®Áý°è " xfId="267"/>
    <cellStyle name="C￥AØ_2000¼OER " xfId="268"/>
    <cellStyle name="Calc Currency (0)" xfId="269"/>
    <cellStyle name="category" xfId="270"/>
    <cellStyle name="ColHdr" xfId="271"/>
    <cellStyle name="Column Headings" xfId="272"/>
    <cellStyle name="Comma [0]" xfId="273" builtinId="6"/>
    <cellStyle name="comma zerodec" xfId="274"/>
    <cellStyle name="Comma0" xfId="275"/>
    <cellStyle name="Company Info" xfId="276"/>
    <cellStyle name="Contents Heading 1" xfId="277"/>
    <cellStyle name="Contents Heading 2" xfId="278"/>
    <cellStyle name="Contents Heading 3" xfId="279"/>
    <cellStyle name="Copied" xfId="280"/>
    <cellStyle name="CoverHeadline1" xfId="281"/>
    <cellStyle name="Curr" xfId="282"/>
    <cellStyle name="Currency0" xfId="283"/>
    <cellStyle name="Currency1" xfId="284"/>
    <cellStyle name="Data" xfId="285"/>
    <cellStyle name="Date" xfId="286"/>
    <cellStyle name="Dezimal [0]_Compiling Utility Macros" xfId="287"/>
    <cellStyle name="Dezimal_Compiling Utility Macros" xfId="288"/>
    <cellStyle name="Display" xfId="289"/>
    <cellStyle name="Display Price" xfId="290"/>
    <cellStyle name="Dollar (zero dec)" xfId="291"/>
    <cellStyle name="EA(개수표시)" xfId="292"/>
    <cellStyle name="Entered" xfId="293"/>
    <cellStyle name="Euro" xfId="294"/>
    <cellStyle name="F2" xfId="295"/>
    <cellStyle name="F3" xfId="296"/>
    <cellStyle name="F4" xfId="297"/>
    <cellStyle name="F5" xfId="298"/>
    <cellStyle name="F6" xfId="299"/>
    <cellStyle name="F7" xfId="300"/>
    <cellStyle name="F8" xfId="301"/>
    <cellStyle name="FinePrint" xfId="302"/>
    <cellStyle name="Fixed" xfId="303"/>
    <cellStyle name="Grey" xfId="304"/>
    <cellStyle name="H1" xfId="305"/>
    <cellStyle name="H2" xfId="306"/>
    <cellStyle name="HEADER" xfId="307"/>
    <cellStyle name="Header1" xfId="308"/>
    <cellStyle name="Header2" xfId="309"/>
    <cellStyle name="Heading" xfId="310"/>
    <cellStyle name="Heading 1" xfId="311"/>
    <cellStyle name="Heading 2" xfId="312"/>
    <cellStyle name="Heading 3" xfId="313"/>
    <cellStyle name="Heading1" xfId="314"/>
    <cellStyle name="Heading2" xfId="315"/>
    <cellStyle name="Heading2Divider" xfId="316"/>
    <cellStyle name="Input" xfId="317"/>
    <cellStyle name="Input [yellow]" xfId="318"/>
    <cellStyle name="Input Price" xfId="319"/>
    <cellStyle name="Input Quantity" xfId="320"/>
    <cellStyle name="Input Single Cell" xfId="321"/>
    <cellStyle name="InputBodyCurr" xfId="322"/>
    <cellStyle name="InputBodyDate" xfId="323"/>
    <cellStyle name="InputBodyText" xfId="324"/>
    <cellStyle name="InputColor" xfId="325"/>
    <cellStyle name="Item" xfId="326"/>
    <cellStyle name="Item Input" xfId="327"/>
    <cellStyle name="Midtitle" xfId="328"/>
    <cellStyle name="Milliers [0]_399GC10" xfId="329"/>
    <cellStyle name="Milliers_399GC10" xfId="330"/>
    <cellStyle name="Model" xfId="331"/>
    <cellStyle name="Mon?aire [0]_399GC10" xfId="332"/>
    <cellStyle name="Mon?aire_399GC10" xfId="333"/>
    <cellStyle name="no dec" xfId="334"/>
    <cellStyle name="Normal" xfId="0" builtinId="0"/>
    <cellStyle name="Normal - Style1" xfId="335"/>
    <cellStyle name="Normal - 유형1" xfId="336"/>
    <cellStyle name="Œ…?æ맖?e [0.00]_laroux" xfId="337"/>
    <cellStyle name="Œ…?æ맖?e_laroux" xfId="338"/>
    <cellStyle name="oh" xfId="339"/>
    <cellStyle name="Output Single Cell" xfId="340"/>
    <cellStyle name="Package Size" xfId="341"/>
    <cellStyle name="Percent" xfId="342" builtinId="5"/>
    <cellStyle name="Percent [2]" xfId="343"/>
    <cellStyle name="Print Heading" xfId="344"/>
    <cellStyle name="Recipe" xfId="345"/>
    <cellStyle name="Recipe Heading" xfId="346"/>
    <cellStyle name="Recipe_01. 평곡배수로정비공사" xfId="347"/>
    <cellStyle name="redn2" xfId="348"/>
    <cellStyle name="redn3" xfId="349"/>
    <cellStyle name="REDs" xfId="350"/>
    <cellStyle name="Revenue" xfId="351"/>
    <cellStyle name="RevList" xfId="352"/>
    <cellStyle name="RptTitle" xfId="353"/>
    <cellStyle name="sh" xfId="354"/>
    <cellStyle name="ssh" xfId="355"/>
    <cellStyle name="Standard_Anpassen der Amortisation" xfId="356"/>
    <cellStyle name="STA서식" xfId="357"/>
    <cellStyle name="STA표시" xfId="358"/>
    <cellStyle name="subhead" xfId="359"/>
    <cellStyle name="SubHeading" xfId="360"/>
    <cellStyle name="Subtotal" xfId="361"/>
    <cellStyle name="Subtotal 1" xfId="362"/>
    <cellStyle name="Suggested Quantity" xfId="363"/>
    <cellStyle name="T=?cm표시" xfId="364"/>
    <cellStyle name="testtitle" xfId="365"/>
    <cellStyle name="title [1]" xfId="366"/>
    <cellStyle name="title [2]" xfId="367"/>
    <cellStyle name="TON표시" xfId="368"/>
    <cellStyle name="Total" xfId="369"/>
    <cellStyle name="TotalCurr" xfId="370"/>
    <cellStyle name="TotalHdr" xfId="371"/>
    <cellStyle name="UM" xfId="372"/>
    <cellStyle name="W?rung [0]_Compiling Utility Macros" xfId="373"/>
    <cellStyle name="W?rung_Compiling Utility Macros" xfId="374"/>
    <cellStyle name="Φ000표시(관경)" xfId="375"/>
    <cellStyle name="가운데" xfId="376"/>
    <cellStyle name="감춤" xfId="377"/>
    <cellStyle name="고정소숫점" xfId="378"/>
    <cellStyle name="고정출력1" xfId="379"/>
    <cellStyle name="고정출력2" xfId="380"/>
    <cellStyle name="공종" xfId="381"/>
    <cellStyle name="국종합건설" xfId="382"/>
    <cellStyle name="날짜" xfId="383"/>
    <cellStyle name="내역서" xfId="384"/>
    <cellStyle name="네모제목" xfId="385"/>
    <cellStyle name="달러" xfId="386"/>
    <cellStyle name="뒤에 오는 하이퍼링크" xfId="387"/>
    <cellStyle name="똿뗦먛귟 [0.00]_PRODUCT DETAIL Q1" xfId="388"/>
    <cellStyle name="똿뗦먛귟_PRODUCT DETAIL Q1" xfId="389"/>
    <cellStyle name="마이너스키" xfId="390"/>
    <cellStyle name="면적표시" xfId="391"/>
    <cellStyle name="믅됞 [0.00]_PRODUCT DETAIL Q1" xfId="392"/>
    <cellStyle name="믅됞_PRODUCT DETAIL Q1" xfId="393"/>
    <cellStyle name="未定義" xfId="394"/>
    <cellStyle name="바탕체" xfId="395"/>
    <cellStyle name="백" xfId="396"/>
    <cellStyle name="백_Book2" xfId="397"/>
    <cellStyle name="백분율 [0]" xfId="398"/>
    <cellStyle name="백분율 [2]" xfId="399"/>
    <cellStyle name="뷭?_BOOKSHIP" xfId="400"/>
    <cellStyle name="빨간색" xfId="401"/>
    <cellStyle name="수량1" xfId="402"/>
    <cellStyle name="수목명" xfId="403"/>
    <cellStyle name="숨김" xfId="404"/>
    <cellStyle name="숫자(R)" xfId="405"/>
    <cellStyle name="쉼표 [0] 2" xfId="406"/>
    <cellStyle name="쉼표 [0] 3" xfId="407"/>
    <cellStyle name="쉼표 [0] 4" xfId="408"/>
    <cellStyle name="쉼표 [0] 5" xfId="409"/>
    <cellStyle name="쉼표 [0] 6" xfId="410"/>
    <cellStyle name="쉼표 [0]_(20060215)2006수맥조사시행계획서" xfId="411"/>
    <cellStyle name="쉼표 [0]_옥천군 농업용관정 사후관리 설계내역서" xfId="412"/>
    <cellStyle name="스타일 1" xfId="413"/>
    <cellStyle name="스타일 10" xfId="414"/>
    <cellStyle name="스타일 11" xfId="415"/>
    <cellStyle name="스타일 12" xfId="416"/>
    <cellStyle name="스타일 13" xfId="417"/>
    <cellStyle name="스타일 14" xfId="418"/>
    <cellStyle name="스타일 2" xfId="419"/>
    <cellStyle name="스타일 3" xfId="420"/>
    <cellStyle name="스타일 4" xfId="421"/>
    <cellStyle name="스타일 5" xfId="422"/>
    <cellStyle name="스타일 6" xfId="423"/>
    <cellStyle name="스타일 7" xfId="424"/>
    <cellStyle name="스타일 8" xfId="425"/>
    <cellStyle name="스타일 9" xfId="426"/>
    <cellStyle name="안건회계법인" xfId="427"/>
    <cellStyle name="얇은바탕선" xfId="428"/>
    <cellStyle name="열어본 하이퍼링크" xfId="429"/>
    <cellStyle name="원" xfId="430"/>
    <cellStyle name="원_1.골지내역(업)" xfId="431"/>
    <cellStyle name="원_1호도로토공(1차)" xfId="432"/>
    <cellStyle name="원_2.골지수량" xfId="433"/>
    <cellStyle name="원_2004.사을기지구(계획기반공사)" xfId="434"/>
    <cellStyle name="원_2005 박계지구 지하수(직영)" xfId="435"/>
    <cellStyle name="원_2006 교평지구 지하수개발사업계획" xfId="436"/>
    <cellStyle name="원_NEGS" xfId="437"/>
    <cellStyle name="원_감곡문화011128진입가로등케이블삭제한전납입금전부삭제" xfId="438"/>
    <cellStyle name="원_강릉재료집계" xfId="439"/>
    <cellStyle name="원_강진양수" xfId="440"/>
    <cellStyle name="원_개보수토적계산" xfId="441"/>
    <cellStyle name="원_결재요약(앵천)(1)" xfId="442"/>
    <cellStyle name="원_경기도지하수관리계획_1.28_경기본부의견적용" xfId="443"/>
    <cellStyle name="원_골지지구(정선)" xfId="444"/>
    <cellStyle name="원_공사관리 연장허가 영향조사시행계획서(제1반)" xfId="445"/>
    <cellStyle name="원_궁평단가보완030415" xfId="446"/>
    <cellStyle name="원_금호2양수0101" xfId="447"/>
    <cellStyle name="원_남토적표(9)" xfId="448"/>
    <cellStyle name="원_노현사통" xfId="449"/>
    <cellStyle name="원_단암토적계산" xfId="450"/>
    <cellStyle name="원_달산배수0303" xfId="451"/>
    <cellStyle name="원_도로구조물수정" xfId="452"/>
    <cellStyle name="원_동" xfId="453"/>
    <cellStyle name="원_동근거" xfId="454"/>
    <cellStyle name="원_목도양수" xfId="455"/>
    <cellStyle name="원_무수준공031220최종" xfId="456"/>
    <cellStyle name="원_바위안(변경인가)" xfId="457"/>
    <cellStyle name="원_바위안(업내역)`02" xfId="458"/>
    <cellStyle name="원_바위안수량,토적(당초)" xfId="459"/>
    <cellStyle name="원_바위안수량,토적(변경)" xfId="460"/>
    <cellStyle name="원_바위안수량표" xfId="461"/>
    <cellStyle name="원_방화실010310" xfId="462"/>
    <cellStyle name="원_배수로덮개재료집계" xfId="463"/>
    <cellStyle name="원_백곡양수 변전소신설1200kVA 040317" xfId="464"/>
    <cellStyle name="원_백록사통" xfId="465"/>
    <cellStyle name="원_범화지(1상4련)" xfId="466"/>
    <cellStyle name="원_삼방2지구 대구획경지정리사업 사업계획서" xfId="467"/>
    <cellStyle name="원_삼방전기" xfId="468"/>
    <cellStyle name="원_서평준공031220" xfId="469"/>
    <cellStyle name="원_성지양수" xfId="470"/>
    <cellStyle name="원_소로단가보완030224조달청" xfId="471"/>
    <cellStyle name="원_수령도로측구덮개재료집계" xfId="472"/>
    <cellStyle name="원_수원공제계산서" xfId="473"/>
    <cellStyle name="원_수중모터교체공사 (성연오사리)" xfId="474"/>
    <cellStyle name="원_신대용지매수" xfId="475"/>
    <cellStyle name="원_양산양수" xfId="476"/>
    <cellStyle name="원_역T형옹벽" xfId="477"/>
    <cellStyle name="원_오천양수" xfId="478"/>
    <cellStyle name="원_옥동양수0101" xfId="479"/>
    <cellStyle name="원_옥천군 지하수보조관측망설치 착정공사 외주시행계획서" xfId="480"/>
    <cellStyle name="원_왕장지구농업용암반관정이용시설공사" xfId="481"/>
    <cellStyle name="원_용전단가보완0201" xfId="482"/>
    <cellStyle name="원_운반(할증없음)" xfId="483"/>
    <cellStyle name="원_이용시설" xfId="484"/>
    <cellStyle name="원_재오개양수" xfId="485"/>
    <cellStyle name="원_전기앵천" xfId="486"/>
    <cellStyle name="원_정선군 능전지구(2004년)" xfId="487"/>
    <cellStyle name="원_좌사지구" xfId="488"/>
    <cellStyle name="원_증감" xfId="489"/>
    <cellStyle name="원_지하수설계표지" xfId="490"/>
    <cellStyle name="원_지하수영향조사 내역서(재허가)" xfId="491"/>
    <cellStyle name="원_지하수예정공정표" xfId="492"/>
    <cellStyle name="원_청양영향조사내역서" xfId="493"/>
    <cellStyle name="원_총" xfId="494"/>
    <cellStyle name="원_추평전동010814신양추가" xfId="495"/>
    <cellStyle name="원_추풍지재료집계" xfId="496"/>
    <cellStyle name="원_팔봉단가보완0308" xfId="497"/>
    <cellStyle name="원_팔봉양수" xfId="498"/>
    <cellStyle name="원_폐기물" xfId="499"/>
    <cellStyle name="원_하장양수(40HP20HP)020309" xfId="500"/>
    <cellStyle name="원_한해대책이용시설2차 외주발주" xfId="501"/>
    <cellStyle name="원_해미-수량산출" xfId="502"/>
    <cellStyle name="유1" xfId="503"/>
    <cellStyle name="을지" xfId="504"/>
    <cellStyle name="일반" xfId="505"/>
    <cellStyle name="자리수" xfId="506"/>
    <cellStyle name="자리수0" xfId="507"/>
    <cellStyle name="지정되지 않음" xfId="508"/>
    <cellStyle name="체적표시" xfId="509"/>
    <cellStyle name="콤" xfId="510"/>
    <cellStyle name="콤마 [" xfId="511"/>
    <cellStyle name="콤마 [0]" xfId="512"/>
    <cellStyle name="콤마 [000]" xfId="513"/>
    <cellStyle name="콤마 [1]" xfId="514"/>
    <cellStyle name="콤마 [2]" xfId="515"/>
    <cellStyle name="콤마 1" xfId="516"/>
    <cellStyle name="콤마[0]" xfId="517"/>
    <cellStyle name="콤마_  종  합  " xfId="518"/>
    <cellStyle name="통" xfId="519"/>
    <cellStyle name="통화 [" xfId="520"/>
    <cellStyle name="통화 [0㉝〸" xfId="521"/>
    <cellStyle name="퍼센트" xfId="522"/>
    <cellStyle name="표" xfId="523"/>
    <cellStyle name="표준 2" xfId="524"/>
    <cellStyle name="표준_(20060109)2006수맥조사시행계획서_본사" xfId="525"/>
    <cellStyle name="표준_(20060215)2006수맥조사시행계획서" xfId="526"/>
    <cellStyle name="標準_Akia(F）-8" xfId="527"/>
    <cellStyle name="표준_Sheet1" xfId="528"/>
    <cellStyle name="표준_공주원상복구사업계획서(0906)" xfId="529"/>
    <cellStyle name="표준_김영웅처장님_업무혐조" xfId="530"/>
    <cellStyle name="표준_연천포천" xfId="531"/>
    <cellStyle name="표준_옥천군 농업용관정 사후관리 설계내역서" xfId="532"/>
    <cellStyle name="표준_인허가관련분석(전남)" xfId="533"/>
    <cellStyle name="표준1" xfId="534"/>
    <cellStyle name="표준2" xfId="535"/>
    <cellStyle name="합산" xfId="536"/>
    <cellStyle name="화폐기호" xfId="537"/>
    <cellStyle name="화폐기호0" xfId="53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7.xml"/><Relationship Id="rId21" Type="http://schemas.openxmlformats.org/officeDocument/2006/relationships/externalLink" Target="externalLinks/externalLink11.xml"/><Relationship Id="rId42" Type="http://schemas.openxmlformats.org/officeDocument/2006/relationships/externalLink" Target="externalLinks/externalLink32.xml"/><Relationship Id="rId63" Type="http://schemas.openxmlformats.org/officeDocument/2006/relationships/externalLink" Target="externalLinks/externalLink53.xml"/><Relationship Id="rId84" Type="http://schemas.openxmlformats.org/officeDocument/2006/relationships/externalLink" Target="externalLinks/externalLink74.xml"/><Relationship Id="rId138" Type="http://schemas.openxmlformats.org/officeDocument/2006/relationships/externalLink" Target="externalLinks/externalLink128.xml"/><Relationship Id="rId107" Type="http://schemas.openxmlformats.org/officeDocument/2006/relationships/externalLink" Target="externalLinks/externalLink97.xml"/><Relationship Id="rId11" Type="http://schemas.openxmlformats.org/officeDocument/2006/relationships/externalLink" Target="externalLinks/externalLink1.xml"/><Relationship Id="rId32" Type="http://schemas.openxmlformats.org/officeDocument/2006/relationships/externalLink" Target="externalLinks/externalLink22.xml"/><Relationship Id="rId53" Type="http://schemas.openxmlformats.org/officeDocument/2006/relationships/externalLink" Target="externalLinks/externalLink43.xml"/><Relationship Id="rId74" Type="http://schemas.openxmlformats.org/officeDocument/2006/relationships/externalLink" Target="externalLinks/externalLink64.xml"/><Relationship Id="rId128" Type="http://schemas.openxmlformats.org/officeDocument/2006/relationships/externalLink" Target="externalLinks/externalLink118.xml"/><Relationship Id="rId149" Type="http://schemas.microsoft.com/office/2006/relationships/vbaProject" Target="vbaProject.bin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85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64" Type="http://schemas.openxmlformats.org/officeDocument/2006/relationships/externalLink" Target="externalLinks/externalLink54.xml"/><Relationship Id="rId69" Type="http://schemas.openxmlformats.org/officeDocument/2006/relationships/externalLink" Target="externalLinks/externalLink59.xml"/><Relationship Id="rId113" Type="http://schemas.openxmlformats.org/officeDocument/2006/relationships/externalLink" Target="externalLinks/externalLink103.xml"/><Relationship Id="rId118" Type="http://schemas.openxmlformats.org/officeDocument/2006/relationships/externalLink" Target="externalLinks/externalLink108.xml"/><Relationship Id="rId134" Type="http://schemas.openxmlformats.org/officeDocument/2006/relationships/externalLink" Target="externalLinks/externalLink124.xml"/><Relationship Id="rId139" Type="http://schemas.openxmlformats.org/officeDocument/2006/relationships/externalLink" Target="externalLinks/externalLink129.xml"/><Relationship Id="rId80" Type="http://schemas.openxmlformats.org/officeDocument/2006/relationships/externalLink" Target="externalLinks/externalLink70.xml"/><Relationship Id="rId85" Type="http://schemas.openxmlformats.org/officeDocument/2006/relationships/externalLink" Target="externalLinks/externalLink75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59" Type="http://schemas.openxmlformats.org/officeDocument/2006/relationships/externalLink" Target="externalLinks/externalLink49.xml"/><Relationship Id="rId103" Type="http://schemas.openxmlformats.org/officeDocument/2006/relationships/externalLink" Target="externalLinks/externalLink93.xml"/><Relationship Id="rId108" Type="http://schemas.openxmlformats.org/officeDocument/2006/relationships/externalLink" Target="externalLinks/externalLink98.xml"/><Relationship Id="rId124" Type="http://schemas.openxmlformats.org/officeDocument/2006/relationships/externalLink" Target="externalLinks/externalLink114.xml"/><Relationship Id="rId129" Type="http://schemas.openxmlformats.org/officeDocument/2006/relationships/externalLink" Target="externalLinks/externalLink119.xml"/><Relationship Id="rId54" Type="http://schemas.openxmlformats.org/officeDocument/2006/relationships/externalLink" Target="externalLinks/externalLink44.xml"/><Relationship Id="rId70" Type="http://schemas.openxmlformats.org/officeDocument/2006/relationships/externalLink" Target="externalLinks/externalLink60.xml"/><Relationship Id="rId75" Type="http://schemas.openxmlformats.org/officeDocument/2006/relationships/externalLink" Target="externalLinks/externalLink65.xml"/><Relationship Id="rId91" Type="http://schemas.openxmlformats.org/officeDocument/2006/relationships/externalLink" Target="externalLinks/externalLink81.xml"/><Relationship Id="rId96" Type="http://schemas.openxmlformats.org/officeDocument/2006/relationships/externalLink" Target="externalLinks/externalLink86.xml"/><Relationship Id="rId140" Type="http://schemas.openxmlformats.org/officeDocument/2006/relationships/externalLink" Target="externalLinks/externalLink130.xml"/><Relationship Id="rId14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49" Type="http://schemas.openxmlformats.org/officeDocument/2006/relationships/externalLink" Target="externalLinks/externalLink39.xml"/><Relationship Id="rId114" Type="http://schemas.openxmlformats.org/officeDocument/2006/relationships/externalLink" Target="externalLinks/externalLink104.xml"/><Relationship Id="rId119" Type="http://schemas.openxmlformats.org/officeDocument/2006/relationships/externalLink" Target="externalLinks/externalLink109.xml"/><Relationship Id="rId44" Type="http://schemas.openxmlformats.org/officeDocument/2006/relationships/externalLink" Target="externalLinks/externalLink34.xml"/><Relationship Id="rId60" Type="http://schemas.openxmlformats.org/officeDocument/2006/relationships/externalLink" Target="externalLinks/externalLink50.xml"/><Relationship Id="rId65" Type="http://schemas.openxmlformats.org/officeDocument/2006/relationships/externalLink" Target="externalLinks/externalLink55.xml"/><Relationship Id="rId81" Type="http://schemas.openxmlformats.org/officeDocument/2006/relationships/externalLink" Target="externalLinks/externalLink71.xml"/><Relationship Id="rId86" Type="http://schemas.openxmlformats.org/officeDocument/2006/relationships/externalLink" Target="externalLinks/externalLink76.xml"/><Relationship Id="rId130" Type="http://schemas.openxmlformats.org/officeDocument/2006/relationships/externalLink" Target="externalLinks/externalLink120.xml"/><Relationship Id="rId135" Type="http://schemas.openxmlformats.org/officeDocument/2006/relationships/externalLink" Target="externalLinks/externalLink125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39" Type="http://schemas.openxmlformats.org/officeDocument/2006/relationships/externalLink" Target="externalLinks/externalLink29.xml"/><Relationship Id="rId109" Type="http://schemas.openxmlformats.org/officeDocument/2006/relationships/externalLink" Target="externalLinks/externalLink99.xml"/><Relationship Id="rId34" Type="http://schemas.openxmlformats.org/officeDocument/2006/relationships/externalLink" Target="externalLinks/externalLink24.xml"/><Relationship Id="rId50" Type="http://schemas.openxmlformats.org/officeDocument/2006/relationships/externalLink" Target="externalLinks/externalLink40.xml"/><Relationship Id="rId55" Type="http://schemas.openxmlformats.org/officeDocument/2006/relationships/externalLink" Target="externalLinks/externalLink45.xml"/><Relationship Id="rId76" Type="http://schemas.openxmlformats.org/officeDocument/2006/relationships/externalLink" Target="externalLinks/externalLink66.xml"/><Relationship Id="rId97" Type="http://schemas.openxmlformats.org/officeDocument/2006/relationships/externalLink" Target="externalLinks/externalLink87.xml"/><Relationship Id="rId104" Type="http://schemas.openxmlformats.org/officeDocument/2006/relationships/externalLink" Target="externalLinks/externalLink94.xml"/><Relationship Id="rId120" Type="http://schemas.openxmlformats.org/officeDocument/2006/relationships/externalLink" Target="externalLinks/externalLink110.xml"/><Relationship Id="rId125" Type="http://schemas.openxmlformats.org/officeDocument/2006/relationships/externalLink" Target="externalLinks/externalLink115.xml"/><Relationship Id="rId141" Type="http://schemas.openxmlformats.org/officeDocument/2006/relationships/externalLink" Target="externalLinks/externalLink131.xml"/><Relationship Id="rId14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1.xml"/><Relationship Id="rId92" Type="http://schemas.openxmlformats.org/officeDocument/2006/relationships/externalLink" Target="externalLinks/externalLink8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9.xml"/><Relationship Id="rId24" Type="http://schemas.openxmlformats.org/officeDocument/2006/relationships/externalLink" Target="externalLinks/externalLink14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66" Type="http://schemas.openxmlformats.org/officeDocument/2006/relationships/externalLink" Target="externalLinks/externalLink56.xml"/><Relationship Id="rId87" Type="http://schemas.openxmlformats.org/officeDocument/2006/relationships/externalLink" Target="externalLinks/externalLink77.xml"/><Relationship Id="rId110" Type="http://schemas.openxmlformats.org/officeDocument/2006/relationships/externalLink" Target="externalLinks/externalLink100.xml"/><Relationship Id="rId115" Type="http://schemas.openxmlformats.org/officeDocument/2006/relationships/externalLink" Target="externalLinks/externalLink105.xml"/><Relationship Id="rId131" Type="http://schemas.openxmlformats.org/officeDocument/2006/relationships/externalLink" Target="externalLinks/externalLink121.xml"/><Relationship Id="rId136" Type="http://schemas.openxmlformats.org/officeDocument/2006/relationships/externalLink" Target="externalLinks/externalLink126.xml"/><Relationship Id="rId61" Type="http://schemas.openxmlformats.org/officeDocument/2006/relationships/externalLink" Target="externalLinks/externalLink51.xml"/><Relationship Id="rId82" Type="http://schemas.openxmlformats.org/officeDocument/2006/relationships/externalLink" Target="externalLinks/externalLink72.xml"/><Relationship Id="rId19" Type="http://schemas.openxmlformats.org/officeDocument/2006/relationships/externalLink" Target="externalLinks/externalLink9.xml"/><Relationship Id="rId14" Type="http://schemas.openxmlformats.org/officeDocument/2006/relationships/externalLink" Target="externalLinks/externalLink4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56" Type="http://schemas.openxmlformats.org/officeDocument/2006/relationships/externalLink" Target="externalLinks/externalLink46.xml"/><Relationship Id="rId77" Type="http://schemas.openxmlformats.org/officeDocument/2006/relationships/externalLink" Target="externalLinks/externalLink67.xml"/><Relationship Id="rId100" Type="http://schemas.openxmlformats.org/officeDocument/2006/relationships/externalLink" Target="externalLinks/externalLink90.xml"/><Relationship Id="rId105" Type="http://schemas.openxmlformats.org/officeDocument/2006/relationships/externalLink" Target="externalLinks/externalLink95.xml"/><Relationship Id="rId126" Type="http://schemas.openxmlformats.org/officeDocument/2006/relationships/externalLink" Target="externalLinks/externalLink116.xml"/><Relationship Id="rId14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72" Type="http://schemas.openxmlformats.org/officeDocument/2006/relationships/externalLink" Target="externalLinks/externalLink62.xml"/><Relationship Id="rId93" Type="http://schemas.openxmlformats.org/officeDocument/2006/relationships/externalLink" Target="externalLinks/externalLink83.xml"/><Relationship Id="rId98" Type="http://schemas.openxmlformats.org/officeDocument/2006/relationships/externalLink" Target="externalLinks/externalLink88.xml"/><Relationship Id="rId121" Type="http://schemas.openxmlformats.org/officeDocument/2006/relationships/externalLink" Target="externalLinks/externalLink111.xml"/><Relationship Id="rId142" Type="http://schemas.openxmlformats.org/officeDocument/2006/relationships/externalLink" Target="externalLinks/externalLink132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5.xml"/><Relationship Id="rId46" Type="http://schemas.openxmlformats.org/officeDocument/2006/relationships/externalLink" Target="externalLinks/externalLink36.xml"/><Relationship Id="rId67" Type="http://schemas.openxmlformats.org/officeDocument/2006/relationships/externalLink" Target="externalLinks/externalLink57.xml"/><Relationship Id="rId116" Type="http://schemas.openxmlformats.org/officeDocument/2006/relationships/externalLink" Target="externalLinks/externalLink106.xml"/><Relationship Id="rId137" Type="http://schemas.openxmlformats.org/officeDocument/2006/relationships/externalLink" Target="externalLinks/externalLink127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62" Type="http://schemas.openxmlformats.org/officeDocument/2006/relationships/externalLink" Target="externalLinks/externalLink52.xml"/><Relationship Id="rId83" Type="http://schemas.openxmlformats.org/officeDocument/2006/relationships/externalLink" Target="externalLinks/externalLink73.xml"/><Relationship Id="rId88" Type="http://schemas.openxmlformats.org/officeDocument/2006/relationships/externalLink" Target="externalLinks/externalLink78.xml"/><Relationship Id="rId111" Type="http://schemas.openxmlformats.org/officeDocument/2006/relationships/externalLink" Target="externalLinks/externalLink101.xml"/><Relationship Id="rId132" Type="http://schemas.openxmlformats.org/officeDocument/2006/relationships/externalLink" Target="externalLinks/externalLink122.xml"/><Relationship Id="rId15" Type="http://schemas.openxmlformats.org/officeDocument/2006/relationships/externalLink" Target="externalLinks/externalLink5.xml"/><Relationship Id="rId36" Type="http://schemas.openxmlformats.org/officeDocument/2006/relationships/externalLink" Target="externalLinks/externalLink26.xml"/><Relationship Id="rId57" Type="http://schemas.openxmlformats.org/officeDocument/2006/relationships/externalLink" Target="externalLinks/externalLink47.xml"/><Relationship Id="rId106" Type="http://schemas.openxmlformats.org/officeDocument/2006/relationships/externalLink" Target="externalLinks/externalLink96.xml"/><Relationship Id="rId127" Type="http://schemas.openxmlformats.org/officeDocument/2006/relationships/externalLink" Target="externalLinks/externalLink11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1.xml"/><Relationship Id="rId52" Type="http://schemas.openxmlformats.org/officeDocument/2006/relationships/externalLink" Target="externalLinks/externalLink42.xml"/><Relationship Id="rId73" Type="http://schemas.openxmlformats.org/officeDocument/2006/relationships/externalLink" Target="externalLinks/externalLink63.xml"/><Relationship Id="rId78" Type="http://schemas.openxmlformats.org/officeDocument/2006/relationships/externalLink" Target="externalLinks/externalLink68.xml"/><Relationship Id="rId94" Type="http://schemas.openxmlformats.org/officeDocument/2006/relationships/externalLink" Target="externalLinks/externalLink84.xml"/><Relationship Id="rId99" Type="http://schemas.openxmlformats.org/officeDocument/2006/relationships/externalLink" Target="externalLinks/externalLink89.xml"/><Relationship Id="rId101" Type="http://schemas.openxmlformats.org/officeDocument/2006/relationships/externalLink" Target="externalLinks/externalLink91.xml"/><Relationship Id="rId122" Type="http://schemas.openxmlformats.org/officeDocument/2006/relationships/externalLink" Target="externalLinks/externalLink112.xml"/><Relationship Id="rId143" Type="http://schemas.openxmlformats.org/officeDocument/2006/relationships/externalLink" Target="externalLinks/externalLink133.xml"/><Relationship Id="rId14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externalLink" Target="externalLinks/externalLink16.xml"/><Relationship Id="rId47" Type="http://schemas.openxmlformats.org/officeDocument/2006/relationships/externalLink" Target="externalLinks/externalLink37.xml"/><Relationship Id="rId68" Type="http://schemas.openxmlformats.org/officeDocument/2006/relationships/externalLink" Target="externalLinks/externalLink58.xml"/><Relationship Id="rId89" Type="http://schemas.openxmlformats.org/officeDocument/2006/relationships/externalLink" Target="externalLinks/externalLink79.xml"/><Relationship Id="rId112" Type="http://schemas.openxmlformats.org/officeDocument/2006/relationships/externalLink" Target="externalLinks/externalLink102.xml"/><Relationship Id="rId133" Type="http://schemas.openxmlformats.org/officeDocument/2006/relationships/externalLink" Target="externalLinks/externalLink123.xml"/><Relationship Id="rId16" Type="http://schemas.openxmlformats.org/officeDocument/2006/relationships/externalLink" Target="externalLinks/externalLink6.xml"/><Relationship Id="rId37" Type="http://schemas.openxmlformats.org/officeDocument/2006/relationships/externalLink" Target="externalLinks/externalLink27.xml"/><Relationship Id="rId58" Type="http://schemas.openxmlformats.org/officeDocument/2006/relationships/externalLink" Target="externalLinks/externalLink48.xml"/><Relationship Id="rId79" Type="http://schemas.openxmlformats.org/officeDocument/2006/relationships/externalLink" Target="externalLinks/externalLink69.xml"/><Relationship Id="rId102" Type="http://schemas.openxmlformats.org/officeDocument/2006/relationships/externalLink" Target="externalLinks/externalLink92.xml"/><Relationship Id="rId123" Type="http://schemas.openxmlformats.org/officeDocument/2006/relationships/externalLink" Target="externalLinks/externalLink113.xml"/><Relationship Id="rId144" Type="http://schemas.openxmlformats.org/officeDocument/2006/relationships/externalLink" Target="externalLinks/externalLink134.xml"/><Relationship Id="rId90" Type="http://schemas.openxmlformats.org/officeDocument/2006/relationships/externalLink" Target="externalLinks/externalLink8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1699" name="Line 1">
          <a:extLst>
            <a:ext uri="{FF2B5EF4-FFF2-40B4-BE49-F238E27FC236}">
              <a16:creationId xmlns:a16="http://schemas.microsoft.com/office/drawing/2014/main" id="{02DEABAC-00A9-41E0-BB8B-2E2981D70827}"/>
            </a:ext>
          </a:extLst>
        </xdr:cNvPr>
        <xdr:cNvSpPr>
          <a:spLocks noChangeShapeType="1"/>
        </xdr:cNvSpPr>
      </xdr:nvSpPr>
      <xdr:spPr bwMode="auto">
        <a:xfrm>
          <a:off x="10715625" y="13401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57150</xdr:colOff>
      <xdr:row>11</xdr:row>
      <xdr:rowOff>447675</xdr:rowOff>
    </xdr:from>
    <xdr:to>
      <xdr:col>2</xdr:col>
      <xdr:colOff>695325</xdr:colOff>
      <xdr:row>13</xdr:row>
      <xdr:rowOff>95250</xdr:rowOff>
    </xdr:to>
    <xdr:pic>
      <xdr:nvPicPr>
        <xdr:cNvPr id="1700" name="Picture 1" descr="EMB00000d082612">
          <a:extLst>
            <a:ext uri="{FF2B5EF4-FFF2-40B4-BE49-F238E27FC236}">
              <a16:creationId xmlns:a16="http://schemas.microsoft.com/office/drawing/2014/main" id="{ED4672A7-BF82-4652-90E4-0396BBE99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5150" y="5743575"/>
          <a:ext cx="6381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51648;&#54616;&#49688;&#51088;&#50896;&#44288;&#47532;&#49324;&#50629;\2006&#51648;&#54616;&#49688;&#51088;&#50896;&#44288;&#47532;&#49324;&#50629;\2006&#45380;&#49884;&#54665;&#44228;&#54925;&#49436;&#51089;&#49457;\&#49884;&#44400;&#48324;&#50864;&#49440;&#49692;&#50948;&#45236;&#50669;(&#45453;&#47548;&#51032;&#44204;20021207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Excel\work\&#45236;&#5066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orary%20Internet%20Files\Content.IE5\I741UTG9\05&#45380;&#49373;&#54876;&#50857;&#49688;&#49324;&#50629;&#44228;&#54925;&#49436;1&#52264;(&#44608;&#51652;&#54840;&#49688;&#51221;1)(1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52264;&#50857;&#54840;\Local%20Settings\Temporary%20Internet%20Files\Content.IE5\2P2LEBGJ\&#49324;&#50629;\2004&#49324;&#50629;\&#51060;&#50857;&#49884;&#49444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52264;&#50857;&#54840;\Local%20Settings\Temporary%20Internet%20Files\Content.IE5\2P2LEBGJ\&#49324;&#50629;\2003&#49324;&#50629;\&#51076;&#51652;&#44053;&#50976;&#50669;\&#51076;&#51652;&#48372;&#52649;\&#51076;&#51652;&#48372;&#52649;&#50577;&#49688;&#5110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HEXCEL\WORK\9-1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54861;&#49692;&#50865;\&#51648;&#54616;&#49688;&#51088;&#50896;&#44288;&#47532;&#49324;&#50629;\2006&#51648;&#54616;&#49688;&#51088;&#50896;&#44288;&#47532;&#49324;&#50629;\2006&#45380;&#49884;&#54665;&#44228;&#54925;&#49436;&#51089;&#49457;\2006&#49884;&#54665;&#44228;&#54925;&#49436;&#50976;&#51064;\&#49884;&#44400;&#48324;&#50864;&#49440;&#49692;&#50948;&#45236;&#50669;(&#45453;&#47548;&#51032;&#44204;20021207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50724;&#54665;&#44512;\OHG\2008%20&#49324;&#50629;\&#50725;&#52380;&#44400;\&#54620;&#48156;&#45824;&#48708;\&#47785;&#46041;&#51648;&#44396;%20&#54620;&#48156;&#45824;&#48708;%20&#50516;&#48152;&#44288;&#51221;%20&#44060;&#48156;%20&#49324;&#50629;&#44228;&#54925;&#49436;(10&#44060;&#48156;)&#51204;&#44592;&#54252;&#5463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&#44032;&#50556;-&#49457;&#44592;(&#47215;&#45936;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su\sansu%20&#44277;&#49324;\2015\1.%20&#44277;&#49324;&#44288;&#47532;&#44288;&#51221;\9.%20&#46020;&#45817;&#50808;%203&#51648;&#44396;%20&#50689;&#54693;&#51312;&#49324;%20&#48143;%20&#49324;&#54980;&#44288;&#47532;_&#46020;&#45817;,&#44288;&#50976;,&#49340;&#47329;_&#53457;&#49328;\&#45927;&#48537;&#51076;_3.%20&#44053;&#52397;&#50808;%203&#51648;&#44396;%20&#44277;&#49324;&#44288;&#47532;&#44288;&#51221;%20&#49324;&#54980;&#44288;&#47532;&#50857;&#50669;%20&#50808;&#51452;&#49884;&#54665;&#44228;&#54925;&#49436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57;&#52384;\&#54252;&#52380;&#49569;&#50864;&#49688;&#47049;\hb\&#49340;&#49328;1&#51648;&#44396;(&#49892;&#49884;)\&#51452;&#44277;&#49688;&#47049;\&#51068;&#50948;&#45824;&#44032;9803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77;&#49849;&#50857;\DW%20PROJECT\&#49688;&#47452;&#50864;&#54924;\&#46020;&#47196;&#44277;\&#49688;&#47049;\&#49688;&#47452;&#54872;&#44221;&#44288;&#47532;&#48708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1775\c\ESTI97\&#51064;&#52380;&#44397;&#51228;&#44277;&#54637;(A-5&#44277;&#44396;)\&#44053;&#46041;&#54252;&#54637;\&#45236;&#50669;&#49436;&#44053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1775\c\ESTI96\&#44053;&#51652;&#51109;&#55141;\&#54980;&#45796;&#45236;&#50669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6&#45380;%20&#51648;&#54616;&#49688;&#49324;&#50629;\&#51648;&#54616;&#49688;&#49324;&#50629;\&#49324;&#50629;\2003&#49324;&#50629;\&#51076;&#51652;&#44053;&#50976;&#50669;\&#51076;&#51652;&#48372;&#52649;\&#51076;&#51652;&#48372;&#52649;&#50577;&#49688;&#51109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y%20Documents\&#51088;&#46041;&#54868;\MSOffice\Excel\work\&#45236;&#50669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B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888;&#50980;&#49688;2\C\My%20Documents\1&#54924;&#52628;&#44221;&#50696;&#49328;(&#52628;&#44032;&#49324;&#50629;)\&#51109;&#50948;&#49688;&#47196;(&#44400;&#49688;&#54252;&#44292;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DATA\&#50896;&#51452;\&#49569;&#51221;&#51648;&#44396;\&#49569;&#51221;&#48372;&#50756;&#48320;&#44221;&#51473;(3&#50900;23&#51068;2)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%20RAHMEN\&#54620;&#44221;\&#54620;&#44397;\&#51473;&#49328;&#44368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620;&#49457;2\C\&#50689;&#54984;\&#48512;&#45824;&#44277;\&#44368;&#53685;&#50504;&#51204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&#49836;&#46972;&#48652;\&#54620;&#44221;\&#51473;&#49328;&#44368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Y\&#44277;&#50976;&#54632;\RP\2000\2&#52397;&#50896;&#44400;\1.&#50724;&#51648;&#44060;&#48156;\&#50724;&#51648;&#44060;&#48156;\XLS\CHOI\&#50868;&#44368;&#47532;&#51208;&#53552;&#44264;&#54252;&#51109;&#44277;&#49324;(1&#44277;&#44396;)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77;&#49849;&#50857;\PROJECT\&#52380;&#50504;&#49884;\&#49688;&#47049;&#49328;&#52636;&#49436;\&#48512;&#45824;&#44277;\&#44368;&#53685;&#50504;&#51204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XECELL\&#49548;&#50577;2-P5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4480;&#47196;\C\2001Work\&#48372;&#51008;&#44400;\&#51221;&#51452;&#44428;&#44060;&#48156;&#49324;&#50629;\&#48513;&#50516;&#50672;&#44208;&#46020;&#47196;\&#49688;&#47049;\&#51333;&#54945;&#48176;&#49688;&#44288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44288;&#47532;&#52397;\&#51652;&#51452;&#50864;&#54924;\&#53664;&#52384;&#51032;&#47280;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9569;&#54617;&#46041;\&#50668;&#44148;&#48372;&#44256;\&#49569;&#54617;&#46041;\&#44228;&#50557;\&#49569;&#54617;&#46041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4620;&#44397;&#51204;&#47141;\&#49888;&#49457;&#45224;-&#44552;&#44257;\&#49888;&#49457;&#45224;&#53804;&#52272;&#45236;&#50669;(1&#48264;&#45236;&#50669;)(2)\KHDATA\&#44288;&#47532;&#52397;\&#51652;&#51452;&#50864;&#54924;\&#53664;&#52384;&#51032;&#47280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51652;&#51452;&#50864;&#54924;\&#53664;&#52384;&#51032;&#47280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PROJECT\BOX\LD\B3@4030h2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77;&#54637;\&#44608;&#54644;&#44277;&#54637;\2&#53664;&#47785;\&#44608;&#54644;&#53804;&#52272;&#45236;&#50669;(99.11.30)&#52572;&#51333;&#48516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1648;&#51088;&#52404;\&#44053;&#50896;&#46020;\&#49345;&#51109;&#49548;&#46020;&#44036;(&#53468;&#48177;&#49884;)\&#49345;&#51109;&#49548;&#46020;\EST\civil\s&#49340;&#49328;&#54644;&#45224;\S70\S&#49340;&#49328;&#48512;&#45824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4620;&#44397;&#51204;&#47141;\&#49888;&#49457;&#45224;-&#44552;&#44257;\&#49888;&#49457;&#45224;&#53804;&#52272;&#45236;&#50669;(1&#48264;&#45236;&#50669;)(2)\KHDATA\&#44288;&#47532;&#52397;\&#51652;&#51452;&#50864;&#54924;\&#53664;&#52384;&#51032;&#47280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&#53456;&#51652;&#45840;\&#53664;&#52384;&#51032;&#4728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1648;&#51088;&#52404;\&#44053;&#50896;&#46020;\&#49345;&#51109;&#49548;&#46020;&#44036;(&#53468;&#48177;&#49884;)\&#49345;&#51109;&#49548;&#46020;\EST\civil\345kv&#44256;&#47161;\H&#54620;&#51204;&#51201;&#44201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TEST\&#51473;&#49328;&#44368;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My%20Documents\WORK1\JANGNAE2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008;&#51221;\C\&#45936;&#51060;&#53440;\My%20Docu\&#50641;&#49472;2002%20&#45236;&#50669;\&#49436;&#52380;%20&#54620;&#49328;%20&#50668;&#49324;&#51648;&#44396;\&#53468;&#50504;%20&#49444;&#44228;&#49436;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9444;&#44228;&#54028;&#51068;&#47784;&#51020;\&#49444;&#44228;&#54532;&#47196;&#44536;&#47016;\&#51068;&#50948;&#45824;&#44032;&#54364;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My%20Documents\EXCEL\&#44396;&#51312;\RAHMEN\&#54028;&#51060;&#54805;~1\&#46041;&#47932;&#51060;~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50896;&#45224;-&#50872;&#51652;\&#50896;&#45224;&#50872;&#51652;&#45209;&#52272;&#45236;&#50669;(99.4.13%20&#48512;&#49328;&#52397;)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%20RAHMEN\&#54616;&#47548;\&#48169;&#52629;&#49548;&#44368;(12M,90)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473;&#49328;&#44368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4480;&#47196;\C\work\work2000\&#52397;&#50896;&#44400;\&#50672;&#51221;&#51200;&#49328;\&#49688;&#47049;\&#51333;&#54945;&#48176;&#49688;&#44288;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49849;&#48712;\C\work2000\&#48372;&#51008;&#44400;\&#51021;&#45236;&#54616;&#49688;&#46020;&#51221;&#48708;\&#51652;&#54868;&#50500;&#54028;&#53944;\&#49688;&#47049;\&#50864;&#49688;&#44277;\1&#54840;&#44288;&#47196;\&#51333;&#54945;&#48176;&#49688;&#44288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JMBNW04\DATA\MC_KI\E_MAIL\WK16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2585\share\Jsh_data\&#48124;&#51088;&#49324;&#50629;\&#50864;&#47732;&#49328;\&#50864;&#47732;&#49328;&#45236;&#50669;\From-&#44148;&#52629;&#54016;(&#49892;&#54665;&#44032;(&#52572;&#51333;)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HNC\My%20Documents\&#50577;&#49885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44288;&#47532;&#52397;\&#50896;&#45224;-&#50872;&#51652;\&#50896;&#45224;&#50872;&#51652;&#45209;&#52272;&#45236;&#50669;(99.4.13%20&#48512;&#49328;&#52397;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%20RAHMEN\&#54620;&#44397;\&#51473;&#49328;&#44368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DATA\&#51473;&#49328;&#4436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884;&#48276;\C\KHJ\XLS\RC&#49836;&#46972;&#48652;\&#51109;&#45236;&#44368;(&#54620;&#44221;46)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54620;&#44397;&#51204;&#47141;\&#49888;&#49457;&#45224;-&#44552;&#44257;\&#49888;&#49457;&#45224;&#53804;&#52272;&#45236;&#50669;(1&#48264;&#45236;&#50669;)(2)\KHDATA\&#44288;&#47532;&#52397;\&#45824;&#51204;&#52397;\&#54861;&#49457;&#45224;&#48512;&#50864;&#54924;(10.26%20&#45824;&#51204;&#52397;)\&#54861;&#49457;&#45224;&#48512;(&#54952;&#51088;)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04;&#46356;&#45768;\WORK\&#44032;&#54217;&#49888;&#54036;\&#49688;&#47049;&#49328;&#52636;\&#48176;&#49688;&#44277;\&#48512;&#45824;&#44277;EXCEL\&#49688;&#47049;-&#47589;\&#54840;&#45224;\&#48512;&#45824;&#44277;&#51088;&#47308;\excel\&#54788;&#51109;&#48143;&#54872;&#44221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Mydocu~1\&#44397;&#51068;\&#47784;&#44257;4&#47532;\&#48320;&#44221;\&#50669;&#48372;&#44592;&#44228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51228;&#44257;&#50577;&#49688;&#51109;\&#50669;&#48372;&#44592;&#44228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4;\D\99&#45380;&#46020;\5.&#50668;&#44148;&#48372;&#44256;\&#50689;&#50629;&#49548;&#44305;&#51109;\&#50668;&#44148;&#48372;&#44256;\&#48169;&#51020;&#48317;\&#48320;&#44221;\&#48512;&#45824;&#51665;&#44228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AAAAAA\My%20Documents\&#45236;&#49436;&#47448;\2002&#45380;\&#50948;&#46972;&#48173;&#44592;&#48152;\&#48320;&#44221;\&#54861;&#52380;&#49688;&#54644;\&#47784;&#44257;2&#50577;&#49688;&#51109;\&#47784;&#44257;2&#47532;\&#50669;&#48372;&#44592;&#44228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47784;&#44257;4&#50577;&#49688;&#51109;\&#50669;&#48372;&#44592;&#44228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46160;&#48120;&#50577;&#49688;&#51109;\&#50669;&#48372;&#44592;&#4422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&#44397;&#51068;\&#46160;&#48120;&#50577;&#49688;&#51109;\&#50669;&#48372;&#44592;&#44228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44508;&#50672;\@&#44396;&#52824;&#52380;%20&#52572;&#51333;\@&#49436;&#45209;&#46041;&#44053;01\&#49688;&#47049;\&#52509;&#44292;&#54364;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4592;&#44228;1(&#49444;&#44228;&#46020;&#49436;)\&#51204;&#45224;(120)\99&#45380;&#46020;\&#49444;&#44228;\&#44400;&#45224;\&#44400;&#45224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AAAAAA\My%20Documents\&#45236;&#49436;&#47448;\2002&#45380;\&#50948;&#46972;&#48173;&#44592;&#48152;\&#48320;&#44221;\&#54861;&#52380;&#49688;&#54644;\&#47784;&#44257;4&#50577;&#49688;&#51109;\&#50669;&#48372;&#44592;&#44228;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Mydocu~1\&#44397;&#51068;\&#46041;&#52285;\&#50669;&#48372;&#44592;&#44228;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54861;&#52380;&#49688;&#54644;\&#47784;&#44257;4&#50577;&#49688;&#51109;\&#50669;&#48372;&#44592;&#44228;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97&#48372;&#50756;\&#44396;&#52380;\&#44396;&#52380;&#52380;&#46041;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8&#45380;\2008&#53468;&#50504;&#44400;&#50672;&#51109;&#54728;&#44032;&#48143;&#49324;&#54980;&#44288;&#47532;\2007&#53468;&#50504;&#44400;&#50672;&#51109;&#54728;&#44032;&#49324;&#54980;&#44288;&#47532;\My%20Documents\&#50641;&#49472;2001%20&#45236;&#50669;\&#53468;&#50504;%20&#49444;&#44228;&#49436;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ns3\3-1sb\3-1&#49688;&#47049;&#51665;\&#49892;&#51221;&#45236;&#50669;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3944;&#48513;\C\Windows\&#48148;&#53461;%20&#54868;&#47732;\&#44148;&#49444;&#44277;&#47924;\&#45800;&#44592;&#44277;&#49324;&#45236;&#50669;&#51089;&#49457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WINDOWS\&#48148;&#53461;%20&#54868;&#47732;\&#51221;&#49440;\&#45236;&#49436;&#47448;\2001&#45380;\&#44397;&#51068;\&#47784;&#44257;4&#50577;&#49688;&#51109;\&#50669;&#48372;&#44592;&#44228;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06&#45380;%20&#51648;&#54616;&#49688;&#49324;&#50629;\&#51648;&#54616;&#49688;&#49324;&#50629;\&#49324;&#50629;\2004&#49324;&#50629;\&#51060;&#50857;&#49884;&#49444;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WINDOWS\&#48148;&#53461;%20&#54868;&#47732;\&#50577;&#50577;&#49688;&#54644;2\&#51064;&#44396;&#47532;\&#45236;&#49436;&#47448;\2001&#45380;\&#44397;&#51068;\&#47784;&#44257;4&#50577;&#49688;&#51109;\&#50669;&#48372;&#44592;&#44228;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ztv20F1\&#44592;&#51204;&#44277;&#49324;&#48708;&#52509;&#44292;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WINDOWS\&#48148;&#53461;%20&#54868;&#47732;\&#50577;&#50577;&#49688;&#54644;2\&#51077;&#50516;&#47532;\&#45236;&#49436;&#47448;\2001&#45380;\&#44397;&#51068;\&#47784;&#44257;4&#50577;&#49688;&#51109;\&#50669;&#48372;&#44592;&#44228;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RP\&#49436;&#49328;\&#49688;&#47049;\&#48276;&#54868;\SO\hd3\&#49892;&#51221;&#45236;&#50669;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1648;&#51088;&#52404;\&#44053;&#50896;&#46020;\&#49345;&#51109;&#49548;&#46020;&#44036;(&#53468;&#48177;&#49884;)\&#49345;&#51109;&#49548;&#46020;\EST\civil\s&#49340;&#49328;&#54644;&#45224;\S70\S&#49340;&#49328;&#48512;&#45824;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Mydocumen\&#44397;&#51068;\&#46041;&#52285;\&#50669;&#48372;&#44592;&#44228;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SOFFICE\HEXCEL\WORK\9-15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49352;&#47560;&#51012;&#48372;&#45236;&#50669;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&#54861;&#52380;&#49688;&#54644;\&#47784;&#44257;2&#50577;&#49688;&#51109;\&#47784;&#44257;2&#47532;\&#50669;&#48372;&#44592;&#44228;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AAAAAA\My%20Documents\&#45236;&#49436;&#47448;\2002&#45380;\&#50948;&#46972;&#48173;&#44592;&#48152;\&#48320;&#44221;\&#44397;&#51068;\&#47784;&#44257;4&#47532;\&#45817;&#52488;\&#50669;&#48372;&#44592;&#44228;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SOFFICE\HEXCEL\WORK\9-15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1&#45380;\&#44397;&#51068;\&#46041;&#52285;\&#50669;&#48372;&#44592;&#44228;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1&#45380;\&#44397;&#51068;\&#46041;&#52285;\&#46160;&#48120;&#50577;&#49688;&#51109;\&#50669;&#48372;&#44592;&#44228;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1&#45380;\&#44397;&#51068;\&#45432;&#51068;&#50577;&#49688;&#51109;\&#51228;&#44257;&#53664;&#47785;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&#44397;&#51068;\&#46160;&#48120;&#50577;&#49688;&#51109;\&#50669;&#48372;&#44592;&#44228;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1648;&#51088;&#52404;\&#44053;&#50896;&#46020;\&#49345;&#51109;&#49548;&#46020;&#44036;(&#53468;&#48177;&#49884;)\&#49345;&#51109;&#49548;&#46020;\EST\civil\345kv&#44256;&#47161;\H&#54620;&#51204;&#51201;&#44201;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microsoft.com/office/2006/relationships/xlExternalLinkPath/xlStartup" Target="IC&#49688;&#47049;/&#48176;&#49688;&#44288;&#44277;(IC)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WINDOWS\&#48148;&#53461;%20&#54868;&#47732;\&#51221;&#49440;\&#45236;&#49436;&#47448;\2001&#45380;\&#44397;&#51068;\&#47784;&#44257;2&#50577;&#49688;&#51109;\&#50669;&#48372;&#44592;&#44228;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ns\ns-2\ns-2&#49688;&#47049;&#51665;\&#49892;&#51221;&#45236;&#50669;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44608;&#46041;&#54840;\Local%20Settings\Temporary%20Internet%20Files\Content.IE5\0HEJ4XI3\&#45236;&#47928;&#49436;\&#51109;&#50948;&#47560;&#51012;&#50504;&#44600;&#48320;&#44221;-&#44400;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&#54861;&#52380;&#49688;&#54644;\&#47784;&#44257;4&#50577;&#49688;&#51109;\&#50669;&#48372;&#44592;&#44228;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47784;&#44257;2&#50577;&#49688;&#51109;\&#47784;&#44257;2&#47532;\&#50669;&#48372;&#44592;&#44228;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4608;&#53468;&#49688;\&#48320;&#44221;&#48516;\&#45236;&#50669;&#49436;\&#49692;&#55141;&#51648;&#44396;\&#49692;&#55141;&#51648;&#44396;-&#51228;&#51312;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AAAAAA\My%20Documents\&#45236;&#49436;&#47448;\2002&#45380;\&#50948;&#46972;&#48173;&#44592;&#48152;\&#48320;&#44221;\Mydocu~1\&#44397;&#51068;\&#47784;&#44257;4&#47532;\&#48320;&#44221;\&#50669;&#48372;&#44592;&#44228;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AAAAAA\My%20Documents\&#45236;&#49436;&#47448;\2002&#45380;\&#50948;&#46972;&#48173;&#44592;&#48152;\&#48320;&#44221;\&#44397;&#51068;\&#46160;&#48120;&#50577;&#49688;&#51109;\&#50669;&#48372;&#44592;&#44228;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&#44397;&#51068;\&#47784;&#44257;4&#47532;\&#45817;&#52488;\&#50669;&#48372;&#44592;&#44228;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4620;&#44397;&#51204;&#47141;\&#49888;&#49457;&#45224;-&#44552;&#44257;\&#49888;&#49457;&#45224;&#53804;&#52272;&#45236;&#50669;(1&#48264;&#45236;&#50669;)(2)\KHDATA\&#44288;&#47532;&#52397;\&#45824;&#51204;&#52397;\&#54861;&#49457;&#45224;&#48512;&#50864;&#54924;(10.26%20&#45824;&#51204;&#52397;)\&#54861;&#49457;&#45224;&#48512;(&#54952;&#51088;)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7928;&#54868;&#51648;&#44396;&#51452;&#44144;&#54872;&#44221;&#44060;&#49440;&#49324;&#50629;\&#49688;&#47049;\&#51204;&#52404;&#48516;\&#49548;3-11\&#49444;&#44228;&#54028;&#51068;&#47784;&#51020;\&#49444;&#44228;&#54532;&#47196;&#44536;&#47016;\&#51068;&#50948;&#45824;&#44032;&#54364;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SOFFICE\HEXCEL\WORK\9-15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68;&#50948;&#45824;&#44032;9803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98&#45380;&#46020;\98&#48372;&#50756;\&#45572;&#49328;\98NS-N2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ns3\3&#52264;&#51221;&#49328;\&#49892;&#51221;&#45236;&#50669;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&#53456;&#51652;&#45840;\&#53664;&#52384;&#51032;&#47280;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empas.com/POUN/&#45800;&#44032;&#49328;&#52636;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9632;&#51208;&#51060;&#51648;&#44396;\&#49632;&#51208;&#51060;(&#48372;&#50756;)\&#45800;&#44032;&#49328;&#52636;(1111)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emcomputer\aaaaaa\My%20Documents\Mydocu~1\&#44397;&#51068;\&#46041;&#52285;\&#50669;&#48372;&#44592;&#44228;.xls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&#54861;&#52380;&#49688;&#54644;\&#47784;&#44257;2&#50577;&#49688;&#51109;\&#47784;&#44257;2&#47532;\&#50669;&#48372;&#44592;&#44228;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689;&#50725;\C\&#44608;&#50689;&#50725;\2000%20work\&#48372;&#51008;&#44400;\&#54616;&#49688;&#46020;&#51221;&#48708;&#49324;&#50629;\&#51109;&#49888;2&#47532;\&#49688;&#47049;\&#51333;&#54945;&#48176;&#49688;&#44288;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4480;&#47196;\C\Work2000\&#48372;&#51008;&#44400;\&#48372;&#51008;&#51021;&#54616;&#49688;&#46020;&#44277;&#49324;\&#48372;&#51008;&#44256;&#48512;&#44540;\&#49688;&#47049;\&#51333;&#54945;&#48176;&#49688;&#44288;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4036;&#51060;.xls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1&#45380;\&#44397;&#51068;\&#44221;&#49688;&#48372;\&#47784;&#44257;4&#50577;&#49688;&#51109;\&#50669;&#48372;&#44592;&#44228;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99\&#44288;&#47532;&#52397;\&#49436;&#50872;\&#44053;&#48320;&#48513;&#47196;\My%20Documents\KHDATA\&#54620;&#44397;&#51204;&#47141;\&#49888;&#49457;&#45224;-&#44552;&#44257;\&#49888;&#49457;&#45224;&#53804;&#52272;&#45236;&#50669;(1&#48264;&#45236;&#50669;)(2)\KHDATA\&#44288;&#47532;&#52397;\&#50896;&#45224;-&#50872;&#51652;\&#50896;&#45224;&#50872;&#51652;&#45209;&#52272;&#45236;&#50669;(99.4.13%20&#48512;&#49328;&#52397;)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36;&#49436;&#47448;\2002&#45380;\&#50948;&#46972;&#48173;&#44592;&#48152;\&#48320;&#44221;\&#54861;&#52380;&#49688;&#54644;\&#47784;&#44257;4&#50577;&#49688;&#51109;\&#50669;&#48372;&#44592;&#44228;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312;&#49328;\&#51312;&#49328;&#50577;&#49688;&#51109;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ns\ns-2\&#45236;&#50669;\&#49892;&#51221;&#45236;&#50669;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464;&#51652;\C\MSOFFICE\HEXCEL\WORK\9-15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648;&#51456;&#45909;\C\My%20Documents\&#54861;&#52380;&#49688;&#54644;\&#47784;&#44257;2&#50577;&#49688;&#51109;\&#50669;&#48372;&#44592;&#44228;.xls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Mydocu~1\&#44397;&#51068;\&#46041;&#52285;\&#50669;&#48372;&#44592;&#44228;.xls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44221;&#44592;&#48376;&#48512;\&#52280;&#44256;&#51088;&#47308;\&#44288;&#51221;&#50948;&#53441;&#44288;&#47532;\2010&#45380;&#51652;&#52380;&#44400;&#45453;&#50629;&#50857;&#50516;&#48152;&#44288;&#51221;&#51648;&#54616;&#49688;&#50689;&#54693;&#51312;&#49324;&#49444;&#44228;&#49436;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1&#45380;\&#44397;&#51068;\&#44221;&#49688;&#48372;\&#47784;&#44257;2&#50577;&#49688;&#51109;\&#50669;&#48372;&#44592;&#44228;.xls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&#44397;&#51068;\&#47784;&#44257;4&#47532;\&#45817;&#52488;\&#50669;&#48372;&#44592;&#44228;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6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empas.com/ns2/3&#52264;1&#54924;/&#49892;&#51221;&#45236;&#50669;.xls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ster\&#48148;&#53461;%20&#54868;&#47732;\&#51312;&#48276;&#54788;(2008)\1.%20&#44277;&#49324;\&#51452;&#48124;&#49689;&#50896;%20&#49888;\&#51312;&#48276;&#54788;(2007-&#44400;&#49436;)\1.&#44277;&#49324;\4.&#47732;&#51109;&#54252;&#44292;\&#51613;&#49328;&#47532;%20&#48176;&#49688;&#47196;&#51221;&#48708;&#44277;&#49324;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Mydocu~1\&#44397;&#51068;\&#46041;&#52285;\&#50669;&#48372;&#44592;&#44228;.xls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nu\&#49444;&#44228;&#48320;&#44221;\3&#52264;\&#48176;&#49688;\hd3\&#49892;&#51221;&#45236;&#50669;.xls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&#45572;&#52397;\&#49444;&#44228;&#48320;&#44221;\HD3\&#49892;&#51221;&#45236;&#50669;.xls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1068;&#44428;\2006&#49324;&#50629;&#48143;&#49884;\My%20Documents\&#45236;&#49436;&#47448;\2002&#45380;\&#50948;&#46972;&#48173;&#44592;&#48152;\&#48320;&#44221;\Mydocumen\&#44397;&#51068;\&#46041;&#52285;\&#50669;&#48372;&#44592;&#44228;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1116;&#54872;%20Project\Project\&#55129;&#47561;&#51060;\&#44204;&#51201;&#49436;\2000&#45380;%20&#44204;&#51201;\&#49340;&#51473;&#44204;&#51201;(i)\My%20Documents\KHDATA\&#44288;&#47532;&#52397;\&#50896;&#45224;-&#50872;&#51652;\&#50896;&#45224;&#50872;&#51652;&#45209;&#52272;&#45236;&#50669;(99.4.13%20&#48512;&#49328;&#52397;).xls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y%20Documents\&#51088;&#46041;&#54868;\MSOFFICE\HEXCEL\WORK\9-15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3\C\MSOffice\Excel\KK\&#4932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우선순위내역(20021207시군별)"/>
      <sheetName val="우선순위내역(20021207 우선순위별)"/>
      <sheetName val="시군별우선순위내역(농림의견20021207)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노임단가"/>
      <sheetName val="총괄"/>
      <sheetName val="갑,을"/>
      <sheetName val="표지"/>
      <sheetName val="개요"/>
      <sheetName val="사통"/>
      <sheetName val="단가검토"/>
      <sheetName val="설치중량 "/>
      <sheetName val="철거중량"/>
      <sheetName val="수문일위 "/>
      <sheetName val="자재단가"/>
      <sheetName val="발주내역"/>
      <sheetName val="설계개요"/>
      <sheetName val="단가"/>
      <sheetName val="제경비요율"/>
      <sheetName val="사유서(출)"/>
      <sheetName val="계약일반사항"/>
      <sheetName val="도로구조공사비"/>
      <sheetName val="도로토공공사비"/>
      <sheetName val="여수토공사비"/>
      <sheetName val="ABUT수량-A1"/>
      <sheetName val="약품설비"/>
      <sheetName val="내역"/>
      <sheetName val="한전납입금"/>
      <sheetName val="총괄표"/>
      <sheetName val="품셈(기초)"/>
      <sheetName val="내역서"/>
      <sheetName val="집계표"/>
      <sheetName val="사리부설"/>
      <sheetName val="#REF"/>
      <sheetName val="결과조달"/>
      <sheetName val="철집"/>
      <sheetName val="예가표"/>
      <sheetName val="재료값"/>
      <sheetName val="자재견적 (대왕) (2)"/>
      <sheetName val="재료비"/>
      <sheetName val="전기"/>
      <sheetName val="노무비"/>
      <sheetName val="1.동력공사"/>
      <sheetName val="남양내역"/>
      <sheetName val="CCTV내역서"/>
      <sheetName val="실행철강하도"/>
      <sheetName val="전차선로 물량표"/>
      <sheetName val="밸브설치"/>
      <sheetName val="SG"/>
      <sheetName val="공사비"/>
      <sheetName val="산출근거"/>
      <sheetName val="98NS-N"/>
      <sheetName val="공사비총괄표"/>
      <sheetName val="구조물철거타공정이월"/>
      <sheetName val="VXXXXX"/>
      <sheetName val="부안일위"/>
      <sheetName val="내역표지"/>
      <sheetName val="현장관리비 산출내역"/>
      <sheetName val="참조"/>
      <sheetName val="날개벽(시점좌측)"/>
      <sheetName val="공사비집계"/>
      <sheetName val="입찰안"/>
      <sheetName val="unit"/>
      <sheetName val="교각계산"/>
      <sheetName val="조경일람"/>
      <sheetName val="양수장내역"/>
      <sheetName val="양수장"/>
      <sheetName val="수토공단위당"/>
      <sheetName val="일위대가표"/>
      <sheetName val="일위대가"/>
      <sheetName val="단위가격 "/>
      <sheetName val="대치판정"/>
      <sheetName val="토적"/>
      <sheetName val="NYS"/>
      <sheetName val="공내역"/>
      <sheetName val="중기비"/>
      <sheetName val="일위대가(가설)"/>
      <sheetName val="일위집계표"/>
      <sheetName val="입상내역"/>
      <sheetName val="PAD TR보호대기초"/>
      <sheetName val="가로등기초"/>
      <sheetName val="HANDHOLE(2)"/>
      <sheetName val="일위대가(계측기설치)"/>
      <sheetName val="산수배수"/>
      <sheetName val="1,2공구원가계산서"/>
      <sheetName val="2공구산출내역"/>
      <sheetName val="1공구산출내역서"/>
      <sheetName val="투찰내역"/>
      <sheetName val="설계(원가)"/>
      <sheetName val="내역서(변경2)"/>
      <sheetName val="내역서 (변경)"/>
      <sheetName val="자재집계표"/>
      <sheetName val="환토"/>
      <sheetName val="단가산출(운반장비)"/>
      <sheetName val="토공집계표"/>
      <sheetName val="토공계산서"/>
      <sheetName val="운반성토집계"/>
      <sheetName val="토적집계"/>
      <sheetName val="토적표"/>
      <sheetName val="비탈면보호공수량"/>
      <sheetName val="구조물깨기"/>
      <sheetName val="구조물깨기산근"/>
      <sheetName val="배수공집계표"/>
      <sheetName val="배수토공"/>
      <sheetName val="측구공"/>
      <sheetName val="L형측구"/>
      <sheetName val="도로경계석"/>
      <sheetName val="산마루측구"/>
      <sheetName val=" U형배수관"/>
      <sheetName val="도수로"/>
      <sheetName val="집수정(측구)"/>
      <sheetName val="용수로"/>
      <sheetName val="우오수공"/>
      <sheetName val="관수량"/>
      <sheetName val="우수받이"/>
      <sheetName val="집수정 (우오수)"/>
      <sheetName val="암거공"/>
      <sheetName val="박스암거"/>
      <sheetName val="맹암거공"/>
      <sheetName val="설계변경(운동장)"/>
      <sheetName val="운동장맹암거1"/>
      <sheetName val="운동장맹암거2"/>
      <sheetName val="집수정(맹암거)"/>
      <sheetName val="운동장맹암거(평면도)"/>
      <sheetName val="옹벽공"/>
      <sheetName val="포장공"/>
      <sheetName val="소로수량"/>
      <sheetName val="소로수량산출"/>
      <sheetName val="보도수량"/>
      <sheetName val="가로수수량"/>
      <sheetName val="차선도색"/>
      <sheetName val="차선수량"/>
      <sheetName val="도수로원가"/>
      <sheetName val="도수로내역"/>
      <sheetName val="도수로수량"/>
      <sheetName val="Sheet2"/>
      <sheetName val="Sheet1"/>
      <sheetName val="기계경비일람"/>
      <sheetName val="설치중량_"/>
      <sheetName val="수문일위_"/>
      <sheetName val="청하배수"/>
      <sheetName val="제출내역 (2)"/>
      <sheetName val="요율"/>
      <sheetName val="총괄내역서"/>
      <sheetName val="설명"/>
      <sheetName val="시공여유율"/>
      <sheetName val="98수문일위"/>
      <sheetName val="매립"/>
      <sheetName val="날개벽"/>
      <sheetName val="PIPE내역_FCN_"/>
      <sheetName val="조명시설"/>
      <sheetName val="횡배수관집현황(2공구)"/>
      <sheetName val="설계"/>
      <sheetName val="1단계"/>
      <sheetName val="DATE"/>
      <sheetName val="찍기"/>
      <sheetName val="금액내역서"/>
      <sheetName val="건              축"/>
      <sheetName val="참조자료"/>
      <sheetName val="P-산#1-1(WOWA1)"/>
      <sheetName val="터파기및재료"/>
      <sheetName val="Sheet1 (2)"/>
      <sheetName val="년도별"/>
      <sheetName val="단면 (2)"/>
      <sheetName val="반중력식옹벽"/>
      <sheetName val="수량산출"/>
      <sheetName val="DATA"/>
      <sheetName val="당초명세(평)"/>
      <sheetName val="작업일보"/>
      <sheetName val="표준계약서"/>
      <sheetName val="cover예산"/>
      <sheetName val="cover설계서"/>
      <sheetName val="예산서갑지"/>
      <sheetName val="원가계산"/>
      <sheetName val="원가근거 "/>
      <sheetName val="관급자재집계"/>
      <sheetName val="내역서집계"/>
      <sheetName val="내역서(1. 옥외전력 및 수변전설비)"/>
      <sheetName val="내역서(2. 접지 및 피뢰침 설비)"/>
      <sheetName val="내역서(3. CABLE TRAY)"/>
      <sheetName val="내역서(4. 가압장 동력)"/>
      <sheetName val="내역서(5. 약품투입동,응집침전지 동력)"/>
      <sheetName val="내역서(6. 여과지 동력)"/>
      <sheetName val="내역서(7. 농축조,농축분배조 동력)"/>
      <sheetName val="내역서(8. 조정농축조,조정농축분배조 동력)"/>
      <sheetName val="내역서(9. 탈리액농축조,탈리액농축분배조 동력)"/>
      <sheetName val="내역서(10. 탈수기동,회수펌프동 동력)"/>
      <sheetName val="내역서(11. 식당 및 창고 전력간선,전열)"/>
      <sheetName val="내역서(12. 식당 및 창고 전등)"/>
      <sheetName val="내역서(13. 가압장 전력간선,전열)"/>
      <sheetName val="내역서(14. 가압장 전등)"/>
      <sheetName val="내역서(15. 여과지 전력간선,전열)"/>
      <sheetName val="내역서(16. 여과지 전등)"/>
      <sheetName val="내역서(17. 각 농축분배조 전등.전열)"/>
      <sheetName val="내역서(18. 옥외 약전 및 방송)"/>
      <sheetName val="내역서(19. 각동 약전 및 방송)"/>
      <sheetName val="부대설비"/>
      <sheetName val="대가갑지"/>
      <sheetName val="분전반설치비 일위대가"/>
      <sheetName val="그림갑지"/>
      <sheetName val="잡철물제작"/>
      <sheetName val="관로굴착"/>
      <sheetName val="단가갑지"/>
      <sheetName val="단가비교표"/>
      <sheetName val="산출서갑지"/>
      <sheetName val="공량갑지"/>
      <sheetName val="공량(1. 옥외전력 및 수변전, 외등설비)"/>
      <sheetName val="공량(2. 접지 및 피뢰침 설비)"/>
      <sheetName val="공량(3. CABLE TRAY)"/>
      <sheetName val="공량(4. 가압장 동력)"/>
      <sheetName val="공량(5. 약품투입동,응집침전지 동력)"/>
      <sheetName val="공량(6. 여과지 동력)"/>
      <sheetName val="공량(7. 농축조,농축분배조 동력)"/>
      <sheetName val="공량(8. 조정농축조,조정농축분배조 동력)"/>
      <sheetName val="공량(9. 탈리액농축조,탈리액농축분배조 동력)"/>
      <sheetName val="공량(10. 탈수기동,회수펌프동 동력)"/>
      <sheetName val="공량(11. 식당 및 창고 전력간선,전열)"/>
      <sheetName val="공량(12. 식당 및 창고 전등)"/>
      <sheetName val="공량(13. 가압장 전력간선,전열)"/>
      <sheetName val="공량(14. 가압장 전등)"/>
      <sheetName val="공량(15. 여과지 전력간선,전열)"/>
      <sheetName val="공량(16. 여과지 전등)"/>
      <sheetName val="공량(17. 각 농축분배조 전등.전열)"/>
      <sheetName val="공량(18. 옥외 약전 및 방송)"/>
      <sheetName val="공량(19. 각동 약전 및 방송"/>
      <sheetName val="산출조서갑지"/>
      <sheetName val="산출조서(1.옥외전력 및 수변전, 외등설비)"/>
      <sheetName val="산출조서(2. 접지 및 피뢰침 설비)"/>
      <sheetName val="산출조서(3. CABLE TRAY)"/>
      <sheetName val="산출조서(4. 가압장 동력)"/>
      <sheetName val="산출조서(5. 약품투입동,응집침전지 동력)"/>
      <sheetName val="산출조서(6. 여과지 동력)"/>
      <sheetName val="산출조서(7. 농축조,농축분배조 동력)"/>
      <sheetName val="산출조서(8. 조정농축조,조정농축분배조 동력)"/>
      <sheetName val="산출조서(9. 탈리액농축조,탈리액농축분배조 동력)"/>
      <sheetName val="산출조서(10. 탈수기동,회수펌프동 동력)"/>
      <sheetName val="산출조서(11. 식당 및 창고 전력간선,전열)"/>
      <sheetName val="산출조서(12. 식당 및 창고 전등)"/>
      <sheetName val="산출조서(13. 가압장 전력간선,전열)"/>
      <sheetName val="산출조서(L1. 관리동 전등)"/>
      <sheetName val="산출조서(L2. 침사지 전등,전열)"/>
      <sheetName val="산출조서(15. 여과지 전력간선,전열)"/>
      <sheetName val="산출조서(16. 여과지 전등)"/>
      <sheetName val="산출조서(17. 각 농축분배조 전등.전열)"/>
      <sheetName val="산출조서(18. 옥외 약전 및 방송)"/>
      <sheetName val="산출조서(19. 각동 약전 및 방송)"/>
      <sheetName val="견적갑지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5"/>
      <sheetName val="한전 수탁비 계산 내역"/>
      <sheetName val="CUBICLE설치비 일위대가 "/>
      <sheetName val="9811"/>
      <sheetName val="NFB"/>
      <sheetName val="여과지동"/>
      <sheetName val="1.토공"/>
      <sheetName val="전선 및 전선관"/>
      <sheetName val="고창방향"/>
      <sheetName val="일위대가(목록)"/>
      <sheetName val="자원리스트"/>
      <sheetName val="조건표"/>
      <sheetName val="전기혼잡제경비(45)"/>
      <sheetName val="유림골조"/>
      <sheetName val="가설공사비"/>
      <sheetName val="공사비예산서(토목분)"/>
      <sheetName val="대비"/>
      <sheetName val="단면가정"/>
      <sheetName val="부대내역"/>
      <sheetName val="별첨1-임식"/>
      <sheetName val="기본자료"/>
      <sheetName val="천방교접속"/>
      <sheetName val="일위_파일"/>
      <sheetName val="견적대비"/>
      <sheetName val="지급자재"/>
      <sheetName val="변경집계표"/>
      <sheetName val="1호맨홀토공"/>
      <sheetName val="원가계산서 "/>
      <sheetName val="고용보험료"/>
      <sheetName val="예산내역서"/>
      <sheetName val="9509"/>
      <sheetName val="배수내역"/>
      <sheetName val="96보완계획7.12"/>
      <sheetName val="업무처리전"/>
      <sheetName val="설계내역서"/>
      <sheetName val="INPUT"/>
      <sheetName val="문학간접"/>
      <sheetName val="건축"/>
      <sheetName val="건축-물가변동"/>
      <sheetName val="일반문틀 설치"/>
      <sheetName val="샌딩 에폭시 도장"/>
      <sheetName val="스텐문틀설치"/>
      <sheetName val="주beam"/>
      <sheetName val="1.설계조건"/>
      <sheetName val="교각1"/>
      <sheetName val="CODE"/>
      <sheetName val="COPING"/>
      <sheetName val="기초공"/>
      <sheetName val="기둥(원형)"/>
      <sheetName val="BID"/>
      <sheetName val="자재단가비교표"/>
      <sheetName val="CAT_5"/>
      <sheetName val="수지예산서(세부) (2)"/>
      <sheetName val="지장물C"/>
      <sheetName val="가공비"/>
      <sheetName val="원가계산서(집계)"/>
      <sheetName val="일위"/>
      <sheetName val="상 부"/>
      <sheetName val="계화배수"/>
      <sheetName val="계산근거"/>
      <sheetName val="8.PILE  (돌출)"/>
      <sheetName val="Sheet4"/>
      <sheetName val="장문교(대전)"/>
      <sheetName val="주재료비"/>
      <sheetName val="관급수량총"/>
      <sheetName val="설계조건"/>
      <sheetName val="안정계산"/>
      <sheetName val="단면검토"/>
      <sheetName val="약품공급2"/>
      <sheetName val="기기리스트"/>
      <sheetName val="본지점중"/>
      <sheetName val="본선 토공 분배표"/>
      <sheetName val="장비"/>
      <sheetName val="부하계산서"/>
      <sheetName val="부하(성남)"/>
      <sheetName val="하수급견적대비"/>
      <sheetName val="산근1"/>
      <sheetName val="관리,공감"/>
      <sheetName val="입찰"/>
      <sheetName val="설계내역"/>
      <sheetName val="소야공정계획표"/>
      <sheetName val="자재대"/>
      <sheetName val="현경"/>
      <sheetName val="간선계산"/>
      <sheetName val="점수계산1-2"/>
      <sheetName val="전화번호DATA (2001)"/>
      <sheetName val="A-4"/>
      <sheetName val="노무"/>
      <sheetName val="자압"/>
      <sheetName val="주형"/>
      <sheetName val="자재"/>
      <sheetName val="공  종  별  집  계  표"/>
      <sheetName val="일  위  대  가  목  록"/>
      <sheetName val="일 위 대 가 표"/>
      <sheetName val="단  가  대  비  표"/>
      <sheetName val="연습"/>
      <sheetName val="건축내역"/>
      <sheetName val="MACRO(MCC)"/>
      <sheetName val="총괄내역"/>
      <sheetName val="계화총괄"/>
      <sheetName val="계화배수(3대)"/>
      <sheetName val="공통"/>
      <sheetName val="갑지"/>
      <sheetName val="현산지구200420"/>
      <sheetName val="Y-WORK"/>
      <sheetName val="공문"/>
      <sheetName val="일위대가목차"/>
      <sheetName val="안정검토"/>
      <sheetName val="M-EQPT-Z"/>
      <sheetName val="수량이동"/>
      <sheetName val="가도공"/>
      <sheetName val="분전함신설"/>
      <sheetName val="접지1종"/>
      <sheetName val="기존구조물철거집계계표"/>
      <sheetName val="충돌 내용"/>
      <sheetName val="기자재비"/>
      <sheetName val="EP0618"/>
      <sheetName val="정공공사"/>
      <sheetName val="기계경비(시간당)"/>
      <sheetName val="램머"/>
      <sheetName val="단가조사"/>
      <sheetName val="Baby일위대가"/>
      <sheetName val="조건"/>
      <sheetName val="단가산출"/>
      <sheetName val="전체도급"/>
      <sheetName val="부대대비"/>
      <sheetName val="냉연집계"/>
      <sheetName val="아파트 "/>
      <sheetName val="1-1"/>
      <sheetName val="토공총괄표"/>
      <sheetName val="산출내역서집계표"/>
      <sheetName val="1공구 건정토건 철콘"/>
      <sheetName val="2공구하도급내역서"/>
      <sheetName val="토량1-1"/>
      <sheetName val="적현로"/>
      <sheetName val="변경내역서"/>
      <sheetName val="수목단가"/>
      <sheetName val="시설수량표"/>
      <sheetName val="식재수량표"/>
      <sheetName val="전체"/>
      <sheetName val="관급자재"/>
      <sheetName val="제경비"/>
      <sheetName val="초기화면"/>
      <sheetName val="토공사"/>
      <sheetName val="정렬"/>
      <sheetName val="계약내역서"/>
      <sheetName val="직공비"/>
      <sheetName val="을"/>
      <sheetName val="TYPE-A"/>
      <sheetName val="내역서1"/>
      <sheetName val="자재견적_(대왕)_(2)"/>
      <sheetName val="단가산출서(표지)"/>
      <sheetName val="목차"/>
      <sheetName val="요율산출"/>
      <sheetName val="공종별예산조사"/>
      <sheetName val="수량산출서"/>
      <sheetName val="터파기,맨홀"/>
      <sheetName val="1공구8.개소"/>
      <sheetName val="운반"/>
      <sheetName val="운반산출"/>
      <sheetName val="작업부산물수량"/>
      <sheetName val="산업폐기물"/>
      <sheetName val="조립식 가설건물"/>
      <sheetName val="감독차량유지"/>
      <sheetName val="실행내역서"/>
      <sheetName val="2000년1차"/>
      <sheetName val="증감내역서"/>
      <sheetName val="굴화내역"/>
      <sheetName val="굴화적격"/>
      <sheetName val="재료노무비율"/>
      <sheetName val="설계단가"/>
      <sheetName val="아파트내역"/>
      <sheetName val="48일위"/>
      <sheetName val="48수량"/>
      <sheetName val="22수량"/>
      <sheetName val="49일위"/>
      <sheetName val="22일위"/>
      <sheetName val="49수량"/>
      <sheetName val="석탄2.3물량"/>
      <sheetName val="수문일위(2012)"/>
      <sheetName val="단가일람"/>
      <sheetName val="6PILE  (돌출)"/>
      <sheetName val="단가산출내역(노임부분수정)"/>
      <sheetName val="공통비총괄표"/>
      <sheetName val="재개발"/>
      <sheetName val="토총괄 (2)"/>
      <sheetName val="음봉방향"/>
      <sheetName val="원형1호맨홀토공수량"/>
      <sheetName val="차액보증"/>
      <sheetName val="공장유"/>
      <sheetName val="MOTOR"/>
      <sheetName val="준검 내역서"/>
      <sheetName val="strut type"/>
      <sheetName val="DATA1"/>
      <sheetName val="1NYS(당)"/>
      <sheetName val="부표총괄"/>
      <sheetName val="원가계산서"/>
      <sheetName val="경비2내역"/>
      <sheetName val="간접비"/>
      <sheetName val="가제당공사비"/>
      <sheetName val="기초처리공사비"/>
      <sheetName val="복통공사비"/>
      <sheetName val="본제당공사비"/>
      <sheetName val="시험비"/>
      <sheetName val="중기운반비"/>
      <sheetName val="진입도로공사비"/>
      <sheetName val="취수탑공사비"/>
      <sheetName val="토취장복구"/>
      <sheetName val="설계명세서"/>
      <sheetName val="예산명세서"/>
      <sheetName val="자료입력"/>
      <sheetName val="200"/>
      <sheetName val="단위수량"/>
      <sheetName val="SHL"/>
      <sheetName val="소일위대가코드표"/>
      <sheetName val="공사총원가계산서"/>
      <sheetName val="하수처리장-토목원가"/>
      <sheetName val="하수처리장-토목"/>
      <sheetName val="지장물취득비"/>
      <sheetName val="조경원가"/>
      <sheetName val="조경내역"/>
      <sheetName val="하수처리장-건축원가"/>
      <sheetName val="하수처리장-건축"/>
      <sheetName val="설비집계"/>
      <sheetName val="설비내역"/>
      <sheetName val="기계원가계산"/>
      <sheetName val="하수처리장-기계내역"/>
      <sheetName val="중계펌프장-기계내역"/>
      <sheetName val="전기원가"/>
      <sheetName val="전기집계"/>
      <sheetName val="하수처리장-전기집계"/>
      <sheetName val="하수처리장-전기내역"/>
      <sheetName val="중계펌프장-전기집계"/>
      <sheetName val="자재일위(경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사비명세서"/>
      <sheetName val="단가표"/>
      <sheetName val="지하수단가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양수장"/>
      <sheetName val="양수장내역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한전납입금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개요"/>
      <sheetName val="사통"/>
      <sheetName val="총괄"/>
      <sheetName val="단가검토"/>
      <sheetName val="설치중량 "/>
      <sheetName val="철거중량"/>
      <sheetName val="수문일위 "/>
      <sheetName val="자재단가"/>
      <sheetName val="수문공사"/>
      <sheetName val="소로2총괄"/>
      <sheetName val="소로2"/>
      <sheetName val="일반스크린"/>
      <sheetName val="스크린제작설치"/>
      <sheetName val="소로1총괄 "/>
      <sheetName val="소로1"/>
      <sheetName val="지배수펌프용량"/>
      <sheetName val="표준공구"/>
      <sheetName val="2001양배"/>
      <sheetName val="Sheet1"/>
      <sheetName val="제진기총괄"/>
      <sheetName val="유압식제진기"/>
      <sheetName val="제진기용스크린"/>
      <sheetName val="산출근거 (하부철물)"/>
      <sheetName val="산출근거 (스크린)"/>
      <sheetName val="하부지지철물"/>
      <sheetName val="콘베어설치비만 계산하면"/>
      <sheetName val="NAV000"/>
      <sheetName val="권양기설치"/>
      <sheetName val="설계개요"/>
      <sheetName val="내역서"/>
      <sheetName val="기중기설치공사"/>
      <sheetName val="총괄표"/>
      <sheetName val="스크린산출근거"/>
      <sheetName val="스크린설치"/>
      <sheetName val="사호1자재"/>
      <sheetName val="사호1호배수문"/>
      <sheetName val="사호1호배수문 (2)"/>
      <sheetName val="수문물량(3x3)"/>
      <sheetName val="청삭2호(단동)배수문"/>
      <sheetName val="청삭2호제수문"/>
      <sheetName val="두산2호배수문"/>
      <sheetName val="수문물량(2x2)"/>
      <sheetName val="지구총괄표"/>
      <sheetName val="배수내역"/>
      <sheetName val="배수일위"/>
      <sheetName val="재료단가"/>
      <sheetName val="스크린총괄내역"/>
      <sheetName val="스크린내역"/>
      <sheetName val="기본치수"/>
      <sheetName val="#REF"/>
      <sheetName val="일일대가"/>
      <sheetName val="공사비명세서"/>
      <sheetName val="재료집계표"/>
      <sheetName val="토적계산서"/>
      <sheetName val="그라우팅"/>
      <sheetName val="공사부분노임"/>
      <sheetName val="물가조사표"/>
      <sheetName val="중기"/>
      <sheetName val="순서도"/>
      <sheetName val="허가신청서"/>
      <sheetName val="사업계획서"/>
      <sheetName val="목 차"/>
      <sheetName val="사업개요"/>
      <sheetName val="사업시행계획서"/>
      <sheetName val="위치도"/>
      <sheetName val="사진대지"/>
      <sheetName val="예정공정표"/>
      <sheetName val="교통처리계획"/>
      <sheetName val="설계도"/>
      <sheetName val="수량집계"/>
      <sheetName val="간지"/>
      <sheetName val="내역서 (2)"/>
      <sheetName val="잡비산출"/>
      <sheetName val="Sheet3 (5)"/>
      <sheetName val="노임단가"/>
      <sheetName val="내역"/>
      <sheetName val="ABUT수량-A1"/>
      <sheetName val="한전납입금"/>
      <sheetName val="실행철강하도"/>
      <sheetName val="국공유지및사유지"/>
      <sheetName val="프랜트면허"/>
      <sheetName val="단가"/>
      <sheetName val="9-15"/>
      <sheetName val="일위대가"/>
      <sheetName val="1,2,3,4,5단위수량"/>
      <sheetName val="98NS-N"/>
      <sheetName val="수량이동"/>
      <sheetName val="기둥(원형)"/>
      <sheetName val="관급"/>
      <sheetName val="VXXXXXXX"/>
      <sheetName val="tggwan(mac)"/>
      <sheetName val="일위대가표"/>
      <sheetName val="해전배수"/>
      <sheetName val="Sheet17"/>
      <sheetName val="INPUT"/>
      <sheetName val="별표집계"/>
      <sheetName val="내역서(토목)"/>
      <sheetName val="PAD TR보호대기초"/>
      <sheetName val="가로등기초"/>
      <sheetName val="HANDHOLE(2)"/>
      <sheetName val="대가 (보완)"/>
      <sheetName val="재료집계"/>
      <sheetName val="가공비"/>
      <sheetName val="단면 (2)"/>
      <sheetName val="재료값"/>
      <sheetName val="여수토공사비"/>
      <sheetName val="성곽내역서"/>
      <sheetName val="자재일람"/>
      <sheetName val="7단가"/>
      <sheetName val="뚝토공"/>
      <sheetName val="미드수량"/>
      <sheetName val="메뉴"/>
      <sheetName val="물가대비표"/>
      <sheetName val="수자재단위당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우선순위내역(20021207시군별)"/>
      <sheetName val="우선순위내역(20021207 우선순위별)"/>
    </sheetNames>
    <sheetDataSet>
      <sheetData sheetId="0"/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표"/>
      <sheetName val="표지(기반)"/>
      <sheetName val="사업개요"/>
      <sheetName val="예정공정표"/>
      <sheetName val="갑지"/>
      <sheetName val="총괄표"/>
      <sheetName val="공사비명세서"/>
      <sheetName val="물탐및영향"/>
      <sheetName val="찬공"/>
      <sheetName val="사후관리 공별내역"/>
      <sheetName val="사후관리"/>
      <sheetName val="부대공사"/>
      <sheetName val="운반비"/>
      <sheetName val="이용시설"/>
      <sheetName val="터파기물량"/>
      <sheetName val="전기노무산출"/>
      <sheetName val="양수장수량산출"/>
      <sheetName val="작업일수"/>
      <sheetName val="원재료"/>
      <sheetName val="지하수단가"/>
      <sheetName val="이용단가"/>
      <sheetName val="일률"/>
      <sheetName val="기계손료"/>
      <sheetName val="주상도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철콘"/>
      <sheetName val="집계(토공)"/>
      <sheetName val="부대(토공)"/>
      <sheetName val="철콘 (2)"/>
      <sheetName val="집계(철콘)"/>
      <sheetName val="부대(철콘)"/>
      <sheetName val="전체내역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"/>
      <sheetName val="1.표지외"/>
      <sheetName val="2.위치및사업량"/>
      <sheetName val="3.소요일수"/>
      <sheetName val="4.용역비총괄표"/>
      <sheetName val="5.사업비명세서"/>
      <sheetName val="6.공종별단가표,일위대가표"/>
      <sheetName val="7.입력자료"/>
      <sheetName val="원가계산"/>
      <sheetName val="제경비계산서"/>
      <sheetName val="Sheet1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00"/>
      <sheetName val="일위대가"/>
      <sheetName val="조명시설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적표"/>
      <sheetName val="토공집계표"/>
      <sheetName val="토공분석표"/>
      <sheetName val="집계표"/>
      <sheetName val="자재대"/>
      <sheetName val="간지"/>
      <sheetName val="표지"/>
      <sheetName val="말뚝지지력산정"/>
      <sheetName val="대로근거"/>
      <sheetName val="중로근거"/>
      <sheetName val="내역서 "/>
      <sheetName val="단가"/>
      <sheetName val="1.설계조건"/>
      <sheetName val="DATA"/>
      <sheetName val="산출근거"/>
      <sheetName val="견적990322"/>
      <sheetName val="교각계산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환경관리비"/>
      <sheetName val="주요자재집계표"/>
      <sheetName val="철근수량집계표"/>
      <sheetName val="콘크리트 수량집계표"/>
      <sheetName val="타공종이월수량"/>
      <sheetName val="세륜세차시설수량집계"/>
      <sheetName val="세륜세차시설설치현황"/>
      <sheetName val="침사지"/>
      <sheetName val="지잗가옥집계"/>
      <sheetName val="지장가옥철거"/>
      <sheetName val="폐기물처리량"/>
      <sheetName val="가설방진망집계"/>
      <sheetName val="가설방진망"/>
      <sheetName val="내역"/>
      <sheetName val="BID"/>
      <sheetName val="일위대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업협"/>
      <sheetName val="갑을지"/>
      <sheetName val="간지양식"/>
      <sheetName val="총괄표"/>
      <sheetName val="현입"/>
      <sheetName val="갑지"/>
      <sheetName val="개착"/>
      <sheetName val="터널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  <sheetName val="조명시설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"/>
      <sheetName val="입찰표지"/>
      <sheetName val="총괄표"/>
      <sheetName val="전체내역서"/>
      <sheetName val="전기내역서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  <sheetName val="단가산출"/>
      <sheetName val="자재수량"/>
      <sheetName val="Sheet1"/>
      <sheetName val="1공구 건정토건 토공"/>
      <sheetName val="1공구 건정토건 철콘"/>
      <sheetName val="입찰안"/>
      <sheetName val="보도내역 (3)"/>
      <sheetName val="Module1"/>
      <sheetName val="Qheet6"/>
      <sheetName val="실행철강하도"/>
      <sheetName val="준검 내역서"/>
      <sheetName val="SG"/>
      <sheetName val="내역서"/>
      <sheetName val="주차구획선수량"/>
      <sheetName val="산출내역서"/>
      <sheetName val="차액보증"/>
      <sheetName val="공사개요"/>
      <sheetName val="갑지"/>
      <sheetName val="자재단가비교표"/>
      <sheetName val="A-4"/>
      <sheetName val="#REF"/>
      <sheetName val="일위대가"/>
      <sheetName val="개요"/>
      <sheetName val="부대tu"/>
      <sheetName val="하조서"/>
      <sheetName val="내역"/>
      <sheetName val="가도공"/>
      <sheetName val="신공항A-9(원가수정)"/>
      <sheetName val="데리네이타현황"/>
      <sheetName val="한강운반비"/>
      <sheetName val="서∼군(2)"/>
      <sheetName val="금호"/>
      <sheetName val="저"/>
      <sheetName val="정부노임단가"/>
      <sheetName val="변경비교-을"/>
      <sheetName val="6공구(당초)"/>
      <sheetName val="품의서"/>
      <sheetName val="토적집계"/>
      <sheetName val="도급"/>
      <sheetName val="목차"/>
      <sheetName val="대로근거"/>
      <sheetName val="을"/>
      <sheetName val="재개발"/>
      <sheetName val="소야공정계획표"/>
      <sheetName val="BID"/>
      <sheetName val="노임단가"/>
      <sheetName val="SANTOGO"/>
      <sheetName val="98NS-N"/>
      <sheetName val="후다내역"/>
      <sheetName val="45,46"/>
      <sheetName val="시공여유율"/>
      <sheetName val="총괄-1"/>
      <sheetName val="단가산출서"/>
      <sheetName val="일위대가표"/>
      <sheetName val="기초코드"/>
      <sheetName val="입적표"/>
      <sheetName val="토사(PE)"/>
      <sheetName val="98지급계획"/>
      <sheetName val="대비"/>
      <sheetName val="설계예산서"/>
      <sheetName val="실행대비"/>
      <sheetName val="SP-B1"/>
      <sheetName val="1.수인터널"/>
      <sheetName val="물가시세"/>
      <sheetName val="Total"/>
      <sheetName val="부대내역"/>
      <sheetName val="입력시트"/>
      <sheetName val="원형1호맨홀토공수량"/>
      <sheetName val="갑지(추정)"/>
      <sheetName val="공업용수관로"/>
      <sheetName val="자재단가"/>
      <sheetName val="공문(신)"/>
      <sheetName val="토목주소"/>
      <sheetName val="낙찰표"/>
      <sheetName val="6PILE  (돌출)"/>
      <sheetName val="특수선일위대가"/>
      <sheetName val="I一般比"/>
      <sheetName val="입찰품의서"/>
      <sheetName val="기계내역"/>
      <sheetName val="AS포장복구 "/>
      <sheetName val="중로근거"/>
      <sheetName val="일위(토목)"/>
      <sheetName val="실행내역서"/>
      <sheetName val="eq_data"/>
      <sheetName val="기본단가"/>
      <sheetName val="설 계"/>
      <sheetName val="경비"/>
      <sheetName val="Dae_Jiju"/>
      <sheetName val="Sikje_ingun"/>
      <sheetName val="TREE_D"/>
      <sheetName val="초기화면"/>
      <sheetName val="표지"/>
      <sheetName val="2.대외공문"/>
      <sheetName val="설계"/>
      <sheetName val="2000년1차"/>
      <sheetName val="건축내역서"/>
      <sheetName val="단가비교표"/>
      <sheetName val="BSD (2)"/>
      <sheetName val="보할"/>
      <sheetName val="전기공사"/>
      <sheetName val="공통가설"/>
      <sheetName val="단"/>
      <sheetName val="3차준공"/>
      <sheetName val="흥양2교토공집계표"/>
      <sheetName val="DATA"/>
      <sheetName val="시화점실행"/>
      <sheetName val="하수급견적대비"/>
      <sheetName val="DATE"/>
      <sheetName val="type-F"/>
      <sheetName val="0.0ControlSheet"/>
      <sheetName val="0.1keyAssumption"/>
      <sheetName val="맨홀수량"/>
      <sheetName val="준공조서갑지"/>
      <sheetName val="지주설치제원"/>
      <sheetName val="입출재고현황 (2)"/>
      <sheetName val="수문일1"/>
      <sheetName val="가시설"/>
      <sheetName val="광산내역"/>
      <sheetName val="A-7-1LINE(수량)"/>
      <sheetName val="Sheet1 (2)"/>
      <sheetName val="상-교대(A1-A2)"/>
      <sheetName val="노임"/>
      <sheetName val="대치판정"/>
      <sheetName val="인건-측정"/>
      <sheetName val="증감대비"/>
      <sheetName val="결과조달"/>
      <sheetName val="현장관리"/>
      <sheetName val="여과지동"/>
      <sheetName val="기초자료"/>
      <sheetName val="을지"/>
      <sheetName val="nys"/>
      <sheetName val="연결임시"/>
      <sheetName val="장비집계"/>
      <sheetName val="건축내역"/>
      <sheetName val="적용대가"/>
      <sheetName val="2000년하반기"/>
      <sheetName val="인건비 "/>
      <sheetName val="내역(최종본4.5)"/>
      <sheetName val="1.취수장"/>
      <sheetName val="9GNG운반"/>
      <sheetName val="TYPE-A"/>
      <sheetName val="간접비"/>
      <sheetName val="실행내역"/>
      <sheetName val="ELECTRIC"/>
      <sheetName val="기성신청"/>
      <sheetName val="원본(갑지)"/>
      <sheetName val="위치조서"/>
      <sheetName val="배수통관(좌)"/>
      <sheetName val="산출내역서집계표"/>
      <sheetName val="횡배수관토공수량"/>
      <sheetName val="공제구간조서"/>
      <sheetName val="강교(Sub)"/>
      <sheetName val="몰탈재료산출"/>
      <sheetName val="ABUT수량-A1"/>
      <sheetName val="BJJIN"/>
      <sheetName val="충주"/>
      <sheetName val="교각1"/>
      <sheetName val="제잡비.xls"/>
      <sheetName val="3BL공동구 수량"/>
      <sheetName val="수량산출"/>
      <sheetName val="자재"/>
      <sheetName val="골조시행"/>
      <sheetName val="N賃率-職"/>
      <sheetName val="1공구_건정토건_토공"/>
      <sheetName val="1공구_건정토건_철콘"/>
      <sheetName val="도급표지_"/>
      <sheetName val="도급표지__(4)"/>
      <sheetName val="부대표지_(4)"/>
      <sheetName val="도급표지__(3)"/>
      <sheetName val="부대표지_(3)"/>
      <sheetName val="도급표지__(2)"/>
      <sheetName val="부대표지_(2)"/>
      <sheetName val="토__목"/>
      <sheetName val="조__경"/>
      <sheetName val="전_기"/>
      <sheetName val="건__축"/>
      <sheetName val="보도내역_(3)"/>
      <sheetName val="준검_내역서"/>
      <sheetName val="수로단위수량"/>
      <sheetName val="공사비총괄표"/>
      <sheetName val="일위대가(1)"/>
      <sheetName val="접속도로1"/>
      <sheetName val="전체_1설계"/>
      <sheetName val="토공사"/>
      <sheetName val="전기일위대가"/>
      <sheetName val="전신환매도율"/>
      <sheetName val="총괄내역서"/>
      <sheetName val="설직재-1"/>
      <sheetName val="2.고용보험료산출근거"/>
      <sheetName val="배관단가조사서"/>
      <sheetName val="EQUIP-H"/>
      <sheetName val="공종별산출내역서"/>
      <sheetName val="마산방향"/>
      <sheetName val="진주방향"/>
      <sheetName val="설계내역서"/>
      <sheetName val="APT"/>
      <sheetName val="부하(성남)"/>
      <sheetName val="부하계산서"/>
      <sheetName val="일위대가(계측기설치)"/>
      <sheetName val="구천"/>
      <sheetName val="전신"/>
      <sheetName val="수량조서"/>
      <sheetName val="코드표"/>
      <sheetName val=" 총괄표"/>
      <sheetName val="교대(A1)"/>
      <sheetName val="4)유동표"/>
      <sheetName val="조명시설"/>
      <sheetName val="최초침전지집계표"/>
      <sheetName val="일위대가(가설)"/>
      <sheetName val="현대물량"/>
      <sheetName val="MOTOR"/>
      <sheetName val="CONCRETE"/>
      <sheetName val="wall"/>
      <sheetName val="건축집계"/>
      <sheetName val="4.내진설계"/>
      <sheetName val="1_수인터널"/>
      <sheetName val="6PILE__(돌출)"/>
      <sheetName val="2_대외공문"/>
      <sheetName val="설_계"/>
      <sheetName val="AS포장복구_"/>
      <sheetName val="바닥판"/>
      <sheetName val="공사"/>
      <sheetName val="COPING"/>
      <sheetName val="1안"/>
      <sheetName val="1. 설계조건 2.단면가정 3. 하중계산"/>
      <sheetName val="DATA 입력란"/>
      <sheetName val="96보완계획7.12"/>
      <sheetName val="s"/>
      <sheetName val="공사비예산서(토목분)"/>
      <sheetName val="수량3"/>
      <sheetName val="토목내역"/>
      <sheetName val="관급"/>
      <sheetName val="직노"/>
      <sheetName val="자재목록"/>
      <sheetName val="중기목록"/>
      <sheetName val="단가목록"/>
      <sheetName val="일위목록"/>
      <sheetName val="노임목록"/>
      <sheetName val="손익현황"/>
      <sheetName val="현황CODE"/>
      <sheetName val="6호기"/>
      <sheetName val="수자재단위당"/>
      <sheetName val="물량표"/>
      <sheetName val="교각계산"/>
      <sheetName val="단가"/>
      <sheetName val="관일"/>
      <sheetName val="철거산출근거"/>
      <sheetName val="단가조사"/>
      <sheetName val="단면가정"/>
      <sheetName val="설계조건"/>
      <sheetName val="부재력정리"/>
      <sheetName val="Front"/>
      <sheetName val="가격조사서"/>
      <sheetName val="세금자료"/>
      <sheetName val="경영상태"/>
      <sheetName val="설계예산"/>
      <sheetName val="200"/>
      <sheetName val="중기일위대가"/>
      <sheetName val="경비2내역"/>
      <sheetName val="노원열병합  건축공사기성내역서"/>
      <sheetName val="원가계산서"/>
      <sheetName val="현장관리비"/>
      <sheetName val="집계"/>
      <sheetName val="날개벽(시점좌측)"/>
      <sheetName val="포장공자재집계표"/>
      <sheetName val="부대입찰 내역서"/>
      <sheetName val="전차선로 물량표"/>
      <sheetName val="공통(20-91)"/>
      <sheetName val="실행내역서 "/>
      <sheetName val="TB-내역서"/>
      <sheetName val="신대방33(적용)"/>
      <sheetName val="포장단면별단위수량"/>
      <sheetName val="가로등내역서"/>
      <sheetName val="자재일람"/>
      <sheetName val="전라자금"/>
      <sheetName val="b_yesan"/>
      <sheetName val="INPUT(덕도방향-시점)"/>
      <sheetName val="CPM챠트"/>
      <sheetName val="지우지마"/>
      <sheetName val="토목"/>
      <sheetName val="설계기준"/>
      <sheetName val="내역1"/>
      <sheetName val="WORK"/>
      <sheetName val="내역(최종본4_5)"/>
      <sheetName val="0_0ControlSheet"/>
      <sheetName val="0_1keyAssumption"/>
      <sheetName val="전체ﾴ엿서"/>
      <sheetName val="Type(123)"/>
      <sheetName val="투찰(하수)"/>
      <sheetName val="프랜트면허"/>
      <sheetName val="토공(우물통,기타) "/>
      <sheetName val="견적서"/>
      <sheetName val="현장별계약현황('98.10.31)"/>
      <sheetName val="구의33고"/>
      <sheetName val="금액내역서"/>
      <sheetName val="노무비"/>
      <sheetName val="2000전체분"/>
      <sheetName val="세부내역서"/>
      <sheetName val="입적6-10"/>
      <sheetName val="현장관리비 산출내역"/>
      <sheetName val="97년 추정"/>
      <sheetName val="배수내역"/>
      <sheetName val="팔당터널(1공구)"/>
      <sheetName val="DC-O-4-S(설명서)"/>
      <sheetName val="평균터파기고(1-2,ASP)"/>
      <sheetName val="세부내역"/>
      <sheetName val="확약서"/>
      <sheetName val="선정요령"/>
      <sheetName val="하중"/>
      <sheetName val="1.설계조건"/>
      <sheetName val="노임이"/>
      <sheetName val="STAND20"/>
      <sheetName val="화설내"/>
      <sheetName val="자재집계표"/>
      <sheetName val="도급b_balju"/>
      <sheetName val="원가서"/>
      <sheetName val="뚝토공"/>
      <sheetName val="명단"/>
      <sheetName val="원가계산 (2)"/>
      <sheetName val="Eq. Mobilization"/>
      <sheetName val="Y-WORK"/>
      <sheetName val="인사자료총집계"/>
      <sheetName val="_REF"/>
      <sheetName val="설계서"/>
      <sheetName val="예산서"/>
      <sheetName val="총공사비"/>
      <sheetName val="공사비산출내역"/>
      <sheetName val="0Title"/>
      <sheetName val="일위(PN)"/>
      <sheetName val="연습"/>
      <sheetName val="건축내역(진해석동)"/>
      <sheetName val="주경기-오배수"/>
      <sheetName val="주요자재단가"/>
      <sheetName val="98수문일위"/>
      <sheetName val="단가(반정1교-원주)"/>
      <sheetName val="증감내역서"/>
      <sheetName val="J直材4"/>
      <sheetName val="각형맨홀"/>
      <sheetName val="본공사"/>
      <sheetName val="JUCKEYK"/>
      <sheetName val="S0"/>
      <sheetName val="공량산출서"/>
      <sheetName val="종단계산"/>
      <sheetName val="견적대비표"/>
      <sheetName val="실행간접비용"/>
      <sheetName val="보고"/>
      <sheetName val="총집계표"/>
      <sheetName val="신공항A-;(원가수정)"/>
      <sheetName val="건축공사"/>
      <sheetName val="콤보박스와 리스트박스의 연결"/>
      <sheetName val="유형처분"/>
      <sheetName val="수 량 명 세 서 - 1"/>
      <sheetName val="견적조건"/>
      <sheetName val="F4-F7"/>
      <sheetName val="장비당단가 (1)"/>
      <sheetName val="Sheet2 (2)"/>
      <sheetName val="업무"/>
      <sheetName val="경영혁신본부"/>
      <sheetName val="1.설계기준"/>
      <sheetName val="수량산출서"/>
      <sheetName val="인건비"/>
      <sheetName val="내역서01"/>
      <sheetName val="참조"/>
      <sheetName val="CALCULATION"/>
      <sheetName val="앵커구조계산"/>
      <sheetName val="부대공Ⅱ"/>
      <sheetName val="2.건축"/>
      <sheetName val="단면 (2)"/>
      <sheetName val="3F"/>
      <sheetName val="설계명세서"/>
      <sheetName val="예산M6-B"/>
      <sheetName val="AB자재단가"/>
      <sheetName val="간지"/>
      <sheetName val="상세산출"/>
      <sheetName val="적현로"/>
      <sheetName val="구조물터파기수량집계"/>
      <sheetName val="측구터파기공수량집계"/>
      <sheetName val="배수공 시멘트 및 골재량 산출"/>
      <sheetName val="깨기"/>
      <sheetName val="기계경비일람"/>
      <sheetName val="건축-물가변동"/>
      <sheetName val="횡배수관"/>
      <sheetName val="DATA2000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임진보충양수장(업자내역)"/>
      <sheetName val="임진기계집계(업자내역)"/>
      <sheetName val="임진보충양수장"/>
      <sheetName val="임진전기집계"/>
      <sheetName val="임진기계집계"/>
      <sheetName val="임진노임산출"/>
      <sheetName val="한전납입금"/>
      <sheetName val="03노임"/>
      <sheetName val="동력계산"/>
      <sheetName val="임진기계집계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총괄"/>
      <sheetName val="갑,을"/>
      <sheetName val="노임단가"/>
      <sheetName val="한전납입금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REF"/>
      <sheetName val="laroux"/>
      <sheetName val="일위"/>
      <sheetName val="원가계산서"/>
      <sheetName val="단가조사서"/>
      <sheetName val="한전공사비 1공"/>
      <sheetName val="한전공사비 2공"/>
      <sheetName val="통합  내역서"/>
      <sheetName val="1공구 내역서"/>
      <sheetName val="2공구 내역서"/>
      <sheetName val="일위대가"/>
      <sheetName val="견적조건"/>
      <sheetName val="부대입찰내역"/>
      <sheetName val="삼호개발"/>
      <sheetName val="정주"/>
      <sheetName val="효동"/>
      <sheetName val="Sheet3"/>
      <sheetName val="집계1"/>
      <sheetName val="집계2"/>
      <sheetName val="집계3"/>
      <sheetName val="집계4"/>
      <sheetName val="내(토)"/>
      <sheetName val="내(건)"/>
      <sheetName val="건축"/>
      <sheetName val="건축설비집계"/>
      <sheetName val="건축설비"/>
      <sheetName val="기타"/>
      <sheetName val="Sheet2"/>
      <sheetName val="Sheet4"/>
      <sheetName val="Sheet5"/>
      <sheetName val="Sheet6"/>
      <sheetName val="Sheet7"/>
      <sheetName val="Sheet8"/>
      <sheetName val="Sheet9"/>
      <sheetName val="Sheet10"/>
      <sheetName val="공사개요"/>
      <sheetName val="Sheet1"/>
      <sheetName val="000000"/>
      <sheetName val="전기수량"/>
      <sheetName val="전열및전력간선"/>
      <sheetName val="전등설비"/>
      <sheetName val="동력설비"/>
      <sheetName val="피뢰침및접지"/>
      <sheetName val="소방"/>
      <sheetName val="약전"/>
      <sheetName val="방송"/>
      <sheetName val="TG전력간선"/>
      <sheetName val="TG전등"/>
      <sheetName val="TG약전"/>
      <sheetName val="원가(칠곡다부)"/>
      <sheetName val="집계표"/>
      <sheetName val="다부IC내역"/>
      <sheetName val="원가(재방송)"/>
      <sheetName val="재방송"/>
      <sheetName val="다부내역"/>
      <sheetName val="읍내터널"/>
      <sheetName val="칠곡IC내역"/>
      <sheetName val="monci"/>
      <sheetName val="원가"/>
      <sheetName val="공사집계표"/>
      <sheetName val="전력간선"/>
      <sheetName val="전등"/>
      <sheetName val="전열"/>
      <sheetName val="전화"/>
      <sheetName val="티브이"/>
      <sheetName val="XXXXXX"/>
      <sheetName val="터널공사"/>
      <sheetName val="집계표(터널내)"/>
      <sheetName val="터널공사 비교"/>
      <sheetName val="터널외구간"/>
      <sheetName val="집계표(터널외)"/>
      <sheetName val="터널외구간비교"/>
      <sheetName val="VXXXXX"/>
      <sheetName val="일위대가서"/>
      <sheetName val="MCC,분전반"/>
      <sheetName val="PANEL"/>
      <sheetName val="갑지"/>
      <sheetName val="총신대(총괄집계)"/>
      <sheetName val="총신대(신설)"/>
      <sheetName val="총신대(철거)"/>
      <sheetName val="BID"/>
      <sheetName val="BID (2)"/>
      <sheetName val="견적갑지 (2)"/>
      <sheetName val="평택항"/>
      <sheetName val="담보금융비용"/>
      <sheetName val="담보금융비용(0.18)"/>
      <sheetName val="설계참고목차"/>
      <sheetName val="수량조서"/>
      <sheetName val="1.스코트변압기"/>
      <sheetName val="2.단권변압기"/>
      <sheetName val="3.가스절연"/>
      <sheetName val="4.가스절연"/>
      <sheetName val="5.전자식제어반"/>
      <sheetName val="6.전자식제어반"/>
      <sheetName val="7.전자식제어반"/>
      <sheetName val="8.소규모제어장치"/>
      <sheetName val="9.고장점표정반"/>
      <sheetName val="10.보조릴레이반"/>
      <sheetName val="11.저압반"/>
      <sheetName val="12.무정전전원장치"/>
      <sheetName val="13.축전지반"/>
      <sheetName val="14.소내용TR"/>
      <sheetName val="15.고압반"/>
      <sheetName val="16.전철RTU"/>
      <sheetName val="17.GP"/>
      <sheetName val="18.기기가대"/>
      <sheetName val="19.모선배선"/>
      <sheetName val="20.제어및전력케이블"/>
      <sheetName val="21.핏트"/>
      <sheetName val="22.스틸그레이팅(M.TR)"/>
      <sheetName val="23.스틸그레이팅(AT)"/>
      <sheetName val="24.접지장치"/>
      <sheetName val="25.전선관"/>
      <sheetName val="26.무근콘크리트"/>
      <sheetName val="27.케이블트레이"/>
      <sheetName val="28.자갈부설"/>
      <sheetName val="29.옥외외등"/>
      <sheetName val="30.무인화설비"/>
      <sheetName val="31.JIB크레인설치"/>
      <sheetName val="32.전력RTU"/>
      <sheetName val="33.지중케이블"/>
      <sheetName val="34.전력용관로"/>
      <sheetName val="35.장주신설"/>
      <sheetName val="36.맨홀"/>
      <sheetName val="37.무인온라인"/>
      <sheetName val="38.영주SCADA"/>
      <sheetName val="39.가설비"/>
      <sheetName val="40.운반비"/>
      <sheetName val="운반비(철재류)"/>
      <sheetName val="운반비(전선류)"/>
      <sheetName val="호표"/>
      <sheetName val="시중노임표"/>
      <sheetName val="견적단가"/>
      <sheetName val="재료단가"/>
      <sheetName val="총집계"/>
      <sheetName val="주요기자재 집계"/>
      <sheetName val="주요기자재 산출"/>
      <sheetName val="동력접지집계"/>
      <sheetName val="동력 산출"/>
      <sheetName val="접지 산출"/>
      <sheetName val="건축전기집계"/>
      <sheetName val="조명 산출"/>
      <sheetName val="통신 산출"/>
      <sheetName val="자탐 산출"/>
      <sheetName val="계장집계"/>
      <sheetName val="계장 산출"/>
      <sheetName val="원가계산서(수탁비포함)"/>
      <sheetName val="대총괄표"/>
      <sheetName val="중총괄표"/>
      <sheetName val="소총괄표"/>
      <sheetName val="옥외전력간선"/>
      <sheetName val="전력인입및수변전"/>
      <sheetName val="옥내전력간선"/>
      <sheetName val="동력"/>
      <sheetName val="피뢰침"/>
      <sheetName val="전기TRAY"/>
      <sheetName val="원가계산갑지"/>
      <sheetName val="전(원가)"/>
      <sheetName val="전(중총)"/>
      <sheetName val="전(소총)"/>
      <sheetName val="1.1"/>
      <sheetName val="1.2"/>
      <sheetName val="1.3"/>
      <sheetName val="1.4"/>
      <sheetName val="1.5"/>
      <sheetName val="E(소총)"/>
      <sheetName val="ESCO"/>
      <sheetName val="관(소총)"/>
      <sheetName val="관급"/>
      <sheetName val="통(원가)"/>
      <sheetName val="통(총)"/>
      <sheetName val="2.1"/>
      <sheetName val="2.1(공)"/>
      <sheetName val="2.2"/>
      <sheetName val="소(원가)"/>
      <sheetName val="소(총)"/>
      <sheetName val="3.1"/>
      <sheetName val="3.2"/>
      <sheetName val="일위총괄"/>
      <sheetName val="단가산출"/>
      <sheetName val="기본공율"/>
      <sheetName val="공량산출서"/>
      <sheetName val="공.옥외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총괄"/>
      <sheetName val="토공"/>
      <sheetName val="흙막이"/>
      <sheetName val="어스앙카"/>
      <sheetName val="구조물"/>
      <sheetName val="방수공"/>
      <sheetName val="지반보강"/>
      <sheetName val="포장공"/>
      <sheetName val="지장물보호공"/>
      <sheetName val="부대공"/>
      <sheetName val="사급자재"/>
      <sheetName val="자재"/>
      <sheetName val="叉택항"/>
      <sheetName val="증감"/>
      <sheetName val="총괄◀"/>
      <sheetName val="원가◀"/>
      <sheetName val="총괄 "/>
      <sheetName val="순공"/>
      <sheetName val="순공◀"/>
      <sheetName val="토목원가◀"/>
      <sheetName val="건축원가◀"/>
      <sheetName val="기계원가◀"/>
      <sheetName val="전기원가◀"/>
      <sheetName val="통신원가◀"/>
      <sheetName val="results"/>
      <sheetName val="토목"/>
      <sheetName val="원가계산서(건축)"/>
      <sheetName val="건축3차분2회변경"/>
      <sheetName val="건축3차분2회변경(원가)"/>
      <sheetName val="Sheet11"/>
      <sheetName val="Sheet12"/>
      <sheetName val="Sheet13"/>
      <sheetName val="Sheet14"/>
      <sheetName val="Sheet15"/>
      <sheetName val="Sheet16"/>
      <sheetName val="■총괄"/>
      <sheetName val="순공(ROUND)"/>
      <sheetName val="토목원가"/>
      <sheetName val="건축원가"/>
      <sheetName val="기계원가"/>
      <sheetName val="전기원가"/>
      <sheetName val="통신원가"/>
      <sheetName val="진건차집도급"/>
      <sheetName val="진건실행"/>
      <sheetName val="작업별비목별집계"/>
      <sheetName val="내역서"/>
      <sheetName val="주요자재집계표"/>
      <sheetName val="표지"/>
      <sheetName val="토적표(부지조성)"/>
      <sheetName val="구조물토공집계표"/>
      <sheetName val="배수토공"/>
      <sheetName val="견적조건보고서"/>
      <sheetName val="견적갑지"/>
      <sheetName val="을지"/>
      <sheetName val="견적갑&quot;A&quot;공구"/>
      <sheetName val="견적조건보고서&quot;A&quot;공구"/>
      <sheetName val="A비엠"/>
      <sheetName val="공율산출"/>
      <sheetName val="기계원가계산서"/>
      <sheetName val="집계"/>
      <sheetName val="가설내역"/>
      <sheetName val="단가비교표"/>
      <sheetName val="Chart1"/>
      <sheetName val="단위내역목록"/>
      <sheetName val="단위내역서"/>
      <sheetName val="총괄표"/>
      <sheetName val="원가(1)"/>
      <sheetName val="원가(2)"/>
      <sheetName val="VXXX"/>
      <sheetName val="공사비대비 (2)"/>
      <sheetName val="공사비대비"/>
      <sheetName val="옹벽공"/>
      <sheetName val="연당4교"/>
      <sheetName val="연당5교"/>
      <sheetName val="연당6교"/>
      <sheetName val="노임단가"/>
      <sheetName val="단가조서"/>
      <sheetName val="불광(총괄집계)"/>
      <sheetName val="불광(신설)"/>
      <sheetName val="불광(철거)"/>
      <sheetName val="내역"/>
      <sheetName val="PACKING OPEN"/>
      <sheetName val="견적정보"/>
      <sheetName val="갑지1"/>
      <sheetName val="집계표1"/>
      <sheetName val="장비비"/>
      <sheetName val="도급내역서"/>
      <sheetName val="실행내역서"/>
      <sheetName val="직종노임"/>
      <sheetName val="b"/>
      <sheetName val="간지"/>
      <sheetName val="전체집계표"/>
      <sheetName val="철근집계"/>
      <sheetName val="삽입도면1"/>
      <sheetName val="강관말뚝"/>
      <sheetName val="간지 (2)"/>
      <sheetName val="암거집계표"/>
      <sheetName val="삽입도면2"/>
      <sheetName val="암거공"/>
      <sheetName val="간지 (3)"/>
      <sheetName val="u-type집계표"/>
      <sheetName val="삽입도면3"/>
      <sheetName val="u-type1"/>
      <sheetName val="u-type2"/>
      <sheetName val="xxxx"/>
      <sheetName val="건설기계평균가격"/>
      <sheetName val="2003년시공계획"/>
      <sheetName val="2003년실행총괄표"/>
      <sheetName val="시공참여자실행계획"/>
      <sheetName val="자재(직영)"/>
      <sheetName val="노무(직영)"/>
      <sheetName val="장비(직영)"/>
      <sheetName val="자재 (시공))"/>
      <sheetName val="노무 (시공)"/>
      <sheetName val="장비 (시공)"/>
      <sheetName val="관리비"/>
      <sheetName val="공정표"/>
      <sheetName val="운반단가"/>
      <sheetName val="터널투입집계"/>
      <sheetName val="투입내역"/>
      <sheetName val="터널내역"/>
      <sheetName val="특별교실"/>
      <sheetName val="기숙사"/>
      <sheetName val="화장실"/>
      <sheetName val="총집계-1"/>
      <sheetName val="총집계-2"/>
      <sheetName val="원가-1"/>
      <sheetName val="원가-2"/>
      <sheetName val="자산총괄서"/>
      <sheetName val="영대증축"/>
      <sheetName val="원가(영대증축)"/>
      <sheetName val="전라선(남원)"/>
      <sheetName val="원가(남원)"/>
      <sheetName val="경비(남원)"/>
      <sheetName val="창원"/>
      <sheetName val="원가(창원)"/>
      <sheetName val="대산면"/>
      <sheetName val="원가(대산면)"/>
      <sheetName val="경비(대산면)"/>
      <sheetName val="다산"/>
      <sheetName val="원가(다산)"/>
      <sheetName val="가창"/>
      <sheetName val="원가(가창)"/>
      <sheetName val="경비(가창)"/>
      <sheetName val="증감표"/>
      <sheetName val="공사비"/>
      <sheetName val="가드레일산근"/>
      <sheetName val="수량집계표"/>
      <sheetName val="수량"/>
      <sheetName val="단가비교"/>
      <sheetName val="적용2002"/>
      <sheetName val="중기"/>
      <sheetName val="합계"/>
      <sheetName val="01.가설공사"/>
      <sheetName val="02.토공사"/>
      <sheetName val="03.철근콘크리트"/>
      <sheetName val="04.조적공사"/>
      <sheetName val="05.방수공사"/>
      <sheetName val="06.타일공사"/>
      <sheetName val="07.석공사"/>
      <sheetName val="08.목공사"/>
      <sheetName val="09.금속공사"/>
      <sheetName val="10.미장공사"/>
      <sheetName val="11.창호공사"/>
      <sheetName val="11.창호-1"/>
      <sheetName val="12.유리공사"/>
      <sheetName val="13.도장공사"/>
      <sheetName val="14.수장공사"/>
      <sheetName val="15.지붕및홈통"/>
      <sheetName val="16.잡공사"/>
      <sheetName val="17.주요자재"/>
      <sheetName val="18.작업부산물"/>
      <sheetName val="★현설표지"/>
      <sheetName val="★현장설명서(토공,철콘)"/>
      <sheetName val="★현설참가확인(토공철콘)"/>
      <sheetName val="★현설시 설명자료"/>
      <sheetName val="현설시 설명자료(내부)"/>
      <sheetName val="지역부대토공"/>
      <sheetName val="지역부대철콘"/>
      <sheetName val="인당매출(2003.11)-전체"/>
      <sheetName val="현장별 인건비(2003.12)"/>
      <sheetName val="인당매출그래프"/>
      <sheetName val="2003ACCM "/>
      <sheetName val="12월"/>
      <sheetName val="근로자현황파악"/>
      <sheetName val="근로자현황파악 (2)"/>
      <sheetName val="보건증"/>
      <sheetName val="명단"/>
      <sheetName val="협력업체"/>
      <sheetName val="건강진단통보"/>
      <sheetName val="건강진단통보 (2)"/>
      <sheetName val="작업변경신청서"/>
      <sheetName val="노동청"/>
      <sheetName val="노동청 (특검)"/>
      <sheetName val="노동청 (작업)"/>
      <sheetName val="암검사"/>
      <sheetName val="암검사 (2)"/>
      <sheetName val="이중자격완료통보"/>
      <sheetName val="보건교육요청"/>
      <sheetName val="보건교육시행통보"/>
      <sheetName val="일반건강진단통보"/>
      <sheetName val="의보 정정신고"/>
      <sheetName val="恤_x0000__x0000__x0000__x0000_"/>
      <sheetName val="_x0000__x000f__x0000__x0004_ðj_x0000__x0000__x0000_B_x0001__x000a_ð_x0008__x0000__x0000__x0000_-_x0000__x0000_@_x000a__x0000__x0000__x0000__x000b_ð0_x0000_"/>
      <sheetName val="깝데기"/>
      <sheetName val="설명자료"/>
      <sheetName val="수량산출집계표(후)"/>
      <sheetName val="수량산출2(후)"/>
      <sheetName val="수량산출"/>
      <sheetName val="적용단가"/>
      <sheetName val="적용단가 (2)"/>
      <sheetName val="일위대가목록(전+후)"/>
      <sheetName val="일위대가(전+후)"/>
      <sheetName val="갑지 (2)"/>
      <sheetName val="철콘갑지(2)"/>
      <sheetName val="철콘내역서(2)"/>
      <sheetName val="철콘갑지"/>
      <sheetName val="철콘내역서"/>
      <sheetName val="_x000f__x0000__x0004_ðj_x0000_B_x0001__x000a_ð_x0008__x0000_-_x0000_@_x000a_ƒ_x000b_ð0_x0000_¿_x0000__x0008__x0000__x0008__x0000__x0000_?"/>
      <sheetName val="알림장"/>
      <sheetName val="예산표지 "/>
      <sheetName val="제잡비2"/>
      <sheetName val="지급자재1"/>
      <sheetName val="지급자재2"/>
      <sheetName val="지급자재3"/>
      <sheetName val="예산집계"/>
      <sheetName val="제잡비1"/>
      <sheetName val="공제금액"/>
      <sheetName val="정기안전점검비"/>
      <sheetName val="정기안전점검비(직접인건비)"/>
      <sheetName val="공제금액(단가산출서용)"/>
      <sheetName val="사토장 (공통공사)"/>
      <sheetName val="기술료(출력말것)"/>
      <sheetName val="경안천1"/>
      <sheetName val="경안천2"/>
      <sheetName val="금강1"/>
      <sheetName val="금강2"/>
      <sheetName val="남천1"/>
      <sheetName val="남천2"/>
      <sheetName val="녹동1"/>
      <sheetName val="녹동2"/>
      <sheetName val="삼산1"/>
      <sheetName val="삼산2"/>
      <sheetName val="서천1"/>
      <sheetName val="서천2"/>
      <sheetName val="성주1"/>
      <sheetName val="성주2"/>
      <sheetName val="수원"/>
      <sheetName val="아주1"/>
      <sheetName val="아주2"/>
      <sheetName val="울진1"/>
      <sheetName val="울진2"/>
      <sheetName val="조양1"/>
      <sheetName val="조양2"/>
      <sheetName val="창녕1"/>
      <sheetName val="창녕2"/>
      <sheetName val="추풍령1"/>
      <sheetName val="추풍령2"/>
      <sheetName val="고단대기"/>
      <sheetName val="공주이인"/>
      <sheetName val="구암도로"/>
      <sheetName val="낙산대교"/>
      <sheetName val="부산3호선"/>
      <sheetName val="서남권철도"/>
      <sheetName val="증평괴산"/>
      <sheetName val="서초IC"/>
      <sheetName val="신길"/>
      <sheetName val="분당1"/>
      <sheetName val="분당2"/>
      <sheetName val="삼막1"/>
      <sheetName val="삼막2"/>
      <sheetName val="김천1"/>
      <sheetName val="김천2"/>
      <sheetName val="용산"/>
      <sheetName val="전주"/>
      <sheetName val="보고"/>
      <sheetName val="투찰서표지"/>
      <sheetName val="총괄 (3)"/>
      <sheetName val="원가(총)"/>
      <sheetName val="대안원가"/>
      <sheetName val="원안원가"/>
      <sheetName val="원안"/>
      <sheetName val="대안"/>
      <sheetName val="폐기물"/>
      <sheetName val="이전비 "/>
      <sheetName val="참고"/>
      <sheetName val="수입물자"/>
      <sheetName val="MAIN"/>
      <sheetName val="총공사비"/>
      <sheetName val="T1"/>
      <sheetName val="san"/>
      <sheetName val="LIST"/>
      <sheetName val="sw1"/>
      <sheetName val="sw2"/>
      <sheetName val="sw3"/>
      <sheetName val="sw4"/>
      <sheetName val="sw5"/>
      <sheetName val="sw6"/>
      <sheetName val="sw7"/>
      <sheetName val="NOMUBI"/>
      <sheetName val="불광(총괄집계ဩ"/>
      <sheetName val="가설도로수량집계(1-8)"/>
      <sheetName val="가설도로입적수량"/>
      <sheetName val="측점(1)-삭제"/>
      <sheetName val="측점(2)-삭제"/>
      <sheetName val="측점(3)-신규"/>
      <sheetName val="측점(4)-신규"/>
      <sheetName val="가호안"/>
      <sheetName val="이식수목"/>
      <sheetName val="훼손예상1"/>
      <sheetName val="훼손예상2"/>
      <sheetName val="산정과정"/>
      <sheetName val="공사비대비표"/>
      <sheetName val="설계변경개요"/>
      <sheetName val="참고list"/>
      <sheetName val="품 및 별표관련변경"/>
      <sheetName val="자재변경"/>
      <sheetName val="내역서 (2002예산산출)"/>
      <sheetName val="토공집계표"/>
      <sheetName val="적용단가산출조서"/>
      <sheetName val="적용단가산출조서 (추가)"/>
      <sheetName val="품셈총괄표"/>
      <sheetName val="품셈"/>
      <sheetName val="추품총괄표"/>
      <sheetName val="추품"/>
      <sheetName val="부표총괄표"/>
      <sheetName val="부표"/>
      <sheetName val="추부총괄표"/>
      <sheetName val="추부"/>
      <sheetName val="추부총괄표."/>
      <sheetName val="추부."/>
      <sheetName val="별표(변경없슴)"/>
      <sheetName val="별표총괄표"/>
      <sheetName val="추별"/>
      <sheetName val="수정 리스트"/>
      <sheetName val="재료단가표"/>
      <sheetName val="_x0000__x000f__x0000__x0004_ðj_x0000__x0000__x0000_B_x0001__x000a_ð_x0008__x0000__x0000__x0000_-€_x0000__x0000_@_x000a__x0000__x0000_ƒ_x0000__x000b_ð0_x0000_"/>
      <sheetName val="_x000f__x0000__x0004_ðj_x0000_B_x0001__x000a_ð_x0008__x0000_-€_x0000_@_x000a_ƒ_x000b_ð0_x0000_¿_x0000__x0008__x0000__x0008__x0000_€_x0000_?"/>
      <sheetName val="기계갑지"/>
      <sheetName val="기계설비공사"/>
      <sheetName val="소화갑지"/>
      <sheetName val="소화설비공사"/>
      <sheetName val="기계설비공사 (품)"/>
      <sheetName val="소화설비공사 (품)"/>
      <sheetName val="기계(3공구)"/>
      <sheetName val="개요"/>
      <sheetName val="Module1"/>
      <sheetName val="실행(도급대비)"/>
      <sheetName val="겉장"/>
      <sheetName val="기성검사원"/>
      <sheetName val="원가계산"/>
      <sheetName val="조도계산서"/>
      <sheetName val="표지(1)"/>
      <sheetName val="공총괄표"/>
      <sheetName val="공내역서"/>
      <sheetName val="인공산출"/>
      <sheetName val="산출기초"/>
      <sheetName val="자재단가"/>
      <sheetName val="대안별개선효과"/>
      <sheetName val="개선효과누계"/>
      <sheetName val="공사이익"/>
      <sheetName val="인천창고"/>
      <sheetName val="금융센터임차"/>
      <sheetName val="자사주펀드"/>
      <sheetName val="동부월드"/>
      <sheetName val="인천공항철도"/>
      <sheetName val="계열사별자금부담"/>
      <sheetName val="자기주식_미반영"/>
      <sheetName val="전기 BM 내역서"/>
      <sheetName val="피ꢰ침"/>
      <sheetName val="집수정총괄집계"/>
      <sheetName val="집수정수량집계"/>
      <sheetName val="설치현황"/>
      <sheetName val="목차"/>
      <sheetName val="1. 공사개요"/>
      <sheetName val="2. 현장기구조직표"/>
      <sheetName val="3. 공사진행[터,토,구]"/>
      <sheetName val="4. 투자대비"/>
      <sheetName val="5. 실행대비"/>
      <sheetName val="6. 금월분 투자대비"/>
      <sheetName val="2002년도 사업계획서"/>
      <sheetName val="결재란"/>
      <sheetName val="39.각설비"/>
      <sheetName val="표 지"/>
      <sheetName val="설계조건"/>
      <sheetName val="설계기준"/>
      <sheetName val="처리효율"/>
      <sheetName val="물질수지"/>
      <sheetName val="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 refreshError="1"/>
      <sheetData sheetId="258"/>
      <sheetData sheetId="259"/>
      <sheetData sheetId="260"/>
      <sheetData sheetId="261"/>
      <sheetData sheetId="262"/>
      <sheetData sheetId="263" refreshError="1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 refreshError="1"/>
      <sheetData sheetId="398" refreshError="1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 refreshError="1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 refreshError="1"/>
      <sheetData sheetId="532" refreshError="1"/>
      <sheetData sheetId="533"/>
      <sheetData sheetId="534"/>
      <sheetData sheetId="535"/>
      <sheetData sheetId="536"/>
      <sheetData sheetId="537"/>
      <sheetData sheetId="538"/>
      <sheetData sheetId="539" refreshError="1"/>
      <sheetData sheetId="540"/>
      <sheetData sheetId="541" refreshError="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설계표지"/>
      <sheetName val="설계설명서"/>
      <sheetName val="결재란"/>
      <sheetName val="총괄표"/>
      <sheetName val="설계내역서"/>
      <sheetName val="제경비계산"/>
      <sheetName val="원가계산"/>
      <sheetName val="토적계산서"/>
      <sheetName val="수량산출"/>
      <sheetName val="포장수량"/>
      <sheetName val="부대공"/>
      <sheetName val="Sheet15"/>
      <sheetName val="Sheet16"/>
      <sheetName val="실행철강하도"/>
      <sheetName val="ABUT수량-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환지불가"/>
      <sheetName val="사업개요"/>
      <sheetName val="공사갑지"/>
      <sheetName val="부대집계 (2)"/>
      <sheetName val="사업개요 (2)"/>
      <sheetName val="사업개요2"/>
      <sheetName val="사업수지"/>
      <sheetName val="여건변동설명"/>
      <sheetName val="변경설명서"/>
      <sheetName val="증감대비표(보완)"/>
      <sheetName val="보조금"/>
      <sheetName val="공사비"/>
      <sheetName val="자재산출"/>
      <sheetName val="토공집계"/>
      <sheetName val="암 물량 산출집계표(영산)"/>
      <sheetName val="암산출(영산)"/>
      <sheetName val="콘크리트포장"/>
      <sheetName val="시험비"/>
      <sheetName val="중기대수"/>
      <sheetName val="폐석부설"/>
      <sheetName val="토장복구"/>
      <sheetName val="구조물집계표(총)"/>
      <sheetName val="구조물집계표"/>
      <sheetName val="구조물수량"/>
      <sheetName val="용수재료"/>
      <sheetName val="배수재료"/>
      <sheetName val="맹암거조서"/>
      <sheetName val="덮개조서"/>
      <sheetName val="급배수관"/>
      <sheetName val="수로관수량"/>
      <sheetName val="논두렁"/>
      <sheetName val="면고르기"/>
      <sheetName val="건설기계단가"/>
      <sheetName val="시간당사용료목록표"/>
      <sheetName val="시간당사용료"/>
      <sheetName val="도쟈거리 (2)"/>
      <sheetName val="장단변 (2)"/>
      <sheetName val="운반자료"/>
      <sheetName val="운반비"/>
      <sheetName val="조건적용"/>
      <sheetName val="노임단가"/>
      <sheetName val="자재단가"/>
      <sheetName val="도쟈거리"/>
      <sheetName val="장단변"/>
      <sheetName val="단가집계표"/>
      <sheetName val="영산"/>
      <sheetName val="Sheet1"/>
      <sheetName val="단가산출 (2)"/>
      <sheetName val="운반단가산출 (2)"/>
      <sheetName val="시간당사용료 (2)"/>
      <sheetName val="운반비(복토)"/>
      <sheetName val="단가산출"/>
      <sheetName val="운반단가산출"/>
      <sheetName val="간지서식"/>
      <sheetName val="표지서식"/>
      <sheetName val="시행후노선"/>
      <sheetName val="중기대수 (2)"/>
      <sheetName val="구조물집계(총)"/>
      <sheetName val="설계내역서"/>
      <sheetName val="ABUT수량-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설계내역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보행로난간"/>
      <sheetName val="반사경"/>
      <sheetName val="임시차선도색"/>
      <sheetName val="공사중표지판"/>
      <sheetName val="드럼및점멸등"/>
      <sheetName val="공사중수량집계"/>
      <sheetName val="레미콘수량집계표"/>
      <sheetName val="충격완화시설"/>
      <sheetName val="탄력봉"/>
      <sheetName val="철근자재집계"/>
      <sheetName val="낙석방책수량집계"/>
      <sheetName val="낙석방지책집계표"/>
      <sheetName val="낙석방기초수량"/>
      <sheetName val="낙석방지책설치현황 "/>
      <sheetName val="충격흡수탱크"/>
      <sheetName val="shn"/>
      <sheetName val="#REF"/>
      <sheetName val="ABUT수량-A1"/>
      <sheetName val="INPUT"/>
      <sheetName val="내역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설계내역서"/>
      <sheetName val="INPUT"/>
      <sheetName val="포장수량집계"/>
      <sheetName val="3BL공동구 수량"/>
      <sheetName val="상수도토공집계표"/>
      <sheetName val="설계조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자재집계"/>
      <sheetName val="배수공총집계표 (2)"/>
      <sheetName val="토공집계"/>
      <sheetName val="토공수량산출근거"/>
      <sheetName val="포장공집계표"/>
      <sheetName val="포장공산출근거"/>
      <sheetName val="연장조서"/>
      <sheetName val="Sheet7"/>
      <sheetName val="Sheet8"/>
      <sheetName val="Sheet9"/>
      <sheetName val="Sheet10"/>
      <sheetName val="ABUT수량-A1"/>
      <sheetName val="횡배수관"/>
      <sheetName val="COPING"/>
      <sheetName val="일위대가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보행로난간"/>
      <sheetName val="반사경"/>
      <sheetName val="임시차선도색"/>
      <sheetName val="공사중표지판"/>
      <sheetName val="드럼및점멸등"/>
      <sheetName val="공사중수량집계"/>
      <sheetName val="레미콘수량집계표"/>
      <sheetName val="충격완화시설"/>
      <sheetName val="탄력봉"/>
      <sheetName val="철근자재집계"/>
      <sheetName val="낙석방책수량집계"/>
      <sheetName val="낙석방지책집계표"/>
      <sheetName val="낙석방기초수량"/>
      <sheetName val="낙석방지책설치현황 "/>
      <sheetName val="충격흡수탱크"/>
      <sheetName val="shn"/>
      <sheetName val="가도공"/>
      <sheetName val="일위"/>
      <sheetName val="실행철강하도"/>
      <sheetName val="BID"/>
      <sheetName val="노임단가"/>
      <sheetName val="DATE"/>
      <sheetName val="중기사용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교각계산"/>
      <sheetName val="CAPBEAM 단면계산"/>
      <sheetName val="교좌면설계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교각1"/>
      <sheetName val="단면가정"/>
      <sheetName val="단면 (2)"/>
      <sheetName val="기둥(원형)"/>
      <sheetName val="설계조건"/>
      <sheetName val="안정계산"/>
      <sheetName val="단면검토"/>
      <sheetName val="버스운행안내"/>
      <sheetName val="예방접종계획"/>
      <sheetName val="근태계획서"/>
      <sheetName val="역T형"/>
      <sheetName val="ABUT수량-A1"/>
      <sheetName val="1.설계조건"/>
    </sheetNames>
    <sheetDataSet>
      <sheetData sheetId="0" refreshError="1">
        <row r="32">
          <cell r="E32">
            <v>11.4</v>
          </cell>
        </row>
        <row r="38">
          <cell r="M38">
            <v>0.222</v>
          </cell>
        </row>
        <row r="40">
          <cell r="M40">
            <v>5</v>
          </cell>
        </row>
        <row r="86">
          <cell r="K86">
            <v>162.30099999999999</v>
          </cell>
        </row>
        <row r="98">
          <cell r="K98">
            <v>42.49</v>
          </cell>
        </row>
        <row r="108">
          <cell r="G108">
            <v>32.67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겊표지"/>
      <sheetName val="토공집계"/>
      <sheetName val="콘크리트집계"/>
      <sheetName val="철근집계"/>
      <sheetName val="교각계산"/>
      <sheetName val="내역서"/>
      <sheetName val="암거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교각계산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공정표"/>
      <sheetName val="총괄표"/>
      <sheetName val="토목내역"/>
      <sheetName val="토목구분"/>
      <sheetName val="기계총괄표"/>
      <sheetName val="기계내역"/>
      <sheetName val="xxxxxx"/>
      <sheetName val="복토조서 (2)"/>
      <sheetName val="표토처리 (2)"/>
      <sheetName val="석력제거 (2)"/>
      <sheetName val="기본정지 (2)"/>
      <sheetName val="경제분석개요"/>
      <sheetName val="년차사업비"/>
      <sheetName val="보조금"/>
      <sheetName val="부대비"/>
      <sheetName val="공사비"/>
      <sheetName val="긴결과"/>
      <sheetName val="자재단가"/>
      <sheetName val="사업개요"/>
      <sheetName val="사업수지"/>
      <sheetName val="운반자료1"/>
      <sheetName val="토장복구"/>
      <sheetName val="부대공사"/>
      <sheetName val="급배수관"/>
      <sheetName val="로선면적총괄"/>
      <sheetName val="기본정지"/>
      <sheetName val="감보율"/>
      <sheetName val="노선토공"/>
      <sheetName val="노선면적"/>
      <sheetName val="특별지균"/>
      <sheetName val="구조물"/>
      <sheetName val="단가집계표"/>
      <sheetName val="정지집계"/>
      <sheetName val="단가산출"/>
      <sheetName val="운반단가산출"/>
      <sheetName val="논두렁"/>
      <sheetName val="복토조서"/>
      <sheetName val="석력제거"/>
      <sheetName val="표토처리"/>
      <sheetName val="표지서식"/>
      <sheetName val="운반도"/>
      <sheetName val="자재산출"/>
      <sheetName val="시험비"/>
      <sheetName val="수로관"/>
      <sheetName val="건설기계단가"/>
      <sheetName val="시간당사용료"/>
      <sheetName val="도쟈거리"/>
      <sheetName val="운반비"/>
      <sheetName val="노임단가"/>
      <sheetName val="조건적용2"/>
      <sheetName val="Y-WORK"/>
      <sheetName val="정부노임단가"/>
      <sheetName val="직공비"/>
      <sheetName val="#REF"/>
      <sheetName val="일위대가"/>
      <sheetName val="내역서"/>
      <sheetName val="연결임시"/>
      <sheetName val="000000"/>
      <sheetName val="BID9697"/>
      <sheetName val="배수장공사비명세서"/>
      <sheetName val="수문일1"/>
      <sheetName val="내역서 "/>
      <sheetName val="DATA"/>
      <sheetName val="교각계산"/>
      <sheetName val="을"/>
      <sheetName val="횡배수관"/>
      <sheetName val="기둥(원형)"/>
      <sheetName val="ABUT수량-A1"/>
    </sheetNames>
    <sheetDataSet>
      <sheetData sheetId="0"/>
      <sheetData sheetId="1"/>
      <sheetData sheetId="2" refreshError="1">
        <row r="24">
          <cell r="J24">
            <v>0.84982999999999997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총괄표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총괄표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@4030H1.65"/>
      <sheetName val="우각부보강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진주방향"/>
      <sheetName val="I.설계조건"/>
      <sheetName val="가도공"/>
      <sheetName val="1.설계기준"/>
      <sheetName val="DATE"/>
      <sheetName val="Y-WORK"/>
      <sheetName val="을"/>
      <sheetName val="투입대비"/>
      <sheetName val="input"/>
      <sheetName val="말뚝지지력산정"/>
      <sheetName val="8.PILE  (돌출)"/>
      <sheetName val="총괄표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D"/>
      <sheetName val="신안설계"/>
      <sheetName val="업체선정"/>
      <sheetName val="원가계산"/>
      <sheetName val="실행집계장"/>
      <sheetName val="투찰집계장"/>
      <sheetName val="투찰내역"/>
      <sheetName val="토목총괄내역서"/>
      <sheetName val="표지"/>
      <sheetName val="총괄집계"/>
      <sheetName val="하도사항"/>
      <sheetName val="실행별지"/>
      <sheetName val="하도잡비"/>
      <sheetName val="토공부대"/>
      <sheetName val="철콘부대"/>
      <sheetName val="연약부대"/>
      <sheetName val="철골부대"/>
      <sheetName val="철공견갑"/>
      <sheetName val="철골견적"/>
      <sheetName val="토공견갑"/>
      <sheetName val="토공견적"/>
      <sheetName val="철콘견갑"/>
      <sheetName val="철콘견적"/>
      <sheetName val="연약견갑"/>
      <sheetName val="연약견적"/>
      <sheetName val="부대샘플"/>
    </sheetNames>
    <sheetDataSet>
      <sheetData sheetId="0">
        <row r="1">
          <cell r="A1" t="str">
            <v>F_SEQ</v>
          </cell>
          <cell r="B1" t="str">
            <v>F_LVL</v>
          </cell>
          <cell r="C1" t="str">
            <v>F_DES</v>
          </cell>
          <cell r="D1" t="str">
            <v>F_SIZE</v>
          </cell>
          <cell r="E1" t="str">
            <v>F_QQTY</v>
          </cell>
          <cell r="F1" t="str">
            <v>F_TQTY</v>
          </cell>
          <cell r="G1" t="str">
            <v>F_QUNIT</v>
          </cell>
          <cell r="H1" t="str">
            <v>F_PRIC</v>
          </cell>
          <cell r="I1" t="str">
            <v>F_COST</v>
          </cell>
          <cell r="J1" t="str">
            <v>F_BIGO</v>
          </cell>
          <cell r="K1" t="str">
            <v>F_REMK</v>
          </cell>
          <cell r="L1" t="str">
            <v>F_CODE</v>
          </cell>
          <cell r="M1" t="str">
            <v>F_PART</v>
          </cell>
        </row>
        <row r="2">
          <cell r="A2">
            <v>100</v>
          </cell>
          <cell r="B2" t="str">
            <v>1</v>
          </cell>
          <cell r="C2" t="str">
            <v>김해국제공항 2단계 확장공사</v>
          </cell>
          <cell r="D2" t="str">
            <v>(임시여객터미널지역:토목,건축,기계)</v>
          </cell>
          <cell r="E2">
            <v>0</v>
          </cell>
          <cell r="I2">
            <v>0</v>
          </cell>
          <cell r="K2" t="str">
            <v>*</v>
          </cell>
          <cell r="L2" t="str">
            <v>A000001</v>
          </cell>
          <cell r="M2" t="str">
            <v>U</v>
          </cell>
        </row>
        <row r="3">
          <cell r="A3">
            <v>150</v>
          </cell>
          <cell r="B3" t="str">
            <v>2</v>
          </cell>
          <cell r="C3" t="str">
            <v>(1)토 목 공 사</v>
          </cell>
          <cell r="E3">
            <v>0</v>
          </cell>
          <cell r="I3">
            <v>0</v>
          </cell>
          <cell r="K3" t="str">
            <v>A0001      *</v>
          </cell>
          <cell r="L3" t="str">
            <v>A000001</v>
          </cell>
          <cell r="M3" t="str">
            <v>U</v>
          </cell>
        </row>
        <row r="4">
          <cell r="A4">
            <v>200</v>
          </cell>
          <cell r="B4" t="str">
            <v>3</v>
          </cell>
          <cell r="C4" t="str">
            <v>(가)토  공</v>
          </cell>
          <cell r="E4">
            <v>0</v>
          </cell>
          <cell r="I4">
            <v>0</v>
          </cell>
          <cell r="K4" t="str">
            <v>A001</v>
          </cell>
          <cell r="L4" t="str">
            <v>A0001</v>
          </cell>
          <cell r="M4" t="str">
            <v>U</v>
          </cell>
        </row>
        <row r="5">
          <cell r="A5">
            <v>250</v>
          </cell>
          <cell r="B5" t="str">
            <v>4</v>
          </cell>
          <cell r="C5" t="str">
            <v>1)토공사</v>
          </cell>
          <cell r="E5">
            <v>0</v>
          </cell>
          <cell r="I5">
            <v>0</v>
          </cell>
          <cell r="L5" t="str">
            <v>A001</v>
          </cell>
          <cell r="M5" t="str">
            <v>U</v>
          </cell>
        </row>
        <row r="6">
          <cell r="A6">
            <v>300</v>
          </cell>
          <cell r="B6" t="str">
            <v>5</v>
          </cell>
          <cell r="C6" t="str">
            <v>철근콘크리트깨기</v>
          </cell>
          <cell r="D6" t="str">
            <v>t=30㎝이상</v>
          </cell>
          <cell r="E6">
            <v>13316</v>
          </cell>
          <cell r="G6" t="str">
            <v>M3</v>
          </cell>
          <cell r="I6">
            <v>0</v>
          </cell>
          <cell r="K6" t="str">
            <v>HP00010</v>
          </cell>
          <cell r="L6" t="str">
            <v>A001</v>
          </cell>
          <cell r="M6" t="str">
            <v>U</v>
          </cell>
        </row>
        <row r="7">
          <cell r="A7">
            <v>350</v>
          </cell>
          <cell r="B7" t="str">
            <v>5</v>
          </cell>
          <cell r="C7" t="str">
            <v>무근콘크리트깨기</v>
          </cell>
          <cell r="D7" t="str">
            <v>t=30㎝이하</v>
          </cell>
          <cell r="E7">
            <v>955</v>
          </cell>
          <cell r="G7" t="str">
            <v>M3</v>
          </cell>
          <cell r="I7">
            <v>0</v>
          </cell>
          <cell r="K7" t="str">
            <v>HP00020</v>
          </cell>
          <cell r="L7" t="str">
            <v>A001</v>
          </cell>
          <cell r="M7" t="str">
            <v>U</v>
          </cell>
        </row>
        <row r="8">
          <cell r="A8">
            <v>400</v>
          </cell>
          <cell r="B8" t="str">
            <v>5</v>
          </cell>
          <cell r="C8" t="str">
            <v>기존포장깨기</v>
          </cell>
          <cell r="D8" t="str">
            <v>아스콘</v>
          </cell>
          <cell r="E8">
            <v>8137</v>
          </cell>
          <cell r="G8" t="str">
            <v>M3</v>
          </cell>
          <cell r="I8">
            <v>0</v>
          </cell>
          <cell r="K8" t="str">
            <v>HD00030</v>
          </cell>
          <cell r="L8" t="str">
            <v>A001</v>
          </cell>
          <cell r="M8" t="str">
            <v>U</v>
          </cell>
        </row>
        <row r="9">
          <cell r="A9">
            <v>450</v>
          </cell>
          <cell r="B9" t="str">
            <v>5</v>
          </cell>
          <cell r="C9" t="str">
            <v>포장 절단공</v>
          </cell>
          <cell r="D9" t="str">
            <v>시멘트 콘크리트포장</v>
          </cell>
          <cell r="E9">
            <v>78</v>
          </cell>
          <cell r="G9" t="str">
            <v>M</v>
          </cell>
          <cell r="I9">
            <v>0</v>
          </cell>
          <cell r="K9" t="str">
            <v>J02080010</v>
          </cell>
          <cell r="L9" t="str">
            <v>A001</v>
          </cell>
          <cell r="M9" t="str">
            <v>U</v>
          </cell>
        </row>
        <row r="10">
          <cell r="A10">
            <v>500</v>
          </cell>
          <cell r="B10" t="str">
            <v>5</v>
          </cell>
          <cell r="C10" t="str">
            <v>포장 절단공</v>
          </cell>
          <cell r="D10" t="str">
            <v>아스팔트콘크리트포장</v>
          </cell>
          <cell r="E10">
            <v>3103</v>
          </cell>
          <cell r="G10" t="str">
            <v>M</v>
          </cell>
          <cell r="I10">
            <v>0</v>
          </cell>
          <cell r="K10" t="str">
            <v>J02080020</v>
          </cell>
          <cell r="L10" t="str">
            <v>A001</v>
          </cell>
          <cell r="M10" t="str">
            <v>U</v>
          </cell>
        </row>
        <row r="11">
          <cell r="A11">
            <v>550</v>
          </cell>
          <cell r="B11" t="str">
            <v>5</v>
          </cell>
          <cell r="C11" t="str">
            <v>표토제거(T=15CM,답구간:절토부)</v>
          </cell>
          <cell r="D11" t="str">
            <v>도쟈 19TON</v>
          </cell>
          <cell r="E11">
            <v>463</v>
          </cell>
          <cell r="G11" t="str">
            <v>M2</v>
          </cell>
          <cell r="I11">
            <v>0</v>
          </cell>
          <cell r="K11" t="str">
            <v>HP00734</v>
          </cell>
          <cell r="L11" t="str">
            <v>A001</v>
          </cell>
          <cell r="M11" t="str">
            <v>U</v>
          </cell>
        </row>
        <row r="12">
          <cell r="A12">
            <v>600</v>
          </cell>
          <cell r="B12" t="str">
            <v>5</v>
          </cell>
          <cell r="C12" t="str">
            <v>표토제거(T=20CM,답구간:성토부)</v>
          </cell>
          <cell r="D12" t="str">
            <v>도쟈 19TON</v>
          </cell>
          <cell r="E12">
            <v>215949</v>
          </cell>
          <cell r="G12" t="str">
            <v>M2</v>
          </cell>
          <cell r="I12">
            <v>0</v>
          </cell>
          <cell r="K12" t="str">
            <v>HP00735</v>
          </cell>
          <cell r="L12" t="str">
            <v>A001</v>
          </cell>
          <cell r="M12" t="str">
            <v>U</v>
          </cell>
        </row>
        <row r="13">
          <cell r="A13">
            <v>650</v>
          </cell>
          <cell r="B13" t="str">
            <v>5</v>
          </cell>
          <cell r="C13" t="str">
            <v>표토제거(T=15CM,답외구간:절토부)</v>
          </cell>
          <cell r="D13" t="str">
            <v>도쟈 32TON</v>
          </cell>
          <cell r="E13">
            <v>58264</v>
          </cell>
          <cell r="G13" t="str">
            <v>M2</v>
          </cell>
          <cell r="I13">
            <v>0</v>
          </cell>
          <cell r="K13" t="str">
            <v>HP00736</v>
          </cell>
          <cell r="L13" t="str">
            <v>A001</v>
          </cell>
          <cell r="M13" t="str">
            <v>U</v>
          </cell>
        </row>
        <row r="14">
          <cell r="A14">
            <v>700</v>
          </cell>
          <cell r="B14" t="str">
            <v>5</v>
          </cell>
          <cell r="C14" t="str">
            <v>표토제거(T=20CM,답외구간:성토부)</v>
          </cell>
          <cell r="D14" t="str">
            <v>도쟈 32TON</v>
          </cell>
          <cell r="E14">
            <v>3801</v>
          </cell>
          <cell r="G14" t="str">
            <v>M2</v>
          </cell>
          <cell r="I14">
            <v>0</v>
          </cell>
          <cell r="K14" t="str">
            <v>HP00737</v>
          </cell>
          <cell r="L14" t="str">
            <v>A001</v>
          </cell>
          <cell r="M14" t="str">
            <v>U</v>
          </cell>
        </row>
        <row r="15">
          <cell r="A15">
            <v>750</v>
          </cell>
          <cell r="B15" t="str">
            <v>5</v>
          </cell>
          <cell r="C15" t="str">
            <v>터파기(토사)</v>
          </cell>
          <cell r="D15" t="str">
            <v>백호우1.0M3</v>
          </cell>
          <cell r="E15">
            <v>5316</v>
          </cell>
          <cell r="G15" t="str">
            <v>M3</v>
          </cell>
          <cell r="I15">
            <v>0</v>
          </cell>
          <cell r="K15" t="str">
            <v>HP00390</v>
          </cell>
          <cell r="L15" t="str">
            <v>A001</v>
          </cell>
          <cell r="M15" t="str">
            <v>U</v>
          </cell>
        </row>
        <row r="16">
          <cell r="A16">
            <v>800</v>
          </cell>
          <cell r="B16" t="str">
            <v>5</v>
          </cell>
          <cell r="C16" t="str">
            <v>토사깍기</v>
          </cell>
          <cell r="D16" t="str">
            <v>도쟈 32TON</v>
          </cell>
          <cell r="E16">
            <v>555377</v>
          </cell>
          <cell r="G16" t="str">
            <v>M3</v>
          </cell>
          <cell r="I16">
            <v>0</v>
          </cell>
          <cell r="K16" t="str">
            <v>HP10050</v>
          </cell>
          <cell r="L16" t="str">
            <v>A001</v>
          </cell>
          <cell r="M16" t="str">
            <v>U</v>
          </cell>
        </row>
        <row r="17">
          <cell r="A17">
            <v>850</v>
          </cell>
          <cell r="B17" t="str">
            <v>5</v>
          </cell>
          <cell r="C17" t="str">
            <v>토사운반</v>
          </cell>
          <cell r="D17" t="str">
            <v>무대</v>
          </cell>
          <cell r="E17">
            <v>131873</v>
          </cell>
          <cell r="G17" t="str">
            <v>M3</v>
          </cell>
          <cell r="I17">
            <v>0</v>
          </cell>
          <cell r="L17" t="str">
            <v>A001</v>
          </cell>
          <cell r="M17" t="str">
            <v>U</v>
          </cell>
        </row>
        <row r="18">
          <cell r="A18">
            <v>900</v>
          </cell>
          <cell r="B18" t="str">
            <v>5</v>
          </cell>
          <cell r="C18" t="str">
            <v>토사 운반</v>
          </cell>
          <cell r="D18" t="str">
            <v>(L=60M,도쟈 32TON)</v>
          </cell>
          <cell r="E18">
            <v>172370</v>
          </cell>
          <cell r="G18" t="str">
            <v>M3</v>
          </cell>
          <cell r="I18">
            <v>0</v>
          </cell>
          <cell r="K18" t="str">
            <v>HP10100</v>
          </cell>
          <cell r="L18" t="str">
            <v>A001</v>
          </cell>
          <cell r="M18" t="str">
            <v>U</v>
          </cell>
        </row>
        <row r="19">
          <cell r="A19">
            <v>950</v>
          </cell>
          <cell r="B19" t="str">
            <v>5</v>
          </cell>
          <cell r="C19" t="str">
            <v>토사 운반</v>
          </cell>
          <cell r="D19" t="str">
            <v>(L=319M,덤프15TON)</v>
          </cell>
          <cell r="E19">
            <v>182712</v>
          </cell>
          <cell r="G19" t="str">
            <v>M3</v>
          </cell>
          <cell r="I19">
            <v>0</v>
          </cell>
          <cell r="K19" t="str">
            <v>HP10110</v>
          </cell>
          <cell r="L19" t="str">
            <v>A001</v>
          </cell>
          <cell r="M19" t="str">
            <v>U</v>
          </cell>
        </row>
        <row r="20">
          <cell r="A20">
            <v>1000</v>
          </cell>
          <cell r="B20" t="str">
            <v>5</v>
          </cell>
          <cell r="C20" t="str">
            <v>순성토</v>
          </cell>
          <cell r="D20" t="str">
            <v>(L=33.3KM,덤프15TON)</v>
          </cell>
          <cell r="E20">
            <v>472171</v>
          </cell>
          <cell r="G20" t="str">
            <v>M3</v>
          </cell>
          <cell r="I20">
            <v>0</v>
          </cell>
          <cell r="K20" t="str">
            <v>HP10115</v>
          </cell>
          <cell r="L20" t="str">
            <v>A001</v>
          </cell>
          <cell r="M20" t="str">
            <v>U</v>
          </cell>
        </row>
        <row r="21">
          <cell r="A21">
            <v>1050</v>
          </cell>
          <cell r="B21" t="str">
            <v>5</v>
          </cell>
          <cell r="C21" t="str">
            <v>사토</v>
          </cell>
          <cell r="D21" t="str">
            <v>(L=17.5KM,덤프15TON)</v>
          </cell>
          <cell r="E21">
            <v>98230</v>
          </cell>
          <cell r="G21" t="str">
            <v>M3</v>
          </cell>
          <cell r="I21">
            <v>0</v>
          </cell>
          <cell r="K21" t="str">
            <v>HP10120</v>
          </cell>
          <cell r="L21" t="str">
            <v>A001</v>
          </cell>
          <cell r="M21" t="str">
            <v>U</v>
          </cell>
        </row>
        <row r="22">
          <cell r="A22">
            <v>1100</v>
          </cell>
          <cell r="B22" t="str">
            <v>5</v>
          </cell>
          <cell r="C22" t="str">
            <v>노체 (90%다짐)</v>
          </cell>
          <cell r="D22" t="str">
            <v>토사</v>
          </cell>
          <cell r="E22">
            <v>111819</v>
          </cell>
          <cell r="G22" t="str">
            <v>M3</v>
          </cell>
          <cell r="I22">
            <v>0</v>
          </cell>
          <cell r="K22" t="str">
            <v>HP10200</v>
          </cell>
          <cell r="L22" t="str">
            <v>A001</v>
          </cell>
          <cell r="M22" t="str">
            <v>U</v>
          </cell>
        </row>
        <row r="23">
          <cell r="A23">
            <v>1150</v>
          </cell>
          <cell r="B23" t="str">
            <v>5</v>
          </cell>
          <cell r="C23" t="str">
            <v>상부노상(100%)</v>
          </cell>
          <cell r="D23" t="str">
            <v>15CM</v>
          </cell>
          <cell r="E23">
            <v>18572</v>
          </cell>
          <cell r="G23" t="str">
            <v>M3</v>
          </cell>
          <cell r="I23">
            <v>0</v>
          </cell>
          <cell r="K23" t="str">
            <v>HP10180</v>
          </cell>
          <cell r="L23" t="str">
            <v>A001</v>
          </cell>
          <cell r="M23" t="str">
            <v>U</v>
          </cell>
        </row>
        <row r="24">
          <cell r="A24">
            <v>1200</v>
          </cell>
          <cell r="B24" t="str">
            <v>5</v>
          </cell>
          <cell r="C24" t="str">
            <v>하부노상(95%)</v>
          </cell>
          <cell r="D24" t="str">
            <v>20CM</v>
          </cell>
          <cell r="E24">
            <v>168561</v>
          </cell>
          <cell r="G24" t="str">
            <v>M3</v>
          </cell>
          <cell r="I24">
            <v>0</v>
          </cell>
          <cell r="K24" t="str">
            <v>HP10190</v>
          </cell>
          <cell r="L24" t="str">
            <v>A001</v>
          </cell>
          <cell r="M24" t="str">
            <v>U</v>
          </cell>
        </row>
        <row r="25">
          <cell r="A25">
            <v>1250</v>
          </cell>
          <cell r="B25" t="str">
            <v>5</v>
          </cell>
          <cell r="C25" t="str">
            <v>비다짐</v>
          </cell>
          <cell r="D25" t="str">
            <v>도쟈32TON</v>
          </cell>
          <cell r="E25">
            <v>636098</v>
          </cell>
          <cell r="G25" t="str">
            <v>M3</v>
          </cell>
          <cell r="I25">
            <v>0</v>
          </cell>
          <cell r="K25" t="str">
            <v>HP10170</v>
          </cell>
          <cell r="L25" t="str">
            <v>A001</v>
          </cell>
          <cell r="M25" t="str">
            <v>U</v>
          </cell>
        </row>
        <row r="26">
          <cell r="A26">
            <v>1300</v>
          </cell>
          <cell r="B26" t="str">
            <v>5</v>
          </cell>
          <cell r="C26" t="str">
            <v>줄떼</v>
          </cell>
          <cell r="D26" t="str">
            <v>(들떼)</v>
          </cell>
          <cell r="E26">
            <v>135</v>
          </cell>
          <cell r="G26" t="str">
            <v>M2</v>
          </cell>
          <cell r="I26">
            <v>0</v>
          </cell>
          <cell r="K26" t="str">
            <v>IL01520</v>
          </cell>
          <cell r="L26" t="str">
            <v>A001</v>
          </cell>
          <cell r="M26" t="str">
            <v>U</v>
          </cell>
        </row>
        <row r="27">
          <cell r="A27">
            <v>1350</v>
          </cell>
          <cell r="B27" t="str">
            <v>5</v>
          </cell>
          <cell r="C27" t="str">
            <v>씨앗뿜어붙이기</v>
          </cell>
          <cell r="E27">
            <v>66948</v>
          </cell>
          <cell r="G27" t="str">
            <v>M2</v>
          </cell>
          <cell r="I27">
            <v>0</v>
          </cell>
          <cell r="K27" t="str">
            <v>IL11010</v>
          </cell>
          <cell r="L27" t="str">
            <v>A001</v>
          </cell>
          <cell r="M27" t="str">
            <v>U</v>
          </cell>
        </row>
        <row r="28">
          <cell r="A28">
            <v>1400</v>
          </cell>
          <cell r="B28" t="str">
            <v>5</v>
          </cell>
          <cell r="C28" t="str">
            <v>토공 규준틀</v>
          </cell>
          <cell r="D28" t="str">
            <v>수평</v>
          </cell>
          <cell r="E28">
            <v>118</v>
          </cell>
          <cell r="G28" t="str">
            <v>개소</v>
          </cell>
          <cell r="I28">
            <v>0</v>
          </cell>
          <cell r="K28" t="str">
            <v>J00130010</v>
          </cell>
          <cell r="L28" t="str">
            <v>A001</v>
          </cell>
          <cell r="M28" t="str">
            <v>U</v>
          </cell>
        </row>
        <row r="29">
          <cell r="A29">
            <v>1450</v>
          </cell>
          <cell r="B29" t="str">
            <v>5</v>
          </cell>
          <cell r="C29" t="str">
            <v>침하토</v>
          </cell>
          <cell r="D29" t="str">
            <v>토공유용처리</v>
          </cell>
          <cell r="E29">
            <v>214640</v>
          </cell>
          <cell r="G29" t="str">
            <v>M3</v>
          </cell>
          <cell r="I29">
            <v>0</v>
          </cell>
          <cell r="L29" t="str">
            <v>A001</v>
          </cell>
          <cell r="M29" t="str">
            <v>U</v>
          </cell>
        </row>
        <row r="30">
          <cell r="A30">
            <v>1500</v>
          </cell>
          <cell r="B30" t="str">
            <v>5</v>
          </cell>
          <cell r="C30" t="str">
            <v>SAND MAT</v>
          </cell>
          <cell r="E30">
            <v>187637</v>
          </cell>
          <cell r="G30" t="str">
            <v>M3</v>
          </cell>
          <cell r="I30">
            <v>0</v>
          </cell>
          <cell r="K30" t="str">
            <v>HP01110</v>
          </cell>
          <cell r="L30" t="str">
            <v>A001</v>
          </cell>
          <cell r="M30" t="str">
            <v>U</v>
          </cell>
        </row>
        <row r="31">
          <cell r="A31">
            <v>1550</v>
          </cell>
          <cell r="B31" t="str">
            <v>5</v>
          </cell>
          <cell r="C31" t="str">
            <v>과재성토</v>
          </cell>
          <cell r="D31" t="str">
            <v>토공유용처리</v>
          </cell>
          <cell r="E31">
            <v>472685</v>
          </cell>
          <cell r="G31" t="str">
            <v>M3</v>
          </cell>
          <cell r="I31">
            <v>0</v>
          </cell>
          <cell r="L31" t="str">
            <v>A001</v>
          </cell>
          <cell r="M31" t="str">
            <v>U</v>
          </cell>
        </row>
        <row r="32">
          <cell r="A32">
            <v>1600</v>
          </cell>
          <cell r="B32" t="str">
            <v>5</v>
          </cell>
          <cell r="C32" t="str">
            <v>과재성토제거</v>
          </cell>
          <cell r="D32" t="str">
            <v>토공유용처리</v>
          </cell>
          <cell r="E32">
            <v>472685</v>
          </cell>
          <cell r="G32" t="str">
            <v>M3</v>
          </cell>
          <cell r="I32">
            <v>0</v>
          </cell>
          <cell r="L32" t="str">
            <v>A001</v>
          </cell>
          <cell r="M32" t="str">
            <v>U</v>
          </cell>
        </row>
        <row r="33">
          <cell r="A33">
            <v>1650</v>
          </cell>
          <cell r="B33" t="str">
            <v>5</v>
          </cell>
          <cell r="C33" t="str">
            <v>PE매트부설</v>
          </cell>
          <cell r="D33" t="str">
            <v>10TON</v>
          </cell>
          <cell r="E33">
            <v>239195</v>
          </cell>
          <cell r="G33" t="str">
            <v>M2</v>
          </cell>
          <cell r="I33">
            <v>0</v>
          </cell>
          <cell r="K33" t="str">
            <v>WQ30080</v>
          </cell>
          <cell r="L33" t="str">
            <v>A001</v>
          </cell>
          <cell r="M33" t="str">
            <v>U</v>
          </cell>
        </row>
        <row r="34">
          <cell r="A34">
            <v>1700</v>
          </cell>
          <cell r="B34" t="str">
            <v>5</v>
          </cell>
          <cell r="C34" t="str">
            <v>드레인보드타입(P.B.D)</v>
          </cell>
          <cell r="D34" t="str">
            <v>진동식 항타</v>
          </cell>
          <cell r="E34">
            <v>2838891</v>
          </cell>
          <cell r="G34" t="str">
            <v>M</v>
          </cell>
          <cell r="I34">
            <v>0</v>
          </cell>
          <cell r="K34" t="str">
            <v>HP01120</v>
          </cell>
          <cell r="L34" t="str">
            <v>A001</v>
          </cell>
          <cell r="M34" t="str">
            <v>U</v>
          </cell>
        </row>
        <row r="35">
          <cell r="A35">
            <v>1750</v>
          </cell>
          <cell r="B35" t="str">
            <v>5</v>
          </cell>
          <cell r="C35" t="str">
            <v>침하판(1"PIPE 부착)</v>
          </cell>
          <cell r="E35">
            <v>28</v>
          </cell>
          <cell r="G35" t="str">
            <v>EA</v>
          </cell>
          <cell r="I35">
            <v>0</v>
          </cell>
          <cell r="K35" t="str">
            <v>HP01130</v>
          </cell>
          <cell r="L35" t="str">
            <v>A001</v>
          </cell>
          <cell r="M35" t="str">
            <v>U</v>
          </cell>
        </row>
        <row r="36">
          <cell r="A36">
            <v>1800</v>
          </cell>
          <cell r="B36" t="str">
            <v>5</v>
          </cell>
          <cell r="C36" t="str">
            <v>침하봉 보호관(R=150M/M)</v>
          </cell>
          <cell r="E36">
            <v>140</v>
          </cell>
          <cell r="G36" t="str">
            <v>M</v>
          </cell>
          <cell r="I36">
            <v>0</v>
          </cell>
          <cell r="K36" t="str">
            <v>HP01140</v>
          </cell>
          <cell r="L36" t="str">
            <v>A001</v>
          </cell>
          <cell r="M36" t="str">
            <v>U</v>
          </cell>
        </row>
        <row r="37">
          <cell r="A37">
            <v>1850</v>
          </cell>
          <cell r="B37" t="str">
            <v>5</v>
          </cell>
          <cell r="C37" t="str">
            <v>설치비(경사계)</v>
          </cell>
          <cell r="E37">
            <v>6</v>
          </cell>
          <cell r="G37" t="str">
            <v>개</v>
          </cell>
          <cell r="I37">
            <v>0</v>
          </cell>
          <cell r="K37" t="str">
            <v>WQ30100</v>
          </cell>
          <cell r="L37" t="str">
            <v>A001</v>
          </cell>
          <cell r="M37" t="str">
            <v>U</v>
          </cell>
        </row>
        <row r="38">
          <cell r="A38">
            <v>1900</v>
          </cell>
          <cell r="B38" t="str">
            <v>5</v>
          </cell>
          <cell r="C38" t="str">
            <v>설치비(간극수압계)</v>
          </cell>
          <cell r="E38">
            <v>44</v>
          </cell>
          <cell r="G38" t="str">
            <v>개</v>
          </cell>
          <cell r="I38">
            <v>0</v>
          </cell>
          <cell r="K38" t="str">
            <v>WQ30150</v>
          </cell>
          <cell r="L38" t="str">
            <v>A001</v>
          </cell>
          <cell r="M38" t="str">
            <v>U</v>
          </cell>
        </row>
        <row r="39">
          <cell r="A39">
            <v>1950</v>
          </cell>
          <cell r="B39" t="str">
            <v>5</v>
          </cell>
          <cell r="C39" t="str">
            <v>설치비(층별침하계)</v>
          </cell>
          <cell r="E39">
            <v>20</v>
          </cell>
          <cell r="G39" t="str">
            <v>개</v>
          </cell>
          <cell r="I39">
            <v>0</v>
          </cell>
          <cell r="K39" t="str">
            <v>WQ30090</v>
          </cell>
          <cell r="L39" t="str">
            <v>A001</v>
          </cell>
          <cell r="M39" t="str">
            <v>U</v>
          </cell>
        </row>
        <row r="40">
          <cell r="A40">
            <v>2000</v>
          </cell>
          <cell r="B40" t="str">
            <v>5</v>
          </cell>
          <cell r="C40" t="str">
            <v>설치비(수위계)</v>
          </cell>
          <cell r="E40">
            <v>12</v>
          </cell>
          <cell r="G40" t="str">
            <v>개</v>
          </cell>
          <cell r="I40">
            <v>0</v>
          </cell>
          <cell r="K40" t="str">
            <v>WQ30101</v>
          </cell>
          <cell r="L40" t="str">
            <v>A001</v>
          </cell>
          <cell r="M40" t="str">
            <v>U</v>
          </cell>
        </row>
        <row r="41">
          <cell r="A41">
            <v>2050</v>
          </cell>
          <cell r="B41" t="str">
            <v>5</v>
          </cell>
          <cell r="C41" t="str">
            <v>유공관설치</v>
          </cell>
          <cell r="D41" t="str">
            <v>D150MM</v>
          </cell>
          <cell r="E41">
            <v>12467</v>
          </cell>
          <cell r="G41" t="str">
            <v>M</v>
          </cell>
          <cell r="I41">
            <v>0</v>
          </cell>
          <cell r="K41" t="str">
            <v>IL37100</v>
          </cell>
          <cell r="L41" t="str">
            <v>A001</v>
          </cell>
          <cell r="M41" t="str">
            <v>U</v>
          </cell>
        </row>
        <row r="42">
          <cell r="A42">
            <v>2100</v>
          </cell>
          <cell r="B42" t="str">
            <v>5</v>
          </cell>
          <cell r="C42" t="str">
            <v>집수정 설치</v>
          </cell>
          <cell r="D42" t="str">
            <v>D600MM</v>
          </cell>
          <cell r="E42">
            <v>162</v>
          </cell>
          <cell r="G42" t="str">
            <v>M</v>
          </cell>
          <cell r="I42">
            <v>0</v>
          </cell>
          <cell r="K42" t="str">
            <v>IL37080</v>
          </cell>
          <cell r="L42" t="str">
            <v>A001</v>
          </cell>
          <cell r="M42" t="str">
            <v>U</v>
          </cell>
        </row>
        <row r="43">
          <cell r="A43">
            <v>2150</v>
          </cell>
          <cell r="B43" t="str">
            <v>5</v>
          </cell>
          <cell r="C43" t="str">
            <v>배출호스</v>
          </cell>
          <cell r="D43" t="str">
            <v>50㎜</v>
          </cell>
          <cell r="E43">
            <v>1620</v>
          </cell>
          <cell r="G43" t="str">
            <v>M</v>
          </cell>
          <cell r="I43">
            <v>0</v>
          </cell>
          <cell r="K43" t="str">
            <v>M5369817</v>
          </cell>
          <cell r="L43" t="str">
            <v>A001</v>
          </cell>
          <cell r="M43" t="str">
            <v>U</v>
          </cell>
        </row>
        <row r="44">
          <cell r="A44">
            <v>2200</v>
          </cell>
          <cell r="B44" t="str">
            <v>5</v>
          </cell>
          <cell r="C44" t="str">
            <v>수중펌프</v>
          </cell>
          <cell r="E44">
            <v>27</v>
          </cell>
          <cell r="G44" t="str">
            <v>개소</v>
          </cell>
          <cell r="I44">
            <v>0</v>
          </cell>
          <cell r="K44" t="str">
            <v>IL37090</v>
          </cell>
          <cell r="L44" t="str">
            <v>A001</v>
          </cell>
          <cell r="M44" t="str">
            <v>U</v>
          </cell>
        </row>
        <row r="45">
          <cell r="A45">
            <v>2250</v>
          </cell>
          <cell r="B45" t="str">
            <v>5</v>
          </cell>
          <cell r="C45" t="str">
            <v>지표면침하판 계측및분석</v>
          </cell>
          <cell r="E45">
            <v>1680</v>
          </cell>
          <cell r="G45" t="str">
            <v>회</v>
          </cell>
          <cell r="I45">
            <v>0</v>
          </cell>
          <cell r="K45" t="str">
            <v>WQ30200</v>
          </cell>
          <cell r="L45" t="str">
            <v>A001</v>
          </cell>
          <cell r="M45" t="str">
            <v>U</v>
          </cell>
        </row>
        <row r="46">
          <cell r="A46">
            <v>2300</v>
          </cell>
          <cell r="B46" t="str">
            <v>5</v>
          </cell>
          <cell r="C46" t="str">
            <v>경사계 계측및분석</v>
          </cell>
          <cell r="E46">
            <v>180</v>
          </cell>
          <cell r="G46" t="str">
            <v>회</v>
          </cell>
          <cell r="I46">
            <v>0</v>
          </cell>
          <cell r="K46" t="str">
            <v>WQ30180</v>
          </cell>
          <cell r="L46" t="str">
            <v>A001</v>
          </cell>
          <cell r="M46" t="str">
            <v>U</v>
          </cell>
        </row>
        <row r="47">
          <cell r="A47">
            <v>2350</v>
          </cell>
          <cell r="B47" t="str">
            <v>5</v>
          </cell>
          <cell r="C47" t="str">
            <v>간극수압계 계측및분석</v>
          </cell>
          <cell r="E47">
            <v>2640</v>
          </cell>
          <cell r="G47" t="str">
            <v>회</v>
          </cell>
          <cell r="I47">
            <v>0</v>
          </cell>
          <cell r="K47" t="str">
            <v>WQ30160</v>
          </cell>
          <cell r="L47" t="str">
            <v>A001</v>
          </cell>
          <cell r="M47" t="str">
            <v>U</v>
          </cell>
        </row>
        <row r="48">
          <cell r="A48">
            <v>2400</v>
          </cell>
          <cell r="B48" t="str">
            <v>5</v>
          </cell>
          <cell r="C48" t="str">
            <v>층별침하계 계측및분석</v>
          </cell>
          <cell r="E48">
            <v>1200</v>
          </cell>
          <cell r="G48" t="str">
            <v>회</v>
          </cell>
          <cell r="I48">
            <v>0</v>
          </cell>
          <cell r="K48" t="str">
            <v>WQ30170</v>
          </cell>
          <cell r="L48" t="str">
            <v>A001</v>
          </cell>
          <cell r="M48" t="str">
            <v>U</v>
          </cell>
        </row>
        <row r="49">
          <cell r="A49">
            <v>2450</v>
          </cell>
          <cell r="B49" t="str">
            <v>5</v>
          </cell>
          <cell r="C49" t="str">
            <v>지하수위계 계측및분석</v>
          </cell>
          <cell r="E49">
            <v>720</v>
          </cell>
          <cell r="G49" t="str">
            <v>회</v>
          </cell>
          <cell r="I49">
            <v>0</v>
          </cell>
          <cell r="K49" t="str">
            <v>WQ30190</v>
          </cell>
          <cell r="L49" t="str">
            <v>A001</v>
          </cell>
          <cell r="M49" t="str">
            <v>U</v>
          </cell>
        </row>
        <row r="50">
          <cell r="A50">
            <v>2500</v>
          </cell>
          <cell r="B50" t="str">
            <v>5</v>
          </cell>
          <cell r="C50" t="str">
            <v>개량전 확인조사</v>
          </cell>
          <cell r="E50">
            <v>1</v>
          </cell>
          <cell r="G50" t="str">
            <v>식</v>
          </cell>
          <cell r="I50">
            <v>0</v>
          </cell>
          <cell r="K50" t="str">
            <v>HP50260</v>
          </cell>
          <cell r="L50" t="str">
            <v>A001</v>
          </cell>
          <cell r="M50" t="str">
            <v>U</v>
          </cell>
        </row>
        <row r="51">
          <cell r="A51">
            <v>2550</v>
          </cell>
          <cell r="B51" t="str">
            <v>5</v>
          </cell>
          <cell r="C51" t="str">
            <v>개량후 확인조사</v>
          </cell>
          <cell r="E51">
            <v>1</v>
          </cell>
          <cell r="G51" t="str">
            <v>식</v>
          </cell>
          <cell r="I51">
            <v>0</v>
          </cell>
          <cell r="K51" t="str">
            <v>HP50270</v>
          </cell>
          <cell r="L51" t="str">
            <v>A001</v>
          </cell>
          <cell r="M51" t="str">
            <v>U</v>
          </cell>
        </row>
        <row r="52">
          <cell r="A52">
            <v>2600</v>
          </cell>
          <cell r="B52" t="str">
            <v>5</v>
          </cell>
          <cell r="C52" t="str">
            <v>시추조사</v>
          </cell>
          <cell r="E52">
            <v>1</v>
          </cell>
          <cell r="G52" t="str">
            <v>식</v>
          </cell>
          <cell r="I52">
            <v>0</v>
          </cell>
          <cell r="K52" t="str">
            <v>HP50280</v>
          </cell>
          <cell r="L52" t="str">
            <v>A001</v>
          </cell>
          <cell r="M52" t="str">
            <v>U</v>
          </cell>
        </row>
        <row r="53">
          <cell r="A53">
            <v>2650</v>
          </cell>
          <cell r="B53" t="str">
            <v>5</v>
          </cell>
          <cell r="C53" t="str">
            <v>PIEZOCONE 관입시험</v>
          </cell>
          <cell r="E53">
            <v>40</v>
          </cell>
          <cell r="G53" t="str">
            <v>회</v>
          </cell>
          <cell r="I53">
            <v>0</v>
          </cell>
          <cell r="K53" t="str">
            <v>J02620240</v>
          </cell>
          <cell r="L53" t="str">
            <v>A001</v>
          </cell>
          <cell r="M53" t="str">
            <v>U</v>
          </cell>
        </row>
        <row r="54">
          <cell r="A54">
            <v>2700</v>
          </cell>
          <cell r="B54" t="str">
            <v>4</v>
          </cell>
          <cell r="C54" t="str">
            <v>2)골재대</v>
          </cell>
          <cell r="D54" t="str">
            <v>별산</v>
          </cell>
          <cell r="E54">
            <v>0</v>
          </cell>
          <cell r="I54">
            <v>0</v>
          </cell>
          <cell r="L54" t="str">
            <v>A001</v>
          </cell>
          <cell r="M54" t="str">
            <v>U</v>
          </cell>
        </row>
        <row r="55">
          <cell r="A55">
            <v>2750</v>
          </cell>
          <cell r="B55" t="str">
            <v>5</v>
          </cell>
          <cell r="C55" t="str">
            <v>모래</v>
          </cell>
          <cell r="D55" t="str">
            <v>세척사</v>
          </cell>
          <cell r="E55">
            <v>187637</v>
          </cell>
          <cell r="G55" t="str">
            <v>M3</v>
          </cell>
          <cell r="I55">
            <v>0</v>
          </cell>
          <cell r="K55" t="str">
            <v>IM00170</v>
          </cell>
          <cell r="L55" t="str">
            <v>A001</v>
          </cell>
          <cell r="M55" t="str">
            <v>U</v>
          </cell>
        </row>
        <row r="56">
          <cell r="A56">
            <v>2800</v>
          </cell>
          <cell r="B56" t="str">
            <v>3</v>
          </cell>
          <cell r="C56" t="str">
            <v>(나)배수공</v>
          </cell>
          <cell r="E56">
            <v>0</v>
          </cell>
          <cell r="I56">
            <v>0</v>
          </cell>
          <cell r="K56" t="str">
            <v>A002</v>
          </cell>
          <cell r="L56" t="str">
            <v>A0001</v>
          </cell>
          <cell r="M56" t="str">
            <v>U</v>
          </cell>
        </row>
        <row r="57">
          <cell r="A57">
            <v>2850</v>
          </cell>
          <cell r="B57" t="str">
            <v>4</v>
          </cell>
          <cell r="C57" t="str">
            <v>1)측구</v>
          </cell>
          <cell r="E57">
            <v>0</v>
          </cell>
          <cell r="I57">
            <v>0</v>
          </cell>
          <cell r="L57" t="str">
            <v>A002</v>
          </cell>
          <cell r="M57" t="str">
            <v>U</v>
          </cell>
        </row>
        <row r="58">
          <cell r="A58">
            <v>2900</v>
          </cell>
          <cell r="B58" t="str">
            <v>5</v>
          </cell>
          <cell r="C58" t="str">
            <v>제형배수로</v>
          </cell>
          <cell r="E58">
            <v>727</v>
          </cell>
          <cell r="G58" t="str">
            <v>M</v>
          </cell>
          <cell r="I58">
            <v>0</v>
          </cell>
          <cell r="K58" t="str">
            <v>IL30150</v>
          </cell>
          <cell r="L58" t="str">
            <v>A002</v>
          </cell>
          <cell r="M58" t="str">
            <v>U</v>
          </cell>
        </row>
        <row r="59">
          <cell r="A59">
            <v>2950</v>
          </cell>
          <cell r="B59" t="str">
            <v>5</v>
          </cell>
          <cell r="C59" t="str">
            <v>U형측구(0.35W X 0.35∼0.7H)</v>
          </cell>
          <cell r="D59" t="str">
            <v>TYPE-1</v>
          </cell>
          <cell r="E59">
            <v>164</v>
          </cell>
          <cell r="G59" t="str">
            <v>M</v>
          </cell>
          <cell r="I59">
            <v>0</v>
          </cell>
          <cell r="K59" t="str">
            <v>IL30410</v>
          </cell>
          <cell r="L59" t="str">
            <v>A002</v>
          </cell>
          <cell r="M59" t="str">
            <v>U</v>
          </cell>
        </row>
        <row r="60">
          <cell r="A60">
            <v>3000</v>
          </cell>
          <cell r="B60" t="str">
            <v>5</v>
          </cell>
          <cell r="C60" t="str">
            <v>U형측구(0.5W X 0.5H)</v>
          </cell>
          <cell r="D60" t="str">
            <v>TYPE-2</v>
          </cell>
          <cell r="E60">
            <v>588</v>
          </cell>
          <cell r="G60" t="str">
            <v>M</v>
          </cell>
          <cell r="I60">
            <v>0</v>
          </cell>
          <cell r="K60" t="str">
            <v>IL30420</v>
          </cell>
          <cell r="L60" t="str">
            <v>A002</v>
          </cell>
          <cell r="M60" t="str">
            <v>U</v>
          </cell>
        </row>
        <row r="61">
          <cell r="A61">
            <v>3050</v>
          </cell>
          <cell r="B61" t="str">
            <v>5</v>
          </cell>
          <cell r="C61" t="str">
            <v>U형측구(0.5W X 0.7H)</v>
          </cell>
          <cell r="D61" t="str">
            <v>TYPE-3</v>
          </cell>
          <cell r="E61">
            <v>50</v>
          </cell>
          <cell r="G61" t="str">
            <v>M</v>
          </cell>
          <cell r="I61">
            <v>0</v>
          </cell>
          <cell r="K61" t="str">
            <v>IL30430</v>
          </cell>
          <cell r="L61" t="str">
            <v>A002</v>
          </cell>
          <cell r="M61" t="str">
            <v>U</v>
          </cell>
        </row>
        <row r="62">
          <cell r="A62">
            <v>3100</v>
          </cell>
          <cell r="B62" t="str">
            <v>5</v>
          </cell>
          <cell r="C62" t="str">
            <v>U형측구(0.7W X 0.7H)</v>
          </cell>
          <cell r="D62" t="str">
            <v>TYPE-4</v>
          </cell>
          <cell r="E62">
            <v>50</v>
          </cell>
          <cell r="G62" t="str">
            <v>M</v>
          </cell>
          <cell r="I62">
            <v>0</v>
          </cell>
          <cell r="K62" t="str">
            <v>IL30440</v>
          </cell>
          <cell r="L62" t="str">
            <v>A002</v>
          </cell>
          <cell r="M62" t="str">
            <v>U</v>
          </cell>
        </row>
        <row r="63">
          <cell r="A63">
            <v>3150</v>
          </cell>
          <cell r="B63" t="str">
            <v>5</v>
          </cell>
          <cell r="C63" t="str">
            <v>U형측구(0.7W X 0.8H)</v>
          </cell>
          <cell r="D63" t="str">
            <v>TYPE-5</v>
          </cell>
          <cell r="E63">
            <v>50</v>
          </cell>
          <cell r="G63" t="str">
            <v>M</v>
          </cell>
          <cell r="I63">
            <v>0</v>
          </cell>
          <cell r="K63" t="str">
            <v>IL30442</v>
          </cell>
          <cell r="L63" t="str">
            <v>A002</v>
          </cell>
          <cell r="M63" t="str">
            <v>U</v>
          </cell>
        </row>
        <row r="64">
          <cell r="A64">
            <v>3200</v>
          </cell>
          <cell r="B64" t="str">
            <v>5</v>
          </cell>
          <cell r="C64" t="str">
            <v>U형측구(0.9W X 0.9H)</v>
          </cell>
          <cell r="D64" t="str">
            <v>TYPE-6</v>
          </cell>
          <cell r="E64">
            <v>97</v>
          </cell>
          <cell r="G64" t="str">
            <v>M</v>
          </cell>
          <cell r="I64">
            <v>0</v>
          </cell>
          <cell r="K64" t="str">
            <v>IL30444</v>
          </cell>
          <cell r="L64" t="str">
            <v>A002</v>
          </cell>
          <cell r="M64" t="str">
            <v>U</v>
          </cell>
        </row>
        <row r="65">
          <cell r="A65">
            <v>3250</v>
          </cell>
          <cell r="B65" t="str">
            <v>5</v>
          </cell>
          <cell r="C65" t="str">
            <v>U형측구(0.9W X 1.0 ∼1.1H)</v>
          </cell>
          <cell r="D65" t="str">
            <v>TYPE-7</v>
          </cell>
          <cell r="E65">
            <v>77</v>
          </cell>
          <cell r="G65" t="str">
            <v>M</v>
          </cell>
          <cell r="I65">
            <v>0</v>
          </cell>
          <cell r="K65" t="str">
            <v>IL30446</v>
          </cell>
          <cell r="L65" t="str">
            <v>A002</v>
          </cell>
          <cell r="M65" t="str">
            <v>U</v>
          </cell>
        </row>
        <row r="66">
          <cell r="A66">
            <v>3300</v>
          </cell>
          <cell r="B66" t="str">
            <v>5</v>
          </cell>
          <cell r="C66" t="str">
            <v>U형플륨관부설</v>
          </cell>
          <cell r="D66" t="str">
            <v>#300</v>
          </cell>
          <cell r="E66">
            <v>110</v>
          </cell>
          <cell r="G66" t="str">
            <v>M</v>
          </cell>
          <cell r="I66">
            <v>0</v>
          </cell>
          <cell r="K66" t="str">
            <v>IL30450</v>
          </cell>
          <cell r="L66" t="str">
            <v>A002</v>
          </cell>
          <cell r="M66" t="str">
            <v>U</v>
          </cell>
        </row>
        <row r="67">
          <cell r="A67">
            <v>3350</v>
          </cell>
          <cell r="B67" t="str">
            <v>5</v>
          </cell>
          <cell r="C67" t="str">
            <v>물푸기</v>
          </cell>
          <cell r="E67">
            <v>63</v>
          </cell>
          <cell r="G67" t="str">
            <v>HR</v>
          </cell>
          <cell r="I67">
            <v>0</v>
          </cell>
          <cell r="K67" t="str">
            <v>SD30010</v>
          </cell>
          <cell r="L67" t="str">
            <v>A002</v>
          </cell>
          <cell r="M67" t="str">
            <v>U</v>
          </cell>
        </row>
        <row r="68">
          <cell r="A68">
            <v>3400</v>
          </cell>
          <cell r="B68" t="str">
            <v>4</v>
          </cell>
          <cell r="C68" t="str">
            <v>2)배수관로공</v>
          </cell>
          <cell r="E68">
            <v>0</v>
          </cell>
          <cell r="I68">
            <v>0</v>
          </cell>
          <cell r="L68" t="str">
            <v>A002</v>
          </cell>
          <cell r="M68" t="str">
            <v>U</v>
          </cell>
        </row>
        <row r="69">
          <cell r="A69">
            <v>3450</v>
          </cell>
          <cell r="B69" t="str">
            <v>5</v>
          </cell>
          <cell r="C69" t="str">
            <v>가) 우수관로</v>
          </cell>
          <cell r="E69">
            <v>0</v>
          </cell>
          <cell r="I69">
            <v>0</v>
          </cell>
          <cell r="L69" t="str">
            <v>A002</v>
          </cell>
          <cell r="M69" t="str">
            <v>U</v>
          </cell>
        </row>
        <row r="70">
          <cell r="A70">
            <v>3500</v>
          </cell>
          <cell r="B70" t="str">
            <v>6</v>
          </cell>
          <cell r="C70" t="str">
            <v>터파기(토사,0-6m)</v>
          </cell>
          <cell r="D70" t="str">
            <v>백호우 0.7M3</v>
          </cell>
          <cell r="E70">
            <v>9203</v>
          </cell>
          <cell r="G70" t="str">
            <v>M3</v>
          </cell>
          <cell r="I70">
            <v>0</v>
          </cell>
          <cell r="K70" t="str">
            <v>IL00580</v>
          </cell>
          <cell r="L70" t="str">
            <v>A002</v>
          </cell>
          <cell r="M70" t="str">
            <v>U</v>
          </cell>
        </row>
        <row r="71">
          <cell r="A71">
            <v>3550</v>
          </cell>
          <cell r="B71" t="str">
            <v>6</v>
          </cell>
          <cell r="C71" t="str">
            <v>수중터파기(토사,0-6M)</v>
          </cell>
          <cell r="D71" t="str">
            <v>백호우 0.7M3</v>
          </cell>
          <cell r="E71">
            <v>664</v>
          </cell>
          <cell r="G71" t="str">
            <v>M3</v>
          </cell>
          <cell r="I71">
            <v>0</v>
          </cell>
          <cell r="K71" t="str">
            <v>IL00450</v>
          </cell>
          <cell r="L71" t="str">
            <v>A002</v>
          </cell>
          <cell r="M71" t="str">
            <v>U</v>
          </cell>
        </row>
        <row r="72">
          <cell r="A72">
            <v>3600</v>
          </cell>
          <cell r="B72" t="str">
            <v>6</v>
          </cell>
          <cell r="C72" t="str">
            <v>되메우기</v>
          </cell>
          <cell r="D72" t="str">
            <v>기계,B/H+RAMMER</v>
          </cell>
          <cell r="E72">
            <v>4933</v>
          </cell>
          <cell r="G72" t="str">
            <v>M3</v>
          </cell>
          <cell r="I72">
            <v>0</v>
          </cell>
          <cell r="K72" t="str">
            <v>I00590</v>
          </cell>
          <cell r="L72" t="str">
            <v>A002</v>
          </cell>
          <cell r="M72" t="str">
            <v>U</v>
          </cell>
        </row>
        <row r="73">
          <cell r="A73">
            <v>3650</v>
          </cell>
          <cell r="B73" t="str">
            <v>6</v>
          </cell>
          <cell r="C73" t="str">
            <v>되메우기</v>
          </cell>
          <cell r="D73" t="str">
            <v>인력</v>
          </cell>
          <cell r="E73">
            <v>3478</v>
          </cell>
          <cell r="G73" t="str">
            <v>M3</v>
          </cell>
          <cell r="I73">
            <v>0</v>
          </cell>
          <cell r="K73" t="str">
            <v>I00360</v>
          </cell>
          <cell r="L73" t="str">
            <v>A002</v>
          </cell>
          <cell r="M73" t="str">
            <v>U</v>
          </cell>
        </row>
        <row r="74">
          <cell r="A74">
            <v>3700</v>
          </cell>
          <cell r="B74" t="str">
            <v>6</v>
          </cell>
          <cell r="C74" t="str">
            <v>레미콘 타설</v>
          </cell>
          <cell r="D74" t="str">
            <v>인력, 무근</v>
          </cell>
          <cell r="E74">
            <v>3</v>
          </cell>
          <cell r="G74" t="str">
            <v>M3</v>
          </cell>
          <cell r="I74">
            <v>0</v>
          </cell>
          <cell r="K74" t="str">
            <v>I00820</v>
          </cell>
          <cell r="L74" t="str">
            <v>A002</v>
          </cell>
          <cell r="M74" t="str">
            <v>U</v>
          </cell>
        </row>
        <row r="75">
          <cell r="A75">
            <v>3750</v>
          </cell>
          <cell r="B75" t="str">
            <v>6</v>
          </cell>
          <cell r="C75" t="str">
            <v>레미콘 타설</v>
          </cell>
          <cell r="D75" t="str">
            <v>인력, 무근</v>
          </cell>
          <cell r="E75">
            <v>391</v>
          </cell>
          <cell r="G75" t="str">
            <v>M3</v>
          </cell>
          <cell r="I75">
            <v>0</v>
          </cell>
          <cell r="K75" t="str">
            <v>I00820</v>
          </cell>
          <cell r="L75" t="str">
            <v>A002</v>
          </cell>
          <cell r="M75" t="str">
            <v>U</v>
          </cell>
        </row>
        <row r="76">
          <cell r="A76">
            <v>3800</v>
          </cell>
          <cell r="B76" t="str">
            <v>6</v>
          </cell>
          <cell r="C76" t="str">
            <v>합판 거푸집</v>
          </cell>
          <cell r="D76" t="str">
            <v>6 회</v>
          </cell>
          <cell r="E76">
            <v>944</v>
          </cell>
          <cell r="G76" t="str">
            <v>M2</v>
          </cell>
          <cell r="I76">
            <v>0</v>
          </cell>
          <cell r="K76" t="str">
            <v>I00940</v>
          </cell>
          <cell r="L76" t="str">
            <v>A002</v>
          </cell>
          <cell r="M76" t="str">
            <v>U</v>
          </cell>
        </row>
        <row r="77">
          <cell r="A77">
            <v>3850</v>
          </cell>
          <cell r="B77" t="str">
            <v>6</v>
          </cell>
          <cell r="C77" t="str">
            <v>모 르 터</v>
          </cell>
          <cell r="D77" t="str">
            <v>1 : 2</v>
          </cell>
          <cell r="E77">
            <v>2.9</v>
          </cell>
          <cell r="G77" t="str">
            <v>M3</v>
          </cell>
          <cell r="I77">
            <v>0</v>
          </cell>
          <cell r="K77" t="str">
            <v>I00870</v>
          </cell>
          <cell r="L77" t="str">
            <v>A002</v>
          </cell>
          <cell r="M77" t="str">
            <v>U</v>
          </cell>
        </row>
        <row r="78">
          <cell r="A78">
            <v>3900</v>
          </cell>
          <cell r="B78" t="str">
            <v>6</v>
          </cell>
          <cell r="C78" t="str">
            <v>흄관접합및부설(소켓접합)</v>
          </cell>
          <cell r="D78" t="str">
            <v>D450, 기계</v>
          </cell>
          <cell r="E78">
            <v>1003</v>
          </cell>
          <cell r="G78" t="str">
            <v>M</v>
          </cell>
          <cell r="I78">
            <v>0</v>
          </cell>
          <cell r="K78" t="str">
            <v>IL33610</v>
          </cell>
          <cell r="L78" t="str">
            <v>A002</v>
          </cell>
          <cell r="M78" t="str">
            <v>U</v>
          </cell>
        </row>
        <row r="79">
          <cell r="A79">
            <v>3950</v>
          </cell>
          <cell r="B79" t="str">
            <v>6</v>
          </cell>
          <cell r="C79" t="str">
            <v>흄관접합및부설(소켓접합)</v>
          </cell>
          <cell r="D79" t="str">
            <v>D600, 기계</v>
          </cell>
          <cell r="E79">
            <v>136</v>
          </cell>
          <cell r="G79" t="str">
            <v>M</v>
          </cell>
          <cell r="I79">
            <v>0</v>
          </cell>
          <cell r="K79" t="str">
            <v>IL33430</v>
          </cell>
          <cell r="L79" t="str">
            <v>A002</v>
          </cell>
          <cell r="M79" t="str">
            <v>U</v>
          </cell>
        </row>
        <row r="80">
          <cell r="A80">
            <v>4000</v>
          </cell>
          <cell r="B80" t="str">
            <v>6</v>
          </cell>
          <cell r="C80" t="str">
            <v>흄관접합및부설(소켓접합)</v>
          </cell>
          <cell r="D80" t="str">
            <v>D800, 기계</v>
          </cell>
          <cell r="E80">
            <v>277</v>
          </cell>
          <cell r="G80" t="str">
            <v>M</v>
          </cell>
          <cell r="I80">
            <v>0</v>
          </cell>
          <cell r="K80" t="str">
            <v>IL33450</v>
          </cell>
          <cell r="L80" t="str">
            <v>A002</v>
          </cell>
          <cell r="M80" t="str">
            <v>U</v>
          </cell>
        </row>
        <row r="81">
          <cell r="A81">
            <v>4050</v>
          </cell>
          <cell r="B81" t="str">
            <v>6</v>
          </cell>
          <cell r="C81" t="str">
            <v>흄관접합및부설(소켓접합)</v>
          </cell>
          <cell r="D81" t="str">
            <v>D1000, 기계</v>
          </cell>
          <cell r="E81">
            <v>16</v>
          </cell>
          <cell r="G81" t="str">
            <v>M</v>
          </cell>
          <cell r="I81">
            <v>0</v>
          </cell>
          <cell r="K81" t="str">
            <v>IL33470</v>
          </cell>
          <cell r="L81" t="str">
            <v>A002</v>
          </cell>
          <cell r="M81" t="str">
            <v>U</v>
          </cell>
        </row>
        <row r="82">
          <cell r="A82">
            <v>4100</v>
          </cell>
          <cell r="B82" t="str">
            <v>6</v>
          </cell>
          <cell r="C82" t="str">
            <v>흄관접합및부설(소켓접합)</v>
          </cell>
          <cell r="D82" t="str">
            <v>D1200, 기계</v>
          </cell>
          <cell r="E82">
            <v>323</v>
          </cell>
          <cell r="G82" t="str">
            <v>M</v>
          </cell>
          <cell r="I82">
            <v>0</v>
          </cell>
          <cell r="K82" t="str">
            <v>IL33480</v>
          </cell>
          <cell r="L82" t="str">
            <v>A002</v>
          </cell>
          <cell r="M82" t="str">
            <v>U</v>
          </cell>
        </row>
        <row r="83">
          <cell r="A83">
            <v>4150</v>
          </cell>
          <cell r="B83" t="str">
            <v>6</v>
          </cell>
          <cell r="C83" t="str">
            <v>철근 가공 조립</v>
          </cell>
          <cell r="D83" t="str">
            <v>간  단</v>
          </cell>
          <cell r="E83">
            <v>8.1000000000000003E-2</v>
          </cell>
          <cell r="G83" t="str">
            <v>TON</v>
          </cell>
          <cell r="I83">
            <v>0</v>
          </cell>
          <cell r="K83" t="str">
            <v>I00950</v>
          </cell>
          <cell r="L83" t="str">
            <v>A002</v>
          </cell>
          <cell r="M83" t="str">
            <v>U</v>
          </cell>
        </row>
        <row r="84">
          <cell r="A84">
            <v>4200</v>
          </cell>
          <cell r="B84" t="str">
            <v>6</v>
          </cell>
          <cell r="C84" t="str">
            <v>물푸기</v>
          </cell>
          <cell r="E84">
            <v>100</v>
          </cell>
          <cell r="G84" t="str">
            <v>HR</v>
          </cell>
          <cell r="I84">
            <v>0</v>
          </cell>
          <cell r="K84" t="str">
            <v>SD30010</v>
          </cell>
          <cell r="L84" t="str">
            <v>A002</v>
          </cell>
          <cell r="M84" t="str">
            <v>U</v>
          </cell>
        </row>
        <row r="85">
          <cell r="A85">
            <v>4250</v>
          </cell>
          <cell r="B85" t="str">
            <v>5</v>
          </cell>
          <cell r="C85" t="str">
            <v>나) 횡배수관로</v>
          </cell>
          <cell r="E85">
            <v>0</v>
          </cell>
          <cell r="I85">
            <v>0</v>
          </cell>
          <cell r="L85" t="str">
            <v>A002</v>
          </cell>
          <cell r="M85" t="str">
            <v>U</v>
          </cell>
        </row>
        <row r="86">
          <cell r="A86">
            <v>4300</v>
          </cell>
          <cell r="B86" t="str">
            <v>6</v>
          </cell>
          <cell r="C86" t="str">
            <v>터파기(토사,0-6m)</v>
          </cell>
          <cell r="D86" t="str">
            <v>백호우 0.7M3</v>
          </cell>
          <cell r="E86">
            <v>192</v>
          </cell>
          <cell r="G86" t="str">
            <v>M3</v>
          </cell>
          <cell r="I86">
            <v>0</v>
          </cell>
          <cell r="K86" t="str">
            <v>IL00580</v>
          </cell>
          <cell r="L86" t="str">
            <v>A002</v>
          </cell>
          <cell r="M86" t="str">
            <v>U</v>
          </cell>
        </row>
        <row r="87">
          <cell r="A87">
            <v>4350</v>
          </cell>
          <cell r="B87" t="str">
            <v>6</v>
          </cell>
          <cell r="C87" t="str">
            <v>수중터파기(토사,0-6M)</v>
          </cell>
          <cell r="D87" t="str">
            <v>백호우 0.7M3</v>
          </cell>
          <cell r="E87">
            <v>89</v>
          </cell>
          <cell r="G87" t="str">
            <v>M3</v>
          </cell>
          <cell r="I87">
            <v>0</v>
          </cell>
          <cell r="K87" t="str">
            <v>IL00450</v>
          </cell>
          <cell r="L87" t="str">
            <v>A002</v>
          </cell>
          <cell r="M87" t="str">
            <v>U</v>
          </cell>
        </row>
        <row r="88">
          <cell r="A88">
            <v>4400</v>
          </cell>
          <cell r="B88" t="str">
            <v>6</v>
          </cell>
          <cell r="C88" t="str">
            <v>되메우기</v>
          </cell>
          <cell r="D88" t="str">
            <v>기계,B/H+RAMMER</v>
          </cell>
          <cell r="E88">
            <v>80</v>
          </cell>
          <cell r="G88" t="str">
            <v>M3</v>
          </cell>
          <cell r="I88">
            <v>0</v>
          </cell>
          <cell r="K88" t="str">
            <v>I00590</v>
          </cell>
          <cell r="L88" t="str">
            <v>A002</v>
          </cell>
          <cell r="M88" t="str">
            <v>U</v>
          </cell>
        </row>
        <row r="89">
          <cell r="A89">
            <v>4450</v>
          </cell>
          <cell r="B89" t="str">
            <v>6</v>
          </cell>
          <cell r="C89" t="str">
            <v>되메우기</v>
          </cell>
          <cell r="D89" t="str">
            <v>인력</v>
          </cell>
          <cell r="E89">
            <v>132</v>
          </cell>
          <cell r="G89" t="str">
            <v>M3</v>
          </cell>
          <cell r="I89">
            <v>0</v>
          </cell>
          <cell r="K89" t="str">
            <v>I00360</v>
          </cell>
          <cell r="L89" t="str">
            <v>A002</v>
          </cell>
          <cell r="M89" t="str">
            <v>U</v>
          </cell>
        </row>
        <row r="90">
          <cell r="A90">
            <v>4500</v>
          </cell>
          <cell r="B90" t="str">
            <v>6</v>
          </cell>
          <cell r="C90" t="str">
            <v>레미콘 타설</v>
          </cell>
          <cell r="D90" t="str">
            <v>인력, 무근</v>
          </cell>
          <cell r="E90">
            <v>17</v>
          </cell>
          <cell r="G90" t="str">
            <v>M3</v>
          </cell>
          <cell r="I90">
            <v>0</v>
          </cell>
          <cell r="K90" t="str">
            <v>I00820</v>
          </cell>
          <cell r="L90" t="str">
            <v>A002</v>
          </cell>
          <cell r="M90" t="str">
            <v>U</v>
          </cell>
        </row>
        <row r="91">
          <cell r="A91">
            <v>4550</v>
          </cell>
          <cell r="B91" t="str">
            <v>6</v>
          </cell>
          <cell r="C91" t="str">
            <v>합판 거푸집</v>
          </cell>
          <cell r="D91" t="str">
            <v>6 회</v>
          </cell>
          <cell r="E91">
            <v>46</v>
          </cell>
          <cell r="G91" t="str">
            <v>M2</v>
          </cell>
          <cell r="I91">
            <v>0</v>
          </cell>
          <cell r="K91" t="str">
            <v>I00940</v>
          </cell>
          <cell r="L91" t="str">
            <v>A002</v>
          </cell>
          <cell r="M91" t="str">
            <v>U</v>
          </cell>
        </row>
        <row r="92">
          <cell r="A92">
            <v>4600</v>
          </cell>
          <cell r="B92" t="str">
            <v>6</v>
          </cell>
          <cell r="C92" t="str">
            <v>모 르 터</v>
          </cell>
          <cell r="D92" t="str">
            <v>1 : 2</v>
          </cell>
          <cell r="E92">
            <v>0.1</v>
          </cell>
          <cell r="G92" t="str">
            <v>M3</v>
          </cell>
          <cell r="I92">
            <v>0</v>
          </cell>
          <cell r="K92" t="str">
            <v>I00870</v>
          </cell>
          <cell r="L92" t="str">
            <v>A002</v>
          </cell>
          <cell r="M92" t="str">
            <v>U</v>
          </cell>
        </row>
        <row r="93">
          <cell r="A93">
            <v>4650</v>
          </cell>
          <cell r="B93" t="str">
            <v>6</v>
          </cell>
          <cell r="C93" t="str">
            <v>흄관접합및부설(소켓접합)</v>
          </cell>
          <cell r="D93" t="str">
            <v>D600, 기계</v>
          </cell>
          <cell r="E93">
            <v>34</v>
          </cell>
          <cell r="G93" t="str">
            <v>M</v>
          </cell>
          <cell r="I93">
            <v>0</v>
          </cell>
          <cell r="K93" t="str">
            <v>IL33430</v>
          </cell>
          <cell r="L93" t="str">
            <v>A002</v>
          </cell>
          <cell r="M93" t="str">
            <v>U</v>
          </cell>
        </row>
        <row r="94">
          <cell r="A94">
            <v>4700</v>
          </cell>
          <cell r="B94" t="str">
            <v>6</v>
          </cell>
          <cell r="C94" t="str">
            <v>흄관접합및부설(소켓접합)</v>
          </cell>
          <cell r="D94" t="str">
            <v>D800, 기계</v>
          </cell>
          <cell r="E94">
            <v>30</v>
          </cell>
          <cell r="G94" t="str">
            <v>M</v>
          </cell>
          <cell r="I94">
            <v>0</v>
          </cell>
          <cell r="K94" t="str">
            <v>IL33450</v>
          </cell>
          <cell r="L94" t="str">
            <v>A002</v>
          </cell>
          <cell r="M94" t="str">
            <v>U</v>
          </cell>
        </row>
        <row r="95">
          <cell r="A95">
            <v>4750</v>
          </cell>
          <cell r="B95" t="str">
            <v>6</v>
          </cell>
          <cell r="C95" t="str">
            <v>흄관접합및부설(소켓접합)</v>
          </cell>
          <cell r="D95" t="str">
            <v>D1000, 기계</v>
          </cell>
          <cell r="E95">
            <v>11</v>
          </cell>
          <cell r="G95" t="str">
            <v>M</v>
          </cell>
          <cell r="I95">
            <v>0</v>
          </cell>
          <cell r="K95" t="str">
            <v>IL33470</v>
          </cell>
          <cell r="L95" t="str">
            <v>A002</v>
          </cell>
          <cell r="M95" t="str">
            <v>U</v>
          </cell>
        </row>
        <row r="96">
          <cell r="A96">
            <v>4800</v>
          </cell>
          <cell r="B96" t="str">
            <v>6</v>
          </cell>
          <cell r="C96" t="str">
            <v>물푸기</v>
          </cell>
          <cell r="E96">
            <v>51</v>
          </cell>
          <cell r="G96" t="str">
            <v>HR</v>
          </cell>
          <cell r="I96">
            <v>0</v>
          </cell>
          <cell r="K96" t="str">
            <v>SD30010</v>
          </cell>
          <cell r="L96" t="str">
            <v>A002</v>
          </cell>
          <cell r="M96" t="str">
            <v>U</v>
          </cell>
        </row>
        <row r="97">
          <cell r="A97">
            <v>4850</v>
          </cell>
          <cell r="B97" t="str">
            <v>5</v>
          </cell>
          <cell r="C97" t="str">
            <v>다) 우수연결관</v>
          </cell>
          <cell r="E97">
            <v>0</v>
          </cell>
          <cell r="I97">
            <v>0</v>
          </cell>
          <cell r="L97" t="str">
            <v>A002</v>
          </cell>
          <cell r="M97" t="str">
            <v>U</v>
          </cell>
        </row>
        <row r="98">
          <cell r="A98">
            <v>4900</v>
          </cell>
          <cell r="B98" t="str">
            <v>6</v>
          </cell>
          <cell r="C98" t="str">
            <v>터파기(토사,0-6m)</v>
          </cell>
          <cell r="D98" t="str">
            <v>백호우 0.7M3</v>
          </cell>
          <cell r="E98">
            <v>1921</v>
          </cell>
          <cell r="G98" t="str">
            <v>M3</v>
          </cell>
          <cell r="I98">
            <v>0</v>
          </cell>
          <cell r="K98" t="str">
            <v>IL00580</v>
          </cell>
          <cell r="L98" t="str">
            <v>A002</v>
          </cell>
          <cell r="M98" t="str">
            <v>U</v>
          </cell>
        </row>
        <row r="99">
          <cell r="A99">
            <v>4950</v>
          </cell>
          <cell r="B99" t="str">
            <v>6</v>
          </cell>
          <cell r="C99" t="str">
            <v>되메우고다지기</v>
          </cell>
          <cell r="D99" t="str">
            <v>기계,B/H+RAMMER</v>
          </cell>
          <cell r="E99">
            <v>1238</v>
          </cell>
          <cell r="G99" t="str">
            <v>M3</v>
          </cell>
          <cell r="I99">
            <v>0</v>
          </cell>
          <cell r="K99" t="str">
            <v>I00590</v>
          </cell>
          <cell r="L99" t="str">
            <v>A002</v>
          </cell>
          <cell r="M99" t="str">
            <v>U</v>
          </cell>
        </row>
        <row r="100">
          <cell r="A100">
            <v>5000</v>
          </cell>
          <cell r="B100" t="str">
            <v>6</v>
          </cell>
          <cell r="C100" t="str">
            <v>모래부설 및 다짐</v>
          </cell>
          <cell r="D100" t="str">
            <v>인력</v>
          </cell>
          <cell r="E100">
            <v>596</v>
          </cell>
          <cell r="G100" t="str">
            <v>M3</v>
          </cell>
          <cell r="I100">
            <v>0</v>
          </cell>
          <cell r="K100" t="str">
            <v>I02990</v>
          </cell>
          <cell r="L100" t="str">
            <v>A002</v>
          </cell>
          <cell r="M100" t="str">
            <v>U</v>
          </cell>
        </row>
        <row r="101">
          <cell r="A101">
            <v>5050</v>
          </cell>
          <cell r="B101" t="str">
            <v>6</v>
          </cell>
          <cell r="C101" t="str">
            <v>이중벽PE관 접합 및 부설</v>
          </cell>
          <cell r="D101" t="str">
            <v>Φ250MM</v>
          </cell>
          <cell r="E101">
            <v>134</v>
          </cell>
          <cell r="G101" t="str">
            <v>M</v>
          </cell>
          <cell r="I101">
            <v>0</v>
          </cell>
          <cell r="K101" t="str">
            <v>IL33360</v>
          </cell>
          <cell r="L101" t="str">
            <v>A002</v>
          </cell>
          <cell r="M101" t="str">
            <v>U</v>
          </cell>
        </row>
        <row r="102">
          <cell r="A102">
            <v>5100</v>
          </cell>
          <cell r="B102" t="str">
            <v>6</v>
          </cell>
          <cell r="C102" t="str">
            <v>이중벽PE관 접합 및 부설</v>
          </cell>
          <cell r="D102" t="str">
            <v>Φ300MM</v>
          </cell>
          <cell r="E102">
            <v>987</v>
          </cell>
          <cell r="G102" t="str">
            <v>M</v>
          </cell>
          <cell r="I102">
            <v>0</v>
          </cell>
          <cell r="K102" t="str">
            <v>IL33370</v>
          </cell>
          <cell r="L102" t="str">
            <v>A002</v>
          </cell>
          <cell r="M102" t="str">
            <v>U</v>
          </cell>
        </row>
        <row r="103">
          <cell r="A103">
            <v>5150</v>
          </cell>
          <cell r="B103" t="str">
            <v>6</v>
          </cell>
          <cell r="C103" t="str">
            <v>PE이음관(T형)</v>
          </cell>
          <cell r="D103" t="str">
            <v>Φ300MM</v>
          </cell>
          <cell r="E103">
            <v>2</v>
          </cell>
          <cell r="G103" t="str">
            <v>EA</v>
          </cell>
          <cell r="I103">
            <v>0</v>
          </cell>
          <cell r="K103" t="str">
            <v>M58860</v>
          </cell>
          <cell r="L103" t="str">
            <v>A002</v>
          </cell>
          <cell r="M103" t="str">
            <v>U</v>
          </cell>
        </row>
        <row r="104">
          <cell r="A104">
            <v>5200</v>
          </cell>
          <cell r="B104" t="str">
            <v>6</v>
          </cell>
          <cell r="C104" t="str">
            <v>PE이음관(엘보:90。)</v>
          </cell>
          <cell r="D104" t="str">
            <v>Φ300MM</v>
          </cell>
          <cell r="E104">
            <v>8</v>
          </cell>
          <cell r="G104" t="str">
            <v>EA</v>
          </cell>
          <cell r="I104">
            <v>0</v>
          </cell>
          <cell r="K104" t="str">
            <v>M58860</v>
          </cell>
          <cell r="L104" t="str">
            <v>A002</v>
          </cell>
          <cell r="M104" t="str">
            <v>U</v>
          </cell>
        </row>
        <row r="105">
          <cell r="A105">
            <v>5250</v>
          </cell>
          <cell r="B105" t="str">
            <v>4</v>
          </cell>
          <cell r="C105" t="str">
            <v>3)배수구조물</v>
          </cell>
          <cell r="E105">
            <v>0</v>
          </cell>
          <cell r="I105">
            <v>0</v>
          </cell>
          <cell r="L105" t="str">
            <v>A002</v>
          </cell>
          <cell r="M105" t="str">
            <v>U</v>
          </cell>
        </row>
        <row r="106">
          <cell r="A106">
            <v>5300</v>
          </cell>
          <cell r="B106" t="str">
            <v>5</v>
          </cell>
          <cell r="C106" t="str">
            <v>면벽</v>
          </cell>
          <cell r="D106" t="str">
            <v>Φ600MM</v>
          </cell>
          <cell r="E106">
            <v>2</v>
          </cell>
          <cell r="G106" t="str">
            <v>개소</v>
          </cell>
          <cell r="I106">
            <v>0</v>
          </cell>
          <cell r="K106" t="str">
            <v>IL34655</v>
          </cell>
          <cell r="L106" t="str">
            <v>A002</v>
          </cell>
          <cell r="M106" t="str">
            <v>U</v>
          </cell>
        </row>
        <row r="107">
          <cell r="A107">
            <v>5350</v>
          </cell>
          <cell r="B107" t="str">
            <v>5</v>
          </cell>
          <cell r="C107" t="str">
            <v>면벽</v>
          </cell>
          <cell r="D107" t="str">
            <v>Φ800MM</v>
          </cell>
          <cell r="E107">
            <v>3</v>
          </cell>
          <cell r="G107" t="str">
            <v>개소</v>
          </cell>
          <cell r="I107">
            <v>0</v>
          </cell>
          <cell r="K107" t="str">
            <v>IL34650</v>
          </cell>
          <cell r="L107" t="str">
            <v>A002</v>
          </cell>
          <cell r="M107" t="str">
            <v>U</v>
          </cell>
        </row>
        <row r="108">
          <cell r="A108">
            <v>5400</v>
          </cell>
          <cell r="B108" t="str">
            <v>5</v>
          </cell>
          <cell r="C108" t="str">
            <v>면벽</v>
          </cell>
          <cell r="D108" t="str">
            <v>Φ1000MM</v>
          </cell>
          <cell r="E108">
            <v>2</v>
          </cell>
          <cell r="G108" t="str">
            <v>개소</v>
          </cell>
          <cell r="I108">
            <v>0</v>
          </cell>
          <cell r="K108" t="str">
            <v>IL34660</v>
          </cell>
          <cell r="L108" t="str">
            <v>A002</v>
          </cell>
          <cell r="M108" t="str">
            <v>U</v>
          </cell>
        </row>
        <row r="109">
          <cell r="A109">
            <v>5450</v>
          </cell>
          <cell r="B109" t="str">
            <v>5</v>
          </cell>
          <cell r="C109" t="str">
            <v>암거 날개벽</v>
          </cell>
          <cell r="D109" t="str">
            <v>TYPE-1</v>
          </cell>
          <cell r="E109">
            <v>1</v>
          </cell>
          <cell r="G109" t="str">
            <v>개</v>
          </cell>
          <cell r="I109">
            <v>0</v>
          </cell>
          <cell r="K109" t="str">
            <v>IL34710</v>
          </cell>
          <cell r="L109" t="str">
            <v>A002</v>
          </cell>
          <cell r="M109" t="str">
            <v>U</v>
          </cell>
        </row>
        <row r="110">
          <cell r="A110">
            <v>5500</v>
          </cell>
          <cell r="B110" t="str">
            <v>5</v>
          </cell>
          <cell r="C110" t="str">
            <v>암거 날개벽</v>
          </cell>
          <cell r="D110" t="str">
            <v>TYPE-2</v>
          </cell>
          <cell r="E110">
            <v>1</v>
          </cell>
          <cell r="G110" t="str">
            <v>개</v>
          </cell>
          <cell r="I110">
            <v>0</v>
          </cell>
          <cell r="K110" t="str">
            <v>IL34720</v>
          </cell>
          <cell r="L110" t="str">
            <v>A002</v>
          </cell>
          <cell r="M110" t="str">
            <v>U</v>
          </cell>
        </row>
        <row r="111">
          <cell r="A111">
            <v>5550</v>
          </cell>
          <cell r="B111" t="str">
            <v>5</v>
          </cell>
          <cell r="C111" t="str">
            <v>암거 날개벽</v>
          </cell>
          <cell r="D111" t="str">
            <v>TYPE-3</v>
          </cell>
          <cell r="E111">
            <v>1</v>
          </cell>
          <cell r="G111" t="str">
            <v>개</v>
          </cell>
          <cell r="I111">
            <v>0</v>
          </cell>
          <cell r="K111" t="str">
            <v>IL34730</v>
          </cell>
          <cell r="L111" t="str">
            <v>A002</v>
          </cell>
          <cell r="M111" t="str">
            <v>U</v>
          </cell>
        </row>
        <row r="112">
          <cell r="A112">
            <v>5600</v>
          </cell>
          <cell r="B112" t="str">
            <v>5</v>
          </cell>
          <cell r="C112" t="str">
            <v>흄관 날개벽</v>
          </cell>
          <cell r="D112" t="str">
            <v>Φ600MM</v>
          </cell>
          <cell r="E112">
            <v>3</v>
          </cell>
          <cell r="G112" t="str">
            <v>개</v>
          </cell>
          <cell r="I112">
            <v>0</v>
          </cell>
          <cell r="K112" t="str">
            <v>IL34810</v>
          </cell>
          <cell r="L112" t="str">
            <v>A002</v>
          </cell>
          <cell r="M112" t="str">
            <v>U</v>
          </cell>
        </row>
        <row r="113">
          <cell r="A113">
            <v>5650</v>
          </cell>
          <cell r="B113" t="str">
            <v>5</v>
          </cell>
          <cell r="C113" t="str">
            <v>흄관 날개벽</v>
          </cell>
          <cell r="D113" t="str">
            <v>Φ800MM</v>
          </cell>
          <cell r="E113">
            <v>2</v>
          </cell>
          <cell r="G113" t="str">
            <v>개</v>
          </cell>
          <cell r="I113">
            <v>0</v>
          </cell>
          <cell r="K113" t="str">
            <v>IL34820</v>
          </cell>
          <cell r="L113" t="str">
            <v>A002</v>
          </cell>
          <cell r="M113" t="str">
            <v>U</v>
          </cell>
        </row>
        <row r="114">
          <cell r="A114">
            <v>5700</v>
          </cell>
          <cell r="B114" t="str">
            <v>5</v>
          </cell>
          <cell r="C114" t="str">
            <v>도수로설치</v>
          </cell>
          <cell r="D114" t="str">
            <v>Φ600MM</v>
          </cell>
          <cell r="E114">
            <v>1</v>
          </cell>
          <cell r="G114" t="str">
            <v>개소</v>
          </cell>
          <cell r="I114">
            <v>0</v>
          </cell>
          <cell r="K114" t="str">
            <v>IL35100</v>
          </cell>
          <cell r="L114" t="str">
            <v>A002</v>
          </cell>
          <cell r="M114" t="str">
            <v>U</v>
          </cell>
        </row>
        <row r="115">
          <cell r="A115">
            <v>5750</v>
          </cell>
          <cell r="B115" t="str">
            <v>5</v>
          </cell>
          <cell r="C115" t="str">
            <v>도수로설치</v>
          </cell>
          <cell r="D115" t="str">
            <v>Φ800MM</v>
          </cell>
          <cell r="E115">
            <v>1</v>
          </cell>
          <cell r="G115" t="str">
            <v>개소</v>
          </cell>
          <cell r="I115">
            <v>0</v>
          </cell>
          <cell r="K115" t="str">
            <v>IL35110</v>
          </cell>
          <cell r="L115" t="str">
            <v>A002</v>
          </cell>
          <cell r="M115" t="str">
            <v>U</v>
          </cell>
        </row>
        <row r="116">
          <cell r="A116">
            <v>5800</v>
          </cell>
          <cell r="B116" t="str">
            <v>5</v>
          </cell>
          <cell r="C116" t="str">
            <v>도수로설치</v>
          </cell>
          <cell r="D116" t="str">
            <v>Φ1000MM</v>
          </cell>
          <cell r="E116">
            <v>1</v>
          </cell>
          <cell r="G116" t="str">
            <v>개소</v>
          </cell>
          <cell r="I116">
            <v>0</v>
          </cell>
          <cell r="K116" t="str">
            <v>IL35120</v>
          </cell>
          <cell r="L116" t="str">
            <v>A002</v>
          </cell>
          <cell r="M116" t="str">
            <v>U</v>
          </cell>
        </row>
        <row r="117">
          <cell r="A117">
            <v>5850</v>
          </cell>
          <cell r="B117" t="str">
            <v>5</v>
          </cell>
          <cell r="C117" t="str">
            <v>물푸기</v>
          </cell>
          <cell r="E117">
            <v>99</v>
          </cell>
          <cell r="G117" t="str">
            <v>HR</v>
          </cell>
          <cell r="I117">
            <v>0</v>
          </cell>
          <cell r="K117" t="str">
            <v>SD30010</v>
          </cell>
          <cell r="L117" t="str">
            <v>A002</v>
          </cell>
          <cell r="M117" t="str">
            <v>U</v>
          </cell>
        </row>
        <row r="118">
          <cell r="A118">
            <v>5900</v>
          </cell>
          <cell r="B118" t="str">
            <v>4</v>
          </cell>
          <cell r="C118" t="str">
            <v>4)집수정</v>
          </cell>
          <cell r="E118">
            <v>0</v>
          </cell>
          <cell r="I118">
            <v>0</v>
          </cell>
          <cell r="L118" t="str">
            <v>A002</v>
          </cell>
          <cell r="M118" t="str">
            <v>U</v>
          </cell>
        </row>
        <row r="119">
          <cell r="A119">
            <v>5950</v>
          </cell>
          <cell r="B119" t="str">
            <v>5</v>
          </cell>
          <cell r="C119" t="str">
            <v>빗물받이</v>
          </cell>
          <cell r="E119">
            <v>121</v>
          </cell>
          <cell r="G119" t="str">
            <v>개소</v>
          </cell>
          <cell r="I119">
            <v>0</v>
          </cell>
          <cell r="K119" t="str">
            <v>IL35630</v>
          </cell>
          <cell r="L119" t="str">
            <v>A002</v>
          </cell>
          <cell r="M119" t="str">
            <v>U</v>
          </cell>
        </row>
        <row r="120">
          <cell r="A120">
            <v>6000</v>
          </cell>
          <cell r="B120" t="str">
            <v>5</v>
          </cell>
          <cell r="C120" t="str">
            <v>집수정</v>
          </cell>
          <cell r="D120" t="str">
            <v>TYPE-2</v>
          </cell>
          <cell r="E120">
            <v>7</v>
          </cell>
          <cell r="G120" t="str">
            <v>개소</v>
          </cell>
          <cell r="I120">
            <v>0</v>
          </cell>
          <cell r="K120" t="str">
            <v>IL35640</v>
          </cell>
          <cell r="L120" t="str">
            <v>A002</v>
          </cell>
          <cell r="M120" t="str">
            <v>U</v>
          </cell>
        </row>
        <row r="121">
          <cell r="A121">
            <v>6050</v>
          </cell>
          <cell r="B121" t="str">
            <v>5</v>
          </cell>
          <cell r="C121" t="str">
            <v>집수정</v>
          </cell>
          <cell r="D121" t="str">
            <v>TYPE-3</v>
          </cell>
          <cell r="E121">
            <v>1</v>
          </cell>
          <cell r="G121" t="str">
            <v>개소</v>
          </cell>
          <cell r="I121">
            <v>0</v>
          </cell>
          <cell r="K121" t="str">
            <v>IL35650</v>
          </cell>
          <cell r="L121" t="str">
            <v>A002</v>
          </cell>
          <cell r="M121" t="str">
            <v>U</v>
          </cell>
        </row>
        <row r="122">
          <cell r="A122">
            <v>6100</v>
          </cell>
          <cell r="B122" t="str">
            <v>5</v>
          </cell>
          <cell r="C122" t="str">
            <v>집수정</v>
          </cell>
          <cell r="D122" t="str">
            <v>TYPE-4</v>
          </cell>
          <cell r="E122">
            <v>1</v>
          </cell>
          <cell r="G122" t="str">
            <v>개소</v>
          </cell>
          <cell r="I122">
            <v>0</v>
          </cell>
          <cell r="K122" t="str">
            <v>IL35660</v>
          </cell>
          <cell r="L122" t="str">
            <v>A002</v>
          </cell>
          <cell r="M122" t="str">
            <v>U</v>
          </cell>
        </row>
        <row r="123">
          <cell r="A123">
            <v>6150</v>
          </cell>
          <cell r="B123" t="str">
            <v>5</v>
          </cell>
          <cell r="C123" t="str">
            <v>집수정</v>
          </cell>
          <cell r="D123" t="str">
            <v>TYPE-5</v>
          </cell>
          <cell r="E123">
            <v>2</v>
          </cell>
          <cell r="G123" t="str">
            <v>개소</v>
          </cell>
          <cell r="I123">
            <v>0</v>
          </cell>
          <cell r="K123" t="str">
            <v>IL35665</v>
          </cell>
          <cell r="L123" t="str">
            <v>A002</v>
          </cell>
          <cell r="M123" t="str">
            <v>U</v>
          </cell>
        </row>
        <row r="124">
          <cell r="A124">
            <v>6200</v>
          </cell>
          <cell r="B124" t="str">
            <v>5</v>
          </cell>
          <cell r="C124" t="str">
            <v>집수정</v>
          </cell>
          <cell r="D124" t="str">
            <v>TYPE-6</v>
          </cell>
          <cell r="E124">
            <v>2</v>
          </cell>
          <cell r="G124" t="str">
            <v>개소</v>
          </cell>
          <cell r="I124">
            <v>0</v>
          </cell>
          <cell r="K124" t="str">
            <v>IL35670</v>
          </cell>
          <cell r="L124" t="str">
            <v>A002</v>
          </cell>
          <cell r="M124" t="str">
            <v>U</v>
          </cell>
        </row>
        <row r="125">
          <cell r="A125">
            <v>6250</v>
          </cell>
          <cell r="B125" t="str">
            <v>5</v>
          </cell>
          <cell r="C125" t="str">
            <v>집수정</v>
          </cell>
          <cell r="D125" t="str">
            <v>TYPE-7</v>
          </cell>
          <cell r="E125">
            <v>3</v>
          </cell>
          <cell r="G125" t="str">
            <v>개소</v>
          </cell>
          <cell r="I125">
            <v>0</v>
          </cell>
          <cell r="K125" t="str">
            <v>IL35672</v>
          </cell>
          <cell r="L125" t="str">
            <v>A002</v>
          </cell>
          <cell r="M125" t="str">
            <v>U</v>
          </cell>
        </row>
        <row r="126">
          <cell r="A126">
            <v>6300</v>
          </cell>
          <cell r="B126" t="str">
            <v>5</v>
          </cell>
          <cell r="C126" t="str">
            <v>집수정</v>
          </cell>
          <cell r="D126" t="str">
            <v>TYPE-8</v>
          </cell>
          <cell r="E126">
            <v>1</v>
          </cell>
          <cell r="G126" t="str">
            <v>개소</v>
          </cell>
          <cell r="I126">
            <v>0</v>
          </cell>
          <cell r="K126" t="str">
            <v>IL35674</v>
          </cell>
          <cell r="L126" t="str">
            <v>A002</v>
          </cell>
          <cell r="M126" t="str">
            <v>U</v>
          </cell>
        </row>
        <row r="127">
          <cell r="A127">
            <v>6350</v>
          </cell>
          <cell r="B127" t="str">
            <v>5</v>
          </cell>
          <cell r="C127" t="str">
            <v>집수정(항공기용)</v>
          </cell>
          <cell r="D127" t="str">
            <v>TYPE-9</v>
          </cell>
          <cell r="E127">
            <v>1</v>
          </cell>
          <cell r="G127" t="str">
            <v>개소</v>
          </cell>
          <cell r="I127">
            <v>0</v>
          </cell>
          <cell r="K127" t="str">
            <v>IL35675</v>
          </cell>
          <cell r="L127" t="str">
            <v>A002</v>
          </cell>
          <cell r="M127" t="str">
            <v>U</v>
          </cell>
        </row>
        <row r="128">
          <cell r="A128">
            <v>6400</v>
          </cell>
          <cell r="B128" t="str">
            <v>5</v>
          </cell>
          <cell r="C128" t="str">
            <v>홈통받이</v>
          </cell>
          <cell r="E128">
            <v>17</v>
          </cell>
          <cell r="G128" t="str">
            <v>개소</v>
          </cell>
          <cell r="I128">
            <v>0</v>
          </cell>
          <cell r="K128" t="str">
            <v>IL35690</v>
          </cell>
          <cell r="L128" t="str">
            <v>A002</v>
          </cell>
          <cell r="M128" t="str">
            <v>U</v>
          </cell>
        </row>
        <row r="129">
          <cell r="A129">
            <v>6450</v>
          </cell>
          <cell r="B129" t="str">
            <v>5</v>
          </cell>
          <cell r="C129" t="str">
            <v>물푸기</v>
          </cell>
          <cell r="E129">
            <v>16</v>
          </cell>
          <cell r="G129" t="str">
            <v>HR</v>
          </cell>
          <cell r="I129">
            <v>0</v>
          </cell>
          <cell r="K129" t="str">
            <v>SD30010</v>
          </cell>
          <cell r="L129" t="str">
            <v>A002</v>
          </cell>
          <cell r="M129" t="str">
            <v>U</v>
          </cell>
        </row>
        <row r="130">
          <cell r="A130">
            <v>6500</v>
          </cell>
          <cell r="B130" t="str">
            <v>4</v>
          </cell>
          <cell r="C130" t="str">
            <v>5) 배수BOX</v>
          </cell>
          <cell r="E130">
            <v>0</v>
          </cell>
          <cell r="I130">
            <v>0</v>
          </cell>
          <cell r="L130" t="str">
            <v>A002</v>
          </cell>
          <cell r="M130" t="str">
            <v>U</v>
          </cell>
        </row>
        <row r="131">
          <cell r="A131">
            <v>6550</v>
          </cell>
          <cell r="B131" t="str">
            <v>5</v>
          </cell>
          <cell r="C131" t="str">
            <v>가) 암거 BOX</v>
          </cell>
          <cell r="E131">
            <v>0</v>
          </cell>
          <cell r="I131">
            <v>0</v>
          </cell>
          <cell r="L131" t="str">
            <v>A002</v>
          </cell>
          <cell r="M131" t="str">
            <v>U</v>
          </cell>
        </row>
        <row r="132">
          <cell r="A132">
            <v>6600</v>
          </cell>
          <cell r="B132" t="str">
            <v>6</v>
          </cell>
          <cell r="C132" t="str">
            <v>암거(주차장지역)</v>
          </cell>
          <cell r="D132" t="str">
            <v>1＠1.0×1.0</v>
          </cell>
          <cell r="E132">
            <v>64</v>
          </cell>
          <cell r="G132" t="str">
            <v>M</v>
          </cell>
          <cell r="I132">
            <v>0</v>
          </cell>
          <cell r="K132" t="str">
            <v>IL36500</v>
          </cell>
          <cell r="L132" t="str">
            <v>A002</v>
          </cell>
          <cell r="M132" t="str">
            <v>U</v>
          </cell>
        </row>
        <row r="133">
          <cell r="A133">
            <v>6650</v>
          </cell>
          <cell r="B133" t="str">
            <v>6</v>
          </cell>
          <cell r="C133" t="str">
            <v>암거(계류장지역)</v>
          </cell>
          <cell r="D133" t="str">
            <v>1＠0.7×0.5</v>
          </cell>
          <cell r="E133">
            <v>9</v>
          </cell>
          <cell r="G133" t="str">
            <v>M</v>
          </cell>
          <cell r="I133">
            <v>0</v>
          </cell>
          <cell r="K133" t="str">
            <v>IL36550</v>
          </cell>
          <cell r="L133" t="str">
            <v>A002</v>
          </cell>
          <cell r="M133" t="str">
            <v>U</v>
          </cell>
        </row>
        <row r="134">
          <cell r="A134">
            <v>6700</v>
          </cell>
          <cell r="B134" t="str">
            <v>6</v>
          </cell>
          <cell r="C134" t="str">
            <v>암거(계류장지역)</v>
          </cell>
          <cell r="D134" t="str">
            <v>1＠1.0×1.0</v>
          </cell>
          <cell r="E134">
            <v>46</v>
          </cell>
          <cell r="G134" t="str">
            <v>M</v>
          </cell>
          <cell r="I134">
            <v>0</v>
          </cell>
          <cell r="K134" t="str">
            <v>IL36600</v>
          </cell>
          <cell r="L134" t="str">
            <v>A002</v>
          </cell>
          <cell r="M134" t="str">
            <v>U</v>
          </cell>
        </row>
        <row r="135">
          <cell r="A135">
            <v>6750</v>
          </cell>
          <cell r="B135" t="str">
            <v>6</v>
          </cell>
          <cell r="C135" t="str">
            <v>암거(계류장지역)</v>
          </cell>
          <cell r="D135" t="str">
            <v>1＠1.5×1.0</v>
          </cell>
          <cell r="E135">
            <v>46</v>
          </cell>
          <cell r="G135" t="str">
            <v>M</v>
          </cell>
          <cell r="I135">
            <v>0</v>
          </cell>
          <cell r="K135" t="str">
            <v>IL36650</v>
          </cell>
          <cell r="L135" t="str">
            <v>A002</v>
          </cell>
          <cell r="M135" t="str">
            <v>U</v>
          </cell>
        </row>
        <row r="136">
          <cell r="A136">
            <v>6800</v>
          </cell>
          <cell r="B136" t="str">
            <v>6</v>
          </cell>
          <cell r="C136" t="str">
            <v>암거(계류장지역,TYPE-1)</v>
          </cell>
          <cell r="D136" t="str">
            <v>3＠2.6×2.0</v>
          </cell>
          <cell r="E136">
            <v>269</v>
          </cell>
          <cell r="G136" t="str">
            <v>M</v>
          </cell>
          <cell r="I136">
            <v>0</v>
          </cell>
          <cell r="K136" t="str">
            <v>IL36700</v>
          </cell>
          <cell r="L136" t="str">
            <v>A002</v>
          </cell>
          <cell r="M136" t="str">
            <v>U</v>
          </cell>
        </row>
        <row r="137">
          <cell r="A137">
            <v>6850</v>
          </cell>
          <cell r="B137" t="str">
            <v>6</v>
          </cell>
          <cell r="C137" t="str">
            <v>암거(계류장지역,TYPE-2)</v>
          </cell>
          <cell r="D137" t="str">
            <v>3＠2.6×2.0</v>
          </cell>
          <cell r="E137">
            <v>617</v>
          </cell>
          <cell r="G137" t="str">
            <v>M</v>
          </cell>
          <cell r="I137">
            <v>0</v>
          </cell>
          <cell r="K137" t="str">
            <v>IL36710</v>
          </cell>
          <cell r="L137" t="str">
            <v>A002</v>
          </cell>
          <cell r="M137" t="str">
            <v>U</v>
          </cell>
        </row>
        <row r="138">
          <cell r="A138">
            <v>6900</v>
          </cell>
          <cell r="B138" t="str">
            <v>6</v>
          </cell>
          <cell r="C138" t="str">
            <v>암거(계류장지역)</v>
          </cell>
          <cell r="D138" t="str">
            <v>6＠1.3×1.3</v>
          </cell>
          <cell r="E138">
            <v>33</v>
          </cell>
          <cell r="G138" t="str">
            <v>M</v>
          </cell>
          <cell r="I138">
            <v>0</v>
          </cell>
          <cell r="K138" t="str">
            <v>IL36750</v>
          </cell>
          <cell r="L138" t="str">
            <v>A002</v>
          </cell>
          <cell r="M138" t="str">
            <v>U</v>
          </cell>
        </row>
        <row r="139">
          <cell r="A139">
            <v>6950</v>
          </cell>
          <cell r="B139" t="str">
            <v>6</v>
          </cell>
          <cell r="C139" t="str">
            <v>암거난간벽</v>
          </cell>
          <cell r="D139" t="str">
            <v>1＠1.5×1.0</v>
          </cell>
          <cell r="E139">
            <v>1</v>
          </cell>
          <cell r="G139" t="str">
            <v>개소</v>
          </cell>
          <cell r="I139">
            <v>0</v>
          </cell>
          <cell r="K139" t="str">
            <v>IL36810</v>
          </cell>
          <cell r="L139" t="str">
            <v>A002</v>
          </cell>
          <cell r="M139" t="str">
            <v>U</v>
          </cell>
        </row>
        <row r="140">
          <cell r="A140">
            <v>7000</v>
          </cell>
          <cell r="B140" t="str">
            <v>6</v>
          </cell>
          <cell r="C140" t="str">
            <v>암거난간벽</v>
          </cell>
          <cell r="D140" t="str">
            <v>6＠1.3×1.3</v>
          </cell>
          <cell r="E140">
            <v>1</v>
          </cell>
          <cell r="G140" t="str">
            <v>개소</v>
          </cell>
          <cell r="I140">
            <v>0</v>
          </cell>
          <cell r="K140" t="str">
            <v>IL36820</v>
          </cell>
          <cell r="L140" t="str">
            <v>A002</v>
          </cell>
          <cell r="M140" t="str">
            <v>U</v>
          </cell>
        </row>
        <row r="141">
          <cell r="A141">
            <v>7050</v>
          </cell>
          <cell r="B141" t="str">
            <v>6</v>
          </cell>
          <cell r="C141" t="str">
            <v>신축이음</v>
          </cell>
          <cell r="D141" t="str">
            <v>TYPE-1</v>
          </cell>
          <cell r="E141">
            <v>1</v>
          </cell>
          <cell r="G141" t="str">
            <v>개소</v>
          </cell>
          <cell r="I141">
            <v>0</v>
          </cell>
          <cell r="K141" t="str">
            <v>SI30710</v>
          </cell>
          <cell r="L141" t="str">
            <v>A002</v>
          </cell>
          <cell r="M141" t="str">
            <v>U</v>
          </cell>
        </row>
        <row r="142">
          <cell r="A142">
            <v>7100</v>
          </cell>
          <cell r="B142" t="str">
            <v>6</v>
          </cell>
          <cell r="C142" t="str">
            <v>신축이음</v>
          </cell>
          <cell r="D142" t="str">
            <v>TYPE-2</v>
          </cell>
          <cell r="E142">
            <v>1</v>
          </cell>
          <cell r="G142" t="str">
            <v>개소</v>
          </cell>
          <cell r="I142">
            <v>0</v>
          </cell>
          <cell r="K142" t="str">
            <v>SI30720</v>
          </cell>
          <cell r="L142" t="str">
            <v>A002</v>
          </cell>
          <cell r="M142" t="str">
            <v>U</v>
          </cell>
        </row>
        <row r="143">
          <cell r="A143">
            <v>7150</v>
          </cell>
          <cell r="B143" t="str">
            <v>6</v>
          </cell>
          <cell r="C143" t="str">
            <v>물푸기</v>
          </cell>
          <cell r="E143">
            <v>1347</v>
          </cell>
          <cell r="G143" t="str">
            <v>HR</v>
          </cell>
          <cell r="I143">
            <v>0</v>
          </cell>
          <cell r="K143" t="str">
            <v>SD30010</v>
          </cell>
          <cell r="L143" t="str">
            <v>A002</v>
          </cell>
          <cell r="M143" t="str">
            <v>U</v>
          </cell>
        </row>
        <row r="144">
          <cell r="A144">
            <v>7200</v>
          </cell>
          <cell r="B144" t="str">
            <v>5</v>
          </cell>
          <cell r="C144" t="str">
            <v>나) 유입구 BOX</v>
          </cell>
          <cell r="E144">
            <v>0</v>
          </cell>
          <cell r="I144">
            <v>0</v>
          </cell>
          <cell r="L144" t="str">
            <v>A002</v>
          </cell>
          <cell r="M144" t="str">
            <v>U</v>
          </cell>
        </row>
        <row r="145">
          <cell r="A145">
            <v>7250</v>
          </cell>
          <cell r="B145" t="str">
            <v>6</v>
          </cell>
          <cell r="C145" t="str">
            <v>유입구 BOX</v>
          </cell>
          <cell r="D145" t="str">
            <v>0.7W X 0.5H</v>
          </cell>
          <cell r="E145">
            <v>90</v>
          </cell>
          <cell r="G145" t="str">
            <v>M</v>
          </cell>
          <cell r="I145">
            <v>0</v>
          </cell>
          <cell r="K145" t="str">
            <v>IL36110</v>
          </cell>
          <cell r="L145" t="str">
            <v>A002</v>
          </cell>
          <cell r="M145" t="str">
            <v>U</v>
          </cell>
        </row>
        <row r="146">
          <cell r="A146">
            <v>7300</v>
          </cell>
          <cell r="B146" t="str">
            <v>5</v>
          </cell>
          <cell r="C146" t="str">
            <v>다)접속슬래브</v>
          </cell>
          <cell r="E146">
            <v>0</v>
          </cell>
          <cell r="I146">
            <v>0</v>
          </cell>
          <cell r="L146" t="str">
            <v>A002</v>
          </cell>
          <cell r="M146" t="str">
            <v>U</v>
          </cell>
        </row>
        <row r="147">
          <cell r="A147">
            <v>7350</v>
          </cell>
          <cell r="B147" t="str">
            <v>6</v>
          </cell>
          <cell r="C147" t="str">
            <v>암거 접속 슬래브</v>
          </cell>
          <cell r="D147" t="str">
            <v>TYPE-A</v>
          </cell>
          <cell r="E147">
            <v>1771</v>
          </cell>
          <cell r="G147" t="str">
            <v>M</v>
          </cell>
          <cell r="I147">
            <v>0</v>
          </cell>
          <cell r="K147" t="str">
            <v>IL36400</v>
          </cell>
          <cell r="L147" t="str">
            <v>A002</v>
          </cell>
          <cell r="M147" t="str">
            <v>U</v>
          </cell>
        </row>
        <row r="148">
          <cell r="A148">
            <v>7400</v>
          </cell>
          <cell r="B148" t="str">
            <v>6</v>
          </cell>
          <cell r="C148" t="str">
            <v>암거 접속 슬래브</v>
          </cell>
          <cell r="D148" t="str">
            <v>TYPE-B</v>
          </cell>
          <cell r="E148">
            <v>267</v>
          </cell>
          <cell r="G148" t="str">
            <v>M</v>
          </cell>
          <cell r="I148">
            <v>0</v>
          </cell>
          <cell r="K148" t="str">
            <v>IL36450</v>
          </cell>
          <cell r="L148" t="str">
            <v>A002</v>
          </cell>
          <cell r="M148" t="str">
            <v>U</v>
          </cell>
        </row>
        <row r="149">
          <cell r="A149">
            <v>7450</v>
          </cell>
          <cell r="B149" t="str">
            <v>4</v>
          </cell>
          <cell r="C149" t="str">
            <v>6)우수맨홀</v>
          </cell>
          <cell r="E149">
            <v>0</v>
          </cell>
          <cell r="I149">
            <v>0</v>
          </cell>
          <cell r="L149" t="str">
            <v>A002</v>
          </cell>
          <cell r="M149" t="str">
            <v>U</v>
          </cell>
        </row>
        <row r="150">
          <cell r="A150">
            <v>7500</v>
          </cell>
          <cell r="B150" t="str">
            <v>5</v>
          </cell>
          <cell r="C150" t="str">
            <v>가)우수원형맨홀</v>
          </cell>
          <cell r="E150">
            <v>0</v>
          </cell>
          <cell r="I150">
            <v>0</v>
          </cell>
          <cell r="L150" t="str">
            <v>A002</v>
          </cell>
          <cell r="M150" t="str">
            <v>U</v>
          </cell>
        </row>
        <row r="151">
          <cell r="A151">
            <v>7550</v>
          </cell>
          <cell r="B151" t="str">
            <v>6</v>
          </cell>
          <cell r="C151" t="str">
            <v>터파기(토사,0-6m)</v>
          </cell>
          <cell r="D151" t="str">
            <v>백호우 0.7M3</v>
          </cell>
          <cell r="E151">
            <v>1145</v>
          </cell>
          <cell r="G151" t="str">
            <v>M3</v>
          </cell>
          <cell r="I151">
            <v>0</v>
          </cell>
          <cell r="K151" t="str">
            <v>IL00580</v>
          </cell>
          <cell r="L151" t="str">
            <v>A002</v>
          </cell>
          <cell r="M151" t="str">
            <v>U</v>
          </cell>
        </row>
        <row r="152">
          <cell r="A152">
            <v>7600</v>
          </cell>
          <cell r="B152" t="str">
            <v>6</v>
          </cell>
          <cell r="C152" t="str">
            <v>터파기(토사):수중(0-4M)</v>
          </cell>
          <cell r="D152" t="str">
            <v>기계(B/H0.7M3)80%+인력20%</v>
          </cell>
          <cell r="E152">
            <v>148</v>
          </cell>
          <cell r="G152" t="str">
            <v>M3</v>
          </cell>
          <cell r="I152">
            <v>0</v>
          </cell>
          <cell r="K152" t="str">
            <v>IL00450</v>
          </cell>
          <cell r="L152" t="str">
            <v>A002</v>
          </cell>
          <cell r="M152" t="str">
            <v>U</v>
          </cell>
        </row>
        <row r="153">
          <cell r="A153">
            <v>7650</v>
          </cell>
          <cell r="B153" t="str">
            <v>6</v>
          </cell>
          <cell r="C153" t="str">
            <v>되메우기</v>
          </cell>
          <cell r="D153" t="str">
            <v>기계,B/H+RAMMER</v>
          </cell>
          <cell r="E153">
            <v>1122</v>
          </cell>
          <cell r="G153" t="str">
            <v>M3</v>
          </cell>
          <cell r="I153">
            <v>0</v>
          </cell>
          <cell r="K153" t="str">
            <v>I00590</v>
          </cell>
          <cell r="L153" t="str">
            <v>A002</v>
          </cell>
          <cell r="M153" t="str">
            <v>U</v>
          </cell>
        </row>
        <row r="154">
          <cell r="A154">
            <v>7700</v>
          </cell>
          <cell r="B154" t="str">
            <v>6</v>
          </cell>
          <cell r="C154" t="str">
            <v>연결관링거푸집</v>
          </cell>
          <cell r="D154" t="str">
            <v>PE 10회용 흄관φ450  (A형)</v>
          </cell>
          <cell r="E154">
            <v>44</v>
          </cell>
          <cell r="G154" t="str">
            <v>EA</v>
          </cell>
          <cell r="I154">
            <v>0</v>
          </cell>
          <cell r="K154" t="str">
            <v>M1065060</v>
          </cell>
          <cell r="L154" t="str">
            <v>A002</v>
          </cell>
          <cell r="M154" t="str">
            <v>U</v>
          </cell>
        </row>
        <row r="155">
          <cell r="A155">
            <v>7750</v>
          </cell>
          <cell r="B155" t="str">
            <v>6</v>
          </cell>
          <cell r="C155" t="str">
            <v>연결관링거푸집</v>
          </cell>
          <cell r="D155" t="str">
            <v>PE 10회용 흄관φ600  (A형)</v>
          </cell>
          <cell r="E155">
            <v>12</v>
          </cell>
          <cell r="G155" t="str">
            <v>EA</v>
          </cell>
          <cell r="I155">
            <v>0</v>
          </cell>
          <cell r="K155" t="str">
            <v>M1065063</v>
          </cell>
          <cell r="L155" t="str">
            <v>A002</v>
          </cell>
          <cell r="M155" t="str">
            <v>U</v>
          </cell>
        </row>
        <row r="156">
          <cell r="A156">
            <v>7800</v>
          </cell>
          <cell r="B156" t="str">
            <v>6</v>
          </cell>
          <cell r="C156" t="str">
            <v>연결관링거푸집</v>
          </cell>
          <cell r="D156" t="str">
            <v>PE 10회용 흄관φ800  (A형)</v>
          </cell>
          <cell r="E156">
            <v>11</v>
          </cell>
          <cell r="G156" t="str">
            <v>EA</v>
          </cell>
          <cell r="I156">
            <v>0</v>
          </cell>
          <cell r="K156" t="str">
            <v>M1065066</v>
          </cell>
          <cell r="L156" t="str">
            <v>A002</v>
          </cell>
          <cell r="M156" t="str">
            <v>U</v>
          </cell>
        </row>
        <row r="157">
          <cell r="A157">
            <v>7850</v>
          </cell>
          <cell r="B157" t="str">
            <v>6</v>
          </cell>
          <cell r="C157" t="str">
            <v>연결관링거푸집</v>
          </cell>
          <cell r="D157" t="str">
            <v>PE 10회용 흄관φ1200  (A형)</v>
          </cell>
          <cell r="E157">
            <v>7</v>
          </cell>
          <cell r="G157" t="str">
            <v>EA</v>
          </cell>
          <cell r="I157">
            <v>0</v>
          </cell>
          <cell r="K157" t="str">
            <v>M1065067</v>
          </cell>
          <cell r="L157" t="str">
            <v>A002</v>
          </cell>
          <cell r="M157" t="str">
            <v>U</v>
          </cell>
        </row>
        <row r="158">
          <cell r="A158">
            <v>7900</v>
          </cell>
          <cell r="B158" t="str">
            <v>6</v>
          </cell>
          <cell r="C158" t="str">
            <v>원형1호맨홀(차도측)</v>
          </cell>
          <cell r="D158" t="str">
            <v>Φ900MM</v>
          </cell>
          <cell r="E158">
            <v>8</v>
          </cell>
          <cell r="G158" t="str">
            <v>개소</v>
          </cell>
          <cell r="I158">
            <v>0</v>
          </cell>
          <cell r="K158" t="str">
            <v>IL37045</v>
          </cell>
          <cell r="L158" t="str">
            <v>A002</v>
          </cell>
          <cell r="M158" t="str">
            <v>U</v>
          </cell>
        </row>
        <row r="159">
          <cell r="A159">
            <v>7950</v>
          </cell>
          <cell r="B159" t="str">
            <v>6</v>
          </cell>
          <cell r="C159" t="str">
            <v>원형1호맨홀(보도및조경측)</v>
          </cell>
          <cell r="D159" t="str">
            <v>Φ900MM</v>
          </cell>
          <cell r="E159">
            <v>18</v>
          </cell>
          <cell r="G159" t="str">
            <v>개소</v>
          </cell>
          <cell r="I159">
            <v>0</v>
          </cell>
          <cell r="K159" t="str">
            <v>IL37050</v>
          </cell>
          <cell r="L159" t="str">
            <v>A002</v>
          </cell>
          <cell r="M159" t="str">
            <v>U</v>
          </cell>
        </row>
        <row r="160">
          <cell r="A160">
            <v>8000</v>
          </cell>
          <cell r="B160" t="str">
            <v>6</v>
          </cell>
          <cell r="C160" t="str">
            <v>원형2호맨홀(보도및조경측)</v>
          </cell>
          <cell r="D160" t="str">
            <v>Φ1200MM</v>
          </cell>
          <cell r="E160">
            <v>9</v>
          </cell>
          <cell r="G160" t="str">
            <v>개소</v>
          </cell>
          <cell r="I160">
            <v>0</v>
          </cell>
          <cell r="K160" t="str">
            <v>IL37055</v>
          </cell>
          <cell r="L160" t="str">
            <v>A002</v>
          </cell>
          <cell r="M160" t="str">
            <v>U</v>
          </cell>
        </row>
        <row r="161">
          <cell r="A161">
            <v>8050</v>
          </cell>
          <cell r="B161" t="str">
            <v>6</v>
          </cell>
          <cell r="C161" t="str">
            <v>원형3호맨홀(보도및조경측)</v>
          </cell>
          <cell r="D161" t="str">
            <v>Φ1500MM</v>
          </cell>
          <cell r="E161">
            <v>4</v>
          </cell>
          <cell r="G161" t="str">
            <v>개소</v>
          </cell>
          <cell r="I161">
            <v>0</v>
          </cell>
          <cell r="K161" t="str">
            <v>IL37065</v>
          </cell>
          <cell r="L161" t="str">
            <v>A002</v>
          </cell>
          <cell r="M161" t="str">
            <v>U</v>
          </cell>
        </row>
        <row r="162">
          <cell r="A162">
            <v>8100</v>
          </cell>
          <cell r="B162" t="str">
            <v>6</v>
          </cell>
          <cell r="C162" t="str">
            <v>물푸기</v>
          </cell>
          <cell r="E162">
            <v>53</v>
          </cell>
          <cell r="G162" t="str">
            <v>HR</v>
          </cell>
          <cell r="I162">
            <v>0</v>
          </cell>
          <cell r="K162" t="str">
            <v>SD30010</v>
          </cell>
          <cell r="L162" t="str">
            <v>A002</v>
          </cell>
          <cell r="M162" t="str">
            <v>U</v>
          </cell>
        </row>
        <row r="163">
          <cell r="A163">
            <v>8150</v>
          </cell>
          <cell r="B163" t="str">
            <v>5</v>
          </cell>
          <cell r="C163" t="str">
            <v>나)우수각형맨홀</v>
          </cell>
          <cell r="E163">
            <v>0</v>
          </cell>
          <cell r="I163">
            <v>0</v>
          </cell>
          <cell r="L163" t="str">
            <v>A002</v>
          </cell>
          <cell r="M163" t="str">
            <v>U</v>
          </cell>
        </row>
        <row r="164">
          <cell r="A164">
            <v>8200</v>
          </cell>
          <cell r="B164" t="str">
            <v>6</v>
          </cell>
          <cell r="C164" t="str">
            <v>터파기(토사,0-6m)</v>
          </cell>
          <cell r="D164" t="str">
            <v>백호우 0.7M3</v>
          </cell>
          <cell r="E164">
            <v>83</v>
          </cell>
          <cell r="G164" t="str">
            <v>M3</v>
          </cell>
          <cell r="I164">
            <v>0</v>
          </cell>
          <cell r="K164" t="str">
            <v>IL00580</v>
          </cell>
          <cell r="L164" t="str">
            <v>A002</v>
          </cell>
          <cell r="M164" t="str">
            <v>U</v>
          </cell>
        </row>
        <row r="165">
          <cell r="A165">
            <v>8250</v>
          </cell>
          <cell r="B165" t="str">
            <v>6</v>
          </cell>
          <cell r="C165" t="str">
            <v>수중터파기(토사,0-6M)</v>
          </cell>
          <cell r="D165" t="str">
            <v>백호우 0.7M3</v>
          </cell>
          <cell r="E165">
            <v>56</v>
          </cell>
          <cell r="G165" t="str">
            <v>M3</v>
          </cell>
          <cell r="I165">
            <v>0</v>
          </cell>
          <cell r="K165" t="str">
            <v>IL00450</v>
          </cell>
          <cell r="L165" t="str">
            <v>A002</v>
          </cell>
          <cell r="M165" t="str">
            <v>U</v>
          </cell>
        </row>
        <row r="166">
          <cell r="A166">
            <v>8300</v>
          </cell>
          <cell r="B166" t="str">
            <v>6</v>
          </cell>
          <cell r="C166" t="str">
            <v>되메우기</v>
          </cell>
          <cell r="D166" t="str">
            <v>기계,B/H+RAMMER</v>
          </cell>
          <cell r="E166">
            <v>112</v>
          </cell>
          <cell r="G166" t="str">
            <v>M3</v>
          </cell>
          <cell r="I166">
            <v>0</v>
          </cell>
          <cell r="K166" t="str">
            <v>I00590</v>
          </cell>
          <cell r="L166" t="str">
            <v>A002</v>
          </cell>
          <cell r="M166" t="str">
            <v>U</v>
          </cell>
        </row>
        <row r="167">
          <cell r="A167">
            <v>8350</v>
          </cell>
          <cell r="B167" t="str">
            <v>6</v>
          </cell>
          <cell r="C167" t="str">
            <v>각형1호맨홀(보도및조경측)</v>
          </cell>
          <cell r="E167">
            <v>1</v>
          </cell>
          <cell r="G167" t="str">
            <v>개소</v>
          </cell>
          <cell r="I167">
            <v>0</v>
          </cell>
          <cell r="K167" t="str">
            <v>IL37070</v>
          </cell>
          <cell r="L167" t="str">
            <v>A002</v>
          </cell>
          <cell r="M167" t="str">
            <v>U</v>
          </cell>
        </row>
        <row r="168">
          <cell r="A168">
            <v>8400</v>
          </cell>
          <cell r="B168" t="str">
            <v>6</v>
          </cell>
          <cell r="C168" t="str">
            <v>각형3호맨홀(계류장지역)</v>
          </cell>
          <cell r="E168">
            <v>1</v>
          </cell>
          <cell r="G168" t="str">
            <v>개소</v>
          </cell>
          <cell r="I168">
            <v>0</v>
          </cell>
          <cell r="K168" t="str">
            <v>IL37072</v>
          </cell>
          <cell r="L168" t="str">
            <v>A002</v>
          </cell>
          <cell r="M168" t="str">
            <v>U</v>
          </cell>
        </row>
        <row r="169">
          <cell r="A169">
            <v>8450</v>
          </cell>
          <cell r="B169" t="str">
            <v>6</v>
          </cell>
          <cell r="C169" t="str">
            <v>각형4호맨홀(계류장지역)</v>
          </cell>
          <cell r="E169">
            <v>1</v>
          </cell>
          <cell r="G169" t="str">
            <v>개소</v>
          </cell>
          <cell r="I169">
            <v>0</v>
          </cell>
          <cell r="K169" t="str">
            <v>IL37074</v>
          </cell>
          <cell r="L169" t="str">
            <v>A002</v>
          </cell>
          <cell r="M169" t="str">
            <v>U</v>
          </cell>
        </row>
        <row r="170">
          <cell r="A170">
            <v>8500</v>
          </cell>
          <cell r="B170" t="str">
            <v>6</v>
          </cell>
          <cell r="C170" t="str">
            <v>물푸기</v>
          </cell>
          <cell r="E170">
            <v>50</v>
          </cell>
          <cell r="G170" t="str">
            <v>HR</v>
          </cell>
          <cell r="I170">
            <v>0</v>
          </cell>
          <cell r="K170" t="str">
            <v>SD30010</v>
          </cell>
          <cell r="L170" t="str">
            <v>A002</v>
          </cell>
          <cell r="M170" t="str">
            <v>U</v>
          </cell>
        </row>
        <row r="171">
          <cell r="A171">
            <v>8550</v>
          </cell>
          <cell r="B171" t="str">
            <v>4</v>
          </cell>
          <cell r="C171" t="str">
            <v>7)집속 맹암거</v>
          </cell>
          <cell r="E171">
            <v>0</v>
          </cell>
          <cell r="I171">
            <v>0</v>
          </cell>
          <cell r="L171" t="str">
            <v>A002</v>
          </cell>
          <cell r="M171" t="str">
            <v>U</v>
          </cell>
        </row>
        <row r="172">
          <cell r="A172">
            <v>8600</v>
          </cell>
          <cell r="B172" t="str">
            <v>5</v>
          </cell>
          <cell r="C172" t="str">
            <v>맹암거부설(TYPE-A)</v>
          </cell>
          <cell r="D172" t="str">
            <v>D200MM</v>
          </cell>
          <cell r="E172">
            <v>704</v>
          </cell>
          <cell r="G172" t="str">
            <v>M</v>
          </cell>
          <cell r="I172">
            <v>0</v>
          </cell>
          <cell r="K172" t="str">
            <v>IL37130</v>
          </cell>
          <cell r="L172" t="str">
            <v>A002</v>
          </cell>
          <cell r="M172" t="str">
            <v>U</v>
          </cell>
        </row>
        <row r="173">
          <cell r="A173">
            <v>8650</v>
          </cell>
          <cell r="B173" t="str">
            <v>5</v>
          </cell>
          <cell r="C173" t="str">
            <v>맹암거부설(TYPE-B)</v>
          </cell>
          <cell r="D173" t="str">
            <v>D100MM</v>
          </cell>
          <cell r="E173">
            <v>1325</v>
          </cell>
          <cell r="G173" t="str">
            <v>M</v>
          </cell>
          <cell r="I173">
            <v>0</v>
          </cell>
          <cell r="K173" t="str">
            <v>IL37110</v>
          </cell>
          <cell r="L173" t="str">
            <v>A002</v>
          </cell>
          <cell r="M173" t="str">
            <v>U</v>
          </cell>
        </row>
        <row r="174">
          <cell r="A174">
            <v>8700</v>
          </cell>
          <cell r="B174" t="str">
            <v>5</v>
          </cell>
          <cell r="C174" t="str">
            <v>맹암거부설(TYPE-B)</v>
          </cell>
          <cell r="D174" t="str">
            <v>D200MM</v>
          </cell>
          <cell r="E174">
            <v>391</v>
          </cell>
          <cell r="G174" t="str">
            <v>M</v>
          </cell>
          <cell r="I174">
            <v>0</v>
          </cell>
          <cell r="K174" t="str">
            <v>IL37120</v>
          </cell>
          <cell r="L174" t="str">
            <v>A002</v>
          </cell>
          <cell r="M174" t="str">
            <v>U</v>
          </cell>
        </row>
        <row r="175">
          <cell r="A175">
            <v>8750</v>
          </cell>
          <cell r="B175" t="str">
            <v>5</v>
          </cell>
          <cell r="C175" t="str">
            <v>PVC파이프(일반용VG1)</v>
          </cell>
          <cell r="D175" t="str">
            <v>100㎜ x 6.6T x 4ｍ</v>
          </cell>
          <cell r="E175">
            <v>290</v>
          </cell>
          <cell r="G175" t="str">
            <v>EA</v>
          </cell>
          <cell r="I175">
            <v>0</v>
          </cell>
          <cell r="K175" t="str">
            <v>M5369823</v>
          </cell>
          <cell r="L175" t="str">
            <v>A002</v>
          </cell>
          <cell r="M175" t="str">
            <v>U</v>
          </cell>
        </row>
        <row r="176">
          <cell r="A176">
            <v>8800</v>
          </cell>
          <cell r="B176" t="str">
            <v>5</v>
          </cell>
          <cell r="C176" t="str">
            <v>PVC파이프(일반용VG1)</v>
          </cell>
          <cell r="D176" t="str">
            <v>200㎜ x10.3T x 4ｍ</v>
          </cell>
          <cell r="E176">
            <v>227</v>
          </cell>
          <cell r="G176" t="str">
            <v>EA</v>
          </cell>
          <cell r="I176">
            <v>0</v>
          </cell>
          <cell r="K176" t="str">
            <v>M5369829</v>
          </cell>
          <cell r="L176" t="str">
            <v>A002</v>
          </cell>
          <cell r="M176" t="str">
            <v>U</v>
          </cell>
        </row>
        <row r="177">
          <cell r="A177">
            <v>8850</v>
          </cell>
          <cell r="B177" t="str">
            <v>5</v>
          </cell>
          <cell r="C177" t="str">
            <v>PVC파이프이음관(티)</v>
          </cell>
          <cell r="D177" t="str">
            <v>Φ200MM</v>
          </cell>
          <cell r="E177">
            <v>7</v>
          </cell>
          <cell r="G177" t="str">
            <v>EA</v>
          </cell>
          <cell r="I177">
            <v>0</v>
          </cell>
          <cell r="K177" t="str">
            <v>M53620</v>
          </cell>
          <cell r="L177" t="str">
            <v>A002</v>
          </cell>
          <cell r="M177" t="str">
            <v>U</v>
          </cell>
        </row>
        <row r="178">
          <cell r="A178">
            <v>8900</v>
          </cell>
          <cell r="B178" t="str">
            <v>5</v>
          </cell>
          <cell r="C178" t="str">
            <v>PVC파이프이음관(90。곡관)</v>
          </cell>
          <cell r="D178" t="str">
            <v>Φ100MM</v>
          </cell>
          <cell r="E178">
            <v>2</v>
          </cell>
          <cell r="G178" t="str">
            <v>EA</v>
          </cell>
          <cell r="I178">
            <v>0</v>
          </cell>
          <cell r="K178" t="str">
            <v>M53630</v>
          </cell>
          <cell r="L178" t="str">
            <v>A002</v>
          </cell>
          <cell r="M178" t="str">
            <v>U</v>
          </cell>
        </row>
        <row r="179">
          <cell r="A179">
            <v>8950</v>
          </cell>
          <cell r="B179" t="str">
            <v>5</v>
          </cell>
          <cell r="C179" t="str">
            <v>PVC파이프이음관(90。곡관)</v>
          </cell>
          <cell r="D179" t="str">
            <v>Φ200MM</v>
          </cell>
          <cell r="E179">
            <v>6</v>
          </cell>
          <cell r="G179" t="str">
            <v>EA</v>
          </cell>
          <cell r="I179">
            <v>0</v>
          </cell>
          <cell r="K179" t="str">
            <v>M53640</v>
          </cell>
          <cell r="L179" t="str">
            <v>A002</v>
          </cell>
          <cell r="M179" t="str">
            <v>U</v>
          </cell>
        </row>
        <row r="180">
          <cell r="A180">
            <v>9000</v>
          </cell>
          <cell r="B180" t="str">
            <v>4</v>
          </cell>
          <cell r="C180" t="str">
            <v>8)기타</v>
          </cell>
          <cell r="E180">
            <v>0</v>
          </cell>
          <cell r="I180">
            <v>0</v>
          </cell>
          <cell r="L180" t="str">
            <v>A002</v>
          </cell>
          <cell r="M180" t="str">
            <v>U</v>
          </cell>
        </row>
        <row r="181">
          <cell r="A181">
            <v>9050</v>
          </cell>
          <cell r="B181" t="str">
            <v>5</v>
          </cell>
          <cell r="C181" t="str">
            <v>수로횡단보도교</v>
          </cell>
          <cell r="E181">
            <v>5</v>
          </cell>
          <cell r="G181" t="str">
            <v>EA</v>
          </cell>
          <cell r="I181">
            <v>0</v>
          </cell>
          <cell r="K181" t="str">
            <v>IL36010</v>
          </cell>
          <cell r="L181" t="str">
            <v>A002</v>
          </cell>
          <cell r="M181" t="str">
            <v>U</v>
          </cell>
        </row>
        <row r="182">
          <cell r="A182">
            <v>9100</v>
          </cell>
          <cell r="B182" t="str">
            <v>5</v>
          </cell>
          <cell r="C182" t="str">
            <v>우수유출부 철근보강</v>
          </cell>
          <cell r="E182">
            <v>1</v>
          </cell>
          <cell r="G182" t="str">
            <v>식</v>
          </cell>
          <cell r="I182">
            <v>0</v>
          </cell>
          <cell r="K182" t="str">
            <v>IL36020</v>
          </cell>
          <cell r="L182" t="str">
            <v>A002</v>
          </cell>
          <cell r="M182" t="str">
            <v>U</v>
          </cell>
        </row>
        <row r="183">
          <cell r="A183">
            <v>9150</v>
          </cell>
          <cell r="B183" t="str">
            <v>4</v>
          </cell>
          <cell r="C183" t="str">
            <v>9)사급자재대</v>
          </cell>
          <cell r="D183" t="str">
            <v>별산</v>
          </cell>
          <cell r="E183">
            <v>0</v>
          </cell>
          <cell r="I183">
            <v>0</v>
          </cell>
          <cell r="L183" t="str">
            <v>A002</v>
          </cell>
          <cell r="M183" t="str">
            <v>U</v>
          </cell>
        </row>
        <row r="184">
          <cell r="A184">
            <v>9200</v>
          </cell>
          <cell r="B184" t="str">
            <v>5</v>
          </cell>
          <cell r="C184" t="str">
            <v>시멘트</v>
          </cell>
          <cell r="D184" t="str">
            <v>40kg/대(포장품)</v>
          </cell>
          <cell r="E184">
            <v>112</v>
          </cell>
          <cell r="G184" t="str">
            <v>대</v>
          </cell>
          <cell r="I184">
            <v>0</v>
          </cell>
          <cell r="K184" t="str">
            <v>IM00095</v>
          </cell>
          <cell r="L184" t="str">
            <v>A002</v>
          </cell>
          <cell r="M184" t="str">
            <v>U</v>
          </cell>
        </row>
        <row r="185">
          <cell r="A185">
            <v>9250</v>
          </cell>
          <cell r="B185" t="str">
            <v>5</v>
          </cell>
          <cell r="C185" t="str">
            <v>레미콘</v>
          </cell>
          <cell r="D185" t="str">
            <v>40-150-8</v>
          </cell>
          <cell r="E185">
            <v>3851</v>
          </cell>
          <cell r="G185" t="str">
            <v>M3</v>
          </cell>
          <cell r="I185">
            <v>0</v>
          </cell>
          <cell r="K185" t="str">
            <v>IM00075</v>
          </cell>
          <cell r="L185" t="str">
            <v>A002</v>
          </cell>
          <cell r="M185" t="str">
            <v>U</v>
          </cell>
        </row>
        <row r="186">
          <cell r="A186">
            <v>9300</v>
          </cell>
          <cell r="B186" t="str">
            <v>5</v>
          </cell>
          <cell r="C186" t="str">
            <v>레미콘</v>
          </cell>
          <cell r="D186" t="str">
            <v>40-210-8</v>
          </cell>
          <cell r="E186">
            <v>565</v>
          </cell>
          <cell r="G186" t="str">
            <v>M3</v>
          </cell>
          <cell r="I186">
            <v>0</v>
          </cell>
          <cell r="K186" t="str">
            <v>IM00080</v>
          </cell>
          <cell r="L186" t="str">
            <v>A002</v>
          </cell>
          <cell r="M186" t="str">
            <v>U</v>
          </cell>
        </row>
        <row r="187">
          <cell r="A187">
            <v>9350</v>
          </cell>
          <cell r="B187" t="str">
            <v>5</v>
          </cell>
          <cell r="C187" t="str">
            <v>레미콘</v>
          </cell>
          <cell r="D187" t="str">
            <v>25-210-8</v>
          </cell>
          <cell r="E187">
            <v>4223</v>
          </cell>
          <cell r="G187" t="str">
            <v>M3</v>
          </cell>
          <cell r="I187">
            <v>0</v>
          </cell>
          <cell r="K187" t="str">
            <v>IM00085</v>
          </cell>
          <cell r="L187" t="str">
            <v>A002</v>
          </cell>
          <cell r="M187" t="str">
            <v>U</v>
          </cell>
        </row>
        <row r="188">
          <cell r="A188">
            <v>9400</v>
          </cell>
          <cell r="B188" t="str">
            <v>5</v>
          </cell>
          <cell r="C188" t="str">
            <v>레미콘</v>
          </cell>
          <cell r="D188" t="str">
            <v>25-240-15</v>
          </cell>
          <cell r="E188">
            <v>16442</v>
          </cell>
          <cell r="G188" t="str">
            <v>M3</v>
          </cell>
          <cell r="I188">
            <v>0</v>
          </cell>
          <cell r="K188" t="str">
            <v>IM00090</v>
          </cell>
          <cell r="L188" t="str">
            <v>A002</v>
          </cell>
          <cell r="M188" t="str">
            <v>U</v>
          </cell>
        </row>
        <row r="189">
          <cell r="A189">
            <v>9450</v>
          </cell>
          <cell r="B189" t="str">
            <v>5</v>
          </cell>
          <cell r="C189" t="str">
            <v>이형철근</v>
          </cell>
          <cell r="D189" t="str">
            <v>13M/M 0.995KG/M</v>
          </cell>
          <cell r="E189">
            <v>422.01400000000001</v>
          </cell>
          <cell r="G189" t="str">
            <v>TON</v>
          </cell>
          <cell r="I189">
            <v>0</v>
          </cell>
          <cell r="K189" t="str">
            <v>IM00040</v>
          </cell>
          <cell r="L189" t="str">
            <v>A002</v>
          </cell>
          <cell r="M189" t="str">
            <v>U</v>
          </cell>
        </row>
        <row r="190">
          <cell r="A190">
            <v>9500</v>
          </cell>
          <cell r="B190" t="str">
            <v>5</v>
          </cell>
          <cell r="C190" t="str">
            <v>이형철근</v>
          </cell>
          <cell r="D190" t="str">
            <v>16M/M 1.560KG/M</v>
          </cell>
          <cell r="E190">
            <v>1156.8920000000001</v>
          </cell>
          <cell r="G190" t="str">
            <v>TON</v>
          </cell>
          <cell r="I190">
            <v>0</v>
          </cell>
          <cell r="K190" t="str">
            <v>IM00045</v>
          </cell>
          <cell r="L190" t="str">
            <v>A002</v>
          </cell>
          <cell r="M190" t="str">
            <v>U</v>
          </cell>
        </row>
        <row r="191">
          <cell r="A191">
            <v>9550</v>
          </cell>
          <cell r="B191" t="str">
            <v>5</v>
          </cell>
          <cell r="C191" t="str">
            <v>이형철근</v>
          </cell>
          <cell r="D191" t="str">
            <v>19M/M 2.250KG/M</v>
          </cell>
          <cell r="E191">
            <v>108.664</v>
          </cell>
          <cell r="G191" t="str">
            <v>TON</v>
          </cell>
          <cell r="I191">
            <v>0</v>
          </cell>
          <cell r="K191" t="str">
            <v>IM00050</v>
          </cell>
          <cell r="L191" t="str">
            <v>A002</v>
          </cell>
          <cell r="M191" t="str">
            <v>U</v>
          </cell>
        </row>
        <row r="192">
          <cell r="A192">
            <v>9600</v>
          </cell>
          <cell r="B192" t="str">
            <v>5</v>
          </cell>
          <cell r="C192" t="str">
            <v>이형철근</v>
          </cell>
          <cell r="D192" t="str">
            <v>22M/M 3.040KG/M</v>
          </cell>
          <cell r="E192">
            <v>1223.9110000000001</v>
          </cell>
          <cell r="G192" t="str">
            <v>TON</v>
          </cell>
          <cell r="I192">
            <v>0</v>
          </cell>
          <cell r="K192" t="str">
            <v>IM00055</v>
          </cell>
          <cell r="L192" t="str">
            <v>A002</v>
          </cell>
          <cell r="M192" t="str">
            <v>U</v>
          </cell>
        </row>
        <row r="193">
          <cell r="A193">
            <v>9650</v>
          </cell>
          <cell r="B193" t="str">
            <v>5</v>
          </cell>
          <cell r="C193" t="str">
            <v>이형철근</v>
          </cell>
          <cell r="D193" t="str">
            <v>25M/M 3.980KG/M</v>
          </cell>
          <cell r="E193">
            <v>460.91399999999999</v>
          </cell>
          <cell r="G193" t="str">
            <v>TON</v>
          </cell>
          <cell r="I193">
            <v>0</v>
          </cell>
          <cell r="K193" t="str">
            <v>IM00060</v>
          </cell>
          <cell r="L193" t="str">
            <v>A002</v>
          </cell>
          <cell r="M193" t="str">
            <v>U</v>
          </cell>
        </row>
        <row r="194">
          <cell r="A194">
            <v>9700</v>
          </cell>
          <cell r="B194" t="str">
            <v>5</v>
          </cell>
          <cell r="C194" t="str">
            <v>이형철근</v>
          </cell>
          <cell r="D194" t="str">
            <v>29M/M 5.040KG/M</v>
          </cell>
          <cell r="E194">
            <v>2.944</v>
          </cell>
          <cell r="G194" t="str">
            <v>TON</v>
          </cell>
          <cell r="I194">
            <v>0</v>
          </cell>
          <cell r="K194" t="str">
            <v>IM00065</v>
          </cell>
          <cell r="L194" t="str">
            <v>A002</v>
          </cell>
          <cell r="M194" t="str">
            <v>U</v>
          </cell>
        </row>
        <row r="195">
          <cell r="A195">
            <v>9750</v>
          </cell>
          <cell r="B195" t="str">
            <v>5</v>
          </cell>
          <cell r="C195" t="str">
            <v>원형철근</v>
          </cell>
          <cell r="D195" t="str">
            <v>22M/M 2.980KG/M</v>
          </cell>
          <cell r="E195">
            <v>0.40699999999999997</v>
          </cell>
          <cell r="G195" t="str">
            <v>TON</v>
          </cell>
          <cell r="I195">
            <v>0</v>
          </cell>
          <cell r="K195" t="str">
            <v>IM00025</v>
          </cell>
          <cell r="L195" t="str">
            <v>A002</v>
          </cell>
          <cell r="M195" t="str">
            <v>U</v>
          </cell>
        </row>
        <row r="196">
          <cell r="A196">
            <v>9800</v>
          </cell>
          <cell r="B196" t="str">
            <v>5</v>
          </cell>
          <cell r="C196" t="str">
            <v>원형철근</v>
          </cell>
          <cell r="D196" t="str">
            <v>32M/M 6.310KG/M</v>
          </cell>
          <cell r="E196">
            <v>6.6319999999999997</v>
          </cell>
          <cell r="G196" t="str">
            <v>TON</v>
          </cell>
          <cell r="I196">
            <v>0</v>
          </cell>
          <cell r="K196" t="str">
            <v>IM00027</v>
          </cell>
          <cell r="L196" t="str">
            <v>A002</v>
          </cell>
          <cell r="M196" t="str">
            <v>U</v>
          </cell>
        </row>
        <row r="197">
          <cell r="A197">
            <v>9850</v>
          </cell>
          <cell r="B197" t="str">
            <v>5</v>
          </cell>
          <cell r="C197" t="str">
            <v>흄관</v>
          </cell>
          <cell r="D197" t="str">
            <v>D450MM</v>
          </cell>
          <cell r="E197">
            <v>1034</v>
          </cell>
          <cell r="G197" t="str">
            <v>M</v>
          </cell>
          <cell r="I197">
            <v>0</v>
          </cell>
          <cell r="K197" t="str">
            <v>IM00130</v>
          </cell>
          <cell r="L197" t="str">
            <v>A002</v>
          </cell>
          <cell r="M197" t="str">
            <v>U</v>
          </cell>
        </row>
        <row r="198">
          <cell r="A198">
            <v>9900</v>
          </cell>
          <cell r="B198" t="str">
            <v>5</v>
          </cell>
          <cell r="C198" t="str">
            <v>흄관</v>
          </cell>
          <cell r="D198" t="str">
            <v>D600MM</v>
          </cell>
          <cell r="E198">
            <v>175</v>
          </cell>
          <cell r="G198" t="str">
            <v>M</v>
          </cell>
          <cell r="I198">
            <v>0</v>
          </cell>
          <cell r="K198" t="str">
            <v>IM00135</v>
          </cell>
          <cell r="L198" t="str">
            <v>A002</v>
          </cell>
          <cell r="M198" t="str">
            <v>U</v>
          </cell>
        </row>
        <row r="199">
          <cell r="A199">
            <v>9950</v>
          </cell>
          <cell r="B199" t="str">
            <v>5</v>
          </cell>
          <cell r="C199" t="str">
            <v>흄관</v>
          </cell>
          <cell r="D199" t="str">
            <v>D800MM</v>
          </cell>
          <cell r="E199">
            <v>317</v>
          </cell>
          <cell r="G199" t="str">
            <v>M</v>
          </cell>
          <cell r="I199">
            <v>0</v>
          </cell>
          <cell r="K199" t="str">
            <v>IM00140</v>
          </cell>
          <cell r="L199" t="str">
            <v>A002</v>
          </cell>
          <cell r="M199" t="str">
            <v>U</v>
          </cell>
        </row>
        <row r="200">
          <cell r="A200">
            <v>10000</v>
          </cell>
          <cell r="B200" t="str">
            <v>5</v>
          </cell>
          <cell r="C200" t="str">
            <v>흄관</v>
          </cell>
          <cell r="D200" t="str">
            <v>D1000MM</v>
          </cell>
          <cell r="E200">
            <v>28</v>
          </cell>
          <cell r="G200" t="str">
            <v>M</v>
          </cell>
          <cell r="I200">
            <v>0</v>
          </cell>
          <cell r="K200" t="str">
            <v>IM00145</v>
          </cell>
          <cell r="L200" t="str">
            <v>A002</v>
          </cell>
          <cell r="M200" t="str">
            <v>U</v>
          </cell>
        </row>
        <row r="201">
          <cell r="A201">
            <v>10050</v>
          </cell>
          <cell r="B201" t="str">
            <v>5</v>
          </cell>
          <cell r="C201" t="str">
            <v>흄관</v>
          </cell>
          <cell r="D201" t="str">
            <v>D1200MM</v>
          </cell>
          <cell r="E201">
            <v>332</v>
          </cell>
          <cell r="G201" t="str">
            <v>M</v>
          </cell>
          <cell r="I201">
            <v>0</v>
          </cell>
          <cell r="K201" t="str">
            <v>IM00150</v>
          </cell>
          <cell r="L201" t="str">
            <v>A002</v>
          </cell>
          <cell r="M201" t="str">
            <v>U</v>
          </cell>
        </row>
        <row r="202">
          <cell r="A202">
            <v>10100</v>
          </cell>
          <cell r="B202" t="str">
            <v>4</v>
          </cell>
          <cell r="C202" t="str">
            <v>10)골재대</v>
          </cell>
          <cell r="D202" t="str">
            <v>별산</v>
          </cell>
          <cell r="E202">
            <v>0</v>
          </cell>
          <cell r="I202">
            <v>0</v>
          </cell>
          <cell r="L202" t="str">
            <v>A002</v>
          </cell>
          <cell r="M202" t="str">
            <v>U</v>
          </cell>
        </row>
        <row r="203">
          <cell r="A203">
            <v>10150</v>
          </cell>
          <cell r="B203" t="str">
            <v>5</v>
          </cell>
          <cell r="C203" t="str">
            <v>세골재(모래)</v>
          </cell>
          <cell r="D203" t="str">
            <v>강모래</v>
          </cell>
          <cell r="E203">
            <v>297</v>
          </cell>
          <cell r="G203" t="str">
            <v>M3</v>
          </cell>
          <cell r="I203">
            <v>0</v>
          </cell>
          <cell r="K203" t="str">
            <v>IM00160</v>
          </cell>
          <cell r="L203" t="str">
            <v>A002</v>
          </cell>
          <cell r="M203" t="str">
            <v>U</v>
          </cell>
        </row>
        <row r="204">
          <cell r="A204">
            <v>10200</v>
          </cell>
          <cell r="B204" t="str">
            <v>5</v>
          </cell>
          <cell r="C204" t="str">
            <v>조골재(쇄석)</v>
          </cell>
          <cell r="D204" t="str">
            <v>Φ40</v>
          </cell>
          <cell r="E204">
            <v>355</v>
          </cell>
          <cell r="G204" t="str">
            <v>M3</v>
          </cell>
          <cell r="I204">
            <v>0</v>
          </cell>
          <cell r="K204" t="str">
            <v>IM00200</v>
          </cell>
          <cell r="L204" t="str">
            <v>A002</v>
          </cell>
          <cell r="M204" t="str">
            <v>U</v>
          </cell>
        </row>
        <row r="205">
          <cell r="A205">
            <v>10250</v>
          </cell>
          <cell r="B205" t="str">
            <v>5</v>
          </cell>
          <cell r="C205" t="str">
            <v>혼합골재(기초잡석)</v>
          </cell>
          <cell r="D205" t="str">
            <v>Φ75</v>
          </cell>
          <cell r="E205">
            <v>3408</v>
          </cell>
          <cell r="G205" t="str">
            <v>M3</v>
          </cell>
          <cell r="I205">
            <v>0</v>
          </cell>
          <cell r="K205" t="str">
            <v>IM00210</v>
          </cell>
          <cell r="L205" t="str">
            <v>A002</v>
          </cell>
          <cell r="M205" t="str">
            <v>U</v>
          </cell>
        </row>
        <row r="206">
          <cell r="A206">
            <v>10300</v>
          </cell>
          <cell r="B206" t="str">
            <v>5</v>
          </cell>
          <cell r="C206" t="str">
            <v>혼합골재(뒷채움)</v>
          </cell>
          <cell r="D206" t="str">
            <v>Φ40</v>
          </cell>
          <cell r="E206">
            <v>8631</v>
          </cell>
          <cell r="G206" t="str">
            <v>M3</v>
          </cell>
          <cell r="I206">
            <v>0</v>
          </cell>
          <cell r="K206" t="str">
            <v>IM00180</v>
          </cell>
          <cell r="L206" t="str">
            <v>A002</v>
          </cell>
          <cell r="M206" t="str">
            <v>U</v>
          </cell>
        </row>
        <row r="207">
          <cell r="A207">
            <v>10350</v>
          </cell>
          <cell r="B207" t="str">
            <v>3</v>
          </cell>
          <cell r="C207" t="str">
            <v>(다)상수,오수공</v>
          </cell>
          <cell r="E207">
            <v>0</v>
          </cell>
          <cell r="I207">
            <v>0</v>
          </cell>
          <cell r="K207" t="str">
            <v>A003</v>
          </cell>
          <cell r="L207" t="str">
            <v>A0001</v>
          </cell>
          <cell r="M207" t="str">
            <v>U</v>
          </cell>
        </row>
        <row r="208">
          <cell r="A208">
            <v>10400</v>
          </cell>
          <cell r="B208" t="str">
            <v>4</v>
          </cell>
          <cell r="C208" t="str">
            <v>1)상수도공</v>
          </cell>
          <cell r="E208">
            <v>0</v>
          </cell>
          <cell r="I208">
            <v>0</v>
          </cell>
          <cell r="L208" t="str">
            <v>A003</v>
          </cell>
          <cell r="M208" t="str">
            <v>U</v>
          </cell>
        </row>
        <row r="209">
          <cell r="A209">
            <v>10450</v>
          </cell>
          <cell r="B209" t="str">
            <v>5</v>
          </cell>
          <cell r="C209" t="str">
            <v>가)토   공</v>
          </cell>
          <cell r="E209">
            <v>0</v>
          </cell>
          <cell r="I209">
            <v>0</v>
          </cell>
          <cell r="L209" t="str">
            <v>A003</v>
          </cell>
          <cell r="M209" t="str">
            <v>U</v>
          </cell>
        </row>
        <row r="210">
          <cell r="A210">
            <v>10500</v>
          </cell>
          <cell r="B210" t="str">
            <v>6</v>
          </cell>
          <cell r="C210" t="str">
            <v>터파기(토사,0-6m)</v>
          </cell>
          <cell r="D210" t="str">
            <v>백호우 0.7M3</v>
          </cell>
          <cell r="E210">
            <v>688</v>
          </cell>
          <cell r="G210" t="str">
            <v>M3</v>
          </cell>
          <cell r="I210">
            <v>0</v>
          </cell>
          <cell r="K210" t="str">
            <v>IL00580</v>
          </cell>
          <cell r="L210" t="str">
            <v>A003</v>
          </cell>
          <cell r="M210" t="str">
            <v>U</v>
          </cell>
        </row>
        <row r="211">
          <cell r="A211">
            <v>10550</v>
          </cell>
          <cell r="B211" t="str">
            <v>6</v>
          </cell>
          <cell r="C211" t="str">
            <v>잔토처리</v>
          </cell>
          <cell r="D211" t="str">
            <v>8톤덤프트럭</v>
          </cell>
          <cell r="E211">
            <v>76</v>
          </cell>
          <cell r="G211" t="str">
            <v>M3</v>
          </cell>
          <cell r="I211">
            <v>0</v>
          </cell>
          <cell r="K211" t="str">
            <v>I00600</v>
          </cell>
          <cell r="L211" t="str">
            <v>A003</v>
          </cell>
          <cell r="M211" t="str">
            <v>U</v>
          </cell>
        </row>
        <row r="212">
          <cell r="A212">
            <v>10600</v>
          </cell>
          <cell r="B212" t="str">
            <v>6</v>
          </cell>
          <cell r="C212" t="str">
            <v>되메우고다지기</v>
          </cell>
          <cell r="D212" t="str">
            <v>인력</v>
          </cell>
          <cell r="E212">
            <v>79</v>
          </cell>
          <cell r="G212" t="str">
            <v>M3</v>
          </cell>
          <cell r="I212">
            <v>0</v>
          </cell>
          <cell r="K212" t="str">
            <v>I00360</v>
          </cell>
          <cell r="L212" t="str">
            <v>A003</v>
          </cell>
          <cell r="M212" t="str">
            <v>U</v>
          </cell>
        </row>
        <row r="213">
          <cell r="A213">
            <v>10650</v>
          </cell>
          <cell r="B213" t="str">
            <v>6</v>
          </cell>
          <cell r="C213" t="str">
            <v>되메우고다지기</v>
          </cell>
          <cell r="D213" t="str">
            <v>기계,B/H+RAMMER</v>
          </cell>
          <cell r="E213">
            <v>533</v>
          </cell>
          <cell r="G213" t="str">
            <v>M3</v>
          </cell>
          <cell r="I213">
            <v>0</v>
          </cell>
          <cell r="K213" t="str">
            <v>I00590</v>
          </cell>
          <cell r="L213" t="str">
            <v>A003</v>
          </cell>
          <cell r="M213" t="str">
            <v>U</v>
          </cell>
        </row>
        <row r="214">
          <cell r="A214">
            <v>10700</v>
          </cell>
          <cell r="B214" t="str">
            <v>5</v>
          </cell>
          <cell r="C214" t="str">
            <v>나)구조물공</v>
          </cell>
          <cell r="E214">
            <v>0</v>
          </cell>
          <cell r="I214">
            <v>0</v>
          </cell>
          <cell r="L214" t="str">
            <v>A003</v>
          </cell>
          <cell r="M214" t="str">
            <v>U</v>
          </cell>
        </row>
        <row r="215">
          <cell r="A215">
            <v>10750</v>
          </cell>
          <cell r="B215" t="str">
            <v>6</v>
          </cell>
          <cell r="C215" t="str">
            <v>레미콘 타설(기계)</v>
          </cell>
          <cell r="D215" t="str">
            <v>붐타설, 철근</v>
          </cell>
          <cell r="E215">
            <v>11</v>
          </cell>
          <cell r="G215" t="str">
            <v>M3</v>
          </cell>
          <cell r="I215">
            <v>0</v>
          </cell>
          <cell r="K215" t="str">
            <v>I00816</v>
          </cell>
          <cell r="L215" t="str">
            <v>A003</v>
          </cell>
          <cell r="M215" t="str">
            <v>U</v>
          </cell>
        </row>
        <row r="216">
          <cell r="A216">
            <v>10800</v>
          </cell>
          <cell r="B216" t="str">
            <v>6</v>
          </cell>
          <cell r="C216" t="str">
            <v>레미콘 타설(기계)</v>
          </cell>
          <cell r="D216" t="str">
            <v>붐타설, 무근</v>
          </cell>
          <cell r="E216">
            <v>19</v>
          </cell>
          <cell r="G216" t="str">
            <v>M3</v>
          </cell>
          <cell r="I216">
            <v>0</v>
          </cell>
          <cell r="K216" t="str">
            <v>I00813</v>
          </cell>
          <cell r="L216" t="str">
            <v>A003</v>
          </cell>
          <cell r="M216" t="str">
            <v>U</v>
          </cell>
        </row>
        <row r="217">
          <cell r="A217">
            <v>10850</v>
          </cell>
          <cell r="B217" t="str">
            <v>6</v>
          </cell>
          <cell r="C217" t="str">
            <v>잡 석 부 설</v>
          </cell>
          <cell r="E217">
            <v>4</v>
          </cell>
          <cell r="G217" t="str">
            <v>M3</v>
          </cell>
          <cell r="I217">
            <v>0</v>
          </cell>
          <cell r="K217" t="str">
            <v>S1030</v>
          </cell>
          <cell r="L217" t="str">
            <v>A003</v>
          </cell>
          <cell r="M217" t="str">
            <v>U</v>
          </cell>
        </row>
        <row r="218">
          <cell r="A218">
            <v>10900</v>
          </cell>
          <cell r="B218" t="str">
            <v>6</v>
          </cell>
          <cell r="C218" t="str">
            <v>합판 거푸집</v>
          </cell>
          <cell r="D218" t="str">
            <v>4 회</v>
          </cell>
          <cell r="E218">
            <v>51</v>
          </cell>
          <cell r="G218" t="str">
            <v>M2</v>
          </cell>
          <cell r="I218">
            <v>0</v>
          </cell>
          <cell r="K218" t="str">
            <v>I00920</v>
          </cell>
          <cell r="L218" t="str">
            <v>A003</v>
          </cell>
          <cell r="M218" t="str">
            <v>U</v>
          </cell>
        </row>
        <row r="219">
          <cell r="A219">
            <v>10950</v>
          </cell>
          <cell r="B219" t="str">
            <v>6</v>
          </cell>
          <cell r="C219" t="str">
            <v>합판 거푸집</v>
          </cell>
          <cell r="D219" t="str">
            <v>6 회</v>
          </cell>
          <cell r="E219">
            <v>252</v>
          </cell>
          <cell r="G219" t="str">
            <v>M2</v>
          </cell>
          <cell r="I219">
            <v>0</v>
          </cell>
          <cell r="K219" t="str">
            <v>I00940</v>
          </cell>
          <cell r="L219" t="str">
            <v>A003</v>
          </cell>
          <cell r="M219" t="str">
            <v>U</v>
          </cell>
        </row>
        <row r="220">
          <cell r="A220">
            <v>11000</v>
          </cell>
          <cell r="B220" t="str">
            <v>6</v>
          </cell>
          <cell r="C220" t="str">
            <v>원형거푸집</v>
          </cell>
          <cell r="D220" t="str">
            <v>3회,0~7M</v>
          </cell>
          <cell r="E220">
            <v>3</v>
          </cell>
          <cell r="G220" t="str">
            <v>㎡</v>
          </cell>
          <cell r="I220">
            <v>0</v>
          </cell>
          <cell r="K220" t="str">
            <v>H027</v>
          </cell>
          <cell r="L220" t="str">
            <v>A003</v>
          </cell>
          <cell r="M220" t="str">
            <v>U</v>
          </cell>
        </row>
        <row r="221">
          <cell r="A221">
            <v>11050</v>
          </cell>
          <cell r="B221" t="str">
            <v>6</v>
          </cell>
          <cell r="C221" t="str">
            <v>모 르 터</v>
          </cell>
          <cell r="D221" t="str">
            <v>1 : 2</v>
          </cell>
          <cell r="E221">
            <v>0.2</v>
          </cell>
          <cell r="G221" t="str">
            <v>M3</v>
          </cell>
          <cell r="I221">
            <v>0</v>
          </cell>
          <cell r="K221" t="str">
            <v>I00870</v>
          </cell>
          <cell r="L221" t="str">
            <v>A003</v>
          </cell>
          <cell r="M221" t="str">
            <v>U</v>
          </cell>
        </row>
        <row r="222">
          <cell r="A222">
            <v>11100</v>
          </cell>
          <cell r="B222" t="str">
            <v>6</v>
          </cell>
          <cell r="C222" t="str">
            <v>PVC지수판설치</v>
          </cell>
          <cell r="D222" t="str">
            <v>150x5t</v>
          </cell>
          <cell r="E222">
            <v>18</v>
          </cell>
          <cell r="G222" t="str">
            <v>m</v>
          </cell>
          <cell r="I222">
            <v>0</v>
          </cell>
          <cell r="K222" t="str">
            <v>H745</v>
          </cell>
          <cell r="L222" t="str">
            <v>A003</v>
          </cell>
          <cell r="M222" t="str">
            <v>U</v>
          </cell>
        </row>
        <row r="223">
          <cell r="A223">
            <v>11150</v>
          </cell>
          <cell r="B223" t="str">
            <v>6</v>
          </cell>
          <cell r="C223" t="str">
            <v>슬리브설치</v>
          </cell>
          <cell r="D223" t="str">
            <v>D200</v>
          </cell>
          <cell r="E223">
            <v>6</v>
          </cell>
          <cell r="G223" t="str">
            <v>개소</v>
          </cell>
          <cell r="I223">
            <v>0</v>
          </cell>
          <cell r="K223" t="str">
            <v>H820</v>
          </cell>
          <cell r="L223" t="str">
            <v>A003</v>
          </cell>
          <cell r="M223" t="str">
            <v>U</v>
          </cell>
        </row>
        <row r="224">
          <cell r="A224">
            <v>11200</v>
          </cell>
          <cell r="B224" t="str">
            <v>6</v>
          </cell>
          <cell r="C224" t="str">
            <v>맨홀뚜껑설치</v>
          </cell>
          <cell r="D224" t="str">
            <v>(주철재)</v>
          </cell>
          <cell r="E224">
            <v>3</v>
          </cell>
          <cell r="G224" t="str">
            <v>조</v>
          </cell>
          <cell r="I224">
            <v>0</v>
          </cell>
          <cell r="K224" t="str">
            <v>H0140</v>
          </cell>
          <cell r="L224" t="str">
            <v>A003</v>
          </cell>
          <cell r="M224" t="str">
            <v>U</v>
          </cell>
        </row>
        <row r="225">
          <cell r="A225">
            <v>11250</v>
          </cell>
          <cell r="B225" t="str">
            <v>6</v>
          </cell>
          <cell r="C225" t="str">
            <v>LADDER(사다리)</v>
          </cell>
          <cell r="D225" t="str">
            <v>STS봉,ø19x1,000</v>
          </cell>
          <cell r="E225">
            <v>9</v>
          </cell>
          <cell r="G225" t="str">
            <v>개</v>
          </cell>
          <cell r="I225">
            <v>0</v>
          </cell>
          <cell r="K225" t="str">
            <v>H730</v>
          </cell>
          <cell r="L225" t="str">
            <v>A003</v>
          </cell>
          <cell r="M225" t="str">
            <v>U</v>
          </cell>
        </row>
        <row r="226">
          <cell r="A226">
            <v>11300</v>
          </cell>
          <cell r="B226" t="str">
            <v>6</v>
          </cell>
          <cell r="C226" t="str">
            <v>철근 가공 조립</v>
          </cell>
          <cell r="D226" t="str">
            <v>보  통</v>
          </cell>
          <cell r="E226">
            <v>1.359</v>
          </cell>
          <cell r="G226" t="str">
            <v>TON</v>
          </cell>
          <cell r="I226">
            <v>0</v>
          </cell>
          <cell r="K226" t="str">
            <v>I00960</v>
          </cell>
          <cell r="L226" t="str">
            <v>A003</v>
          </cell>
          <cell r="M226" t="str">
            <v>U</v>
          </cell>
        </row>
        <row r="227">
          <cell r="A227">
            <v>11350</v>
          </cell>
          <cell r="B227" t="str">
            <v>5</v>
          </cell>
          <cell r="C227" t="str">
            <v>다)관부설공</v>
          </cell>
          <cell r="E227">
            <v>0</v>
          </cell>
          <cell r="I227">
            <v>0</v>
          </cell>
          <cell r="L227" t="str">
            <v>A003</v>
          </cell>
          <cell r="M227" t="str">
            <v>U</v>
          </cell>
        </row>
        <row r="228">
          <cell r="A228">
            <v>11400</v>
          </cell>
          <cell r="B228" t="str">
            <v>6</v>
          </cell>
          <cell r="C228" t="str">
            <v>KP접합및부설(주철관)</v>
          </cell>
          <cell r="D228" t="str">
            <v>(φ200㎜)</v>
          </cell>
          <cell r="E228">
            <v>102</v>
          </cell>
          <cell r="G228" t="str">
            <v>개소</v>
          </cell>
          <cell r="I228">
            <v>0</v>
          </cell>
          <cell r="K228" t="str">
            <v>H220</v>
          </cell>
          <cell r="L228" t="str">
            <v>A003</v>
          </cell>
          <cell r="M228" t="str">
            <v>U</v>
          </cell>
        </row>
        <row r="229">
          <cell r="A229">
            <v>11450</v>
          </cell>
          <cell r="B229" t="str">
            <v>6</v>
          </cell>
          <cell r="C229" t="str">
            <v>플랜지접합 및 부설공</v>
          </cell>
          <cell r="D229" t="str">
            <v>D200</v>
          </cell>
          <cell r="E229">
            <v>6</v>
          </cell>
          <cell r="G229" t="str">
            <v>개소</v>
          </cell>
          <cell r="I229">
            <v>0</v>
          </cell>
          <cell r="K229" t="str">
            <v>H466</v>
          </cell>
          <cell r="L229" t="str">
            <v>A003</v>
          </cell>
          <cell r="M229" t="str">
            <v>U</v>
          </cell>
        </row>
        <row r="230">
          <cell r="A230">
            <v>11500</v>
          </cell>
          <cell r="B230" t="str">
            <v>6</v>
          </cell>
          <cell r="C230" t="str">
            <v>주철관 절단</v>
          </cell>
          <cell r="D230" t="str">
            <v>D200</v>
          </cell>
          <cell r="E230">
            <v>4</v>
          </cell>
          <cell r="G230" t="str">
            <v>개소</v>
          </cell>
          <cell r="I230">
            <v>0</v>
          </cell>
          <cell r="K230" t="str">
            <v>H400</v>
          </cell>
          <cell r="L230" t="str">
            <v>A003</v>
          </cell>
          <cell r="M230" t="str">
            <v>U</v>
          </cell>
        </row>
        <row r="231">
          <cell r="A231">
            <v>11550</v>
          </cell>
          <cell r="B231" t="str">
            <v>6</v>
          </cell>
          <cell r="C231" t="str">
            <v>GATE V/V 접합공</v>
          </cell>
          <cell r="D231" t="str">
            <v>D200</v>
          </cell>
          <cell r="E231">
            <v>3</v>
          </cell>
          <cell r="G231" t="str">
            <v>개소</v>
          </cell>
          <cell r="I231">
            <v>0</v>
          </cell>
          <cell r="K231" t="str">
            <v>H362</v>
          </cell>
          <cell r="L231" t="str">
            <v>A003</v>
          </cell>
          <cell r="M231" t="str">
            <v>U</v>
          </cell>
        </row>
        <row r="232">
          <cell r="A232">
            <v>11600</v>
          </cell>
          <cell r="B232" t="str">
            <v>6</v>
          </cell>
          <cell r="C232" t="str">
            <v>주철관수압시험비</v>
          </cell>
          <cell r="D232" t="str">
            <v>φ200mm</v>
          </cell>
          <cell r="E232">
            <v>2</v>
          </cell>
          <cell r="G232" t="str">
            <v>회</v>
          </cell>
          <cell r="I232">
            <v>0</v>
          </cell>
          <cell r="K232" t="str">
            <v>H510</v>
          </cell>
          <cell r="L232" t="str">
            <v>A003</v>
          </cell>
          <cell r="M232" t="str">
            <v>U</v>
          </cell>
        </row>
        <row r="233">
          <cell r="A233">
            <v>11650</v>
          </cell>
          <cell r="B233" t="str">
            <v>5</v>
          </cell>
          <cell r="C233" t="str">
            <v>라)배관자재대</v>
          </cell>
          <cell r="E233">
            <v>0</v>
          </cell>
          <cell r="I233">
            <v>0</v>
          </cell>
          <cell r="L233" t="str">
            <v>A003</v>
          </cell>
          <cell r="M233" t="str">
            <v>U</v>
          </cell>
        </row>
        <row r="234">
          <cell r="A234">
            <v>11700</v>
          </cell>
          <cell r="B234" t="str">
            <v>6</v>
          </cell>
          <cell r="C234" t="str">
            <v>제수밸브(전동식)</v>
          </cell>
          <cell r="D234" t="str">
            <v>200㎜</v>
          </cell>
          <cell r="E234">
            <v>3</v>
          </cell>
          <cell r="G234" t="str">
            <v>EA</v>
          </cell>
          <cell r="I234">
            <v>0</v>
          </cell>
          <cell r="K234" t="str">
            <v>M5180200</v>
          </cell>
          <cell r="L234" t="str">
            <v>A003</v>
          </cell>
          <cell r="M234" t="str">
            <v>U</v>
          </cell>
        </row>
        <row r="235">
          <cell r="A235">
            <v>11750</v>
          </cell>
          <cell r="B235" t="str">
            <v>6</v>
          </cell>
          <cell r="C235" t="str">
            <v>수도용닥타일주철관(직관)</v>
          </cell>
          <cell r="D235" t="str">
            <v>200㎜ x 6ｍ(2종)</v>
          </cell>
          <cell r="E235">
            <v>70</v>
          </cell>
          <cell r="G235" t="str">
            <v>본</v>
          </cell>
          <cell r="I235">
            <v>0</v>
          </cell>
          <cell r="K235" t="str">
            <v>M5187011</v>
          </cell>
          <cell r="L235" t="str">
            <v>A003</v>
          </cell>
          <cell r="M235" t="str">
            <v>U</v>
          </cell>
        </row>
        <row r="236">
          <cell r="A236">
            <v>11800</v>
          </cell>
          <cell r="B236" t="str">
            <v>6</v>
          </cell>
          <cell r="C236" t="str">
            <v>플랜지T형관(A형)</v>
          </cell>
          <cell r="D236" t="str">
            <v>200 x 200㎜</v>
          </cell>
          <cell r="E236">
            <v>2</v>
          </cell>
          <cell r="G236" t="str">
            <v>EA</v>
          </cell>
          <cell r="I236">
            <v>0</v>
          </cell>
          <cell r="K236" t="str">
            <v>M5242423</v>
          </cell>
          <cell r="L236" t="str">
            <v>A003</v>
          </cell>
          <cell r="M236" t="str">
            <v>U</v>
          </cell>
        </row>
        <row r="237">
          <cell r="A237">
            <v>11850</v>
          </cell>
          <cell r="B237" t="str">
            <v>6</v>
          </cell>
          <cell r="C237" t="str">
            <v>소켓T형관(B형)</v>
          </cell>
          <cell r="D237" t="str">
            <v>200 x 200㎜</v>
          </cell>
          <cell r="E237">
            <v>1</v>
          </cell>
          <cell r="G237" t="str">
            <v>EA</v>
          </cell>
          <cell r="I237">
            <v>0</v>
          </cell>
          <cell r="K237" t="str">
            <v>M5243423</v>
          </cell>
          <cell r="L237" t="str">
            <v>A003</v>
          </cell>
          <cell r="M237" t="str">
            <v>U</v>
          </cell>
        </row>
        <row r="238">
          <cell r="A238">
            <v>11900</v>
          </cell>
          <cell r="B238" t="str">
            <v>6</v>
          </cell>
          <cell r="C238" t="str">
            <v>플랜지소켓관</v>
          </cell>
          <cell r="D238" t="str">
            <v>200㎜</v>
          </cell>
          <cell r="E238">
            <v>3</v>
          </cell>
          <cell r="G238" t="str">
            <v>EA</v>
          </cell>
          <cell r="I238">
            <v>0</v>
          </cell>
          <cell r="K238" t="str">
            <v>M5217011</v>
          </cell>
          <cell r="L238" t="str">
            <v>A003</v>
          </cell>
          <cell r="M238" t="str">
            <v>U</v>
          </cell>
        </row>
        <row r="239">
          <cell r="A239">
            <v>11950</v>
          </cell>
          <cell r="B239" t="str">
            <v>6</v>
          </cell>
          <cell r="C239" t="str">
            <v>플랜지관</v>
          </cell>
          <cell r="D239" t="str">
            <v>200㎜</v>
          </cell>
          <cell r="E239">
            <v>3</v>
          </cell>
          <cell r="G239" t="str">
            <v>EA</v>
          </cell>
          <cell r="I239">
            <v>0</v>
          </cell>
          <cell r="K239" t="str">
            <v>M5220011</v>
          </cell>
          <cell r="L239" t="str">
            <v>A003</v>
          </cell>
          <cell r="M239" t="str">
            <v>U</v>
          </cell>
        </row>
        <row r="240">
          <cell r="A240">
            <v>12000</v>
          </cell>
          <cell r="B240" t="str">
            <v>6</v>
          </cell>
          <cell r="C240" t="str">
            <v>소켓곡관(90도)</v>
          </cell>
          <cell r="D240" t="str">
            <v>200㎜ A형</v>
          </cell>
          <cell r="E240">
            <v>2</v>
          </cell>
          <cell r="G240" t="str">
            <v>EA</v>
          </cell>
          <cell r="I240">
            <v>0</v>
          </cell>
          <cell r="K240" t="str">
            <v>M5232011</v>
          </cell>
          <cell r="L240" t="str">
            <v>A003</v>
          </cell>
          <cell r="M240" t="str">
            <v>U</v>
          </cell>
        </row>
        <row r="241">
          <cell r="A241">
            <v>12050</v>
          </cell>
          <cell r="B241" t="str">
            <v>6</v>
          </cell>
          <cell r="C241" t="str">
            <v>소켓곡관(90도)</v>
          </cell>
          <cell r="D241" t="str">
            <v>200㎜ B형</v>
          </cell>
          <cell r="E241">
            <v>9</v>
          </cell>
          <cell r="G241" t="str">
            <v>EA</v>
          </cell>
          <cell r="I241">
            <v>0</v>
          </cell>
          <cell r="K241" t="str">
            <v>M5232059</v>
          </cell>
          <cell r="L241" t="str">
            <v>A003</v>
          </cell>
          <cell r="M241" t="str">
            <v>U</v>
          </cell>
        </row>
        <row r="242">
          <cell r="A242">
            <v>12100</v>
          </cell>
          <cell r="B242" t="str">
            <v>6</v>
          </cell>
          <cell r="C242" t="str">
            <v>45°KP소켓곡관(B형)</v>
          </cell>
          <cell r="D242" t="str">
            <v>200㎜</v>
          </cell>
          <cell r="E242">
            <v>1</v>
          </cell>
          <cell r="G242" t="str">
            <v>EA</v>
          </cell>
          <cell r="I242">
            <v>0</v>
          </cell>
          <cell r="K242" t="str">
            <v>M5232159</v>
          </cell>
          <cell r="L242" t="str">
            <v>A003</v>
          </cell>
          <cell r="M242" t="str">
            <v>U</v>
          </cell>
        </row>
        <row r="243">
          <cell r="A243">
            <v>12150</v>
          </cell>
          <cell r="B243" t="str">
            <v>6</v>
          </cell>
          <cell r="C243" t="str">
            <v>22½°KP소켓곡관(B형)</v>
          </cell>
          <cell r="D243" t="str">
            <v>200㎜</v>
          </cell>
          <cell r="E243">
            <v>1</v>
          </cell>
          <cell r="G243" t="str">
            <v>EA</v>
          </cell>
          <cell r="I243">
            <v>0</v>
          </cell>
          <cell r="K243" t="str">
            <v>M5232259</v>
          </cell>
          <cell r="L243" t="str">
            <v>A003</v>
          </cell>
          <cell r="M243" t="str">
            <v>U</v>
          </cell>
        </row>
        <row r="244">
          <cell r="A244">
            <v>12200</v>
          </cell>
          <cell r="B244" t="str">
            <v>6</v>
          </cell>
          <cell r="C244" t="str">
            <v>소켓단관(주철관)</v>
          </cell>
          <cell r="D244" t="str">
            <v>200㎜x3.0ｍ</v>
          </cell>
          <cell r="E244">
            <v>2</v>
          </cell>
          <cell r="G244" t="str">
            <v>EA</v>
          </cell>
          <cell r="I244">
            <v>0</v>
          </cell>
          <cell r="K244" t="str">
            <v>M5187100</v>
          </cell>
          <cell r="L244" t="str">
            <v>A003</v>
          </cell>
          <cell r="M244" t="str">
            <v>U</v>
          </cell>
        </row>
        <row r="245">
          <cell r="A245">
            <v>12250</v>
          </cell>
          <cell r="B245" t="str">
            <v>6</v>
          </cell>
          <cell r="C245" t="str">
            <v>소켓단관(주철관)</v>
          </cell>
          <cell r="D245" t="str">
            <v>200㎜x1.5ｍ</v>
          </cell>
          <cell r="E245">
            <v>2</v>
          </cell>
          <cell r="G245" t="str">
            <v>EA</v>
          </cell>
          <cell r="I245">
            <v>0</v>
          </cell>
          <cell r="K245" t="str">
            <v>M5187110</v>
          </cell>
          <cell r="L245" t="str">
            <v>A003</v>
          </cell>
          <cell r="M245" t="str">
            <v>U</v>
          </cell>
        </row>
        <row r="246">
          <cell r="A246">
            <v>12300</v>
          </cell>
          <cell r="B246" t="str">
            <v>6</v>
          </cell>
          <cell r="C246" t="str">
            <v>단관(주철관)</v>
          </cell>
          <cell r="D246" t="str">
            <v>200㎜x0.5ｍ</v>
          </cell>
          <cell r="E246">
            <v>2</v>
          </cell>
          <cell r="G246" t="str">
            <v>EA</v>
          </cell>
          <cell r="I246">
            <v>0</v>
          </cell>
          <cell r="K246" t="str">
            <v>M5187200</v>
          </cell>
          <cell r="L246" t="str">
            <v>A003</v>
          </cell>
          <cell r="M246" t="str">
            <v>U</v>
          </cell>
        </row>
        <row r="247">
          <cell r="A247">
            <v>12350</v>
          </cell>
          <cell r="B247" t="str">
            <v>6</v>
          </cell>
          <cell r="C247" t="str">
            <v>KP조인트이탈방지압륜</v>
          </cell>
          <cell r="D247" t="str">
            <v>200A (신설관용)</v>
          </cell>
          <cell r="E247">
            <v>102</v>
          </cell>
          <cell r="G247" t="str">
            <v>EA</v>
          </cell>
          <cell r="I247">
            <v>0</v>
          </cell>
          <cell r="K247" t="str">
            <v>M6609012</v>
          </cell>
          <cell r="L247" t="str">
            <v>A003</v>
          </cell>
          <cell r="M247" t="str">
            <v>U</v>
          </cell>
        </row>
        <row r="248">
          <cell r="A248">
            <v>12400</v>
          </cell>
          <cell r="B248" t="str">
            <v>6</v>
          </cell>
          <cell r="C248" t="str">
            <v>주철관운반</v>
          </cell>
          <cell r="E248">
            <v>19.899999999999999</v>
          </cell>
          <cell r="G248" t="str">
            <v>TON</v>
          </cell>
          <cell r="I248">
            <v>0</v>
          </cell>
          <cell r="K248" t="str">
            <v>S0150</v>
          </cell>
          <cell r="L248" t="str">
            <v>A003</v>
          </cell>
          <cell r="M248" t="str">
            <v>U</v>
          </cell>
        </row>
        <row r="249">
          <cell r="A249">
            <v>12450</v>
          </cell>
          <cell r="B249" t="str">
            <v>5</v>
          </cell>
          <cell r="C249" t="str">
            <v>마)사급자재대</v>
          </cell>
          <cell r="D249" t="str">
            <v>별산</v>
          </cell>
          <cell r="E249">
            <v>0</v>
          </cell>
          <cell r="I249">
            <v>0</v>
          </cell>
          <cell r="L249" t="str">
            <v>A003</v>
          </cell>
          <cell r="M249" t="str">
            <v>U</v>
          </cell>
        </row>
        <row r="250">
          <cell r="A250">
            <v>12500</v>
          </cell>
          <cell r="B250" t="str">
            <v>6</v>
          </cell>
          <cell r="C250" t="str">
            <v>레미콘</v>
          </cell>
          <cell r="D250" t="str">
            <v>25-210-8</v>
          </cell>
          <cell r="E250">
            <v>18</v>
          </cell>
          <cell r="G250" t="str">
            <v>M3</v>
          </cell>
          <cell r="I250">
            <v>0</v>
          </cell>
          <cell r="K250" t="str">
            <v>IM00085</v>
          </cell>
          <cell r="L250" t="str">
            <v>A003</v>
          </cell>
          <cell r="M250" t="str">
            <v>U</v>
          </cell>
        </row>
        <row r="251">
          <cell r="A251">
            <v>12550</v>
          </cell>
          <cell r="B251" t="str">
            <v>6</v>
          </cell>
          <cell r="C251" t="str">
            <v>레미콘</v>
          </cell>
          <cell r="D251" t="str">
            <v>40-210-8</v>
          </cell>
          <cell r="E251">
            <v>2</v>
          </cell>
          <cell r="G251" t="str">
            <v>M3</v>
          </cell>
          <cell r="I251">
            <v>0</v>
          </cell>
          <cell r="K251" t="str">
            <v>IM00080</v>
          </cell>
          <cell r="L251" t="str">
            <v>A003</v>
          </cell>
          <cell r="M251" t="str">
            <v>U</v>
          </cell>
        </row>
        <row r="252">
          <cell r="A252">
            <v>12600</v>
          </cell>
          <cell r="B252" t="str">
            <v>6</v>
          </cell>
          <cell r="C252" t="str">
            <v>레미콘</v>
          </cell>
          <cell r="D252" t="str">
            <v>40-150-8</v>
          </cell>
          <cell r="E252">
            <v>4</v>
          </cell>
          <cell r="G252" t="str">
            <v>M3</v>
          </cell>
          <cell r="I252">
            <v>0</v>
          </cell>
          <cell r="K252" t="str">
            <v>IM00075</v>
          </cell>
          <cell r="L252" t="str">
            <v>A003</v>
          </cell>
          <cell r="M252" t="str">
            <v>U</v>
          </cell>
        </row>
        <row r="253">
          <cell r="A253">
            <v>12650</v>
          </cell>
          <cell r="B253" t="str">
            <v>6</v>
          </cell>
          <cell r="C253" t="str">
            <v>이형철근</v>
          </cell>
          <cell r="D253" t="str">
            <v>16M/M 1.560KG/M</v>
          </cell>
          <cell r="E253">
            <v>0.216</v>
          </cell>
          <cell r="G253" t="str">
            <v>M/T</v>
          </cell>
          <cell r="I253">
            <v>0</v>
          </cell>
          <cell r="K253" t="str">
            <v>IM00045</v>
          </cell>
          <cell r="L253" t="str">
            <v>A003</v>
          </cell>
          <cell r="M253" t="str">
            <v>U</v>
          </cell>
        </row>
        <row r="254">
          <cell r="A254">
            <v>12700</v>
          </cell>
          <cell r="B254" t="str">
            <v>6</v>
          </cell>
          <cell r="C254" t="str">
            <v>이형철근</v>
          </cell>
          <cell r="D254" t="str">
            <v>13M/M 0.995KG/M</v>
          </cell>
          <cell r="E254">
            <v>1.1830000000000001</v>
          </cell>
          <cell r="G254" t="str">
            <v>M/T</v>
          </cell>
          <cell r="I254">
            <v>0</v>
          </cell>
          <cell r="K254" t="str">
            <v>IM00040</v>
          </cell>
          <cell r="L254" t="str">
            <v>A003</v>
          </cell>
          <cell r="M254" t="str">
            <v>U</v>
          </cell>
        </row>
        <row r="255">
          <cell r="A255">
            <v>12750</v>
          </cell>
          <cell r="B255" t="str">
            <v>6</v>
          </cell>
          <cell r="C255" t="str">
            <v>시멘트</v>
          </cell>
          <cell r="D255" t="str">
            <v>40kg/대(포장품)</v>
          </cell>
          <cell r="E255">
            <v>4</v>
          </cell>
          <cell r="G255" t="str">
            <v>대</v>
          </cell>
          <cell r="I255">
            <v>0</v>
          </cell>
          <cell r="K255" t="str">
            <v>IM00095</v>
          </cell>
          <cell r="L255" t="str">
            <v>A003</v>
          </cell>
          <cell r="M255" t="str">
            <v>U</v>
          </cell>
        </row>
        <row r="256">
          <cell r="A256">
            <v>12800</v>
          </cell>
          <cell r="B256" t="str">
            <v>5</v>
          </cell>
          <cell r="C256" t="str">
            <v>바)골재대</v>
          </cell>
          <cell r="D256" t="str">
            <v>별산</v>
          </cell>
          <cell r="E256">
            <v>0</v>
          </cell>
          <cell r="I256">
            <v>0</v>
          </cell>
          <cell r="L256" t="str">
            <v>A003</v>
          </cell>
          <cell r="M256" t="str">
            <v>U</v>
          </cell>
        </row>
        <row r="257">
          <cell r="A257">
            <v>12850</v>
          </cell>
          <cell r="B257" t="str">
            <v>6</v>
          </cell>
          <cell r="C257" t="str">
            <v>모래</v>
          </cell>
          <cell r="D257" t="str">
            <v>강모래</v>
          </cell>
          <cell r="E257">
            <v>0.2</v>
          </cell>
          <cell r="G257" t="str">
            <v>M3</v>
          </cell>
          <cell r="I257">
            <v>0</v>
          </cell>
          <cell r="K257" t="str">
            <v>IM00160</v>
          </cell>
          <cell r="L257" t="str">
            <v>A003</v>
          </cell>
          <cell r="M257" t="str">
            <v>U</v>
          </cell>
        </row>
        <row r="258">
          <cell r="A258">
            <v>12900</v>
          </cell>
          <cell r="B258" t="str">
            <v>6</v>
          </cell>
          <cell r="C258" t="str">
            <v>쇄석자갈</v>
          </cell>
          <cell r="D258" t="str">
            <v>Φ75</v>
          </cell>
          <cell r="E258">
            <v>4</v>
          </cell>
          <cell r="G258" t="str">
            <v>M3</v>
          </cell>
          <cell r="I258">
            <v>0</v>
          </cell>
          <cell r="K258" t="str">
            <v>IM00210</v>
          </cell>
          <cell r="L258" t="str">
            <v>A003</v>
          </cell>
          <cell r="M258" t="str">
            <v>U</v>
          </cell>
        </row>
        <row r="259">
          <cell r="A259">
            <v>12950</v>
          </cell>
          <cell r="B259" t="str">
            <v>4</v>
          </cell>
          <cell r="C259" t="str">
            <v>2)오수공</v>
          </cell>
          <cell r="E259">
            <v>0</v>
          </cell>
          <cell r="I259">
            <v>0</v>
          </cell>
          <cell r="L259" t="str">
            <v>A003</v>
          </cell>
          <cell r="M259" t="str">
            <v>U</v>
          </cell>
        </row>
        <row r="260">
          <cell r="A260">
            <v>13000</v>
          </cell>
          <cell r="B260" t="str">
            <v>5</v>
          </cell>
          <cell r="C260" t="str">
            <v>가)토   공</v>
          </cell>
          <cell r="E260">
            <v>0</v>
          </cell>
          <cell r="I260">
            <v>0</v>
          </cell>
          <cell r="L260" t="str">
            <v>A003</v>
          </cell>
          <cell r="M260" t="str">
            <v>U</v>
          </cell>
        </row>
        <row r="261">
          <cell r="A261">
            <v>13050</v>
          </cell>
          <cell r="B261" t="str">
            <v>6</v>
          </cell>
          <cell r="C261" t="str">
            <v>터파기(토사,0-6m)</v>
          </cell>
          <cell r="D261" t="str">
            <v>백호우 0.7M3</v>
          </cell>
          <cell r="E261">
            <v>2550</v>
          </cell>
          <cell r="G261" t="str">
            <v>M3</v>
          </cell>
          <cell r="I261">
            <v>0</v>
          </cell>
          <cell r="K261" t="str">
            <v>IL00580</v>
          </cell>
          <cell r="L261" t="str">
            <v>A003</v>
          </cell>
          <cell r="M261" t="str">
            <v>U</v>
          </cell>
        </row>
        <row r="262">
          <cell r="A262">
            <v>13100</v>
          </cell>
          <cell r="B262" t="str">
            <v>6</v>
          </cell>
          <cell r="C262" t="str">
            <v>수중터파기(토사,0-6M)</v>
          </cell>
          <cell r="D262" t="str">
            <v>백호우 0.7M3</v>
          </cell>
          <cell r="E262">
            <v>304</v>
          </cell>
          <cell r="G262" t="str">
            <v>M3</v>
          </cell>
          <cell r="I262">
            <v>0</v>
          </cell>
          <cell r="K262" t="str">
            <v>IL00450</v>
          </cell>
          <cell r="L262" t="str">
            <v>A003</v>
          </cell>
          <cell r="M262" t="str">
            <v>U</v>
          </cell>
        </row>
        <row r="263">
          <cell r="A263">
            <v>13150</v>
          </cell>
          <cell r="B263" t="str">
            <v>6</v>
          </cell>
          <cell r="C263" t="str">
            <v>잔토처리</v>
          </cell>
          <cell r="D263" t="str">
            <v>8톤덤프트럭</v>
          </cell>
          <cell r="E263">
            <v>245</v>
          </cell>
          <cell r="G263" t="str">
            <v>M3</v>
          </cell>
          <cell r="I263">
            <v>0</v>
          </cell>
          <cell r="K263" t="str">
            <v>I00600</v>
          </cell>
          <cell r="L263" t="str">
            <v>A003</v>
          </cell>
          <cell r="M263" t="str">
            <v>U</v>
          </cell>
        </row>
        <row r="264">
          <cell r="A264">
            <v>13200</v>
          </cell>
          <cell r="B264" t="str">
            <v>6</v>
          </cell>
          <cell r="C264" t="str">
            <v>되메우고다지기</v>
          </cell>
          <cell r="D264" t="str">
            <v>인력</v>
          </cell>
          <cell r="E264">
            <v>92</v>
          </cell>
          <cell r="G264" t="str">
            <v>M3</v>
          </cell>
          <cell r="I264">
            <v>0</v>
          </cell>
          <cell r="K264" t="str">
            <v>I00360</v>
          </cell>
          <cell r="L264" t="str">
            <v>A003</v>
          </cell>
          <cell r="M264" t="str">
            <v>U</v>
          </cell>
        </row>
        <row r="265">
          <cell r="A265">
            <v>13250</v>
          </cell>
          <cell r="B265" t="str">
            <v>6</v>
          </cell>
          <cell r="C265" t="str">
            <v>되메우고다지기</v>
          </cell>
          <cell r="D265" t="str">
            <v>기계,B/H+RAMMER</v>
          </cell>
          <cell r="E265">
            <v>2517</v>
          </cell>
          <cell r="G265" t="str">
            <v>M3</v>
          </cell>
          <cell r="I265">
            <v>0</v>
          </cell>
          <cell r="K265" t="str">
            <v>I00590</v>
          </cell>
          <cell r="L265" t="str">
            <v>A003</v>
          </cell>
          <cell r="M265" t="str">
            <v>U</v>
          </cell>
        </row>
        <row r="266">
          <cell r="A266">
            <v>13300</v>
          </cell>
          <cell r="B266" t="str">
            <v>5</v>
          </cell>
          <cell r="C266" t="str">
            <v>나)구조물공</v>
          </cell>
          <cell r="E266">
            <v>0</v>
          </cell>
          <cell r="I266">
            <v>0</v>
          </cell>
          <cell r="L266" t="str">
            <v>A003</v>
          </cell>
          <cell r="M266" t="str">
            <v>U</v>
          </cell>
        </row>
        <row r="267">
          <cell r="A267">
            <v>13350</v>
          </cell>
          <cell r="B267" t="str">
            <v>6</v>
          </cell>
          <cell r="C267" t="str">
            <v>레미콘 타설(기계)</v>
          </cell>
          <cell r="D267" t="str">
            <v>붐타설, 철근</v>
          </cell>
          <cell r="E267">
            <v>59</v>
          </cell>
          <cell r="G267" t="str">
            <v>M3</v>
          </cell>
          <cell r="I267">
            <v>0</v>
          </cell>
          <cell r="K267" t="str">
            <v>I00816</v>
          </cell>
          <cell r="L267" t="str">
            <v>A003</v>
          </cell>
          <cell r="M267" t="str">
            <v>U</v>
          </cell>
        </row>
        <row r="268">
          <cell r="A268">
            <v>13400</v>
          </cell>
          <cell r="B268" t="str">
            <v>6</v>
          </cell>
          <cell r="C268" t="str">
            <v>레미콘 타설(기계)</v>
          </cell>
          <cell r="D268" t="str">
            <v>붐타설, 무근</v>
          </cell>
          <cell r="E268">
            <v>72</v>
          </cell>
          <cell r="G268" t="str">
            <v>M3</v>
          </cell>
          <cell r="I268">
            <v>0</v>
          </cell>
          <cell r="K268" t="str">
            <v>I00813</v>
          </cell>
          <cell r="L268" t="str">
            <v>A003</v>
          </cell>
          <cell r="M268" t="str">
            <v>U</v>
          </cell>
        </row>
        <row r="269">
          <cell r="A269">
            <v>13450</v>
          </cell>
          <cell r="B269" t="str">
            <v>6</v>
          </cell>
          <cell r="C269" t="str">
            <v>잡 석 부 설</v>
          </cell>
          <cell r="E269">
            <v>10</v>
          </cell>
          <cell r="G269" t="str">
            <v>M3</v>
          </cell>
          <cell r="I269">
            <v>0</v>
          </cell>
          <cell r="K269" t="str">
            <v>S1030</v>
          </cell>
          <cell r="L269" t="str">
            <v>A003</v>
          </cell>
          <cell r="M269" t="str">
            <v>U</v>
          </cell>
        </row>
        <row r="270">
          <cell r="A270">
            <v>13500</v>
          </cell>
          <cell r="B270" t="str">
            <v>6</v>
          </cell>
          <cell r="C270" t="str">
            <v>합판 거푸집</v>
          </cell>
          <cell r="D270" t="str">
            <v>4 회</v>
          </cell>
          <cell r="E270">
            <v>258</v>
          </cell>
          <cell r="G270" t="str">
            <v>M2</v>
          </cell>
          <cell r="I270">
            <v>0</v>
          </cell>
          <cell r="K270" t="str">
            <v>I00920</v>
          </cell>
          <cell r="L270" t="str">
            <v>A003</v>
          </cell>
          <cell r="M270" t="str">
            <v>U</v>
          </cell>
        </row>
        <row r="271">
          <cell r="A271">
            <v>13550</v>
          </cell>
          <cell r="B271" t="str">
            <v>6</v>
          </cell>
          <cell r="C271" t="str">
            <v>합판 거푸집</v>
          </cell>
          <cell r="D271" t="str">
            <v>6 회</v>
          </cell>
          <cell r="E271">
            <v>411</v>
          </cell>
          <cell r="G271" t="str">
            <v>M2</v>
          </cell>
          <cell r="I271">
            <v>0</v>
          </cell>
          <cell r="K271" t="str">
            <v>I00940</v>
          </cell>
          <cell r="L271" t="str">
            <v>A003</v>
          </cell>
          <cell r="M271" t="str">
            <v>U</v>
          </cell>
        </row>
        <row r="272">
          <cell r="A272">
            <v>13600</v>
          </cell>
          <cell r="B272" t="str">
            <v>6</v>
          </cell>
          <cell r="C272" t="str">
            <v>원형거푸집</v>
          </cell>
          <cell r="D272" t="str">
            <v>3회,0~7M</v>
          </cell>
          <cell r="E272">
            <v>12</v>
          </cell>
          <cell r="G272" t="str">
            <v>㎡</v>
          </cell>
          <cell r="I272">
            <v>0</v>
          </cell>
          <cell r="K272" t="str">
            <v>H027</v>
          </cell>
          <cell r="L272" t="str">
            <v>A003</v>
          </cell>
          <cell r="M272" t="str">
            <v>U</v>
          </cell>
        </row>
        <row r="273">
          <cell r="A273">
            <v>13650</v>
          </cell>
          <cell r="B273" t="str">
            <v>6</v>
          </cell>
          <cell r="C273" t="str">
            <v>P.E 원형맨홀거푸집(Φ900)</v>
          </cell>
          <cell r="D273" t="str">
            <v>10회</v>
          </cell>
          <cell r="E273">
            <v>9</v>
          </cell>
          <cell r="G273" t="str">
            <v>개소</v>
          </cell>
          <cell r="I273">
            <v>0</v>
          </cell>
          <cell r="K273" t="str">
            <v>H028</v>
          </cell>
          <cell r="L273" t="str">
            <v>A003</v>
          </cell>
          <cell r="M273" t="str">
            <v>U</v>
          </cell>
        </row>
        <row r="274">
          <cell r="A274">
            <v>13700</v>
          </cell>
          <cell r="B274" t="str">
            <v>6</v>
          </cell>
          <cell r="C274" t="str">
            <v>모체침투성방수(2차)</v>
          </cell>
          <cell r="E274">
            <v>167</v>
          </cell>
          <cell r="G274" t="str">
            <v>M2</v>
          </cell>
          <cell r="I274">
            <v>0</v>
          </cell>
          <cell r="K274" t="str">
            <v>H900</v>
          </cell>
          <cell r="L274" t="str">
            <v>A003</v>
          </cell>
          <cell r="M274" t="str">
            <v>U</v>
          </cell>
        </row>
        <row r="275">
          <cell r="A275">
            <v>13750</v>
          </cell>
          <cell r="B275" t="str">
            <v>6</v>
          </cell>
          <cell r="C275" t="str">
            <v>강관비계</v>
          </cell>
          <cell r="D275" t="str">
            <v>3 개월</v>
          </cell>
          <cell r="E275">
            <v>183</v>
          </cell>
          <cell r="G275" t="str">
            <v>M2</v>
          </cell>
          <cell r="I275">
            <v>0</v>
          </cell>
          <cell r="K275" t="str">
            <v>HP40180</v>
          </cell>
          <cell r="L275" t="str">
            <v>A003</v>
          </cell>
          <cell r="M275" t="str">
            <v>U</v>
          </cell>
        </row>
        <row r="276">
          <cell r="A276">
            <v>13800</v>
          </cell>
          <cell r="B276" t="str">
            <v>6</v>
          </cell>
          <cell r="C276" t="str">
            <v>강관동바리 (암거 구조물)</v>
          </cell>
          <cell r="D276" t="str">
            <v>3 개월</v>
          </cell>
          <cell r="E276">
            <v>60</v>
          </cell>
          <cell r="G276" t="str">
            <v>공M3</v>
          </cell>
          <cell r="I276">
            <v>0</v>
          </cell>
          <cell r="K276" t="str">
            <v>J00190210</v>
          </cell>
          <cell r="L276" t="str">
            <v>A003</v>
          </cell>
          <cell r="M276" t="str">
            <v>U</v>
          </cell>
        </row>
        <row r="277">
          <cell r="A277">
            <v>13850</v>
          </cell>
          <cell r="B277" t="str">
            <v>6</v>
          </cell>
          <cell r="C277" t="str">
            <v>모 르 터</v>
          </cell>
          <cell r="D277" t="str">
            <v>1 : 2</v>
          </cell>
          <cell r="E277">
            <v>0.5</v>
          </cell>
          <cell r="G277" t="str">
            <v>M3</v>
          </cell>
          <cell r="I277">
            <v>0</v>
          </cell>
          <cell r="K277" t="str">
            <v>I00870</v>
          </cell>
          <cell r="L277" t="str">
            <v>A003</v>
          </cell>
          <cell r="M277" t="str">
            <v>U</v>
          </cell>
        </row>
        <row r="278">
          <cell r="A278">
            <v>13900</v>
          </cell>
          <cell r="B278" t="str">
            <v>6</v>
          </cell>
          <cell r="C278" t="str">
            <v>PVC지수판설치</v>
          </cell>
          <cell r="D278" t="str">
            <v>150x5t</v>
          </cell>
          <cell r="E278">
            <v>84</v>
          </cell>
          <cell r="G278" t="str">
            <v>m</v>
          </cell>
          <cell r="I278">
            <v>0</v>
          </cell>
          <cell r="K278" t="str">
            <v>H745</v>
          </cell>
          <cell r="L278" t="str">
            <v>A003</v>
          </cell>
          <cell r="M278" t="str">
            <v>U</v>
          </cell>
        </row>
        <row r="279">
          <cell r="A279">
            <v>13950</v>
          </cell>
          <cell r="B279" t="str">
            <v>6</v>
          </cell>
          <cell r="C279" t="str">
            <v>맨홀뚜껑설치</v>
          </cell>
          <cell r="D279" t="str">
            <v>(주철재)</v>
          </cell>
          <cell r="E279">
            <v>9</v>
          </cell>
          <cell r="G279" t="str">
            <v>조</v>
          </cell>
          <cell r="I279">
            <v>0</v>
          </cell>
          <cell r="K279" t="str">
            <v>H0140</v>
          </cell>
          <cell r="L279" t="str">
            <v>A003</v>
          </cell>
          <cell r="M279" t="str">
            <v>U</v>
          </cell>
        </row>
        <row r="280">
          <cell r="A280">
            <v>14000</v>
          </cell>
          <cell r="B280" t="str">
            <v>6</v>
          </cell>
          <cell r="C280" t="str">
            <v>뚜껑설치</v>
          </cell>
          <cell r="D280" t="str">
            <v>1,420x1,420</v>
          </cell>
          <cell r="E280">
            <v>2</v>
          </cell>
          <cell r="G280" t="str">
            <v>개소</v>
          </cell>
          <cell r="I280">
            <v>0</v>
          </cell>
          <cell r="K280" t="str">
            <v>H812</v>
          </cell>
          <cell r="L280" t="str">
            <v>A003</v>
          </cell>
          <cell r="M280" t="str">
            <v>U</v>
          </cell>
        </row>
        <row r="281">
          <cell r="A281">
            <v>14050</v>
          </cell>
          <cell r="B281" t="str">
            <v>6</v>
          </cell>
          <cell r="C281" t="str">
            <v>뚜껑설치</v>
          </cell>
          <cell r="D281" t="str">
            <v>1,600x1,100</v>
          </cell>
          <cell r="E281">
            <v>1</v>
          </cell>
          <cell r="G281" t="str">
            <v>개소</v>
          </cell>
          <cell r="I281">
            <v>0</v>
          </cell>
          <cell r="K281" t="str">
            <v>H810</v>
          </cell>
          <cell r="L281" t="str">
            <v>A003</v>
          </cell>
          <cell r="M281" t="str">
            <v>U</v>
          </cell>
        </row>
        <row r="282">
          <cell r="A282">
            <v>14100</v>
          </cell>
          <cell r="B282" t="str">
            <v>6</v>
          </cell>
          <cell r="C282" t="str">
            <v>스틸그레이팅설치</v>
          </cell>
          <cell r="D282" t="str">
            <v>960x960</v>
          </cell>
          <cell r="E282">
            <v>1</v>
          </cell>
          <cell r="G282" t="str">
            <v>개소</v>
          </cell>
          <cell r="I282">
            <v>0</v>
          </cell>
          <cell r="K282" t="str">
            <v>H803</v>
          </cell>
          <cell r="L282" t="str">
            <v>A003</v>
          </cell>
          <cell r="M282" t="str">
            <v>U</v>
          </cell>
        </row>
        <row r="283">
          <cell r="A283">
            <v>14150</v>
          </cell>
          <cell r="B283" t="str">
            <v>6</v>
          </cell>
          <cell r="C283" t="str">
            <v>LADDER(사다리)</v>
          </cell>
          <cell r="D283" t="str">
            <v>STS봉,ø19x1,000</v>
          </cell>
          <cell r="E283">
            <v>58</v>
          </cell>
          <cell r="G283" t="str">
            <v>개</v>
          </cell>
          <cell r="I283">
            <v>0</v>
          </cell>
          <cell r="K283" t="str">
            <v>H730</v>
          </cell>
          <cell r="L283" t="str">
            <v>A003</v>
          </cell>
          <cell r="M283" t="str">
            <v>U</v>
          </cell>
        </row>
        <row r="284">
          <cell r="A284">
            <v>14200</v>
          </cell>
          <cell r="B284" t="str">
            <v>6</v>
          </cell>
          <cell r="C284" t="str">
            <v>철근 가공 조립</v>
          </cell>
          <cell r="D284" t="str">
            <v>보  통</v>
          </cell>
          <cell r="E284">
            <v>0.26100000000000001</v>
          </cell>
          <cell r="G284" t="str">
            <v>TON</v>
          </cell>
          <cell r="I284">
            <v>0</v>
          </cell>
          <cell r="K284" t="str">
            <v>I00960</v>
          </cell>
          <cell r="L284" t="str">
            <v>A003</v>
          </cell>
          <cell r="M284" t="str">
            <v>U</v>
          </cell>
        </row>
        <row r="285">
          <cell r="A285">
            <v>14250</v>
          </cell>
          <cell r="B285" t="str">
            <v>6</v>
          </cell>
          <cell r="C285" t="str">
            <v>철근 가공 조립</v>
          </cell>
          <cell r="D285" t="str">
            <v>복  잡</v>
          </cell>
          <cell r="E285">
            <v>7.8170000000000002</v>
          </cell>
          <cell r="G285" t="str">
            <v>TON</v>
          </cell>
          <cell r="I285">
            <v>0</v>
          </cell>
          <cell r="K285" t="str">
            <v>I00970</v>
          </cell>
          <cell r="L285" t="str">
            <v>A003</v>
          </cell>
          <cell r="M285" t="str">
            <v>U</v>
          </cell>
        </row>
        <row r="286">
          <cell r="A286">
            <v>14300</v>
          </cell>
          <cell r="B286" t="str">
            <v>5</v>
          </cell>
          <cell r="C286" t="str">
            <v>다)관부설공</v>
          </cell>
          <cell r="E286">
            <v>0</v>
          </cell>
          <cell r="I286">
            <v>0</v>
          </cell>
          <cell r="L286" t="str">
            <v>A003</v>
          </cell>
          <cell r="M286" t="str">
            <v>U</v>
          </cell>
        </row>
        <row r="287">
          <cell r="A287">
            <v>14350</v>
          </cell>
          <cell r="B287" t="str">
            <v>6</v>
          </cell>
          <cell r="C287" t="str">
            <v>이중벽PE관 접합 및 부설</v>
          </cell>
          <cell r="D287" t="str">
            <v>Φ250MM</v>
          </cell>
          <cell r="E287">
            <v>455</v>
          </cell>
          <cell r="G287" t="str">
            <v>M</v>
          </cell>
          <cell r="I287">
            <v>0</v>
          </cell>
          <cell r="K287" t="str">
            <v>IL33360</v>
          </cell>
          <cell r="L287" t="str">
            <v>A003</v>
          </cell>
          <cell r="M287" t="str">
            <v>U</v>
          </cell>
        </row>
        <row r="288">
          <cell r="A288">
            <v>14400</v>
          </cell>
          <cell r="B288" t="str">
            <v>5</v>
          </cell>
          <cell r="C288" t="str">
            <v>라)부대공</v>
          </cell>
          <cell r="E288">
            <v>0</v>
          </cell>
          <cell r="I288">
            <v>0</v>
          </cell>
          <cell r="L288" t="str">
            <v>A003</v>
          </cell>
          <cell r="M288" t="str">
            <v>U</v>
          </cell>
        </row>
        <row r="289">
          <cell r="A289">
            <v>14450</v>
          </cell>
          <cell r="B289" t="str">
            <v>6</v>
          </cell>
          <cell r="C289" t="str">
            <v>물푸기</v>
          </cell>
          <cell r="E289">
            <v>25</v>
          </cell>
          <cell r="G289" t="str">
            <v>HR</v>
          </cell>
          <cell r="I289">
            <v>0</v>
          </cell>
          <cell r="K289" t="str">
            <v>SD30010</v>
          </cell>
          <cell r="L289" t="str">
            <v>A003</v>
          </cell>
          <cell r="M289" t="str">
            <v>U</v>
          </cell>
        </row>
        <row r="290">
          <cell r="A290">
            <v>14500</v>
          </cell>
          <cell r="B290" t="str">
            <v>6</v>
          </cell>
          <cell r="C290" t="str">
            <v>CCTV 조사및 보고</v>
          </cell>
          <cell r="E290">
            <v>455</v>
          </cell>
          <cell r="G290" t="str">
            <v>M</v>
          </cell>
          <cell r="I290">
            <v>0</v>
          </cell>
          <cell r="K290" t="str">
            <v>H210</v>
          </cell>
          <cell r="L290" t="str">
            <v>A003</v>
          </cell>
          <cell r="M290" t="str">
            <v>U</v>
          </cell>
        </row>
        <row r="291">
          <cell r="A291">
            <v>14550</v>
          </cell>
          <cell r="B291" t="str">
            <v>5</v>
          </cell>
          <cell r="C291" t="str">
            <v>마)배관자재대</v>
          </cell>
          <cell r="E291">
            <v>0</v>
          </cell>
          <cell r="I291">
            <v>0</v>
          </cell>
          <cell r="L291" t="str">
            <v>A003</v>
          </cell>
          <cell r="M291" t="str">
            <v>U</v>
          </cell>
        </row>
        <row r="292">
          <cell r="A292">
            <v>14600</v>
          </cell>
          <cell r="B292" t="str">
            <v>6</v>
          </cell>
          <cell r="C292" t="str">
            <v>이중벽폴리에틸렌관</v>
          </cell>
          <cell r="D292" t="str">
            <v>250mm(1종)</v>
          </cell>
          <cell r="E292">
            <v>455</v>
          </cell>
          <cell r="G292" t="str">
            <v>M</v>
          </cell>
          <cell r="I292">
            <v>0</v>
          </cell>
          <cell r="K292" t="str">
            <v>M5709033</v>
          </cell>
          <cell r="L292" t="str">
            <v>A003</v>
          </cell>
          <cell r="M292" t="str">
            <v>U</v>
          </cell>
        </row>
        <row r="293">
          <cell r="A293">
            <v>14650</v>
          </cell>
          <cell r="B293" t="str">
            <v>5</v>
          </cell>
          <cell r="C293" t="str">
            <v>바)사급자재대</v>
          </cell>
          <cell r="D293" t="str">
            <v>별산</v>
          </cell>
          <cell r="E293">
            <v>0</v>
          </cell>
          <cell r="I293">
            <v>0</v>
          </cell>
          <cell r="L293" t="str">
            <v>A003</v>
          </cell>
          <cell r="M293" t="str">
            <v>U</v>
          </cell>
        </row>
        <row r="294">
          <cell r="A294">
            <v>14700</v>
          </cell>
          <cell r="B294" t="str">
            <v>6</v>
          </cell>
          <cell r="C294" t="str">
            <v>레미콘</v>
          </cell>
          <cell r="D294" t="str">
            <v>25-240-8</v>
          </cell>
          <cell r="E294">
            <v>57</v>
          </cell>
          <cell r="G294" t="str">
            <v>M3</v>
          </cell>
          <cell r="I294">
            <v>0</v>
          </cell>
          <cell r="K294" t="str">
            <v>IM00087</v>
          </cell>
          <cell r="L294" t="str">
            <v>A003</v>
          </cell>
          <cell r="M294" t="str">
            <v>U</v>
          </cell>
        </row>
        <row r="295">
          <cell r="A295">
            <v>14750</v>
          </cell>
          <cell r="B295" t="str">
            <v>6</v>
          </cell>
          <cell r="C295" t="str">
            <v>레미콘</v>
          </cell>
          <cell r="D295" t="str">
            <v>25-210-8</v>
          </cell>
          <cell r="E295">
            <v>2</v>
          </cell>
          <cell r="G295" t="str">
            <v>M3</v>
          </cell>
          <cell r="I295">
            <v>0</v>
          </cell>
          <cell r="K295" t="str">
            <v>IM00085</v>
          </cell>
          <cell r="L295" t="str">
            <v>A003</v>
          </cell>
          <cell r="M295" t="str">
            <v>U</v>
          </cell>
        </row>
        <row r="296">
          <cell r="A296">
            <v>14800</v>
          </cell>
          <cell r="B296" t="str">
            <v>6</v>
          </cell>
          <cell r="C296" t="str">
            <v>레미콘</v>
          </cell>
          <cell r="D296" t="str">
            <v>40-210-8</v>
          </cell>
          <cell r="E296">
            <v>69</v>
          </cell>
          <cell r="G296" t="str">
            <v>M3</v>
          </cell>
          <cell r="I296">
            <v>0</v>
          </cell>
          <cell r="K296" t="str">
            <v>IM00080</v>
          </cell>
          <cell r="L296" t="str">
            <v>A003</v>
          </cell>
          <cell r="M296" t="str">
            <v>U</v>
          </cell>
        </row>
        <row r="297">
          <cell r="A297">
            <v>14850</v>
          </cell>
          <cell r="B297" t="str">
            <v>6</v>
          </cell>
          <cell r="C297" t="str">
            <v>레미콘</v>
          </cell>
          <cell r="D297" t="str">
            <v>40-150-8</v>
          </cell>
          <cell r="E297">
            <v>5</v>
          </cell>
          <cell r="G297" t="str">
            <v>M3</v>
          </cell>
          <cell r="I297">
            <v>0</v>
          </cell>
          <cell r="K297" t="str">
            <v>IM00075</v>
          </cell>
          <cell r="L297" t="str">
            <v>A003</v>
          </cell>
          <cell r="M297" t="str">
            <v>U</v>
          </cell>
        </row>
        <row r="298">
          <cell r="A298">
            <v>14900</v>
          </cell>
          <cell r="B298" t="str">
            <v>6</v>
          </cell>
          <cell r="C298" t="str">
            <v>이형철근</v>
          </cell>
          <cell r="D298" t="str">
            <v>19M/M 2.250KG/M</v>
          </cell>
          <cell r="E298">
            <v>4</v>
          </cell>
          <cell r="G298" t="str">
            <v>M/T</v>
          </cell>
          <cell r="I298">
            <v>0</v>
          </cell>
          <cell r="K298" t="str">
            <v>IM00050</v>
          </cell>
          <cell r="L298" t="str">
            <v>A003</v>
          </cell>
          <cell r="M298" t="str">
            <v>U</v>
          </cell>
        </row>
        <row r="299">
          <cell r="A299">
            <v>14950</v>
          </cell>
          <cell r="B299" t="str">
            <v>6</v>
          </cell>
          <cell r="C299" t="str">
            <v>이형철근</v>
          </cell>
          <cell r="D299" t="str">
            <v>16M/M 1.560KG/M</v>
          </cell>
          <cell r="E299">
            <v>4.4859999999999998</v>
          </cell>
          <cell r="G299" t="str">
            <v>M/T</v>
          </cell>
          <cell r="I299">
            <v>0</v>
          </cell>
          <cell r="K299" t="str">
            <v>IM00045</v>
          </cell>
          <cell r="L299" t="str">
            <v>A003</v>
          </cell>
          <cell r="M299" t="str">
            <v>U</v>
          </cell>
        </row>
        <row r="300">
          <cell r="A300">
            <v>15000</v>
          </cell>
          <cell r="B300" t="str">
            <v>6</v>
          </cell>
          <cell r="C300" t="str">
            <v>이형철근</v>
          </cell>
          <cell r="D300" t="str">
            <v>13M/M 0.995KG/M</v>
          </cell>
          <cell r="E300">
            <v>0.32400000000000001</v>
          </cell>
          <cell r="G300" t="str">
            <v>M/T</v>
          </cell>
          <cell r="I300">
            <v>0</v>
          </cell>
          <cell r="K300" t="str">
            <v>IM00040</v>
          </cell>
          <cell r="L300" t="str">
            <v>A003</v>
          </cell>
          <cell r="M300" t="str">
            <v>U</v>
          </cell>
        </row>
        <row r="301">
          <cell r="A301">
            <v>15050</v>
          </cell>
          <cell r="B301" t="str">
            <v>6</v>
          </cell>
          <cell r="C301" t="str">
            <v>시멘트</v>
          </cell>
          <cell r="D301" t="str">
            <v>40kg/대(포장품)</v>
          </cell>
          <cell r="E301">
            <v>8</v>
          </cell>
          <cell r="G301" t="str">
            <v>대</v>
          </cell>
          <cell r="I301">
            <v>0</v>
          </cell>
          <cell r="K301" t="str">
            <v>IM00095</v>
          </cell>
          <cell r="L301" t="str">
            <v>A003</v>
          </cell>
          <cell r="M301" t="str">
            <v>U</v>
          </cell>
        </row>
        <row r="302">
          <cell r="A302">
            <v>15100</v>
          </cell>
          <cell r="B302" t="str">
            <v>5</v>
          </cell>
          <cell r="C302" t="str">
            <v>사)골재대</v>
          </cell>
          <cell r="D302" t="str">
            <v>별산</v>
          </cell>
          <cell r="E302">
            <v>0</v>
          </cell>
          <cell r="I302">
            <v>0</v>
          </cell>
          <cell r="L302" t="str">
            <v>A003</v>
          </cell>
          <cell r="M302" t="str">
            <v>U</v>
          </cell>
        </row>
        <row r="303">
          <cell r="A303">
            <v>15150</v>
          </cell>
          <cell r="B303" t="str">
            <v>6</v>
          </cell>
          <cell r="C303" t="str">
            <v>모래</v>
          </cell>
          <cell r="D303" t="str">
            <v>강모래</v>
          </cell>
          <cell r="E303">
            <v>0.5</v>
          </cell>
          <cell r="G303" t="str">
            <v>M3</v>
          </cell>
          <cell r="I303">
            <v>0</v>
          </cell>
          <cell r="K303" t="str">
            <v>IM00160</v>
          </cell>
          <cell r="L303" t="str">
            <v>A003</v>
          </cell>
          <cell r="M303" t="str">
            <v>U</v>
          </cell>
        </row>
        <row r="304">
          <cell r="A304">
            <v>15200</v>
          </cell>
          <cell r="B304" t="str">
            <v>6</v>
          </cell>
          <cell r="C304" t="str">
            <v>쇄석자갈</v>
          </cell>
          <cell r="D304" t="str">
            <v>Φ75</v>
          </cell>
          <cell r="E304">
            <v>10</v>
          </cell>
          <cell r="G304" t="str">
            <v>M3</v>
          </cell>
          <cell r="I304">
            <v>0</v>
          </cell>
          <cell r="K304" t="str">
            <v>IM00210</v>
          </cell>
          <cell r="L304" t="str">
            <v>A003</v>
          </cell>
          <cell r="M304" t="str">
            <v>U</v>
          </cell>
        </row>
        <row r="305">
          <cell r="A305">
            <v>15250</v>
          </cell>
          <cell r="B305" t="str">
            <v>4</v>
          </cell>
          <cell r="C305" t="str">
            <v>3)유수분리시설</v>
          </cell>
          <cell r="E305">
            <v>0</v>
          </cell>
          <cell r="I305">
            <v>0</v>
          </cell>
          <cell r="L305" t="str">
            <v>A003</v>
          </cell>
          <cell r="M305" t="str">
            <v>U</v>
          </cell>
        </row>
        <row r="306">
          <cell r="A306">
            <v>15300</v>
          </cell>
          <cell r="B306" t="str">
            <v>5</v>
          </cell>
          <cell r="C306" t="str">
            <v>가)토   공</v>
          </cell>
          <cell r="E306">
            <v>0</v>
          </cell>
          <cell r="I306">
            <v>0</v>
          </cell>
          <cell r="L306" t="str">
            <v>A003</v>
          </cell>
          <cell r="M306" t="str">
            <v>U</v>
          </cell>
        </row>
        <row r="307">
          <cell r="A307">
            <v>15350</v>
          </cell>
          <cell r="B307" t="str">
            <v>6</v>
          </cell>
          <cell r="C307" t="str">
            <v>터파기(토사,0-6m)</v>
          </cell>
          <cell r="D307" t="str">
            <v>백호우 0.7M3</v>
          </cell>
          <cell r="E307">
            <v>877</v>
          </cell>
          <cell r="G307" t="str">
            <v>M3</v>
          </cell>
          <cell r="I307">
            <v>0</v>
          </cell>
          <cell r="K307" t="str">
            <v>IL00580</v>
          </cell>
          <cell r="L307" t="str">
            <v>A003</v>
          </cell>
          <cell r="M307" t="str">
            <v>U</v>
          </cell>
        </row>
        <row r="308">
          <cell r="A308">
            <v>15400</v>
          </cell>
          <cell r="B308" t="str">
            <v>6</v>
          </cell>
          <cell r="C308" t="str">
            <v>수중터파기(토사,0-6M)</v>
          </cell>
          <cell r="D308" t="str">
            <v>백호우 0.7M3</v>
          </cell>
          <cell r="E308">
            <v>295</v>
          </cell>
          <cell r="G308" t="str">
            <v>M3</v>
          </cell>
          <cell r="I308">
            <v>0</v>
          </cell>
          <cell r="K308" t="str">
            <v>IL00450</v>
          </cell>
          <cell r="L308" t="str">
            <v>A003</v>
          </cell>
          <cell r="M308" t="str">
            <v>U</v>
          </cell>
        </row>
        <row r="309">
          <cell r="A309">
            <v>15450</v>
          </cell>
          <cell r="B309" t="str">
            <v>6</v>
          </cell>
          <cell r="C309" t="str">
            <v>잔토처리</v>
          </cell>
          <cell r="D309" t="str">
            <v>8톤덤프트럭</v>
          </cell>
          <cell r="E309">
            <v>325</v>
          </cell>
          <cell r="G309" t="str">
            <v>M3</v>
          </cell>
          <cell r="I309">
            <v>0</v>
          </cell>
          <cell r="K309" t="str">
            <v>I00600</v>
          </cell>
          <cell r="L309" t="str">
            <v>A003</v>
          </cell>
          <cell r="M309" t="str">
            <v>U</v>
          </cell>
        </row>
        <row r="310">
          <cell r="A310">
            <v>15500</v>
          </cell>
          <cell r="B310" t="str">
            <v>6</v>
          </cell>
          <cell r="C310" t="str">
            <v>되메우고다지기</v>
          </cell>
          <cell r="D310" t="str">
            <v>인력</v>
          </cell>
          <cell r="E310">
            <v>40</v>
          </cell>
          <cell r="G310" t="str">
            <v>M3</v>
          </cell>
          <cell r="I310">
            <v>0</v>
          </cell>
          <cell r="K310" t="str">
            <v>I00360</v>
          </cell>
          <cell r="L310" t="str">
            <v>A003</v>
          </cell>
          <cell r="M310" t="str">
            <v>U</v>
          </cell>
        </row>
        <row r="311">
          <cell r="A311">
            <v>15550</v>
          </cell>
          <cell r="B311" t="str">
            <v>6</v>
          </cell>
          <cell r="C311" t="str">
            <v>되메우고다지기</v>
          </cell>
          <cell r="D311" t="str">
            <v>기계,B/H+RAMMER</v>
          </cell>
          <cell r="E311">
            <v>807</v>
          </cell>
          <cell r="G311" t="str">
            <v>M3</v>
          </cell>
          <cell r="I311">
            <v>0</v>
          </cell>
          <cell r="K311" t="str">
            <v>I00590</v>
          </cell>
          <cell r="L311" t="str">
            <v>A003</v>
          </cell>
          <cell r="M311" t="str">
            <v>U</v>
          </cell>
        </row>
        <row r="312">
          <cell r="A312">
            <v>15600</v>
          </cell>
          <cell r="B312" t="str">
            <v>6</v>
          </cell>
          <cell r="C312" t="str">
            <v>포장 절단공</v>
          </cell>
          <cell r="D312" t="str">
            <v>아스팔트콘크리트포장</v>
          </cell>
          <cell r="E312">
            <v>45</v>
          </cell>
          <cell r="G312" t="str">
            <v>M</v>
          </cell>
          <cell r="I312">
            <v>0</v>
          </cell>
          <cell r="K312" t="str">
            <v>J02080020</v>
          </cell>
          <cell r="L312" t="str">
            <v>A003</v>
          </cell>
          <cell r="M312" t="str">
            <v>U</v>
          </cell>
        </row>
        <row r="313">
          <cell r="A313">
            <v>15650</v>
          </cell>
          <cell r="B313" t="str">
            <v>6</v>
          </cell>
          <cell r="C313" t="str">
            <v>기존포장깨기</v>
          </cell>
          <cell r="D313" t="str">
            <v>아스콘</v>
          </cell>
          <cell r="E313">
            <v>6</v>
          </cell>
          <cell r="G313" t="str">
            <v>M3</v>
          </cell>
          <cell r="I313">
            <v>0</v>
          </cell>
          <cell r="K313" t="str">
            <v>HD00030</v>
          </cell>
          <cell r="L313" t="str">
            <v>A003</v>
          </cell>
          <cell r="M313" t="str">
            <v>U</v>
          </cell>
        </row>
        <row r="314">
          <cell r="A314">
            <v>15700</v>
          </cell>
          <cell r="B314" t="str">
            <v>6</v>
          </cell>
          <cell r="C314" t="str">
            <v>아스팔트포장</v>
          </cell>
          <cell r="E314">
            <v>0.56000000000000005</v>
          </cell>
          <cell r="G314" t="str">
            <v>a</v>
          </cell>
          <cell r="I314">
            <v>0</v>
          </cell>
          <cell r="K314" t="str">
            <v>H600</v>
          </cell>
          <cell r="L314" t="str">
            <v>A003</v>
          </cell>
          <cell r="M314" t="str">
            <v>U</v>
          </cell>
        </row>
        <row r="315">
          <cell r="A315">
            <v>15750</v>
          </cell>
          <cell r="B315" t="str">
            <v>5</v>
          </cell>
          <cell r="C315" t="str">
            <v>나)구조물공</v>
          </cell>
          <cell r="E315">
            <v>0</v>
          </cell>
          <cell r="I315">
            <v>0</v>
          </cell>
          <cell r="L315" t="str">
            <v>A003</v>
          </cell>
          <cell r="M315" t="str">
            <v>U</v>
          </cell>
        </row>
        <row r="316">
          <cell r="A316">
            <v>15800</v>
          </cell>
          <cell r="B316" t="str">
            <v>6</v>
          </cell>
          <cell r="C316" t="str">
            <v>레미콘 타설(기계)</v>
          </cell>
          <cell r="D316" t="str">
            <v>붐타설, 철근</v>
          </cell>
          <cell r="E316">
            <v>110</v>
          </cell>
          <cell r="G316" t="str">
            <v>M3</v>
          </cell>
          <cell r="I316">
            <v>0</v>
          </cell>
          <cell r="K316" t="str">
            <v>I00816</v>
          </cell>
          <cell r="L316" t="str">
            <v>A003</v>
          </cell>
          <cell r="M316" t="str">
            <v>U</v>
          </cell>
        </row>
        <row r="317">
          <cell r="A317">
            <v>15850</v>
          </cell>
          <cell r="B317" t="str">
            <v>6</v>
          </cell>
          <cell r="C317" t="str">
            <v>레미콘 타설(기계)</v>
          </cell>
          <cell r="D317" t="str">
            <v>붐타설, 무근</v>
          </cell>
          <cell r="E317">
            <v>36</v>
          </cell>
          <cell r="G317" t="str">
            <v>M3</v>
          </cell>
          <cell r="I317">
            <v>0</v>
          </cell>
          <cell r="K317" t="str">
            <v>I00813</v>
          </cell>
          <cell r="L317" t="str">
            <v>A003</v>
          </cell>
          <cell r="M317" t="str">
            <v>U</v>
          </cell>
        </row>
        <row r="318">
          <cell r="A318">
            <v>15900</v>
          </cell>
          <cell r="B318" t="str">
            <v>6</v>
          </cell>
          <cell r="C318" t="str">
            <v>잡 석 부 설</v>
          </cell>
          <cell r="E318">
            <v>13</v>
          </cell>
          <cell r="G318" t="str">
            <v>M3</v>
          </cell>
          <cell r="I318">
            <v>0</v>
          </cell>
          <cell r="K318" t="str">
            <v>S1030</v>
          </cell>
          <cell r="L318" t="str">
            <v>A003</v>
          </cell>
          <cell r="M318" t="str">
            <v>U</v>
          </cell>
        </row>
        <row r="319">
          <cell r="A319">
            <v>15950</v>
          </cell>
          <cell r="B319" t="str">
            <v>6</v>
          </cell>
          <cell r="C319" t="str">
            <v>합판 거푸집</v>
          </cell>
          <cell r="D319" t="str">
            <v>4 회</v>
          </cell>
          <cell r="E319">
            <v>415</v>
          </cell>
          <cell r="G319" t="str">
            <v>M2</v>
          </cell>
          <cell r="I319">
            <v>0</v>
          </cell>
          <cell r="K319" t="str">
            <v>I00920</v>
          </cell>
          <cell r="L319" t="str">
            <v>A003</v>
          </cell>
          <cell r="M319" t="str">
            <v>U</v>
          </cell>
        </row>
        <row r="320">
          <cell r="A320">
            <v>16000</v>
          </cell>
          <cell r="B320" t="str">
            <v>6</v>
          </cell>
          <cell r="C320" t="str">
            <v>합판 거푸집</v>
          </cell>
          <cell r="D320" t="str">
            <v>6 회</v>
          </cell>
          <cell r="E320">
            <v>74</v>
          </cell>
          <cell r="G320" t="str">
            <v>M2</v>
          </cell>
          <cell r="I320">
            <v>0</v>
          </cell>
          <cell r="K320" t="str">
            <v>I00940</v>
          </cell>
          <cell r="L320" t="str">
            <v>A003</v>
          </cell>
          <cell r="M320" t="str">
            <v>U</v>
          </cell>
        </row>
        <row r="321">
          <cell r="A321">
            <v>16050</v>
          </cell>
          <cell r="B321" t="str">
            <v>6</v>
          </cell>
          <cell r="C321" t="str">
            <v>모체침투성방수(2차)</v>
          </cell>
          <cell r="E321">
            <v>141</v>
          </cell>
          <cell r="G321" t="str">
            <v>M2</v>
          </cell>
          <cell r="I321">
            <v>0</v>
          </cell>
          <cell r="K321" t="str">
            <v>H900</v>
          </cell>
          <cell r="L321" t="str">
            <v>A003</v>
          </cell>
          <cell r="M321" t="str">
            <v>U</v>
          </cell>
        </row>
        <row r="322">
          <cell r="A322">
            <v>16100</v>
          </cell>
          <cell r="B322" t="str">
            <v>6</v>
          </cell>
          <cell r="C322" t="str">
            <v>강관비계</v>
          </cell>
          <cell r="D322" t="str">
            <v>3 개월</v>
          </cell>
          <cell r="E322">
            <v>281</v>
          </cell>
          <cell r="G322" t="str">
            <v>M2</v>
          </cell>
          <cell r="I322">
            <v>0</v>
          </cell>
          <cell r="K322" t="str">
            <v>HP40180</v>
          </cell>
          <cell r="L322" t="str">
            <v>A003</v>
          </cell>
          <cell r="M322" t="str">
            <v>U</v>
          </cell>
        </row>
        <row r="323">
          <cell r="A323">
            <v>16150</v>
          </cell>
          <cell r="B323" t="str">
            <v>6</v>
          </cell>
          <cell r="C323" t="str">
            <v>강관동바리 (암거 구조물)</v>
          </cell>
          <cell r="D323" t="str">
            <v>3 개월</v>
          </cell>
          <cell r="E323">
            <v>123</v>
          </cell>
          <cell r="G323" t="str">
            <v>공M3</v>
          </cell>
          <cell r="I323">
            <v>0</v>
          </cell>
          <cell r="K323" t="str">
            <v>J00190210</v>
          </cell>
          <cell r="L323" t="str">
            <v>A003</v>
          </cell>
          <cell r="M323" t="str">
            <v>U</v>
          </cell>
        </row>
        <row r="324">
          <cell r="A324">
            <v>16200</v>
          </cell>
          <cell r="B324" t="str">
            <v>6</v>
          </cell>
          <cell r="C324" t="str">
            <v>PVC지수판설치</v>
          </cell>
          <cell r="D324" t="str">
            <v>150x5t</v>
          </cell>
          <cell r="E324">
            <v>60</v>
          </cell>
          <cell r="G324" t="str">
            <v>m</v>
          </cell>
          <cell r="I324">
            <v>0</v>
          </cell>
          <cell r="K324" t="str">
            <v>H745</v>
          </cell>
          <cell r="L324" t="str">
            <v>A003</v>
          </cell>
          <cell r="M324" t="str">
            <v>U</v>
          </cell>
        </row>
        <row r="325">
          <cell r="A325">
            <v>16250</v>
          </cell>
          <cell r="B325" t="str">
            <v>6</v>
          </cell>
          <cell r="C325" t="str">
            <v>뚜껑설치</v>
          </cell>
          <cell r="D325" t="str">
            <v>2,800x860</v>
          </cell>
          <cell r="E325">
            <v>1</v>
          </cell>
          <cell r="G325" t="str">
            <v>개소</v>
          </cell>
          <cell r="I325">
            <v>0</v>
          </cell>
          <cell r="K325" t="str">
            <v>H811</v>
          </cell>
          <cell r="L325" t="str">
            <v>A003</v>
          </cell>
          <cell r="M325" t="str">
            <v>U</v>
          </cell>
        </row>
        <row r="326">
          <cell r="A326">
            <v>16300</v>
          </cell>
          <cell r="B326" t="str">
            <v>6</v>
          </cell>
          <cell r="C326" t="str">
            <v>뚜껑설치</v>
          </cell>
          <cell r="D326" t="str">
            <v>1,420x1,420</v>
          </cell>
          <cell r="E326">
            <v>1</v>
          </cell>
          <cell r="G326" t="str">
            <v>개소</v>
          </cell>
          <cell r="I326">
            <v>0</v>
          </cell>
          <cell r="K326" t="str">
            <v>H812</v>
          </cell>
          <cell r="L326" t="str">
            <v>A003</v>
          </cell>
          <cell r="M326" t="str">
            <v>U</v>
          </cell>
        </row>
        <row r="327">
          <cell r="A327">
            <v>16350</v>
          </cell>
          <cell r="B327" t="str">
            <v>6</v>
          </cell>
          <cell r="C327" t="str">
            <v>스틸그레이팅설치</v>
          </cell>
          <cell r="D327" t="str">
            <v>1,350x1,385</v>
          </cell>
          <cell r="E327">
            <v>1</v>
          </cell>
          <cell r="G327" t="str">
            <v>개소</v>
          </cell>
          <cell r="I327">
            <v>0</v>
          </cell>
          <cell r="K327" t="str">
            <v>H801</v>
          </cell>
          <cell r="L327" t="str">
            <v>A003</v>
          </cell>
          <cell r="M327" t="str">
            <v>U</v>
          </cell>
        </row>
        <row r="328">
          <cell r="A328">
            <v>16400</v>
          </cell>
          <cell r="B328" t="str">
            <v>6</v>
          </cell>
          <cell r="C328" t="str">
            <v>스틸그레이팅설치</v>
          </cell>
          <cell r="D328" t="str">
            <v>560x1,385</v>
          </cell>
          <cell r="E328">
            <v>1</v>
          </cell>
          <cell r="G328" t="str">
            <v>개소</v>
          </cell>
          <cell r="I328">
            <v>0</v>
          </cell>
          <cell r="K328" t="str">
            <v>H800</v>
          </cell>
          <cell r="L328" t="str">
            <v>A003</v>
          </cell>
          <cell r="M328" t="str">
            <v>U</v>
          </cell>
        </row>
        <row r="329">
          <cell r="A329">
            <v>16450</v>
          </cell>
          <cell r="B329" t="str">
            <v>6</v>
          </cell>
          <cell r="C329" t="str">
            <v>스틸그레이팅설치</v>
          </cell>
          <cell r="D329" t="str">
            <v>1,260x1,260</v>
          </cell>
          <cell r="E329">
            <v>1</v>
          </cell>
          <cell r="G329" t="str">
            <v>개소</v>
          </cell>
          <cell r="I329">
            <v>0</v>
          </cell>
          <cell r="K329" t="str">
            <v>H802</v>
          </cell>
          <cell r="L329" t="str">
            <v>A003</v>
          </cell>
          <cell r="M329" t="str">
            <v>U</v>
          </cell>
        </row>
        <row r="330">
          <cell r="A330">
            <v>16500</v>
          </cell>
          <cell r="B330" t="str">
            <v>6</v>
          </cell>
          <cell r="C330" t="str">
            <v>슬리브설치</v>
          </cell>
          <cell r="D330" t="str">
            <v>D300</v>
          </cell>
          <cell r="E330">
            <v>4</v>
          </cell>
          <cell r="G330" t="str">
            <v>개소</v>
          </cell>
          <cell r="I330">
            <v>0</v>
          </cell>
          <cell r="K330" t="str">
            <v>H821</v>
          </cell>
          <cell r="L330" t="str">
            <v>A003</v>
          </cell>
          <cell r="M330" t="str">
            <v>U</v>
          </cell>
        </row>
        <row r="331">
          <cell r="A331">
            <v>16550</v>
          </cell>
          <cell r="B331" t="str">
            <v>6</v>
          </cell>
          <cell r="C331" t="str">
            <v>슬리브설치</v>
          </cell>
          <cell r="D331" t="str">
            <v>D400</v>
          </cell>
          <cell r="E331">
            <v>1</v>
          </cell>
          <cell r="G331" t="str">
            <v>개소</v>
          </cell>
          <cell r="I331">
            <v>0</v>
          </cell>
          <cell r="K331" t="str">
            <v>H822</v>
          </cell>
          <cell r="L331" t="str">
            <v>A003</v>
          </cell>
          <cell r="M331" t="str">
            <v>U</v>
          </cell>
        </row>
        <row r="332">
          <cell r="A332">
            <v>16600</v>
          </cell>
          <cell r="B332" t="str">
            <v>6</v>
          </cell>
          <cell r="C332" t="str">
            <v>슬리브설치</v>
          </cell>
          <cell r="D332" t="str">
            <v>D900</v>
          </cell>
          <cell r="E332">
            <v>1</v>
          </cell>
          <cell r="G332" t="str">
            <v>개소</v>
          </cell>
          <cell r="I332">
            <v>0</v>
          </cell>
          <cell r="K332" t="str">
            <v>H823</v>
          </cell>
          <cell r="L332" t="str">
            <v>A003</v>
          </cell>
          <cell r="M332" t="str">
            <v>U</v>
          </cell>
        </row>
        <row r="333">
          <cell r="A333">
            <v>16650</v>
          </cell>
          <cell r="B333" t="str">
            <v>6</v>
          </cell>
          <cell r="C333" t="str">
            <v>슬리브설치</v>
          </cell>
          <cell r="D333" t="str">
            <v>D1100</v>
          </cell>
          <cell r="E333">
            <v>1</v>
          </cell>
          <cell r="G333" t="str">
            <v>개소</v>
          </cell>
          <cell r="I333">
            <v>0</v>
          </cell>
          <cell r="K333" t="str">
            <v>H824</v>
          </cell>
          <cell r="L333" t="str">
            <v>A003</v>
          </cell>
          <cell r="M333" t="str">
            <v>U</v>
          </cell>
        </row>
        <row r="334">
          <cell r="A334">
            <v>16700</v>
          </cell>
          <cell r="B334" t="str">
            <v>6</v>
          </cell>
          <cell r="C334" t="str">
            <v>LADDER(사다리)</v>
          </cell>
          <cell r="D334" t="str">
            <v>STS봉,ø19x1,000</v>
          </cell>
          <cell r="E334">
            <v>31</v>
          </cell>
          <cell r="G334" t="str">
            <v>개</v>
          </cell>
          <cell r="I334">
            <v>0</v>
          </cell>
          <cell r="K334" t="str">
            <v>H730</v>
          </cell>
          <cell r="L334" t="str">
            <v>A003</v>
          </cell>
          <cell r="M334" t="str">
            <v>U</v>
          </cell>
        </row>
        <row r="335">
          <cell r="A335">
            <v>16750</v>
          </cell>
          <cell r="B335" t="str">
            <v>6</v>
          </cell>
          <cell r="C335" t="str">
            <v>철근 가공 조립</v>
          </cell>
          <cell r="D335" t="str">
            <v>간  단</v>
          </cell>
          <cell r="E335">
            <v>0.40699999999999997</v>
          </cell>
          <cell r="G335" t="str">
            <v>TON</v>
          </cell>
          <cell r="I335">
            <v>0</v>
          </cell>
          <cell r="K335" t="str">
            <v>I00950</v>
          </cell>
          <cell r="L335" t="str">
            <v>A003</v>
          </cell>
          <cell r="M335" t="str">
            <v>U</v>
          </cell>
        </row>
        <row r="336">
          <cell r="A336">
            <v>16800</v>
          </cell>
          <cell r="B336" t="str">
            <v>6</v>
          </cell>
          <cell r="C336" t="str">
            <v>철근 가공 조립</v>
          </cell>
          <cell r="D336" t="str">
            <v>복  잡</v>
          </cell>
          <cell r="E336">
            <v>9.7089999999999996</v>
          </cell>
          <cell r="G336" t="str">
            <v>TON</v>
          </cell>
          <cell r="I336">
            <v>0</v>
          </cell>
          <cell r="K336" t="str">
            <v>I00970</v>
          </cell>
          <cell r="L336" t="str">
            <v>A003</v>
          </cell>
          <cell r="M336" t="str">
            <v>U</v>
          </cell>
        </row>
        <row r="337">
          <cell r="A337">
            <v>16850</v>
          </cell>
          <cell r="B337" t="str">
            <v>6</v>
          </cell>
          <cell r="C337" t="str">
            <v>수문설치</v>
          </cell>
          <cell r="E337">
            <v>1</v>
          </cell>
          <cell r="G337" t="str">
            <v>식</v>
          </cell>
          <cell r="I337">
            <v>0</v>
          </cell>
          <cell r="K337" t="str">
            <v>GS0330</v>
          </cell>
          <cell r="L337" t="str">
            <v>A003</v>
          </cell>
          <cell r="M337" t="str">
            <v>U</v>
          </cell>
        </row>
        <row r="338">
          <cell r="A338">
            <v>16900</v>
          </cell>
          <cell r="B338" t="str">
            <v>5</v>
          </cell>
          <cell r="C338" t="str">
            <v>다)관부설공</v>
          </cell>
          <cell r="E338">
            <v>0</v>
          </cell>
          <cell r="I338">
            <v>0</v>
          </cell>
          <cell r="L338" t="str">
            <v>A003</v>
          </cell>
          <cell r="M338" t="str">
            <v>U</v>
          </cell>
        </row>
        <row r="339">
          <cell r="A339">
            <v>16950</v>
          </cell>
          <cell r="B339" t="str">
            <v>6</v>
          </cell>
          <cell r="C339" t="str">
            <v>열수축 접합및부설</v>
          </cell>
          <cell r="D339" t="str">
            <v>(φ300㎜)</v>
          </cell>
          <cell r="E339">
            <v>10</v>
          </cell>
          <cell r="G339" t="str">
            <v>개소</v>
          </cell>
          <cell r="I339">
            <v>0</v>
          </cell>
          <cell r="K339" t="str">
            <v>H250</v>
          </cell>
          <cell r="L339" t="str">
            <v>A003</v>
          </cell>
          <cell r="M339" t="str">
            <v>U</v>
          </cell>
        </row>
        <row r="340">
          <cell r="A340">
            <v>17000</v>
          </cell>
          <cell r="B340" t="str">
            <v>6</v>
          </cell>
          <cell r="C340" t="str">
            <v>열수축 접합및부설</v>
          </cell>
          <cell r="D340" t="str">
            <v>(φ400㎜)</v>
          </cell>
          <cell r="E340">
            <v>3</v>
          </cell>
          <cell r="G340" t="str">
            <v>개소</v>
          </cell>
          <cell r="I340">
            <v>0</v>
          </cell>
          <cell r="K340" t="str">
            <v>H255</v>
          </cell>
          <cell r="L340" t="str">
            <v>A003</v>
          </cell>
          <cell r="M340" t="str">
            <v>U</v>
          </cell>
        </row>
        <row r="341">
          <cell r="A341">
            <v>17050</v>
          </cell>
          <cell r="B341" t="str">
            <v>6</v>
          </cell>
          <cell r="C341" t="str">
            <v>열수축 접합및부설</v>
          </cell>
          <cell r="D341" t="str">
            <v>(φ900㎜)</v>
          </cell>
          <cell r="E341">
            <v>4</v>
          </cell>
          <cell r="G341" t="str">
            <v>개소</v>
          </cell>
          <cell r="I341">
            <v>0</v>
          </cell>
          <cell r="K341" t="str">
            <v>H259</v>
          </cell>
          <cell r="L341" t="str">
            <v>A003</v>
          </cell>
          <cell r="M341" t="str">
            <v>U</v>
          </cell>
        </row>
        <row r="342">
          <cell r="A342">
            <v>17100</v>
          </cell>
          <cell r="B342" t="str">
            <v>6</v>
          </cell>
          <cell r="C342" t="str">
            <v>KP접합및부설(주철관)</v>
          </cell>
          <cell r="D342" t="str">
            <v>(φ1100㎜)</v>
          </cell>
          <cell r="E342">
            <v>4</v>
          </cell>
          <cell r="G342" t="str">
            <v>개소</v>
          </cell>
          <cell r="I342">
            <v>0</v>
          </cell>
          <cell r="K342" t="str">
            <v>H230</v>
          </cell>
          <cell r="L342" t="str">
            <v>A003</v>
          </cell>
          <cell r="M342" t="str">
            <v>U</v>
          </cell>
        </row>
        <row r="343">
          <cell r="A343">
            <v>17150</v>
          </cell>
          <cell r="B343" t="str">
            <v>5</v>
          </cell>
          <cell r="C343" t="str">
            <v>라)부대공</v>
          </cell>
          <cell r="E343">
            <v>0</v>
          </cell>
          <cell r="I343">
            <v>0</v>
          </cell>
          <cell r="L343" t="str">
            <v>A003</v>
          </cell>
          <cell r="M343" t="str">
            <v>U</v>
          </cell>
        </row>
        <row r="344">
          <cell r="A344">
            <v>17200</v>
          </cell>
          <cell r="B344" t="str">
            <v>6</v>
          </cell>
          <cell r="C344" t="str">
            <v>물푸기</v>
          </cell>
          <cell r="E344">
            <v>25</v>
          </cell>
          <cell r="G344" t="str">
            <v>HR</v>
          </cell>
          <cell r="I344">
            <v>0</v>
          </cell>
          <cell r="K344" t="str">
            <v>SD30010</v>
          </cell>
          <cell r="L344" t="str">
            <v>A003</v>
          </cell>
          <cell r="M344" t="str">
            <v>U</v>
          </cell>
        </row>
        <row r="345">
          <cell r="A345">
            <v>17250</v>
          </cell>
          <cell r="B345" t="str">
            <v>6</v>
          </cell>
          <cell r="C345" t="str">
            <v>CCTV 조사및 보고</v>
          </cell>
          <cell r="E345">
            <v>50</v>
          </cell>
          <cell r="G345" t="str">
            <v>M</v>
          </cell>
          <cell r="I345">
            <v>0</v>
          </cell>
          <cell r="K345" t="str">
            <v>H210</v>
          </cell>
          <cell r="L345" t="str">
            <v>A003</v>
          </cell>
          <cell r="M345" t="str">
            <v>U</v>
          </cell>
        </row>
        <row r="346">
          <cell r="A346">
            <v>17300</v>
          </cell>
          <cell r="B346" t="str">
            <v>6</v>
          </cell>
          <cell r="C346" t="str">
            <v>주철관운반</v>
          </cell>
          <cell r="E346">
            <v>4.1900000000000004</v>
          </cell>
          <cell r="G346" t="str">
            <v>TON</v>
          </cell>
          <cell r="I346">
            <v>0</v>
          </cell>
          <cell r="K346" t="str">
            <v>S0150</v>
          </cell>
          <cell r="L346" t="str">
            <v>A003</v>
          </cell>
          <cell r="M346" t="str">
            <v>U</v>
          </cell>
        </row>
        <row r="347">
          <cell r="A347">
            <v>17350</v>
          </cell>
          <cell r="B347" t="str">
            <v>5</v>
          </cell>
          <cell r="C347" t="str">
            <v>마)배관자재대</v>
          </cell>
          <cell r="E347">
            <v>0</v>
          </cell>
          <cell r="I347">
            <v>0</v>
          </cell>
          <cell r="L347" t="str">
            <v>A003</v>
          </cell>
          <cell r="M347" t="str">
            <v>U</v>
          </cell>
        </row>
        <row r="348">
          <cell r="A348">
            <v>17400</v>
          </cell>
          <cell r="B348" t="str">
            <v>6</v>
          </cell>
          <cell r="C348" t="str">
            <v>이중벽폴리에틸렌하수관</v>
          </cell>
          <cell r="D348" t="str">
            <v>300mm(1종)</v>
          </cell>
          <cell r="E348">
            <v>22</v>
          </cell>
          <cell r="G348" t="str">
            <v>M</v>
          </cell>
          <cell r="I348">
            <v>0</v>
          </cell>
          <cell r="K348" t="str">
            <v>M5709130</v>
          </cell>
          <cell r="L348" t="str">
            <v>A003</v>
          </cell>
          <cell r="M348" t="str">
            <v>U</v>
          </cell>
        </row>
        <row r="349">
          <cell r="A349">
            <v>17450</v>
          </cell>
          <cell r="B349" t="str">
            <v>6</v>
          </cell>
          <cell r="C349" t="str">
            <v>이중벽폴리에틸렌하수관</v>
          </cell>
          <cell r="D349" t="str">
            <v>400mm(1종)</v>
          </cell>
          <cell r="E349">
            <v>11</v>
          </cell>
          <cell r="G349" t="str">
            <v>M</v>
          </cell>
          <cell r="I349">
            <v>0</v>
          </cell>
          <cell r="K349" t="str">
            <v>M5709140</v>
          </cell>
          <cell r="L349" t="str">
            <v>A003</v>
          </cell>
          <cell r="M349" t="str">
            <v>U</v>
          </cell>
        </row>
        <row r="350">
          <cell r="A350">
            <v>17500</v>
          </cell>
          <cell r="B350" t="str">
            <v>6</v>
          </cell>
          <cell r="C350" t="str">
            <v>이중벽폴리에틸렌하수관</v>
          </cell>
          <cell r="D350" t="str">
            <v>900mm(1종)</v>
          </cell>
          <cell r="E350">
            <v>17</v>
          </cell>
          <cell r="G350" t="str">
            <v>M</v>
          </cell>
          <cell r="I350">
            <v>0</v>
          </cell>
          <cell r="K350" t="str">
            <v>M5709190</v>
          </cell>
          <cell r="L350" t="str">
            <v>A003</v>
          </cell>
          <cell r="M350" t="str">
            <v>U</v>
          </cell>
        </row>
        <row r="351">
          <cell r="A351">
            <v>17550</v>
          </cell>
          <cell r="B351" t="str">
            <v>6</v>
          </cell>
          <cell r="C351" t="str">
            <v>이중벽폴리에틸렌하수단관</v>
          </cell>
          <cell r="D351" t="str">
            <v>300mm*0.3M</v>
          </cell>
          <cell r="E351">
            <v>3</v>
          </cell>
          <cell r="G351" t="str">
            <v>EA</v>
          </cell>
          <cell r="I351">
            <v>0</v>
          </cell>
          <cell r="K351" t="str">
            <v>M5709233</v>
          </cell>
          <cell r="L351" t="str">
            <v>A003</v>
          </cell>
          <cell r="M351" t="str">
            <v>U</v>
          </cell>
        </row>
        <row r="352">
          <cell r="A352">
            <v>17600</v>
          </cell>
          <cell r="B352" t="str">
            <v>6</v>
          </cell>
          <cell r="C352" t="str">
            <v>이중벽폴리에틸렌하수단관</v>
          </cell>
          <cell r="D352" t="str">
            <v>300mm*0.7M</v>
          </cell>
          <cell r="E352">
            <v>3</v>
          </cell>
          <cell r="G352" t="str">
            <v>EA</v>
          </cell>
          <cell r="I352">
            <v>0</v>
          </cell>
          <cell r="K352" t="str">
            <v>M5709237</v>
          </cell>
          <cell r="L352" t="str">
            <v>A003</v>
          </cell>
          <cell r="M352" t="str">
            <v>U</v>
          </cell>
        </row>
        <row r="353">
          <cell r="A353">
            <v>17650</v>
          </cell>
          <cell r="B353" t="str">
            <v>6</v>
          </cell>
          <cell r="C353" t="str">
            <v>이중벽폴리에틸렌하수곡관</v>
          </cell>
          <cell r="D353" t="str">
            <v>300mm*90˚</v>
          </cell>
          <cell r="E353">
            <v>3</v>
          </cell>
          <cell r="G353" t="str">
            <v>EA</v>
          </cell>
          <cell r="I353">
            <v>0</v>
          </cell>
          <cell r="K353" t="str">
            <v>M5709330</v>
          </cell>
          <cell r="L353" t="str">
            <v>A003</v>
          </cell>
          <cell r="M353" t="str">
            <v>U</v>
          </cell>
        </row>
        <row r="354">
          <cell r="A354">
            <v>17700</v>
          </cell>
          <cell r="B354" t="str">
            <v>6</v>
          </cell>
          <cell r="C354" t="str">
            <v>단관(주철관)</v>
          </cell>
          <cell r="D354" t="str">
            <v>1100㎜x1.5ｍ</v>
          </cell>
          <cell r="E354">
            <v>2</v>
          </cell>
          <cell r="G354" t="str">
            <v>EA</v>
          </cell>
          <cell r="I354">
            <v>0</v>
          </cell>
          <cell r="K354" t="str">
            <v>M518711</v>
          </cell>
          <cell r="L354" t="str">
            <v>A003</v>
          </cell>
          <cell r="M354" t="str">
            <v>U</v>
          </cell>
        </row>
        <row r="355">
          <cell r="A355">
            <v>17750</v>
          </cell>
          <cell r="B355" t="str">
            <v>6</v>
          </cell>
          <cell r="C355" t="str">
            <v>단관(주철관)</v>
          </cell>
          <cell r="D355" t="str">
            <v>1100㎜x3.0ｍ</v>
          </cell>
          <cell r="E355">
            <v>1</v>
          </cell>
          <cell r="G355" t="str">
            <v>EA</v>
          </cell>
          <cell r="I355">
            <v>0</v>
          </cell>
          <cell r="K355" t="str">
            <v>M518715</v>
          </cell>
          <cell r="L355" t="str">
            <v>A003</v>
          </cell>
          <cell r="M355" t="str">
            <v>U</v>
          </cell>
        </row>
        <row r="356">
          <cell r="A356">
            <v>17800</v>
          </cell>
          <cell r="B356" t="str">
            <v>6</v>
          </cell>
          <cell r="C356" t="str">
            <v>22½°KP소켓곡관(A형)</v>
          </cell>
          <cell r="D356" t="str">
            <v>1100㎜</v>
          </cell>
          <cell r="E356">
            <v>2</v>
          </cell>
          <cell r="G356" t="str">
            <v>EA</v>
          </cell>
          <cell r="I356">
            <v>0</v>
          </cell>
          <cell r="K356" t="str">
            <v>M5232235</v>
          </cell>
          <cell r="L356" t="str">
            <v>A003</v>
          </cell>
          <cell r="M356" t="str">
            <v>U</v>
          </cell>
        </row>
        <row r="357">
          <cell r="A357">
            <v>17850</v>
          </cell>
          <cell r="B357" t="str">
            <v>6</v>
          </cell>
          <cell r="C357" t="str">
            <v>PK죠인트이탈방지압륜</v>
          </cell>
          <cell r="D357" t="str">
            <v>1100㎜</v>
          </cell>
          <cell r="E357">
            <v>4</v>
          </cell>
          <cell r="G357" t="str">
            <v>EA</v>
          </cell>
          <cell r="I357">
            <v>0</v>
          </cell>
          <cell r="K357" t="str">
            <v>M5196035</v>
          </cell>
          <cell r="L357" t="str">
            <v>A003</v>
          </cell>
          <cell r="M357" t="str">
            <v>U</v>
          </cell>
        </row>
        <row r="358">
          <cell r="A358">
            <v>17900</v>
          </cell>
          <cell r="B358" t="str">
            <v>5</v>
          </cell>
          <cell r="C358" t="str">
            <v>바)사급자재대</v>
          </cell>
          <cell r="D358" t="str">
            <v>별산</v>
          </cell>
          <cell r="E358">
            <v>0</v>
          </cell>
          <cell r="I358">
            <v>0</v>
          </cell>
          <cell r="L358" t="str">
            <v>A003</v>
          </cell>
          <cell r="M358" t="str">
            <v>U</v>
          </cell>
        </row>
        <row r="359">
          <cell r="A359">
            <v>17950</v>
          </cell>
          <cell r="B359" t="str">
            <v>6</v>
          </cell>
          <cell r="C359" t="str">
            <v>레미콘</v>
          </cell>
          <cell r="D359" t="str">
            <v>25-210-8</v>
          </cell>
          <cell r="E359">
            <v>111</v>
          </cell>
          <cell r="G359" t="str">
            <v>M3</v>
          </cell>
          <cell r="I359">
            <v>0</v>
          </cell>
          <cell r="K359" t="str">
            <v>IM00085</v>
          </cell>
          <cell r="L359" t="str">
            <v>A003</v>
          </cell>
          <cell r="M359" t="str">
            <v>U</v>
          </cell>
        </row>
        <row r="360">
          <cell r="A360">
            <v>18000</v>
          </cell>
          <cell r="B360" t="str">
            <v>6</v>
          </cell>
          <cell r="C360" t="str">
            <v>레미콘</v>
          </cell>
          <cell r="D360" t="str">
            <v>40-210-8</v>
          </cell>
          <cell r="E360">
            <v>29</v>
          </cell>
          <cell r="G360" t="str">
            <v>M3</v>
          </cell>
          <cell r="I360">
            <v>0</v>
          </cell>
          <cell r="K360" t="str">
            <v>IM00080</v>
          </cell>
          <cell r="L360" t="str">
            <v>A003</v>
          </cell>
          <cell r="M360" t="str">
            <v>U</v>
          </cell>
        </row>
        <row r="361">
          <cell r="A361">
            <v>18050</v>
          </cell>
          <cell r="B361" t="str">
            <v>6</v>
          </cell>
          <cell r="C361" t="str">
            <v>레미콘</v>
          </cell>
          <cell r="D361" t="str">
            <v>40-150-8</v>
          </cell>
          <cell r="E361">
            <v>7</v>
          </cell>
          <cell r="G361" t="str">
            <v>M3</v>
          </cell>
          <cell r="I361">
            <v>0</v>
          </cell>
          <cell r="K361" t="str">
            <v>IM00075</v>
          </cell>
          <cell r="L361" t="str">
            <v>A003</v>
          </cell>
          <cell r="M361" t="str">
            <v>U</v>
          </cell>
        </row>
        <row r="362">
          <cell r="A362">
            <v>18100</v>
          </cell>
          <cell r="B362" t="str">
            <v>6</v>
          </cell>
          <cell r="C362" t="str">
            <v>이형철근</v>
          </cell>
          <cell r="D362" t="str">
            <v>19M/M 2.250KG/M</v>
          </cell>
          <cell r="E362">
            <v>3.0169999999999999</v>
          </cell>
          <cell r="G362" t="str">
            <v>M/T</v>
          </cell>
          <cell r="I362">
            <v>0</v>
          </cell>
          <cell r="K362" t="str">
            <v>IM00050</v>
          </cell>
          <cell r="L362" t="str">
            <v>A003</v>
          </cell>
          <cell r="M362" t="str">
            <v>U</v>
          </cell>
        </row>
        <row r="363">
          <cell r="A363">
            <v>18150</v>
          </cell>
          <cell r="B363" t="str">
            <v>6</v>
          </cell>
          <cell r="C363" t="str">
            <v>이형철근</v>
          </cell>
          <cell r="D363" t="str">
            <v>16M/M 1.560KG/M</v>
          </cell>
          <cell r="E363">
            <v>5.8730000000000002</v>
          </cell>
          <cell r="G363" t="str">
            <v>M/T</v>
          </cell>
          <cell r="I363">
            <v>0</v>
          </cell>
          <cell r="K363" t="str">
            <v>IM00045</v>
          </cell>
          <cell r="L363" t="str">
            <v>A003</v>
          </cell>
          <cell r="M363" t="str">
            <v>U</v>
          </cell>
        </row>
        <row r="364">
          <cell r="A364">
            <v>18200</v>
          </cell>
          <cell r="B364" t="str">
            <v>6</v>
          </cell>
          <cell r="C364" t="str">
            <v>이형철근</v>
          </cell>
          <cell r="D364" t="str">
            <v>13M/M 0.995KG/M</v>
          </cell>
          <cell r="E364">
            <v>1.53</v>
          </cell>
          <cell r="G364" t="str">
            <v>M/T</v>
          </cell>
          <cell r="I364">
            <v>0</v>
          </cell>
          <cell r="K364" t="str">
            <v>IM00040</v>
          </cell>
          <cell r="L364" t="str">
            <v>A003</v>
          </cell>
          <cell r="M364" t="str">
            <v>U</v>
          </cell>
        </row>
        <row r="365">
          <cell r="A365">
            <v>18250</v>
          </cell>
          <cell r="B365" t="str">
            <v>5</v>
          </cell>
          <cell r="C365" t="str">
            <v>사)골재대</v>
          </cell>
          <cell r="D365" t="str">
            <v>별산</v>
          </cell>
          <cell r="E365">
            <v>0</v>
          </cell>
          <cell r="I365">
            <v>0</v>
          </cell>
          <cell r="L365" t="str">
            <v>A003</v>
          </cell>
          <cell r="M365" t="str">
            <v>U</v>
          </cell>
        </row>
        <row r="366">
          <cell r="A366">
            <v>18300</v>
          </cell>
          <cell r="B366" t="str">
            <v>6</v>
          </cell>
          <cell r="C366" t="str">
            <v>쇄석자갈</v>
          </cell>
          <cell r="D366" t="str">
            <v>Φ75</v>
          </cell>
          <cell r="E366">
            <v>14</v>
          </cell>
          <cell r="G366" t="str">
            <v>M3</v>
          </cell>
          <cell r="I366">
            <v>0</v>
          </cell>
          <cell r="K366" t="str">
            <v>IM00210</v>
          </cell>
          <cell r="L366" t="str">
            <v>A003</v>
          </cell>
          <cell r="M366" t="str">
            <v>U</v>
          </cell>
        </row>
        <row r="367">
          <cell r="A367">
            <v>18350</v>
          </cell>
          <cell r="B367" t="str">
            <v>3</v>
          </cell>
          <cell r="C367" t="str">
            <v>(라)포장공</v>
          </cell>
          <cell r="E367">
            <v>0</v>
          </cell>
          <cell r="I367">
            <v>0</v>
          </cell>
          <cell r="K367" t="str">
            <v>A004</v>
          </cell>
          <cell r="L367" t="str">
            <v>A0001</v>
          </cell>
          <cell r="M367" t="str">
            <v>U</v>
          </cell>
        </row>
        <row r="368">
          <cell r="A368">
            <v>18400</v>
          </cell>
          <cell r="B368" t="str">
            <v>4</v>
          </cell>
          <cell r="C368" t="str">
            <v>1)포장공사</v>
          </cell>
          <cell r="E368">
            <v>0</v>
          </cell>
          <cell r="I368">
            <v>0</v>
          </cell>
          <cell r="L368" t="str">
            <v>A004</v>
          </cell>
          <cell r="M368" t="str">
            <v>U</v>
          </cell>
        </row>
        <row r="369">
          <cell r="A369">
            <v>18450</v>
          </cell>
          <cell r="B369" t="str">
            <v>5</v>
          </cell>
          <cell r="C369" t="str">
            <v>동상방지층</v>
          </cell>
          <cell r="D369" t="str">
            <v>(T=47CM,D75MM)</v>
          </cell>
          <cell r="E369">
            <v>2604</v>
          </cell>
          <cell r="G369" t="str">
            <v>M3</v>
          </cell>
          <cell r="I369">
            <v>0</v>
          </cell>
          <cell r="K369" t="str">
            <v>IL20610</v>
          </cell>
          <cell r="L369" t="str">
            <v>A004</v>
          </cell>
          <cell r="M369" t="str">
            <v>U</v>
          </cell>
        </row>
        <row r="370">
          <cell r="A370">
            <v>18500</v>
          </cell>
          <cell r="B370" t="str">
            <v>5</v>
          </cell>
          <cell r="C370" t="str">
            <v>보조기층(보도포장)</v>
          </cell>
          <cell r="D370" t="str">
            <v>(T=15CM,D40MM)</v>
          </cell>
          <cell r="E370">
            <v>3991</v>
          </cell>
          <cell r="G370" t="str">
            <v>M3</v>
          </cell>
          <cell r="I370">
            <v>0</v>
          </cell>
          <cell r="K370" t="str">
            <v>IL20350</v>
          </cell>
          <cell r="L370" t="str">
            <v>A004</v>
          </cell>
          <cell r="M370" t="str">
            <v>U</v>
          </cell>
        </row>
        <row r="371">
          <cell r="A371">
            <v>18550</v>
          </cell>
          <cell r="B371" t="str">
            <v>5</v>
          </cell>
          <cell r="C371" t="str">
            <v>보조기층(주차장지역)</v>
          </cell>
          <cell r="D371" t="str">
            <v>(T=35CM,D75MM)</v>
          </cell>
          <cell r="E371">
            <v>3962</v>
          </cell>
          <cell r="G371" t="str">
            <v>M3</v>
          </cell>
          <cell r="I371">
            <v>0</v>
          </cell>
          <cell r="K371" t="str">
            <v>IL20450</v>
          </cell>
          <cell r="L371" t="str">
            <v>A004</v>
          </cell>
          <cell r="M371" t="str">
            <v>U</v>
          </cell>
        </row>
        <row r="372">
          <cell r="A372">
            <v>18600</v>
          </cell>
          <cell r="B372" t="str">
            <v>5</v>
          </cell>
          <cell r="C372" t="str">
            <v>보조기층(계류장지역)</v>
          </cell>
          <cell r="D372" t="str">
            <v>(T=35CM,D40MM)</v>
          </cell>
          <cell r="E372">
            <v>82786</v>
          </cell>
          <cell r="G372" t="str">
            <v>M3</v>
          </cell>
          <cell r="I372">
            <v>0</v>
          </cell>
          <cell r="K372" t="str">
            <v>IL20550</v>
          </cell>
          <cell r="L372" t="str">
            <v>A004</v>
          </cell>
          <cell r="M372" t="str">
            <v>U</v>
          </cell>
        </row>
        <row r="373">
          <cell r="A373">
            <v>18650</v>
          </cell>
          <cell r="B373" t="str">
            <v>5</v>
          </cell>
          <cell r="C373" t="str">
            <v>모래부설</v>
          </cell>
          <cell r="E373">
            <v>1219</v>
          </cell>
          <cell r="G373" t="str">
            <v>M3</v>
          </cell>
          <cell r="I373">
            <v>0</v>
          </cell>
          <cell r="K373" t="str">
            <v>S1040</v>
          </cell>
          <cell r="L373" t="str">
            <v>A004</v>
          </cell>
          <cell r="M373" t="str">
            <v>U</v>
          </cell>
        </row>
        <row r="374">
          <cell r="A374">
            <v>18700</v>
          </cell>
          <cell r="B374" t="str">
            <v>5</v>
          </cell>
          <cell r="C374" t="str">
            <v>안정처리기층 포설 및 다짐</v>
          </cell>
          <cell r="D374" t="str">
            <v>(#467,T=20CM)</v>
          </cell>
          <cell r="E374">
            <v>2153</v>
          </cell>
          <cell r="G374" t="str">
            <v>A</v>
          </cell>
          <cell r="I374">
            <v>0</v>
          </cell>
          <cell r="K374" t="str">
            <v>HP20155</v>
          </cell>
          <cell r="L374" t="str">
            <v>A004</v>
          </cell>
          <cell r="M374" t="str">
            <v>U</v>
          </cell>
        </row>
        <row r="375">
          <cell r="A375">
            <v>18750</v>
          </cell>
          <cell r="B375" t="str">
            <v>5</v>
          </cell>
          <cell r="C375" t="str">
            <v>합성섬유보강콘크리트포장(기계포설)</v>
          </cell>
          <cell r="D375" t="str">
            <v>T=42CM</v>
          </cell>
          <cell r="E375">
            <v>87115</v>
          </cell>
          <cell r="G375" t="str">
            <v>M3</v>
          </cell>
          <cell r="I375">
            <v>0</v>
          </cell>
          <cell r="K375" t="str">
            <v>IL20020</v>
          </cell>
          <cell r="L375" t="str">
            <v>A004</v>
          </cell>
          <cell r="M375" t="str">
            <v>U</v>
          </cell>
        </row>
        <row r="376">
          <cell r="A376">
            <v>18800</v>
          </cell>
          <cell r="B376" t="str">
            <v>5</v>
          </cell>
          <cell r="C376" t="str">
            <v>합성섬유보강콘크리트포장(인력포설)</v>
          </cell>
          <cell r="D376" t="str">
            <v>T=42CM</v>
          </cell>
          <cell r="E376">
            <v>2950</v>
          </cell>
          <cell r="G376" t="str">
            <v>M3</v>
          </cell>
          <cell r="I376">
            <v>0</v>
          </cell>
          <cell r="K376" t="str">
            <v>IL20540</v>
          </cell>
          <cell r="L376" t="str">
            <v>A004</v>
          </cell>
          <cell r="M376" t="str">
            <v>U</v>
          </cell>
        </row>
        <row r="377">
          <cell r="A377">
            <v>18850</v>
          </cell>
          <cell r="B377" t="str">
            <v>5</v>
          </cell>
          <cell r="C377" t="str">
            <v>빈배합콘크리트기층포설</v>
          </cell>
          <cell r="D377" t="str">
            <v>T=10CM</v>
          </cell>
          <cell r="E377">
            <v>173</v>
          </cell>
          <cell r="G377" t="str">
            <v>M3</v>
          </cell>
          <cell r="I377">
            <v>0</v>
          </cell>
          <cell r="K377" t="str">
            <v>IL20545</v>
          </cell>
          <cell r="L377" t="str">
            <v>A004</v>
          </cell>
          <cell r="M377" t="str">
            <v>U</v>
          </cell>
        </row>
        <row r="378">
          <cell r="A378">
            <v>18900</v>
          </cell>
          <cell r="B378" t="str">
            <v>5</v>
          </cell>
          <cell r="C378" t="str">
            <v>투수성콘크리트포장(기계포설)</v>
          </cell>
          <cell r="D378" t="str">
            <v>T=20CM</v>
          </cell>
          <cell r="E378">
            <v>190</v>
          </cell>
          <cell r="G378" t="str">
            <v>A</v>
          </cell>
          <cell r="I378">
            <v>0</v>
          </cell>
          <cell r="K378" t="str">
            <v>IL20150</v>
          </cell>
          <cell r="L378" t="str">
            <v>A004</v>
          </cell>
          <cell r="M378" t="str">
            <v>U</v>
          </cell>
        </row>
        <row r="379">
          <cell r="A379">
            <v>18950</v>
          </cell>
          <cell r="B379" t="str">
            <v>5</v>
          </cell>
          <cell r="C379" t="str">
            <v>보도포장</v>
          </cell>
          <cell r="D379" t="str">
            <v>점토블럭</v>
          </cell>
          <cell r="E379">
            <v>6184</v>
          </cell>
          <cell r="G379" t="str">
            <v>M2</v>
          </cell>
          <cell r="I379">
            <v>0</v>
          </cell>
          <cell r="K379" t="str">
            <v>I01190</v>
          </cell>
          <cell r="L379" t="str">
            <v>A004</v>
          </cell>
          <cell r="M379" t="str">
            <v>U</v>
          </cell>
        </row>
        <row r="380">
          <cell r="A380">
            <v>19000</v>
          </cell>
          <cell r="B380" t="str">
            <v>5</v>
          </cell>
          <cell r="C380" t="str">
            <v>PRIME COATING</v>
          </cell>
          <cell r="D380" t="str">
            <v>75 L/A</v>
          </cell>
          <cell r="E380">
            <v>2501</v>
          </cell>
          <cell r="G380" t="str">
            <v>A</v>
          </cell>
          <cell r="I380">
            <v>0</v>
          </cell>
          <cell r="K380" t="str">
            <v>IL01450</v>
          </cell>
          <cell r="L380" t="str">
            <v>A004</v>
          </cell>
          <cell r="M380" t="str">
            <v>U</v>
          </cell>
        </row>
        <row r="381">
          <cell r="A381">
            <v>19050</v>
          </cell>
          <cell r="B381" t="str">
            <v>5</v>
          </cell>
          <cell r="C381" t="str">
            <v>TACK COATING</v>
          </cell>
          <cell r="D381" t="str">
            <v>40 L/A</v>
          </cell>
          <cell r="E381">
            <v>3038</v>
          </cell>
          <cell r="G381" t="str">
            <v>A</v>
          </cell>
          <cell r="I381">
            <v>0</v>
          </cell>
          <cell r="K381" t="str">
            <v>IL01460</v>
          </cell>
          <cell r="L381" t="str">
            <v>A004</v>
          </cell>
          <cell r="M381" t="str">
            <v>U</v>
          </cell>
        </row>
        <row r="382">
          <cell r="A382">
            <v>19100</v>
          </cell>
          <cell r="B382" t="str">
            <v>5</v>
          </cell>
          <cell r="C382" t="str">
            <v>기층아스콘  포설 및 다짐</v>
          </cell>
          <cell r="D382" t="str">
            <v>(#467,T=10CM)</v>
          </cell>
          <cell r="E382">
            <v>195</v>
          </cell>
          <cell r="G382" t="str">
            <v>A</v>
          </cell>
          <cell r="I382">
            <v>0</v>
          </cell>
          <cell r="K382" t="str">
            <v>HP20160</v>
          </cell>
          <cell r="L382" t="str">
            <v>A004</v>
          </cell>
          <cell r="M382" t="str">
            <v>U</v>
          </cell>
        </row>
        <row r="383">
          <cell r="A383">
            <v>19150</v>
          </cell>
          <cell r="B383" t="str">
            <v>5</v>
          </cell>
          <cell r="C383" t="str">
            <v>기층아스콘 포설 및 다짐</v>
          </cell>
          <cell r="D383" t="str">
            <v>(#467,T=25CM)</v>
          </cell>
          <cell r="E383">
            <v>134</v>
          </cell>
          <cell r="G383" t="str">
            <v>A</v>
          </cell>
          <cell r="I383">
            <v>0</v>
          </cell>
          <cell r="K383" t="str">
            <v>HP20165</v>
          </cell>
          <cell r="L383" t="str">
            <v>A004</v>
          </cell>
          <cell r="M383" t="str">
            <v>U</v>
          </cell>
        </row>
        <row r="384">
          <cell r="A384">
            <v>19200</v>
          </cell>
          <cell r="B384" t="str">
            <v>5</v>
          </cell>
          <cell r="C384" t="str">
            <v>표층아스콘 포설 및 다짐</v>
          </cell>
          <cell r="D384" t="str">
            <v>(#78,T=5CM)</v>
          </cell>
          <cell r="E384">
            <v>209</v>
          </cell>
          <cell r="G384" t="str">
            <v>A</v>
          </cell>
          <cell r="I384">
            <v>0</v>
          </cell>
          <cell r="K384" t="str">
            <v>IL21400</v>
          </cell>
          <cell r="L384" t="str">
            <v>A004</v>
          </cell>
          <cell r="M384" t="str">
            <v>U</v>
          </cell>
        </row>
        <row r="385">
          <cell r="A385">
            <v>19250</v>
          </cell>
          <cell r="B385" t="str">
            <v>5</v>
          </cell>
          <cell r="C385" t="str">
            <v>표층아스콘 포설 및 다짐</v>
          </cell>
          <cell r="D385" t="str">
            <v>(#78,T=15CM)</v>
          </cell>
          <cell r="E385">
            <v>134</v>
          </cell>
          <cell r="G385" t="str">
            <v>A</v>
          </cell>
          <cell r="I385">
            <v>0</v>
          </cell>
          <cell r="K385" t="str">
            <v>HP20167</v>
          </cell>
          <cell r="L385" t="str">
            <v>A004</v>
          </cell>
          <cell r="M385" t="str">
            <v>U</v>
          </cell>
        </row>
        <row r="386">
          <cell r="A386">
            <v>19300</v>
          </cell>
          <cell r="B386" t="str">
            <v>5</v>
          </cell>
          <cell r="C386" t="str">
            <v>와이어매쉬부설</v>
          </cell>
          <cell r="E386">
            <v>4577</v>
          </cell>
          <cell r="G386" t="str">
            <v>M2</v>
          </cell>
          <cell r="I386">
            <v>0</v>
          </cell>
          <cell r="K386" t="str">
            <v>IL20340</v>
          </cell>
          <cell r="L386" t="str">
            <v>A004</v>
          </cell>
          <cell r="M386" t="str">
            <v>U</v>
          </cell>
        </row>
        <row r="387">
          <cell r="A387">
            <v>19350</v>
          </cell>
          <cell r="B387" t="str">
            <v>5</v>
          </cell>
          <cell r="C387" t="str">
            <v>L형측구</v>
          </cell>
          <cell r="D387" t="str">
            <v>화강암(200x250x1000)</v>
          </cell>
          <cell r="E387">
            <v>98</v>
          </cell>
          <cell r="G387" t="str">
            <v>M</v>
          </cell>
          <cell r="I387">
            <v>0</v>
          </cell>
          <cell r="K387" t="str">
            <v>IL21600</v>
          </cell>
          <cell r="L387" t="str">
            <v>A004</v>
          </cell>
          <cell r="M387" t="str">
            <v>U</v>
          </cell>
        </row>
        <row r="388">
          <cell r="A388">
            <v>19400</v>
          </cell>
          <cell r="B388" t="str">
            <v>5</v>
          </cell>
          <cell r="C388" t="str">
            <v>L형측구</v>
          </cell>
          <cell r="D388" t="str">
            <v>인조화강석(200x250x1000)</v>
          </cell>
          <cell r="E388">
            <v>2824</v>
          </cell>
          <cell r="G388" t="str">
            <v>M</v>
          </cell>
          <cell r="I388">
            <v>0</v>
          </cell>
          <cell r="K388" t="str">
            <v>IL21650</v>
          </cell>
          <cell r="L388" t="str">
            <v>A004</v>
          </cell>
          <cell r="M388" t="str">
            <v>U</v>
          </cell>
        </row>
        <row r="389">
          <cell r="A389">
            <v>19450</v>
          </cell>
          <cell r="B389" t="str">
            <v>5</v>
          </cell>
          <cell r="C389" t="str">
            <v>보차도 경계석</v>
          </cell>
          <cell r="D389" t="str">
            <v>화강암(200x250x1000)</v>
          </cell>
          <cell r="E389">
            <v>282</v>
          </cell>
          <cell r="G389" t="str">
            <v>M</v>
          </cell>
          <cell r="I389">
            <v>0</v>
          </cell>
          <cell r="K389" t="str">
            <v>IL21500</v>
          </cell>
          <cell r="L389" t="str">
            <v>A004</v>
          </cell>
          <cell r="M389" t="str">
            <v>U</v>
          </cell>
        </row>
        <row r="390">
          <cell r="A390">
            <v>19500</v>
          </cell>
          <cell r="B390" t="str">
            <v>5</v>
          </cell>
          <cell r="C390" t="str">
            <v>보차도 경계석</v>
          </cell>
          <cell r="D390" t="str">
            <v>인조화강석(200x300x1000)</v>
          </cell>
          <cell r="E390">
            <v>501</v>
          </cell>
          <cell r="G390" t="str">
            <v>M</v>
          </cell>
          <cell r="I390">
            <v>0</v>
          </cell>
          <cell r="K390" t="str">
            <v>IL21550</v>
          </cell>
          <cell r="L390" t="str">
            <v>A004</v>
          </cell>
          <cell r="M390" t="str">
            <v>U</v>
          </cell>
        </row>
        <row r="391">
          <cell r="A391">
            <v>19550</v>
          </cell>
          <cell r="B391" t="str">
            <v>5</v>
          </cell>
          <cell r="C391" t="str">
            <v>보도 경계석</v>
          </cell>
          <cell r="D391" t="str">
            <v>인조화강석(150x150x1000)</v>
          </cell>
          <cell r="E391">
            <v>1701</v>
          </cell>
          <cell r="G391" t="str">
            <v>M</v>
          </cell>
          <cell r="I391">
            <v>0</v>
          </cell>
          <cell r="K391" t="str">
            <v>IL21560</v>
          </cell>
          <cell r="L391" t="str">
            <v>A004</v>
          </cell>
          <cell r="M391" t="str">
            <v>U</v>
          </cell>
        </row>
        <row r="392">
          <cell r="A392">
            <v>19600</v>
          </cell>
          <cell r="B392" t="str">
            <v>5</v>
          </cell>
          <cell r="C392" t="str">
            <v>유도선설치</v>
          </cell>
          <cell r="E392">
            <v>202</v>
          </cell>
          <cell r="G392" t="str">
            <v>100M</v>
          </cell>
          <cell r="I392">
            <v>0</v>
          </cell>
          <cell r="K392" t="str">
            <v>IL21010</v>
          </cell>
          <cell r="L392" t="str">
            <v>A004</v>
          </cell>
          <cell r="M392" t="str">
            <v>U</v>
          </cell>
        </row>
        <row r="393">
          <cell r="A393">
            <v>19650</v>
          </cell>
          <cell r="B393" t="str">
            <v>5</v>
          </cell>
          <cell r="C393" t="str">
            <v>피막양생(1차)</v>
          </cell>
          <cell r="E393">
            <v>215138</v>
          </cell>
          <cell r="G393" t="str">
            <v>M2</v>
          </cell>
          <cell r="I393">
            <v>0</v>
          </cell>
          <cell r="K393" t="str">
            <v>HP20865</v>
          </cell>
          <cell r="L393" t="str">
            <v>A004</v>
          </cell>
          <cell r="M393" t="str">
            <v>U</v>
          </cell>
        </row>
        <row r="394">
          <cell r="A394">
            <v>19700</v>
          </cell>
          <cell r="B394" t="str">
            <v>5</v>
          </cell>
          <cell r="C394" t="str">
            <v>마대양생(2차)</v>
          </cell>
          <cell r="E394">
            <v>215138</v>
          </cell>
          <cell r="G394" t="str">
            <v>M2</v>
          </cell>
          <cell r="I394">
            <v>0</v>
          </cell>
          <cell r="K394" t="str">
            <v>HP20875</v>
          </cell>
          <cell r="L394" t="str">
            <v>A004</v>
          </cell>
          <cell r="M394" t="str">
            <v>U</v>
          </cell>
        </row>
        <row r="395">
          <cell r="A395">
            <v>19750</v>
          </cell>
          <cell r="B395" t="str">
            <v>5</v>
          </cell>
          <cell r="C395" t="str">
            <v>CON'C포장 STEEL FORM</v>
          </cell>
          <cell r="D395" t="str">
            <v>17"</v>
          </cell>
          <cell r="E395">
            <v>26</v>
          </cell>
          <cell r="G395" t="str">
            <v>100M</v>
          </cell>
          <cell r="I395">
            <v>0</v>
          </cell>
          <cell r="K395" t="str">
            <v>HP20990</v>
          </cell>
          <cell r="L395" t="str">
            <v>A004</v>
          </cell>
          <cell r="M395" t="str">
            <v>U</v>
          </cell>
        </row>
        <row r="396">
          <cell r="A396">
            <v>19800</v>
          </cell>
          <cell r="B396" t="str">
            <v>5</v>
          </cell>
          <cell r="C396" t="str">
            <v>횡단수축줄눈(T.C.J)</v>
          </cell>
          <cell r="D396" t="str">
            <v>13˝~ 17˝</v>
          </cell>
          <cell r="E396">
            <v>198</v>
          </cell>
          <cell r="G396" t="str">
            <v>100M</v>
          </cell>
          <cell r="I396">
            <v>0</v>
          </cell>
          <cell r="K396" t="str">
            <v>IL21070</v>
          </cell>
          <cell r="L396" t="str">
            <v>A004</v>
          </cell>
          <cell r="M396" t="str">
            <v>U</v>
          </cell>
        </row>
        <row r="397">
          <cell r="A397">
            <v>19850</v>
          </cell>
          <cell r="B397" t="str">
            <v>5</v>
          </cell>
          <cell r="C397" t="str">
            <v>횡단시공줄눈(T.C.J.D)</v>
          </cell>
          <cell r="D397" t="str">
            <v>13˝~ 17˝</v>
          </cell>
          <cell r="E397">
            <v>12</v>
          </cell>
          <cell r="G397" t="str">
            <v>100M</v>
          </cell>
          <cell r="I397">
            <v>0</v>
          </cell>
          <cell r="K397" t="str">
            <v>IL21100</v>
          </cell>
          <cell r="L397" t="str">
            <v>A004</v>
          </cell>
          <cell r="M397" t="str">
            <v>U</v>
          </cell>
        </row>
        <row r="398">
          <cell r="A398">
            <v>19900</v>
          </cell>
          <cell r="B398" t="str">
            <v>5</v>
          </cell>
          <cell r="C398" t="str">
            <v>종단시공줄눈(L.C.J)</v>
          </cell>
          <cell r="D398" t="str">
            <v>TYPE-1</v>
          </cell>
          <cell r="E398">
            <v>194</v>
          </cell>
          <cell r="G398" t="str">
            <v>100M</v>
          </cell>
          <cell r="I398">
            <v>0</v>
          </cell>
          <cell r="K398" t="str">
            <v>IL21115</v>
          </cell>
          <cell r="L398" t="str">
            <v>A004</v>
          </cell>
          <cell r="M398" t="str">
            <v>U</v>
          </cell>
        </row>
        <row r="399">
          <cell r="A399">
            <v>19950</v>
          </cell>
          <cell r="B399" t="str">
            <v>5</v>
          </cell>
          <cell r="C399" t="str">
            <v>종단시공줄눈(L.C.J.T)</v>
          </cell>
          <cell r="D399" t="str">
            <v>TYPE-2</v>
          </cell>
          <cell r="E399">
            <v>8</v>
          </cell>
          <cell r="G399" t="str">
            <v>100M</v>
          </cell>
          <cell r="I399">
            <v>0</v>
          </cell>
          <cell r="K399" t="str">
            <v>IL21110</v>
          </cell>
          <cell r="L399" t="str">
            <v>A004</v>
          </cell>
          <cell r="M399" t="str">
            <v>U</v>
          </cell>
        </row>
        <row r="400">
          <cell r="A400">
            <v>20000</v>
          </cell>
          <cell r="B400" t="str">
            <v>5</v>
          </cell>
          <cell r="C400" t="str">
            <v>횡단팽창줄눈(T.E.J.D)</v>
          </cell>
          <cell r="D400" t="str">
            <v>13˝~ 17˝</v>
          </cell>
          <cell r="E400">
            <v>2</v>
          </cell>
          <cell r="G400" t="str">
            <v>100M</v>
          </cell>
          <cell r="I400">
            <v>0</v>
          </cell>
          <cell r="K400" t="str">
            <v>IL21125</v>
          </cell>
          <cell r="L400" t="str">
            <v>A004</v>
          </cell>
          <cell r="M400" t="str">
            <v>U</v>
          </cell>
        </row>
        <row r="401">
          <cell r="A401">
            <v>20050</v>
          </cell>
          <cell r="B401" t="str">
            <v>5</v>
          </cell>
          <cell r="C401" t="str">
            <v>종단팽창줄눈(L.E.J)</v>
          </cell>
          <cell r="D401" t="str">
            <v>13˝~ 17˝</v>
          </cell>
          <cell r="E401">
            <v>3</v>
          </cell>
          <cell r="G401" t="str">
            <v>100M</v>
          </cell>
          <cell r="I401">
            <v>0</v>
          </cell>
          <cell r="K401" t="str">
            <v>IL21120</v>
          </cell>
          <cell r="L401" t="str">
            <v>A004</v>
          </cell>
          <cell r="M401" t="str">
            <v>U</v>
          </cell>
        </row>
        <row r="402">
          <cell r="A402">
            <v>20100</v>
          </cell>
          <cell r="B402" t="str">
            <v>5</v>
          </cell>
          <cell r="C402" t="str">
            <v>신구콘크리트포장접속줄눈(S.E.J)</v>
          </cell>
          <cell r="D402" t="str">
            <v>13˝~ 17˝</v>
          </cell>
          <cell r="E402">
            <v>2</v>
          </cell>
          <cell r="G402" t="str">
            <v>100M</v>
          </cell>
          <cell r="I402">
            <v>0</v>
          </cell>
          <cell r="K402" t="str">
            <v>IL21140</v>
          </cell>
          <cell r="L402" t="str">
            <v>A004</v>
          </cell>
          <cell r="M402" t="str">
            <v>U</v>
          </cell>
        </row>
        <row r="403">
          <cell r="A403">
            <v>20150</v>
          </cell>
          <cell r="B403" t="str">
            <v>5</v>
          </cell>
          <cell r="C403" t="str">
            <v>강연성포장접속줄눈</v>
          </cell>
          <cell r="E403">
            <v>10</v>
          </cell>
          <cell r="G403" t="str">
            <v>100M</v>
          </cell>
          <cell r="I403">
            <v>0</v>
          </cell>
          <cell r="K403" t="str">
            <v>IL21130</v>
          </cell>
          <cell r="L403" t="str">
            <v>A004</v>
          </cell>
          <cell r="M403" t="str">
            <v>U</v>
          </cell>
        </row>
        <row r="404">
          <cell r="A404">
            <v>20200</v>
          </cell>
          <cell r="B404" t="str">
            <v>4</v>
          </cell>
          <cell r="C404" t="str">
            <v>2)기타자재대</v>
          </cell>
          <cell r="E404">
            <v>0</v>
          </cell>
          <cell r="I404">
            <v>0</v>
          </cell>
          <cell r="L404" t="str">
            <v>A004</v>
          </cell>
          <cell r="M404" t="str">
            <v>U</v>
          </cell>
        </row>
        <row r="405">
          <cell r="A405">
            <v>20250</v>
          </cell>
          <cell r="B405" t="str">
            <v>5</v>
          </cell>
          <cell r="C405" t="str">
            <v>바닥점토벽돌</v>
          </cell>
          <cell r="D405" t="str">
            <v>232x115x43㎜ 안티그실버</v>
          </cell>
          <cell r="E405">
            <v>235665</v>
          </cell>
          <cell r="G405" t="str">
            <v>매</v>
          </cell>
          <cell r="I405">
            <v>0</v>
          </cell>
          <cell r="K405" t="str">
            <v>M2895004</v>
          </cell>
          <cell r="L405" t="str">
            <v>A004</v>
          </cell>
          <cell r="M405" t="str">
            <v>U</v>
          </cell>
        </row>
        <row r="406">
          <cell r="A406">
            <v>20300</v>
          </cell>
          <cell r="B406" t="str">
            <v>5</v>
          </cell>
          <cell r="C406" t="str">
            <v>보차도경계석(화강석)</v>
          </cell>
          <cell r="D406" t="str">
            <v>200x250x1000㎜ (직선)</v>
          </cell>
          <cell r="E406">
            <v>392</v>
          </cell>
          <cell r="G406" t="str">
            <v>EA</v>
          </cell>
          <cell r="I406">
            <v>0</v>
          </cell>
          <cell r="K406" t="str">
            <v>M1209009</v>
          </cell>
          <cell r="L406" t="str">
            <v>A004</v>
          </cell>
          <cell r="M406" t="str">
            <v>U</v>
          </cell>
        </row>
        <row r="407">
          <cell r="A407">
            <v>20350</v>
          </cell>
          <cell r="B407" t="str">
            <v>5</v>
          </cell>
          <cell r="C407" t="str">
            <v>보차도경계석(인조화강석)</v>
          </cell>
          <cell r="D407" t="str">
            <v>200x300x1000㎜ (직선)</v>
          </cell>
          <cell r="E407">
            <v>3425</v>
          </cell>
          <cell r="G407" t="str">
            <v>EA</v>
          </cell>
          <cell r="I407">
            <v>0</v>
          </cell>
          <cell r="K407" t="str">
            <v>M1209006</v>
          </cell>
          <cell r="L407" t="str">
            <v>A004</v>
          </cell>
          <cell r="M407" t="str">
            <v>U</v>
          </cell>
        </row>
        <row r="408">
          <cell r="A408">
            <v>20400</v>
          </cell>
          <cell r="B408" t="str">
            <v>5</v>
          </cell>
          <cell r="C408" t="str">
            <v>보도경계석(인조화강석)</v>
          </cell>
          <cell r="D408" t="str">
            <v>150x150x1000㎜ (직선)</v>
          </cell>
          <cell r="E408">
            <v>1752</v>
          </cell>
          <cell r="G408" t="str">
            <v>EA</v>
          </cell>
          <cell r="I408">
            <v>0</v>
          </cell>
          <cell r="K408" t="str">
            <v>M1212009</v>
          </cell>
          <cell r="L408" t="str">
            <v>A004</v>
          </cell>
          <cell r="M408" t="str">
            <v>U</v>
          </cell>
        </row>
        <row r="409">
          <cell r="A409">
            <v>20450</v>
          </cell>
          <cell r="B409" t="str">
            <v>4</v>
          </cell>
          <cell r="C409" t="str">
            <v>3)사급자재대</v>
          </cell>
          <cell r="D409" t="str">
            <v>별산</v>
          </cell>
          <cell r="E409">
            <v>0</v>
          </cell>
          <cell r="I409">
            <v>0</v>
          </cell>
          <cell r="L409" t="str">
            <v>A004</v>
          </cell>
          <cell r="M409" t="str">
            <v>U</v>
          </cell>
        </row>
        <row r="410">
          <cell r="A410">
            <v>20500</v>
          </cell>
          <cell r="B410" t="str">
            <v>5</v>
          </cell>
          <cell r="C410" t="str">
            <v>이형철근</v>
          </cell>
          <cell r="D410" t="str">
            <v>16M/M 1.560KG/M</v>
          </cell>
          <cell r="E410">
            <v>1.6850000000000001</v>
          </cell>
          <cell r="G410" t="str">
            <v>TON</v>
          </cell>
          <cell r="I410">
            <v>0</v>
          </cell>
          <cell r="K410" t="str">
            <v>IM00045</v>
          </cell>
          <cell r="L410" t="str">
            <v>A004</v>
          </cell>
          <cell r="M410" t="str">
            <v>U</v>
          </cell>
        </row>
        <row r="411">
          <cell r="A411">
            <v>20550</v>
          </cell>
          <cell r="B411" t="str">
            <v>5</v>
          </cell>
          <cell r="C411" t="str">
            <v>원형철근</v>
          </cell>
          <cell r="D411" t="str">
            <v>12M/M 0.888KG/M</v>
          </cell>
          <cell r="E411">
            <v>17.454999999999998</v>
          </cell>
          <cell r="G411" t="str">
            <v>TON</v>
          </cell>
          <cell r="I411">
            <v>0</v>
          </cell>
          <cell r="K411" t="str">
            <v>IM00010</v>
          </cell>
          <cell r="L411" t="str">
            <v>A004</v>
          </cell>
          <cell r="M411" t="str">
            <v>U</v>
          </cell>
        </row>
        <row r="412">
          <cell r="A412">
            <v>20600</v>
          </cell>
          <cell r="B412" t="str">
            <v>5</v>
          </cell>
          <cell r="C412" t="str">
            <v>원형철근</v>
          </cell>
          <cell r="D412" t="str">
            <v>38M/M 8.900KG/M</v>
          </cell>
          <cell r="E412">
            <v>24.507999999999999</v>
          </cell>
          <cell r="G412" t="str">
            <v>TON</v>
          </cell>
          <cell r="I412">
            <v>0</v>
          </cell>
          <cell r="K412" t="str">
            <v>IM00030</v>
          </cell>
          <cell r="L412" t="str">
            <v>A004</v>
          </cell>
          <cell r="M412" t="str">
            <v>U</v>
          </cell>
        </row>
        <row r="413">
          <cell r="A413">
            <v>20650</v>
          </cell>
          <cell r="B413" t="str">
            <v>5</v>
          </cell>
          <cell r="C413" t="str">
            <v>시멘트</v>
          </cell>
          <cell r="D413" t="str">
            <v>BULK</v>
          </cell>
          <cell r="E413">
            <v>31051</v>
          </cell>
          <cell r="G413" t="str">
            <v>TON</v>
          </cell>
          <cell r="I413">
            <v>0</v>
          </cell>
          <cell r="K413" t="str">
            <v>IM00100</v>
          </cell>
          <cell r="L413" t="str">
            <v>A004</v>
          </cell>
          <cell r="M413" t="str">
            <v>U</v>
          </cell>
        </row>
        <row r="414">
          <cell r="A414">
            <v>20700</v>
          </cell>
          <cell r="B414" t="str">
            <v>5</v>
          </cell>
          <cell r="C414" t="str">
            <v>시멘트</v>
          </cell>
          <cell r="D414" t="str">
            <v>40kg/대(포장품)</v>
          </cell>
          <cell r="E414">
            <v>33</v>
          </cell>
          <cell r="G414" t="str">
            <v>대</v>
          </cell>
          <cell r="I414">
            <v>0</v>
          </cell>
          <cell r="K414" t="str">
            <v>IM00095</v>
          </cell>
          <cell r="L414" t="str">
            <v>A004</v>
          </cell>
          <cell r="M414" t="str">
            <v>U</v>
          </cell>
        </row>
        <row r="415">
          <cell r="A415">
            <v>20750</v>
          </cell>
          <cell r="B415" t="str">
            <v>5</v>
          </cell>
          <cell r="C415" t="str">
            <v>레미콘</v>
          </cell>
          <cell r="D415" t="str">
            <v>40-150-8</v>
          </cell>
          <cell r="E415">
            <v>177</v>
          </cell>
          <cell r="G415" t="str">
            <v>M3</v>
          </cell>
          <cell r="I415">
            <v>0</v>
          </cell>
          <cell r="K415" t="str">
            <v>IM00075</v>
          </cell>
          <cell r="L415" t="str">
            <v>A004</v>
          </cell>
          <cell r="M415" t="str">
            <v>U</v>
          </cell>
        </row>
        <row r="416">
          <cell r="A416">
            <v>20800</v>
          </cell>
          <cell r="B416" t="str">
            <v>5</v>
          </cell>
          <cell r="C416" t="str">
            <v>레미콘</v>
          </cell>
          <cell r="D416" t="str">
            <v>40-210-8</v>
          </cell>
          <cell r="E416">
            <v>858</v>
          </cell>
          <cell r="G416" t="str">
            <v>M3</v>
          </cell>
          <cell r="I416">
            <v>0</v>
          </cell>
          <cell r="K416" t="str">
            <v>IM00080</v>
          </cell>
          <cell r="L416" t="str">
            <v>A004</v>
          </cell>
          <cell r="M416" t="str">
            <v>U</v>
          </cell>
        </row>
        <row r="417">
          <cell r="A417">
            <v>20850</v>
          </cell>
          <cell r="B417" t="str">
            <v>5</v>
          </cell>
          <cell r="C417" t="str">
            <v>투수성콘크리트</v>
          </cell>
          <cell r="E417">
            <v>3884</v>
          </cell>
          <cell r="G417" t="str">
            <v>M3</v>
          </cell>
          <cell r="I417">
            <v>0</v>
          </cell>
          <cell r="K417" t="str">
            <v>IM00103</v>
          </cell>
          <cell r="L417" t="str">
            <v>A004</v>
          </cell>
          <cell r="M417" t="str">
            <v>U</v>
          </cell>
        </row>
        <row r="418">
          <cell r="A418">
            <v>20900</v>
          </cell>
          <cell r="B418" t="str">
            <v>5</v>
          </cell>
          <cell r="C418" t="str">
            <v>아스팔트콘크리트</v>
          </cell>
          <cell r="D418" t="str">
            <v>#467  기층용(안정처리제)</v>
          </cell>
          <cell r="E418">
            <v>115467</v>
          </cell>
          <cell r="G418" t="str">
            <v>TON</v>
          </cell>
          <cell r="I418">
            <v>0</v>
          </cell>
          <cell r="K418" t="str">
            <v>IM00110</v>
          </cell>
          <cell r="L418" t="str">
            <v>A004</v>
          </cell>
          <cell r="M418" t="str">
            <v>U</v>
          </cell>
        </row>
        <row r="419">
          <cell r="A419">
            <v>20950</v>
          </cell>
          <cell r="B419" t="str">
            <v>5</v>
          </cell>
          <cell r="C419" t="str">
            <v>아스팔트콘크리트</v>
          </cell>
          <cell r="D419" t="str">
            <v>#78 표층용</v>
          </cell>
          <cell r="E419">
            <v>7245</v>
          </cell>
          <cell r="G419" t="str">
            <v>TON</v>
          </cell>
          <cell r="I419">
            <v>0</v>
          </cell>
          <cell r="K419" t="str">
            <v>IM00105</v>
          </cell>
          <cell r="L419" t="str">
            <v>A004</v>
          </cell>
          <cell r="M419" t="str">
            <v>U</v>
          </cell>
        </row>
        <row r="420">
          <cell r="A420">
            <v>21000</v>
          </cell>
          <cell r="B420" t="str">
            <v>5</v>
          </cell>
          <cell r="C420" t="str">
            <v>아스팔트(유제)</v>
          </cell>
          <cell r="D420" t="str">
            <v>RS(C)-3</v>
          </cell>
          <cell r="E420">
            <v>510</v>
          </cell>
          <cell r="G420" t="str">
            <v>D/R</v>
          </cell>
          <cell r="I420">
            <v>0</v>
          </cell>
          <cell r="K420" t="str">
            <v>IM00115</v>
          </cell>
          <cell r="L420" t="str">
            <v>A004</v>
          </cell>
          <cell r="M420" t="str">
            <v>U</v>
          </cell>
        </row>
        <row r="421">
          <cell r="A421">
            <v>21050</v>
          </cell>
          <cell r="B421" t="str">
            <v>5</v>
          </cell>
          <cell r="C421" t="str">
            <v>아스팔트(유제)</v>
          </cell>
          <cell r="D421" t="str">
            <v>RS(C)-4</v>
          </cell>
          <cell r="E421">
            <v>1162</v>
          </cell>
          <cell r="G421" t="str">
            <v>D/R</v>
          </cell>
          <cell r="I421">
            <v>0</v>
          </cell>
          <cell r="K421" t="str">
            <v>IM00120</v>
          </cell>
          <cell r="L421" t="str">
            <v>A004</v>
          </cell>
          <cell r="M421" t="str">
            <v>U</v>
          </cell>
        </row>
        <row r="422">
          <cell r="A422">
            <v>21100</v>
          </cell>
          <cell r="B422" t="str">
            <v>4</v>
          </cell>
          <cell r="C422" t="str">
            <v>4)골재대</v>
          </cell>
          <cell r="D422" t="str">
            <v>별산</v>
          </cell>
          <cell r="E422">
            <v>0</v>
          </cell>
          <cell r="I422">
            <v>0</v>
          </cell>
          <cell r="L422" t="str">
            <v>A004</v>
          </cell>
          <cell r="M422" t="str">
            <v>U</v>
          </cell>
        </row>
        <row r="423">
          <cell r="A423">
            <v>21150</v>
          </cell>
          <cell r="B423" t="str">
            <v>5</v>
          </cell>
          <cell r="C423" t="str">
            <v>쇄석자갈</v>
          </cell>
          <cell r="D423" t="str">
            <v>Φ40</v>
          </cell>
          <cell r="E423">
            <v>66286</v>
          </cell>
          <cell r="G423" t="str">
            <v>M3</v>
          </cell>
          <cell r="I423">
            <v>0</v>
          </cell>
          <cell r="K423" t="str">
            <v>IM00200</v>
          </cell>
          <cell r="L423" t="str">
            <v>A004</v>
          </cell>
          <cell r="M423" t="str">
            <v>U</v>
          </cell>
        </row>
        <row r="424">
          <cell r="A424">
            <v>21200</v>
          </cell>
          <cell r="B424" t="str">
            <v>5</v>
          </cell>
          <cell r="C424" t="str">
            <v>모래</v>
          </cell>
          <cell r="D424" t="str">
            <v>강모래</v>
          </cell>
          <cell r="E424">
            <v>49915</v>
          </cell>
          <cell r="G424" t="str">
            <v>M3</v>
          </cell>
          <cell r="I424">
            <v>0</v>
          </cell>
          <cell r="K424" t="str">
            <v>IM00160</v>
          </cell>
          <cell r="L424" t="str">
            <v>A004</v>
          </cell>
          <cell r="M424" t="str">
            <v>U</v>
          </cell>
        </row>
        <row r="425">
          <cell r="A425">
            <v>21250</v>
          </cell>
          <cell r="B425" t="str">
            <v>5</v>
          </cell>
          <cell r="C425" t="str">
            <v>보조기층</v>
          </cell>
          <cell r="D425" t="str">
            <v>Φ40</v>
          </cell>
          <cell r="E425">
            <v>106489</v>
          </cell>
          <cell r="G425" t="str">
            <v>M3</v>
          </cell>
          <cell r="I425">
            <v>0</v>
          </cell>
          <cell r="K425" t="str">
            <v>IM00180</v>
          </cell>
          <cell r="L425" t="str">
            <v>A004</v>
          </cell>
          <cell r="M425" t="str">
            <v>U</v>
          </cell>
        </row>
        <row r="426">
          <cell r="A426">
            <v>21300</v>
          </cell>
          <cell r="B426" t="str">
            <v>5</v>
          </cell>
          <cell r="C426" t="str">
            <v>보조기층</v>
          </cell>
          <cell r="D426" t="str">
            <v>Φ75</v>
          </cell>
          <cell r="E426">
            <v>10230</v>
          </cell>
          <cell r="G426" t="str">
            <v>M3</v>
          </cell>
          <cell r="I426">
            <v>0</v>
          </cell>
          <cell r="K426" t="str">
            <v>IM00190</v>
          </cell>
          <cell r="L426" t="str">
            <v>A004</v>
          </cell>
          <cell r="M426" t="str">
            <v>U</v>
          </cell>
        </row>
        <row r="427">
          <cell r="A427">
            <v>21350</v>
          </cell>
          <cell r="B427" t="str">
            <v>5</v>
          </cell>
          <cell r="C427" t="str">
            <v>동상방지층</v>
          </cell>
          <cell r="D427" t="str">
            <v>Φ75</v>
          </cell>
          <cell r="E427">
            <v>3349</v>
          </cell>
          <cell r="G427" t="str">
            <v>M3</v>
          </cell>
          <cell r="I427">
            <v>0</v>
          </cell>
          <cell r="K427" t="str">
            <v>IM00190</v>
          </cell>
          <cell r="L427" t="str">
            <v>A004</v>
          </cell>
          <cell r="M427" t="str">
            <v>U</v>
          </cell>
        </row>
        <row r="428">
          <cell r="A428">
            <v>21400</v>
          </cell>
          <cell r="B428" t="str">
            <v>3</v>
          </cell>
          <cell r="C428" t="str">
            <v>(마)부대공</v>
          </cell>
          <cell r="E428">
            <v>0</v>
          </cell>
          <cell r="I428">
            <v>0</v>
          </cell>
          <cell r="K428" t="str">
            <v>A005</v>
          </cell>
          <cell r="L428" t="str">
            <v>A0001</v>
          </cell>
          <cell r="M428" t="str">
            <v>U</v>
          </cell>
        </row>
        <row r="429">
          <cell r="A429">
            <v>21450</v>
          </cell>
          <cell r="B429" t="str">
            <v>4</v>
          </cell>
          <cell r="C429" t="str">
            <v>1)표지판</v>
          </cell>
          <cell r="E429">
            <v>0</v>
          </cell>
          <cell r="I429">
            <v>0</v>
          </cell>
          <cell r="L429" t="str">
            <v>A005</v>
          </cell>
          <cell r="M429" t="str">
            <v>U</v>
          </cell>
        </row>
        <row r="430">
          <cell r="A430">
            <v>21500</v>
          </cell>
          <cell r="B430" t="str">
            <v>5</v>
          </cell>
          <cell r="C430" t="str">
            <v>터파기(토사,0-6m)</v>
          </cell>
          <cell r="D430" t="str">
            <v>백호우 0.7M3</v>
          </cell>
          <cell r="E430">
            <v>184</v>
          </cell>
          <cell r="G430" t="str">
            <v>M3</v>
          </cell>
          <cell r="I430">
            <v>0</v>
          </cell>
          <cell r="K430" t="str">
            <v>IL00580</v>
          </cell>
          <cell r="L430" t="str">
            <v>A005</v>
          </cell>
          <cell r="M430" t="str">
            <v>U</v>
          </cell>
        </row>
        <row r="431">
          <cell r="A431">
            <v>21550</v>
          </cell>
          <cell r="B431" t="str">
            <v>5</v>
          </cell>
          <cell r="C431" t="str">
            <v>되메우기</v>
          </cell>
          <cell r="D431" t="str">
            <v>기계,B/H+RAMMER</v>
          </cell>
          <cell r="E431">
            <v>165</v>
          </cell>
          <cell r="G431" t="str">
            <v>M3</v>
          </cell>
          <cell r="I431">
            <v>0</v>
          </cell>
          <cell r="K431" t="str">
            <v>I00590</v>
          </cell>
          <cell r="L431" t="str">
            <v>A005</v>
          </cell>
          <cell r="M431" t="str">
            <v>U</v>
          </cell>
        </row>
        <row r="432">
          <cell r="A432">
            <v>21600</v>
          </cell>
          <cell r="B432" t="str">
            <v>5</v>
          </cell>
          <cell r="C432" t="str">
            <v>잡 석 부 설</v>
          </cell>
          <cell r="E432">
            <v>3</v>
          </cell>
          <cell r="G432" t="str">
            <v>M3</v>
          </cell>
          <cell r="I432">
            <v>0</v>
          </cell>
          <cell r="K432" t="str">
            <v>S1030</v>
          </cell>
          <cell r="L432" t="str">
            <v>A005</v>
          </cell>
          <cell r="M432" t="str">
            <v>U</v>
          </cell>
        </row>
        <row r="433">
          <cell r="A433">
            <v>21650</v>
          </cell>
          <cell r="B433" t="str">
            <v>5</v>
          </cell>
          <cell r="C433" t="str">
            <v>레미콘 타설</v>
          </cell>
          <cell r="D433" t="str">
            <v>인력, 소형 구조물</v>
          </cell>
          <cell r="E433">
            <v>2.4</v>
          </cell>
          <cell r="G433" t="str">
            <v>M3</v>
          </cell>
          <cell r="I433">
            <v>0</v>
          </cell>
          <cell r="K433" t="str">
            <v>I00840</v>
          </cell>
          <cell r="L433" t="str">
            <v>A005</v>
          </cell>
          <cell r="M433" t="str">
            <v>U</v>
          </cell>
        </row>
        <row r="434">
          <cell r="A434">
            <v>21700</v>
          </cell>
          <cell r="B434" t="str">
            <v>5</v>
          </cell>
          <cell r="C434" t="str">
            <v>레미콘 타설</v>
          </cell>
          <cell r="D434" t="str">
            <v>인력, 철근</v>
          </cell>
          <cell r="E434">
            <v>13.8</v>
          </cell>
          <cell r="G434" t="str">
            <v>M3</v>
          </cell>
          <cell r="I434">
            <v>0</v>
          </cell>
          <cell r="K434" t="str">
            <v>I00830</v>
          </cell>
          <cell r="L434" t="str">
            <v>A005</v>
          </cell>
          <cell r="M434" t="str">
            <v>U</v>
          </cell>
        </row>
        <row r="435">
          <cell r="A435">
            <v>21750</v>
          </cell>
          <cell r="B435" t="str">
            <v>5</v>
          </cell>
          <cell r="C435" t="str">
            <v>철근 가공 조립</v>
          </cell>
          <cell r="D435" t="str">
            <v>간  단</v>
          </cell>
          <cell r="E435">
            <v>0.71899999999999997</v>
          </cell>
          <cell r="G435" t="str">
            <v>TON</v>
          </cell>
          <cell r="I435">
            <v>0</v>
          </cell>
          <cell r="K435" t="str">
            <v>I00950</v>
          </cell>
          <cell r="L435" t="str">
            <v>A005</v>
          </cell>
          <cell r="M435" t="str">
            <v>U</v>
          </cell>
        </row>
        <row r="436">
          <cell r="A436">
            <v>21800</v>
          </cell>
          <cell r="B436" t="str">
            <v>5</v>
          </cell>
          <cell r="C436" t="str">
            <v>삼각표지판</v>
          </cell>
          <cell r="E436">
            <v>2</v>
          </cell>
          <cell r="G436" t="str">
            <v>개소</v>
          </cell>
          <cell r="I436">
            <v>0</v>
          </cell>
          <cell r="K436" t="str">
            <v>GS00480</v>
          </cell>
          <cell r="L436" t="str">
            <v>A005</v>
          </cell>
          <cell r="M436" t="str">
            <v>U</v>
          </cell>
        </row>
        <row r="437">
          <cell r="A437">
            <v>21850</v>
          </cell>
          <cell r="B437" t="str">
            <v>5</v>
          </cell>
          <cell r="C437" t="str">
            <v>안내표지판(사각:600X600)</v>
          </cell>
          <cell r="E437">
            <v>6</v>
          </cell>
          <cell r="G437" t="str">
            <v>개소</v>
          </cell>
          <cell r="I437">
            <v>0</v>
          </cell>
          <cell r="K437" t="str">
            <v>GS00490</v>
          </cell>
          <cell r="L437" t="str">
            <v>A005</v>
          </cell>
          <cell r="M437" t="str">
            <v>U</v>
          </cell>
        </row>
        <row r="438">
          <cell r="A438">
            <v>21900</v>
          </cell>
          <cell r="B438" t="str">
            <v>5</v>
          </cell>
          <cell r="C438" t="str">
            <v>안내표지판(내민식)</v>
          </cell>
          <cell r="E438">
            <v>1</v>
          </cell>
          <cell r="G438" t="str">
            <v>개소</v>
          </cell>
          <cell r="I438">
            <v>0</v>
          </cell>
          <cell r="K438" t="str">
            <v>GS00510</v>
          </cell>
          <cell r="L438" t="str">
            <v>A005</v>
          </cell>
          <cell r="M438" t="str">
            <v>U</v>
          </cell>
        </row>
        <row r="439">
          <cell r="A439">
            <v>21950</v>
          </cell>
          <cell r="B439" t="str">
            <v>5</v>
          </cell>
          <cell r="C439" t="str">
            <v>경보등</v>
          </cell>
          <cell r="E439">
            <v>1</v>
          </cell>
          <cell r="G439" t="str">
            <v>개소</v>
          </cell>
          <cell r="I439">
            <v>0</v>
          </cell>
          <cell r="K439" t="str">
            <v>GS00500</v>
          </cell>
          <cell r="L439" t="str">
            <v>A005</v>
          </cell>
          <cell r="M439" t="str">
            <v>U</v>
          </cell>
        </row>
        <row r="440">
          <cell r="A440">
            <v>22000</v>
          </cell>
          <cell r="B440" t="str">
            <v>4</v>
          </cell>
          <cell r="C440" t="str">
            <v>2)차선도색</v>
          </cell>
          <cell r="E440">
            <v>0</v>
          </cell>
          <cell r="I440">
            <v>0</v>
          </cell>
          <cell r="L440" t="str">
            <v>A005</v>
          </cell>
          <cell r="M440" t="str">
            <v>U</v>
          </cell>
        </row>
        <row r="441">
          <cell r="A441">
            <v>22050</v>
          </cell>
          <cell r="B441" t="str">
            <v>5</v>
          </cell>
          <cell r="C441" t="str">
            <v>차선도색(백색)</v>
          </cell>
          <cell r="D441" t="str">
            <v>기계식,가열형</v>
          </cell>
          <cell r="E441">
            <v>2234</v>
          </cell>
          <cell r="G441" t="str">
            <v>M2</v>
          </cell>
          <cell r="I441">
            <v>0</v>
          </cell>
          <cell r="K441" t="str">
            <v>IL42150</v>
          </cell>
          <cell r="L441" t="str">
            <v>A005</v>
          </cell>
          <cell r="M441" t="str">
            <v>U</v>
          </cell>
        </row>
        <row r="442">
          <cell r="A442">
            <v>22100</v>
          </cell>
          <cell r="B442" t="str">
            <v>5</v>
          </cell>
          <cell r="C442" t="str">
            <v>차선도색(백색)</v>
          </cell>
          <cell r="D442" t="str">
            <v>수동식,융착형</v>
          </cell>
          <cell r="E442">
            <v>367</v>
          </cell>
          <cell r="G442" t="str">
            <v>M2</v>
          </cell>
          <cell r="I442">
            <v>0</v>
          </cell>
          <cell r="K442" t="str">
            <v>IL42350</v>
          </cell>
          <cell r="L442" t="str">
            <v>A005</v>
          </cell>
          <cell r="M442" t="str">
            <v>U</v>
          </cell>
        </row>
        <row r="443">
          <cell r="A443">
            <v>22150</v>
          </cell>
          <cell r="B443" t="str">
            <v>5</v>
          </cell>
          <cell r="C443" t="str">
            <v>차선도색(황색)</v>
          </cell>
          <cell r="D443" t="str">
            <v>기계식,가열형</v>
          </cell>
          <cell r="E443">
            <v>739</v>
          </cell>
          <cell r="G443" t="str">
            <v>M2</v>
          </cell>
          <cell r="I443">
            <v>0</v>
          </cell>
          <cell r="K443" t="str">
            <v>IL42250</v>
          </cell>
          <cell r="L443" t="str">
            <v>A005</v>
          </cell>
          <cell r="M443" t="str">
            <v>U</v>
          </cell>
        </row>
        <row r="444">
          <cell r="A444">
            <v>22200</v>
          </cell>
          <cell r="B444" t="str">
            <v>5</v>
          </cell>
          <cell r="C444" t="str">
            <v>차선도색(황색)</v>
          </cell>
          <cell r="D444" t="str">
            <v>수동식,융착형</v>
          </cell>
          <cell r="E444">
            <v>300</v>
          </cell>
          <cell r="G444" t="str">
            <v>M2</v>
          </cell>
          <cell r="I444">
            <v>0</v>
          </cell>
          <cell r="K444" t="str">
            <v>IL42450</v>
          </cell>
          <cell r="L444" t="str">
            <v>A005</v>
          </cell>
          <cell r="M444" t="str">
            <v>U</v>
          </cell>
        </row>
        <row r="445">
          <cell r="A445">
            <v>22250</v>
          </cell>
          <cell r="B445" t="str">
            <v>5</v>
          </cell>
          <cell r="C445" t="str">
            <v>차선도색(검정색)</v>
          </cell>
          <cell r="D445" t="str">
            <v>수동식,융착형</v>
          </cell>
          <cell r="E445">
            <v>3</v>
          </cell>
          <cell r="G445" t="str">
            <v>M2</v>
          </cell>
          <cell r="I445">
            <v>0</v>
          </cell>
          <cell r="K445" t="str">
            <v>IL42550</v>
          </cell>
          <cell r="L445" t="str">
            <v>A005</v>
          </cell>
          <cell r="M445" t="str">
            <v>U</v>
          </cell>
        </row>
        <row r="446">
          <cell r="A446">
            <v>22300</v>
          </cell>
          <cell r="B446" t="str">
            <v>5</v>
          </cell>
          <cell r="C446" t="str">
            <v>도로 표지병</v>
          </cell>
          <cell r="E446">
            <v>221</v>
          </cell>
          <cell r="G446" t="str">
            <v>EA</v>
          </cell>
          <cell r="I446">
            <v>0</v>
          </cell>
          <cell r="K446" t="str">
            <v>IL41250</v>
          </cell>
          <cell r="L446" t="str">
            <v>A005</v>
          </cell>
          <cell r="M446" t="str">
            <v>U</v>
          </cell>
        </row>
        <row r="447">
          <cell r="A447">
            <v>22350</v>
          </cell>
          <cell r="B447" t="str">
            <v>4</v>
          </cell>
          <cell r="C447" t="str">
            <v>3)방음벽 및 방풍벽</v>
          </cell>
          <cell r="E447">
            <v>0</v>
          </cell>
          <cell r="I447">
            <v>0</v>
          </cell>
          <cell r="L447" t="str">
            <v>A005</v>
          </cell>
          <cell r="M447" t="str">
            <v>U</v>
          </cell>
        </row>
        <row r="448">
          <cell r="A448">
            <v>22400</v>
          </cell>
          <cell r="B448" t="str">
            <v>5</v>
          </cell>
          <cell r="C448" t="str">
            <v>방음벽</v>
          </cell>
          <cell r="E448">
            <v>790</v>
          </cell>
          <cell r="G448" t="str">
            <v>M</v>
          </cell>
          <cell r="I448">
            <v>0</v>
          </cell>
          <cell r="K448" t="str">
            <v>IL43250</v>
          </cell>
          <cell r="L448" t="str">
            <v>A005</v>
          </cell>
          <cell r="M448" t="str">
            <v>U</v>
          </cell>
        </row>
        <row r="449">
          <cell r="A449">
            <v>22450</v>
          </cell>
          <cell r="B449" t="str">
            <v>5</v>
          </cell>
          <cell r="C449" t="str">
            <v>방음판(흡음식)</v>
          </cell>
          <cell r="E449">
            <v>396</v>
          </cell>
          <cell r="G449" t="str">
            <v>SPAN</v>
          </cell>
          <cell r="I449">
            <v>0</v>
          </cell>
          <cell r="K449" t="str">
            <v>IL43260</v>
          </cell>
          <cell r="L449" t="str">
            <v>A005</v>
          </cell>
          <cell r="M449" t="str">
            <v>U</v>
          </cell>
        </row>
        <row r="450">
          <cell r="A450">
            <v>22500</v>
          </cell>
          <cell r="B450" t="str">
            <v>5</v>
          </cell>
          <cell r="C450" t="str">
            <v>방풍벽</v>
          </cell>
          <cell r="D450" t="str">
            <v>H=8.0M</v>
          </cell>
          <cell r="E450">
            <v>60</v>
          </cell>
          <cell r="G450" t="str">
            <v>M</v>
          </cell>
          <cell r="I450">
            <v>0</v>
          </cell>
          <cell r="K450" t="str">
            <v>IL43150</v>
          </cell>
          <cell r="L450" t="str">
            <v>A005</v>
          </cell>
          <cell r="M450" t="str">
            <v>U</v>
          </cell>
        </row>
        <row r="451">
          <cell r="A451">
            <v>22550</v>
          </cell>
          <cell r="B451" t="str">
            <v>4</v>
          </cell>
          <cell r="C451" t="str">
            <v>4)울타리 및 기타시설</v>
          </cell>
          <cell r="E451">
            <v>0</v>
          </cell>
          <cell r="I451">
            <v>0</v>
          </cell>
          <cell r="L451" t="str">
            <v>A005</v>
          </cell>
          <cell r="M451" t="str">
            <v>U</v>
          </cell>
        </row>
        <row r="452">
          <cell r="A452">
            <v>22600</v>
          </cell>
          <cell r="B452" t="str">
            <v>5</v>
          </cell>
          <cell r="C452" t="str">
            <v>벽돌담울타리(벽체)</v>
          </cell>
          <cell r="D452" t="str">
            <v>H=2.4M</v>
          </cell>
          <cell r="E452">
            <v>354</v>
          </cell>
          <cell r="G452" t="str">
            <v>M</v>
          </cell>
          <cell r="I452">
            <v>0</v>
          </cell>
          <cell r="K452" t="str">
            <v>IL43210</v>
          </cell>
          <cell r="L452" t="str">
            <v>A005</v>
          </cell>
          <cell r="M452" t="str">
            <v>U</v>
          </cell>
        </row>
        <row r="453">
          <cell r="A453">
            <v>22650</v>
          </cell>
          <cell r="B453" t="str">
            <v>5</v>
          </cell>
          <cell r="C453" t="str">
            <v>벽돌담울타리(기둥)</v>
          </cell>
          <cell r="D453" t="str">
            <v>H=2.4M</v>
          </cell>
          <cell r="E453">
            <v>125</v>
          </cell>
          <cell r="G453" t="str">
            <v>개소</v>
          </cell>
          <cell r="I453">
            <v>0</v>
          </cell>
          <cell r="K453" t="str">
            <v>IL43220</v>
          </cell>
          <cell r="L453" t="str">
            <v>A005</v>
          </cell>
          <cell r="M453" t="str">
            <v>U</v>
          </cell>
        </row>
        <row r="454">
          <cell r="A454">
            <v>22700</v>
          </cell>
          <cell r="B454" t="str">
            <v>5</v>
          </cell>
          <cell r="C454" t="str">
            <v>벽돌담울타리(울타리)</v>
          </cell>
          <cell r="D454" t="str">
            <v>H=2.4M</v>
          </cell>
          <cell r="E454">
            <v>379</v>
          </cell>
          <cell r="G454" t="str">
            <v>M</v>
          </cell>
          <cell r="I454">
            <v>0</v>
          </cell>
          <cell r="K454" t="str">
            <v>IL43225</v>
          </cell>
          <cell r="L454" t="str">
            <v>A005</v>
          </cell>
          <cell r="M454" t="str">
            <v>U</v>
          </cell>
        </row>
        <row r="455">
          <cell r="A455">
            <v>22750</v>
          </cell>
          <cell r="B455" t="str">
            <v>5</v>
          </cell>
          <cell r="C455" t="str">
            <v>벽돌담울타리(수로횡단구간)</v>
          </cell>
          <cell r="D455" t="str">
            <v>H=2.4M</v>
          </cell>
          <cell r="E455">
            <v>1</v>
          </cell>
          <cell r="G455" t="str">
            <v>개소</v>
          </cell>
          <cell r="I455">
            <v>0</v>
          </cell>
          <cell r="K455" t="str">
            <v>IL43230</v>
          </cell>
          <cell r="L455" t="str">
            <v>A005</v>
          </cell>
          <cell r="M455" t="str">
            <v>U</v>
          </cell>
        </row>
        <row r="456">
          <cell r="A456">
            <v>22800</v>
          </cell>
          <cell r="B456" t="str">
            <v>5</v>
          </cell>
          <cell r="C456" t="str">
            <v>슬라이딩 게이트</v>
          </cell>
          <cell r="D456" t="str">
            <v>L=7.2M</v>
          </cell>
          <cell r="E456">
            <v>1</v>
          </cell>
          <cell r="G456" t="str">
            <v>개소</v>
          </cell>
          <cell r="I456">
            <v>0</v>
          </cell>
          <cell r="K456" t="str">
            <v>IL43240</v>
          </cell>
          <cell r="L456" t="str">
            <v>A005</v>
          </cell>
          <cell r="M456" t="str">
            <v>U</v>
          </cell>
        </row>
        <row r="457">
          <cell r="A457">
            <v>22850</v>
          </cell>
          <cell r="B457" t="str">
            <v>5</v>
          </cell>
          <cell r="C457" t="str">
            <v>자전거보관소</v>
          </cell>
          <cell r="D457" t="str">
            <v>H=2.3M,W=3.0M</v>
          </cell>
          <cell r="E457">
            <v>1</v>
          </cell>
          <cell r="G457" t="str">
            <v>개소</v>
          </cell>
          <cell r="I457">
            <v>0</v>
          </cell>
          <cell r="K457" t="str">
            <v>IL43300</v>
          </cell>
          <cell r="L457" t="str">
            <v>A005</v>
          </cell>
          <cell r="M457" t="str">
            <v>U</v>
          </cell>
        </row>
        <row r="458">
          <cell r="A458">
            <v>22900</v>
          </cell>
          <cell r="B458" t="str">
            <v>5</v>
          </cell>
          <cell r="C458" t="str">
            <v>출하대</v>
          </cell>
          <cell r="E458">
            <v>1</v>
          </cell>
          <cell r="G458" t="str">
            <v>식</v>
          </cell>
          <cell r="I458">
            <v>0</v>
          </cell>
          <cell r="K458" t="str">
            <v>IL43350</v>
          </cell>
          <cell r="L458" t="str">
            <v>A005</v>
          </cell>
          <cell r="M458" t="str">
            <v>U</v>
          </cell>
        </row>
        <row r="459">
          <cell r="A459">
            <v>22950</v>
          </cell>
          <cell r="B459" t="str">
            <v>5</v>
          </cell>
          <cell r="C459" t="str">
            <v>HOLDING POINT</v>
          </cell>
          <cell r="D459" t="str">
            <v>Φ19X2400MM</v>
          </cell>
          <cell r="E459">
            <v>6</v>
          </cell>
          <cell r="G459" t="str">
            <v>EA</v>
          </cell>
          <cell r="I459">
            <v>0</v>
          </cell>
          <cell r="K459" t="str">
            <v>IL43360</v>
          </cell>
          <cell r="L459" t="str">
            <v>A005</v>
          </cell>
          <cell r="M459" t="str">
            <v>U</v>
          </cell>
        </row>
        <row r="460">
          <cell r="A460">
            <v>23000</v>
          </cell>
          <cell r="B460" t="str">
            <v>5</v>
          </cell>
          <cell r="C460" t="str">
            <v>PE 차량지지대</v>
          </cell>
          <cell r="D460" t="str">
            <v>150X120X750</v>
          </cell>
          <cell r="E460">
            <v>122</v>
          </cell>
          <cell r="G460" t="str">
            <v>EA</v>
          </cell>
          <cell r="I460">
            <v>0</v>
          </cell>
          <cell r="K460" t="str">
            <v>MB0110</v>
          </cell>
          <cell r="L460" t="str">
            <v>A005</v>
          </cell>
          <cell r="M460" t="str">
            <v>U</v>
          </cell>
        </row>
        <row r="461">
          <cell r="A461">
            <v>23050</v>
          </cell>
          <cell r="B461" t="str">
            <v>5</v>
          </cell>
          <cell r="C461" t="str">
            <v>헬리포트</v>
          </cell>
          <cell r="E461">
            <v>1</v>
          </cell>
          <cell r="G461" t="str">
            <v>식</v>
          </cell>
          <cell r="I461">
            <v>0</v>
          </cell>
          <cell r="K461" t="str">
            <v>IL43370</v>
          </cell>
          <cell r="L461" t="str">
            <v>A005</v>
          </cell>
          <cell r="M461" t="str">
            <v>U</v>
          </cell>
        </row>
        <row r="462">
          <cell r="A462">
            <v>23100</v>
          </cell>
          <cell r="B462" t="str">
            <v>4</v>
          </cell>
          <cell r="C462" t="str">
            <v>5)통신시설공</v>
          </cell>
          <cell r="E462">
            <v>0</v>
          </cell>
          <cell r="I462">
            <v>0</v>
          </cell>
          <cell r="L462" t="str">
            <v>A005</v>
          </cell>
          <cell r="M462" t="str">
            <v>U</v>
          </cell>
        </row>
        <row r="463">
          <cell r="A463">
            <v>23150</v>
          </cell>
          <cell r="B463" t="str">
            <v>5</v>
          </cell>
          <cell r="C463" t="str">
            <v>통신관로(조경구간)</v>
          </cell>
          <cell r="E463">
            <v>98</v>
          </cell>
          <cell r="G463" t="str">
            <v>M</v>
          </cell>
          <cell r="I463">
            <v>0</v>
          </cell>
          <cell r="K463" t="str">
            <v>IL43500</v>
          </cell>
          <cell r="L463" t="str">
            <v>A005</v>
          </cell>
          <cell r="M463" t="str">
            <v>U</v>
          </cell>
        </row>
        <row r="464">
          <cell r="A464">
            <v>23200</v>
          </cell>
          <cell r="B464" t="str">
            <v>5</v>
          </cell>
          <cell r="C464" t="str">
            <v>통신관로(포장구간)</v>
          </cell>
          <cell r="D464" t="str">
            <v>TYPE-A</v>
          </cell>
          <cell r="E464">
            <v>12</v>
          </cell>
          <cell r="G464" t="str">
            <v>M</v>
          </cell>
          <cell r="I464">
            <v>0</v>
          </cell>
          <cell r="K464" t="str">
            <v>IL43510</v>
          </cell>
          <cell r="L464" t="str">
            <v>A005</v>
          </cell>
          <cell r="M464" t="str">
            <v>U</v>
          </cell>
        </row>
        <row r="465">
          <cell r="A465">
            <v>23250</v>
          </cell>
          <cell r="B465" t="str">
            <v>5</v>
          </cell>
          <cell r="C465" t="str">
            <v>통신관로(포장구간)</v>
          </cell>
          <cell r="D465" t="str">
            <v>TYPE-B</v>
          </cell>
          <cell r="E465">
            <v>389</v>
          </cell>
          <cell r="G465" t="str">
            <v>M</v>
          </cell>
          <cell r="I465">
            <v>0</v>
          </cell>
          <cell r="K465" t="str">
            <v>IL43520</v>
          </cell>
          <cell r="L465" t="str">
            <v>A005</v>
          </cell>
          <cell r="M465" t="str">
            <v>U</v>
          </cell>
        </row>
        <row r="466">
          <cell r="A466">
            <v>23300</v>
          </cell>
          <cell r="B466" t="str">
            <v>5</v>
          </cell>
          <cell r="C466" t="str">
            <v>스틸파이프</v>
          </cell>
          <cell r="D466" t="str">
            <v>D100MM</v>
          </cell>
          <cell r="E466">
            <v>697</v>
          </cell>
          <cell r="G466" t="str">
            <v>M</v>
          </cell>
          <cell r="I466">
            <v>0</v>
          </cell>
          <cell r="K466" t="str">
            <v>M02400E3</v>
          </cell>
          <cell r="L466" t="str">
            <v>A005</v>
          </cell>
          <cell r="M466" t="str">
            <v>U</v>
          </cell>
        </row>
        <row r="467">
          <cell r="A467">
            <v>23350</v>
          </cell>
          <cell r="B467" t="str">
            <v>5</v>
          </cell>
          <cell r="C467" t="str">
            <v>분기T형3호맨홀(차량용)</v>
          </cell>
          <cell r="E467">
            <v>2</v>
          </cell>
          <cell r="G467" t="str">
            <v>개소</v>
          </cell>
          <cell r="I467">
            <v>0</v>
          </cell>
          <cell r="K467" t="str">
            <v>IL43540</v>
          </cell>
          <cell r="L467" t="str">
            <v>A005</v>
          </cell>
          <cell r="M467" t="str">
            <v>U</v>
          </cell>
        </row>
        <row r="468">
          <cell r="A468">
            <v>23400</v>
          </cell>
          <cell r="B468" t="str">
            <v>5</v>
          </cell>
          <cell r="C468" t="str">
            <v>직선2호맨홀</v>
          </cell>
          <cell r="E468">
            <v>2</v>
          </cell>
          <cell r="G468" t="str">
            <v>개소</v>
          </cell>
          <cell r="I468">
            <v>0</v>
          </cell>
          <cell r="K468" t="str">
            <v>IL43560</v>
          </cell>
          <cell r="L468" t="str">
            <v>A005</v>
          </cell>
          <cell r="M468" t="str">
            <v>U</v>
          </cell>
        </row>
        <row r="469">
          <cell r="A469">
            <v>23450</v>
          </cell>
          <cell r="B469" t="str">
            <v>5</v>
          </cell>
          <cell r="C469" t="str">
            <v>분기T형3호맨홀(항공기용)</v>
          </cell>
          <cell r="E469">
            <v>1</v>
          </cell>
          <cell r="G469" t="str">
            <v>개소</v>
          </cell>
          <cell r="I469">
            <v>0</v>
          </cell>
          <cell r="K469" t="str">
            <v>IL43550</v>
          </cell>
          <cell r="L469" t="str">
            <v>A005</v>
          </cell>
          <cell r="M469" t="str">
            <v>U</v>
          </cell>
        </row>
        <row r="470">
          <cell r="A470">
            <v>23500</v>
          </cell>
          <cell r="B470" t="str">
            <v>4</v>
          </cell>
          <cell r="C470" t="str">
            <v>6)가설공</v>
          </cell>
          <cell r="E470">
            <v>0</v>
          </cell>
          <cell r="I470">
            <v>0</v>
          </cell>
          <cell r="L470" t="str">
            <v>A005</v>
          </cell>
          <cell r="M470" t="str">
            <v>U</v>
          </cell>
        </row>
        <row r="471">
          <cell r="A471">
            <v>23550</v>
          </cell>
          <cell r="B471" t="str">
            <v>5</v>
          </cell>
          <cell r="C471" t="str">
            <v>터파기(토사,0-6m)</v>
          </cell>
          <cell r="D471" t="str">
            <v>백호우 0.7M3</v>
          </cell>
          <cell r="E471">
            <v>662</v>
          </cell>
          <cell r="G471" t="str">
            <v>M3</v>
          </cell>
          <cell r="I471">
            <v>0</v>
          </cell>
          <cell r="K471" t="str">
            <v>IL00580</v>
          </cell>
          <cell r="L471" t="str">
            <v>A005</v>
          </cell>
          <cell r="M471" t="str">
            <v>U</v>
          </cell>
        </row>
        <row r="472">
          <cell r="A472">
            <v>23600</v>
          </cell>
          <cell r="B472" t="str">
            <v>5</v>
          </cell>
          <cell r="C472" t="str">
            <v>되메우기</v>
          </cell>
          <cell r="D472" t="str">
            <v>기계,B/H+RAMMER</v>
          </cell>
          <cell r="E472">
            <v>533</v>
          </cell>
          <cell r="G472" t="str">
            <v>M3</v>
          </cell>
          <cell r="I472">
            <v>0</v>
          </cell>
          <cell r="K472" t="str">
            <v>I00590</v>
          </cell>
          <cell r="L472" t="str">
            <v>A005</v>
          </cell>
          <cell r="M472" t="str">
            <v>U</v>
          </cell>
        </row>
        <row r="473">
          <cell r="A473">
            <v>23650</v>
          </cell>
          <cell r="B473" t="str">
            <v>5</v>
          </cell>
          <cell r="C473" t="str">
            <v>버림 콘크리트 타설</v>
          </cell>
          <cell r="D473" t="str">
            <v>인력</v>
          </cell>
          <cell r="E473">
            <v>102</v>
          </cell>
          <cell r="G473" t="str">
            <v>M3</v>
          </cell>
          <cell r="I473">
            <v>0</v>
          </cell>
          <cell r="K473" t="str">
            <v>I00850</v>
          </cell>
          <cell r="L473" t="str">
            <v>A005</v>
          </cell>
          <cell r="M473" t="str">
            <v>U</v>
          </cell>
        </row>
        <row r="474">
          <cell r="A474">
            <v>23700</v>
          </cell>
          <cell r="B474" t="str">
            <v>5</v>
          </cell>
          <cell r="C474" t="str">
            <v>레미콘 타설</v>
          </cell>
          <cell r="D474" t="str">
            <v>인력, 철근</v>
          </cell>
          <cell r="E474">
            <v>179</v>
          </cell>
          <cell r="G474" t="str">
            <v>M3</v>
          </cell>
          <cell r="I474">
            <v>0</v>
          </cell>
          <cell r="K474" t="str">
            <v>I00830</v>
          </cell>
          <cell r="L474" t="str">
            <v>A005</v>
          </cell>
          <cell r="M474" t="str">
            <v>U</v>
          </cell>
        </row>
        <row r="475">
          <cell r="A475">
            <v>23750</v>
          </cell>
          <cell r="B475" t="str">
            <v>5</v>
          </cell>
          <cell r="C475" t="str">
            <v>합판 거푸집</v>
          </cell>
          <cell r="D475" t="str">
            <v>6 회</v>
          </cell>
          <cell r="E475">
            <v>329</v>
          </cell>
          <cell r="G475" t="str">
            <v>M2</v>
          </cell>
          <cell r="I475">
            <v>0</v>
          </cell>
          <cell r="K475" t="str">
            <v>I00940</v>
          </cell>
          <cell r="L475" t="str">
            <v>A005</v>
          </cell>
          <cell r="M475" t="str">
            <v>U</v>
          </cell>
        </row>
        <row r="476">
          <cell r="A476">
            <v>23800</v>
          </cell>
          <cell r="B476" t="str">
            <v>5</v>
          </cell>
          <cell r="C476" t="str">
            <v>잡 석 부 설</v>
          </cell>
          <cell r="E476">
            <v>49</v>
          </cell>
          <cell r="G476" t="str">
            <v>M3</v>
          </cell>
          <cell r="I476">
            <v>0</v>
          </cell>
          <cell r="K476" t="str">
            <v>S1030</v>
          </cell>
          <cell r="L476" t="str">
            <v>A005</v>
          </cell>
          <cell r="M476" t="str">
            <v>U</v>
          </cell>
        </row>
        <row r="477">
          <cell r="A477">
            <v>23850</v>
          </cell>
          <cell r="B477" t="str">
            <v>5</v>
          </cell>
          <cell r="C477" t="str">
            <v>철근 가공 조립</v>
          </cell>
          <cell r="D477" t="str">
            <v>간  단</v>
          </cell>
          <cell r="E477">
            <v>2.15</v>
          </cell>
          <cell r="G477" t="str">
            <v>TON</v>
          </cell>
          <cell r="I477">
            <v>0</v>
          </cell>
          <cell r="K477" t="str">
            <v>I00950</v>
          </cell>
          <cell r="L477" t="str">
            <v>A005</v>
          </cell>
          <cell r="M477" t="str">
            <v>U</v>
          </cell>
        </row>
        <row r="478">
          <cell r="A478">
            <v>23900</v>
          </cell>
          <cell r="B478" t="str">
            <v>5</v>
          </cell>
          <cell r="C478" t="str">
            <v>조립식 가설 사무소</v>
          </cell>
          <cell r="D478" t="str">
            <v>36개월</v>
          </cell>
          <cell r="E478">
            <v>240</v>
          </cell>
          <cell r="G478" t="str">
            <v>M2</v>
          </cell>
          <cell r="I478">
            <v>0</v>
          </cell>
          <cell r="K478" t="str">
            <v>J00020050</v>
          </cell>
          <cell r="L478" t="str">
            <v>A005</v>
          </cell>
          <cell r="M478" t="str">
            <v>U</v>
          </cell>
        </row>
        <row r="479">
          <cell r="A479">
            <v>23950</v>
          </cell>
          <cell r="B479" t="str">
            <v>5</v>
          </cell>
          <cell r="C479" t="str">
            <v>조립식 가설 창고</v>
          </cell>
          <cell r="D479" t="str">
            <v>36개월</v>
          </cell>
          <cell r="E479">
            <v>120</v>
          </cell>
          <cell r="G479" t="str">
            <v>M2</v>
          </cell>
          <cell r="I479">
            <v>0</v>
          </cell>
          <cell r="K479" t="str">
            <v>J00050040</v>
          </cell>
          <cell r="L479" t="str">
            <v>A005</v>
          </cell>
          <cell r="M479" t="str">
            <v>U</v>
          </cell>
        </row>
        <row r="480">
          <cell r="A480">
            <v>24000</v>
          </cell>
          <cell r="B480" t="str">
            <v>5</v>
          </cell>
          <cell r="C480" t="str">
            <v>작업소</v>
          </cell>
          <cell r="D480" t="str">
            <v>36개월</v>
          </cell>
          <cell r="E480">
            <v>240</v>
          </cell>
          <cell r="G480" t="str">
            <v>M2</v>
          </cell>
          <cell r="I480">
            <v>0</v>
          </cell>
          <cell r="K480" t="str">
            <v>J00050040</v>
          </cell>
          <cell r="L480" t="str">
            <v>A005</v>
          </cell>
          <cell r="M480" t="str">
            <v>U</v>
          </cell>
        </row>
        <row r="481">
          <cell r="A481">
            <v>24050</v>
          </cell>
          <cell r="B481" t="str">
            <v>5</v>
          </cell>
          <cell r="C481" t="str">
            <v>가설 숙소</v>
          </cell>
          <cell r="D481" t="str">
            <v>36개월</v>
          </cell>
          <cell r="E481">
            <v>240</v>
          </cell>
          <cell r="G481" t="str">
            <v>M2</v>
          </cell>
          <cell r="I481">
            <v>0</v>
          </cell>
          <cell r="K481" t="str">
            <v>J00070030</v>
          </cell>
          <cell r="L481" t="str">
            <v>A005</v>
          </cell>
          <cell r="M481" t="str">
            <v>U</v>
          </cell>
        </row>
        <row r="482">
          <cell r="A482">
            <v>24100</v>
          </cell>
          <cell r="B482" t="str">
            <v>5</v>
          </cell>
          <cell r="C482" t="str">
            <v>시험실</v>
          </cell>
          <cell r="D482" t="str">
            <v>36개월</v>
          </cell>
          <cell r="E482">
            <v>100</v>
          </cell>
          <cell r="G482" t="str">
            <v>M2</v>
          </cell>
          <cell r="I482">
            <v>0</v>
          </cell>
          <cell r="K482" t="str">
            <v>J00040030</v>
          </cell>
          <cell r="L482" t="str">
            <v>A005</v>
          </cell>
          <cell r="M482" t="str">
            <v>U</v>
          </cell>
        </row>
        <row r="483">
          <cell r="A483">
            <v>24150</v>
          </cell>
          <cell r="B483" t="str">
            <v>5</v>
          </cell>
          <cell r="C483" t="str">
            <v>가설전등</v>
          </cell>
          <cell r="E483">
            <v>1</v>
          </cell>
          <cell r="G483" t="str">
            <v>식</v>
          </cell>
          <cell r="I483">
            <v>0</v>
          </cell>
          <cell r="K483" t="str">
            <v>HP00005</v>
          </cell>
          <cell r="L483" t="str">
            <v>A005</v>
          </cell>
          <cell r="M483" t="str">
            <v>U</v>
          </cell>
        </row>
        <row r="484">
          <cell r="A484">
            <v>24200</v>
          </cell>
          <cell r="B484" t="str">
            <v>5</v>
          </cell>
          <cell r="C484" t="str">
            <v>가설도로</v>
          </cell>
          <cell r="E484">
            <v>389</v>
          </cell>
          <cell r="G484" t="str">
            <v>M</v>
          </cell>
          <cell r="I484">
            <v>0</v>
          </cell>
          <cell r="K484" t="str">
            <v>IL43400</v>
          </cell>
          <cell r="L484" t="str">
            <v>A005</v>
          </cell>
          <cell r="M484" t="str">
            <v>U</v>
          </cell>
        </row>
        <row r="485">
          <cell r="A485">
            <v>24250</v>
          </cell>
          <cell r="B485" t="str">
            <v>5</v>
          </cell>
          <cell r="C485" t="str">
            <v>가설방진망 E.G.I휀스</v>
          </cell>
          <cell r="D485" t="str">
            <v>견적</v>
          </cell>
          <cell r="E485">
            <v>173</v>
          </cell>
          <cell r="G485" t="str">
            <v>SPAN</v>
          </cell>
          <cell r="I485">
            <v>0</v>
          </cell>
          <cell r="K485" t="str">
            <v>GS00590</v>
          </cell>
          <cell r="L485" t="str">
            <v>A005</v>
          </cell>
          <cell r="M485" t="str">
            <v>U</v>
          </cell>
        </row>
        <row r="486">
          <cell r="A486">
            <v>24300</v>
          </cell>
          <cell r="B486" t="str">
            <v>5</v>
          </cell>
          <cell r="C486" t="str">
            <v>세륜기</v>
          </cell>
          <cell r="D486" t="str">
            <v>2200x5150x1000</v>
          </cell>
          <cell r="E486">
            <v>2</v>
          </cell>
          <cell r="G486" t="str">
            <v>대</v>
          </cell>
          <cell r="I486">
            <v>0</v>
          </cell>
          <cell r="K486" t="str">
            <v>M7245103</v>
          </cell>
          <cell r="L486" t="str">
            <v>A005</v>
          </cell>
          <cell r="M486" t="str">
            <v>U</v>
          </cell>
        </row>
        <row r="487">
          <cell r="A487">
            <v>24350</v>
          </cell>
          <cell r="B487" t="str">
            <v>5</v>
          </cell>
          <cell r="C487" t="str">
            <v>능형망울타리(평지)</v>
          </cell>
          <cell r="D487" t="str">
            <v>H=2.4M,W=3M</v>
          </cell>
          <cell r="E487">
            <v>97</v>
          </cell>
          <cell r="G487" t="str">
            <v>SPAN</v>
          </cell>
          <cell r="I487">
            <v>0</v>
          </cell>
          <cell r="K487" t="str">
            <v>I01731</v>
          </cell>
          <cell r="L487" t="str">
            <v>A005</v>
          </cell>
          <cell r="M487" t="str">
            <v>U</v>
          </cell>
        </row>
        <row r="488">
          <cell r="A488">
            <v>24400</v>
          </cell>
          <cell r="B488" t="str">
            <v>5</v>
          </cell>
          <cell r="C488" t="str">
            <v>대문</v>
          </cell>
          <cell r="D488" t="str">
            <v>H=2.4,W=6.0M</v>
          </cell>
          <cell r="E488">
            <v>2</v>
          </cell>
          <cell r="G488" t="str">
            <v>개소</v>
          </cell>
          <cell r="I488">
            <v>0</v>
          </cell>
          <cell r="K488" t="str">
            <v>I01795</v>
          </cell>
          <cell r="L488" t="str">
            <v>A005</v>
          </cell>
          <cell r="M488" t="str">
            <v>U</v>
          </cell>
        </row>
        <row r="489">
          <cell r="A489">
            <v>24450</v>
          </cell>
          <cell r="B489" t="str">
            <v>5</v>
          </cell>
          <cell r="C489" t="str">
            <v>P.P 마대쌓기 및 헐기</v>
          </cell>
          <cell r="E489">
            <v>94</v>
          </cell>
          <cell r="G489" t="str">
            <v>M3</v>
          </cell>
          <cell r="I489">
            <v>0</v>
          </cell>
          <cell r="K489" t="str">
            <v>J00640020</v>
          </cell>
          <cell r="L489" t="str">
            <v>A005</v>
          </cell>
          <cell r="M489" t="str">
            <v>U</v>
          </cell>
        </row>
        <row r="490">
          <cell r="A490">
            <v>24500</v>
          </cell>
          <cell r="B490" t="str">
            <v>5</v>
          </cell>
          <cell r="C490" t="str">
            <v>물푸기</v>
          </cell>
          <cell r="E490">
            <v>480</v>
          </cell>
          <cell r="G490" t="str">
            <v>HR</v>
          </cell>
          <cell r="I490">
            <v>0</v>
          </cell>
          <cell r="K490" t="str">
            <v>SD30010</v>
          </cell>
          <cell r="L490" t="str">
            <v>A005</v>
          </cell>
          <cell r="M490" t="str">
            <v>U</v>
          </cell>
        </row>
        <row r="491">
          <cell r="A491">
            <v>24550</v>
          </cell>
          <cell r="B491" t="str">
            <v>4</v>
          </cell>
          <cell r="C491" t="str">
            <v>7)기타</v>
          </cell>
          <cell r="E491">
            <v>0</v>
          </cell>
          <cell r="I491">
            <v>0</v>
          </cell>
          <cell r="L491" t="str">
            <v>A005</v>
          </cell>
          <cell r="M491" t="str">
            <v>U</v>
          </cell>
        </row>
        <row r="492">
          <cell r="A492">
            <v>24600</v>
          </cell>
          <cell r="B492" t="str">
            <v>5</v>
          </cell>
          <cell r="C492" t="str">
            <v>시 험 비</v>
          </cell>
          <cell r="E492">
            <v>1</v>
          </cell>
          <cell r="G492" t="str">
            <v>식</v>
          </cell>
          <cell r="I492">
            <v>0</v>
          </cell>
          <cell r="K492" t="str">
            <v>HP70710</v>
          </cell>
          <cell r="L492" t="str">
            <v>A005</v>
          </cell>
          <cell r="M492" t="str">
            <v>U</v>
          </cell>
        </row>
        <row r="493">
          <cell r="A493">
            <v>24650</v>
          </cell>
          <cell r="B493" t="str">
            <v>5</v>
          </cell>
          <cell r="C493" t="str">
            <v>중기운반비</v>
          </cell>
          <cell r="E493">
            <v>1</v>
          </cell>
          <cell r="G493" t="str">
            <v>식</v>
          </cell>
          <cell r="I493">
            <v>0</v>
          </cell>
          <cell r="K493" t="str">
            <v>HP70700</v>
          </cell>
          <cell r="L493" t="str">
            <v>A005</v>
          </cell>
          <cell r="M493" t="str">
            <v>U</v>
          </cell>
        </row>
        <row r="494">
          <cell r="A494">
            <v>24700</v>
          </cell>
          <cell r="B494" t="str">
            <v>5</v>
          </cell>
          <cell r="C494" t="str">
            <v>시공 상세도면 작성비</v>
          </cell>
          <cell r="E494">
            <v>118</v>
          </cell>
          <cell r="G494" t="str">
            <v>매</v>
          </cell>
          <cell r="I494">
            <v>0</v>
          </cell>
          <cell r="K494" t="str">
            <v>IL90600</v>
          </cell>
          <cell r="L494" t="str">
            <v>A005</v>
          </cell>
          <cell r="M494" t="str">
            <v>U</v>
          </cell>
        </row>
        <row r="495">
          <cell r="A495">
            <v>24750</v>
          </cell>
          <cell r="B495" t="str">
            <v>5</v>
          </cell>
          <cell r="C495" t="str">
            <v>콘크리트 배치 플랜트 설치 및 철거공</v>
          </cell>
          <cell r="D495" t="str">
            <v>(120 M3)</v>
          </cell>
          <cell r="E495">
            <v>2</v>
          </cell>
          <cell r="G495" t="str">
            <v>기</v>
          </cell>
          <cell r="I495">
            <v>0</v>
          </cell>
          <cell r="K495" t="str">
            <v>SD10510</v>
          </cell>
          <cell r="L495" t="str">
            <v>A005</v>
          </cell>
          <cell r="M495" t="str">
            <v>U</v>
          </cell>
        </row>
        <row r="496">
          <cell r="A496">
            <v>24800</v>
          </cell>
          <cell r="B496" t="str">
            <v>4</v>
          </cell>
          <cell r="C496" t="str">
            <v>8)가시설공</v>
          </cell>
          <cell r="E496">
            <v>0</v>
          </cell>
          <cell r="I496">
            <v>0</v>
          </cell>
          <cell r="L496" t="str">
            <v>A005</v>
          </cell>
          <cell r="M496" t="str">
            <v>U</v>
          </cell>
        </row>
        <row r="497">
          <cell r="A497">
            <v>24850</v>
          </cell>
          <cell r="B497" t="str">
            <v>5</v>
          </cell>
          <cell r="C497" t="str">
            <v>SHEET PILE 항타</v>
          </cell>
          <cell r="D497" t="str">
            <v>SP-Ⅲa(400X150X13)</v>
          </cell>
          <cell r="E497">
            <v>3146</v>
          </cell>
          <cell r="G497" t="str">
            <v>본</v>
          </cell>
          <cell r="I497">
            <v>0</v>
          </cell>
          <cell r="K497" t="str">
            <v>IS00100</v>
          </cell>
          <cell r="L497" t="str">
            <v>A005</v>
          </cell>
          <cell r="M497" t="str">
            <v>U</v>
          </cell>
        </row>
        <row r="498">
          <cell r="A498">
            <v>24900</v>
          </cell>
          <cell r="B498" t="str">
            <v>5</v>
          </cell>
          <cell r="C498" t="str">
            <v>SHEET PILE 인발</v>
          </cell>
          <cell r="D498" t="str">
            <v>SP-Ⅲa(400X150X13)</v>
          </cell>
          <cell r="E498">
            <v>3146</v>
          </cell>
          <cell r="G498" t="str">
            <v>본</v>
          </cell>
          <cell r="I498">
            <v>0</v>
          </cell>
          <cell r="K498" t="str">
            <v>IS00200</v>
          </cell>
          <cell r="L498" t="str">
            <v>A005</v>
          </cell>
          <cell r="M498" t="str">
            <v>U</v>
          </cell>
        </row>
        <row r="499">
          <cell r="A499">
            <v>24950</v>
          </cell>
          <cell r="B499" t="str">
            <v>5</v>
          </cell>
          <cell r="C499" t="str">
            <v>STRUT 제작</v>
          </cell>
          <cell r="D499" t="str">
            <v>H-300x300</v>
          </cell>
          <cell r="E499">
            <v>616</v>
          </cell>
          <cell r="G499" t="str">
            <v>본</v>
          </cell>
          <cell r="I499">
            <v>0</v>
          </cell>
          <cell r="K499" t="str">
            <v>H-10001</v>
          </cell>
          <cell r="L499" t="str">
            <v>A005</v>
          </cell>
          <cell r="M499" t="str">
            <v>U</v>
          </cell>
        </row>
        <row r="500">
          <cell r="A500">
            <v>25000</v>
          </cell>
          <cell r="B500" t="str">
            <v>5</v>
          </cell>
          <cell r="C500" t="str">
            <v>STRUT 설치,철거</v>
          </cell>
          <cell r="D500" t="str">
            <v>H-300x300</v>
          </cell>
          <cell r="E500">
            <v>616</v>
          </cell>
          <cell r="G500" t="str">
            <v>개소</v>
          </cell>
          <cell r="I500">
            <v>0</v>
          </cell>
          <cell r="K500" t="str">
            <v>IS00300</v>
          </cell>
          <cell r="L500" t="str">
            <v>A005</v>
          </cell>
          <cell r="M500" t="str">
            <v>U</v>
          </cell>
        </row>
        <row r="501">
          <cell r="A501">
            <v>25050</v>
          </cell>
          <cell r="B501" t="str">
            <v>5</v>
          </cell>
          <cell r="C501" t="str">
            <v>WALE 설치,철거</v>
          </cell>
          <cell r="D501" t="str">
            <v>H-300x300</v>
          </cell>
          <cell r="E501">
            <v>3741</v>
          </cell>
          <cell r="G501" t="str">
            <v>M</v>
          </cell>
          <cell r="I501">
            <v>0</v>
          </cell>
          <cell r="K501" t="str">
            <v>IS00400</v>
          </cell>
          <cell r="L501" t="str">
            <v>A005</v>
          </cell>
          <cell r="M501" t="str">
            <v>U</v>
          </cell>
        </row>
        <row r="502">
          <cell r="A502">
            <v>25100</v>
          </cell>
          <cell r="B502" t="str">
            <v>5</v>
          </cell>
          <cell r="C502" t="str">
            <v>띠장연결 해체(H-300*305).</v>
          </cell>
          <cell r="E502">
            <v>364</v>
          </cell>
          <cell r="G502" t="str">
            <v>개소</v>
          </cell>
          <cell r="I502">
            <v>0</v>
          </cell>
          <cell r="K502" t="str">
            <v>S2461</v>
          </cell>
          <cell r="L502" t="str">
            <v>A005</v>
          </cell>
          <cell r="M502" t="str">
            <v>U</v>
          </cell>
        </row>
        <row r="503">
          <cell r="A503">
            <v>25150</v>
          </cell>
          <cell r="B503" t="str">
            <v>5</v>
          </cell>
          <cell r="C503" t="str">
            <v>우각부 띠장 접합.</v>
          </cell>
          <cell r="E503">
            <v>6</v>
          </cell>
          <cell r="G503" t="str">
            <v>개소</v>
          </cell>
          <cell r="I503">
            <v>0</v>
          </cell>
          <cell r="K503" t="str">
            <v>S252</v>
          </cell>
          <cell r="L503" t="str">
            <v>A005</v>
          </cell>
          <cell r="M503" t="str">
            <v>U</v>
          </cell>
        </row>
        <row r="504">
          <cell r="A504">
            <v>25200</v>
          </cell>
          <cell r="B504" t="str">
            <v>5</v>
          </cell>
          <cell r="C504" t="str">
            <v>사보강재  설치 및 철거</v>
          </cell>
          <cell r="D504" t="str">
            <v>(H-300X300)</v>
          </cell>
          <cell r="E504">
            <v>12</v>
          </cell>
          <cell r="G504" t="str">
            <v>개소</v>
          </cell>
          <cell r="I504">
            <v>0</v>
          </cell>
          <cell r="K504" t="str">
            <v>S247</v>
          </cell>
          <cell r="L504" t="str">
            <v>A005</v>
          </cell>
          <cell r="M504" t="str">
            <v>U</v>
          </cell>
        </row>
        <row r="505">
          <cell r="A505">
            <v>25250</v>
          </cell>
          <cell r="B505" t="str">
            <v>5</v>
          </cell>
          <cell r="C505" t="str">
            <v>화타쐐기 제작 및 설치,철거</v>
          </cell>
          <cell r="D505" t="str">
            <v>(H-300X300)</v>
          </cell>
          <cell r="E505">
            <v>24</v>
          </cell>
          <cell r="G505" t="str">
            <v>개소</v>
          </cell>
          <cell r="I505">
            <v>0</v>
          </cell>
          <cell r="K505" t="str">
            <v>IS00500</v>
          </cell>
          <cell r="L505" t="str">
            <v>A005</v>
          </cell>
          <cell r="M505" t="str">
            <v>U</v>
          </cell>
        </row>
        <row r="506">
          <cell r="A506">
            <v>25300</v>
          </cell>
          <cell r="B506" t="str">
            <v>5</v>
          </cell>
          <cell r="C506" t="str">
            <v>보걸이 설치 철거</v>
          </cell>
          <cell r="D506" t="str">
            <v>Φ22</v>
          </cell>
          <cell r="E506">
            <v>1256</v>
          </cell>
          <cell r="G506" t="str">
            <v>개소</v>
          </cell>
          <cell r="I506">
            <v>0</v>
          </cell>
          <cell r="K506" t="str">
            <v>S242</v>
          </cell>
          <cell r="L506" t="str">
            <v>A005</v>
          </cell>
          <cell r="M506" t="str">
            <v>U</v>
          </cell>
        </row>
        <row r="507">
          <cell r="A507">
            <v>25350</v>
          </cell>
          <cell r="B507" t="str">
            <v>5</v>
          </cell>
          <cell r="C507" t="str">
            <v>RAKER 연결부(손율30% 적용)</v>
          </cell>
          <cell r="E507">
            <v>1232</v>
          </cell>
          <cell r="G507" t="str">
            <v>개소</v>
          </cell>
          <cell r="I507">
            <v>0</v>
          </cell>
          <cell r="K507" t="str">
            <v>S2501</v>
          </cell>
          <cell r="L507" t="str">
            <v>A005</v>
          </cell>
          <cell r="M507" t="str">
            <v>U</v>
          </cell>
        </row>
        <row r="508">
          <cell r="A508">
            <v>25400</v>
          </cell>
          <cell r="B508" t="str">
            <v>5</v>
          </cell>
          <cell r="C508" t="str">
            <v>RAKER 설치,철거</v>
          </cell>
          <cell r="E508">
            <v>616</v>
          </cell>
          <cell r="G508" t="str">
            <v>개소</v>
          </cell>
          <cell r="I508">
            <v>0</v>
          </cell>
          <cell r="K508" t="str">
            <v>IS00600</v>
          </cell>
          <cell r="L508" t="str">
            <v>A005</v>
          </cell>
          <cell r="M508" t="str">
            <v>U</v>
          </cell>
        </row>
        <row r="509">
          <cell r="A509">
            <v>25450</v>
          </cell>
          <cell r="B509" t="str">
            <v>5</v>
          </cell>
          <cell r="C509" t="str">
            <v>H-PILE 항타 (Raker지지용)</v>
          </cell>
          <cell r="E509">
            <v>308</v>
          </cell>
          <cell r="G509" t="str">
            <v>본</v>
          </cell>
          <cell r="I509">
            <v>0</v>
          </cell>
          <cell r="K509" t="str">
            <v>H-90105</v>
          </cell>
          <cell r="L509" t="str">
            <v>A005</v>
          </cell>
          <cell r="M509" t="str">
            <v>U</v>
          </cell>
        </row>
        <row r="510">
          <cell r="A510">
            <v>25500</v>
          </cell>
          <cell r="B510" t="str">
            <v>5</v>
          </cell>
          <cell r="C510" t="str">
            <v>H-PILE 인발 (RAKER지지용)</v>
          </cell>
          <cell r="E510">
            <v>308</v>
          </cell>
          <cell r="G510" t="str">
            <v>본</v>
          </cell>
          <cell r="I510">
            <v>0</v>
          </cell>
          <cell r="K510" t="str">
            <v>H-90205</v>
          </cell>
          <cell r="L510" t="str">
            <v>A005</v>
          </cell>
          <cell r="M510" t="str">
            <v>U</v>
          </cell>
        </row>
        <row r="511">
          <cell r="A511">
            <v>25550</v>
          </cell>
          <cell r="B511" t="str">
            <v>5</v>
          </cell>
          <cell r="C511" t="str">
            <v>JACK 손료 (6개월미만)</v>
          </cell>
          <cell r="D511" t="str">
            <v>100 TON</v>
          </cell>
          <cell r="E511">
            <v>616</v>
          </cell>
          <cell r="G511" t="str">
            <v>EA</v>
          </cell>
          <cell r="I511">
            <v>0</v>
          </cell>
          <cell r="K511" t="str">
            <v>WC14002</v>
          </cell>
          <cell r="L511" t="str">
            <v>A005</v>
          </cell>
          <cell r="M511" t="str">
            <v>U</v>
          </cell>
        </row>
        <row r="512">
          <cell r="A512">
            <v>25600</v>
          </cell>
          <cell r="B512" t="str">
            <v>5</v>
          </cell>
          <cell r="C512" t="str">
            <v>SHEET PILE 방수</v>
          </cell>
          <cell r="E512">
            <v>1837</v>
          </cell>
          <cell r="G512" t="str">
            <v>M2</v>
          </cell>
          <cell r="I512">
            <v>0</v>
          </cell>
          <cell r="K512" t="str">
            <v>WQ31020</v>
          </cell>
          <cell r="L512" t="str">
            <v>A005</v>
          </cell>
          <cell r="M512" t="str">
            <v>U</v>
          </cell>
        </row>
        <row r="513">
          <cell r="A513">
            <v>25650</v>
          </cell>
          <cell r="B513" t="str">
            <v>5</v>
          </cell>
          <cell r="C513" t="str">
            <v>합판 거푸집</v>
          </cell>
          <cell r="D513" t="str">
            <v>6 회</v>
          </cell>
          <cell r="E513">
            <v>1235</v>
          </cell>
          <cell r="G513" t="str">
            <v>M2</v>
          </cell>
          <cell r="I513">
            <v>0</v>
          </cell>
          <cell r="K513" t="str">
            <v>I00940</v>
          </cell>
          <cell r="L513" t="str">
            <v>A005</v>
          </cell>
          <cell r="M513" t="str">
            <v>U</v>
          </cell>
        </row>
        <row r="514">
          <cell r="A514">
            <v>25700</v>
          </cell>
          <cell r="B514" t="str">
            <v>5</v>
          </cell>
          <cell r="C514" t="str">
            <v>버림 콘크리트 타설</v>
          </cell>
          <cell r="D514" t="str">
            <v>인력</v>
          </cell>
          <cell r="E514">
            <v>615</v>
          </cell>
          <cell r="G514" t="str">
            <v>M3</v>
          </cell>
          <cell r="I514">
            <v>0</v>
          </cell>
          <cell r="K514" t="str">
            <v>I00850</v>
          </cell>
          <cell r="L514" t="str">
            <v>A005</v>
          </cell>
          <cell r="M514" t="str">
            <v>U</v>
          </cell>
        </row>
        <row r="515">
          <cell r="A515">
            <v>25750</v>
          </cell>
          <cell r="B515" t="str">
            <v>4</v>
          </cell>
          <cell r="C515" t="str">
            <v>9)운반비</v>
          </cell>
          <cell r="E515">
            <v>0</v>
          </cell>
          <cell r="I515">
            <v>0</v>
          </cell>
          <cell r="L515" t="str">
            <v>A005</v>
          </cell>
          <cell r="M515" t="str">
            <v>U</v>
          </cell>
        </row>
        <row r="516">
          <cell r="A516">
            <v>25800</v>
          </cell>
          <cell r="B516" t="str">
            <v>5</v>
          </cell>
          <cell r="C516" t="str">
            <v>철근운반</v>
          </cell>
          <cell r="E516">
            <v>3681.2530000000002</v>
          </cell>
          <cell r="G516" t="str">
            <v>TON</v>
          </cell>
          <cell r="I516">
            <v>0</v>
          </cell>
          <cell r="K516" t="str">
            <v>S010</v>
          </cell>
          <cell r="L516" t="str">
            <v>A005</v>
          </cell>
          <cell r="M516" t="str">
            <v>U</v>
          </cell>
        </row>
        <row r="517">
          <cell r="A517">
            <v>25850</v>
          </cell>
          <cell r="B517" t="str">
            <v>5</v>
          </cell>
          <cell r="C517" t="str">
            <v>SHEET PILE 운반</v>
          </cell>
          <cell r="D517" t="str">
            <v>포항-현장</v>
          </cell>
          <cell r="E517">
            <v>1793.2</v>
          </cell>
          <cell r="G517" t="str">
            <v>TON</v>
          </cell>
          <cell r="I517">
            <v>0</v>
          </cell>
          <cell r="K517" t="str">
            <v>H-60001</v>
          </cell>
          <cell r="L517" t="str">
            <v>A005</v>
          </cell>
          <cell r="M517" t="str">
            <v>U</v>
          </cell>
        </row>
        <row r="518">
          <cell r="A518">
            <v>25900</v>
          </cell>
          <cell r="B518" t="str">
            <v>5</v>
          </cell>
          <cell r="C518" t="str">
            <v>강재(H-BEAM)운반</v>
          </cell>
          <cell r="D518" t="str">
            <v>포항-현장</v>
          </cell>
          <cell r="E518">
            <v>1168.23</v>
          </cell>
          <cell r="G518" t="str">
            <v>TON</v>
          </cell>
          <cell r="I518">
            <v>0</v>
          </cell>
          <cell r="K518" t="str">
            <v>H-60003</v>
          </cell>
          <cell r="L518" t="str">
            <v>A005</v>
          </cell>
          <cell r="M518" t="str">
            <v>U</v>
          </cell>
        </row>
        <row r="519">
          <cell r="A519">
            <v>25950</v>
          </cell>
          <cell r="B519" t="str">
            <v>5</v>
          </cell>
          <cell r="C519" t="str">
            <v>시멘트운반(40KG/포)</v>
          </cell>
          <cell r="E519">
            <v>6149</v>
          </cell>
          <cell r="G519" t="str">
            <v>TON</v>
          </cell>
          <cell r="I519">
            <v>0</v>
          </cell>
          <cell r="K519" t="str">
            <v>S006</v>
          </cell>
          <cell r="L519" t="str">
            <v>A005</v>
          </cell>
          <cell r="M519" t="str">
            <v>U</v>
          </cell>
        </row>
        <row r="520">
          <cell r="A520">
            <v>26000</v>
          </cell>
          <cell r="B520" t="str">
            <v>5</v>
          </cell>
          <cell r="C520" t="str">
            <v>시멘트운반</v>
          </cell>
          <cell r="D520" t="str">
            <v>bulk</v>
          </cell>
          <cell r="E520">
            <v>31051</v>
          </cell>
          <cell r="G520" t="str">
            <v>TON</v>
          </cell>
          <cell r="I520">
            <v>0</v>
          </cell>
          <cell r="K520" t="str">
            <v>S007</v>
          </cell>
          <cell r="L520" t="str">
            <v>A005</v>
          </cell>
          <cell r="M520" t="str">
            <v>U</v>
          </cell>
        </row>
        <row r="521">
          <cell r="A521">
            <v>26050</v>
          </cell>
          <cell r="B521" t="str">
            <v>5</v>
          </cell>
          <cell r="C521" t="str">
            <v>아스팔트운반</v>
          </cell>
          <cell r="D521" t="str">
            <v>RS(C)-3,4</v>
          </cell>
          <cell r="E521">
            <v>334</v>
          </cell>
          <cell r="G521" t="str">
            <v>TON</v>
          </cell>
          <cell r="I521">
            <v>0</v>
          </cell>
          <cell r="K521" t="str">
            <v>S008</v>
          </cell>
          <cell r="L521" t="str">
            <v>A005</v>
          </cell>
          <cell r="M521" t="str">
            <v>U</v>
          </cell>
        </row>
        <row r="522">
          <cell r="A522">
            <v>26100</v>
          </cell>
          <cell r="B522" t="str">
            <v>5</v>
          </cell>
          <cell r="C522" t="str">
            <v>흄관운반</v>
          </cell>
          <cell r="D522" t="str">
            <v>D=300M/M</v>
          </cell>
          <cell r="E522">
            <v>5</v>
          </cell>
          <cell r="G522" t="str">
            <v>M</v>
          </cell>
          <cell r="I522">
            <v>0</v>
          </cell>
          <cell r="K522" t="str">
            <v>S011</v>
          </cell>
          <cell r="L522" t="str">
            <v>A005</v>
          </cell>
          <cell r="M522" t="str">
            <v>U</v>
          </cell>
        </row>
        <row r="523">
          <cell r="A523">
            <v>26150</v>
          </cell>
          <cell r="B523" t="str">
            <v>5</v>
          </cell>
          <cell r="C523" t="str">
            <v>흄관운반</v>
          </cell>
          <cell r="D523" t="str">
            <v>D=450M/M</v>
          </cell>
          <cell r="E523">
            <v>1034</v>
          </cell>
          <cell r="G523" t="str">
            <v>M</v>
          </cell>
          <cell r="I523">
            <v>0</v>
          </cell>
          <cell r="K523" t="str">
            <v>S012</v>
          </cell>
          <cell r="L523" t="str">
            <v>A005</v>
          </cell>
          <cell r="M523" t="str">
            <v>U</v>
          </cell>
        </row>
        <row r="524">
          <cell r="A524">
            <v>26200</v>
          </cell>
          <cell r="B524" t="str">
            <v>5</v>
          </cell>
          <cell r="C524" t="str">
            <v>흄관운반</v>
          </cell>
          <cell r="D524" t="str">
            <v>D=600M/M</v>
          </cell>
          <cell r="E524">
            <v>175</v>
          </cell>
          <cell r="G524" t="str">
            <v>M</v>
          </cell>
          <cell r="I524">
            <v>0</v>
          </cell>
          <cell r="K524" t="str">
            <v>S014</v>
          </cell>
          <cell r="L524" t="str">
            <v>A005</v>
          </cell>
          <cell r="M524" t="str">
            <v>U</v>
          </cell>
        </row>
        <row r="525">
          <cell r="A525">
            <v>26250</v>
          </cell>
          <cell r="B525" t="str">
            <v>5</v>
          </cell>
          <cell r="C525" t="str">
            <v>흄관운반</v>
          </cell>
          <cell r="D525" t="str">
            <v>D=800M/M</v>
          </cell>
          <cell r="E525">
            <v>317</v>
          </cell>
          <cell r="G525" t="str">
            <v>M</v>
          </cell>
          <cell r="I525">
            <v>0</v>
          </cell>
          <cell r="K525" t="str">
            <v>S016</v>
          </cell>
          <cell r="L525" t="str">
            <v>A005</v>
          </cell>
          <cell r="M525" t="str">
            <v>U</v>
          </cell>
        </row>
        <row r="526">
          <cell r="A526">
            <v>26300</v>
          </cell>
          <cell r="B526" t="str">
            <v>5</v>
          </cell>
          <cell r="C526" t="str">
            <v>흄관운반</v>
          </cell>
          <cell r="D526" t="str">
            <v>D=1000M/M</v>
          </cell>
          <cell r="E526">
            <v>28</v>
          </cell>
          <cell r="G526" t="str">
            <v>M</v>
          </cell>
          <cell r="I526">
            <v>0</v>
          </cell>
          <cell r="K526" t="str">
            <v>S018</v>
          </cell>
          <cell r="L526" t="str">
            <v>A005</v>
          </cell>
          <cell r="M526" t="str">
            <v>U</v>
          </cell>
        </row>
        <row r="527">
          <cell r="A527">
            <v>26350</v>
          </cell>
          <cell r="B527" t="str">
            <v>5</v>
          </cell>
          <cell r="C527" t="str">
            <v>흄관운반</v>
          </cell>
          <cell r="D527" t="str">
            <v>D=1200M/M</v>
          </cell>
          <cell r="E527">
            <v>332</v>
          </cell>
          <cell r="G527" t="str">
            <v>M</v>
          </cell>
          <cell r="I527">
            <v>0</v>
          </cell>
          <cell r="K527" t="str">
            <v>S020</v>
          </cell>
          <cell r="L527" t="str">
            <v>A005</v>
          </cell>
          <cell r="M527" t="str">
            <v>U</v>
          </cell>
        </row>
        <row r="528">
          <cell r="A528">
            <v>26400</v>
          </cell>
          <cell r="B528" t="str">
            <v>4</v>
          </cell>
          <cell r="C528" t="str">
            <v>10)고재대</v>
          </cell>
          <cell r="E528">
            <v>0</v>
          </cell>
          <cell r="I528">
            <v>0</v>
          </cell>
          <cell r="L528" t="str">
            <v>A005</v>
          </cell>
          <cell r="M528" t="str">
            <v>U</v>
          </cell>
        </row>
        <row r="529">
          <cell r="A529">
            <v>26450</v>
          </cell>
          <cell r="B529" t="str">
            <v>5</v>
          </cell>
          <cell r="C529" t="str">
            <v>철근고재대</v>
          </cell>
          <cell r="D529" t="str">
            <v>부산지역</v>
          </cell>
          <cell r="E529">
            <v>96.474000000000004</v>
          </cell>
          <cell r="G529" t="str">
            <v>TON</v>
          </cell>
          <cell r="I529">
            <v>0</v>
          </cell>
          <cell r="K529" t="str">
            <v>GS0300</v>
          </cell>
          <cell r="L529" t="str">
            <v>A005</v>
          </cell>
          <cell r="M529" t="str">
            <v>U</v>
          </cell>
        </row>
        <row r="530">
          <cell r="A530">
            <v>26500</v>
          </cell>
          <cell r="B530" t="str">
            <v>5</v>
          </cell>
          <cell r="C530" t="str">
            <v>철골고재대</v>
          </cell>
          <cell r="D530" t="str">
            <v>부산지역</v>
          </cell>
          <cell r="E530">
            <v>58.564999999999998</v>
          </cell>
          <cell r="G530" t="str">
            <v>TON</v>
          </cell>
          <cell r="I530">
            <v>0</v>
          </cell>
          <cell r="K530" t="str">
            <v>GS0300</v>
          </cell>
          <cell r="L530" t="str">
            <v>A005</v>
          </cell>
          <cell r="M530" t="str">
            <v>U</v>
          </cell>
        </row>
        <row r="531">
          <cell r="A531">
            <v>26550</v>
          </cell>
          <cell r="B531" t="str">
            <v>4</v>
          </cell>
          <cell r="C531" t="str">
            <v>11)사급자재대</v>
          </cell>
          <cell r="D531" t="str">
            <v>별산</v>
          </cell>
          <cell r="E531">
            <v>0</v>
          </cell>
          <cell r="I531">
            <v>0</v>
          </cell>
          <cell r="L531" t="str">
            <v>A005</v>
          </cell>
          <cell r="M531" t="str">
            <v>U</v>
          </cell>
        </row>
        <row r="532">
          <cell r="A532">
            <v>26600</v>
          </cell>
          <cell r="B532" t="str">
            <v>5</v>
          </cell>
          <cell r="C532" t="str">
            <v>시멘트</v>
          </cell>
          <cell r="D532" t="str">
            <v>40kg/대(포장품)</v>
          </cell>
          <cell r="E532">
            <v>4980</v>
          </cell>
          <cell r="G532" t="str">
            <v>대</v>
          </cell>
          <cell r="I532">
            <v>0</v>
          </cell>
          <cell r="K532" t="str">
            <v>IM00095</v>
          </cell>
          <cell r="L532" t="str">
            <v>A005</v>
          </cell>
          <cell r="M532" t="str">
            <v>U</v>
          </cell>
        </row>
        <row r="533">
          <cell r="A533">
            <v>26650</v>
          </cell>
          <cell r="B533" t="str">
            <v>5</v>
          </cell>
          <cell r="C533" t="str">
            <v>이형철근</v>
          </cell>
          <cell r="D533" t="str">
            <v>10M/M 0.560KG/M</v>
          </cell>
          <cell r="E533">
            <v>0.90200000000000002</v>
          </cell>
          <cell r="G533" t="str">
            <v>TON</v>
          </cell>
          <cell r="I533">
            <v>0</v>
          </cell>
          <cell r="K533" t="str">
            <v>IM00035</v>
          </cell>
          <cell r="L533" t="str">
            <v>A005</v>
          </cell>
          <cell r="M533" t="str">
            <v>U</v>
          </cell>
        </row>
        <row r="534">
          <cell r="A534">
            <v>26700</v>
          </cell>
          <cell r="B534" t="str">
            <v>5</v>
          </cell>
          <cell r="C534" t="str">
            <v>이형철근</v>
          </cell>
          <cell r="D534" t="str">
            <v>13M/M 0.995KG/M</v>
          </cell>
          <cell r="E534">
            <v>68.998000000000005</v>
          </cell>
          <cell r="G534" t="str">
            <v>TON</v>
          </cell>
          <cell r="I534">
            <v>0</v>
          </cell>
          <cell r="K534" t="str">
            <v>IM00040</v>
          </cell>
          <cell r="L534" t="str">
            <v>A005</v>
          </cell>
          <cell r="M534" t="str">
            <v>U</v>
          </cell>
        </row>
        <row r="535">
          <cell r="A535">
            <v>26750</v>
          </cell>
          <cell r="B535" t="str">
            <v>5</v>
          </cell>
          <cell r="C535" t="str">
            <v>이형철근</v>
          </cell>
          <cell r="D535" t="str">
            <v>16M/M 1.560KG/M</v>
          </cell>
          <cell r="E535">
            <v>151.55199999999999</v>
          </cell>
          <cell r="G535" t="str">
            <v>TON</v>
          </cell>
          <cell r="I535">
            <v>0</v>
          </cell>
          <cell r="K535" t="str">
            <v>IM00045</v>
          </cell>
          <cell r="L535" t="str">
            <v>A005</v>
          </cell>
          <cell r="M535" t="str">
            <v>U</v>
          </cell>
        </row>
        <row r="536">
          <cell r="A536">
            <v>26800</v>
          </cell>
          <cell r="B536" t="str">
            <v>5</v>
          </cell>
          <cell r="C536" t="str">
            <v>이형철근</v>
          </cell>
          <cell r="D536" t="str">
            <v>19M/M 2.250KG/M</v>
          </cell>
          <cell r="E536">
            <v>2.431</v>
          </cell>
          <cell r="G536" t="str">
            <v>TON</v>
          </cell>
          <cell r="I536">
            <v>0</v>
          </cell>
          <cell r="K536" t="str">
            <v>IM00050</v>
          </cell>
          <cell r="L536" t="str">
            <v>A005</v>
          </cell>
          <cell r="M536" t="str">
            <v>U</v>
          </cell>
        </row>
        <row r="537">
          <cell r="A537">
            <v>26850</v>
          </cell>
          <cell r="B537" t="str">
            <v>5</v>
          </cell>
          <cell r="C537" t="str">
            <v>이형철근</v>
          </cell>
          <cell r="D537" t="str">
            <v>22M/M 3.040KG/M</v>
          </cell>
          <cell r="E537">
            <v>2.93</v>
          </cell>
          <cell r="G537" t="str">
            <v>TON</v>
          </cell>
          <cell r="I537">
            <v>0</v>
          </cell>
          <cell r="K537" t="str">
            <v>IM00055</v>
          </cell>
          <cell r="L537" t="str">
            <v>A005</v>
          </cell>
          <cell r="M537" t="str">
            <v>U</v>
          </cell>
        </row>
        <row r="538">
          <cell r="A538">
            <v>26900</v>
          </cell>
          <cell r="B538" t="str">
            <v>5</v>
          </cell>
          <cell r="C538" t="str">
            <v>이형철근</v>
          </cell>
          <cell r="D538" t="str">
            <v>29M/M 5.040KG/M</v>
          </cell>
          <cell r="E538">
            <v>0.995</v>
          </cell>
          <cell r="G538" t="str">
            <v>TON</v>
          </cell>
          <cell r="I538">
            <v>0</v>
          </cell>
          <cell r="K538" t="str">
            <v>IM00065</v>
          </cell>
          <cell r="L538" t="str">
            <v>A005</v>
          </cell>
          <cell r="M538" t="str">
            <v>U</v>
          </cell>
        </row>
        <row r="539">
          <cell r="A539">
            <v>26950</v>
          </cell>
          <cell r="B539" t="str">
            <v>5</v>
          </cell>
          <cell r="C539" t="str">
            <v>원형철근</v>
          </cell>
          <cell r="D539" t="str">
            <v>19M/M 6.310KG/M</v>
          </cell>
          <cell r="E539">
            <v>0.19600000000000001</v>
          </cell>
          <cell r="G539" t="str">
            <v>TON</v>
          </cell>
          <cell r="I539">
            <v>0</v>
          </cell>
          <cell r="K539" t="str">
            <v>IM00027</v>
          </cell>
          <cell r="L539" t="str">
            <v>A005</v>
          </cell>
          <cell r="M539" t="str">
            <v>U</v>
          </cell>
        </row>
        <row r="540">
          <cell r="A540">
            <v>27000</v>
          </cell>
          <cell r="B540" t="str">
            <v>5</v>
          </cell>
          <cell r="C540" t="str">
            <v>레미콘</v>
          </cell>
          <cell r="D540" t="str">
            <v>40-150-8</v>
          </cell>
          <cell r="E540">
            <v>979</v>
          </cell>
          <cell r="G540" t="str">
            <v>M3</v>
          </cell>
          <cell r="I540">
            <v>0</v>
          </cell>
          <cell r="K540" t="str">
            <v>IM00075</v>
          </cell>
          <cell r="L540" t="str">
            <v>A005</v>
          </cell>
          <cell r="M540" t="str">
            <v>U</v>
          </cell>
        </row>
        <row r="541">
          <cell r="A541">
            <v>27050</v>
          </cell>
          <cell r="B541" t="str">
            <v>5</v>
          </cell>
          <cell r="C541" t="str">
            <v>레미콘</v>
          </cell>
          <cell r="D541" t="str">
            <v>40-210-8</v>
          </cell>
          <cell r="E541">
            <v>300</v>
          </cell>
          <cell r="G541" t="str">
            <v>M3</v>
          </cell>
          <cell r="I541">
            <v>0</v>
          </cell>
          <cell r="K541" t="str">
            <v>IM00080</v>
          </cell>
          <cell r="L541" t="str">
            <v>A005</v>
          </cell>
          <cell r="M541" t="str">
            <v>U</v>
          </cell>
        </row>
        <row r="542">
          <cell r="A542">
            <v>27100</v>
          </cell>
          <cell r="B542" t="str">
            <v>5</v>
          </cell>
          <cell r="C542" t="str">
            <v>레미콘</v>
          </cell>
          <cell r="D542" t="str">
            <v>25-210-8</v>
          </cell>
          <cell r="E542">
            <v>204</v>
          </cell>
          <cell r="G542" t="str">
            <v>M3</v>
          </cell>
          <cell r="I542">
            <v>0</v>
          </cell>
          <cell r="K542" t="str">
            <v>IM00085</v>
          </cell>
          <cell r="L542" t="str">
            <v>A005</v>
          </cell>
          <cell r="M542" t="str">
            <v>U</v>
          </cell>
        </row>
        <row r="543">
          <cell r="A543">
            <v>27150</v>
          </cell>
          <cell r="B543" t="str">
            <v>5</v>
          </cell>
          <cell r="C543" t="str">
            <v>레미콘</v>
          </cell>
          <cell r="D543" t="str">
            <v>25-240-15</v>
          </cell>
          <cell r="E543">
            <v>2182</v>
          </cell>
          <cell r="G543" t="str">
            <v>M3</v>
          </cell>
          <cell r="I543">
            <v>0</v>
          </cell>
          <cell r="K543" t="str">
            <v>IM00090</v>
          </cell>
          <cell r="L543" t="str">
            <v>A005</v>
          </cell>
          <cell r="M543" t="str">
            <v>U</v>
          </cell>
        </row>
        <row r="544">
          <cell r="A544">
            <v>27200</v>
          </cell>
          <cell r="B544" t="str">
            <v>5</v>
          </cell>
          <cell r="C544" t="str">
            <v>SHEET PILE</v>
          </cell>
          <cell r="E544">
            <v>1793.41</v>
          </cell>
          <cell r="G544" t="str">
            <v>TON</v>
          </cell>
          <cell r="I544">
            <v>0</v>
          </cell>
          <cell r="K544" t="str">
            <v>IM00067</v>
          </cell>
          <cell r="L544" t="str">
            <v>A005</v>
          </cell>
          <cell r="M544" t="str">
            <v>U</v>
          </cell>
        </row>
        <row r="545">
          <cell r="A545">
            <v>27250</v>
          </cell>
          <cell r="B545" t="str">
            <v>5</v>
          </cell>
          <cell r="C545" t="str">
            <v>H-BEAM</v>
          </cell>
          <cell r="E545">
            <v>1168.42</v>
          </cell>
          <cell r="G545" t="str">
            <v>TON</v>
          </cell>
          <cell r="I545">
            <v>0</v>
          </cell>
          <cell r="K545" t="str">
            <v>IM00068</v>
          </cell>
          <cell r="L545" t="str">
            <v>A005</v>
          </cell>
          <cell r="M545" t="str">
            <v>U</v>
          </cell>
        </row>
        <row r="546">
          <cell r="A546">
            <v>27300</v>
          </cell>
          <cell r="B546" t="str">
            <v>5</v>
          </cell>
          <cell r="C546" t="str">
            <v>흄관</v>
          </cell>
          <cell r="D546" t="str">
            <v>D300MM</v>
          </cell>
          <cell r="E546">
            <v>5</v>
          </cell>
          <cell r="G546" t="str">
            <v>M</v>
          </cell>
          <cell r="I546">
            <v>0</v>
          </cell>
          <cell r="K546" t="str">
            <v>IM00125</v>
          </cell>
          <cell r="L546" t="str">
            <v>A005</v>
          </cell>
          <cell r="M546" t="str">
            <v>U</v>
          </cell>
        </row>
        <row r="547">
          <cell r="A547">
            <v>27350</v>
          </cell>
          <cell r="B547" t="str">
            <v>4</v>
          </cell>
          <cell r="C547" t="str">
            <v>12)골재대</v>
          </cell>
          <cell r="D547" t="str">
            <v>별산</v>
          </cell>
          <cell r="E547">
            <v>0</v>
          </cell>
          <cell r="I547">
            <v>0</v>
          </cell>
          <cell r="L547" t="str">
            <v>A005</v>
          </cell>
          <cell r="M547" t="str">
            <v>U</v>
          </cell>
        </row>
        <row r="548">
          <cell r="A548">
            <v>27400</v>
          </cell>
          <cell r="B548" t="str">
            <v>5</v>
          </cell>
          <cell r="C548" t="str">
            <v>모래</v>
          </cell>
          <cell r="D548" t="str">
            <v>강모래</v>
          </cell>
          <cell r="E548">
            <v>13580</v>
          </cell>
          <cell r="G548" t="str">
            <v>M3</v>
          </cell>
          <cell r="I548">
            <v>0</v>
          </cell>
          <cell r="K548" t="str">
            <v>IM00160</v>
          </cell>
          <cell r="L548" t="str">
            <v>A005</v>
          </cell>
          <cell r="M548" t="str">
            <v>U</v>
          </cell>
        </row>
        <row r="549">
          <cell r="A549">
            <v>27450</v>
          </cell>
          <cell r="B549" t="str">
            <v>5</v>
          </cell>
          <cell r="C549" t="str">
            <v>쇄석자갈</v>
          </cell>
          <cell r="D549" t="str">
            <v>Φ40</v>
          </cell>
          <cell r="E549">
            <v>85</v>
          </cell>
          <cell r="G549" t="str">
            <v>M3</v>
          </cell>
          <cell r="I549">
            <v>0</v>
          </cell>
          <cell r="K549" t="str">
            <v>IM00200</v>
          </cell>
          <cell r="L549" t="str">
            <v>A005</v>
          </cell>
          <cell r="M549" t="str">
            <v>U</v>
          </cell>
        </row>
        <row r="550">
          <cell r="A550">
            <v>27500</v>
          </cell>
          <cell r="B550" t="str">
            <v>5</v>
          </cell>
          <cell r="C550" t="str">
            <v>보조기층</v>
          </cell>
          <cell r="D550" t="str">
            <v>Φ40</v>
          </cell>
          <cell r="E550">
            <v>954</v>
          </cell>
          <cell r="G550" t="str">
            <v>M3</v>
          </cell>
          <cell r="I550">
            <v>0</v>
          </cell>
          <cell r="K550" t="str">
            <v>IM00180</v>
          </cell>
          <cell r="L550" t="str">
            <v>A005</v>
          </cell>
          <cell r="M550" t="str">
            <v>U</v>
          </cell>
        </row>
        <row r="551">
          <cell r="A551">
            <v>27550</v>
          </cell>
          <cell r="B551" t="str">
            <v>5</v>
          </cell>
          <cell r="C551" t="str">
            <v>보조기층</v>
          </cell>
          <cell r="D551" t="str">
            <v>Φ75</v>
          </cell>
          <cell r="E551">
            <v>864</v>
          </cell>
          <cell r="G551" t="str">
            <v>M3</v>
          </cell>
          <cell r="I551">
            <v>0</v>
          </cell>
          <cell r="K551" t="str">
            <v>IM00190</v>
          </cell>
          <cell r="L551" t="str">
            <v>A005</v>
          </cell>
          <cell r="M551" t="str">
            <v>U</v>
          </cell>
        </row>
        <row r="552">
          <cell r="A552">
            <v>27600</v>
          </cell>
          <cell r="B552" t="str">
            <v>3</v>
          </cell>
          <cell r="C552" t="str">
            <v>(바)조경공</v>
          </cell>
          <cell r="E552">
            <v>0</v>
          </cell>
          <cell r="I552">
            <v>0</v>
          </cell>
          <cell r="K552" t="str">
            <v>A006</v>
          </cell>
          <cell r="L552" t="str">
            <v>A0001</v>
          </cell>
          <cell r="M552" t="str">
            <v>U</v>
          </cell>
        </row>
        <row r="553">
          <cell r="A553">
            <v>27650</v>
          </cell>
          <cell r="B553" t="str">
            <v>4</v>
          </cell>
          <cell r="C553" t="str">
            <v>가시나무</v>
          </cell>
          <cell r="E553">
            <v>146</v>
          </cell>
          <cell r="G553" t="str">
            <v>주</v>
          </cell>
          <cell r="I553">
            <v>0</v>
          </cell>
          <cell r="K553" t="str">
            <v>IG00100</v>
          </cell>
          <cell r="L553" t="str">
            <v>A006</v>
          </cell>
          <cell r="M553" t="str">
            <v>U</v>
          </cell>
        </row>
        <row r="554">
          <cell r="A554">
            <v>27700</v>
          </cell>
          <cell r="B554" t="str">
            <v>4</v>
          </cell>
          <cell r="C554" t="str">
            <v>동백나무</v>
          </cell>
          <cell r="E554">
            <v>70</v>
          </cell>
          <cell r="G554" t="str">
            <v>주</v>
          </cell>
          <cell r="I554">
            <v>0</v>
          </cell>
          <cell r="K554" t="str">
            <v>IG00200</v>
          </cell>
          <cell r="L554" t="str">
            <v>A006</v>
          </cell>
          <cell r="M554" t="str">
            <v>U</v>
          </cell>
        </row>
        <row r="555">
          <cell r="A555">
            <v>27750</v>
          </cell>
          <cell r="B555" t="str">
            <v>4</v>
          </cell>
          <cell r="C555" t="str">
            <v>소나무(조형)</v>
          </cell>
          <cell r="E555">
            <v>5</v>
          </cell>
          <cell r="G555" t="str">
            <v>주당</v>
          </cell>
          <cell r="I555">
            <v>0</v>
          </cell>
          <cell r="K555" t="str">
            <v>IG00300</v>
          </cell>
          <cell r="L555" t="str">
            <v>A006</v>
          </cell>
          <cell r="M555" t="str">
            <v>U</v>
          </cell>
        </row>
        <row r="556">
          <cell r="A556">
            <v>27800</v>
          </cell>
          <cell r="B556" t="str">
            <v>4</v>
          </cell>
          <cell r="C556" t="str">
            <v>소나무(조형)</v>
          </cell>
          <cell r="E556">
            <v>9</v>
          </cell>
          <cell r="G556" t="str">
            <v>주당</v>
          </cell>
          <cell r="I556">
            <v>0</v>
          </cell>
          <cell r="K556" t="str">
            <v>IG00400</v>
          </cell>
          <cell r="L556" t="str">
            <v>A006</v>
          </cell>
          <cell r="M556" t="str">
            <v>U</v>
          </cell>
        </row>
        <row r="557">
          <cell r="A557">
            <v>27850</v>
          </cell>
          <cell r="B557" t="str">
            <v>4</v>
          </cell>
          <cell r="C557" t="str">
            <v>소나무(조형)</v>
          </cell>
          <cell r="E557">
            <v>14</v>
          </cell>
          <cell r="G557" t="str">
            <v>주당</v>
          </cell>
          <cell r="I557">
            <v>0</v>
          </cell>
          <cell r="K557" t="str">
            <v>IG00500</v>
          </cell>
          <cell r="L557" t="str">
            <v>A006</v>
          </cell>
          <cell r="M557" t="str">
            <v>U</v>
          </cell>
        </row>
        <row r="558">
          <cell r="A558">
            <v>27900</v>
          </cell>
          <cell r="B558" t="str">
            <v>4</v>
          </cell>
          <cell r="C558" t="str">
            <v>왕대</v>
          </cell>
          <cell r="E558">
            <v>3650</v>
          </cell>
          <cell r="G558" t="str">
            <v>주당</v>
          </cell>
          <cell r="I558">
            <v>0</v>
          </cell>
          <cell r="K558" t="str">
            <v>IG00600</v>
          </cell>
          <cell r="L558" t="str">
            <v>A006</v>
          </cell>
          <cell r="M558" t="str">
            <v>U</v>
          </cell>
        </row>
        <row r="559">
          <cell r="A559">
            <v>27950</v>
          </cell>
          <cell r="B559" t="str">
            <v>4</v>
          </cell>
          <cell r="C559" t="str">
            <v>후박나무</v>
          </cell>
          <cell r="E559">
            <v>48</v>
          </cell>
          <cell r="G559" t="str">
            <v>주당</v>
          </cell>
          <cell r="I559">
            <v>0</v>
          </cell>
          <cell r="K559" t="str">
            <v>IG00700</v>
          </cell>
          <cell r="L559" t="str">
            <v>A006</v>
          </cell>
          <cell r="M559" t="str">
            <v>U</v>
          </cell>
        </row>
        <row r="560">
          <cell r="A560">
            <v>28000</v>
          </cell>
          <cell r="B560" t="str">
            <v>4</v>
          </cell>
          <cell r="C560" t="str">
            <v>후박나무(가로수용)</v>
          </cell>
          <cell r="E560">
            <v>37</v>
          </cell>
          <cell r="G560" t="str">
            <v>주당</v>
          </cell>
          <cell r="I560">
            <v>0</v>
          </cell>
          <cell r="K560" t="str">
            <v>IG00800</v>
          </cell>
          <cell r="L560" t="str">
            <v>A006</v>
          </cell>
          <cell r="M560" t="str">
            <v>U</v>
          </cell>
        </row>
        <row r="561">
          <cell r="A561">
            <v>28050</v>
          </cell>
          <cell r="B561" t="str">
            <v>4</v>
          </cell>
          <cell r="C561" t="str">
            <v>모과나무</v>
          </cell>
          <cell r="E561">
            <v>3</v>
          </cell>
          <cell r="G561" t="str">
            <v>주당</v>
          </cell>
          <cell r="I561">
            <v>0</v>
          </cell>
          <cell r="K561" t="str">
            <v>IG00900</v>
          </cell>
          <cell r="L561" t="str">
            <v>A006</v>
          </cell>
          <cell r="M561" t="str">
            <v>U</v>
          </cell>
        </row>
        <row r="562">
          <cell r="A562">
            <v>28100</v>
          </cell>
          <cell r="B562" t="str">
            <v>4</v>
          </cell>
          <cell r="C562" t="str">
            <v>모과나무</v>
          </cell>
          <cell r="E562">
            <v>14</v>
          </cell>
          <cell r="G562" t="str">
            <v>주당</v>
          </cell>
          <cell r="I562">
            <v>0</v>
          </cell>
          <cell r="K562" t="str">
            <v>IG01000</v>
          </cell>
          <cell r="L562" t="str">
            <v>A006</v>
          </cell>
          <cell r="M562" t="str">
            <v>U</v>
          </cell>
        </row>
        <row r="563">
          <cell r="A563">
            <v>28150</v>
          </cell>
          <cell r="B563" t="str">
            <v>4</v>
          </cell>
          <cell r="C563" t="str">
            <v>매화나무</v>
          </cell>
          <cell r="E563">
            <v>43</v>
          </cell>
          <cell r="G563" t="str">
            <v>주당</v>
          </cell>
          <cell r="I563">
            <v>0</v>
          </cell>
          <cell r="K563" t="str">
            <v>IG01100</v>
          </cell>
          <cell r="L563" t="str">
            <v>A006</v>
          </cell>
          <cell r="M563" t="str">
            <v>U</v>
          </cell>
        </row>
        <row r="564">
          <cell r="A564">
            <v>28200</v>
          </cell>
          <cell r="B564" t="str">
            <v>4</v>
          </cell>
          <cell r="C564" t="str">
            <v>배롱나무</v>
          </cell>
          <cell r="E564">
            <v>12</v>
          </cell>
          <cell r="G564" t="str">
            <v>주당</v>
          </cell>
          <cell r="I564">
            <v>0</v>
          </cell>
          <cell r="K564" t="str">
            <v>IG01200</v>
          </cell>
          <cell r="L564" t="str">
            <v>A006</v>
          </cell>
          <cell r="M564" t="str">
            <v>U</v>
          </cell>
        </row>
        <row r="565">
          <cell r="A565">
            <v>28250</v>
          </cell>
          <cell r="B565" t="str">
            <v>4</v>
          </cell>
          <cell r="C565" t="str">
            <v>배롱나무</v>
          </cell>
          <cell r="E565">
            <v>11</v>
          </cell>
          <cell r="G565" t="str">
            <v>주당</v>
          </cell>
          <cell r="I565">
            <v>0</v>
          </cell>
          <cell r="K565" t="str">
            <v>IG01300</v>
          </cell>
          <cell r="L565" t="str">
            <v>A006</v>
          </cell>
          <cell r="M565" t="str">
            <v>U</v>
          </cell>
        </row>
        <row r="566">
          <cell r="A566">
            <v>28300</v>
          </cell>
          <cell r="B566" t="str">
            <v>4</v>
          </cell>
          <cell r="C566" t="str">
            <v>살구나무</v>
          </cell>
          <cell r="E566">
            <v>3</v>
          </cell>
          <cell r="G566" t="str">
            <v>주당</v>
          </cell>
          <cell r="I566">
            <v>0</v>
          </cell>
          <cell r="K566" t="str">
            <v>IG01400</v>
          </cell>
          <cell r="L566" t="str">
            <v>A006</v>
          </cell>
          <cell r="M566" t="str">
            <v>U</v>
          </cell>
        </row>
        <row r="567">
          <cell r="A567">
            <v>28350</v>
          </cell>
          <cell r="B567" t="str">
            <v>4</v>
          </cell>
          <cell r="C567" t="str">
            <v>살구나무</v>
          </cell>
          <cell r="E567">
            <v>39</v>
          </cell>
          <cell r="G567" t="str">
            <v>주당</v>
          </cell>
          <cell r="I567">
            <v>0</v>
          </cell>
          <cell r="K567" t="str">
            <v>IG01500</v>
          </cell>
          <cell r="L567" t="str">
            <v>A006</v>
          </cell>
          <cell r="M567" t="str">
            <v>U</v>
          </cell>
        </row>
        <row r="568">
          <cell r="A568">
            <v>28400</v>
          </cell>
          <cell r="B568" t="str">
            <v>4</v>
          </cell>
          <cell r="C568" t="str">
            <v>석류나무</v>
          </cell>
          <cell r="E568">
            <v>17</v>
          </cell>
          <cell r="G568" t="str">
            <v>주당</v>
          </cell>
          <cell r="I568">
            <v>0</v>
          </cell>
          <cell r="K568" t="str">
            <v>IG01600</v>
          </cell>
          <cell r="L568" t="str">
            <v>A006</v>
          </cell>
          <cell r="M568" t="str">
            <v>U</v>
          </cell>
        </row>
        <row r="569">
          <cell r="A569">
            <v>28450</v>
          </cell>
          <cell r="B569" t="str">
            <v>4</v>
          </cell>
          <cell r="C569" t="str">
            <v>왕벚나무</v>
          </cell>
          <cell r="E569">
            <v>91</v>
          </cell>
          <cell r="G569" t="str">
            <v>주당</v>
          </cell>
          <cell r="I569">
            <v>0</v>
          </cell>
          <cell r="K569" t="str">
            <v>IG01700</v>
          </cell>
          <cell r="L569" t="str">
            <v>A006</v>
          </cell>
          <cell r="M569" t="str">
            <v>U</v>
          </cell>
        </row>
        <row r="570">
          <cell r="A570">
            <v>28500</v>
          </cell>
          <cell r="B570" t="str">
            <v>4</v>
          </cell>
          <cell r="C570" t="str">
            <v>이팝나무</v>
          </cell>
          <cell r="E570">
            <v>51</v>
          </cell>
          <cell r="G570" t="str">
            <v>주당</v>
          </cell>
          <cell r="I570">
            <v>0</v>
          </cell>
          <cell r="K570" t="str">
            <v>IG01800</v>
          </cell>
          <cell r="L570" t="str">
            <v>A006</v>
          </cell>
          <cell r="M570" t="str">
            <v>U</v>
          </cell>
        </row>
        <row r="571">
          <cell r="A571">
            <v>28550</v>
          </cell>
          <cell r="B571" t="str">
            <v>4</v>
          </cell>
          <cell r="C571" t="str">
            <v>팽나무</v>
          </cell>
          <cell r="E571">
            <v>8</v>
          </cell>
          <cell r="G571" t="str">
            <v>주당</v>
          </cell>
          <cell r="I571">
            <v>0</v>
          </cell>
          <cell r="K571" t="str">
            <v>IG01900</v>
          </cell>
          <cell r="L571" t="str">
            <v>A006</v>
          </cell>
          <cell r="M571" t="str">
            <v>U</v>
          </cell>
        </row>
        <row r="572">
          <cell r="A572">
            <v>28600</v>
          </cell>
          <cell r="B572" t="str">
            <v>4</v>
          </cell>
          <cell r="C572" t="str">
            <v>호도나무</v>
          </cell>
          <cell r="E572">
            <v>82</v>
          </cell>
          <cell r="G572" t="str">
            <v>주당</v>
          </cell>
          <cell r="I572">
            <v>0</v>
          </cell>
          <cell r="K572" t="str">
            <v>IG02000</v>
          </cell>
          <cell r="L572" t="str">
            <v>A006</v>
          </cell>
          <cell r="M572" t="str">
            <v>U</v>
          </cell>
        </row>
        <row r="573">
          <cell r="A573">
            <v>28650</v>
          </cell>
          <cell r="B573" t="str">
            <v>4</v>
          </cell>
          <cell r="C573" t="str">
            <v>홍단풍</v>
          </cell>
          <cell r="E573">
            <v>14</v>
          </cell>
          <cell r="G573" t="str">
            <v>주당</v>
          </cell>
          <cell r="I573">
            <v>0</v>
          </cell>
          <cell r="K573" t="str">
            <v>IG02100</v>
          </cell>
          <cell r="L573" t="str">
            <v>A006</v>
          </cell>
          <cell r="M573" t="str">
            <v>U</v>
          </cell>
        </row>
        <row r="574">
          <cell r="A574">
            <v>28700</v>
          </cell>
          <cell r="B574" t="str">
            <v>4</v>
          </cell>
          <cell r="C574" t="str">
            <v>꽝꽝나무</v>
          </cell>
          <cell r="E574">
            <v>1200</v>
          </cell>
          <cell r="G574" t="str">
            <v>주당</v>
          </cell>
          <cell r="I574">
            <v>0</v>
          </cell>
          <cell r="K574" t="str">
            <v>IG02200</v>
          </cell>
          <cell r="L574" t="str">
            <v>A006</v>
          </cell>
          <cell r="M574" t="str">
            <v>U</v>
          </cell>
        </row>
        <row r="575">
          <cell r="A575">
            <v>28750</v>
          </cell>
          <cell r="B575" t="str">
            <v>4</v>
          </cell>
          <cell r="C575" t="str">
            <v>사철나무</v>
          </cell>
          <cell r="E575">
            <v>690</v>
          </cell>
          <cell r="G575" t="str">
            <v>주당</v>
          </cell>
          <cell r="I575">
            <v>0</v>
          </cell>
          <cell r="K575" t="str">
            <v>IG02300</v>
          </cell>
          <cell r="L575" t="str">
            <v>A006</v>
          </cell>
          <cell r="M575" t="str">
            <v>U</v>
          </cell>
        </row>
        <row r="576">
          <cell r="A576">
            <v>28800</v>
          </cell>
          <cell r="B576" t="str">
            <v>4</v>
          </cell>
          <cell r="C576" t="str">
            <v>옥향</v>
          </cell>
          <cell r="E576">
            <v>62</v>
          </cell>
          <cell r="G576" t="str">
            <v>주당</v>
          </cell>
          <cell r="I576">
            <v>0</v>
          </cell>
          <cell r="K576" t="str">
            <v>IG02400</v>
          </cell>
          <cell r="L576" t="str">
            <v>A006</v>
          </cell>
          <cell r="M576" t="str">
            <v>U</v>
          </cell>
        </row>
        <row r="577">
          <cell r="A577">
            <v>28850</v>
          </cell>
          <cell r="B577" t="str">
            <v>4</v>
          </cell>
          <cell r="C577" t="str">
            <v>팔손이나무</v>
          </cell>
          <cell r="E577">
            <v>230</v>
          </cell>
          <cell r="G577" t="str">
            <v>주당</v>
          </cell>
          <cell r="I577">
            <v>0</v>
          </cell>
          <cell r="K577" t="str">
            <v>IG02500</v>
          </cell>
          <cell r="L577" t="str">
            <v>A006</v>
          </cell>
          <cell r="M577" t="str">
            <v>U</v>
          </cell>
        </row>
        <row r="578">
          <cell r="A578">
            <v>28900</v>
          </cell>
          <cell r="B578" t="str">
            <v>4</v>
          </cell>
          <cell r="C578" t="str">
            <v>협죽도</v>
          </cell>
          <cell r="E578">
            <v>250</v>
          </cell>
          <cell r="G578" t="str">
            <v>주당</v>
          </cell>
          <cell r="I578">
            <v>0</v>
          </cell>
          <cell r="K578" t="str">
            <v>IG02600</v>
          </cell>
          <cell r="L578" t="str">
            <v>A006</v>
          </cell>
          <cell r="M578" t="str">
            <v>U</v>
          </cell>
        </row>
        <row r="579">
          <cell r="A579">
            <v>28950</v>
          </cell>
          <cell r="B579" t="str">
            <v>4</v>
          </cell>
          <cell r="C579" t="str">
            <v>영산홍</v>
          </cell>
          <cell r="E579">
            <v>1840</v>
          </cell>
          <cell r="G579" t="str">
            <v>주당</v>
          </cell>
          <cell r="I579">
            <v>0</v>
          </cell>
          <cell r="K579" t="str">
            <v>IG02700</v>
          </cell>
          <cell r="L579" t="str">
            <v>A006</v>
          </cell>
          <cell r="M579" t="str">
            <v>U</v>
          </cell>
        </row>
        <row r="580">
          <cell r="A580">
            <v>29000</v>
          </cell>
          <cell r="B580" t="str">
            <v>4</v>
          </cell>
          <cell r="C580" t="str">
            <v>자산홍</v>
          </cell>
          <cell r="E580">
            <v>2140</v>
          </cell>
          <cell r="G580" t="str">
            <v>주당</v>
          </cell>
          <cell r="I580">
            <v>0</v>
          </cell>
          <cell r="K580" t="str">
            <v>IG02800</v>
          </cell>
          <cell r="L580" t="str">
            <v>A006</v>
          </cell>
          <cell r="M580" t="str">
            <v>U</v>
          </cell>
        </row>
        <row r="581">
          <cell r="A581">
            <v>29050</v>
          </cell>
          <cell r="B581" t="str">
            <v>4</v>
          </cell>
          <cell r="C581" t="str">
            <v>치자나무</v>
          </cell>
          <cell r="E581">
            <v>810</v>
          </cell>
          <cell r="G581" t="str">
            <v>주당</v>
          </cell>
          <cell r="I581">
            <v>0</v>
          </cell>
          <cell r="K581" t="str">
            <v>IG02900</v>
          </cell>
          <cell r="L581" t="str">
            <v>A006</v>
          </cell>
          <cell r="M581" t="str">
            <v>U</v>
          </cell>
        </row>
        <row r="582">
          <cell r="A582">
            <v>29100</v>
          </cell>
          <cell r="B582" t="str">
            <v>4</v>
          </cell>
          <cell r="C582" t="str">
            <v>해당화</v>
          </cell>
          <cell r="E582">
            <v>1940</v>
          </cell>
          <cell r="G582" t="str">
            <v>주당</v>
          </cell>
          <cell r="I582">
            <v>0</v>
          </cell>
          <cell r="K582" t="str">
            <v>IG03000</v>
          </cell>
          <cell r="L582" t="str">
            <v>A006</v>
          </cell>
          <cell r="M582" t="str">
            <v>U</v>
          </cell>
        </row>
        <row r="583">
          <cell r="A583">
            <v>29150</v>
          </cell>
          <cell r="B583" t="str">
            <v>4</v>
          </cell>
          <cell r="C583" t="str">
            <v>황매화</v>
          </cell>
          <cell r="E583">
            <v>1480</v>
          </cell>
          <cell r="G583" t="str">
            <v>주당</v>
          </cell>
          <cell r="I583">
            <v>0</v>
          </cell>
          <cell r="K583" t="str">
            <v>IG03100</v>
          </cell>
          <cell r="L583" t="str">
            <v>A006</v>
          </cell>
          <cell r="M583" t="str">
            <v>U</v>
          </cell>
        </row>
        <row r="584">
          <cell r="A584">
            <v>29200</v>
          </cell>
          <cell r="B584" t="str">
            <v>4</v>
          </cell>
          <cell r="C584" t="str">
            <v>담쟁이덩쿨</v>
          </cell>
          <cell r="E584">
            <v>1600</v>
          </cell>
          <cell r="G584" t="str">
            <v>주당</v>
          </cell>
          <cell r="I584">
            <v>0</v>
          </cell>
          <cell r="K584" t="str">
            <v>IG03200</v>
          </cell>
          <cell r="L584" t="str">
            <v>A006</v>
          </cell>
          <cell r="M584" t="str">
            <v>U</v>
          </cell>
        </row>
        <row r="585">
          <cell r="A585">
            <v>29250</v>
          </cell>
          <cell r="B585" t="str">
            <v>4</v>
          </cell>
          <cell r="C585" t="str">
            <v>잔디</v>
          </cell>
          <cell r="E585">
            <v>39720</v>
          </cell>
          <cell r="G585" t="str">
            <v>M2</v>
          </cell>
          <cell r="I585">
            <v>0</v>
          </cell>
          <cell r="K585" t="str">
            <v>IG03300</v>
          </cell>
          <cell r="L585" t="str">
            <v>A006</v>
          </cell>
          <cell r="M585" t="str">
            <v>U</v>
          </cell>
        </row>
        <row r="586">
          <cell r="A586">
            <v>29300</v>
          </cell>
          <cell r="B586" t="str">
            <v>3</v>
          </cell>
          <cell r="C586" t="str">
            <v>(사)골재대</v>
          </cell>
          <cell r="E586">
            <v>0</v>
          </cell>
          <cell r="I586">
            <v>0</v>
          </cell>
          <cell r="K586" t="str">
            <v>A007</v>
          </cell>
          <cell r="L586" t="str">
            <v>A0001</v>
          </cell>
          <cell r="M586" t="str">
            <v>U</v>
          </cell>
        </row>
        <row r="587">
          <cell r="A587">
            <v>29350</v>
          </cell>
          <cell r="B587" t="str">
            <v>4</v>
          </cell>
          <cell r="C587" t="str">
            <v>모래(도착도)</v>
          </cell>
          <cell r="D587" t="str">
            <v>강모래</v>
          </cell>
          <cell r="E587">
            <v>63793</v>
          </cell>
          <cell r="G587" t="str">
            <v>M3</v>
          </cell>
          <cell r="I587">
            <v>0</v>
          </cell>
          <cell r="K587" t="str">
            <v>M00680</v>
          </cell>
          <cell r="L587" t="str">
            <v>A007</v>
          </cell>
          <cell r="M587" t="str">
            <v>U</v>
          </cell>
        </row>
        <row r="588">
          <cell r="A588">
            <v>29400</v>
          </cell>
          <cell r="B588" t="str">
            <v>4</v>
          </cell>
          <cell r="C588" t="str">
            <v>모래(도착도)</v>
          </cell>
          <cell r="D588" t="str">
            <v>세척사</v>
          </cell>
          <cell r="E588">
            <v>187687</v>
          </cell>
          <cell r="G588" t="str">
            <v>M3</v>
          </cell>
          <cell r="I588">
            <v>0</v>
          </cell>
          <cell r="K588" t="str">
            <v>M00690</v>
          </cell>
          <cell r="L588" t="str">
            <v>A007</v>
          </cell>
          <cell r="M588" t="str">
            <v>U</v>
          </cell>
        </row>
        <row r="589">
          <cell r="A589">
            <v>29450</v>
          </cell>
          <cell r="B589" t="str">
            <v>4</v>
          </cell>
          <cell r="C589" t="str">
            <v>쇄석자갈(현장도착도)</v>
          </cell>
          <cell r="D589" t="str">
            <v>40mm</v>
          </cell>
          <cell r="E589">
            <v>66726</v>
          </cell>
          <cell r="G589" t="str">
            <v>M3</v>
          </cell>
          <cell r="I589">
            <v>0</v>
          </cell>
          <cell r="K589" t="str">
            <v>M07290D9</v>
          </cell>
          <cell r="L589" t="str">
            <v>A007</v>
          </cell>
          <cell r="M589" t="str">
            <v>U</v>
          </cell>
        </row>
        <row r="590">
          <cell r="A590">
            <v>29500</v>
          </cell>
          <cell r="B590" t="str">
            <v>4</v>
          </cell>
          <cell r="C590" t="str">
            <v>보조기층재(현장도착도)</v>
          </cell>
          <cell r="D590" t="str">
            <v>D=40MM</v>
          </cell>
          <cell r="E590">
            <v>116074</v>
          </cell>
          <cell r="G590" t="str">
            <v>M3</v>
          </cell>
          <cell r="I590">
            <v>0</v>
          </cell>
          <cell r="K590" t="str">
            <v>M00740</v>
          </cell>
          <cell r="L590" t="str">
            <v>A007</v>
          </cell>
          <cell r="M590" t="str">
            <v>U</v>
          </cell>
        </row>
        <row r="591">
          <cell r="A591">
            <v>29550</v>
          </cell>
          <cell r="B591" t="str">
            <v>4</v>
          </cell>
          <cell r="C591" t="str">
            <v>보조기층재(현장도착도)</v>
          </cell>
          <cell r="D591" t="str">
            <v>D=75MM</v>
          </cell>
          <cell r="E591">
            <v>17875</v>
          </cell>
          <cell r="G591" t="str">
            <v>M3</v>
          </cell>
          <cell r="I591">
            <v>0</v>
          </cell>
          <cell r="K591" t="str">
            <v>M00741</v>
          </cell>
          <cell r="L591" t="str">
            <v>A007</v>
          </cell>
          <cell r="M591" t="str">
            <v>U</v>
          </cell>
        </row>
        <row r="592">
          <cell r="A592">
            <v>29600</v>
          </cell>
          <cell r="B592" t="str">
            <v>3</v>
          </cell>
          <cell r="C592" t="str">
            <v>(아)폐기물처리비</v>
          </cell>
          <cell r="E592">
            <v>0</v>
          </cell>
          <cell r="I592">
            <v>0</v>
          </cell>
          <cell r="K592" t="str">
            <v>A008</v>
          </cell>
          <cell r="L592" t="str">
            <v>A0001</v>
          </cell>
          <cell r="M592" t="str">
            <v>U</v>
          </cell>
        </row>
        <row r="593">
          <cell r="A593">
            <v>29650</v>
          </cell>
          <cell r="B593" t="str">
            <v>4</v>
          </cell>
          <cell r="C593" t="str">
            <v>폐콘크리트</v>
          </cell>
          <cell r="D593" t="str">
            <v>철근콘크리트</v>
          </cell>
          <cell r="E593">
            <v>13316</v>
          </cell>
          <cell r="G593" t="str">
            <v>M3</v>
          </cell>
          <cell r="I593">
            <v>0</v>
          </cell>
          <cell r="K593" t="str">
            <v>GS0310</v>
          </cell>
          <cell r="L593" t="str">
            <v>A008</v>
          </cell>
          <cell r="M593" t="str">
            <v>U</v>
          </cell>
        </row>
        <row r="594">
          <cell r="A594">
            <v>29700</v>
          </cell>
          <cell r="B594" t="str">
            <v>4</v>
          </cell>
          <cell r="C594" t="str">
            <v>폐아스콘</v>
          </cell>
          <cell r="E594">
            <v>8137</v>
          </cell>
          <cell r="G594" t="str">
            <v>M3</v>
          </cell>
          <cell r="I594">
            <v>0</v>
          </cell>
          <cell r="K594" t="str">
            <v>GS0320</v>
          </cell>
          <cell r="L594" t="str">
            <v>A008</v>
          </cell>
          <cell r="M594" t="str">
            <v>U</v>
          </cell>
        </row>
        <row r="595">
          <cell r="A595">
            <v>29750</v>
          </cell>
          <cell r="B595" t="str">
            <v>3</v>
          </cell>
          <cell r="C595" t="str">
            <v>(자)사급자재대</v>
          </cell>
          <cell r="E595">
            <v>0</v>
          </cell>
          <cell r="I595">
            <v>0</v>
          </cell>
          <cell r="K595" t="str">
            <v>A009</v>
          </cell>
          <cell r="L595" t="str">
            <v>A0001</v>
          </cell>
          <cell r="M595" t="str">
            <v>U</v>
          </cell>
        </row>
        <row r="596">
          <cell r="A596">
            <v>29800</v>
          </cell>
          <cell r="B596" t="str">
            <v>4</v>
          </cell>
          <cell r="C596" t="str">
            <v>시멘트</v>
          </cell>
          <cell r="D596" t="str">
            <v>BULK    (비포장품)</v>
          </cell>
          <cell r="E596">
            <v>31051</v>
          </cell>
          <cell r="G596" t="str">
            <v>TON</v>
          </cell>
          <cell r="I596">
            <v>0</v>
          </cell>
          <cell r="K596" t="str">
            <v>M0747006</v>
          </cell>
          <cell r="L596" t="str">
            <v>A009</v>
          </cell>
          <cell r="M596" t="str">
            <v>U</v>
          </cell>
        </row>
        <row r="597">
          <cell r="A597">
            <v>29850</v>
          </cell>
          <cell r="B597" t="str">
            <v>4</v>
          </cell>
          <cell r="C597" t="str">
            <v>보통시멘트</v>
          </cell>
          <cell r="D597" t="str">
            <v>40kg/대 (포장품)</v>
          </cell>
          <cell r="E597">
            <v>6149</v>
          </cell>
          <cell r="G597" t="str">
            <v>대</v>
          </cell>
          <cell r="I597">
            <v>0</v>
          </cell>
          <cell r="K597" t="str">
            <v>M0747074</v>
          </cell>
          <cell r="L597" t="str">
            <v>A009</v>
          </cell>
          <cell r="M597" t="str">
            <v>U</v>
          </cell>
        </row>
        <row r="598">
          <cell r="A598">
            <v>29900</v>
          </cell>
          <cell r="B598" t="str">
            <v>4</v>
          </cell>
          <cell r="C598" t="str">
            <v>레미콘</v>
          </cell>
          <cell r="D598" t="str">
            <v>40-150-8</v>
          </cell>
          <cell r="E598">
            <v>5023</v>
          </cell>
          <cell r="G598" t="str">
            <v>M3</v>
          </cell>
          <cell r="I598">
            <v>0</v>
          </cell>
          <cell r="K598" t="str">
            <v>M0768009</v>
          </cell>
          <cell r="L598" t="str">
            <v>A009</v>
          </cell>
          <cell r="M598" t="str">
            <v>U</v>
          </cell>
        </row>
        <row r="599">
          <cell r="A599">
            <v>29950</v>
          </cell>
          <cell r="B599" t="str">
            <v>4</v>
          </cell>
          <cell r="C599" t="str">
            <v>레미콘</v>
          </cell>
          <cell r="D599" t="str">
            <v>40-210-8</v>
          </cell>
          <cell r="E599">
            <v>1823</v>
          </cell>
          <cell r="G599" t="str">
            <v>M3</v>
          </cell>
          <cell r="I599">
            <v>0</v>
          </cell>
          <cell r="K599" t="str">
            <v>M0768051</v>
          </cell>
          <cell r="L599" t="str">
            <v>A009</v>
          </cell>
          <cell r="M599" t="str">
            <v>U</v>
          </cell>
        </row>
        <row r="600">
          <cell r="A600">
            <v>30000</v>
          </cell>
          <cell r="B600" t="str">
            <v>4</v>
          </cell>
          <cell r="C600" t="str">
            <v>레미콘</v>
          </cell>
          <cell r="D600" t="str">
            <v>25-210-8</v>
          </cell>
          <cell r="E600">
            <v>4557</v>
          </cell>
          <cell r="G600" t="str">
            <v>M3</v>
          </cell>
          <cell r="I600">
            <v>0</v>
          </cell>
          <cell r="K600" t="str">
            <v>M0765045</v>
          </cell>
          <cell r="L600" t="str">
            <v>A009</v>
          </cell>
          <cell r="M600" t="str">
            <v>U</v>
          </cell>
        </row>
        <row r="601">
          <cell r="A601">
            <v>30050</v>
          </cell>
          <cell r="B601" t="str">
            <v>4</v>
          </cell>
          <cell r="C601" t="str">
            <v>레미콘</v>
          </cell>
          <cell r="D601" t="str">
            <v>25-240-15</v>
          </cell>
          <cell r="E601">
            <v>18681</v>
          </cell>
          <cell r="G601" t="str">
            <v>M3</v>
          </cell>
          <cell r="I601">
            <v>0</v>
          </cell>
          <cell r="K601" t="str">
            <v>M0765066</v>
          </cell>
          <cell r="L601" t="str">
            <v>A009</v>
          </cell>
          <cell r="M601" t="str">
            <v>U</v>
          </cell>
        </row>
        <row r="602">
          <cell r="A602">
            <v>30100</v>
          </cell>
          <cell r="B602" t="str">
            <v>4</v>
          </cell>
          <cell r="C602" t="str">
            <v>투수성콘크리트</v>
          </cell>
          <cell r="D602" t="str">
            <v>13-180kg/㎠</v>
          </cell>
          <cell r="E602">
            <v>3884</v>
          </cell>
          <cell r="G602" t="str">
            <v>M3</v>
          </cell>
          <cell r="I602">
            <v>0</v>
          </cell>
          <cell r="K602" t="str">
            <v>M1173023</v>
          </cell>
          <cell r="L602" t="str">
            <v>A009</v>
          </cell>
          <cell r="M602" t="str">
            <v>U</v>
          </cell>
        </row>
        <row r="603">
          <cell r="A603">
            <v>30150</v>
          </cell>
          <cell r="B603" t="str">
            <v>4</v>
          </cell>
          <cell r="C603" t="str">
            <v>이형철근</v>
          </cell>
          <cell r="D603" t="str">
            <v>D10M/M   0.560KG/M  SD30A,30B</v>
          </cell>
          <cell r="E603">
            <v>0.90200000000000002</v>
          </cell>
          <cell r="G603" t="str">
            <v>TON</v>
          </cell>
          <cell r="I603">
            <v>0</v>
          </cell>
          <cell r="K603" t="str">
            <v>M0012003</v>
          </cell>
          <cell r="L603" t="str">
            <v>A009</v>
          </cell>
          <cell r="M603" t="str">
            <v>U</v>
          </cell>
        </row>
        <row r="604">
          <cell r="A604">
            <v>30200</v>
          </cell>
          <cell r="B604" t="str">
            <v>4</v>
          </cell>
          <cell r="C604" t="str">
            <v>이형철근</v>
          </cell>
          <cell r="D604" t="str">
            <v>D13M/M   0.995KG/M  SD30A,30B</v>
          </cell>
          <cell r="E604">
            <v>494.04899999999998</v>
          </cell>
          <cell r="G604" t="str">
            <v>TON</v>
          </cell>
          <cell r="I604">
            <v>0</v>
          </cell>
          <cell r="K604" t="str">
            <v>M0012006</v>
          </cell>
          <cell r="L604" t="str">
            <v>A009</v>
          </cell>
          <cell r="M604" t="str">
            <v>U</v>
          </cell>
        </row>
        <row r="605">
          <cell r="A605">
            <v>30250</v>
          </cell>
          <cell r="B605" t="str">
            <v>4</v>
          </cell>
          <cell r="C605" t="str">
            <v>이형철근</v>
          </cell>
          <cell r="D605" t="str">
            <v>D16M/M   1.560KG/M  SD30A,30B</v>
          </cell>
          <cell r="E605">
            <v>1320.704</v>
          </cell>
          <cell r="G605" t="str">
            <v>TON</v>
          </cell>
          <cell r="I605">
            <v>0</v>
          </cell>
          <cell r="K605" t="str">
            <v>M0012009</v>
          </cell>
          <cell r="L605" t="str">
            <v>A009</v>
          </cell>
          <cell r="M605" t="str">
            <v>U</v>
          </cell>
        </row>
        <row r="606">
          <cell r="A606">
            <v>30300</v>
          </cell>
          <cell r="B606" t="str">
            <v>4</v>
          </cell>
          <cell r="C606" t="str">
            <v>이형철근</v>
          </cell>
          <cell r="D606" t="str">
            <v>D19M/M   2.250KG/M  SD30A,30B</v>
          </cell>
          <cell r="E606">
            <v>124.706</v>
          </cell>
          <cell r="G606" t="str">
            <v>TON</v>
          </cell>
          <cell r="I606">
            <v>0</v>
          </cell>
          <cell r="K606" t="str">
            <v>M0012012</v>
          </cell>
          <cell r="L606" t="str">
            <v>A009</v>
          </cell>
          <cell r="M606" t="str">
            <v>U</v>
          </cell>
        </row>
        <row r="607">
          <cell r="A607">
            <v>30350</v>
          </cell>
          <cell r="B607" t="str">
            <v>4</v>
          </cell>
          <cell r="C607" t="str">
            <v>이형철근</v>
          </cell>
          <cell r="D607" t="str">
            <v>D22M/M   3.040KG/M  SD30A,30B</v>
          </cell>
          <cell r="E607">
            <v>1226.8409999999999</v>
          </cell>
          <cell r="G607" t="str">
            <v>TON</v>
          </cell>
          <cell r="I607">
            <v>0</v>
          </cell>
          <cell r="K607" t="str">
            <v>M0012015</v>
          </cell>
          <cell r="L607" t="str">
            <v>A009</v>
          </cell>
          <cell r="M607" t="str">
            <v>U</v>
          </cell>
        </row>
        <row r="608">
          <cell r="A608">
            <v>30400</v>
          </cell>
          <cell r="B608" t="str">
            <v>4</v>
          </cell>
          <cell r="C608" t="str">
            <v>이형철근</v>
          </cell>
          <cell r="D608" t="str">
            <v>D25M/M   3.980KG/M  SD30A,30B</v>
          </cell>
          <cell r="E608">
            <v>460.91399999999999</v>
          </cell>
          <cell r="G608" t="str">
            <v>TON</v>
          </cell>
          <cell r="I608">
            <v>0</v>
          </cell>
          <cell r="K608" t="str">
            <v>M0012018</v>
          </cell>
          <cell r="L608" t="str">
            <v>A009</v>
          </cell>
          <cell r="M608" t="str">
            <v>U</v>
          </cell>
        </row>
        <row r="609">
          <cell r="A609">
            <v>30450</v>
          </cell>
          <cell r="B609" t="str">
            <v>4</v>
          </cell>
          <cell r="C609" t="str">
            <v>이형철근</v>
          </cell>
          <cell r="D609" t="str">
            <v>D29M/M   5.040KG/M  SD30A,30B</v>
          </cell>
          <cell r="E609">
            <v>3.9390000000000001</v>
          </cell>
          <cell r="G609" t="str">
            <v>TON</v>
          </cell>
          <cell r="I609">
            <v>0</v>
          </cell>
          <cell r="K609" t="str">
            <v>M0012021</v>
          </cell>
          <cell r="L609" t="str">
            <v>A009</v>
          </cell>
          <cell r="M609" t="str">
            <v>U</v>
          </cell>
        </row>
        <row r="610">
          <cell r="A610">
            <v>30500</v>
          </cell>
          <cell r="B610" t="str">
            <v>4</v>
          </cell>
          <cell r="C610" t="str">
            <v>원형봉강</v>
          </cell>
          <cell r="D610" t="str">
            <v>12M/M    0.888KG/M  SS41</v>
          </cell>
          <cell r="E610">
            <v>17.454999999999998</v>
          </cell>
          <cell r="G610" t="str">
            <v>TON</v>
          </cell>
          <cell r="I610">
            <v>0</v>
          </cell>
          <cell r="K610" t="str">
            <v>M0003010</v>
          </cell>
          <cell r="L610" t="str">
            <v>A009</v>
          </cell>
          <cell r="M610" t="str">
            <v>U</v>
          </cell>
        </row>
        <row r="611">
          <cell r="A611">
            <v>30550</v>
          </cell>
          <cell r="B611" t="str">
            <v>4</v>
          </cell>
          <cell r="C611" t="str">
            <v>원형봉강</v>
          </cell>
          <cell r="D611" t="str">
            <v>22M/M    2.980KG/M  SS41</v>
          </cell>
          <cell r="E611">
            <v>0.60299999999999998</v>
          </cell>
          <cell r="G611" t="str">
            <v>TON</v>
          </cell>
          <cell r="I611">
            <v>0</v>
          </cell>
          <cell r="K611" t="str">
            <v>M0003022</v>
          </cell>
          <cell r="L611" t="str">
            <v>A009</v>
          </cell>
          <cell r="M611" t="str">
            <v>U</v>
          </cell>
        </row>
        <row r="612">
          <cell r="A612">
            <v>30600</v>
          </cell>
          <cell r="B612" t="str">
            <v>4</v>
          </cell>
          <cell r="C612" t="str">
            <v>원형봉강</v>
          </cell>
          <cell r="D612" t="str">
            <v>32M/M    6.310KG/M  SS41</v>
          </cell>
          <cell r="E612">
            <v>6.6319999999999997</v>
          </cell>
          <cell r="G612" t="str">
            <v>TON</v>
          </cell>
          <cell r="I612">
            <v>0</v>
          </cell>
          <cell r="K612" t="str">
            <v>M0003031</v>
          </cell>
          <cell r="L612" t="str">
            <v>A009</v>
          </cell>
          <cell r="M612" t="str">
            <v>U</v>
          </cell>
        </row>
        <row r="613">
          <cell r="A613">
            <v>30650</v>
          </cell>
          <cell r="B613" t="str">
            <v>4</v>
          </cell>
          <cell r="C613" t="str">
            <v>원형봉강</v>
          </cell>
          <cell r="D613" t="str">
            <v>38M/M    8.900KG/M  SS41</v>
          </cell>
          <cell r="E613">
            <v>24.507999999999999</v>
          </cell>
          <cell r="G613" t="str">
            <v>TON</v>
          </cell>
          <cell r="I613">
            <v>0</v>
          </cell>
          <cell r="K613" t="str">
            <v>M0003034</v>
          </cell>
          <cell r="L613" t="str">
            <v>A009</v>
          </cell>
          <cell r="M613" t="str">
            <v>U</v>
          </cell>
        </row>
        <row r="614">
          <cell r="A614">
            <v>30700</v>
          </cell>
          <cell r="B614" t="str">
            <v>4</v>
          </cell>
          <cell r="C614" t="str">
            <v>SHEET PILE 손료 (6개월미만)</v>
          </cell>
          <cell r="D614" t="str">
            <v>30%</v>
          </cell>
          <cell r="E614">
            <v>1793.2</v>
          </cell>
          <cell r="G614" t="str">
            <v>TON</v>
          </cell>
          <cell r="I614">
            <v>0</v>
          </cell>
          <cell r="K614" t="str">
            <v>J-91002</v>
          </cell>
          <cell r="L614" t="str">
            <v>A009</v>
          </cell>
          <cell r="M614" t="str">
            <v>U</v>
          </cell>
        </row>
        <row r="615">
          <cell r="A615">
            <v>30750</v>
          </cell>
          <cell r="B615" t="str">
            <v>4</v>
          </cell>
          <cell r="C615" t="str">
            <v>H-BEAM 손료 (6개월미만)</v>
          </cell>
          <cell r="D615" t="str">
            <v>H-300x300x10x15</v>
          </cell>
          <cell r="E615">
            <v>1168.23</v>
          </cell>
          <cell r="G615" t="str">
            <v>TON</v>
          </cell>
          <cell r="I615">
            <v>0</v>
          </cell>
          <cell r="K615" t="str">
            <v>J-92002</v>
          </cell>
          <cell r="L615" t="str">
            <v>A009</v>
          </cell>
          <cell r="M615" t="str">
            <v>U</v>
          </cell>
        </row>
        <row r="616">
          <cell r="A616">
            <v>30800</v>
          </cell>
          <cell r="B616" t="str">
            <v>4</v>
          </cell>
          <cell r="C616" t="str">
            <v>흄관</v>
          </cell>
          <cell r="D616" t="str">
            <v>300㎜</v>
          </cell>
          <cell r="E616">
            <v>5</v>
          </cell>
          <cell r="G616" t="str">
            <v>M</v>
          </cell>
          <cell r="I616">
            <v>0</v>
          </cell>
          <cell r="K616" t="str">
            <v>M1749009</v>
          </cell>
          <cell r="L616" t="str">
            <v>A009</v>
          </cell>
          <cell r="M616" t="str">
            <v>U</v>
          </cell>
        </row>
        <row r="617">
          <cell r="A617">
            <v>30850</v>
          </cell>
          <cell r="B617" t="str">
            <v>4</v>
          </cell>
          <cell r="C617" t="str">
            <v>흄관</v>
          </cell>
          <cell r="D617" t="str">
            <v>450㎜</v>
          </cell>
          <cell r="E617">
            <v>1034</v>
          </cell>
          <cell r="G617" t="str">
            <v>M</v>
          </cell>
          <cell r="I617">
            <v>0</v>
          </cell>
          <cell r="K617" t="str">
            <v>M1749018</v>
          </cell>
          <cell r="L617" t="str">
            <v>A009</v>
          </cell>
          <cell r="M617" t="str">
            <v>U</v>
          </cell>
        </row>
        <row r="618">
          <cell r="A618">
            <v>30900</v>
          </cell>
          <cell r="B618" t="str">
            <v>4</v>
          </cell>
          <cell r="C618" t="str">
            <v>흄관</v>
          </cell>
          <cell r="D618" t="str">
            <v>600㎜</v>
          </cell>
          <cell r="E618">
            <v>175</v>
          </cell>
          <cell r="G618" t="str">
            <v>M</v>
          </cell>
          <cell r="I618">
            <v>0</v>
          </cell>
          <cell r="K618" t="str">
            <v>M1749024</v>
          </cell>
          <cell r="L618" t="str">
            <v>A009</v>
          </cell>
          <cell r="M618" t="str">
            <v>U</v>
          </cell>
        </row>
        <row r="619">
          <cell r="A619">
            <v>30950</v>
          </cell>
          <cell r="B619" t="str">
            <v>4</v>
          </cell>
          <cell r="C619" t="str">
            <v>흄관</v>
          </cell>
          <cell r="D619" t="str">
            <v>800㎜</v>
          </cell>
          <cell r="E619">
            <v>317</v>
          </cell>
          <cell r="G619" t="str">
            <v>M</v>
          </cell>
          <cell r="I619">
            <v>0</v>
          </cell>
          <cell r="K619" t="str">
            <v>M1749030</v>
          </cell>
          <cell r="L619" t="str">
            <v>A009</v>
          </cell>
          <cell r="M619" t="str">
            <v>U</v>
          </cell>
        </row>
        <row r="620">
          <cell r="A620">
            <v>31000</v>
          </cell>
          <cell r="B620" t="str">
            <v>4</v>
          </cell>
          <cell r="C620" t="str">
            <v>흄관</v>
          </cell>
          <cell r="D620" t="str">
            <v>1000㎜</v>
          </cell>
          <cell r="E620">
            <v>28</v>
          </cell>
          <cell r="G620" t="str">
            <v>M</v>
          </cell>
          <cell r="I620">
            <v>0</v>
          </cell>
          <cell r="K620" t="str">
            <v>M1749036</v>
          </cell>
          <cell r="L620" t="str">
            <v>A009</v>
          </cell>
          <cell r="M620" t="str">
            <v>U</v>
          </cell>
        </row>
        <row r="621">
          <cell r="A621">
            <v>31050</v>
          </cell>
          <cell r="B621" t="str">
            <v>4</v>
          </cell>
          <cell r="C621" t="str">
            <v>흄관</v>
          </cell>
          <cell r="D621" t="str">
            <v>1200㎜</v>
          </cell>
          <cell r="E621">
            <v>332</v>
          </cell>
          <cell r="G621" t="str">
            <v>M</v>
          </cell>
          <cell r="I621">
            <v>0</v>
          </cell>
          <cell r="K621" t="str">
            <v>M1749042</v>
          </cell>
          <cell r="L621" t="str">
            <v>A009</v>
          </cell>
          <cell r="M621" t="str">
            <v>U</v>
          </cell>
        </row>
        <row r="622">
          <cell r="A622">
            <v>31100</v>
          </cell>
          <cell r="B622" t="str">
            <v>4</v>
          </cell>
          <cell r="C622" t="str">
            <v>아스팔트콘크리트</v>
          </cell>
          <cell r="D622" t="str">
            <v>#467 기층용(안정처리제)</v>
          </cell>
          <cell r="E622">
            <v>115467</v>
          </cell>
          <cell r="G622" t="str">
            <v>TON</v>
          </cell>
          <cell r="I622">
            <v>0</v>
          </cell>
          <cell r="K622" t="str">
            <v>M1158003</v>
          </cell>
          <cell r="L622" t="str">
            <v>A009</v>
          </cell>
          <cell r="M622" t="str">
            <v>U</v>
          </cell>
        </row>
        <row r="623">
          <cell r="A623">
            <v>31150</v>
          </cell>
          <cell r="B623" t="str">
            <v>4</v>
          </cell>
          <cell r="C623" t="str">
            <v>아스팔트콘크리트</v>
          </cell>
          <cell r="D623" t="str">
            <v>#78  표층용</v>
          </cell>
          <cell r="E623">
            <v>7245</v>
          </cell>
          <cell r="G623" t="str">
            <v>TON</v>
          </cell>
          <cell r="I623">
            <v>0</v>
          </cell>
          <cell r="K623" t="str">
            <v>M1155009</v>
          </cell>
          <cell r="L623" t="str">
            <v>A009</v>
          </cell>
          <cell r="M623" t="str">
            <v>U</v>
          </cell>
        </row>
        <row r="624">
          <cell r="A624">
            <v>31200</v>
          </cell>
          <cell r="B624" t="str">
            <v>4</v>
          </cell>
          <cell r="C624" t="str">
            <v>아스팔트(유제)</v>
          </cell>
          <cell r="D624" t="str">
            <v>RS(C)-3,4 P/K(200ℓ)</v>
          </cell>
          <cell r="E624">
            <v>1672</v>
          </cell>
          <cell r="G624" t="str">
            <v>D/R</v>
          </cell>
          <cell r="I624">
            <v>0</v>
          </cell>
          <cell r="K624" t="str">
            <v>M1152003</v>
          </cell>
          <cell r="L624" t="str">
            <v>A009</v>
          </cell>
          <cell r="M624" t="str">
            <v>U</v>
          </cell>
        </row>
        <row r="625">
          <cell r="A625">
            <v>31250</v>
          </cell>
          <cell r="B625" t="str">
            <v>0</v>
          </cell>
          <cell r="C625" t="str">
            <v>간 접 노 무 비</v>
          </cell>
          <cell r="E625">
            <v>1</v>
          </cell>
          <cell r="G625" t="str">
            <v>식</v>
          </cell>
          <cell r="I625">
            <v>0</v>
          </cell>
          <cell r="K625" t="str">
            <v>F          *</v>
          </cell>
          <cell r="M625" t="str">
            <v>U</v>
          </cell>
        </row>
        <row r="626">
          <cell r="A626">
            <v>31300</v>
          </cell>
          <cell r="B626" t="str">
            <v>0</v>
          </cell>
          <cell r="C626" t="str">
            <v>산 재 보 험 료</v>
          </cell>
          <cell r="E626">
            <v>1</v>
          </cell>
          <cell r="G626" t="str">
            <v>식</v>
          </cell>
          <cell r="I626">
            <v>0</v>
          </cell>
          <cell r="K626" t="str">
            <v>F          *</v>
          </cell>
          <cell r="M626" t="str">
            <v>U</v>
          </cell>
        </row>
        <row r="627">
          <cell r="A627">
            <v>31350</v>
          </cell>
          <cell r="B627" t="str">
            <v>0</v>
          </cell>
          <cell r="C627" t="str">
            <v>안 전 관 리 비</v>
          </cell>
          <cell r="E627">
            <v>1</v>
          </cell>
          <cell r="G627" t="str">
            <v>식</v>
          </cell>
          <cell r="I627">
            <v>0</v>
          </cell>
          <cell r="K627" t="str">
            <v>F          *</v>
          </cell>
          <cell r="M627" t="str">
            <v>U</v>
          </cell>
        </row>
        <row r="628">
          <cell r="A628">
            <v>31400</v>
          </cell>
          <cell r="B628" t="str">
            <v>0</v>
          </cell>
          <cell r="C628" t="str">
            <v>기  타  경  비</v>
          </cell>
          <cell r="E628">
            <v>1</v>
          </cell>
          <cell r="G628" t="str">
            <v>식</v>
          </cell>
          <cell r="I628">
            <v>0</v>
          </cell>
          <cell r="K628" t="str">
            <v>F          *</v>
          </cell>
          <cell r="M628" t="str">
            <v>U</v>
          </cell>
        </row>
        <row r="629">
          <cell r="A629">
            <v>31450</v>
          </cell>
          <cell r="B629" t="str">
            <v>0</v>
          </cell>
          <cell r="C629" t="str">
            <v>일 반 관 리 비</v>
          </cell>
          <cell r="E629">
            <v>1</v>
          </cell>
          <cell r="G629" t="str">
            <v>식</v>
          </cell>
          <cell r="I629">
            <v>0</v>
          </cell>
          <cell r="K629" t="str">
            <v>F          *</v>
          </cell>
          <cell r="M629" t="str">
            <v>U</v>
          </cell>
        </row>
        <row r="630">
          <cell r="A630">
            <v>31500</v>
          </cell>
          <cell r="B630" t="str">
            <v>0</v>
          </cell>
          <cell r="C630" t="str">
            <v>이          윤</v>
          </cell>
          <cell r="E630">
            <v>1</v>
          </cell>
          <cell r="G630" t="str">
            <v>식</v>
          </cell>
          <cell r="I630">
            <v>0</v>
          </cell>
          <cell r="K630" t="str">
            <v>F          *</v>
          </cell>
          <cell r="M630" t="str">
            <v>U</v>
          </cell>
        </row>
        <row r="631">
          <cell r="A631">
            <v>31550</v>
          </cell>
          <cell r="B631" t="str">
            <v>0</v>
          </cell>
          <cell r="C631" t="str">
            <v>부 가 가 치 세</v>
          </cell>
          <cell r="E631">
            <v>1</v>
          </cell>
          <cell r="G631" t="str">
            <v>식</v>
          </cell>
          <cell r="I631">
            <v>0</v>
          </cell>
          <cell r="K631" t="str">
            <v>F          *</v>
          </cell>
          <cell r="M631" t="str">
            <v>U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토공"/>
      <sheetName val="철콘"/>
      <sheetName val="성보g"/>
      <sheetName val="성보(토공)"/>
      <sheetName val="성보(철콘)"/>
      <sheetName val="각서"/>
      <sheetName val="하도급사항"/>
      <sheetName val="Sheet1"/>
      <sheetName val="Sheet2"/>
      <sheetName val="Sheet3"/>
      <sheetName val="B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BID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양수장내역"/>
      <sheetName val="양수장"/>
      <sheetName val="B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반공사"/>
      <sheetName val="별표1-1"/>
      <sheetName val="신인도"/>
      <sheetName val="별표1-2"/>
      <sheetName val="별표1-3"/>
      <sheetName val="별표1-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실행철강하도"/>
      <sheetName val="일반공사"/>
      <sheetName val="DATE"/>
      <sheetName val="수량산출"/>
      <sheetName val="이토변실(A3-LINE)"/>
      <sheetName val="우각부보강"/>
      <sheetName val="차액보증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-배수구조물공토공"/>
      <sheetName val="참고자료"/>
      <sheetName val="중산교"/>
      <sheetName val="#REF"/>
      <sheetName val="간지"/>
      <sheetName val="B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슬래브설계"/>
      <sheetName val="단면력도"/>
      <sheetName val="내진"/>
      <sheetName val="내진삽도"/>
      <sheetName val="단면가정"/>
      <sheetName val="균열검토"/>
      <sheetName val="Sheet2"/>
      <sheetName val="신축이음"/>
      <sheetName val="접속슬래브"/>
      <sheetName val="교좌면설계"/>
      <sheetName val="그림"/>
      <sheetName val="횡방향거더"/>
      <sheetName val="단면력정리"/>
      <sheetName val="교각계산"/>
      <sheetName val="일반공사"/>
      <sheetName val="INPUT"/>
      <sheetName val="기둥(원형)"/>
      <sheetName val="갑지"/>
      <sheetName val="ABUT수량-A1"/>
      <sheetName val="FOOTING단면력"/>
      <sheetName val="전력구구조물산근"/>
      <sheetName val="토사(PE)"/>
      <sheetName val="좌표단면SPRING"/>
      <sheetName val="노무비"/>
      <sheetName val="MOTOR"/>
      <sheetName val="ITEM"/>
      <sheetName val="노임"/>
      <sheetName val="JANGNAE2"/>
      <sheetName val="쌍송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원가계산"/>
      <sheetName val="1-내역"/>
      <sheetName val="착정개발"/>
      <sheetName val="1-이용시설내역"/>
      <sheetName val="소형장옥"/>
      <sheetName val="장옥"/>
      <sheetName val="전기공사 (2)"/>
      <sheetName val="모터펌프"/>
      <sheetName val="전기공사"/>
      <sheetName val="일위대가"/>
      <sheetName val="ㅌ"/>
      <sheetName val="ABUT수량-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구조물총"/>
      <sheetName val="BOX총"/>
      <sheetName val="BOX재료"/>
      <sheetName val="박스단위(1.5×1.0)본선"/>
      <sheetName val="날개단위(1.5×1.5)마을"/>
      <sheetName val="날개수량(1.5×1.5)2마을"/>
      <sheetName val="난간,지수단위"/>
      <sheetName val="난간,지수수량"/>
      <sheetName val="박스연장조서 "/>
      <sheetName val="우오수공집계"/>
      <sheetName val="우수받이집계"/>
      <sheetName val="우수받이단위"/>
      <sheetName val="우수받이위치조서"/>
      <sheetName val="오수관집계"/>
      <sheetName val="오수관연장조서"/>
      <sheetName val="Sheet1"/>
      <sheetName val="Sheet2"/>
      <sheetName val="Sheet3"/>
      <sheetName val="자재별집계"/>
      <sheetName val="총재료집계"/>
      <sheetName val="개거재료집계"/>
      <sheetName val="개거수량산출"/>
      <sheetName val="개거위치조서"/>
      <sheetName val="덮개재료집계"/>
      <sheetName val="덮개수량산출"/>
      <sheetName val="덮개위치조서"/>
      <sheetName val="토적계산"/>
      <sheetName val="폐기물산출"/>
      <sheetName val="깨기재료집계"/>
      <sheetName val="깨기수량산출"/>
      <sheetName val="깨기위치조서"/>
      <sheetName val="중보용수로취입수문재료표"/>
      <sheetName val="중보용수로취입수문"/>
      <sheetName val="중보용수로취입수깨기수량"/>
      <sheetName val="갑지"/>
      <sheetName val="내역표지"/>
      <sheetName val="원가(02발주)"/>
      <sheetName val="사급 관급"/>
      <sheetName val="관급자재 (2)"/>
      <sheetName val="사급자재"/>
      <sheetName val="관급자재"/>
      <sheetName val="원가(상우)"/>
      <sheetName val="상와우(변경)"/>
      <sheetName val="원가(상좌)"/>
      <sheetName val="상와좌(변경)"/>
      <sheetName val="원가(이전)"/>
      <sheetName val="이전(변경)"/>
      <sheetName val="원가(구하)"/>
      <sheetName val="구하(변경)"/>
      <sheetName val="원가(구상)"/>
      <sheetName val="구상(변경)"/>
      <sheetName val="비교"/>
      <sheetName val="MOTOR"/>
      <sheetName val="횡배위치"/>
      <sheetName val="노임단가"/>
      <sheetName val="적용단위길이"/>
      <sheetName val="지진시"/>
      <sheetName val="ABUT수량-A1"/>
      <sheetName val="U-TYPE(1)"/>
      <sheetName val="일위대가(가설)"/>
      <sheetName val="조도계산서 (도서)"/>
      <sheetName val="일반공사"/>
      <sheetName val="DATE"/>
      <sheetName val="1.설계조건"/>
      <sheetName val="내역서"/>
    </sheetNames>
    <definedNames>
      <definedName name="수식입력매크로"/>
      <definedName name="일위화면복귀매크로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본체"/>
      <sheetName val="단면력 집계표"/>
      <sheetName val="기초설계"/>
      <sheetName val="사용성검토"/>
      <sheetName val="우각부보강"/>
      <sheetName val="날개벽"/>
      <sheetName val="PARAPHET"/>
      <sheetName val="Sheet1"/>
      <sheetName val="균열검토"/>
      <sheetName val="동물이~1"/>
      <sheetName val="COPING"/>
      <sheetName val="쌍송교"/>
      <sheetName val="MFAB"/>
      <sheetName val="MFRT"/>
      <sheetName val="MPKG"/>
      <sheetName val="MPRD"/>
      <sheetName val="일반공사"/>
      <sheetName val="입력DATA"/>
      <sheetName val="바닥판"/>
      <sheetName val="1.설계조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우각부보강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토(벽체시점)"/>
      <sheetName val="토(벽체종점)"/>
      <sheetName val="가도공사"/>
      <sheetName val="토공(호안블럭)"/>
      <sheetName val="토공총괄집계"/>
      <sheetName val="수량산출서"/>
      <sheetName val="호안블럭"/>
      <sheetName val="수량집계표"/>
      <sheetName val="철근"/>
      <sheetName val="주요자재집계"/>
      <sheetName val="간지"/>
      <sheetName val="ABUT수량-A1"/>
      <sheetName val="실행철강하도"/>
      <sheetName val="Sheet1 (2)"/>
      <sheetName val="1SPAN"/>
      <sheetName val="우각부보강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중산교"/>
      <sheetName val="식재총괄"/>
      <sheetName val="터널조도"/>
      <sheetName val="ABUT수량_A1"/>
      <sheetName val="동원(3)"/>
      <sheetName val="4)유동표"/>
      <sheetName val="통합"/>
      <sheetName val="6PILE  (돌출)"/>
      <sheetName val="입찰안"/>
      <sheetName val="J형측구단위수량"/>
      <sheetName val="종배수관"/>
      <sheetName val="배수장토목공사비"/>
      <sheetName val="기본DATA"/>
      <sheetName val="ETC"/>
      <sheetName val="총괄내역서"/>
      <sheetName val="원형1호맨홀토공수량"/>
      <sheetName val="노임"/>
      <sheetName val="XXXXXX"/>
      <sheetName val="주요자재집계"/>
      <sheetName val="몰탈자재집계"/>
      <sheetName val="수량총괄집계"/>
      <sheetName val="철근총괄집계"/>
      <sheetName val="BOX수량집계"/>
      <sheetName val="BOX철근"/>
      <sheetName val="BOX수량"/>
      <sheetName val="출입문수량집계"/>
      <sheetName val="출입문철근"/>
      <sheetName val="출입문(A-A)수량"/>
      <sheetName val="출입문(B-B)수량"/>
      <sheetName val="출입문(C-C)수량 "/>
      <sheetName val="출입문(D-D)수량"/>
      <sheetName val="출입문마감부"/>
      <sheetName val="접속슬래브"/>
      <sheetName val="U-TYPE수량집계"/>
      <sheetName val="U-TYPE철근"/>
      <sheetName val="U-TYPE(334~360)"/>
      <sheetName val="U-TYPE(360~380)"/>
      <sheetName val="U-TYPE(380~400)"/>
      <sheetName val="U-TYPE(400~420)"/>
      <sheetName val="간지"/>
      <sheetName val="예정(3)"/>
      <sheetName val="일위"/>
      <sheetName val="Sheet1"/>
      <sheetName val="1.설계조건"/>
      <sheetName val="우각부보강"/>
      <sheetName val="NOMUBI"/>
      <sheetName val="sw1"/>
      <sheetName val="#REF"/>
      <sheetName val="실행철강하도"/>
      <sheetName val="가시설단위수량"/>
      <sheetName val="PIER수량m1"/>
      <sheetName val="신기1-LINE별연장"/>
      <sheetName val="tggwan(mac)"/>
      <sheetName val="수안보-MBR1"/>
      <sheetName val="산출근거"/>
      <sheetName val="설비"/>
      <sheetName val="1-1평균터파기고(1)"/>
      <sheetName val="우수"/>
      <sheetName val="Sheet1 (2)"/>
      <sheetName val="계산중"/>
      <sheetName val="횡배위치"/>
      <sheetName val="200"/>
      <sheetName val="원가"/>
      <sheetName val="단면치수"/>
      <sheetName val="직노"/>
      <sheetName val="INPUT"/>
      <sheetName val="COPING"/>
      <sheetName val="1SPAN"/>
      <sheetName val="설계"/>
      <sheetName val="청천내"/>
      <sheetName val="전신환매도율"/>
      <sheetName val="ASP포장"/>
      <sheetName val="자재단가"/>
      <sheetName val="토량산출서"/>
      <sheetName val="별표집계"/>
      <sheetName val="입출재고현황 (2)"/>
      <sheetName val="데리네이타현황"/>
      <sheetName val="지급자재"/>
      <sheetName val="DATE"/>
      <sheetName val="SG"/>
      <sheetName val="품셈TABLE"/>
      <sheetName val="옹벽철근"/>
      <sheetName val="단위수량(출력X)"/>
      <sheetName val="수량집계"/>
      <sheetName val="Sheet17"/>
      <sheetName val="ITEM"/>
      <sheetName val="수질정화시설"/>
      <sheetName val="EACT10"/>
      <sheetName val="말뚝지지력산정"/>
      <sheetName val="BID"/>
      <sheetName val="2000년1차"/>
      <sheetName val="기초계산(Pmax)"/>
      <sheetName val="L형옹벽단위수량(25)"/>
      <sheetName val="L형옹벽단위수량(35)"/>
      <sheetName val="제잡비.xls"/>
      <sheetName val="부하계산서"/>
      <sheetName val="J直材4"/>
      <sheetName val="JUCKEYK"/>
      <sheetName val="주형"/>
      <sheetName val="일위대가"/>
      <sheetName val="기존"/>
      <sheetName val="식생블럭단위수량"/>
      <sheetName val="터파기및재료"/>
      <sheetName val="자압"/>
      <sheetName val="공사내역"/>
      <sheetName val="3BL공동구 수량"/>
      <sheetName val="연결임시"/>
      <sheetName val="단면검토"/>
      <sheetName val="설계조건"/>
      <sheetName val="집계장(대목_실행)"/>
      <sheetName val="전계가"/>
      <sheetName val="횡배수관토공수량"/>
      <sheetName val="9GNG운반"/>
      <sheetName val="주beam"/>
      <sheetName val="단위중량"/>
      <sheetName val="이토변실(A3-LINE)"/>
      <sheetName val="1-1"/>
      <sheetName val="물가시세"/>
      <sheetName val="말뚝기초"/>
      <sheetName val="capbeam(1)"/>
      <sheetName val="단위수량"/>
      <sheetName val="노임단가"/>
      <sheetName val="眞비상(진주)"/>
      <sheetName val="교각1"/>
      <sheetName val="대치판정"/>
      <sheetName val="내역서"/>
      <sheetName val="노무비"/>
      <sheetName val="기둥(원형)"/>
      <sheetName val="제수"/>
      <sheetName val="4.구조물boq"/>
      <sheetName val="A-4"/>
      <sheetName val="위치조서"/>
      <sheetName val="적용단위길이"/>
      <sheetName val="MO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겊표지"/>
      <sheetName val="토공집계"/>
      <sheetName val="콘크리트집계"/>
      <sheetName val="철근집계"/>
      <sheetName val="ABUT수량-A1"/>
      <sheetName val="실행철강하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겊표지"/>
      <sheetName val="토공집계"/>
      <sheetName val="콘크리트집계"/>
      <sheetName val="철근집계"/>
      <sheetName val="laroux"/>
      <sheetName val="횡배수관 수량집계"/>
      <sheetName val="횡배수관 구체 수량집계"/>
      <sheetName val="흄관 구체단위수량"/>
      <sheetName val="횡배수관현황"/>
      <sheetName val="평균터파기고"/>
      <sheetName val="형식 - 1-2-3"/>
      <sheetName val="배수관토공T-1"/>
      <sheetName val="배수관토공T-2"/>
      <sheetName val="배수관토공T-3"/>
      <sheetName val="날개벽수량"/>
      <sheetName val="날개벽현황"/>
      <sheetName val="날개벽공제토"/>
      <sheetName val="종배수관공 수량집계"/>
      <sheetName val="종배수관 수량산출"/>
      <sheetName val="종배수관현황"/>
      <sheetName val="종배수관단위수량"/>
      <sheetName val="면벽수량산출"/>
      <sheetName val="면벽단위수량"/>
      <sheetName val="ABUT수량-A1"/>
      <sheetName val="소일위대가코드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1"/>
      <sheetName val="사업본부별"/>
      <sheetName val="9월(일별)"/>
      <sheetName val="9월(현장별)"/>
      <sheetName val="10월(일별)"/>
      <sheetName val="10월(현장별)"/>
      <sheetName val="11월(일별) "/>
      <sheetName val="11월(현장별)"/>
      <sheetName val="11월(어음결재)"/>
      <sheetName val="12월(일별) "/>
      <sheetName val="12월(현장별)"/>
      <sheetName val="12월(어음결재)"/>
      <sheetName val="shn"/>
      <sheetName val="상환스케쥴"/>
      <sheetName val="상환총괄"/>
      <sheetName val="양도자산부채"/>
      <sheetName val="지원사항1"/>
      <sheetName val="지원사항 2"/>
      <sheetName val="지원사항3"/>
      <sheetName val="연도별수주계획"/>
      <sheetName val="동종업계"/>
      <sheetName val="#REF"/>
      <sheetName val="List"/>
      <sheetName val="Field Change Notice"/>
      <sheetName val="waiver request"/>
      <sheetName val="ENWA(OUT)"/>
      <sheetName val="from KNPC"/>
      <sheetName val="HDEC Site Memo"/>
      <sheetName val="KNPC Site Memo"/>
      <sheetName val="from HDEC"/>
      <sheetName val="7.6.3.BOQ"/>
      <sheetName val="7.6.3(A) AG Piping"/>
      <sheetName val="7.6.3(B) UG Piping"/>
      <sheetName val="7.6.3(C) INSUL"/>
      <sheetName val="7.6.3(D) PAINT"/>
      <sheetName val="7.6.3(E) NDE"/>
      <sheetName val="7.6.3(F) Sup't"/>
      <sheetName val="7.6.3(G) CHEMICAL CL"/>
      <sheetName val="7.6.3(H) Steam"/>
      <sheetName val="DCN Status "/>
      <sheetName val="FCN Status"/>
      <sheetName val="packing cover"/>
      <sheetName val="packing list"/>
      <sheetName val="Invoice cover"/>
      <sheetName val="invoice"/>
      <sheetName val="Content"/>
      <sheetName val="7.5.1(A) Data"/>
      <sheetName val="7.5.1(B) BOQ Breakdown"/>
      <sheetName val="7.5.1(C) Scope"/>
      <sheetName val="7.5.1(D) Basis"/>
      <sheetName val="7.5.1(E) Allowance"/>
      <sheetName val="7.5.2 BOQ Summary"/>
      <sheetName val="7.5.3 BOQ"/>
      <sheetName val="A. Erec_BOQ(Shop)"/>
      <sheetName val="B. Erec_BOQ(Field)"/>
      <sheetName val="C. Surface_Protection"/>
      <sheetName val="A. Erec_BOQ(Shop) (2)"/>
      <sheetName val="B. Erec_BOQ(Field) (2)"/>
      <sheetName val="C. Surf_Protection"/>
      <sheetName val="Attachment #1"/>
      <sheetName val="Attachment #2"/>
      <sheetName val="301"/>
      <sheetName val="302 C1"/>
      <sheetName val="302 C2"/>
      <sheetName val="302"/>
      <sheetName val="SUPPLY (2)"/>
      <sheetName val="RETURN (2)"/>
      <sheetName val="SUPPLY"/>
      <sheetName val="RETURN"/>
      <sheetName val="303"/>
      <sheetName val="303 (2)"/>
      <sheetName val="304"/>
      <sheetName val="305"/>
      <sheetName val="306"/>
      <sheetName val="307"/>
      <sheetName val="308"/>
      <sheetName val="308 (2)"/>
      <sheetName val="309"/>
      <sheetName val="309 (2)"/>
      <sheetName val="예산서"/>
      <sheetName val="Sheet2"/>
      <sheetName val="ABUT수량-A1"/>
      <sheetName val="견적"/>
      <sheetName val="정부노임단가"/>
      <sheetName val="작성요약"/>
      <sheetName val="표지"/>
      <sheetName val="목차"/>
      <sheetName val="1.사업개요"/>
      <sheetName val="2.총괄표"/>
      <sheetName val="3.설계총괄(확정)"/>
      <sheetName val="3.전문외주(확정)"/>
      <sheetName val="3.설계총괄(정산)"/>
      <sheetName val="3.전문외주(정산)"/>
      <sheetName val="전문외주비 (Third Party)"/>
      <sheetName val="4.인력(확정)"/>
      <sheetName val="4.인력(조정)"/>
      <sheetName val="4.인력(정산)"/>
      <sheetName val="5.경비내역(확정)"/>
      <sheetName val="운영계획"/>
      <sheetName val="SOFTWARE"/>
      <sheetName val="5.현장경비(확정)"/>
      <sheetName val="5.경비내역(정산)"/>
      <sheetName val="5.현장경비(정산)"/>
      <sheetName val="7.자금수지"/>
      <sheetName val="(참고)제수당현황"/>
      <sheetName val="MH합계"/>
      <sheetName val="6.프로젝트"/>
      <sheetName val="6.PCM"/>
      <sheetName val="6.프로세스"/>
      <sheetName val="6.프로세스-1"/>
      <sheetName val="6.안전"/>
      <sheetName val="6.MR"/>
      <sheetName val="6.MS"/>
      <sheetName val="6.MT"/>
      <sheetName val="6.MM"/>
      <sheetName val="6.MY"/>
      <sheetName val="6.MH"/>
      <sheetName val="6.배관"/>
      <sheetName val="6.전기"/>
      <sheetName val="6.계장"/>
      <sheetName val="6.토목"/>
      <sheetName val="6.건축"/>
      <sheetName val="실행MH비교"/>
      <sheetName val="입찰MH비교"/>
      <sheetName val="규모비교"/>
      <sheetName val="내역서"/>
      <sheetName val="details"/>
      <sheetName val="WK16"/>
      <sheetName val="Bend_fact "/>
      <sheetName val="95년12월말"/>
      <sheetName val="total-mse제외"/>
      <sheetName val="P-PM"/>
      <sheetName val="P-품질"/>
      <sheetName val="P-토목"/>
      <sheetName val="P-건축"/>
      <sheetName val="P-기계"/>
      <sheetName val="P-원자력"/>
      <sheetName val="P-배관"/>
      <sheetName val="P-전기"/>
      <sheetName val="P-계장"/>
      <sheetName val="P-인허가"/>
      <sheetName val="P-공통"/>
      <sheetName val="P-SGN"/>
      <sheetName val="P-MSE"/>
      <sheetName val="현금"/>
      <sheetName val="D-3"/>
      <sheetName val="다이꾸"/>
      <sheetName val="노임"/>
      <sheetName val="BID"/>
      <sheetName val="#REF!"/>
      <sheetName val="견적 집계"/>
      <sheetName val="BOQ"/>
      <sheetName val="F-302"/>
      <sheetName val="수안보-MBR1"/>
      <sheetName val="회사99"/>
      <sheetName val="DOC"/>
      <sheetName val="공사비 내역 (가)"/>
      <sheetName val="상반기손익차2총괄"/>
      <sheetName val="설치공사"/>
      <sheetName val="일위대가목차"/>
      <sheetName val="전차선로 물량표"/>
      <sheetName val="한강운반비"/>
      <sheetName val="현장관리비"/>
      <sheetName val="도급양식"/>
      <sheetName val="예산"/>
      <sheetName val="실행내역"/>
      <sheetName val="하조서"/>
      <sheetName val="전기내역서(총계)"/>
      <sheetName val="공통(20-91)"/>
      <sheetName val="조도계산서 (도서)"/>
      <sheetName val="화재 탐지 설비"/>
      <sheetName val="PROCESS"/>
      <sheetName val="Sheet1"/>
      <sheetName val="공사비PK5월"/>
      <sheetName val="h-013211-2"/>
      <sheetName val="현황CODE"/>
      <sheetName val="손익현황"/>
      <sheetName val="부대공내역서적용수량"/>
      <sheetName val="부대공(집계)"/>
      <sheetName val="낙석방지책"/>
      <sheetName val="난간"/>
      <sheetName val="교통안내표지판"/>
      <sheetName val="교통표지판기초"/>
      <sheetName val="교통표지판기초단위"/>
      <sheetName val="조경공사"/>
      <sheetName val="사급자재"/>
      <sheetName val="Sheet1 (2)"/>
      <sheetName val="교각계산"/>
      <sheetName val="가도공"/>
      <sheetName val="단가비교표"/>
      <sheetName val="동원(3)"/>
      <sheetName val="예정(3)"/>
      <sheetName val="설계조건"/>
      <sheetName val="기둥(원형)"/>
      <sheetName val="CALCULATION"/>
      <sheetName val="산근"/>
      <sheetName val="工완성공사율"/>
      <sheetName val="SKETCH"/>
      <sheetName val="LOADS"/>
      <sheetName val="직원동원SCH"/>
      <sheetName val="IN"/>
      <sheetName val="간접비총괄 (2)"/>
      <sheetName val="노무비"/>
      <sheetName val="Total"/>
      <sheetName val="COVER"/>
      <sheetName val="summary"/>
      <sheetName val="Sum-Equipment"/>
      <sheetName val="Sum-Piping"/>
      <sheetName val="1-1"/>
      <sheetName val="1-2"/>
      <sheetName val="1-3"/>
      <sheetName val="2-1"/>
      <sheetName val="2-2"/>
      <sheetName val="2-3"/>
      <sheetName val="Dir-Manpower"/>
      <sheetName val="Indir-Manpower"/>
      <sheetName val="Equip-Sch"/>
      <sheetName val="Elec. Power"/>
      <sheetName val="품셈집계"/>
      <sheetName val="97 사업추정(WEKI)"/>
      <sheetName val="기준액"/>
      <sheetName val="10한빛"/>
      <sheetName val="설계흐름도"/>
      <sheetName val="6PILE  (돌출)"/>
      <sheetName val="과천MAIN"/>
      <sheetName val="(10.bis OGB_hours ratio)"/>
      <sheetName val="Base_Data"/>
      <sheetName val="JUCK"/>
      <sheetName val="개비온집계"/>
      <sheetName val="개비온 단위"/>
      <sheetName val="동결보온"/>
      <sheetName val="OD5000"/>
      <sheetName val="실행자재"/>
      <sheetName val="Sheet5"/>
      <sheetName val="법인6-2(11)호(을)"/>
      <sheetName val="당좌차월"/>
      <sheetName val="실행철강하도"/>
      <sheetName val="TOEC"/>
      <sheetName val="Piping Cost"/>
      <sheetName val="PipWT"/>
      <sheetName val="필리핀"/>
      <sheetName val="4002"/>
      <sheetName val="DCS"/>
      <sheetName val="ANALYSER"/>
      <sheetName val="FORMULA"/>
      <sheetName val="설비"/>
      <sheetName val="釤.전기"/>
      <sheetName val="FWBS7000,8000"/>
      <sheetName val="CABLE"/>
      <sheetName val="자압1"/>
      <sheetName val="Euro-conversion"/>
      <sheetName val="out_prog"/>
      <sheetName val="선적schedule (2)"/>
      <sheetName val="2008년"/>
      <sheetName val="T6-6(2)"/>
      <sheetName val="일보"/>
      <sheetName val="청산공사"/>
      <sheetName val="CW Piping Work"/>
      <sheetName val="종배수관"/>
      <sheetName val="Basis"/>
      <sheetName val="인원계획"/>
      <sheetName val="piping"/>
      <sheetName val="Mtl Summary"/>
      <sheetName val="철수현황"/>
      <sheetName val="본부고정이하현황(월말)"/>
      <sheetName val="정리별분류"/>
      <sheetName val="증감내역"/>
      <sheetName val="FX Exposure_Nov00"/>
      <sheetName val="USdebt"/>
      <sheetName val="debtmonth"/>
      <sheetName val="purchasing"/>
      <sheetName val="Exposure0007"/>
      <sheetName val="FX Exposure0011_BOD"/>
      <sheetName val="FX Exposure_Apr2001"/>
      <sheetName val="부표목록"/>
      <sheetName val="추정PL"/>
      <sheetName val="매출액(내수)"/>
      <sheetName val="시장현황"/>
      <sheetName val="매출원가"/>
      <sheetName val="원재료비(내수)"/>
      <sheetName val="과거매출액대비구성비"/>
      <sheetName val="판관비"/>
      <sheetName val="인건비"/>
      <sheetName val="영업외"/>
      <sheetName val="지급이자"/>
      <sheetName val="감가상각"/>
      <sheetName val="유보금"/>
      <sheetName val="제세산출"/>
      <sheetName val="운전자금"/>
      <sheetName val="1회전자금(참고)"/>
      <sheetName val="1회전기간(참고)"/>
      <sheetName val="현금수지예상표"/>
      <sheetName val="영업후조성자금"/>
      <sheetName val="118.세금과공과"/>
      <sheetName val="Hoja3"/>
      <sheetName val="Hoja2"/>
      <sheetName val="주사무실종합"/>
      <sheetName val="07"/>
      <sheetName val="07월"/>
      <sheetName val="07월분"/>
      <sheetName val="5월 회원사 배분 명세서(2)"/>
      <sheetName val="어음청구서"/>
      <sheetName val="예비비청구서"/>
      <sheetName val="Tipo Terzi"/>
      <sheetName val="Salary"/>
      <sheetName val="eq_data"/>
      <sheetName val="ITstk"/>
      <sheetName val="Steam-Sys"/>
      <sheetName val="PumpSpec"/>
      <sheetName val="터널조도"/>
      <sheetName val="투찰"/>
      <sheetName val="DATE"/>
      <sheetName val="가설건물"/>
      <sheetName val="진주방향"/>
      <sheetName val="眞비상(진주)"/>
      <sheetName val="TYPE-A"/>
      <sheetName val="쌍송교"/>
      <sheetName val="1.설계조건"/>
      <sheetName val="유기공정"/>
      <sheetName val="우각부보강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/>
      <sheetData sheetId="298"/>
      <sheetData sheetId="299"/>
      <sheetData sheetId="300"/>
      <sheetData sheetId="301"/>
      <sheetData sheetId="302"/>
      <sheetData sheetId="303" refreshError="1"/>
      <sheetData sheetId="304" refreshError="1"/>
      <sheetData sheetId="305" refreshError="1"/>
      <sheetData sheetId="306"/>
      <sheetData sheetId="307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축공사"/>
      <sheetName val="현입"/>
      <sheetName val="총괄표"/>
      <sheetName val="갑지"/>
      <sheetName val="개착"/>
      <sheetName val="터널"/>
      <sheetName val="내역표지"/>
      <sheetName val="도급표지 "/>
      <sheetName val="부대표지"/>
      <sheetName val="도급표지  (4)"/>
      <sheetName val="부대표지 (4)"/>
      <sheetName val="도급표지  (3)"/>
      <sheetName val="부대표지 (3)"/>
      <sheetName val="도급표지  (2)"/>
      <sheetName val="부대표지 (2)"/>
      <sheetName val="세로"/>
      <sheetName val="토  목"/>
      <sheetName val="조  경"/>
      <sheetName val="전 기"/>
      <sheetName val="건  축"/>
      <sheetName val="건축설비"/>
      <sheetName val="기계"/>
      <sheetName val="제어계측"/>
      <sheetName val="Sheet2"/>
      <sheetName val="Sheet3"/>
      <sheetName val="Sheet4"/>
      <sheetName val="Sheet5"/>
      <sheetName val="Sheet6"/>
      <sheetName val="Sheet16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운반거리"/>
      <sheetName val="Sheet3 (10)"/>
      <sheetName val="Sheet3 (15)"/>
      <sheetName val="Sheet3 (16)"/>
      <sheetName val="Sheet3 (21)"/>
      <sheetName val="Sheet3 (17)"/>
      <sheetName val="Sheet3 (18)"/>
      <sheetName val="Sheet3 (14)"/>
      <sheetName val="Sheet3 (12)"/>
      <sheetName val="Sheet3 (24)"/>
      <sheetName val="Sheet3 (9)"/>
      <sheetName val="Sheet3 (13)"/>
      <sheetName val="Sheet2 (5)"/>
      <sheetName val="Sheet2 (7)"/>
      <sheetName val="Sheet2 (6)"/>
      <sheetName val="변경사유서"/>
      <sheetName val="민원"/>
      <sheetName val="Sheet2"/>
      <sheetName val="Sheet3 (2)"/>
      <sheetName val="Sheet3 (20)"/>
      <sheetName val="경사"/>
      <sheetName val="경사 (2)"/>
      <sheetName val="경사 7.5"/>
      <sheetName val="경사 8.3"/>
      <sheetName val="경사 9.5"/>
      <sheetName val="경사 10.7"/>
      <sheetName val="경사 10.25"/>
      <sheetName val="경사 11.11"/>
      <sheetName val="경사 (3)"/>
      <sheetName val="계측"/>
      <sheetName val="터널개요"/>
      <sheetName val="보고자료"/>
      <sheetName val="보고자료 (2)"/>
      <sheetName val="골재"/>
      <sheetName val="터널공정현황"/>
      <sheetName val="공사현황"/>
      <sheetName val="골재원"/>
      <sheetName val="토공현황"/>
      <sheetName val="품질관리"/>
      <sheetName val="품질관리 (2)"/>
      <sheetName val="Sheet3 (8)"/>
      <sheetName val="Sheet3 (7)"/>
      <sheetName val="Sheet3 (6)"/>
      <sheetName val="Sheet1 (2)"/>
      <sheetName val="Sheet3"/>
      <sheetName val="증감"/>
      <sheetName val="Sheet1 (4)"/>
      <sheetName val="Sheet3 (19)"/>
      <sheetName val="Sheet3 (22)"/>
      <sheetName val="Sheet3 (23)"/>
      <sheetName val="Sheet3 (11)"/>
      <sheetName val="민원 (2)"/>
      <sheetName val="Sheet1 (3)"/>
      <sheetName val="Sheet2 (2)"/>
      <sheetName val="경사락총괄"/>
      <sheetName val="Sheet3 (3)"/>
      <sheetName val="4차"/>
      <sheetName val="Sheet2 (3)"/>
      <sheetName val="Sheet2 (4)"/>
      <sheetName val="증감 (3)"/>
      <sheetName val="증감 (2)"/>
      <sheetName val="증감 (4)"/>
      <sheetName val="Sheet2 (8)"/>
      <sheetName val="총사업비"/>
      <sheetName val="계측 (2)"/>
      <sheetName val="계측 (3)"/>
      <sheetName val="계측 (4)"/>
      <sheetName val="계측 (5)"/>
      <sheetName val="경사 (계)"/>
      <sheetName val="#REF"/>
      <sheetName val="일위대가"/>
      <sheetName val="목록표"/>
      <sheetName val="건축공사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 refreshError="1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건축공사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INPUT"/>
      <sheetName val="실행철강하도"/>
      <sheetName val="건축공사"/>
      <sheetName val="옹벽공"/>
      <sheetName val="3.바닥판설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상부"/>
      <sheetName val="단면력"/>
      <sheetName val="사용성검토"/>
      <sheetName val="신축이음"/>
      <sheetName val="내진"/>
      <sheetName val="내진삽도"/>
      <sheetName val="교각계산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토PIER수량-1"/>
      <sheetName val="토PIER수량-2"/>
      <sheetName val="보호블럭"/>
      <sheetName val="옹벽일"/>
      <sheetName val="옹벽토"/>
      <sheetName val="Sheet6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토옹벽"/>
      <sheetName val="가시설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포장면적산출"/>
      <sheetName val="포장공"/>
      <sheetName val="원가계산서"/>
      <sheetName val="데이타"/>
      <sheetName val="기둥(원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토ABUT수량-1"/>
      <sheetName val="토ABUT수량-2"/>
      <sheetName val="토PIER수량-1"/>
      <sheetName val="토PIER수량-2"/>
      <sheetName val="토PIER수량-3"/>
      <sheetName val="슬래브단면도"/>
      <sheetName val="SLAB수량(46.0)"/>
      <sheetName val="ABUT수량-A1"/>
      <sheetName val="ABUT수량-A2"/>
      <sheetName val="PIER수량-1"/>
      <sheetName val="PIER수량-2"/>
      <sheetName val="PIER수량-3"/>
      <sheetName val="가도공사"/>
      <sheetName val="수량총괄"/>
      <sheetName val="슬래브"/>
      <sheetName val="교대"/>
      <sheetName val="교각"/>
      <sheetName val="옹벽"/>
      <sheetName val="철근"/>
      <sheetName val="토공총괄"/>
      <sheetName val="토교대"/>
      <sheetName val="토교각"/>
      <sheetName val="주요자재집계"/>
      <sheetName val="몰탈자재집계"/>
      <sheetName val="간지"/>
      <sheetName val="수량산출"/>
      <sheetName val="노임단가"/>
      <sheetName val="3BL공동구 수량"/>
      <sheetName val="SG"/>
      <sheetName val="위치조서"/>
      <sheetName val="DAT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고"/>
      <sheetName val="BID"/>
      <sheetName val="내역서"/>
      <sheetName val="실행철강하도"/>
    </sheetNames>
    <sheetDataSet>
      <sheetData sheetId="0" refreshError="1"/>
      <sheetData sheetId="1">
        <row r="1">
          <cell r="A1" t="str">
            <v>BDCODE</v>
          </cell>
          <cell r="B1" t="str">
            <v>QTY</v>
          </cell>
          <cell r="C1" t="str">
            <v>ITNUM</v>
          </cell>
          <cell r="D1" t="str">
            <v>SORTCODE</v>
          </cell>
          <cell r="E1" t="str">
            <v>F_DESC</v>
          </cell>
          <cell r="F1" t="str">
            <v>F_SIZE</v>
          </cell>
          <cell r="G1" t="str">
            <v>F_UNIT</v>
          </cell>
          <cell r="H1" t="str">
            <v>T_UPRICE</v>
          </cell>
          <cell r="I1" t="str">
            <v>T_AMOUNT</v>
          </cell>
        </row>
        <row r="2">
          <cell r="A2" t="str">
            <v>T5</v>
          </cell>
          <cell r="B2">
            <v>2073</v>
          </cell>
          <cell r="C2" t="str">
            <v>I</v>
          </cell>
          <cell r="D2">
            <v>1184</v>
          </cell>
          <cell r="E2" t="str">
            <v>직 접 공 사 비</v>
          </cell>
          <cell r="I2">
            <v>3097715144</v>
          </cell>
        </row>
        <row r="3">
          <cell r="A3" t="str">
            <v>T4</v>
          </cell>
          <cell r="B3">
            <v>87</v>
          </cell>
          <cell r="C3" t="str">
            <v>1.</v>
          </cell>
          <cell r="D3">
            <v>2368</v>
          </cell>
          <cell r="E3" t="str">
            <v>토          공</v>
          </cell>
          <cell r="I3">
            <v>0</v>
          </cell>
        </row>
        <row r="4">
          <cell r="A4" t="str">
            <v>T2</v>
          </cell>
          <cell r="B4">
            <v>21</v>
          </cell>
          <cell r="C4" t="str">
            <v>1.01</v>
          </cell>
          <cell r="D4">
            <v>3104</v>
          </cell>
          <cell r="E4" t="str">
            <v>기존구조물철거공</v>
          </cell>
          <cell r="I4">
            <v>0</v>
          </cell>
        </row>
        <row r="5">
          <cell r="A5" t="str">
            <v>T1</v>
          </cell>
          <cell r="B5">
            <v>7</v>
          </cell>
          <cell r="C5" t="str">
            <v>a</v>
          </cell>
          <cell r="D5">
            <v>3228</v>
          </cell>
          <cell r="E5" t="str">
            <v>무근콘크리트깨기</v>
          </cell>
          <cell r="I5">
            <v>0</v>
          </cell>
        </row>
        <row r="6">
          <cell r="A6" t="str">
            <v>D00003</v>
          </cell>
          <cell r="B6">
            <v>68</v>
          </cell>
          <cell r="C6" t="str">
            <v>-1</v>
          </cell>
          <cell r="D6">
            <v>3600</v>
          </cell>
          <cell r="E6" t="str">
            <v>무근콘크리트깨기</v>
          </cell>
          <cell r="F6" t="str">
            <v>(30 Cm 이상)</v>
          </cell>
          <cell r="G6" t="str">
            <v>㎥</v>
          </cell>
          <cell r="I6">
            <v>0</v>
          </cell>
        </row>
        <row r="7">
          <cell r="A7" t="str">
            <v>D00002</v>
          </cell>
          <cell r="B7">
            <v>405</v>
          </cell>
          <cell r="C7" t="str">
            <v>-2</v>
          </cell>
          <cell r="D7">
            <v>3728</v>
          </cell>
          <cell r="E7" t="str">
            <v>무근콘크리트깨기</v>
          </cell>
          <cell r="F7" t="str">
            <v>(30 Cm 미만)</v>
          </cell>
          <cell r="G7" t="str">
            <v>㎥</v>
          </cell>
          <cell r="I7">
            <v>0</v>
          </cell>
        </row>
        <row r="8">
          <cell r="A8" t="str">
            <v>E1</v>
          </cell>
          <cell r="B8">
            <v>0</v>
          </cell>
          <cell r="C8" t="str">
            <v>소계</v>
          </cell>
          <cell r="D8">
            <v>3912</v>
          </cell>
          <cell r="I8">
            <v>0</v>
          </cell>
        </row>
        <row r="9">
          <cell r="A9" t="str">
            <v>T1</v>
          </cell>
          <cell r="B9">
            <v>11</v>
          </cell>
          <cell r="C9" t="str">
            <v>b</v>
          </cell>
          <cell r="D9">
            <v>4004</v>
          </cell>
          <cell r="E9" t="str">
            <v>철근콘크리트깨기</v>
          </cell>
          <cell r="I9">
            <v>0</v>
          </cell>
        </row>
        <row r="10">
          <cell r="A10" t="str">
            <v>D00006</v>
          </cell>
          <cell r="B10">
            <v>14</v>
          </cell>
          <cell r="C10" t="str">
            <v>-1</v>
          </cell>
          <cell r="D10">
            <v>4096</v>
          </cell>
          <cell r="E10" t="str">
            <v>철근콘크리트깨기</v>
          </cell>
          <cell r="F10" t="str">
            <v>(30 Cm 이상)</v>
          </cell>
          <cell r="G10" t="str">
            <v>㎥</v>
          </cell>
          <cell r="I10">
            <v>0</v>
          </cell>
        </row>
        <row r="11">
          <cell r="A11" t="str">
            <v>D00005</v>
          </cell>
          <cell r="B11">
            <v>1</v>
          </cell>
          <cell r="C11" t="str">
            <v>-2</v>
          </cell>
          <cell r="D11">
            <v>4128</v>
          </cell>
          <cell r="E11" t="str">
            <v>철근콘크리트깨기</v>
          </cell>
          <cell r="F11" t="str">
            <v>(30 Cm 미만)</v>
          </cell>
          <cell r="G11" t="str">
            <v>㎥</v>
          </cell>
          <cell r="I11">
            <v>0</v>
          </cell>
        </row>
        <row r="12">
          <cell r="A12" t="str">
            <v>E1</v>
          </cell>
          <cell r="B12">
            <v>0</v>
          </cell>
          <cell r="C12" t="str">
            <v>소계</v>
          </cell>
          <cell r="D12">
            <v>4160</v>
          </cell>
          <cell r="I12">
            <v>0</v>
          </cell>
        </row>
        <row r="13">
          <cell r="A13" t="str">
            <v>D00013</v>
          </cell>
          <cell r="B13">
            <v>96</v>
          </cell>
          <cell r="C13" t="str">
            <v>c</v>
          </cell>
          <cell r="D13">
            <v>4168</v>
          </cell>
          <cell r="E13" t="str">
            <v>석축헐기</v>
          </cell>
          <cell r="G13" t="str">
            <v>㎡</v>
          </cell>
          <cell r="I13">
            <v>0</v>
          </cell>
        </row>
        <row r="14">
          <cell r="A14" t="str">
            <v>T1</v>
          </cell>
          <cell r="B14">
            <v>16</v>
          </cell>
          <cell r="C14" t="str">
            <v>d</v>
          </cell>
          <cell r="D14">
            <v>4176</v>
          </cell>
          <cell r="E14" t="str">
            <v>기존포장깨기</v>
          </cell>
          <cell r="I14">
            <v>0</v>
          </cell>
        </row>
        <row r="15">
          <cell r="A15" t="str">
            <v>D00007</v>
          </cell>
          <cell r="B15">
            <v>268</v>
          </cell>
          <cell r="C15" t="str">
            <v>-1</v>
          </cell>
          <cell r="D15">
            <v>4304</v>
          </cell>
          <cell r="E15" t="str">
            <v>콘크리트포장깨기</v>
          </cell>
          <cell r="F15" t="str">
            <v>(기 계)</v>
          </cell>
          <cell r="G15" t="str">
            <v>㎥</v>
          </cell>
          <cell r="I15">
            <v>0</v>
          </cell>
        </row>
        <row r="16">
          <cell r="A16" t="str">
            <v>D00009</v>
          </cell>
          <cell r="B16">
            <v>1316</v>
          </cell>
          <cell r="C16" t="str">
            <v>-2</v>
          </cell>
          <cell r="D16">
            <v>4312</v>
          </cell>
          <cell r="E16" t="str">
            <v>아스팔트포장깨기</v>
          </cell>
          <cell r="F16" t="str">
            <v>(기 계)</v>
          </cell>
          <cell r="G16" t="str">
            <v>㎥</v>
          </cell>
          <cell r="I16">
            <v>0</v>
          </cell>
        </row>
        <row r="17">
          <cell r="A17" t="str">
            <v>E1</v>
          </cell>
          <cell r="B17">
            <v>0</v>
          </cell>
          <cell r="C17" t="str">
            <v>소계</v>
          </cell>
          <cell r="D17">
            <v>4319</v>
          </cell>
          <cell r="I17">
            <v>0</v>
          </cell>
        </row>
        <row r="18">
          <cell r="A18" t="str">
            <v>T1</v>
          </cell>
          <cell r="B18">
            <v>20</v>
          </cell>
          <cell r="C18" t="str">
            <v>e</v>
          </cell>
          <cell r="D18">
            <v>4927</v>
          </cell>
          <cell r="E18" t="str">
            <v>기계절단</v>
          </cell>
          <cell r="I18">
            <v>0</v>
          </cell>
        </row>
        <row r="19">
          <cell r="A19" t="str">
            <v>D00011</v>
          </cell>
          <cell r="B19">
            <v>38</v>
          </cell>
          <cell r="C19" t="str">
            <v>-1</v>
          </cell>
          <cell r="D19">
            <v>4968</v>
          </cell>
          <cell r="E19" t="str">
            <v>콘크리트절단</v>
          </cell>
          <cell r="F19" t="str">
            <v>(기 계)</v>
          </cell>
          <cell r="G19" t="str">
            <v>M</v>
          </cell>
          <cell r="I19">
            <v>0</v>
          </cell>
        </row>
        <row r="20">
          <cell r="A20" t="str">
            <v>D00012</v>
          </cell>
          <cell r="B20">
            <v>1358</v>
          </cell>
          <cell r="C20" t="str">
            <v>-2</v>
          </cell>
          <cell r="D20">
            <v>5096</v>
          </cell>
          <cell r="E20" t="str">
            <v>아스콘절단</v>
          </cell>
          <cell r="F20" t="str">
            <v>(기 계)</v>
          </cell>
          <cell r="G20" t="str">
            <v>M</v>
          </cell>
          <cell r="I20">
            <v>0</v>
          </cell>
        </row>
        <row r="21">
          <cell r="A21" t="str">
            <v>E1</v>
          </cell>
          <cell r="B21">
            <v>0</v>
          </cell>
          <cell r="C21" t="str">
            <v>소계</v>
          </cell>
          <cell r="D21">
            <v>5436</v>
          </cell>
          <cell r="I21">
            <v>0</v>
          </cell>
        </row>
        <row r="22">
          <cell r="A22" t="str">
            <v>E2</v>
          </cell>
          <cell r="B22">
            <v>0</v>
          </cell>
          <cell r="C22" t="str">
            <v>계</v>
          </cell>
          <cell r="D22">
            <v>5856</v>
          </cell>
          <cell r="I22">
            <v>0</v>
          </cell>
        </row>
        <row r="23">
          <cell r="A23" t="str">
            <v>D00161</v>
          </cell>
          <cell r="B23">
            <v>1452</v>
          </cell>
          <cell r="C23" t="str">
            <v>1.02</v>
          </cell>
          <cell r="D23">
            <v>5896</v>
          </cell>
          <cell r="E23" t="str">
            <v>토사다이크 축조공</v>
          </cell>
          <cell r="G23" t="str">
            <v>㎥</v>
          </cell>
          <cell r="I23">
            <v>0</v>
          </cell>
        </row>
        <row r="24">
          <cell r="A24" t="str">
            <v>T2</v>
          </cell>
          <cell r="B24">
            <v>26</v>
          </cell>
          <cell r="C24" t="str">
            <v>1.03</v>
          </cell>
          <cell r="D24">
            <v>5936</v>
          </cell>
          <cell r="E24" t="str">
            <v>표토제거</v>
          </cell>
          <cell r="I24">
            <v>0</v>
          </cell>
        </row>
        <row r="25">
          <cell r="A25" t="str">
            <v>D00016</v>
          </cell>
          <cell r="B25">
            <v>52754</v>
          </cell>
          <cell r="C25" t="str">
            <v>a</v>
          </cell>
          <cell r="D25">
            <v>6016</v>
          </cell>
          <cell r="E25" t="str">
            <v>표토제거</v>
          </cell>
          <cell r="F25" t="str">
            <v>(답 구 간)</v>
          </cell>
          <cell r="G25" t="str">
            <v>㎡</v>
          </cell>
          <cell r="I25">
            <v>0</v>
          </cell>
        </row>
        <row r="26">
          <cell r="A26" t="str">
            <v>D00017</v>
          </cell>
          <cell r="B26">
            <v>54039</v>
          </cell>
          <cell r="C26" t="str">
            <v>b</v>
          </cell>
          <cell r="D26">
            <v>6144</v>
          </cell>
          <cell r="E26" t="str">
            <v>표토제거</v>
          </cell>
          <cell r="F26" t="str">
            <v>(답외구간)</v>
          </cell>
          <cell r="G26" t="str">
            <v>㎡</v>
          </cell>
          <cell r="I26">
            <v>0</v>
          </cell>
        </row>
        <row r="27">
          <cell r="A27" t="str">
            <v>E2</v>
          </cell>
          <cell r="B27">
            <v>0</v>
          </cell>
          <cell r="C27" t="str">
            <v>계</v>
          </cell>
          <cell r="D27">
            <v>6272</v>
          </cell>
          <cell r="I27">
            <v>0</v>
          </cell>
        </row>
        <row r="28">
          <cell r="A28" t="str">
            <v>D00018</v>
          </cell>
          <cell r="B28">
            <v>172967</v>
          </cell>
          <cell r="C28" t="str">
            <v>1.04</v>
          </cell>
          <cell r="D28">
            <v>6400</v>
          </cell>
          <cell r="E28" t="str">
            <v>벌개제근</v>
          </cell>
          <cell r="G28" t="str">
            <v>㎡</v>
          </cell>
          <cell r="I28">
            <v>0</v>
          </cell>
        </row>
        <row r="29">
          <cell r="A29" t="str">
            <v>T2</v>
          </cell>
          <cell r="B29">
            <v>36</v>
          </cell>
          <cell r="C29" t="str">
            <v>1.05</v>
          </cell>
          <cell r="D29">
            <v>6528</v>
          </cell>
          <cell r="E29" t="str">
            <v>깍  기  공</v>
          </cell>
          <cell r="I29">
            <v>0</v>
          </cell>
        </row>
        <row r="30">
          <cell r="A30" t="str">
            <v>D00022</v>
          </cell>
          <cell r="B30">
            <v>397643</v>
          </cell>
          <cell r="C30" t="str">
            <v>a</v>
          </cell>
          <cell r="D30">
            <v>6752</v>
          </cell>
          <cell r="E30" t="str">
            <v>토  사깎기</v>
          </cell>
          <cell r="F30" t="str">
            <v>(불도쟈 32 Ton)</v>
          </cell>
          <cell r="G30" t="str">
            <v>㎥</v>
          </cell>
          <cell r="I30">
            <v>0</v>
          </cell>
        </row>
        <row r="31">
          <cell r="A31" t="str">
            <v>D00024</v>
          </cell>
          <cell r="B31">
            <v>510465</v>
          </cell>
          <cell r="C31" t="str">
            <v>b</v>
          </cell>
          <cell r="D31">
            <v>6976</v>
          </cell>
          <cell r="E31" t="str">
            <v>리핑암깍기</v>
          </cell>
          <cell r="F31" t="str">
            <v>(리퍼도쟈 32 Ton)</v>
          </cell>
          <cell r="G31" t="str">
            <v>㎥</v>
          </cell>
          <cell r="I31">
            <v>0</v>
          </cell>
        </row>
        <row r="32">
          <cell r="A32" t="str">
            <v>T1</v>
          </cell>
          <cell r="B32">
            <v>35</v>
          </cell>
          <cell r="C32" t="str">
            <v>c</v>
          </cell>
          <cell r="D32">
            <v>7040</v>
          </cell>
          <cell r="E32" t="str">
            <v>발파암깍기</v>
          </cell>
          <cell r="I32">
            <v>0</v>
          </cell>
        </row>
        <row r="33">
          <cell r="A33" t="str">
            <v>D01225</v>
          </cell>
          <cell r="B33">
            <v>41672</v>
          </cell>
          <cell r="C33" t="str">
            <v>-1</v>
          </cell>
          <cell r="D33">
            <v>7072</v>
          </cell>
          <cell r="E33" t="str">
            <v>발파암깍기</v>
          </cell>
          <cell r="F33" t="str">
            <v>(미진동발파)</v>
          </cell>
          <cell r="G33" t="str">
            <v>㎥</v>
          </cell>
          <cell r="I33">
            <v>0</v>
          </cell>
        </row>
        <row r="34">
          <cell r="A34" t="str">
            <v>D00033</v>
          </cell>
          <cell r="B34">
            <v>76716</v>
          </cell>
          <cell r="C34" t="str">
            <v>-2</v>
          </cell>
          <cell r="D34">
            <v>7154</v>
          </cell>
          <cell r="E34" t="str">
            <v>발파암깍기</v>
          </cell>
          <cell r="F34" t="str">
            <v>(백호우+브레이카)</v>
          </cell>
          <cell r="G34" t="str">
            <v>㎥</v>
          </cell>
          <cell r="I34">
            <v>0</v>
          </cell>
        </row>
        <row r="35">
          <cell r="A35" t="str">
            <v>D00034</v>
          </cell>
          <cell r="B35">
            <v>439959</v>
          </cell>
          <cell r="C35" t="str">
            <v>-3</v>
          </cell>
          <cell r="D35">
            <v>7159</v>
          </cell>
          <cell r="E35" t="str">
            <v>발파암깍기</v>
          </cell>
          <cell r="F35" t="str">
            <v>(크로울러드릴)</v>
          </cell>
          <cell r="G35" t="str">
            <v>㎥</v>
          </cell>
          <cell r="I35">
            <v>0</v>
          </cell>
        </row>
        <row r="36">
          <cell r="A36" t="str">
            <v>E1</v>
          </cell>
          <cell r="B36">
            <v>0</v>
          </cell>
          <cell r="C36" t="str">
            <v>소계</v>
          </cell>
          <cell r="D36">
            <v>7163</v>
          </cell>
          <cell r="I36">
            <v>0</v>
          </cell>
        </row>
        <row r="37">
          <cell r="A37" t="str">
            <v>E2</v>
          </cell>
          <cell r="B37">
            <v>0</v>
          </cell>
          <cell r="C37" t="str">
            <v>계</v>
          </cell>
          <cell r="D37">
            <v>7168</v>
          </cell>
          <cell r="I37">
            <v>0</v>
          </cell>
        </row>
        <row r="38">
          <cell r="A38" t="str">
            <v>T2</v>
          </cell>
          <cell r="B38">
            <v>54</v>
          </cell>
          <cell r="C38" t="str">
            <v>1.06</v>
          </cell>
          <cell r="D38">
            <v>8728</v>
          </cell>
          <cell r="E38" t="str">
            <v>운 반 공</v>
          </cell>
          <cell r="I38">
            <v>0</v>
          </cell>
        </row>
        <row r="39">
          <cell r="A39" t="str">
            <v>T1</v>
          </cell>
          <cell r="B39">
            <v>42</v>
          </cell>
          <cell r="C39" t="str">
            <v>a</v>
          </cell>
          <cell r="D39">
            <v>8760</v>
          </cell>
          <cell r="E39" t="str">
            <v>토    사</v>
          </cell>
          <cell r="I39">
            <v>0</v>
          </cell>
        </row>
        <row r="40">
          <cell r="A40" t="str">
            <v>W00002</v>
          </cell>
          <cell r="B40">
            <v>30672</v>
          </cell>
          <cell r="C40" t="str">
            <v>-1</v>
          </cell>
          <cell r="D40">
            <v>8776</v>
          </cell>
          <cell r="E40" t="str">
            <v>무대운반</v>
          </cell>
          <cell r="G40" t="str">
            <v>㎥</v>
          </cell>
          <cell r="I40">
            <v>0</v>
          </cell>
        </row>
        <row r="41">
          <cell r="A41" t="str">
            <v>D00045</v>
          </cell>
          <cell r="B41">
            <v>3228</v>
          </cell>
          <cell r="C41" t="str">
            <v>-2</v>
          </cell>
          <cell r="D41">
            <v>8783</v>
          </cell>
          <cell r="E41" t="str">
            <v>도쟈운반</v>
          </cell>
          <cell r="F41" t="str">
            <v>L=45.0 m</v>
          </cell>
          <cell r="G41" t="str">
            <v>㎥</v>
          </cell>
          <cell r="I41">
            <v>0</v>
          </cell>
        </row>
        <row r="42">
          <cell r="A42" t="str">
            <v>D00052</v>
          </cell>
          <cell r="B42">
            <v>80189</v>
          </cell>
          <cell r="C42" t="str">
            <v>-3</v>
          </cell>
          <cell r="D42">
            <v>8787</v>
          </cell>
          <cell r="E42" t="str">
            <v>덤프운반</v>
          </cell>
          <cell r="F42" t="str">
            <v>L=2.2 Km</v>
          </cell>
          <cell r="G42" t="str">
            <v>㎥</v>
          </cell>
          <cell r="I42">
            <v>0</v>
          </cell>
        </row>
        <row r="43">
          <cell r="A43" t="str">
            <v>E1</v>
          </cell>
          <cell r="B43">
            <v>0</v>
          </cell>
          <cell r="C43" t="str">
            <v>소계</v>
          </cell>
          <cell r="D43">
            <v>8790</v>
          </cell>
          <cell r="I43">
            <v>0</v>
          </cell>
        </row>
        <row r="44">
          <cell r="A44" t="str">
            <v>T1</v>
          </cell>
          <cell r="B44">
            <v>47</v>
          </cell>
          <cell r="C44" t="str">
            <v>b</v>
          </cell>
          <cell r="D44">
            <v>8792</v>
          </cell>
          <cell r="E44" t="str">
            <v>리 핑 암</v>
          </cell>
          <cell r="I44">
            <v>0</v>
          </cell>
        </row>
        <row r="45">
          <cell r="A45" t="str">
            <v>W00003</v>
          </cell>
          <cell r="B45">
            <v>72394</v>
          </cell>
          <cell r="C45" t="str">
            <v>-1</v>
          </cell>
          <cell r="D45">
            <v>8888</v>
          </cell>
          <cell r="E45" t="str">
            <v>무대운반</v>
          </cell>
          <cell r="G45" t="str">
            <v>㎥</v>
          </cell>
          <cell r="I45">
            <v>0</v>
          </cell>
        </row>
        <row r="46">
          <cell r="A46" t="str">
            <v>D00046</v>
          </cell>
          <cell r="B46">
            <v>17195</v>
          </cell>
          <cell r="C46" t="str">
            <v>-2</v>
          </cell>
          <cell r="D46">
            <v>8984</v>
          </cell>
          <cell r="E46" t="str">
            <v>도쟈운반</v>
          </cell>
          <cell r="F46" t="str">
            <v>L=45.0 m</v>
          </cell>
          <cell r="G46" t="str">
            <v>㎥</v>
          </cell>
          <cell r="I46">
            <v>0</v>
          </cell>
        </row>
        <row r="47">
          <cell r="A47" t="str">
            <v>D00053</v>
          </cell>
          <cell r="B47">
            <v>548671</v>
          </cell>
          <cell r="C47" t="str">
            <v>-3</v>
          </cell>
          <cell r="D47">
            <v>9112</v>
          </cell>
          <cell r="E47" t="str">
            <v>덤프운반</v>
          </cell>
          <cell r="F47" t="str">
            <v>L=2.9 Km</v>
          </cell>
          <cell r="G47" t="str">
            <v>㎥</v>
          </cell>
          <cell r="I47">
            <v>0</v>
          </cell>
        </row>
        <row r="48">
          <cell r="A48" t="str">
            <v>E1</v>
          </cell>
          <cell r="B48">
            <v>0</v>
          </cell>
          <cell r="C48" t="str">
            <v>소계</v>
          </cell>
          <cell r="D48">
            <v>9208</v>
          </cell>
          <cell r="I48">
            <v>0</v>
          </cell>
        </row>
        <row r="49">
          <cell r="A49" t="str">
            <v>T1</v>
          </cell>
          <cell r="B49">
            <v>52</v>
          </cell>
          <cell r="C49" t="str">
            <v>c</v>
          </cell>
          <cell r="D49">
            <v>9224</v>
          </cell>
          <cell r="E49" t="str">
            <v>발 파 암</v>
          </cell>
          <cell r="I49">
            <v>0</v>
          </cell>
        </row>
        <row r="50">
          <cell r="A50" t="str">
            <v>W00004</v>
          </cell>
          <cell r="B50">
            <v>65011</v>
          </cell>
          <cell r="C50" t="str">
            <v>-1</v>
          </cell>
          <cell r="D50">
            <v>9280</v>
          </cell>
          <cell r="E50" t="str">
            <v>무대운반</v>
          </cell>
          <cell r="G50" t="str">
            <v>㎥</v>
          </cell>
          <cell r="I50">
            <v>0</v>
          </cell>
        </row>
        <row r="51">
          <cell r="A51" t="str">
            <v>D00047</v>
          </cell>
          <cell r="B51">
            <v>10117</v>
          </cell>
          <cell r="C51" t="str">
            <v>-2</v>
          </cell>
          <cell r="D51">
            <v>9350</v>
          </cell>
          <cell r="E51" t="str">
            <v>도쟈운반</v>
          </cell>
          <cell r="F51" t="str">
            <v>L=47.0 m</v>
          </cell>
          <cell r="G51" t="str">
            <v>㎥</v>
          </cell>
          <cell r="I51">
            <v>0</v>
          </cell>
        </row>
        <row r="52">
          <cell r="A52" t="str">
            <v>D00054</v>
          </cell>
          <cell r="B52">
            <v>568110</v>
          </cell>
          <cell r="C52" t="str">
            <v>-3</v>
          </cell>
          <cell r="D52">
            <v>9420</v>
          </cell>
          <cell r="E52" t="str">
            <v>덤프운반</v>
          </cell>
          <cell r="F52" t="str">
            <v>L=3.2 Km</v>
          </cell>
          <cell r="G52" t="str">
            <v>㎥</v>
          </cell>
          <cell r="I52">
            <v>0</v>
          </cell>
        </row>
        <row r="53">
          <cell r="A53" t="str">
            <v>E1</v>
          </cell>
          <cell r="B53">
            <v>0</v>
          </cell>
          <cell r="C53" t="str">
            <v>소계</v>
          </cell>
          <cell r="D53">
            <v>9448</v>
          </cell>
          <cell r="I53">
            <v>0</v>
          </cell>
        </row>
        <row r="54">
          <cell r="A54" t="str">
            <v>D00065</v>
          </cell>
          <cell r="B54">
            <v>71547</v>
          </cell>
          <cell r="C54" t="str">
            <v>d</v>
          </cell>
          <cell r="D54">
            <v>11323</v>
          </cell>
          <cell r="E54" t="str">
            <v>사토운반</v>
          </cell>
          <cell r="F54" t="str">
            <v>(토  사)</v>
          </cell>
          <cell r="G54" t="str">
            <v>㎥</v>
          </cell>
          <cell r="I54">
            <v>0</v>
          </cell>
        </row>
        <row r="55">
          <cell r="A55" t="str">
            <v>E2</v>
          </cell>
          <cell r="B55">
            <v>0</v>
          </cell>
          <cell r="C55" t="str">
            <v>계</v>
          </cell>
          <cell r="D55">
            <v>11448</v>
          </cell>
          <cell r="I55">
            <v>0</v>
          </cell>
        </row>
        <row r="56">
          <cell r="A56" t="str">
            <v>T2</v>
          </cell>
          <cell r="B56">
            <v>59</v>
          </cell>
          <cell r="C56" t="str">
            <v>1.07</v>
          </cell>
          <cell r="D56">
            <v>11672</v>
          </cell>
          <cell r="E56" t="str">
            <v>흙 쌓 기</v>
          </cell>
          <cell r="I56">
            <v>0</v>
          </cell>
        </row>
        <row r="57">
          <cell r="A57" t="str">
            <v>D00038</v>
          </cell>
          <cell r="B57">
            <v>159342</v>
          </cell>
          <cell r="C57" t="str">
            <v>a</v>
          </cell>
          <cell r="D57">
            <v>11800</v>
          </cell>
          <cell r="E57" t="str">
            <v>노상다짐</v>
          </cell>
          <cell r="G57" t="str">
            <v>㎥</v>
          </cell>
          <cell r="I57">
            <v>0</v>
          </cell>
        </row>
        <row r="58">
          <cell r="A58" t="str">
            <v>D00037</v>
          </cell>
          <cell r="B58">
            <v>1388650</v>
          </cell>
          <cell r="C58" t="str">
            <v>b</v>
          </cell>
          <cell r="D58">
            <v>11928</v>
          </cell>
          <cell r="E58" t="str">
            <v>노체다짐</v>
          </cell>
          <cell r="G58" t="str">
            <v>㎥</v>
          </cell>
          <cell r="I58">
            <v>0</v>
          </cell>
        </row>
        <row r="59">
          <cell r="A59" t="str">
            <v>D00039</v>
          </cell>
          <cell r="B59">
            <v>7582</v>
          </cell>
          <cell r="C59" t="str">
            <v>c</v>
          </cell>
          <cell r="D59">
            <v>12536</v>
          </cell>
          <cell r="E59" t="str">
            <v>녹 지 대</v>
          </cell>
          <cell r="G59" t="str">
            <v>㎥</v>
          </cell>
          <cell r="I59">
            <v>0</v>
          </cell>
        </row>
        <row r="60">
          <cell r="A60" t="str">
            <v>E2</v>
          </cell>
          <cell r="B60">
            <v>0</v>
          </cell>
          <cell r="C60" t="str">
            <v>계</v>
          </cell>
          <cell r="D60">
            <v>12712</v>
          </cell>
          <cell r="I60">
            <v>0</v>
          </cell>
        </row>
        <row r="61">
          <cell r="A61" t="str">
            <v>D00021</v>
          </cell>
          <cell r="B61">
            <v>42910</v>
          </cell>
          <cell r="C61" t="str">
            <v>1.08</v>
          </cell>
          <cell r="D61">
            <v>12928</v>
          </cell>
          <cell r="E61" t="str">
            <v>노상준비공</v>
          </cell>
          <cell r="F61" t="str">
            <v>(절 토 부)</v>
          </cell>
          <cell r="G61" t="str">
            <v>㎡</v>
          </cell>
          <cell r="I61">
            <v>0</v>
          </cell>
        </row>
        <row r="62">
          <cell r="A62" t="str">
            <v>T2</v>
          </cell>
          <cell r="B62">
            <v>75</v>
          </cell>
          <cell r="C62" t="str">
            <v>1.09</v>
          </cell>
          <cell r="D62">
            <v>13144</v>
          </cell>
          <cell r="E62" t="str">
            <v>법면 보호공</v>
          </cell>
          <cell r="I62">
            <v>0</v>
          </cell>
        </row>
        <row r="63">
          <cell r="A63" t="str">
            <v>D01235</v>
          </cell>
          <cell r="B63">
            <v>169210</v>
          </cell>
          <cell r="C63" t="str">
            <v>a</v>
          </cell>
          <cell r="D63">
            <v>13156</v>
          </cell>
          <cell r="E63" t="str">
            <v>거적덮기</v>
          </cell>
          <cell r="G63" t="str">
            <v>㎡</v>
          </cell>
          <cell r="I63">
            <v>0</v>
          </cell>
        </row>
        <row r="64">
          <cell r="A64" t="str">
            <v>D01172</v>
          </cell>
          <cell r="B64">
            <v>75390</v>
          </cell>
          <cell r="C64" t="str">
            <v>b</v>
          </cell>
          <cell r="D64">
            <v>13162</v>
          </cell>
          <cell r="E64" t="str">
            <v>NET-잔디</v>
          </cell>
          <cell r="G64" t="str">
            <v>㎡</v>
          </cell>
          <cell r="I64">
            <v>0</v>
          </cell>
        </row>
        <row r="65">
          <cell r="A65" t="str">
            <v>D00766</v>
          </cell>
          <cell r="B65">
            <v>39806</v>
          </cell>
          <cell r="C65" t="str">
            <v>c</v>
          </cell>
          <cell r="D65">
            <v>13166</v>
          </cell>
          <cell r="E65" t="str">
            <v>암절개면보호식제공</v>
          </cell>
          <cell r="F65" t="str">
            <v>(T=10 Cm)</v>
          </cell>
          <cell r="G65" t="str">
            <v>㎡</v>
          </cell>
          <cell r="I65">
            <v>0</v>
          </cell>
        </row>
        <row r="66">
          <cell r="A66" t="str">
            <v>D00071</v>
          </cell>
          <cell r="B66">
            <v>15663</v>
          </cell>
          <cell r="C66" t="str">
            <v>d</v>
          </cell>
          <cell r="D66">
            <v>13295</v>
          </cell>
          <cell r="E66" t="str">
            <v>녹지대떼</v>
          </cell>
          <cell r="G66" t="str">
            <v>㎡</v>
          </cell>
          <cell r="I66">
            <v>0</v>
          </cell>
        </row>
        <row r="67">
          <cell r="A67" t="str">
            <v>T1</v>
          </cell>
          <cell r="B67">
            <v>69</v>
          </cell>
          <cell r="C67" t="str">
            <v>e</v>
          </cell>
          <cell r="D67">
            <v>13296</v>
          </cell>
          <cell r="E67" t="str">
            <v>법면고르기</v>
          </cell>
          <cell r="I67">
            <v>0</v>
          </cell>
        </row>
        <row r="68">
          <cell r="A68" t="str">
            <v>D00077</v>
          </cell>
          <cell r="B68">
            <v>35985</v>
          </cell>
          <cell r="C68" t="str">
            <v>-1</v>
          </cell>
          <cell r="D68">
            <v>13360</v>
          </cell>
          <cell r="E68" t="str">
            <v>법면고르기</v>
          </cell>
          <cell r="F68" t="str">
            <v>(리핑암)</v>
          </cell>
          <cell r="G68" t="str">
            <v>㎡</v>
          </cell>
          <cell r="I68">
            <v>0</v>
          </cell>
        </row>
        <row r="69">
          <cell r="A69" t="str">
            <v>D00078</v>
          </cell>
          <cell r="B69">
            <v>36954</v>
          </cell>
          <cell r="C69" t="str">
            <v>-2</v>
          </cell>
          <cell r="D69">
            <v>13392</v>
          </cell>
          <cell r="E69" t="str">
            <v>법면고르기</v>
          </cell>
          <cell r="F69" t="str">
            <v>(발파암)</v>
          </cell>
          <cell r="G69" t="str">
            <v>㎡</v>
          </cell>
          <cell r="I69">
            <v>0</v>
          </cell>
        </row>
        <row r="70">
          <cell r="A70" t="str">
            <v>E1</v>
          </cell>
          <cell r="B70">
            <v>0</v>
          </cell>
          <cell r="C70" t="str">
            <v>소계</v>
          </cell>
          <cell r="D70">
            <v>13408</v>
          </cell>
          <cell r="I70">
            <v>0</v>
          </cell>
        </row>
        <row r="71">
          <cell r="A71" t="str">
            <v>T1</v>
          </cell>
          <cell r="B71">
            <v>74</v>
          </cell>
          <cell r="C71" t="str">
            <v>f</v>
          </cell>
          <cell r="D71">
            <v>13424</v>
          </cell>
          <cell r="E71" t="str">
            <v>공사중법면보호</v>
          </cell>
          <cell r="I71">
            <v>0</v>
          </cell>
        </row>
        <row r="72">
          <cell r="A72" t="str">
            <v>D00074</v>
          </cell>
          <cell r="B72">
            <v>173014</v>
          </cell>
          <cell r="C72" t="str">
            <v>-1</v>
          </cell>
          <cell r="D72">
            <v>13456</v>
          </cell>
          <cell r="E72" t="str">
            <v>법면다짐</v>
          </cell>
          <cell r="F72" t="str">
            <v>(성토부)</v>
          </cell>
          <cell r="G72" t="str">
            <v>㎡</v>
          </cell>
          <cell r="I72">
            <v>0</v>
          </cell>
        </row>
        <row r="73">
          <cell r="A73" t="str">
            <v>D01255</v>
          </cell>
          <cell r="B73">
            <v>68403</v>
          </cell>
          <cell r="C73" t="str">
            <v>-2</v>
          </cell>
          <cell r="D73">
            <v>13488</v>
          </cell>
          <cell r="E73" t="str">
            <v>법면보호망</v>
          </cell>
          <cell r="G73" t="str">
            <v>㎡</v>
          </cell>
          <cell r="I73">
            <v>0</v>
          </cell>
        </row>
        <row r="74">
          <cell r="A74" t="str">
            <v>D01256</v>
          </cell>
          <cell r="B74">
            <v>2438</v>
          </cell>
          <cell r="C74" t="str">
            <v>-3</v>
          </cell>
          <cell r="D74">
            <v>13520</v>
          </cell>
          <cell r="E74" t="str">
            <v>가도수로</v>
          </cell>
          <cell r="G74" t="str">
            <v>㎡</v>
          </cell>
          <cell r="I74">
            <v>0</v>
          </cell>
        </row>
        <row r="75">
          <cell r="A75" t="str">
            <v>E1</v>
          </cell>
          <cell r="B75">
            <v>0</v>
          </cell>
          <cell r="C75" t="str">
            <v>소계</v>
          </cell>
          <cell r="D75">
            <v>13536</v>
          </cell>
          <cell r="I75">
            <v>0</v>
          </cell>
        </row>
        <row r="76">
          <cell r="A76" t="str">
            <v>E2</v>
          </cell>
          <cell r="B76">
            <v>0</v>
          </cell>
          <cell r="C76" t="str">
            <v>계</v>
          </cell>
          <cell r="D76">
            <v>14287</v>
          </cell>
          <cell r="I76">
            <v>0</v>
          </cell>
        </row>
        <row r="77">
          <cell r="A77" t="str">
            <v>D00087</v>
          </cell>
          <cell r="B77">
            <v>12206</v>
          </cell>
          <cell r="C77" t="str">
            <v>1.10</v>
          </cell>
          <cell r="D77">
            <v>14868</v>
          </cell>
          <cell r="E77" t="str">
            <v>층 따 기</v>
          </cell>
          <cell r="F77" t="str">
            <v>(도쟈 19 Ton)</v>
          </cell>
          <cell r="G77" t="str">
            <v>㎥</v>
          </cell>
          <cell r="I77">
            <v>0</v>
          </cell>
        </row>
        <row r="78">
          <cell r="A78" t="str">
            <v>T2</v>
          </cell>
          <cell r="B78">
            <v>82</v>
          </cell>
          <cell r="C78" t="str">
            <v>1.11</v>
          </cell>
          <cell r="D78">
            <v>15158</v>
          </cell>
          <cell r="E78" t="str">
            <v>연약지반처리</v>
          </cell>
          <cell r="I78">
            <v>0</v>
          </cell>
        </row>
        <row r="79">
          <cell r="A79" t="str">
            <v>D00073</v>
          </cell>
          <cell r="B79">
            <v>17700</v>
          </cell>
          <cell r="C79" t="str">
            <v>a</v>
          </cell>
          <cell r="D79">
            <v>15303</v>
          </cell>
          <cell r="E79" t="str">
            <v>P.P  MAT</v>
          </cell>
          <cell r="F79" t="str">
            <v>(5.0 T/M)</v>
          </cell>
          <cell r="G79" t="str">
            <v>㎡</v>
          </cell>
          <cell r="I79">
            <v>0</v>
          </cell>
        </row>
        <row r="80">
          <cell r="A80" t="str">
            <v>D00072</v>
          </cell>
          <cell r="B80">
            <v>7618</v>
          </cell>
          <cell r="C80" t="str">
            <v>b</v>
          </cell>
          <cell r="D80">
            <v>15376</v>
          </cell>
          <cell r="E80" t="str">
            <v>SAND MAT</v>
          </cell>
          <cell r="F80" t="str">
            <v>(T=0.5 M)</v>
          </cell>
          <cell r="G80" t="str">
            <v>㎥</v>
          </cell>
          <cell r="I80">
            <v>0</v>
          </cell>
        </row>
        <row r="81">
          <cell r="A81" t="str">
            <v>D00081</v>
          </cell>
          <cell r="B81">
            <v>21</v>
          </cell>
          <cell r="C81" t="str">
            <v>c</v>
          </cell>
          <cell r="D81">
            <v>15412</v>
          </cell>
          <cell r="E81" t="str">
            <v>침 하 판</v>
          </cell>
          <cell r="G81" t="str">
            <v>EA</v>
          </cell>
          <cell r="I81">
            <v>0</v>
          </cell>
        </row>
        <row r="82">
          <cell r="A82" t="str">
            <v>D00089</v>
          </cell>
          <cell r="B82">
            <v>904</v>
          </cell>
          <cell r="C82" t="str">
            <v>d</v>
          </cell>
          <cell r="D82">
            <v>15421</v>
          </cell>
          <cell r="E82" t="str">
            <v>계측관리</v>
          </cell>
          <cell r="F82" t="str">
            <v>(지표침하판)</v>
          </cell>
          <cell r="G82" t="str">
            <v>회</v>
          </cell>
          <cell r="I82">
            <v>0</v>
          </cell>
        </row>
        <row r="83">
          <cell r="A83" t="str">
            <v>E2</v>
          </cell>
          <cell r="B83">
            <v>0</v>
          </cell>
          <cell r="C83" t="str">
            <v>계</v>
          </cell>
          <cell r="D83">
            <v>15430</v>
          </cell>
          <cell r="I83">
            <v>0</v>
          </cell>
        </row>
        <row r="84">
          <cell r="A84" t="str">
            <v>T2</v>
          </cell>
          <cell r="B84">
            <v>86</v>
          </cell>
          <cell r="C84" t="str">
            <v>1.12</v>
          </cell>
          <cell r="D84">
            <v>15448</v>
          </cell>
          <cell r="E84" t="str">
            <v>토공규준틀</v>
          </cell>
          <cell r="I84">
            <v>0</v>
          </cell>
        </row>
        <row r="85">
          <cell r="A85" t="str">
            <v>D00088</v>
          </cell>
          <cell r="B85">
            <v>820</v>
          </cell>
          <cell r="C85" t="str">
            <v>a</v>
          </cell>
          <cell r="D85">
            <v>15736</v>
          </cell>
          <cell r="E85" t="str">
            <v>토공규준틀</v>
          </cell>
          <cell r="F85" t="str">
            <v>(비탈면)</v>
          </cell>
          <cell r="G85" t="str">
            <v>EA</v>
          </cell>
          <cell r="I85">
            <v>0</v>
          </cell>
        </row>
        <row r="86">
          <cell r="A86" t="str">
            <v>D03844</v>
          </cell>
          <cell r="B86">
            <v>82</v>
          </cell>
          <cell r="C86" t="str">
            <v>b</v>
          </cell>
          <cell r="D86">
            <v>15880</v>
          </cell>
          <cell r="E86" t="str">
            <v>토공규준틀</v>
          </cell>
          <cell r="F86" t="str">
            <v>(수  평)</v>
          </cell>
          <cell r="G86" t="str">
            <v>EA</v>
          </cell>
          <cell r="I86">
            <v>0</v>
          </cell>
        </row>
        <row r="87">
          <cell r="A87" t="str">
            <v>E2</v>
          </cell>
          <cell r="B87">
            <v>0</v>
          </cell>
          <cell r="C87" t="str">
            <v>계</v>
          </cell>
          <cell r="D87">
            <v>15952</v>
          </cell>
          <cell r="I87">
            <v>0</v>
          </cell>
        </row>
        <row r="88">
          <cell r="A88" t="str">
            <v>E4</v>
          </cell>
          <cell r="B88">
            <v>0</v>
          </cell>
          <cell r="C88" t="str">
            <v>총계</v>
          </cell>
          <cell r="D88">
            <v>16024</v>
          </cell>
          <cell r="I88">
            <v>0</v>
          </cell>
        </row>
        <row r="89">
          <cell r="A89" t="str">
            <v>T4</v>
          </cell>
          <cell r="B89">
            <v>337</v>
          </cell>
          <cell r="C89" t="str">
            <v>2.</v>
          </cell>
          <cell r="D89">
            <v>16600</v>
          </cell>
          <cell r="E89" t="str">
            <v>배    수    공</v>
          </cell>
          <cell r="I89">
            <v>0</v>
          </cell>
        </row>
        <row r="90">
          <cell r="A90" t="str">
            <v>T3</v>
          </cell>
          <cell r="B90">
            <v>119</v>
          </cell>
          <cell r="C90" t="str">
            <v>2.A</v>
          </cell>
          <cell r="D90">
            <v>16708</v>
          </cell>
          <cell r="E90" t="str">
            <v>토          공</v>
          </cell>
          <cell r="I90">
            <v>0</v>
          </cell>
        </row>
        <row r="91">
          <cell r="A91" t="str">
            <v>T2</v>
          </cell>
          <cell r="B91">
            <v>94</v>
          </cell>
          <cell r="C91" t="str">
            <v>2.01</v>
          </cell>
          <cell r="D91">
            <v>17238</v>
          </cell>
          <cell r="E91" t="str">
            <v>측구터파기</v>
          </cell>
          <cell r="I91">
            <v>0</v>
          </cell>
        </row>
        <row r="92">
          <cell r="A92" t="str">
            <v>D00092</v>
          </cell>
          <cell r="B92">
            <v>20203</v>
          </cell>
          <cell r="C92" t="str">
            <v>a</v>
          </cell>
          <cell r="D92">
            <v>17503</v>
          </cell>
          <cell r="E92" t="str">
            <v>측구터파기</v>
          </cell>
          <cell r="F92" t="str">
            <v>(토  사)</v>
          </cell>
          <cell r="G92" t="str">
            <v>㎥</v>
          </cell>
          <cell r="I92">
            <v>0</v>
          </cell>
        </row>
        <row r="93">
          <cell r="A93" t="str">
            <v>D00093</v>
          </cell>
          <cell r="B93">
            <v>378</v>
          </cell>
          <cell r="C93" t="str">
            <v>b</v>
          </cell>
          <cell r="D93">
            <v>17636</v>
          </cell>
          <cell r="E93" t="str">
            <v>측구터파기</v>
          </cell>
          <cell r="F93" t="str">
            <v>(리핑암)</v>
          </cell>
          <cell r="G93" t="str">
            <v>㎥</v>
          </cell>
          <cell r="I93">
            <v>0</v>
          </cell>
        </row>
        <row r="94">
          <cell r="A94" t="str">
            <v>D00094</v>
          </cell>
          <cell r="B94">
            <v>677</v>
          </cell>
          <cell r="C94" t="str">
            <v>c</v>
          </cell>
          <cell r="D94">
            <v>17702</v>
          </cell>
          <cell r="E94" t="str">
            <v>측구터파기</v>
          </cell>
          <cell r="F94" t="str">
            <v>(발파암)</v>
          </cell>
          <cell r="G94" t="str">
            <v>㎥</v>
          </cell>
          <cell r="I94">
            <v>0</v>
          </cell>
        </row>
        <row r="95">
          <cell r="A95" t="str">
            <v>E2</v>
          </cell>
          <cell r="B95">
            <v>0</v>
          </cell>
          <cell r="C95" t="str">
            <v>계</v>
          </cell>
          <cell r="D95">
            <v>17735</v>
          </cell>
          <cell r="I95">
            <v>0</v>
          </cell>
        </row>
        <row r="96">
          <cell r="A96" t="str">
            <v>T2</v>
          </cell>
          <cell r="B96">
            <v>115</v>
          </cell>
          <cell r="C96" t="str">
            <v>2.02</v>
          </cell>
          <cell r="D96">
            <v>17752</v>
          </cell>
          <cell r="E96" t="str">
            <v>구조물터파기</v>
          </cell>
          <cell r="I96">
            <v>0</v>
          </cell>
        </row>
        <row r="97">
          <cell r="A97" t="str">
            <v>T1</v>
          </cell>
          <cell r="B97">
            <v>104</v>
          </cell>
          <cell r="C97" t="str">
            <v>a</v>
          </cell>
          <cell r="D97">
            <v>17816</v>
          </cell>
          <cell r="E97" t="str">
            <v>구조물터파기</v>
          </cell>
          <cell r="F97" t="str">
            <v>토  사</v>
          </cell>
          <cell r="I97">
            <v>0</v>
          </cell>
        </row>
        <row r="98">
          <cell r="A98" t="str">
            <v>D00124</v>
          </cell>
          <cell r="B98">
            <v>18909</v>
          </cell>
          <cell r="C98" t="str">
            <v>-1</v>
          </cell>
          <cell r="D98">
            <v>17848</v>
          </cell>
          <cell r="E98" t="str">
            <v>구조물터파기</v>
          </cell>
          <cell r="F98" t="str">
            <v>(육상토사 0∼1 M)</v>
          </cell>
          <cell r="G98" t="str">
            <v>㎥</v>
          </cell>
          <cell r="I98">
            <v>0</v>
          </cell>
        </row>
        <row r="99">
          <cell r="A99" t="str">
            <v>D00125</v>
          </cell>
          <cell r="B99">
            <v>5745</v>
          </cell>
          <cell r="C99" t="str">
            <v>-2</v>
          </cell>
          <cell r="D99">
            <v>17876</v>
          </cell>
          <cell r="E99" t="str">
            <v>구조물터파기</v>
          </cell>
          <cell r="F99" t="str">
            <v>(육상토사 1∼2 M)</v>
          </cell>
          <cell r="G99" t="str">
            <v>㎥</v>
          </cell>
          <cell r="I99">
            <v>0</v>
          </cell>
        </row>
        <row r="100">
          <cell r="A100" t="str">
            <v>D00126</v>
          </cell>
          <cell r="B100">
            <v>1477</v>
          </cell>
          <cell r="C100" t="str">
            <v>-3</v>
          </cell>
          <cell r="D100">
            <v>17890</v>
          </cell>
          <cell r="E100" t="str">
            <v>구조물터파기</v>
          </cell>
          <cell r="F100" t="str">
            <v>(육상토사 2∼3 M)</v>
          </cell>
          <cell r="G100" t="str">
            <v>㎥</v>
          </cell>
          <cell r="I100">
            <v>0</v>
          </cell>
        </row>
        <row r="101">
          <cell r="A101" t="str">
            <v>D00127</v>
          </cell>
          <cell r="B101">
            <v>449</v>
          </cell>
          <cell r="C101" t="str">
            <v>-4</v>
          </cell>
          <cell r="D101">
            <v>17897</v>
          </cell>
          <cell r="E101" t="str">
            <v>구조물터파기</v>
          </cell>
          <cell r="F101" t="str">
            <v>(육상토사 3∼4 M)</v>
          </cell>
          <cell r="G101" t="str">
            <v>㎥</v>
          </cell>
          <cell r="I101">
            <v>0</v>
          </cell>
        </row>
        <row r="102">
          <cell r="A102" t="str">
            <v>D00128</v>
          </cell>
          <cell r="B102">
            <v>343</v>
          </cell>
          <cell r="C102" t="str">
            <v>-5</v>
          </cell>
          <cell r="D102">
            <v>17901</v>
          </cell>
          <cell r="E102" t="str">
            <v>구조물터파기</v>
          </cell>
          <cell r="F102" t="str">
            <v>(육상토사 4∼5 M)</v>
          </cell>
          <cell r="G102" t="str">
            <v>㎥</v>
          </cell>
          <cell r="I102">
            <v>0</v>
          </cell>
        </row>
        <row r="103">
          <cell r="A103" t="str">
            <v>D00129</v>
          </cell>
          <cell r="B103">
            <v>237</v>
          </cell>
          <cell r="C103" t="str">
            <v>-6</v>
          </cell>
          <cell r="D103">
            <v>17903</v>
          </cell>
          <cell r="E103" t="str">
            <v>구조물터파기</v>
          </cell>
          <cell r="F103" t="str">
            <v>(육상토사 5∼6 M)</v>
          </cell>
          <cell r="G103" t="str">
            <v>㎥</v>
          </cell>
          <cell r="I103">
            <v>0</v>
          </cell>
        </row>
        <row r="104">
          <cell r="A104" t="str">
            <v>D00132</v>
          </cell>
          <cell r="B104">
            <v>56</v>
          </cell>
          <cell r="C104" t="str">
            <v>-7</v>
          </cell>
          <cell r="D104">
            <v>17904</v>
          </cell>
          <cell r="E104" t="str">
            <v>구조물터파기</v>
          </cell>
          <cell r="F104" t="str">
            <v>(육상토사 6∼7 M)</v>
          </cell>
          <cell r="G104" t="str">
            <v>㎥</v>
          </cell>
          <cell r="I104">
            <v>0</v>
          </cell>
        </row>
        <row r="105">
          <cell r="A105" t="str">
            <v>E1</v>
          </cell>
          <cell r="B105">
            <v>0</v>
          </cell>
          <cell r="C105" t="str">
            <v>소계</v>
          </cell>
          <cell r="D105">
            <v>18032</v>
          </cell>
          <cell r="I105">
            <v>0</v>
          </cell>
        </row>
        <row r="106">
          <cell r="A106" t="str">
            <v>T1</v>
          </cell>
          <cell r="B106">
            <v>108</v>
          </cell>
          <cell r="C106" t="str">
            <v>b</v>
          </cell>
          <cell r="D106">
            <v>18035</v>
          </cell>
          <cell r="E106" t="str">
            <v>구조물터파기</v>
          </cell>
          <cell r="F106" t="str">
            <v>리핑암</v>
          </cell>
          <cell r="I106">
            <v>0</v>
          </cell>
        </row>
        <row r="107">
          <cell r="A107" t="str">
            <v>D00133</v>
          </cell>
          <cell r="B107">
            <v>1227</v>
          </cell>
          <cell r="C107" t="str">
            <v>-1</v>
          </cell>
          <cell r="D107">
            <v>18038</v>
          </cell>
          <cell r="E107" t="str">
            <v>구조물터파기</v>
          </cell>
          <cell r="F107" t="str">
            <v>(육상리핑암 0∼1 M)</v>
          </cell>
          <cell r="G107" t="str">
            <v>㎥</v>
          </cell>
          <cell r="I107">
            <v>0</v>
          </cell>
        </row>
        <row r="108">
          <cell r="A108" t="str">
            <v>D00134</v>
          </cell>
          <cell r="B108">
            <v>1</v>
          </cell>
          <cell r="C108" t="str">
            <v>-2</v>
          </cell>
          <cell r="D108">
            <v>18071</v>
          </cell>
          <cell r="E108" t="str">
            <v>구조물터파기</v>
          </cell>
          <cell r="F108" t="str">
            <v>(육상리핑암 1∼2 M)</v>
          </cell>
          <cell r="G108" t="str">
            <v>㎥</v>
          </cell>
          <cell r="I108">
            <v>0</v>
          </cell>
        </row>
        <row r="109">
          <cell r="A109" t="str">
            <v>E1</v>
          </cell>
          <cell r="B109">
            <v>0</v>
          </cell>
          <cell r="C109" t="str">
            <v>소계</v>
          </cell>
          <cell r="D109">
            <v>18088</v>
          </cell>
          <cell r="I109">
            <v>0</v>
          </cell>
        </row>
        <row r="110">
          <cell r="A110" t="str">
            <v>T1</v>
          </cell>
          <cell r="B110">
            <v>114</v>
          </cell>
          <cell r="C110" t="str">
            <v>c</v>
          </cell>
          <cell r="D110">
            <v>18104</v>
          </cell>
          <cell r="E110" t="str">
            <v>구조물터파기</v>
          </cell>
          <cell r="F110" t="str">
            <v>발파암</v>
          </cell>
          <cell r="I110">
            <v>0</v>
          </cell>
        </row>
        <row r="111">
          <cell r="A111" t="str">
            <v>D00135</v>
          </cell>
          <cell r="B111">
            <v>2915</v>
          </cell>
          <cell r="C111" t="str">
            <v>-1</v>
          </cell>
          <cell r="D111">
            <v>18168</v>
          </cell>
          <cell r="E111" t="str">
            <v>구조물터파기</v>
          </cell>
          <cell r="F111" t="str">
            <v>(육상발파암 0∼1 M)</v>
          </cell>
          <cell r="G111" t="str">
            <v>㎥</v>
          </cell>
          <cell r="I111">
            <v>0</v>
          </cell>
        </row>
        <row r="112">
          <cell r="A112" t="str">
            <v>D00136</v>
          </cell>
          <cell r="B112">
            <v>2362</v>
          </cell>
          <cell r="C112" t="str">
            <v>-2</v>
          </cell>
          <cell r="D112">
            <v>18204</v>
          </cell>
          <cell r="E112" t="str">
            <v>구조물터파기</v>
          </cell>
          <cell r="F112" t="str">
            <v>(육상발파암 1∼2 M)</v>
          </cell>
          <cell r="G112" t="str">
            <v>㎥</v>
          </cell>
          <cell r="I112">
            <v>0</v>
          </cell>
        </row>
        <row r="113">
          <cell r="A113" t="str">
            <v>D03810</v>
          </cell>
          <cell r="B113">
            <v>200</v>
          </cell>
          <cell r="C113" t="str">
            <v>-3</v>
          </cell>
          <cell r="D113">
            <v>18452</v>
          </cell>
          <cell r="E113" t="str">
            <v>구조물터파기</v>
          </cell>
          <cell r="F113" t="str">
            <v>(육상발파암 2∼3 M)</v>
          </cell>
          <cell r="G113" t="str">
            <v>㎥</v>
          </cell>
          <cell r="I113">
            <v>0</v>
          </cell>
        </row>
        <row r="114">
          <cell r="A114" t="str">
            <v>D03811</v>
          </cell>
          <cell r="B114">
            <v>66</v>
          </cell>
          <cell r="C114" t="str">
            <v>-4</v>
          </cell>
          <cell r="D114">
            <v>18576</v>
          </cell>
          <cell r="E114" t="str">
            <v>구조물터파기</v>
          </cell>
          <cell r="F114" t="str">
            <v>(육상발파암 3∼4 M)</v>
          </cell>
          <cell r="G114" t="str">
            <v>㎥</v>
          </cell>
          <cell r="I114">
            <v>0</v>
          </cell>
        </row>
        <row r="115">
          <cell r="A115" t="str">
            <v>E1</v>
          </cell>
          <cell r="B115">
            <v>0</v>
          </cell>
          <cell r="C115" t="str">
            <v>소계</v>
          </cell>
          <cell r="D115">
            <v>18700</v>
          </cell>
          <cell r="I115">
            <v>0</v>
          </cell>
        </row>
        <row r="116">
          <cell r="A116" t="str">
            <v>E2</v>
          </cell>
          <cell r="B116">
            <v>0</v>
          </cell>
          <cell r="C116" t="str">
            <v>계</v>
          </cell>
          <cell r="D116">
            <v>19195</v>
          </cell>
          <cell r="I116">
            <v>0</v>
          </cell>
        </row>
        <row r="117">
          <cell r="A117" t="str">
            <v>D00156</v>
          </cell>
          <cell r="B117">
            <v>43324</v>
          </cell>
          <cell r="C117" t="str">
            <v>2.03</v>
          </cell>
          <cell r="D117">
            <v>19245</v>
          </cell>
          <cell r="E117" t="str">
            <v>되메우기및다짐</v>
          </cell>
          <cell r="F117" t="str">
            <v>(인력50%+백호우50%)</v>
          </cell>
          <cell r="G117" t="str">
            <v>㎥</v>
          </cell>
          <cell r="I117">
            <v>0</v>
          </cell>
        </row>
        <row r="118">
          <cell r="A118" t="str">
            <v>D01204</v>
          </cell>
          <cell r="B118">
            <v>2871</v>
          </cell>
          <cell r="C118" t="str">
            <v>2.04</v>
          </cell>
          <cell r="D118">
            <v>19286</v>
          </cell>
          <cell r="E118" t="str">
            <v>잔토처리</v>
          </cell>
          <cell r="F118" t="str">
            <v>(인 력)</v>
          </cell>
          <cell r="G118" t="str">
            <v>㎥</v>
          </cell>
          <cell r="I118">
            <v>0</v>
          </cell>
        </row>
        <row r="119">
          <cell r="A119" t="str">
            <v>D00166</v>
          </cell>
          <cell r="B119">
            <v>1453</v>
          </cell>
          <cell r="C119" t="str">
            <v>2.05</v>
          </cell>
          <cell r="D119">
            <v>19326</v>
          </cell>
          <cell r="E119" t="str">
            <v>측구뚝쌓기</v>
          </cell>
          <cell r="F119" t="str">
            <v>(인 력)</v>
          </cell>
          <cell r="G119" t="str">
            <v>㎡</v>
          </cell>
          <cell r="I119">
            <v>0</v>
          </cell>
        </row>
        <row r="120">
          <cell r="A120" t="str">
            <v>E3</v>
          </cell>
          <cell r="B120">
            <v>0</v>
          </cell>
          <cell r="C120" t="str">
            <v>합계</v>
          </cell>
          <cell r="D120">
            <v>19406</v>
          </cell>
          <cell r="I120">
            <v>0</v>
          </cell>
        </row>
        <row r="121">
          <cell r="A121" t="str">
            <v>T3</v>
          </cell>
          <cell r="B121">
            <v>149</v>
          </cell>
          <cell r="C121" t="str">
            <v>2.B</v>
          </cell>
          <cell r="D121">
            <v>19414</v>
          </cell>
          <cell r="E121" t="str">
            <v>측    구    공</v>
          </cell>
          <cell r="I121">
            <v>0</v>
          </cell>
        </row>
        <row r="122">
          <cell r="A122" t="str">
            <v>T2</v>
          </cell>
          <cell r="B122">
            <v>127</v>
          </cell>
          <cell r="C122" t="str">
            <v>2.06</v>
          </cell>
          <cell r="D122">
            <v>19435</v>
          </cell>
          <cell r="E122" t="str">
            <v>L 형측구</v>
          </cell>
          <cell r="I122">
            <v>0</v>
          </cell>
        </row>
        <row r="123">
          <cell r="A123" t="str">
            <v>D00358</v>
          </cell>
          <cell r="B123">
            <v>2037</v>
          </cell>
          <cell r="C123" t="str">
            <v>a</v>
          </cell>
          <cell r="D123">
            <v>19471</v>
          </cell>
          <cell r="E123" t="str">
            <v>L 형측구</v>
          </cell>
          <cell r="F123" t="str">
            <v>(형식-1, H=0.515m)</v>
          </cell>
          <cell r="G123" t="str">
            <v>M</v>
          </cell>
          <cell r="I123">
            <v>0</v>
          </cell>
        </row>
        <row r="124">
          <cell r="A124" t="str">
            <v>D00359</v>
          </cell>
          <cell r="B124">
            <v>1974</v>
          </cell>
          <cell r="C124" t="str">
            <v>b</v>
          </cell>
          <cell r="D124">
            <v>19479</v>
          </cell>
          <cell r="E124" t="str">
            <v>L 형측구</v>
          </cell>
          <cell r="F124" t="str">
            <v>(형식-2, H=1.282m)</v>
          </cell>
          <cell r="G124" t="str">
            <v>M</v>
          </cell>
          <cell r="I124">
            <v>0</v>
          </cell>
        </row>
        <row r="125">
          <cell r="A125" t="str">
            <v>D00361</v>
          </cell>
          <cell r="B125">
            <v>1861</v>
          </cell>
          <cell r="C125" t="str">
            <v>c</v>
          </cell>
          <cell r="D125">
            <v>19481</v>
          </cell>
          <cell r="E125" t="str">
            <v>L 형측구</v>
          </cell>
          <cell r="F125" t="str">
            <v>(형식-3, H=2.215 M)</v>
          </cell>
          <cell r="G125" t="str">
            <v>M</v>
          </cell>
          <cell r="I125">
            <v>0</v>
          </cell>
        </row>
        <row r="126">
          <cell r="A126" t="str">
            <v>D01250</v>
          </cell>
          <cell r="B126">
            <v>4088</v>
          </cell>
          <cell r="C126" t="str">
            <v>d</v>
          </cell>
          <cell r="D126">
            <v>19483</v>
          </cell>
          <cell r="E126" t="str">
            <v>L 형측구</v>
          </cell>
          <cell r="F126" t="str">
            <v>(형식-4, H=0.35 m)</v>
          </cell>
          <cell r="G126" t="str">
            <v>M</v>
          </cell>
          <cell r="I126">
            <v>0</v>
          </cell>
        </row>
        <row r="127">
          <cell r="A127" t="str">
            <v>D00653</v>
          </cell>
          <cell r="B127">
            <v>20173</v>
          </cell>
          <cell r="C127" t="str">
            <v>e</v>
          </cell>
          <cell r="D127">
            <v>19485</v>
          </cell>
          <cell r="E127" t="str">
            <v>L 형측구</v>
          </cell>
          <cell r="F127" t="str">
            <v>(성토부, H=0.40 m)</v>
          </cell>
          <cell r="G127" t="str">
            <v>M</v>
          </cell>
          <cell r="I127">
            <v>0</v>
          </cell>
        </row>
        <row r="128">
          <cell r="A128" t="str">
            <v>E2</v>
          </cell>
          <cell r="B128">
            <v>0</v>
          </cell>
          <cell r="C128" t="str">
            <v>계</v>
          </cell>
          <cell r="D128">
            <v>19487</v>
          </cell>
          <cell r="I128">
            <v>0</v>
          </cell>
        </row>
        <row r="129">
          <cell r="A129" t="str">
            <v>T2</v>
          </cell>
          <cell r="B129">
            <v>133</v>
          </cell>
          <cell r="C129" t="str">
            <v>2.07</v>
          </cell>
          <cell r="D129">
            <v>19615</v>
          </cell>
          <cell r="E129" t="str">
            <v>U 형측구</v>
          </cell>
          <cell r="I129">
            <v>0</v>
          </cell>
        </row>
        <row r="130">
          <cell r="A130" t="str">
            <v>D00369</v>
          </cell>
          <cell r="B130">
            <v>5806</v>
          </cell>
          <cell r="C130" t="str">
            <v>a</v>
          </cell>
          <cell r="D130">
            <v>19647</v>
          </cell>
          <cell r="E130" t="str">
            <v>V 형측구</v>
          </cell>
          <cell r="F130" t="str">
            <v>(H=0.6 m)</v>
          </cell>
          <cell r="G130" t="str">
            <v>M</v>
          </cell>
          <cell r="I130">
            <v>0</v>
          </cell>
        </row>
        <row r="131">
          <cell r="A131" t="str">
            <v>D01178</v>
          </cell>
          <cell r="B131">
            <v>1120</v>
          </cell>
          <cell r="C131" t="str">
            <v>b</v>
          </cell>
          <cell r="D131">
            <v>19679</v>
          </cell>
          <cell r="E131" t="str">
            <v>U 형측구</v>
          </cell>
          <cell r="F131" t="str">
            <v>(형식-1)</v>
          </cell>
          <cell r="G131" t="str">
            <v>M</v>
          </cell>
          <cell r="I131">
            <v>0</v>
          </cell>
        </row>
        <row r="132">
          <cell r="A132" t="str">
            <v>D01179</v>
          </cell>
          <cell r="B132">
            <v>570</v>
          </cell>
          <cell r="C132" t="str">
            <v>c</v>
          </cell>
          <cell r="D132">
            <v>19711</v>
          </cell>
          <cell r="E132" t="str">
            <v>U 형측구</v>
          </cell>
          <cell r="F132" t="str">
            <v>(형식-2)</v>
          </cell>
          <cell r="G132" t="str">
            <v>M</v>
          </cell>
          <cell r="I132">
            <v>0</v>
          </cell>
        </row>
        <row r="133">
          <cell r="A133" t="str">
            <v>D01252</v>
          </cell>
          <cell r="B133">
            <v>116</v>
          </cell>
          <cell r="C133" t="str">
            <v>d</v>
          </cell>
          <cell r="D133">
            <v>19727</v>
          </cell>
          <cell r="E133" t="str">
            <v>U 형측구</v>
          </cell>
          <cell r="F133" t="str">
            <v>(형식-3)</v>
          </cell>
          <cell r="G133" t="str">
            <v>M</v>
          </cell>
          <cell r="I133">
            <v>0</v>
          </cell>
        </row>
        <row r="134">
          <cell r="A134" t="str">
            <v>E2</v>
          </cell>
          <cell r="B134">
            <v>0</v>
          </cell>
          <cell r="C134" t="str">
            <v>계</v>
          </cell>
          <cell r="D134">
            <v>19735</v>
          </cell>
          <cell r="I134">
            <v>0</v>
          </cell>
        </row>
        <row r="135">
          <cell r="A135" t="str">
            <v>T2</v>
          </cell>
          <cell r="B135">
            <v>140</v>
          </cell>
          <cell r="C135" t="str">
            <v>2.08</v>
          </cell>
          <cell r="D135">
            <v>19739</v>
          </cell>
          <cell r="E135" t="str">
            <v>버 팀 보</v>
          </cell>
          <cell r="I135">
            <v>0</v>
          </cell>
        </row>
        <row r="136">
          <cell r="A136" t="str">
            <v>D00237</v>
          </cell>
          <cell r="B136">
            <v>22</v>
          </cell>
          <cell r="C136" t="str">
            <v>a</v>
          </cell>
          <cell r="D136">
            <v>19741</v>
          </cell>
          <cell r="E136" t="str">
            <v>콘크리트타설</v>
          </cell>
          <cell r="F136" t="str">
            <v>(철근 펌프카)</v>
          </cell>
          <cell r="G136" t="str">
            <v>㎥</v>
          </cell>
          <cell r="I136">
            <v>0</v>
          </cell>
        </row>
        <row r="137">
          <cell r="A137" t="str">
            <v>D00276</v>
          </cell>
          <cell r="B137">
            <v>155</v>
          </cell>
          <cell r="C137" t="str">
            <v>b</v>
          </cell>
          <cell r="D137">
            <v>19742</v>
          </cell>
          <cell r="E137" t="str">
            <v>합판거푸집</v>
          </cell>
          <cell r="F137" t="str">
            <v>(3 회)</v>
          </cell>
          <cell r="G137" t="str">
            <v>㎡</v>
          </cell>
          <cell r="I137">
            <v>0</v>
          </cell>
        </row>
        <row r="138">
          <cell r="A138" t="str">
            <v>D00327</v>
          </cell>
          <cell r="B138">
            <v>122</v>
          </cell>
          <cell r="C138" t="str">
            <v>c</v>
          </cell>
          <cell r="D138">
            <v>19743</v>
          </cell>
          <cell r="E138" t="str">
            <v>동바리공</v>
          </cell>
          <cell r="F138" t="str">
            <v>(목재 4 회)</v>
          </cell>
          <cell r="G138" t="str">
            <v>공㎥</v>
          </cell>
          <cell r="I138">
            <v>0</v>
          </cell>
        </row>
        <row r="139">
          <cell r="A139" t="str">
            <v>D00270</v>
          </cell>
          <cell r="B139">
            <v>4.024</v>
          </cell>
          <cell r="C139" t="str">
            <v>d</v>
          </cell>
          <cell r="D139">
            <v>19807</v>
          </cell>
          <cell r="E139" t="str">
            <v>철근가공조립</v>
          </cell>
          <cell r="F139" t="str">
            <v>(간 단)</v>
          </cell>
          <cell r="G139" t="str">
            <v>Ton</v>
          </cell>
          <cell r="I139">
            <v>0</v>
          </cell>
        </row>
        <row r="140">
          <cell r="A140" t="str">
            <v>D00588</v>
          </cell>
          <cell r="B140">
            <v>111</v>
          </cell>
          <cell r="C140" t="str">
            <v>e</v>
          </cell>
          <cell r="D140">
            <v>19839</v>
          </cell>
          <cell r="E140" t="str">
            <v>스페이서 설치</v>
          </cell>
          <cell r="F140" t="str">
            <v>(슬라브및기초용)</v>
          </cell>
          <cell r="G140" t="str">
            <v>㎡</v>
          </cell>
          <cell r="I140">
            <v>0</v>
          </cell>
        </row>
        <row r="141">
          <cell r="A141" t="str">
            <v>E2</v>
          </cell>
          <cell r="B141">
            <v>0</v>
          </cell>
          <cell r="C141" t="str">
            <v>계</v>
          </cell>
          <cell r="D141">
            <v>19871</v>
          </cell>
          <cell r="I141">
            <v>0</v>
          </cell>
        </row>
        <row r="142">
          <cell r="A142" t="str">
            <v>D00360</v>
          </cell>
          <cell r="B142">
            <v>2050</v>
          </cell>
          <cell r="C142" t="str">
            <v>2.09</v>
          </cell>
          <cell r="D142">
            <v>19935</v>
          </cell>
          <cell r="E142" t="str">
            <v>산마루측구</v>
          </cell>
          <cell r="F142" t="str">
            <v>(H=0.65 M)</v>
          </cell>
          <cell r="G142" t="str">
            <v>M</v>
          </cell>
          <cell r="I142">
            <v>0</v>
          </cell>
        </row>
        <row r="143">
          <cell r="A143" t="str">
            <v>D01216</v>
          </cell>
          <cell r="B143">
            <v>1181</v>
          </cell>
          <cell r="C143" t="str">
            <v>2.10</v>
          </cell>
          <cell r="D143">
            <v>20031</v>
          </cell>
          <cell r="E143" t="str">
            <v>소단부측구</v>
          </cell>
          <cell r="G143" t="str">
            <v>M</v>
          </cell>
          <cell r="I143">
            <v>0</v>
          </cell>
        </row>
        <row r="144">
          <cell r="A144" t="str">
            <v>D03801</v>
          </cell>
          <cell r="B144">
            <v>1040</v>
          </cell>
          <cell r="C144" t="str">
            <v>2.11</v>
          </cell>
          <cell r="D144">
            <v>21889</v>
          </cell>
          <cell r="E144" t="str">
            <v>녹지대측구</v>
          </cell>
          <cell r="G144" t="str">
            <v>M</v>
          </cell>
          <cell r="I144">
            <v>0</v>
          </cell>
        </row>
        <row r="145">
          <cell r="A145" t="str">
            <v>T2</v>
          </cell>
          <cell r="B145">
            <v>148</v>
          </cell>
          <cell r="C145" t="str">
            <v>2.12</v>
          </cell>
          <cell r="D145">
            <v>23746</v>
          </cell>
          <cell r="E145" t="str">
            <v>맹  암  거</v>
          </cell>
          <cell r="I145">
            <v>0</v>
          </cell>
        </row>
        <row r="146">
          <cell r="A146" t="str">
            <v>D00356</v>
          </cell>
          <cell r="B146">
            <v>1367</v>
          </cell>
          <cell r="C146" t="str">
            <v>a</v>
          </cell>
          <cell r="D146">
            <v>24314</v>
          </cell>
          <cell r="E146" t="str">
            <v>맹암거설치</v>
          </cell>
          <cell r="F146" t="str">
            <v>(형식-1, 토사구간)</v>
          </cell>
          <cell r="G146" t="str">
            <v>M</v>
          </cell>
          <cell r="I146">
            <v>0</v>
          </cell>
        </row>
        <row r="147">
          <cell r="A147" t="str">
            <v>D00357</v>
          </cell>
          <cell r="B147">
            <v>4394</v>
          </cell>
          <cell r="C147" t="str">
            <v>b</v>
          </cell>
          <cell r="D147">
            <v>24614</v>
          </cell>
          <cell r="E147" t="str">
            <v>맹암거설치</v>
          </cell>
          <cell r="F147" t="str">
            <v>(형식-2, 암구간)</v>
          </cell>
          <cell r="G147" t="str">
            <v>M</v>
          </cell>
          <cell r="I147">
            <v>0</v>
          </cell>
        </row>
        <row r="148">
          <cell r="A148" t="str">
            <v>D00362</v>
          </cell>
          <cell r="B148">
            <v>619</v>
          </cell>
          <cell r="C148" t="str">
            <v>c</v>
          </cell>
          <cell r="D148">
            <v>25068</v>
          </cell>
          <cell r="E148" t="str">
            <v>맹암거설치</v>
          </cell>
          <cell r="F148" t="str">
            <v>(형식-3, 절성경계부)</v>
          </cell>
          <cell r="G148" t="str">
            <v>M</v>
          </cell>
          <cell r="I148">
            <v>0</v>
          </cell>
        </row>
        <row r="149">
          <cell r="A149" t="str">
            <v>E2</v>
          </cell>
          <cell r="B149">
            <v>0</v>
          </cell>
          <cell r="C149" t="str">
            <v>계</v>
          </cell>
          <cell r="D149">
            <v>26130</v>
          </cell>
          <cell r="I149">
            <v>0</v>
          </cell>
        </row>
        <row r="150">
          <cell r="A150" t="str">
            <v>E3</v>
          </cell>
          <cell r="B150">
            <v>0</v>
          </cell>
          <cell r="C150" t="str">
            <v>합계</v>
          </cell>
          <cell r="D150">
            <v>26278</v>
          </cell>
          <cell r="I150">
            <v>0</v>
          </cell>
        </row>
        <row r="151">
          <cell r="A151" t="str">
            <v>T3</v>
          </cell>
          <cell r="B151">
            <v>209</v>
          </cell>
          <cell r="C151" t="str">
            <v>2.C</v>
          </cell>
          <cell r="D151">
            <v>26425</v>
          </cell>
          <cell r="E151" t="str">
            <v>배  수  관  공</v>
          </cell>
          <cell r="I151">
            <v>0</v>
          </cell>
        </row>
        <row r="152">
          <cell r="A152" t="str">
            <v>T2</v>
          </cell>
          <cell r="B152">
            <v>173</v>
          </cell>
          <cell r="C152" t="str">
            <v>2.13</v>
          </cell>
          <cell r="D152">
            <v>26426</v>
          </cell>
          <cell r="E152" t="str">
            <v>횡배수관부설</v>
          </cell>
          <cell r="F152" t="str">
            <v>V.R 관</v>
          </cell>
          <cell r="I152">
            <v>0</v>
          </cell>
        </row>
        <row r="153">
          <cell r="A153" t="str">
            <v>T1</v>
          </cell>
          <cell r="B153">
            <v>157</v>
          </cell>
          <cell r="C153" t="str">
            <v>a</v>
          </cell>
          <cell r="D153">
            <v>26447</v>
          </cell>
          <cell r="E153" t="str">
            <v>V.R 관부설</v>
          </cell>
          <cell r="F153" t="str">
            <v>일반부</v>
          </cell>
          <cell r="I153">
            <v>0</v>
          </cell>
        </row>
        <row r="154">
          <cell r="A154" t="str">
            <v>D00367</v>
          </cell>
          <cell r="B154">
            <v>450</v>
          </cell>
          <cell r="C154" t="str">
            <v>-1</v>
          </cell>
          <cell r="D154">
            <v>26458</v>
          </cell>
          <cell r="E154" t="str">
            <v>횡배수관부설</v>
          </cell>
          <cell r="F154" t="str">
            <v>(D= 600m/m)일반구간</v>
          </cell>
          <cell r="G154" t="str">
            <v>M</v>
          </cell>
          <cell r="I154">
            <v>0</v>
          </cell>
        </row>
        <row r="155">
          <cell r="A155" t="str">
            <v>D00368</v>
          </cell>
          <cell r="B155">
            <v>340</v>
          </cell>
          <cell r="C155" t="str">
            <v>-2</v>
          </cell>
          <cell r="D155">
            <v>26463</v>
          </cell>
          <cell r="E155" t="str">
            <v>횡배수관부설</v>
          </cell>
          <cell r="F155" t="str">
            <v>(D= 800m/m)일반구간</v>
          </cell>
          <cell r="G155" t="str">
            <v>M</v>
          </cell>
          <cell r="I155">
            <v>0</v>
          </cell>
        </row>
        <row r="156">
          <cell r="A156" t="str">
            <v>D00370</v>
          </cell>
          <cell r="B156">
            <v>105</v>
          </cell>
          <cell r="C156" t="str">
            <v>-3</v>
          </cell>
          <cell r="D156">
            <v>26466</v>
          </cell>
          <cell r="E156" t="str">
            <v>횡배수관부설</v>
          </cell>
          <cell r="F156" t="str">
            <v>(D=1000m/m)일반구간</v>
          </cell>
          <cell r="G156" t="str">
            <v>M</v>
          </cell>
          <cell r="I156">
            <v>0</v>
          </cell>
        </row>
        <row r="157">
          <cell r="A157" t="str">
            <v>D00372</v>
          </cell>
          <cell r="B157">
            <v>121</v>
          </cell>
          <cell r="C157" t="str">
            <v>-4</v>
          </cell>
          <cell r="D157">
            <v>26467</v>
          </cell>
          <cell r="E157" t="str">
            <v>횡배수관부설</v>
          </cell>
          <cell r="F157" t="str">
            <v>(D=1200 m/m)일반구간</v>
          </cell>
          <cell r="G157" t="str">
            <v>M</v>
          </cell>
          <cell r="I157">
            <v>0</v>
          </cell>
        </row>
        <row r="158">
          <cell r="A158" t="str">
            <v>E1</v>
          </cell>
          <cell r="B158">
            <v>0</v>
          </cell>
          <cell r="C158" t="str">
            <v>소계</v>
          </cell>
          <cell r="D158">
            <v>26468</v>
          </cell>
          <cell r="I158">
            <v>0</v>
          </cell>
        </row>
        <row r="159">
          <cell r="A159" t="str">
            <v>T1</v>
          </cell>
          <cell r="B159">
            <v>162</v>
          </cell>
          <cell r="C159" t="str">
            <v>b</v>
          </cell>
          <cell r="D159">
            <v>26532</v>
          </cell>
          <cell r="E159" t="str">
            <v>V.R 관부설</v>
          </cell>
          <cell r="F159" t="str">
            <v>보강부</v>
          </cell>
          <cell r="I159">
            <v>0</v>
          </cell>
        </row>
        <row r="160">
          <cell r="A160" t="str">
            <v>D01258</v>
          </cell>
          <cell r="B160">
            <v>751</v>
          </cell>
          <cell r="C160" t="str">
            <v>-1</v>
          </cell>
          <cell r="D160">
            <v>26945</v>
          </cell>
          <cell r="E160" t="str">
            <v>횡배수관부설</v>
          </cell>
          <cell r="F160" t="str">
            <v>(D= 800m/m)보강구간</v>
          </cell>
          <cell r="G160" t="str">
            <v>M</v>
          </cell>
          <cell r="I160">
            <v>0</v>
          </cell>
        </row>
        <row r="161">
          <cell r="A161" t="str">
            <v>D01261</v>
          </cell>
          <cell r="B161">
            <v>226</v>
          </cell>
          <cell r="C161" t="str">
            <v>-2</v>
          </cell>
          <cell r="D161">
            <v>27160</v>
          </cell>
          <cell r="E161" t="str">
            <v>횡배수관부설</v>
          </cell>
          <cell r="F161" t="str">
            <v>(D=1000m/m)보강구간</v>
          </cell>
          <cell r="G161" t="str">
            <v>M</v>
          </cell>
          <cell r="I161">
            <v>0</v>
          </cell>
        </row>
        <row r="162">
          <cell r="A162" t="str">
            <v>D01264</v>
          </cell>
          <cell r="B162">
            <v>434</v>
          </cell>
          <cell r="C162" t="str">
            <v>-3</v>
          </cell>
          <cell r="D162">
            <v>27213</v>
          </cell>
          <cell r="E162" t="str">
            <v>횡배수관부설</v>
          </cell>
          <cell r="F162" t="str">
            <v>(D=1200m/m)보강구간</v>
          </cell>
          <cell r="G162" t="str">
            <v>M</v>
          </cell>
          <cell r="I162">
            <v>0</v>
          </cell>
        </row>
        <row r="163">
          <cell r="A163" t="str">
            <v>E1</v>
          </cell>
          <cell r="B163">
            <v>0</v>
          </cell>
          <cell r="C163" t="str">
            <v>소계</v>
          </cell>
          <cell r="D163">
            <v>27239</v>
          </cell>
          <cell r="I163">
            <v>0</v>
          </cell>
        </row>
        <row r="164">
          <cell r="A164" t="str">
            <v>T1</v>
          </cell>
          <cell r="B164">
            <v>166</v>
          </cell>
          <cell r="C164" t="str">
            <v>c</v>
          </cell>
          <cell r="D164">
            <v>27366</v>
          </cell>
          <cell r="E164" t="str">
            <v>날 개 벽</v>
          </cell>
          <cell r="I164">
            <v>0</v>
          </cell>
        </row>
        <row r="165">
          <cell r="A165" t="str">
            <v>D00285</v>
          </cell>
          <cell r="B165">
            <v>1092</v>
          </cell>
          <cell r="C165" t="str">
            <v>-1</v>
          </cell>
          <cell r="D165">
            <v>27890</v>
          </cell>
          <cell r="E165" t="str">
            <v>합판거푸집</v>
          </cell>
          <cell r="F165" t="str">
            <v>(소형 3 회)</v>
          </cell>
          <cell r="G165" t="str">
            <v>㎡</v>
          </cell>
          <cell r="I165">
            <v>0</v>
          </cell>
        </row>
        <row r="166">
          <cell r="A166" t="str">
            <v>D00236</v>
          </cell>
          <cell r="B166">
            <v>217</v>
          </cell>
          <cell r="C166" t="str">
            <v>-2</v>
          </cell>
          <cell r="D166">
            <v>27946</v>
          </cell>
          <cell r="E166" t="str">
            <v>콘크리트타설</v>
          </cell>
          <cell r="F166" t="str">
            <v>(소형 VIB 포함)</v>
          </cell>
          <cell r="G166" t="str">
            <v>㎥</v>
          </cell>
          <cell r="I166">
            <v>0</v>
          </cell>
        </row>
        <row r="167">
          <cell r="A167" t="str">
            <v>E1</v>
          </cell>
          <cell r="B167">
            <v>0</v>
          </cell>
          <cell r="C167" t="str">
            <v>소계</v>
          </cell>
          <cell r="D167">
            <v>28135</v>
          </cell>
          <cell r="I167">
            <v>0</v>
          </cell>
        </row>
        <row r="168">
          <cell r="A168" t="str">
            <v>D00385</v>
          </cell>
          <cell r="B168">
            <v>59</v>
          </cell>
          <cell r="C168" t="str">
            <v>d</v>
          </cell>
          <cell r="D168">
            <v>28229</v>
          </cell>
          <cell r="E168" t="str">
            <v>횡배수관</v>
          </cell>
          <cell r="F168" t="str">
            <v>(파형관, D=1200 m/m)</v>
          </cell>
          <cell r="G168" t="str">
            <v>M</v>
          </cell>
          <cell r="I168">
            <v>0</v>
          </cell>
        </row>
        <row r="169">
          <cell r="A169" t="str">
            <v>T1</v>
          </cell>
          <cell r="B169">
            <v>171</v>
          </cell>
          <cell r="C169" t="str">
            <v>e</v>
          </cell>
          <cell r="D169">
            <v>28276</v>
          </cell>
          <cell r="E169" t="str">
            <v>수로보호공</v>
          </cell>
          <cell r="I169">
            <v>0</v>
          </cell>
        </row>
        <row r="170">
          <cell r="A170" t="str">
            <v>D00282</v>
          </cell>
          <cell r="B170">
            <v>7</v>
          </cell>
          <cell r="C170" t="str">
            <v>-1</v>
          </cell>
          <cell r="D170">
            <v>28300</v>
          </cell>
          <cell r="E170" t="str">
            <v>합판거푸집</v>
          </cell>
          <cell r="F170" t="str">
            <v>(6 회)</v>
          </cell>
          <cell r="G170" t="str">
            <v>㎡</v>
          </cell>
          <cell r="I170">
            <v>0</v>
          </cell>
        </row>
        <row r="171">
          <cell r="A171" t="str">
            <v>D00231</v>
          </cell>
          <cell r="B171">
            <v>7</v>
          </cell>
          <cell r="C171" t="str">
            <v>-2</v>
          </cell>
          <cell r="D171">
            <v>28312</v>
          </cell>
          <cell r="E171" t="str">
            <v>콘크리트타설</v>
          </cell>
          <cell r="F171" t="str">
            <v>(무근 VIB 제외)</v>
          </cell>
          <cell r="G171" t="str">
            <v>㎥</v>
          </cell>
          <cell r="I171">
            <v>0</v>
          </cell>
        </row>
        <row r="172">
          <cell r="A172" t="str">
            <v>E1</v>
          </cell>
          <cell r="B172">
            <v>0</v>
          </cell>
          <cell r="C172" t="str">
            <v>소계</v>
          </cell>
          <cell r="D172">
            <v>28318</v>
          </cell>
          <cell r="I172">
            <v>0</v>
          </cell>
        </row>
        <row r="173">
          <cell r="A173" t="str">
            <v>D00270</v>
          </cell>
          <cell r="B173">
            <v>4.62</v>
          </cell>
          <cell r="C173" t="str">
            <v>f</v>
          </cell>
          <cell r="D173">
            <v>28321</v>
          </cell>
          <cell r="E173" t="str">
            <v>철근가공조립</v>
          </cell>
          <cell r="F173" t="str">
            <v>(간 단)</v>
          </cell>
          <cell r="G173" t="str">
            <v>Ton</v>
          </cell>
          <cell r="I173">
            <v>0</v>
          </cell>
        </row>
        <row r="174">
          <cell r="A174" t="str">
            <v>E2</v>
          </cell>
          <cell r="B174">
            <v>0</v>
          </cell>
          <cell r="C174" t="str">
            <v>계</v>
          </cell>
          <cell r="D174">
            <v>28323</v>
          </cell>
          <cell r="I174">
            <v>0</v>
          </cell>
        </row>
        <row r="175">
          <cell r="A175" t="str">
            <v>T2</v>
          </cell>
          <cell r="B175">
            <v>191</v>
          </cell>
          <cell r="C175" t="str">
            <v>2.14</v>
          </cell>
          <cell r="D175">
            <v>28634</v>
          </cell>
          <cell r="E175" t="str">
            <v>종배수관부설</v>
          </cell>
          <cell r="F175" t="str">
            <v>흄 관</v>
          </cell>
          <cell r="I175">
            <v>0</v>
          </cell>
        </row>
        <row r="176">
          <cell r="A176" t="str">
            <v>T1</v>
          </cell>
          <cell r="B176">
            <v>181</v>
          </cell>
          <cell r="C176" t="str">
            <v>a</v>
          </cell>
          <cell r="D176">
            <v>28710</v>
          </cell>
          <cell r="E176" t="str">
            <v>종배수관부설</v>
          </cell>
          <cell r="I176">
            <v>0</v>
          </cell>
        </row>
        <row r="177">
          <cell r="A177" t="str">
            <v>D01185</v>
          </cell>
          <cell r="B177">
            <v>958</v>
          </cell>
          <cell r="C177" t="str">
            <v>-1</v>
          </cell>
          <cell r="D177">
            <v>28786</v>
          </cell>
          <cell r="E177" t="str">
            <v>종배수관부설</v>
          </cell>
          <cell r="F177" t="str">
            <v>(D= 450 m/m)</v>
          </cell>
          <cell r="G177" t="str">
            <v>M</v>
          </cell>
          <cell r="I177">
            <v>0</v>
          </cell>
        </row>
        <row r="178">
          <cell r="A178" t="str">
            <v>D01186</v>
          </cell>
          <cell r="B178">
            <v>1118</v>
          </cell>
          <cell r="C178" t="str">
            <v>-2</v>
          </cell>
          <cell r="D178">
            <v>28855</v>
          </cell>
          <cell r="E178" t="str">
            <v>종배수관부설</v>
          </cell>
          <cell r="F178" t="str">
            <v>(D= 600 m/m)</v>
          </cell>
          <cell r="G178" t="str">
            <v>M</v>
          </cell>
          <cell r="I178">
            <v>0</v>
          </cell>
        </row>
        <row r="179">
          <cell r="A179" t="str">
            <v>D01187</v>
          </cell>
          <cell r="B179">
            <v>1195</v>
          </cell>
          <cell r="C179" t="str">
            <v>-3</v>
          </cell>
          <cell r="D179">
            <v>28878</v>
          </cell>
          <cell r="E179" t="str">
            <v>종배수관부설</v>
          </cell>
          <cell r="F179" t="str">
            <v>(D= 800 m/m)</v>
          </cell>
          <cell r="G179" t="str">
            <v>M</v>
          </cell>
          <cell r="I179">
            <v>0</v>
          </cell>
        </row>
        <row r="180">
          <cell r="A180" t="str">
            <v>D01188</v>
          </cell>
          <cell r="B180">
            <v>210</v>
          </cell>
          <cell r="C180" t="str">
            <v>-4</v>
          </cell>
          <cell r="D180">
            <v>28890</v>
          </cell>
          <cell r="E180" t="str">
            <v>종배수관부설</v>
          </cell>
          <cell r="F180" t="str">
            <v>(D=1000 m/m)</v>
          </cell>
          <cell r="G180" t="str">
            <v>M</v>
          </cell>
          <cell r="I180">
            <v>0</v>
          </cell>
        </row>
        <row r="181">
          <cell r="A181" t="str">
            <v>D01184</v>
          </cell>
          <cell r="B181">
            <v>108</v>
          </cell>
          <cell r="C181" t="str">
            <v>-5</v>
          </cell>
          <cell r="D181">
            <v>28913</v>
          </cell>
          <cell r="E181" t="str">
            <v>종배수관부설</v>
          </cell>
          <cell r="F181" t="str">
            <v>(D=1200 m/m)</v>
          </cell>
          <cell r="G181" t="str">
            <v>M</v>
          </cell>
          <cell r="I181">
            <v>0</v>
          </cell>
        </row>
        <row r="182">
          <cell r="A182" t="str">
            <v>E1</v>
          </cell>
          <cell r="B182">
            <v>0</v>
          </cell>
          <cell r="C182" t="str">
            <v>소계</v>
          </cell>
          <cell r="D182">
            <v>28924</v>
          </cell>
          <cell r="I182">
            <v>0</v>
          </cell>
        </row>
        <row r="183">
          <cell r="A183" t="str">
            <v>T1</v>
          </cell>
          <cell r="B183">
            <v>185</v>
          </cell>
          <cell r="C183" t="str">
            <v>b</v>
          </cell>
          <cell r="D183">
            <v>31024</v>
          </cell>
          <cell r="E183" t="str">
            <v>종배수관면벽</v>
          </cell>
          <cell r="I183">
            <v>0</v>
          </cell>
        </row>
        <row r="184">
          <cell r="A184" t="str">
            <v>D00286</v>
          </cell>
          <cell r="B184">
            <v>764</v>
          </cell>
          <cell r="C184" t="str">
            <v>-1</v>
          </cell>
          <cell r="D184">
            <v>31152</v>
          </cell>
          <cell r="E184" t="str">
            <v>합판거푸집</v>
          </cell>
          <cell r="F184" t="str">
            <v>(소형 4 회)</v>
          </cell>
          <cell r="G184" t="str">
            <v>㎡</v>
          </cell>
          <cell r="I184">
            <v>0</v>
          </cell>
        </row>
        <row r="185">
          <cell r="A185" t="str">
            <v>D00233</v>
          </cell>
          <cell r="B185">
            <v>54</v>
          </cell>
          <cell r="C185" t="str">
            <v>-2</v>
          </cell>
          <cell r="D185">
            <v>31244</v>
          </cell>
          <cell r="E185" t="str">
            <v>콘크리트타설</v>
          </cell>
          <cell r="F185" t="str">
            <v>(소형 VIB 제외)</v>
          </cell>
          <cell r="G185" t="str">
            <v>㎥</v>
          </cell>
          <cell r="I185">
            <v>0</v>
          </cell>
        </row>
        <row r="186">
          <cell r="A186" t="str">
            <v>E1</v>
          </cell>
          <cell r="B186">
            <v>0</v>
          </cell>
          <cell r="C186" t="str">
            <v>소계</v>
          </cell>
          <cell r="D186">
            <v>32986</v>
          </cell>
          <cell r="I186">
            <v>0</v>
          </cell>
        </row>
        <row r="187">
          <cell r="A187" t="str">
            <v>T1</v>
          </cell>
          <cell r="B187">
            <v>190</v>
          </cell>
          <cell r="C187" t="str">
            <v>c</v>
          </cell>
          <cell r="D187">
            <v>33586</v>
          </cell>
          <cell r="E187" t="str">
            <v>초    비</v>
          </cell>
          <cell r="I187">
            <v>0</v>
          </cell>
        </row>
        <row r="188">
          <cell r="A188" t="str">
            <v>D03831</v>
          </cell>
          <cell r="B188">
            <v>1</v>
          </cell>
          <cell r="C188" t="str">
            <v>-1</v>
          </cell>
          <cell r="D188">
            <v>33886</v>
          </cell>
          <cell r="E188" t="str">
            <v>초    비</v>
          </cell>
          <cell r="F188" t="str">
            <v>(Φ 800 m/m)</v>
          </cell>
          <cell r="G188" t="str">
            <v>EA</v>
          </cell>
          <cell r="I188">
            <v>0</v>
          </cell>
        </row>
        <row r="189">
          <cell r="A189" t="str">
            <v>D03832</v>
          </cell>
          <cell r="B189">
            <v>2</v>
          </cell>
          <cell r="C189" t="str">
            <v>-2</v>
          </cell>
          <cell r="D189">
            <v>34036</v>
          </cell>
          <cell r="E189" t="str">
            <v>초    비</v>
          </cell>
          <cell r="F189" t="str">
            <v>(Φ1000 m/m)</v>
          </cell>
          <cell r="G189" t="str">
            <v>EA</v>
          </cell>
          <cell r="I189">
            <v>0</v>
          </cell>
        </row>
        <row r="190">
          <cell r="A190" t="str">
            <v>D03833</v>
          </cell>
          <cell r="B190">
            <v>4</v>
          </cell>
          <cell r="C190" t="str">
            <v>-3</v>
          </cell>
          <cell r="D190">
            <v>34111</v>
          </cell>
          <cell r="E190" t="str">
            <v>초    비</v>
          </cell>
          <cell r="F190" t="str">
            <v>(Φ1200 m/m)</v>
          </cell>
          <cell r="G190" t="str">
            <v>EA</v>
          </cell>
          <cell r="I190">
            <v>0</v>
          </cell>
        </row>
        <row r="191">
          <cell r="A191" t="str">
            <v>E1</v>
          </cell>
          <cell r="B191">
            <v>0</v>
          </cell>
          <cell r="C191" t="str">
            <v>소계</v>
          </cell>
          <cell r="D191">
            <v>34149</v>
          </cell>
          <cell r="I191">
            <v>0</v>
          </cell>
        </row>
        <row r="192">
          <cell r="A192" t="str">
            <v>E2</v>
          </cell>
          <cell r="B192">
            <v>0</v>
          </cell>
          <cell r="C192" t="str">
            <v>계</v>
          </cell>
          <cell r="D192">
            <v>34168</v>
          </cell>
          <cell r="I192">
            <v>0</v>
          </cell>
        </row>
        <row r="193">
          <cell r="A193" t="str">
            <v>T2</v>
          </cell>
          <cell r="B193">
            <v>207</v>
          </cell>
          <cell r="C193" t="str">
            <v>2.15</v>
          </cell>
          <cell r="D193">
            <v>34186</v>
          </cell>
          <cell r="E193" t="str">
            <v>집 수 정</v>
          </cell>
          <cell r="I193">
            <v>0</v>
          </cell>
        </row>
        <row r="194">
          <cell r="A194" t="str">
            <v>T1</v>
          </cell>
          <cell r="B194">
            <v>197</v>
          </cell>
          <cell r="C194" t="str">
            <v>a</v>
          </cell>
          <cell r="D194">
            <v>34218</v>
          </cell>
          <cell r="E194" t="str">
            <v>콘크리트타설</v>
          </cell>
          <cell r="I194">
            <v>0</v>
          </cell>
        </row>
        <row r="195">
          <cell r="A195" t="str">
            <v>D00235</v>
          </cell>
          <cell r="B195">
            <v>17</v>
          </cell>
          <cell r="C195" t="str">
            <v>-1</v>
          </cell>
          <cell r="D195">
            <v>34250</v>
          </cell>
          <cell r="E195" t="str">
            <v>콘크리트타설</v>
          </cell>
          <cell r="F195" t="str">
            <v>(철근 VIB 포함)</v>
          </cell>
          <cell r="G195" t="str">
            <v>㎥</v>
          </cell>
          <cell r="I195">
            <v>0</v>
          </cell>
        </row>
        <row r="196">
          <cell r="A196" t="str">
            <v>D00234</v>
          </cell>
          <cell r="B196">
            <v>116</v>
          </cell>
          <cell r="C196" t="str">
            <v>-2</v>
          </cell>
          <cell r="D196">
            <v>34386</v>
          </cell>
          <cell r="E196" t="str">
            <v>콘크리트타설</v>
          </cell>
          <cell r="F196" t="str">
            <v>(무근 VIB 포함)</v>
          </cell>
          <cell r="G196" t="str">
            <v>㎥</v>
          </cell>
          <cell r="I196">
            <v>0</v>
          </cell>
        </row>
        <row r="197">
          <cell r="A197" t="str">
            <v>D00231</v>
          </cell>
          <cell r="B197">
            <v>157</v>
          </cell>
          <cell r="C197" t="str">
            <v>-3</v>
          </cell>
          <cell r="D197">
            <v>34422</v>
          </cell>
          <cell r="E197" t="str">
            <v>콘크리트타설</v>
          </cell>
          <cell r="F197" t="str">
            <v>(무근 VIB 제외)</v>
          </cell>
          <cell r="G197" t="str">
            <v>㎥</v>
          </cell>
          <cell r="I197">
            <v>0</v>
          </cell>
        </row>
        <row r="198">
          <cell r="A198" t="str">
            <v>E1</v>
          </cell>
          <cell r="B198">
            <v>0</v>
          </cell>
          <cell r="C198" t="str">
            <v>소계</v>
          </cell>
          <cell r="D198">
            <v>34440</v>
          </cell>
          <cell r="I198">
            <v>0</v>
          </cell>
        </row>
        <row r="199">
          <cell r="A199" t="str">
            <v>D00280</v>
          </cell>
          <cell r="B199">
            <v>2621</v>
          </cell>
          <cell r="C199" t="str">
            <v>b</v>
          </cell>
          <cell r="D199">
            <v>34456</v>
          </cell>
          <cell r="E199" t="str">
            <v>합판거푸집</v>
          </cell>
          <cell r="F199" t="str">
            <v>(4 회)</v>
          </cell>
          <cell r="G199" t="str">
            <v>㎡</v>
          </cell>
          <cell r="I199">
            <v>0</v>
          </cell>
        </row>
        <row r="200">
          <cell r="A200" t="str">
            <v>D00271</v>
          </cell>
          <cell r="B200">
            <v>3.5649999999999999</v>
          </cell>
          <cell r="C200" t="str">
            <v>c</v>
          </cell>
          <cell r="D200">
            <v>34522</v>
          </cell>
          <cell r="E200" t="str">
            <v>철근가공조립</v>
          </cell>
          <cell r="F200" t="str">
            <v>(보 통)</v>
          </cell>
          <cell r="G200" t="str">
            <v>Ton</v>
          </cell>
          <cell r="I200">
            <v>0</v>
          </cell>
        </row>
        <row r="201">
          <cell r="A201" t="str">
            <v>T1</v>
          </cell>
          <cell r="B201">
            <v>205</v>
          </cell>
          <cell r="C201" t="str">
            <v>d</v>
          </cell>
          <cell r="D201">
            <v>35014</v>
          </cell>
          <cell r="E201" t="str">
            <v>집수정뚜껑</v>
          </cell>
          <cell r="I201">
            <v>0</v>
          </cell>
        </row>
        <row r="202">
          <cell r="A202" t="str">
            <v>D00418</v>
          </cell>
          <cell r="B202">
            <v>33</v>
          </cell>
          <cell r="C202" t="str">
            <v>-1</v>
          </cell>
          <cell r="D202">
            <v>35078</v>
          </cell>
          <cell r="E202" t="str">
            <v>스틸그레이팅</v>
          </cell>
          <cell r="F202" t="str">
            <v>(1200x1400x75)</v>
          </cell>
          <cell r="G202" t="str">
            <v>EA</v>
          </cell>
          <cell r="I202">
            <v>0</v>
          </cell>
        </row>
        <row r="203">
          <cell r="A203" t="str">
            <v>D00414</v>
          </cell>
          <cell r="B203">
            <v>47</v>
          </cell>
          <cell r="C203" t="str">
            <v>-2</v>
          </cell>
          <cell r="D203">
            <v>35126</v>
          </cell>
          <cell r="E203" t="str">
            <v>스틸그레이팅</v>
          </cell>
          <cell r="F203" t="str">
            <v>(1200x700x75)</v>
          </cell>
          <cell r="G203" t="str">
            <v>EA</v>
          </cell>
          <cell r="I203">
            <v>0</v>
          </cell>
        </row>
        <row r="204">
          <cell r="A204" t="str">
            <v>D00364</v>
          </cell>
          <cell r="B204">
            <v>3</v>
          </cell>
          <cell r="C204" t="str">
            <v>-3</v>
          </cell>
          <cell r="D204">
            <v>35134</v>
          </cell>
          <cell r="E204" t="str">
            <v>스틸그레이팅</v>
          </cell>
          <cell r="F204" t="str">
            <v>(500x600x50)</v>
          </cell>
          <cell r="G204" t="str">
            <v>EA</v>
          </cell>
          <cell r="I204">
            <v>0</v>
          </cell>
        </row>
        <row r="205">
          <cell r="A205" t="str">
            <v>D00365</v>
          </cell>
          <cell r="B205">
            <v>2</v>
          </cell>
          <cell r="C205" t="str">
            <v>-4</v>
          </cell>
          <cell r="D205">
            <v>35136</v>
          </cell>
          <cell r="E205" t="str">
            <v>스틸그레이팅</v>
          </cell>
          <cell r="F205" t="str">
            <v>(1130x830x50)</v>
          </cell>
          <cell r="G205" t="str">
            <v>EA</v>
          </cell>
          <cell r="I205">
            <v>0</v>
          </cell>
        </row>
        <row r="206">
          <cell r="A206" t="str">
            <v>E1</v>
          </cell>
          <cell r="B206">
            <v>0</v>
          </cell>
          <cell r="C206" t="str">
            <v>소계</v>
          </cell>
          <cell r="D206">
            <v>35138</v>
          </cell>
          <cell r="I206">
            <v>0</v>
          </cell>
        </row>
        <row r="207">
          <cell r="A207" t="str">
            <v>D00333</v>
          </cell>
          <cell r="B207">
            <v>9</v>
          </cell>
          <cell r="C207" t="str">
            <v>e</v>
          </cell>
          <cell r="D207">
            <v>35185</v>
          </cell>
          <cell r="E207" t="str">
            <v>강관동바리</v>
          </cell>
          <cell r="F207" t="str">
            <v>(암거용)</v>
          </cell>
          <cell r="G207" t="str">
            <v>공㎥</v>
          </cell>
          <cell r="I207">
            <v>0</v>
          </cell>
        </row>
        <row r="208">
          <cell r="A208" t="str">
            <v>E2</v>
          </cell>
          <cell r="B208">
            <v>0</v>
          </cell>
          <cell r="C208" t="str">
            <v>계</v>
          </cell>
          <cell r="D208">
            <v>35232</v>
          </cell>
          <cell r="I208">
            <v>0</v>
          </cell>
        </row>
        <row r="209">
          <cell r="A209" t="str">
            <v>D01307</v>
          </cell>
          <cell r="B209">
            <v>2</v>
          </cell>
          <cell r="C209" t="str">
            <v>2.16</v>
          </cell>
          <cell r="D209">
            <v>35250</v>
          </cell>
          <cell r="E209" t="str">
            <v>원심력수로관</v>
          </cell>
          <cell r="F209" t="str">
            <v>(Φ 250)</v>
          </cell>
          <cell r="G209" t="str">
            <v>EA</v>
          </cell>
          <cell r="I209">
            <v>0</v>
          </cell>
        </row>
        <row r="210">
          <cell r="A210" t="str">
            <v>E3</v>
          </cell>
          <cell r="B210">
            <v>0</v>
          </cell>
          <cell r="C210" t="str">
            <v>합계</v>
          </cell>
          <cell r="D210">
            <v>35267</v>
          </cell>
          <cell r="I210">
            <v>0</v>
          </cell>
        </row>
        <row r="211">
          <cell r="A211" t="str">
            <v>T3</v>
          </cell>
          <cell r="B211">
            <v>248</v>
          </cell>
          <cell r="C211" t="str">
            <v>2.D</v>
          </cell>
          <cell r="D211">
            <v>35302</v>
          </cell>
          <cell r="E211" t="str">
            <v>암    거    공</v>
          </cell>
          <cell r="I211">
            <v>0</v>
          </cell>
        </row>
        <row r="212">
          <cell r="A212" t="str">
            <v>T2</v>
          </cell>
          <cell r="B212">
            <v>247</v>
          </cell>
          <cell r="C212" t="str">
            <v>2.17</v>
          </cell>
          <cell r="D212">
            <v>35372</v>
          </cell>
          <cell r="E212" t="str">
            <v>암  거  공</v>
          </cell>
          <cell r="I212">
            <v>0</v>
          </cell>
        </row>
        <row r="213">
          <cell r="A213" t="str">
            <v>D00170</v>
          </cell>
          <cell r="B213">
            <v>6200</v>
          </cell>
          <cell r="C213" t="str">
            <v>a</v>
          </cell>
          <cell r="D213">
            <v>35500</v>
          </cell>
          <cell r="E213" t="str">
            <v>뒷채움잡석</v>
          </cell>
          <cell r="F213" t="str">
            <v>(현장암유용)</v>
          </cell>
          <cell r="G213" t="str">
            <v>㎥</v>
          </cell>
          <cell r="I213">
            <v>0</v>
          </cell>
        </row>
        <row r="214">
          <cell r="A214" t="str">
            <v>T1</v>
          </cell>
          <cell r="B214">
            <v>218</v>
          </cell>
          <cell r="C214" t="str">
            <v>b</v>
          </cell>
          <cell r="D214">
            <v>35636</v>
          </cell>
          <cell r="E214" t="str">
            <v>합판거푸집</v>
          </cell>
          <cell r="I214">
            <v>0</v>
          </cell>
        </row>
        <row r="215">
          <cell r="A215" t="str">
            <v>D00276</v>
          </cell>
          <cell r="B215">
            <v>11669</v>
          </cell>
          <cell r="C215" t="str">
            <v>-1</v>
          </cell>
          <cell r="D215">
            <v>35687</v>
          </cell>
          <cell r="E215" t="str">
            <v>합판거푸집</v>
          </cell>
          <cell r="F215" t="str">
            <v>(3 회)</v>
          </cell>
          <cell r="G215" t="str">
            <v>㎡</v>
          </cell>
          <cell r="I215">
            <v>0</v>
          </cell>
        </row>
        <row r="216">
          <cell r="A216" t="str">
            <v>D00280</v>
          </cell>
          <cell r="B216">
            <v>718</v>
          </cell>
          <cell r="C216" t="str">
            <v>-2</v>
          </cell>
          <cell r="D216">
            <v>35815</v>
          </cell>
          <cell r="E216" t="str">
            <v>합판거푸집</v>
          </cell>
          <cell r="F216" t="str">
            <v>(4 회)</v>
          </cell>
          <cell r="G216" t="str">
            <v>㎡</v>
          </cell>
          <cell r="I216">
            <v>0</v>
          </cell>
        </row>
        <row r="217">
          <cell r="A217" t="str">
            <v>D00282</v>
          </cell>
          <cell r="B217">
            <v>249</v>
          </cell>
          <cell r="C217" t="str">
            <v>-3</v>
          </cell>
          <cell r="D217">
            <v>35871</v>
          </cell>
          <cell r="E217" t="str">
            <v>합판거푸집</v>
          </cell>
          <cell r="F217" t="str">
            <v>(6 회)</v>
          </cell>
          <cell r="G217" t="str">
            <v>㎡</v>
          </cell>
          <cell r="I217">
            <v>0</v>
          </cell>
        </row>
        <row r="218">
          <cell r="A218" t="str">
            <v>D00265</v>
          </cell>
          <cell r="B218">
            <v>3784</v>
          </cell>
          <cell r="C218" t="str">
            <v>-4</v>
          </cell>
          <cell r="D218">
            <v>35927</v>
          </cell>
          <cell r="E218" t="str">
            <v>문양거푸집(합판4회+</v>
          </cell>
          <cell r="F218" t="str">
            <v>문양스치로폴(0∼7M)</v>
          </cell>
          <cell r="G218" t="str">
            <v>㎡</v>
          </cell>
          <cell r="I218">
            <v>0</v>
          </cell>
        </row>
        <row r="219">
          <cell r="A219" t="str">
            <v>E1</v>
          </cell>
          <cell r="B219">
            <v>0</v>
          </cell>
          <cell r="C219" t="str">
            <v>소계</v>
          </cell>
          <cell r="D219">
            <v>36082</v>
          </cell>
          <cell r="I219">
            <v>0</v>
          </cell>
        </row>
        <row r="220">
          <cell r="A220" t="str">
            <v>T1</v>
          </cell>
          <cell r="B220">
            <v>223</v>
          </cell>
          <cell r="C220" t="str">
            <v>c</v>
          </cell>
          <cell r="D220">
            <v>36194</v>
          </cell>
          <cell r="E220" t="str">
            <v>콘크리트타설</v>
          </cell>
          <cell r="I220">
            <v>0</v>
          </cell>
        </row>
        <row r="221">
          <cell r="A221" t="str">
            <v>D00237</v>
          </cell>
          <cell r="B221">
            <v>6816</v>
          </cell>
          <cell r="C221" t="str">
            <v>-1</v>
          </cell>
          <cell r="D221">
            <v>36306</v>
          </cell>
          <cell r="E221" t="str">
            <v>콘크리트타설</v>
          </cell>
          <cell r="F221" t="str">
            <v>(철근 펌프카)</v>
          </cell>
          <cell r="G221" t="str">
            <v>㎥</v>
          </cell>
          <cell r="I221">
            <v>0</v>
          </cell>
        </row>
        <row r="222">
          <cell r="A222" t="str">
            <v>D00235</v>
          </cell>
          <cell r="B222">
            <v>231</v>
          </cell>
          <cell r="C222" t="str">
            <v>-2</v>
          </cell>
          <cell r="D222">
            <v>36322</v>
          </cell>
          <cell r="E222" t="str">
            <v>콘크리트타설</v>
          </cell>
          <cell r="F222" t="str">
            <v>(철근 VIB 포함)</v>
          </cell>
          <cell r="G222" t="str">
            <v>㎥</v>
          </cell>
          <cell r="I222">
            <v>0</v>
          </cell>
        </row>
        <row r="223">
          <cell r="A223" t="str">
            <v>D00231</v>
          </cell>
          <cell r="B223">
            <v>578</v>
          </cell>
          <cell r="C223" t="str">
            <v>-3</v>
          </cell>
          <cell r="D223">
            <v>36338</v>
          </cell>
          <cell r="E223" t="str">
            <v>콘크리트타설</v>
          </cell>
          <cell r="F223" t="str">
            <v>(무근 VIB 제외)</v>
          </cell>
          <cell r="G223" t="str">
            <v>㎥</v>
          </cell>
          <cell r="I223">
            <v>0</v>
          </cell>
        </row>
        <row r="224">
          <cell r="A224" t="str">
            <v>E1</v>
          </cell>
          <cell r="B224">
            <v>0</v>
          </cell>
          <cell r="C224" t="str">
            <v>소계</v>
          </cell>
          <cell r="D224">
            <v>36729</v>
          </cell>
          <cell r="I224">
            <v>0</v>
          </cell>
        </row>
        <row r="225">
          <cell r="A225" t="str">
            <v>T1</v>
          </cell>
          <cell r="B225">
            <v>227</v>
          </cell>
          <cell r="C225" t="str">
            <v>d</v>
          </cell>
          <cell r="D225">
            <v>37304</v>
          </cell>
          <cell r="E225" t="str">
            <v>철근가공조립</v>
          </cell>
          <cell r="I225">
            <v>0</v>
          </cell>
        </row>
        <row r="226">
          <cell r="A226" t="str">
            <v>D00271</v>
          </cell>
          <cell r="B226">
            <v>109.827</v>
          </cell>
          <cell r="C226" t="str">
            <v>-1</v>
          </cell>
          <cell r="D226">
            <v>37381</v>
          </cell>
          <cell r="E226" t="str">
            <v>철근가공조립</v>
          </cell>
          <cell r="F226" t="str">
            <v>(보 통)</v>
          </cell>
          <cell r="G226" t="str">
            <v>Ton</v>
          </cell>
          <cell r="I226">
            <v>0</v>
          </cell>
        </row>
        <row r="227">
          <cell r="A227" t="str">
            <v>D00272</v>
          </cell>
          <cell r="B227">
            <v>1017.096</v>
          </cell>
          <cell r="C227" t="str">
            <v>-2</v>
          </cell>
          <cell r="D227">
            <v>37472</v>
          </cell>
          <cell r="E227" t="str">
            <v>철근가공조립</v>
          </cell>
          <cell r="F227" t="str">
            <v>(복 잡)</v>
          </cell>
          <cell r="G227" t="str">
            <v>Ton</v>
          </cell>
          <cell r="I227">
            <v>0</v>
          </cell>
        </row>
        <row r="228">
          <cell r="A228" t="str">
            <v>E1</v>
          </cell>
          <cell r="B228">
            <v>0</v>
          </cell>
          <cell r="C228" t="str">
            <v>소계</v>
          </cell>
          <cell r="D228">
            <v>37536</v>
          </cell>
          <cell r="I228">
            <v>0</v>
          </cell>
        </row>
        <row r="229">
          <cell r="A229" t="str">
            <v>D00323</v>
          </cell>
          <cell r="B229">
            <v>5648</v>
          </cell>
          <cell r="C229" t="str">
            <v>e</v>
          </cell>
          <cell r="D229">
            <v>37664</v>
          </cell>
          <cell r="E229" t="str">
            <v>강관비계</v>
          </cell>
          <cell r="F229" t="str">
            <v>(0∼30 M)</v>
          </cell>
          <cell r="G229" t="str">
            <v>㎡</v>
          </cell>
          <cell r="I229">
            <v>0</v>
          </cell>
        </row>
        <row r="230">
          <cell r="A230" t="str">
            <v>D00333</v>
          </cell>
          <cell r="B230">
            <v>8212</v>
          </cell>
          <cell r="C230" t="str">
            <v>f</v>
          </cell>
          <cell r="D230">
            <v>37712</v>
          </cell>
          <cell r="E230" t="str">
            <v>강관동바리</v>
          </cell>
          <cell r="F230" t="str">
            <v>(암거용)</v>
          </cell>
          <cell r="G230" t="str">
            <v>공㎥</v>
          </cell>
          <cell r="I230">
            <v>0</v>
          </cell>
        </row>
        <row r="231">
          <cell r="A231" t="str">
            <v>D00514</v>
          </cell>
          <cell r="B231">
            <v>975</v>
          </cell>
          <cell r="C231" t="str">
            <v>g</v>
          </cell>
          <cell r="D231">
            <v>37716</v>
          </cell>
          <cell r="E231" t="str">
            <v>수평보강재(암거용)</v>
          </cell>
          <cell r="F231" t="str">
            <v>강관동바리</v>
          </cell>
          <cell r="G231" t="str">
            <v>㎡</v>
          </cell>
          <cell r="I231">
            <v>0</v>
          </cell>
        </row>
        <row r="232">
          <cell r="A232" t="str">
            <v>D00563</v>
          </cell>
          <cell r="B232">
            <v>3708</v>
          </cell>
          <cell r="C232" t="str">
            <v>h</v>
          </cell>
          <cell r="D232">
            <v>37726</v>
          </cell>
          <cell r="E232" t="str">
            <v>아스팔트 방수</v>
          </cell>
          <cell r="F232" t="str">
            <v>(2 회)</v>
          </cell>
          <cell r="G232" t="str">
            <v>㎡</v>
          </cell>
          <cell r="I232">
            <v>0</v>
          </cell>
        </row>
        <row r="233">
          <cell r="A233" t="str">
            <v>D00340</v>
          </cell>
          <cell r="B233">
            <v>405</v>
          </cell>
          <cell r="C233" t="str">
            <v>i</v>
          </cell>
          <cell r="D233">
            <v>37727</v>
          </cell>
          <cell r="E233" t="str">
            <v>PVC PIPE 설치</v>
          </cell>
          <cell r="F233" t="str">
            <v>(D= 50 m/m)</v>
          </cell>
          <cell r="G233" t="str">
            <v>M</v>
          </cell>
          <cell r="I233">
            <v>0</v>
          </cell>
        </row>
        <row r="234">
          <cell r="A234" t="str">
            <v>D00339</v>
          </cell>
          <cell r="B234">
            <v>413</v>
          </cell>
          <cell r="C234" t="str">
            <v>j</v>
          </cell>
          <cell r="D234">
            <v>37728</v>
          </cell>
          <cell r="E234" t="str">
            <v>지수판설치</v>
          </cell>
          <cell r="F234" t="str">
            <v>(200x5 m/m)</v>
          </cell>
          <cell r="G234" t="str">
            <v>M</v>
          </cell>
          <cell r="I234">
            <v>0</v>
          </cell>
        </row>
        <row r="235">
          <cell r="A235" t="str">
            <v>D00532</v>
          </cell>
          <cell r="B235">
            <v>285</v>
          </cell>
          <cell r="C235" t="str">
            <v>k</v>
          </cell>
          <cell r="D235">
            <v>37792</v>
          </cell>
          <cell r="E235" t="str">
            <v>스치로폴설치</v>
          </cell>
          <cell r="F235" t="str">
            <v>(T=20 m/m)</v>
          </cell>
          <cell r="G235" t="str">
            <v>㎡</v>
          </cell>
          <cell r="I235">
            <v>0</v>
          </cell>
        </row>
        <row r="236">
          <cell r="A236" t="str">
            <v>D00846</v>
          </cell>
          <cell r="B236">
            <v>549</v>
          </cell>
          <cell r="C236" t="str">
            <v>l</v>
          </cell>
          <cell r="D236">
            <v>37920</v>
          </cell>
          <cell r="E236" t="str">
            <v>폴리우레탄실란트채움</v>
          </cell>
          <cell r="F236" t="str">
            <v>(25x20)</v>
          </cell>
          <cell r="G236" t="str">
            <v>M</v>
          </cell>
          <cell r="I236">
            <v>0</v>
          </cell>
        </row>
        <row r="237">
          <cell r="A237" t="str">
            <v>D00588</v>
          </cell>
          <cell r="B237">
            <v>18925</v>
          </cell>
          <cell r="C237" t="str">
            <v>m</v>
          </cell>
          <cell r="D237">
            <v>39328</v>
          </cell>
          <cell r="E237" t="str">
            <v>스페이서 설치</v>
          </cell>
          <cell r="F237" t="str">
            <v>(슬라브및기초용)</v>
          </cell>
          <cell r="G237" t="str">
            <v>㎡</v>
          </cell>
          <cell r="I237">
            <v>0</v>
          </cell>
        </row>
        <row r="238">
          <cell r="A238" t="str">
            <v>D00419</v>
          </cell>
          <cell r="B238">
            <v>226</v>
          </cell>
          <cell r="C238" t="str">
            <v>n</v>
          </cell>
          <cell r="D238">
            <v>39456</v>
          </cell>
          <cell r="E238" t="str">
            <v>부직포설치</v>
          </cell>
          <cell r="F238" t="str">
            <v>(2.0 T/M)</v>
          </cell>
          <cell r="G238" t="str">
            <v>㎡</v>
          </cell>
          <cell r="I238">
            <v>0</v>
          </cell>
        </row>
        <row r="239">
          <cell r="A239" t="str">
            <v>D00566</v>
          </cell>
          <cell r="B239">
            <v>194</v>
          </cell>
          <cell r="C239" t="str">
            <v>o</v>
          </cell>
          <cell r="D239">
            <v>39472</v>
          </cell>
          <cell r="E239" t="str">
            <v>타르페이퍼 설치</v>
          </cell>
          <cell r="F239" t="str">
            <v>(5 겹)</v>
          </cell>
          <cell r="G239" t="str">
            <v>㎡</v>
          </cell>
          <cell r="I239">
            <v>0</v>
          </cell>
        </row>
        <row r="240">
          <cell r="A240" t="str">
            <v>D00540</v>
          </cell>
          <cell r="B240">
            <v>290</v>
          </cell>
          <cell r="C240" t="str">
            <v>p</v>
          </cell>
          <cell r="D240">
            <v>39480</v>
          </cell>
          <cell r="E240" t="str">
            <v>경질고무판</v>
          </cell>
          <cell r="F240" t="str">
            <v>(150x150)</v>
          </cell>
          <cell r="G240" t="str">
            <v>EA</v>
          </cell>
          <cell r="I240">
            <v>0</v>
          </cell>
        </row>
        <row r="241">
          <cell r="A241" t="str">
            <v>D01067</v>
          </cell>
          <cell r="B241">
            <v>290</v>
          </cell>
          <cell r="C241" t="str">
            <v>q</v>
          </cell>
          <cell r="D241">
            <v>39484</v>
          </cell>
          <cell r="E241" t="str">
            <v>다웰바 설치</v>
          </cell>
          <cell r="F241" t="str">
            <v>(D=25 m/m, L=500)</v>
          </cell>
          <cell r="G241" t="str">
            <v>EA</v>
          </cell>
          <cell r="I241">
            <v>0</v>
          </cell>
        </row>
        <row r="242">
          <cell r="A242" t="str">
            <v>D01190</v>
          </cell>
          <cell r="B242">
            <v>87</v>
          </cell>
          <cell r="C242" t="str">
            <v>r</v>
          </cell>
          <cell r="D242">
            <v>41169</v>
          </cell>
          <cell r="E242" t="str">
            <v>다웰-켑 설치</v>
          </cell>
          <cell r="F242" t="str">
            <v>(Φ60 m/m)</v>
          </cell>
          <cell r="G242" t="str">
            <v>M</v>
          </cell>
          <cell r="I242">
            <v>0</v>
          </cell>
        </row>
        <row r="243">
          <cell r="A243" t="str">
            <v>T1</v>
          </cell>
          <cell r="B243">
            <v>246</v>
          </cell>
          <cell r="C243" t="str">
            <v>s</v>
          </cell>
          <cell r="D243">
            <v>42433</v>
          </cell>
          <cell r="E243" t="str">
            <v>신축이음</v>
          </cell>
          <cell r="I243">
            <v>0</v>
          </cell>
        </row>
        <row r="244">
          <cell r="A244" t="str">
            <v>D00565</v>
          </cell>
          <cell r="B244">
            <v>1158</v>
          </cell>
          <cell r="C244" t="str">
            <v>-1</v>
          </cell>
          <cell r="D244">
            <v>42644</v>
          </cell>
          <cell r="E244" t="str">
            <v>다웰바 설치</v>
          </cell>
          <cell r="F244" t="str">
            <v>(D=25 m/m, L=1000)</v>
          </cell>
          <cell r="G244" t="str">
            <v>EA</v>
          </cell>
          <cell r="I244">
            <v>0</v>
          </cell>
        </row>
        <row r="245">
          <cell r="A245" t="str">
            <v>D01189</v>
          </cell>
          <cell r="B245">
            <v>579</v>
          </cell>
          <cell r="C245" t="str">
            <v>-2</v>
          </cell>
          <cell r="D245">
            <v>42749</v>
          </cell>
          <cell r="E245" t="str">
            <v>다웰-캡 설치</v>
          </cell>
          <cell r="F245" t="str">
            <v>(Φ30 m/m)</v>
          </cell>
          <cell r="G245" t="str">
            <v>M</v>
          </cell>
          <cell r="I245">
            <v>0</v>
          </cell>
        </row>
        <row r="246">
          <cell r="A246" t="str">
            <v>D00817</v>
          </cell>
          <cell r="B246">
            <v>0.63600000000000001</v>
          </cell>
          <cell r="C246" t="str">
            <v>-3</v>
          </cell>
          <cell r="D246">
            <v>42802</v>
          </cell>
          <cell r="E246" t="str">
            <v>아스팔트 채움</v>
          </cell>
          <cell r="F246" t="str">
            <v>(브론아스팔트)</v>
          </cell>
          <cell r="G246" t="str">
            <v>㎥</v>
          </cell>
          <cell r="I246">
            <v>0</v>
          </cell>
        </row>
        <row r="247">
          <cell r="A247" t="str">
            <v>E1</v>
          </cell>
          <cell r="B247">
            <v>0</v>
          </cell>
          <cell r="C247" t="str">
            <v>소계</v>
          </cell>
          <cell r="D247">
            <v>42854</v>
          </cell>
          <cell r="I247">
            <v>0</v>
          </cell>
        </row>
        <row r="248">
          <cell r="A248" t="str">
            <v>E2</v>
          </cell>
          <cell r="B248">
            <v>0</v>
          </cell>
          <cell r="C248" t="str">
            <v>계</v>
          </cell>
          <cell r="D248">
            <v>43554</v>
          </cell>
          <cell r="I248">
            <v>0</v>
          </cell>
        </row>
        <row r="249">
          <cell r="A249" t="str">
            <v>E3</v>
          </cell>
          <cell r="B249">
            <v>0</v>
          </cell>
          <cell r="C249" t="str">
            <v>합계</v>
          </cell>
          <cell r="D249">
            <v>44253</v>
          </cell>
          <cell r="I249">
            <v>0</v>
          </cell>
        </row>
        <row r="250">
          <cell r="A250" t="str">
            <v>T3</v>
          </cell>
          <cell r="B250">
            <v>336</v>
          </cell>
          <cell r="C250" t="str">
            <v>2.E</v>
          </cell>
          <cell r="D250">
            <v>44953</v>
          </cell>
          <cell r="E250" t="str">
            <v>기    타    공</v>
          </cell>
          <cell r="I250">
            <v>0</v>
          </cell>
        </row>
        <row r="251">
          <cell r="A251" t="str">
            <v>T2</v>
          </cell>
          <cell r="B251">
            <v>257</v>
          </cell>
          <cell r="C251" t="str">
            <v>2.18</v>
          </cell>
          <cell r="D251">
            <v>45303</v>
          </cell>
          <cell r="E251" t="str">
            <v>도수로공</v>
          </cell>
          <cell r="I251">
            <v>0</v>
          </cell>
        </row>
        <row r="252">
          <cell r="A252" t="str">
            <v>T1</v>
          </cell>
          <cell r="B252">
            <v>254</v>
          </cell>
          <cell r="C252" t="str">
            <v>a</v>
          </cell>
          <cell r="D252">
            <v>45431</v>
          </cell>
          <cell r="E252" t="str">
            <v>콘크리트타설</v>
          </cell>
          <cell r="I252">
            <v>0</v>
          </cell>
        </row>
        <row r="253">
          <cell r="A253" t="str">
            <v>D00235</v>
          </cell>
          <cell r="B253">
            <v>664</v>
          </cell>
          <cell r="C253" t="str">
            <v>-1</v>
          </cell>
          <cell r="D253">
            <v>45675</v>
          </cell>
          <cell r="E253" t="str">
            <v>콘크리트타설</v>
          </cell>
          <cell r="F253" t="str">
            <v>(철근 VIB 포함)</v>
          </cell>
          <cell r="G253" t="str">
            <v>㎥</v>
          </cell>
          <cell r="I253">
            <v>0</v>
          </cell>
        </row>
        <row r="254">
          <cell r="A254" t="str">
            <v>D00231</v>
          </cell>
          <cell r="B254">
            <v>143</v>
          </cell>
          <cell r="C254" t="str">
            <v>-2</v>
          </cell>
          <cell r="D254">
            <v>45798</v>
          </cell>
          <cell r="E254" t="str">
            <v>콘크리트타설</v>
          </cell>
          <cell r="F254" t="str">
            <v>(무근 VIB 제외)</v>
          </cell>
          <cell r="G254" t="str">
            <v>㎥</v>
          </cell>
          <cell r="I254">
            <v>0</v>
          </cell>
        </row>
        <row r="255">
          <cell r="A255" t="str">
            <v>E1</v>
          </cell>
          <cell r="B255">
            <v>0</v>
          </cell>
          <cell r="C255" t="str">
            <v>소계</v>
          </cell>
          <cell r="D255">
            <v>45852</v>
          </cell>
          <cell r="I255">
            <v>0</v>
          </cell>
        </row>
        <row r="256">
          <cell r="A256" t="str">
            <v>D00280</v>
          </cell>
          <cell r="B256">
            <v>5837</v>
          </cell>
          <cell r="C256" t="str">
            <v>b</v>
          </cell>
          <cell r="D256">
            <v>45905</v>
          </cell>
          <cell r="E256" t="str">
            <v>합판거푸집</v>
          </cell>
          <cell r="F256" t="str">
            <v>(4 회)</v>
          </cell>
          <cell r="G256" t="str">
            <v>㎡</v>
          </cell>
          <cell r="I256">
            <v>0</v>
          </cell>
        </row>
        <row r="257">
          <cell r="A257" t="str">
            <v>D00270</v>
          </cell>
          <cell r="B257">
            <v>33.005000000000003</v>
          </cell>
          <cell r="C257" t="str">
            <v>c</v>
          </cell>
          <cell r="D257">
            <v>46042</v>
          </cell>
          <cell r="E257" t="str">
            <v>철근가공조립</v>
          </cell>
          <cell r="F257" t="str">
            <v>(간 단)</v>
          </cell>
          <cell r="G257" t="str">
            <v>Ton</v>
          </cell>
          <cell r="I257">
            <v>0</v>
          </cell>
        </row>
        <row r="258">
          <cell r="A258" t="str">
            <v>E2</v>
          </cell>
          <cell r="B258">
            <v>0</v>
          </cell>
          <cell r="C258" t="str">
            <v>계</v>
          </cell>
          <cell r="D258">
            <v>46268</v>
          </cell>
          <cell r="I258">
            <v>0</v>
          </cell>
        </row>
        <row r="259">
          <cell r="A259" t="str">
            <v>T2</v>
          </cell>
          <cell r="B259">
            <v>281</v>
          </cell>
          <cell r="C259" t="str">
            <v>2.19</v>
          </cell>
          <cell r="D259">
            <v>46617</v>
          </cell>
          <cell r="E259" t="str">
            <v>역 T형 옹벽</v>
          </cell>
          <cell r="I259">
            <v>0</v>
          </cell>
        </row>
        <row r="260">
          <cell r="A260" t="str">
            <v>T1</v>
          </cell>
          <cell r="B260">
            <v>262</v>
          </cell>
          <cell r="C260" t="str">
            <v>a</v>
          </cell>
          <cell r="D260">
            <v>46862</v>
          </cell>
          <cell r="E260" t="str">
            <v>콘크리트타설</v>
          </cell>
          <cell r="I260">
            <v>0</v>
          </cell>
        </row>
        <row r="261">
          <cell r="A261" t="str">
            <v>D00237</v>
          </cell>
          <cell r="B261">
            <v>205</v>
          </cell>
          <cell r="C261" t="str">
            <v>-1</v>
          </cell>
          <cell r="D261">
            <v>47106</v>
          </cell>
          <cell r="E261" t="str">
            <v>콘크리트타설</v>
          </cell>
          <cell r="F261" t="str">
            <v>(철근 펌프카)</v>
          </cell>
          <cell r="G261" t="str">
            <v>㎥</v>
          </cell>
          <cell r="I261">
            <v>0</v>
          </cell>
        </row>
        <row r="262">
          <cell r="A262" t="str">
            <v>D00231</v>
          </cell>
          <cell r="B262">
            <v>18</v>
          </cell>
          <cell r="C262" t="str">
            <v>-2</v>
          </cell>
          <cell r="D262">
            <v>47229</v>
          </cell>
          <cell r="E262" t="str">
            <v>콘크리트타설</v>
          </cell>
          <cell r="F262" t="str">
            <v>(무근 VIB 제외)</v>
          </cell>
          <cell r="G262" t="str">
            <v>㎥</v>
          </cell>
          <cell r="I262">
            <v>0</v>
          </cell>
        </row>
        <row r="263">
          <cell r="A263" t="str">
            <v>E1</v>
          </cell>
          <cell r="B263">
            <v>0</v>
          </cell>
          <cell r="C263" t="str">
            <v>소계</v>
          </cell>
          <cell r="D263">
            <v>47283</v>
          </cell>
          <cell r="I263">
            <v>0</v>
          </cell>
        </row>
        <row r="264">
          <cell r="A264" t="str">
            <v>T1</v>
          </cell>
          <cell r="B264">
            <v>268</v>
          </cell>
          <cell r="C264" t="str">
            <v>b</v>
          </cell>
          <cell r="D264">
            <v>47336</v>
          </cell>
          <cell r="E264" t="str">
            <v>거 푸 집</v>
          </cell>
          <cell r="I264">
            <v>0</v>
          </cell>
        </row>
        <row r="265">
          <cell r="A265" t="str">
            <v>D00276</v>
          </cell>
          <cell r="B265">
            <v>192</v>
          </cell>
          <cell r="C265" t="str">
            <v>-1</v>
          </cell>
          <cell r="D265">
            <v>47405</v>
          </cell>
          <cell r="E265" t="str">
            <v>합판거푸집</v>
          </cell>
          <cell r="F265" t="str">
            <v>(3 회)</v>
          </cell>
          <cell r="G265" t="str">
            <v>㎡</v>
          </cell>
          <cell r="I265">
            <v>0</v>
          </cell>
        </row>
        <row r="266">
          <cell r="A266" t="str">
            <v>D00280</v>
          </cell>
          <cell r="B266">
            <v>97</v>
          </cell>
          <cell r="C266" t="str">
            <v>-2</v>
          </cell>
          <cell r="D266">
            <v>47439</v>
          </cell>
          <cell r="E266" t="str">
            <v>합판거푸집</v>
          </cell>
          <cell r="F266" t="str">
            <v>(4 회)</v>
          </cell>
          <cell r="G266" t="str">
            <v>㎡</v>
          </cell>
          <cell r="I266">
            <v>0</v>
          </cell>
        </row>
        <row r="267">
          <cell r="A267" t="str">
            <v>D00282</v>
          </cell>
          <cell r="B267">
            <v>8</v>
          </cell>
          <cell r="C267" t="str">
            <v>-3</v>
          </cell>
          <cell r="D267">
            <v>47456</v>
          </cell>
          <cell r="E267" t="str">
            <v>합판거푸집</v>
          </cell>
          <cell r="F267" t="str">
            <v>(6 회)</v>
          </cell>
          <cell r="G267" t="str">
            <v>㎡</v>
          </cell>
          <cell r="I267">
            <v>0</v>
          </cell>
        </row>
        <row r="268">
          <cell r="A268" t="str">
            <v>D00265</v>
          </cell>
          <cell r="B268">
            <v>204</v>
          </cell>
          <cell r="C268" t="str">
            <v>-4</v>
          </cell>
          <cell r="D268">
            <v>47461</v>
          </cell>
          <cell r="E268" t="str">
            <v>문양거푸집(합판4회+</v>
          </cell>
          <cell r="F268" t="str">
            <v>문양스치로폴(0∼7M)</v>
          </cell>
          <cell r="G268" t="str">
            <v>㎡</v>
          </cell>
          <cell r="I268">
            <v>0</v>
          </cell>
        </row>
        <row r="269">
          <cell r="A269" t="str">
            <v>E1</v>
          </cell>
          <cell r="B269">
            <v>0</v>
          </cell>
          <cell r="C269" t="str">
            <v>소계</v>
          </cell>
          <cell r="D269">
            <v>47465</v>
          </cell>
          <cell r="I269">
            <v>0</v>
          </cell>
        </row>
        <row r="270">
          <cell r="A270" t="str">
            <v>D00323</v>
          </cell>
          <cell r="B270">
            <v>368</v>
          </cell>
          <cell r="C270" t="str">
            <v>c</v>
          </cell>
          <cell r="D270">
            <v>47601</v>
          </cell>
          <cell r="E270" t="str">
            <v>강관비계</v>
          </cell>
          <cell r="F270" t="str">
            <v>(0∼30 M)</v>
          </cell>
          <cell r="G270" t="str">
            <v>㎡</v>
          </cell>
          <cell r="I270">
            <v>0</v>
          </cell>
        </row>
        <row r="271">
          <cell r="A271" t="str">
            <v>D01191</v>
          </cell>
          <cell r="B271">
            <v>42</v>
          </cell>
          <cell r="C271" t="str">
            <v>d</v>
          </cell>
          <cell r="D271">
            <v>47714</v>
          </cell>
          <cell r="E271" t="str">
            <v>PVC PIPE 설치</v>
          </cell>
          <cell r="F271" t="str">
            <v>(Φ65 m/m)</v>
          </cell>
          <cell r="G271" t="str">
            <v>M</v>
          </cell>
          <cell r="I271">
            <v>0</v>
          </cell>
        </row>
        <row r="272">
          <cell r="A272" t="str">
            <v>D00170</v>
          </cell>
          <cell r="B272">
            <v>507</v>
          </cell>
          <cell r="C272" t="str">
            <v>e</v>
          </cell>
          <cell r="D272">
            <v>47771</v>
          </cell>
          <cell r="E272" t="str">
            <v>뒷채움잡석</v>
          </cell>
          <cell r="F272" t="str">
            <v>(현장암유용)</v>
          </cell>
          <cell r="G272" t="str">
            <v>㎥</v>
          </cell>
          <cell r="I272">
            <v>0</v>
          </cell>
        </row>
        <row r="273">
          <cell r="A273" t="str">
            <v>D00419</v>
          </cell>
          <cell r="B273">
            <v>204</v>
          </cell>
          <cell r="C273" t="str">
            <v>f</v>
          </cell>
          <cell r="D273">
            <v>47799</v>
          </cell>
          <cell r="E273" t="str">
            <v>부직포설치</v>
          </cell>
          <cell r="F273" t="str">
            <v>(2.0 T/M)</v>
          </cell>
          <cell r="G273" t="str">
            <v>㎡</v>
          </cell>
          <cell r="I273">
            <v>0</v>
          </cell>
        </row>
        <row r="274">
          <cell r="A274" t="str">
            <v>D00846</v>
          </cell>
          <cell r="B274">
            <v>18</v>
          </cell>
          <cell r="C274" t="str">
            <v>g</v>
          </cell>
          <cell r="D274">
            <v>47813</v>
          </cell>
          <cell r="E274" t="str">
            <v>폴리우레탄실란트채움</v>
          </cell>
          <cell r="F274" t="str">
            <v>(25x20)</v>
          </cell>
          <cell r="G274" t="str">
            <v>M</v>
          </cell>
          <cell r="I274">
            <v>0</v>
          </cell>
        </row>
        <row r="275">
          <cell r="A275" t="str">
            <v>D03817</v>
          </cell>
          <cell r="B275">
            <v>6</v>
          </cell>
          <cell r="C275" t="str">
            <v>h</v>
          </cell>
          <cell r="D275">
            <v>47820</v>
          </cell>
          <cell r="E275" t="str">
            <v>ELASTIC FILLER</v>
          </cell>
          <cell r="F275" t="str">
            <v>(T=20 m/m)</v>
          </cell>
          <cell r="G275" t="str">
            <v>㎡</v>
          </cell>
          <cell r="I275">
            <v>0</v>
          </cell>
        </row>
        <row r="276">
          <cell r="A276" t="str">
            <v>D00588</v>
          </cell>
          <cell r="B276">
            <v>584</v>
          </cell>
          <cell r="C276" t="str">
            <v>i</v>
          </cell>
          <cell r="D276">
            <v>48716</v>
          </cell>
          <cell r="E276" t="str">
            <v>스페이서 설치</v>
          </cell>
          <cell r="F276" t="str">
            <v>(슬라브및기초용)</v>
          </cell>
          <cell r="G276" t="str">
            <v>㎡</v>
          </cell>
          <cell r="I276">
            <v>0</v>
          </cell>
        </row>
        <row r="277">
          <cell r="A277" t="str">
            <v>D03800</v>
          </cell>
          <cell r="B277">
            <v>31</v>
          </cell>
          <cell r="C277" t="str">
            <v>j</v>
          </cell>
          <cell r="D277">
            <v>48816</v>
          </cell>
          <cell r="E277" t="str">
            <v>수축줄눈</v>
          </cell>
          <cell r="F277" t="str">
            <v>(면목 60x30)</v>
          </cell>
          <cell r="G277" t="str">
            <v>M</v>
          </cell>
          <cell r="I277">
            <v>0</v>
          </cell>
        </row>
        <row r="278">
          <cell r="A278" t="str">
            <v>D00271</v>
          </cell>
          <cell r="B278">
            <v>16.233000000000001</v>
          </cell>
          <cell r="C278" t="str">
            <v>k</v>
          </cell>
          <cell r="D278">
            <v>48937</v>
          </cell>
          <cell r="E278" t="str">
            <v>철근가공조립</v>
          </cell>
          <cell r="F278" t="str">
            <v>(보 통)</v>
          </cell>
          <cell r="G278" t="str">
            <v>Ton</v>
          </cell>
          <cell r="I278">
            <v>0</v>
          </cell>
        </row>
        <row r="279">
          <cell r="A279" t="str">
            <v>D00417</v>
          </cell>
          <cell r="B279">
            <v>22</v>
          </cell>
          <cell r="C279" t="str">
            <v>l</v>
          </cell>
          <cell r="D279">
            <v>48997</v>
          </cell>
          <cell r="E279" t="str">
            <v>다웰바 설치</v>
          </cell>
          <cell r="F279" t="str">
            <v>D32 m/m L=800 m/m</v>
          </cell>
          <cell r="G279" t="str">
            <v>EA</v>
          </cell>
          <cell r="I279">
            <v>0</v>
          </cell>
        </row>
        <row r="280">
          <cell r="A280" t="str">
            <v>D00415</v>
          </cell>
          <cell r="B280">
            <v>22</v>
          </cell>
          <cell r="C280" t="str">
            <v>m</v>
          </cell>
          <cell r="D280">
            <v>49027</v>
          </cell>
          <cell r="E280" t="str">
            <v>다웰바-켑설치</v>
          </cell>
          <cell r="F280" t="str">
            <v>(D=30 m/m, L=400)</v>
          </cell>
          <cell r="G280" t="str">
            <v>EA</v>
          </cell>
          <cell r="I280">
            <v>0</v>
          </cell>
        </row>
        <row r="281">
          <cell r="A281" t="str">
            <v>D00817</v>
          </cell>
          <cell r="B281">
            <v>8.0000000000000002E-3</v>
          </cell>
          <cell r="C281" t="str">
            <v>n</v>
          </cell>
          <cell r="D281">
            <v>49042</v>
          </cell>
          <cell r="E281" t="str">
            <v>아스팔트 채움</v>
          </cell>
          <cell r="F281" t="str">
            <v>(브론아스팔트)</v>
          </cell>
          <cell r="G281" t="str">
            <v>㎥</v>
          </cell>
          <cell r="I281">
            <v>0</v>
          </cell>
        </row>
        <row r="282">
          <cell r="A282" t="str">
            <v>E2</v>
          </cell>
          <cell r="B282">
            <v>0</v>
          </cell>
          <cell r="C282" t="str">
            <v>계</v>
          </cell>
          <cell r="D282">
            <v>49057</v>
          </cell>
          <cell r="I282">
            <v>0</v>
          </cell>
        </row>
        <row r="283">
          <cell r="A283" t="str">
            <v>T2</v>
          </cell>
          <cell r="B283">
            <v>295</v>
          </cell>
          <cell r="C283" t="str">
            <v>2.20</v>
          </cell>
          <cell r="D283">
            <v>49532</v>
          </cell>
          <cell r="E283" t="str">
            <v>보강벽옹벽</v>
          </cell>
          <cell r="I283">
            <v>0</v>
          </cell>
        </row>
        <row r="284">
          <cell r="A284" t="str">
            <v>T1</v>
          </cell>
          <cell r="B284">
            <v>286</v>
          </cell>
          <cell r="C284" t="str">
            <v>a</v>
          </cell>
          <cell r="D284">
            <v>49710</v>
          </cell>
          <cell r="E284" t="str">
            <v>잡석부설</v>
          </cell>
          <cell r="I284">
            <v>0</v>
          </cell>
        </row>
        <row r="285">
          <cell r="A285" t="str">
            <v>D00168</v>
          </cell>
          <cell r="B285">
            <v>64</v>
          </cell>
          <cell r="C285" t="str">
            <v>-1</v>
          </cell>
          <cell r="D285">
            <v>49888</v>
          </cell>
          <cell r="E285" t="str">
            <v>기초잡석깔기</v>
          </cell>
          <cell r="F285" t="str">
            <v>(현장암 유용)</v>
          </cell>
          <cell r="G285" t="str">
            <v>㎥</v>
          </cell>
          <cell r="I285">
            <v>0</v>
          </cell>
        </row>
        <row r="286">
          <cell r="A286" t="str">
            <v>D03890</v>
          </cell>
          <cell r="B286">
            <v>1137</v>
          </cell>
          <cell r="C286" t="str">
            <v>-2</v>
          </cell>
          <cell r="D286">
            <v>50066</v>
          </cell>
          <cell r="E286" t="str">
            <v>속채움잡석</v>
          </cell>
          <cell r="F286" t="str">
            <v>(부설및다짐)</v>
          </cell>
          <cell r="G286" t="str">
            <v>㎥</v>
          </cell>
          <cell r="I286">
            <v>0</v>
          </cell>
        </row>
        <row r="287">
          <cell r="A287" t="str">
            <v>E1</v>
          </cell>
          <cell r="B287">
            <v>0</v>
          </cell>
          <cell r="C287" t="str">
            <v>소계</v>
          </cell>
          <cell r="D287">
            <v>50541</v>
          </cell>
          <cell r="I287">
            <v>0</v>
          </cell>
        </row>
        <row r="288">
          <cell r="A288" t="str">
            <v>D03835</v>
          </cell>
          <cell r="B288">
            <v>3065</v>
          </cell>
          <cell r="C288" t="str">
            <v>b</v>
          </cell>
          <cell r="D288">
            <v>50571</v>
          </cell>
          <cell r="E288" t="str">
            <v>블  럭</v>
          </cell>
          <cell r="F288" t="str">
            <v>(일반형)</v>
          </cell>
          <cell r="G288" t="str">
            <v>㎡</v>
          </cell>
          <cell r="I288">
            <v>0</v>
          </cell>
        </row>
        <row r="289">
          <cell r="A289" t="str">
            <v>T1</v>
          </cell>
          <cell r="B289">
            <v>292</v>
          </cell>
          <cell r="C289" t="str">
            <v>c</v>
          </cell>
          <cell r="D289">
            <v>50600</v>
          </cell>
          <cell r="E289" t="str">
            <v>그리드</v>
          </cell>
          <cell r="I289">
            <v>0</v>
          </cell>
        </row>
        <row r="290">
          <cell r="A290" t="str">
            <v>W00065</v>
          </cell>
          <cell r="B290">
            <v>4056</v>
          </cell>
          <cell r="C290" t="str">
            <v>-1</v>
          </cell>
          <cell r="D290">
            <v>50630</v>
          </cell>
          <cell r="E290" t="str">
            <v>그리드</v>
          </cell>
          <cell r="F290" t="str">
            <v>TYPE-1(45KN/M)</v>
          </cell>
          <cell r="G290" t="str">
            <v>㎡</v>
          </cell>
          <cell r="I290">
            <v>0</v>
          </cell>
        </row>
        <row r="291">
          <cell r="A291" t="str">
            <v>W00066</v>
          </cell>
          <cell r="B291">
            <v>12168</v>
          </cell>
          <cell r="C291" t="str">
            <v>-2</v>
          </cell>
          <cell r="D291">
            <v>50634</v>
          </cell>
          <cell r="E291" t="str">
            <v>그리드</v>
          </cell>
          <cell r="F291" t="str">
            <v>TYPE-2(60KN/M)</v>
          </cell>
          <cell r="G291" t="str">
            <v>㎡</v>
          </cell>
          <cell r="I291">
            <v>0</v>
          </cell>
        </row>
        <row r="292">
          <cell r="A292" t="str">
            <v>W00067</v>
          </cell>
          <cell r="B292">
            <v>5368</v>
          </cell>
          <cell r="C292" t="str">
            <v>-3</v>
          </cell>
          <cell r="D292">
            <v>50636</v>
          </cell>
          <cell r="E292" t="str">
            <v>그리드</v>
          </cell>
          <cell r="F292" t="str">
            <v>TYPE-3(90KN/M)</v>
          </cell>
          <cell r="G292" t="str">
            <v>㎡</v>
          </cell>
          <cell r="I292">
            <v>0</v>
          </cell>
        </row>
        <row r="293">
          <cell r="A293" t="str">
            <v>E1</v>
          </cell>
          <cell r="B293">
            <v>0</v>
          </cell>
          <cell r="C293" t="str">
            <v>소계</v>
          </cell>
          <cell r="D293">
            <v>50645</v>
          </cell>
          <cell r="I293">
            <v>0</v>
          </cell>
        </row>
        <row r="294">
          <cell r="A294" t="str">
            <v>W00068</v>
          </cell>
          <cell r="B294">
            <v>3064</v>
          </cell>
          <cell r="C294" t="str">
            <v>d</v>
          </cell>
          <cell r="D294">
            <v>50652</v>
          </cell>
          <cell r="E294" t="str">
            <v>블럭운반</v>
          </cell>
          <cell r="F294" t="str">
            <v>일반형</v>
          </cell>
          <cell r="G294" t="str">
            <v>㎡</v>
          </cell>
          <cell r="I294">
            <v>0</v>
          </cell>
        </row>
        <row r="295">
          <cell r="A295" t="str">
            <v>D00419</v>
          </cell>
          <cell r="B295">
            <v>10245</v>
          </cell>
          <cell r="C295" t="str">
            <v>e</v>
          </cell>
          <cell r="D295">
            <v>50656</v>
          </cell>
          <cell r="E295" t="str">
            <v>부직포설치</v>
          </cell>
          <cell r="F295" t="str">
            <v>(2.0 T/M)</v>
          </cell>
          <cell r="G295" t="str">
            <v>㎡</v>
          </cell>
          <cell r="I295">
            <v>0</v>
          </cell>
        </row>
        <row r="296">
          <cell r="A296" t="str">
            <v>E2</v>
          </cell>
          <cell r="B296">
            <v>0</v>
          </cell>
          <cell r="C296" t="str">
            <v>계</v>
          </cell>
          <cell r="D296">
            <v>50974</v>
          </cell>
          <cell r="I296">
            <v>0</v>
          </cell>
        </row>
        <row r="297">
          <cell r="A297" t="str">
            <v>T2</v>
          </cell>
          <cell r="B297">
            <v>312</v>
          </cell>
          <cell r="C297" t="str">
            <v>2.21</v>
          </cell>
          <cell r="D297">
            <v>50979</v>
          </cell>
          <cell r="E297" t="str">
            <v>파라펫및연석</v>
          </cell>
          <cell r="I297">
            <v>0</v>
          </cell>
        </row>
        <row r="298">
          <cell r="A298" t="str">
            <v>T1</v>
          </cell>
          <cell r="B298">
            <v>301</v>
          </cell>
          <cell r="C298" t="str">
            <v>a</v>
          </cell>
          <cell r="D298">
            <v>51107</v>
          </cell>
          <cell r="E298" t="str">
            <v>콘크리트타설</v>
          </cell>
          <cell r="I298">
            <v>0</v>
          </cell>
        </row>
        <row r="299">
          <cell r="A299" t="str">
            <v>D00237</v>
          </cell>
          <cell r="B299">
            <v>1010</v>
          </cell>
          <cell r="C299" t="str">
            <v>-1</v>
          </cell>
          <cell r="D299">
            <v>51219</v>
          </cell>
          <cell r="E299" t="str">
            <v>콘크리트타설</v>
          </cell>
          <cell r="F299" t="str">
            <v>(철근 펌프카)</v>
          </cell>
          <cell r="G299" t="str">
            <v>㎥</v>
          </cell>
          <cell r="I299">
            <v>0</v>
          </cell>
        </row>
        <row r="300">
          <cell r="A300" t="str">
            <v>D00234</v>
          </cell>
          <cell r="B300">
            <v>235</v>
          </cell>
          <cell r="C300" t="str">
            <v>-2</v>
          </cell>
          <cell r="D300">
            <v>51235</v>
          </cell>
          <cell r="E300" t="str">
            <v>콘크리트타설</v>
          </cell>
          <cell r="F300" t="str">
            <v>(무근 VIB 포함)</v>
          </cell>
          <cell r="G300" t="str">
            <v>㎥</v>
          </cell>
          <cell r="I300">
            <v>0</v>
          </cell>
        </row>
        <row r="301">
          <cell r="A301" t="str">
            <v>D00231</v>
          </cell>
          <cell r="B301">
            <v>108</v>
          </cell>
          <cell r="C301" t="str">
            <v>-3</v>
          </cell>
          <cell r="D301">
            <v>51251</v>
          </cell>
          <cell r="E301" t="str">
            <v>콘크리트타설</v>
          </cell>
          <cell r="F301" t="str">
            <v>(무근 VIB 제외)</v>
          </cell>
          <cell r="G301" t="str">
            <v>㎥</v>
          </cell>
          <cell r="I301">
            <v>0</v>
          </cell>
        </row>
        <row r="302">
          <cell r="A302" t="str">
            <v>E1</v>
          </cell>
          <cell r="B302">
            <v>0</v>
          </cell>
          <cell r="C302" t="str">
            <v>소계</v>
          </cell>
          <cell r="D302">
            <v>51642</v>
          </cell>
          <cell r="I302">
            <v>0</v>
          </cell>
        </row>
        <row r="303">
          <cell r="A303" t="str">
            <v>T1</v>
          </cell>
          <cell r="B303">
            <v>305</v>
          </cell>
          <cell r="C303" t="str">
            <v>b</v>
          </cell>
          <cell r="D303">
            <v>51906</v>
          </cell>
          <cell r="E303" t="str">
            <v>거 푸 집</v>
          </cell>
          <cell r="I303">
            <v>0</v>
          </cell>
        </row>
        <row r="304">
          <cell r="A304" t="str">
            <v>D00265</v>
          </cell>
          <cell r="B304">
            <v>1267</v>
          </cell>
          <cell r="C304" t="str">
            <v>-1</v>
          </cell>
          <cell r="D304">
            <v>51957</v>
          </cell>
          <cell r="E304" t="str">
            <v>문양거푸집(합판4회+</v>
          </cell>
          <cell r="F304" t="str">
            <v>문양스치로폴(0∼7M)</v>
          </cell>
          <cell r="G304" t="str">
            <v>㎡</v>
          </cell>
          <cell r="I304">
            <v>0</v>
          </cell>
        </row>
        <row r="305">
          <cell r="A305" t="str">
            <v>D00280</v>
          </cell>
          <cell r="B305">
            <v>2699</v>
          </cell>
          <cell r="C305" t="str">
            <v>-2</v>
          </cell>
          <cell r="D305">
            <v>52085</v>
          </cell>
          <cell r="E305" t="str">
            <v>합판거푸집</v>
          </cell>
          <cell r="F305" t="str">
            <v>(4 회)</v>
          </cell>
          <cell r="G305" t="str">
            <v>㎡</v>
          </cell>
          <cell r="I305">
            <v>0</v>
          </cell>
        </row>
        <row r="306">
          <cell r="A306" t="str">
            <v>E1</v>
          </cell>
          <cell r="B306">
            <v>0</v>
          </cell>
          <cell r="C306" t="str">
            <v>소계</v>
          </cell>
          <cell r="D306">
            <v>52352</v>
          </cell>
          <cell r="I306">
            <v>0</v>
          </cell>
        </row>
        <row r="307">
          <cell r="A307" t="str">
            <v>D00853</v>
          </cell>
          <cell r="B307">
            <v>90</v>
          </cell>
          <cell r="C307" t="str">
            <v>c</v>
          </cell>
          <cell r="D307">
            <v>52464</v>
          </cell>
          <cell r="E307" t="str">
            <v>신축이음</v>
          </cell>
          <cell r="F307" t="str">
            <v>스치로폴(T=10 m/m)</v>
          </cell>
          <cell r="G307" t="str">
            <v>㎡</v>
          </cell>
          <cell r="I307">
            <v>0</v>
          </cell>
        </row>
        <row r="308">
          <cell r="A308" t="str">
            <v>D03800</v>
          </cell>
          <cell r="B308">
            <v>596</v>
          </cell>
          <cell r="C308" t="str">
            <v>d</v>
          </cell>
          <cell r="D308">
            <v>52576</v>
          </cell>
          <cell r="E308" t="str">
            <v>수축줄눈</v>
          </cell>
          <cell r="F308" t="str">
            <v>(면목 60x30)</v>
          </cell>
          <cell r="G308" t="str">
            <v>M</v>
          </cell>
          <cell r="I308">
            <v>0</v>
          </cell>
        </row>
        <row r="309">
          <cell r="A309" t="str">
            <v>D00323</v>
          </cell>
          <cell r="B309">
            <v>3875</v>
          </cell>
          <cell r="C309" t="str">
            <v>e</v>
          </cell>
          <cell r="D309">
            <v>52592</v>
          </cell>
          <cell r="E309" t="str">
            <v>강관비계</v>
          </cell>
          <cell r="F309" t="str">
            <v>(0∼30 M)</v>
          </cell>
          <cell r="G309" t="str">
            <v>㎡</v>
          </cell>
          <cell r="I309">
            <v>0</v>
          </cell>
        </row>
        <row r="310">
          <cell r="A310" t="str">
            <v>D00588</v>
          </cell>
          <cell r="B310">
            <v>4567</v>
          </cell>
          <cell r="C310" t="str">
            <v>f</v>
          </cell>
          <cell r="D310">
            <v>55598</v>
          </cell>
          <cell r="E310" t="str">
            <v>스페이서 설치</v>
          </cell>
          <cell r="F310" t="str">
            <v>(슬라브및기초용)</v>
          </cell>
          <cell r="G310" t="str">
            <v>㎡</v>
          </cell>
          <cell r="I310">
            <v>0</v>
          </cell>
        </row>
        <row r="311">
          <cell r="A311" t="str">
            <v>D00270</v>
          </cell>
          <cell r="B311">
            <v>88.667000000000002</v>
          </cell>
          <cell r="C311" t="str">
            <v>g</v>
          </cell>
          <cell r="D311">
            <v>55726</v>
          </cell>
          <cell r="E311" t="str">
            <v>철근가공조립</v>
          </cell>
          <cell r="F311" t="str">
            <v>(간 단)</v>
          </cell>
          <cell r="G311" t="str">
            <v>Ton</v>
          </cell>
          <cell r="I311">
            <v>0</v>
          </cell>
        </row>
        <row r="312">
          <cell r="A312" t="str">
            <v>D00353</v>
          </cell>
          <cell r="B312">
            <v>151</v>
          </cell>
          <cell r="C312" t="str">
            <v>h</v>
          </cell>
          <cell r="D312">
            <v>55742</v>
          </cell>
          <cell r="E312" t="str">
            <v>지수판설치</v>
          </cell>
          <cell r="F312" t="str">
            <v>(150x5 m/m)</v>
          </cell>
          <cell r="G312" t="str">
            <v>M</v>
          </cell>
          <cell r="I312">
            <v>0</v>
          </cell>
        </row>
        <row r="313">
          <cell r="A313" t="str">
            <v>E2</v>
          </cell>
          <cell r="B313">
            <v>0</v>
          </cell>
          <cell r="C313" t="str">
            <v>계</v>
          </cell>
          <cell r="D313">
            <v>59124</v>
          </cell>
          <cell r="I313">
            <v>0</v>
          </cell>
        </row>
        <row r="314">
          <cell r="A314" t="str">
            <v>D00592</v>
          </cell>
          <cell r="B314">
            <v>715</v>
          </cell>
          <cell r="C314" t="str">
            <v>2.22</v>
          </cell>
          <cell r="D314">
            <v>59127</v>
          </cell>
          <cell r="E314" t="str">
            <v>돌망태(타원형)</v>
          </cell>
          <cell r="F314" t="str">
            <v>Φ45 Cm</v>
          </cell>
          <cell r="G314" t="str">
            <v>㎡</v>
          </cell>
          <cell r="I314">
            <v>0</v>
          </cell>
        </row>
        <row r="315">
          <cell r="A315" t="str">
            <v>T2</v>
          </cell>
          <cell r="B315">
            <v>335</v>
          </cell>
          <cell r="C315" t="str">
            <v>2.23</v>
          </cell>
          <cell r="D315">
            <v>59128</v>
          </cell>
          <cell r="E315" t="str">
            <v>분 수 문</v>
          </cell>
          <cell r="I315">
            <v>0</v>
          </cell>
        </row>
        <row r="316">
          <cell r="A316" t="str">
            <v>T1</v>
          </cell>
          <cell r="B316">
            <v>320</v>
          </cell>
          <cell r="C316" t="str">
            <v>a</v>
          </cell>
          <cell r="D316">
            <v>59256</v>
          </cell>
          <cell r="E316" t="str">
            <v>콘크리트타설</v>
          </cell>
          <cell r="I316">
            <v>0</v>
          </cell>
        </row>
        <row r="317">
          <cell r="A317" t="str">
            <v>D00237</v>
          </cell>
          <cell r="B317">
            <v>8</v>
          </cell>
          <cell r="C317" t="str">
            <v>-1</v>
          </cell>
          <cell r="D317">
            <v>59368</v>
          </cell>
          <cell r="E317" t="str">
            <v>콘크리트타설</v>
          </cell>
          <cell r="F317" t="str">
            <v>(철근 펌프카)</v>
          </cell>
          <cell r="G317" t="str">
            <v>㎥</v>
          </cell>
          <cell r="I317">
            <v>0</v>
          </cell>
        </row>
        <row r="318">
          <cell r="A318" t="str">
            <v>D00238</v>
          </cell>
          <cell r="B318">
            <v>5</v>
          </cell>
          <cell r="C318" t="str">
            <v>-2</v>
          </cell>
          <cell r="D318">
            <v>59384</v>
          </cell>
          <cell r="E318" t="str">
            <v>콘크리트타설</v>
          </cell>
          <cell r="F318" t="str">
            <v>(무근 펌프카)</v>
          </cell>
          <cell r="G318" t="str">
            <v>㎥</v>
          </cell>
          <cell r="I318">
            <v>0</v>
          </cell>
        </row>
        <row r="319">
          <cell r="A319" t="str">
            <v>D00232</v>
          </cell>
          <cell r="B319">
            <v>7</v>
          </cell>
          <cell r="C319" t="str">
            <v>-3</v>
          </cell>
          <cell r="D319">
            <v>59400</v>
          </cell>
          <cell r="E319" t="str">
            <v>콘크리트타설</v>
          </cell>
          <cell r="F319" t="str">
            <v>(철근 VIB 제외)</v>
          </cell>
          <cell r="G319" t="str">
            <v>㎥</v>
          </cell>
          <cell r="I319">
            <v>0</v>
          </cell>
        </row>
        <row r="320">
          <cell r="A320" t="str">
            <v>D00231</v>
          </cell>
          <cell r="B320">
            <v>2</v>
          </cell>
          <cell r="C320" t="str">
            <v>-4</v>
          </cell>
          <cell r="D320">
            <v>59596</v>
          </cell>
          <cell r="E320" t="str">
            <v>콘크리트타설</v>
          </cell>
          <cell r="F320" t="str">
            <v>(무근 VIB 제외)</v>
          </cell>
          <cell r="G320" t="str">
            <v>㎥</v>
          </cell>
          <cell r="I320">
            <v>0</v>
          </cell>
        </row>
        <row r="321">
          <cell r="A321" t="str">
            <v>E1</v>
          </cell>
          <cell r="B321">
            <v>0</v>
          </cell>
          <cell r="C321" t="str">
            <v>소계</v>
          </cell>
          <cell r="D321">
            <v>59791</v>
          </cell>
          <cell r="I321">
            <v>0</v>
          </cell>
        </row>
        <row r="322">
          <cell r="A322" t="str">
            <v>T1</v>
          </cell>
          <cell r="B322">
            <v>325</v>
          </cell>
          <cell r="C322" t="str">
            <v>b</v>
          </cell>
          <cell r="D322">
            <v>59919</v>
          </cell>
          <cell r="E322" t="str">
            <v>거 푸 집</v>
          </cell>
          <cell r="I322">
            <v>0</v>
          </cell>
        </row>
        <row r="323">
          <cell r="A323" t="str">
            <v>D00276</v>
          </cell>
          <cell r="B323">
            <v>44</v>
          </cell>
          <cell r="C323" t="str">
            <v>-1</v>
          </cell>
          <cell r="D323">
            <v>59988</v>
          </cell>
          <cell r="E323" t="str">
            <v>합판거푸집</v>
          </cell>
          <cell r="F323" t="str">
            <v>(3 회)</v>
          </cell>
          <cell r="G323" t="str">
            <v>㎡</v>
          </cell>
          <cell r="I323">
            <v>0</v>
          </cell>
        </row>
        <row r="324">
          <cell r="A324" t="str">
            <v>D00280</v>
          </cell>
          <cell r="B324">
            <v>62</v>
          </cell>
          <cell r="C324" t="str">
            <v>-2</v>
          </cell>
          <cell r="D324">
            <v>60022</v>
          </cell>
          <cell r="E324" t="str">
            <v>합판거푸집</v>
          </cell>
          <cell r="F324" t="str">
            <v>(4 회)</v>
          </cell>
          <cell r="G324" t="str">
            <v>㎡</v>
          </cell>
          <cell r="I324">
            <v>0</v>
          </cell>
        </row>
        <row r="325">
          <cell r="A325" t="str">
            <v>D00282</v>
          </cell>
          <cell r="B325">
            <v>2</v>
          </cell>
          <cell r="C325" t="str">
            <v>-3</v>
          </cell>
          <cell r="D325">
            <v>60039</v>
          </cell>
          <cell r="E325" t="str">
            <v>합판거푸집</v>
          </cell>
          <cell r="F325" t="str">
            <v>(6 회)</v>
          </cell>
          <cell r="G325" t="str">
            <v>㎡</v>
          </cell>
          <cell r="I325">
            <v>0</v>
          </cell>
        </row>
        <row r="326">
          <cell r="A326" t="str">
            <v>E1</v>
          </cell>
          <cell r="B326">
            <v>0</v>
          </cell>
          <cell r="C326" t="str">
            <v>소계</v>
          </cell>
          <cell r="D326">
            <v>60048</v>
          </cell>
          <cell r="I326">
            <v>0</v>
          </cell>
        </row>
        <row r="327">
          <cell r="A327" t="str">
            <v>D00323</v>
          </cell>
          <cell r="B327">
            <v>42</v>
          </cell>
          <cell r="C327" t="str">
            <v>c</v>
          </cell>
          <cell r="D327">
            <v>60049</v>
          </cell>
          <cell r="E327" t="str">
            <v>강관비계</v>
          </cell>
          <cell r="F327" t="str">
            <v>(0∼30 M)</v>
          </cell>
          <cell r="G327" t="str">
            <v>㎡</v>
          </cell>
          <cell r="I327">
            <v>0</v>
          </cell>
        </row>
        <row r="328">
          <cell r="A328" t="str">
            <v>D00588</v>
          </cell>
          <cell r="B328">
            <v>41</v>
          </cell>
          <cell r="C328" t="str">
            <v>d</v>
          </cell>
          <cell r="D328">
            <v>60945</v>
          </cell>
          <cell r="E328" t="str">
            <v>스페이서 설치</v>
          </cell>
          <cell r="F328" t="str">
            <v>(슬라브및기초용)</v>
          </cell>
          <cell r="G328" t="str">
            <v>㎡</v>
          </cell>
          <cell r="I328">
            <v>0</v>
          </cell>
        </row>
        <row r="329">
          <cell r="A329" t="str">
            <v>D00333</v>
          </cell>
          <cell r="B329">
            <v>15</v>
          </cell>
          <cell r="C329" t="str">
            <v>e</v>
          </cell>
          <cell r="D329">
            <v>61105</v>
          </cell>
          <cell r="E329" t="str">
            <v>강관동바리</v>
          </cell>
          <cell r="F329" t="str">
            <v>(암거용)</v>
          </cell>
          <cell r="G329" t="str">
            <v>공㎥</v>
          </cell>
          <cell r="I329">
            <v>0</v>
          </cell>
        </row>
        <row r="330">
          <cell r="A330" t="str">
            <v>D03889</v>
          </cell>
          <cell r="B330">
            <v>4.3999999999999997E-2</v>
          </cell>
          <cell r="C330" t="str">
            <v>f</v>
          </cell>
          <cell r="D330">
            <v>61137</v>
          </cell>
          <cell r="E330" t="str">
            <v>분수문 난간</v>
          </cell>
          <cell r="G330" t="str">
            <v>Ton</v>
          </cell>
          <cell r="I330">
            <v>0</v>
          </cell>
        </row>
        <row r="331">
          <cell r="A331" t="str">
            <v>D00271</v>
          </cell>
          <cell r="B331">
            <v>1.8380000000000001</v>
          </cell>
          <cell r="C331" t="str">
            <v>g</v>
          </cell>
          <cell r="D331">
            <v>61145</v>
          </cell>
          <cell r="E331" t="str">
            <v>철근가공조립</v>
          </cell>
          <cell r="F331" t="str">
            <v>(보 통)</v>
          </cell>
          <cell r="G331" t="str">
            <v>Ton</v>
          </cell>
          <cell r="I331">
            <v>0</v>
          </cell>
        </row>
        <row r="332">
          <cell r="A332" t="str">
            <v>D03836</v>
          </cell>
          <cell r="B332">
            <v>1</v>
          </cell>
          <cell r="C332" t="str">
            <v>h</v>
          </cell>
          <cell r="D332">
            <v>61149</v>
          </cell>
          <cell r="E332" t="str">
            <v>작업용계단</v>
          </cell>
          <cell r="G332" t="str">
            <v>EA</v>
          </cell>
          <cell r="I332">
            <v>0</v>
          </cell>
        </row>
        <row r="333">
          <cell r="A333" t="str">
            <v>D00347</v>
          </cell>
          <cell r="B333">
            <v>4</v>
          </cell>
          <cell r="C333" t="str">
            <v>i</v>
          </cell>
          <cell r="D333">
            <v>61151</v>
          </cell>
          <cell r="E333" t="str">
            <v>조합페인트</v>
          </cell>
          <cell r="F333" t="str">
            <v>(철재면 2 회)</v>
          </cell>
          <cell r="G333" t="str">
            <v>㎡</v>
          </cell>
          <cell r="I333">
            <v>0</v>
          </cell>
        </row>
        <row r="334">
          <cell r="A334" t="str">
            <v>D00410</v>
          </cell>
          <cell r="B334">
            <v>4</v>
          </cell>
          <cell r="C334" t="str">
            <v>j</v>
          </cell>
          <cell r="D334">
            <v>61153</v>
          </cell>
          <cell r="E334" t="str">
            <v>문비</v>
          </cell>
          <cell r="G334" t="str">
            <v>EA</v>
          </cell>
          <cell r="I334">
            <v>0</v>
          </cell>
        </row>
        <row r="335">
          <cell r="A335" t="str">
            <v>D03837</v>
          </cell>
          <cell r="B335">
            <v>1</v>
          </cell>
          <cell r="C335" t="str">
            <v>h</v>
          </cell>
          <cell r="D335">
            <v>61161</v>
          </cell>
          <cell r="E335" t="str">
            <v>권 양 기</v>
          </cell>
          <cell r="F335" t="str">
            <v>(2.5 Ton)</v>
          </cell>
          <cell r="G335" t="str">
            <v>EA</v>
          </cell>
          <cell r="I335">
            <v>0</v>
          </cell>
        </row>
        <row r="336">
          <cell r="A336" t="str">
            <v>E2</v>
          </cell>
          <cell r="B336">
            <v>0</v>
          </cell>
          <cell r="C336" t="str">
            <v>계</v>
          </cell>
          <cell r="D336">
            <v>61165</v>
          </cell>
          <cell r="I336">
            <v>0</v>
          </cell>
        </row>
        <row r="337">
          <cell r="A337" t="str">
            <v>E3</v>
          </cell>
          <cell r="B337">
            <v>0</v>
          </cell>
          <cell r="C337" t="str">
            <v>합계</v>
          </cell>
          <cell r="D337">
            <v>61169</v>
          </cell>
          <cell r="I337">
            <v>0</v>
          </cell>
        </row>
        <row r="338">
          <cell r="A338" t="str">
            <v>E4</v>
          </cell>
          <cell r="B338">
            <v>0</v>
          </cell>
          <cell r="C338" t="str">
            <v>총계</v>
          </cell>
          <cell r="D338">
            <v>61179</v>
          </cell>
          <cell r="I338">
            <v>0</v>
          </cell>
        </row>
        <row r="339">
          <cell r="A339" t="str">
            <v>T4</v>
          </cell>
          <cell r="B339">
            <v>1497</v>
          </cell>
          <cell r="C339" t="str">
            <v>3.</v>
          </cell>
          <cell r="D339">
            <v>61198</v>
          </cell>
          <cell r="E339" t="str">
            <v>구  조  물  공</v>
          </cell>
          <cell r="I339">
            <v>0</v>
          </cell>
        </row>
        <row r="340">
          <cell r="A340" t="str">
            <v>T3</v>
          </cell>
          <cell r="B340">
            <v>389</v>
          </cell>
          <cell r="C340" t="str">
            <v>3.A</v>
          </cell>
          <cell r="D340">
            <v>61262</v>
          </cell>
          <cell r="E340" t="str">
            <v>옥 암 지하차도</v>
          </cell>
          <cell r="I340">
            <v>0</v>
          </cell>
        </row>
        <row r="341">
          <cell r="A341" t="str">
            <v>T2</v>
          </cell>
          <cell r="B341">
            <v>351</v>
          </cell>
          <cell r="C341" t="str">
            <v>3.01</v>
          </cell>
          <cell r="D341">
            <v>214559</v>
          </cell>
          <cell r="E341" t="str">
            <v>토          공</v>
          </cell>
          <cell r="I341">
            <v>0</v>
          </cell>
        </row>
        <row r="342">
          <cell r="A342" t="str">
            <v>D00135</v>
          </cell>
          <cell r="B342">
            <v>1190</v>
          </cell>
          <cell r="C342" t="str">
            <v>a</v>
          </cell>
          <cell r="D342">
            <v>367856</v>
          </cell>
          <cell r="E342" t="str">
            <v>구조물터파기</v>
          </cell>
          <cell r="F342" t="str">
            <v>(육상발파암 0∼1 M)</v>
          </cell>
          <cell r="G342" t="str">
            <v>㎥</v>
          </cell>
          <cell r="I342">
            <v>0</v>
          </cell>
        </row>
        <row r="343">
          <cell r="A343" t="str">
            <v>D00136</v>
          </cell>
          <cell r="B343">
            <v>1113</v>
          </cell>
          <cell r="C343" t="str">
            <v>b</v>
          </cell>
          <cell r="D343">
            <v>368011</v>
          </cell>
          <cell r="E343" t="str">
            <v>구조물터파기</v>
          </cell>
          <cell r="F343" t="str">
            <v>(육상발파암 1∼2 M)</v>
          </cell>
          <cell r="G343" t="str">
            <v>㎥</v>
          </cell>
          <cell r="I343">
            <v>0</v>
          </cell>
        </row>
        <row r="344">
          <cell r="A344" t="str">
            <v>D03810</v>
          </cell>
          <cell r="B344">
            <v>1037</v>
          </cell>
          <cell r="C344" t="str">
            <v>c</v>
          </cell>
          <cell r="D344">
            <v>368204</v>
          </cell>
          <cell r="E344" t="str">
            <v>구조물터파기</v>
          </cell>
          <cell r="F344" t="str">
            <v>(육상발파암 2∼3 M)</v>
          </cell>
          <cell r="G344" t="str">
            <v>㎥</v>
          </cell>
          <cell r="I344">
            <v>0</v>
          </cell>
        </row>
        <row r="345">
          <cell r="A345" t="str">
            <v>D03811</v>
          </cell>
          <cell r="B345">
            <v>960</v>
          </cell>
          <cell r="C345" t="str">
            <v>d</v>
          </cell>
          <cell r="D345">
            <v>368285</v>
          </cell>
          <cell r="E345" t="str">
            <v>구조물터파기</v>
          </cell>
          <cell r="F345" t="str">
            <v>(육상발파암 3∼4 M)</v>
          </cell>
          <cell r="G345" t="str">
            <v>㎥</v>
          </cell>
          <cell r="I345">
            <v>0</v>
          </cell>
        </row>
        <row r="346">
          <cell r="A346" t="str">
            <v>D03812</v>
          </cell>
          <cell r="B346">
            <v>884</v>
          </cell>
          <cell r="C346" t="str">
            <v>e</v>
          </cell>
          <cell r="D346">
            <v>368407</v>
          </cell>
          <cell r="E346" t="str">
            <v>구조물터파기</v>
          </cell>
          <cell r="F346" t="str">
            <v>(육상발파암 4∼5 M)</v>
          </cell>
          <cell r="G346" t="str">
            <v>㎥</v>
          </cell>
          <cell r="I346">
            <v>0</v>
          </cell>
        </row>
        <row r="347">
          <cell r="A347" t="str">
            <v>D03813</v>
          </cell>
          <cell r="B347">
            <v>807</v>
          </cell>
          <cell r="C347" t="str">
            <v>f</v>
          </cell>
          <cell r="D347">
            <v>368468</v>
          </cell>
          <cell r="E347" t="str">
            <v>구조물터파기</v>
          </cell>
          <cell r="F347" t="str">
            <v>(육상발파암 5∼6 M)</v>
          </cell>
          <cell r="G347" t="str">
            <v>㎥</v>
          </cell>
          <cell r="I347">
            <v>0</v>
          </cell>
        </row>
        <row r="348">
          <cell r="A348" t="str">
            <v>D03814</v>
          </cell>
          <cell r="B348">
            <v>731</v>
          </cell>
          <cell r="C348" t="str">
            <v>g</v>
          </cell>
          <cell r="D348">
            <v>368498</v>
          </cell>
          <cell r="E348" t="str">
            <v>구조물터파기</v>
          </cell>
          <cell r="F348" t="str">
            <v>(육상발파암 6∼7 M)</v>
          </cell>
          <cell r="G348" t="str">
            <v>㎥</v>
          </cell>
          <cell r="I348">
            <v>0</v>
          </cell>
        </row>
        <row r="349">
          <cell r="A349" t="str">
            <v>D03815</v>
          </cell>
          <cell r="B349">
            <v>654</v>
          </cell>
          <cell r="C349" t="str">
            <v>h</v>
          </cell>
          <cell r="D349">
            <v>368513</v>
          </cell>
          <cell r="E349" t="str">
            <v>구조물터파기</v>
          </cell>
          <cell r="F349" t="str">
            <v>(육상발파암 7∼8 M)</v>
          </cell>
          <cell r="G349" t="str">
            <v>㎥</v>
          </cell>
          <cell r="I349">
            <v>0</v>
          </cell>
        </row>
        <row r="350">
          <cell r="A350" t="str">
            <v>D00037</v>
          </cell>
          <cell r="B350">
            <v>1023</v>
          </cell>
          <cell r="C350" t="str">
            <v>i</v>
          </cell>
          <cell r="D350">
            <v>368528</v>
          </cell>
          <cell r="E350" t="str">
            <v>되메우기</v>
          </cell>
          <cell r="F350" t="str">
            <v>(노 체)</v>
          </cell>
          <cell r="G350" t="str">
            <v>㎥</v>
          </cell>
          <cell r="I350">
            <v>0</v>
          </cell>
        </row>
        <row r="351">
          <cell r="A351" t="str">
            <v>D00170</v>
          </cell>
          <cell r="B351">
            <v>2160</v>
          </cell>
          <cell r="C351" t="str">
            <v>j</v>
          </cell>
          <cell r="D351">
            <v>368648</v>
          </cell>
          <cell r="E351" t="str">
            <v>뒷채움잡석</v>
          </cell>
          <cell r="F351" t="str">
            <v>(현장암유용)</v>
          </cell>
          <cell r="G351" t="str">
            <v>㎥</v>
          </cell>
          <cell r="I351">
            <v>0</v>
          </cell>
        </row>
        <row r="352">
          <cell r="A352" t="str">
            <v>E2</v>
          </cell>
          <cell r="B352">
            <v>0</v>
          </cell>
          <cell r="C352" t="str">
            <v>계</v>
          </cell>
          <cell r="D352">
            <v>368768</v>
          </cell>
          <cell r="I352">
            <v>0</v>
          </cell>
        </row>
        <row r="353">
          <cell r="A353" t="str">
            <v>T2</v>
          </cell>
          <cell r="B353">
            <v>357</v>
          </cell>
          <cell r="C353" t="str">
            <v>3.02</v>
          </cell>
          <cell r="D353">
            <v>369127</v>
          </cell>
          <cell r="E353" t="str">
            <v>거 푸 집</v>
          </cell>
          <cell r="I353">
            <v>0</v>
          </cell>
        </row>
        <row r="354">
          <cell r="A354" t="str">
            <v>D00276</v>
          </cell>
          <cell r="B354">
            <v>1862</v>
          </cell>
          <cell r="C354" t="str">
            <v>a</v>
          </cell>
          <cell r="D354">
            <v>369128</v>
          </cell>
          <cell r="E354" t="str">
            <v>합판거푸집</v>
          </cell>
          <cell r="F354" t="str">
            <v>(3 회)</v>
          </cell>
          <cell r="G354" t="str">
            <v>㎡</v>
          </cell>
          <cell r="I354">
            <v>0</v>
          </cell>
        </row>
        <row r="355">
          <cell r="A355" t="str">
            <v>D00280</v>
          </cell>
          <cell r="B355">
            <v>125</v>
          </cell>
          <cell r="C355" t="str">
            <v>b</v>
          </cell>
          <cell r="D355">
            <v>369192</v>
          </cell>
          <cell r="E355" t="str">
            <v>합판거푸집</v>
          </cell>
          <cell r="F355" t="str">
            <v>(4 회)</v>
          </cell>
          <cell r="G355" t="str">
            <v>㎡</v>
          </cell>
          <cell r="I355">
            <v>0</v>
          </cell>
        </row>
        <row r="356">
          <cell r="A356" t="str">
            <v>D00282</v>
          </cell>
          <cell r="B356">
            <v>29</v>
          </cell>
          <cell r="C356" t="str">
            <v>c</v>
          </cell>
          <cell r="D356">
            <v>369224</v>
          </cell>
          <cell r="E356" t="str">
            <v>합판거푸집</v>
          </cell>
          <cell r="F356" t="str">
            <v>(6 회)</v>
          </cell>
          <cell r="G356" t="str">
            <v>㎡</v>
          </cell>
          <cell r="I356">
            <v>0</v>
          </cell>
        </row>
        <row r="357">
          <cell r="A357" t="str">
            <v>D00265</v>
          </cell>
          <cell r="B357">
            <v>152</v>
          </cell>
          <cell r="C357" t="str">
            <v>d</v>
          </cell>
          <cell r="D357">
            <v>369232</v>
          </cell>
          <cell r="E357" t="str">
            <v>문양거푸집(합판4회+</v>
          </cell>
          <cell r="F357" t="str">
            <v>문양스치로폴(0∼7M)</v>
          </cell>
          <cell r="G357" t="str">
            <v>㎡</v>
          </cell>
          <cell r="I357">
            <v>0</v>
          </cell>
        </row>
        <row r="358">
          <cell r="A358" t="str">
            <v>E2</v>
          </cell>
          <cell r="B358">
            <v>0</v>
          </cell>
          <cell r="C358" t="str">
            <v>계</v>
          </cell>
          <cell r="D358">
            <v>369240</v>
          </cell>
          <cell r="I358">
            <v>0</v>
          </cell>
        </row>
        <row r="359">
          <cell r="A359" t="str">
            <v>D00323</v>
          </cell>
          <cell r="B359">
            <v>774</v>
          </cell>
          <cell r="C359" t="str">
            <v>3.03</v>
          </cell>
          <cell r="D359">
            <v>369241</v>
          </cell>
          <cell r="E359" t="str">
            <v>강관비계</v>
          </cell>
          <cell r="F359" t="str">
            <v>(0∼30 M)</v>
          </cell>
          <cell r="G359" t="str">
            <v>㎡</v>
          </cell>
          <cell r="I359">
            <v>0</v>
          </cell>
        </row>
        <row r="360">
          <cell r="A360" t="str">
            <v>D00334</v>
          </cell>
          <cell r="B360">
            <v>2514</v>
          </cell>
          <cell r="C360" t="str">
            <v>3.04</v>
          </cell>
          <cell r="D360">
            <v>369361</v>
          </cell>
          <cell r="E360" t="str">
            <v>강관동바리</v>
          </cell>
          <cell r="F360" t="str">
            <v>(교량용)</v>
          </cell>
          <cell r="G360" t="str">
            <v>공㎥</v>
          </cell>
          <cell r="I360">
            <v>0</v>
          </cell>
        </row>
        <row r="361">
          <cell r="A361" t="str">
            <v>T2</v>
          </cell>
          <cell r="B361">
            <v>363</v>
          </cell>
          <cell r="C361" t="str">
            <v>3.05</v>
          </cell>
          <cell r="D361">
            <v>369489</v>
          </cell>
          <cell r="E361" t="str">
            <v>철근가공조립</v>
          </cell>
          <cell r="I361">
            <v>0</v>
          </cell>
        </row>
        <row r="362">
          <cell r="A362" t="str">
            <v>D00271</v>
          </cell>
          <cell r="B362">
            <v>59.024999999999999</v>
          </cell>
          <cell r="C362" t="str">
            <v>a</v>
          </cell>
          <cell r="D362">
            <v>369617</v>
          </cell>
          <cell r="E362" t="str">
            <v>철근가공조립</v>
          </cell>
          <cell r="F362" t="str">
            <v>(보 통)</v>
          </cell>
          <cell r="G362" t="str">
            <v>Ton</v>
          </cell>
          <cell r="I362">
            <v>0</v>
          </cell>
        </row>
        <row r="363">
          <cell r="A363" t="str">
            <v>D00272</v>
          </cell>
          <cell r="B363">
            <v>330.56799999999998</v>
          </cell>
          <cell r="C363" t="str">
            <v>b</v>
          </cell>
          <cell r="D363">
            <v>369621</v>
          </cell>
          <cell r="E363" t="str">
            <v>철근가공조립</v>
          </cell>
          <cell r="F363" t="str">
            <v>(복 잡)</v>
          </cell>
          <cell r="G363" t="str">
            <v>Ton</v>
          </cell>
          <cell r="I363">
            <v>0</v>
          </cell>
        </row>
        <row r="364">
          <cell r="A364" t="str">
            <v>E2</v>
          </cell>
          <cell r="B364">
            <v>0</v>
          </cell>
          <cell r="C364" t="str">
            <v>계</v>
          </cell>
          <cell r="D364">
            <v>369624</v>
          </cell>
          <cell r="I364">
            <v>0</v>
          </cell>
        </row>
        <row r="365">
          <cell r="A365" t="str">
            <v>T2</v>
          </cell>
          <cell r="B365">
            <v>367</v>
          </cell>
          <cell r="C365" t="str">
            <v>3.06</v>
          </cell>
          <cell r="D365">
            <v>369625</v>
          </cell>
          <cell r="E365" t="str">
            <v>콘크리트타설</v>
          </cell>
          <cell r="I365">
            <v>0</v>
          </cell>
        </row>
        <row r="366">
          <cell r="A366" t="str">
            <v>D00237</v>
          </cell>
          <cell r="B366">
            <v>1730</v>
          </cell>
          <cell r="C366" t="str">
            <v>a</v>
          </cell>
          <cell r="D366">
            <v>369689</v>
          </cell>
          <cell r="E366" t="str">
            <v>콘크리트타설</v>
          </cell>
          <cell r="F366" t="str">
            <v>(철근 펌프카)</v>
          </cell>
          <cell r="G366" t="str">
            <v>㎥</v>
          </cell>
          <cell r="I366">
            <v>0</v>
          </cell>
        </row>
        <row r="367">
          <cell r="A367" t="str">
            <v>D00231</v>
          </cell>
          <cell r="B367">
            <v>108</v>
          </cell>
          <cell r="C367" t="str">
            <v>b</v>
          </cell>
          <cell r="D367">
            <v>369721</v>
          </cell>
          <cell r="E367" t="str">
            <v>콘크리트타설</v>
          </cell>
          <cell r="F367" t="str">
            <v>(무근 VIB 제외)</v>
          </cell>
          <cell r="G367" t="str">
            <v>㎥</v>
          </cell>
          <cell r="I367">
            <v>0</v>
          </cell>
        </row>
        <row r="368">
          <cell r="A368" t="str">
            <v>E2</v>
          </cell>
          <cell r="B368">
            <v>0</v>
          </cell>
          <cell r="C368" t="str">
            <v>계</v>
          </cell>
          <cell r="D368">
            <v>369753</v>
          </cell>
          <cell r="I368">
            <v>0</v>
          </cell>
        </row>
        <row r="369">
          <cell r="A369" t="str">
            <v>D03746</v>
          </cell>
          <cell r="B369">
            <v>423</v>
          </cell>
          <cell r="C369" t="str">
            <v>3.07</v>
          </cell>
          <cell r="D369">
            <v>369761</v>
          </cell>
          <cell r="E369" t="str">
            <v>타일붙이기</v>
          </cell>
          <cell r="F369" t="str">
            <v>(90x190x11)</v>
          </cell>
          <cell r="G369" t="str">
            <v>㎡</v>
          </cell>
          <cell r="I369">
            <v>0</v>
          </cell>
        </row>
        <row r="370">
          <cell r="A370" t="str">
            <v>D01034</v>
          </cell>
          <cell r="B370">
            <v>423</v>
          </cell>
          <cell r="C370" t="str">
            <v>3.08</v>
          </cell>
          <cell r="D370">
            <v>369765</v>
          </cell>
          <cell r="E370" t="str">
            <v>바탕고르기</v>
          </cell>
          <cell r="F370" t="str">
            <v>T=24 m/m</v>
          </cell>
          <cell r="G370" t="str">
            <v>㎡</v>
          </cell>
          <cell r="I370">
            <v>0</v>
          </cell>
        </row>
        <row r="371">
          <cell r="A371" t="str">
            <v>D00563</v>
          </cell>
          <cell r="B371">
            <v>1224</v>
          </cell>
          <cell r="C371" t="str">
            <v>3.09</v>
          </cell>
          <cell r="D371">
            <v>369767</v>
          </cell>
          <cell r="E371" t="str">
            <v>아스팔트 방수</v>
          </cell>
          <cell r="F371" t="str">
            <v>(2 회)</v>
          </cell>
          <cell r="G371" t="str">
            <v>㎡</v>
          </cell>
          <cell r="I371">
            <v>0</v>
          </cell>
        </row>
        <row r="372">
          <cell r="A372" t="str">
            <v>D03816</v>
          </cell>
          <cell r="B372">
            <v>29</v>
          </cell>
          <cell r="C372" t="str">
            <v>3.10</v>
          </cell>
          <cell r="D372">
            <v>369768</v>
          </cell>
          <cell r="E372" t="str">
            <v>시공이음면정리</v>
          </cell>
          <cell r="G372" t="str">
            <v>㎡</v>
          </cell>
          <cell r="I372">
            <v>0</v>
          </cell>
        </row>
        <row r="373">
          <cell r="A373" t="str">
            <v>D00587</v>
          </cell>
          <cell r="B373">
            <v>37</v>
          </cell>
          <cell r="C373" t="str">
            <v>3.11</v>
          </cell>
          <cell r="D373">
            <v>369896</v>
          </cell>
          <cell r="E373" t="str">
            <v>신축이음</v>
          </cell>
          <cell r="F373" t="str">
            <v>(지하차도)</v>
          </cell>
          <cell r="G373" t="str">
            <v>M</v>
          </cell>
          <cell r="I373">
            <v>0</v>
          </cell>
        </row>
        <row r="374">
          <cell r="A374" t="str">
            <v>D03748</v>
          </cell>
          <cell r="B374">
            <v>56</v>
          </cell>
          <cell r="C374" t="str">
            <v>3.12</v>
          </cell>
          <cell r="D374">
            <v>369992</v>
          </cell>
          <cell r="E374" t="str">
            <v>수축줄눈</v>
          </cell>
          <cell r="F374" t="str">
            <v>(지하차도)</v>
          </cell>
          <cell r="G374" t="str">
            <v>M</v>
          </cell>
          <cell r="I374">
            <v>0</v>
          </cell>
        </row>
        <row r="375">
          <cell r="A375" t="str">
            <v>D03817</v>
          </cell>
          <cell r="B375">
            <v>47</v>
          </cell>
          <cell r="C375" t="str">
            <v>3.13</v>
          </cell>
          <cell r="D375">
            <v>370040</v>
          </cell>
          <cell r="E375" t="str">
            <v>ELASTIC FILLER</v>
          </cell>
          <cell r="F375" t="str">
            <v>(T=20 m/m)</v>
          </cell>
          <cell r="G375" t="str">
            <v>㎡</v>
          </cell>
          <cell r="I375">
            <v>0</v>
          </cell>
        </row>
        <row r="376">
          <cell r="A376" t="str">
            <v>T2</v>
          </cell>
          <cell r="B376">
            <v>378</v>
          </cell>
          <cell r="C376" t="str">
            <v>3.14</v>
          </cell>
          <cell r="D376">
            <v>370365</v>
          </cell>
          <cell r="E376" t="str">
            <v>스페이서 설치</v>
          </cell>
          <cell r="I376">
            <v>0</v>
          </cell>
        </row>
        <row r="377">
          <cell r="A377" t="str">
            <v>D00588</v>
          </cell>
          <cell r="B377">
            <v>1095</v>
          </cell>
          <cell r="C377" t="str">
            <v>a</v>
          </cell>
          <cell r="D377">
            <v>370493</v>
          </cell>
          <cell r="E377" t="str">
            <v>스페이서 설치</v>
          </cell>
          <cell r="F377" t="str">
            <v>(슬라브및기초용)</v>
          </cell>
          <cell r="G377" t="str">
            <v>㎡</v>
          </cell>
          <cell r="I377">
            <v>0</v>
          </cell>
        </row>
        <row r="378">
          <cell r="A378" t="str">
            <v>D01070</v>
          </cell>
          <cell r="B378">
            <v>640</v>
          </cell>
          <cell r="C378" t="str">
            <v>b</v>
          </cell>
          <cell r="D378">
            <v>370501</v>
          </cell>
          <cell r="E378" t="str">
            <v>스페이서 설치</v>
          </cell>
          <cell r="F378" t="str">
            <v>(벽체용)</v>
          </cell>
          <cell r="G378" t="str">
            <v>㎡</v>
          </cell>
          <cell r="I378">
            <v>0</v>
          </cell>
        </row>
        <row r="379">
          <cell r="A379" t="str">
            <v>E2</v>
          </cell>
          <cell r="B379">
            <v>0</v>
          </cell>
          <cell r="C379" t="str">
            <v>계</v>
          </cell>
          <cell r="D379">
            <v>370505</v>
          </cell>
          <cell r="I379">
            <v>0</v>
          </cell>
        </row>
        <row r="380">
          <cell r="A380" t="str">
            <v>D03818</v>
          </cell>
          <cell r="B380">
            <v>46</v>
          </cell>
          <cell r="C380" t="str">
            <v>3.15</v>
          </cell>
          <cell r="D380">
            <v>370830</v>
          </cell>
          <cell r="E380" t="str">
            <v>스틸그레이팅</v>
          </cell>
          <cell r="F380" t="str">
            <v>(995x350x44)</v>
          </cell>
          <cell r="G380" t="str">
            <v>M</v>
          </cell>
          <cell r="I380">
            <v>0</v>
          </cell>
        </row>
        <row r="381">
          <cell r="A381" t="str">
            <v>D00846</v>
          </cell>
          <cell r="B381">
            <v>33</v>
          </cell>
          <cell r="C381" t="str">
            <v>3.16</v>
          </cell>
          <cell r="D381">
            <v>370894</v>
          </cell>
          <cell r="E381" t="str">
            <v>폴리우레탄실란트채움</v>
          </cell>
          <cell r="F381" t="str">
            <v>(25x20)</v>
          </cell>
          <cell r="G381" t="str">
            <v>M</v>
          </cell>
          <cell r="I381">
            <v>0</v>
          </cell>
        </row>
        <row r="382">
          <cell r="A382" t="str">
            <v>D03843</v>
          </cell>
          <cell r="B382">
            <v>1.605</v>
          </cell>
          <cell r="C382" t="str">
            <v>3.17</v>
          </cell>
          <cell r="D382">
            <v>370926</v>
          </cell>
          <cell r="E382" t="str">
            <v>철근망 설치</v>
          </cell>
          <cell r="F382" t="str">
            <v>(D=13 m/m)</v>
          </cell>
          <cell r="G382" t="str">
            <v>Ton</v>
          </cell>
          <cell r="I382">
            <v>0</v>
          </cell>
        </row>
        <row r="383">
          <cell r="A383" t="str">
            <v>D01191</v>
          </cell>
          <cell r="B383">
            <v>8</v>
          </cell>
          <cell r="C383" t="str">
            <v>3.18</v>
          </cell>
          <cell r="D383">
            <v>370958</v>
          </cell>
          <cell r="E383" t="str">
            <v>PVC PIPE 설치</v>
          </cell>
          <cell r="F383" t="str">
            <v>(Φ65 m/m)</v>
          </cell>
          <cell r="G383" t="str">
            <v>M</v>
          </cell>
          <cell r="I383">
            <v>0</v>
          </cell>
        </row>
        <row r="384">
          <cell r="A384" t="str">
            <v>D00539</v>
          </cell>
          <cell r="B384">
            <v>455</v>
          </cell>
          <cell r="C384" t="str">
            <v>3.19</v>
          </cell>
          <cell r="D384">
            <v>524996</v>
          </cell>
          <cell r="E384" t="str">
            <v>면고르기</v>
          </cell>
          <cell r="G384" t="str">
            <v>㎡</v>
          </cell>
          <cell r="I384">
            <v>0</v>
          </cell>
        </row>
        <row r="385">
          <cell r="A385" t="str">
            <v>D00537</v>
          </cell>
          <cell r="B385">
            <v>553</v>
          </cell>
          <cell r="C385" t="str">
            <v>3.20</v>
          </cell>
          <cell r="D385">
            <v>602015</v>
          </cell>
          <cell r="E385" t="str">
            <v>슬래브양생</v>
          </cell>
          <cell r="F385" t="str">
            <v>(양생제)</v>
          </cell>
          <cell r="G385" t="str">
            <v>㎡</v>
          </cell>
          <cell r="I385">
            <v>0</v>
          </cell>
        </row>
        <row r="386">
          <cell r="A386" t="str">
            <v>D03856</v>
          </cell>
          <cell r="B386">
            <v>137</v>
          </cell>
          <cell r="C386" t="str">
            <v>3.21</v>
          </cell>
          <cell r="D386">
            <v>650153</v>
          </cell>
          <cell r="E386" t="str">
            <v>맹암거설치</v>
          </cell>
          <cell r="F386" t="str">
            <v>(D=200 m/m)</v>
          </cell>
          <cell r="G386" t="str">
            <v>M</v>
          </cell>
          <cell r="I386">
            <v>0</v>
          </cell>
        </row>
        <row r="387">
          <cell r="A387" t="str">
            <v>D00419</v>
          </cell>
          <cell r="B387">
            <v>113</v>
          </cell>
          <cell r="C387" t="str">
            <v>3.22</v>
          </cell>
          <cell r="D387">
            <v>669407</v>
          </cell>
          <cell r="E387" t="str">
            <v>부직포설치</v>
          </cell>
          <cell r="F387" t="str">
            <v>(2.0 T/M)</v>
          </cell>
          <cell r="G387" t="str">
            <v>㎡</v>
          </cell>
          <cell r="I387">
            <v>0</v>
          </cell>
        </row>
        <row r="388">
          <cell r="A388" t="str">
            <v>D03871</v>
          </cell>
          <cell r="B388">
            <v>4</v>
          </cell>
          <cell r="C388" t="str">
            <v>3.23</v>
          </cell>
          <cell r="D388">
            <v>674221</v>
          </cell>
          <cell r="E388" t="str">
            <v>평판재하시험</v>
          </cell>
          <cell r="G388" t="str">
            <v>개소</v>
          </cell>
          <cell r="I388">
            <v>0</v>
          </cell>
        </row>
        <row r="389">
          <cell r="A389" t="str">
            <v>D03747</v>
          </cell>
          <cell r="B389">
            <v>27</v>
          </cell>
          <cell r="C389" t="str">
            <v>3.24</v>
          </cell>
          <cell r="D389">
            <v>676628</v>
          </cell>
          <cell r="E389" t="str">
            <v>워터스톱</v>
          </cell>
          <cell r="F389" t="str">
            <v>(20x25)</v>
          </cell>
          <cell r="G389" t="str">
            <v>M</v>
          </cell>
          <cell r="I389">
            <v>0</v>
          </cell>
        </row>
        <row r="390">
          <cell r="A390" t="str">
            <v>E3</v>
          </cell>
          <cell r="B390">
            <v>0</v>
          </cell>
          <cell r="C390" t="str">
            <v>합계</v>
          </cell>
          <cell r="D390">
            <v>679034</v>
          </cell>
          <cell r="I390">
            <v>0</v>
          </cell>
        </row>
        <row r="391">
          <cell r="A391" t="str">
            <v>T3</v>
          </cell>
          <cell r="B391">
            <v>477</v>
          </cell>
          <cell r="C391" t="str">
            <v>3.B</v>
          </cell>
          <cell r="D391">
            <v>679418</v>
          </cell>
          <cell r="E391" t="str">
            <v>옥  암  육  교</v>
          </cell>
          <cell r="F391" t="str">
            <v>P.S.C BEAM</v>
          </cell>
          <cell r="I391">
            <v>0</v>
          </cell>
        </row>
        <row r="392">
          <cell r="A392" t="str">
            <v>T2</v>
          </cell>
          <cell r="B392">
            <v>398</v>
          </cell>
          <cell r="C392" t="str">
            <v>3.01</v>
          </cell>
          <cell r="D392">
            <v>679546</v>
          </cell>
          <cell r="E392" t="str">
            <v>토          공</v>
          </cell>
          <cell r="I392">
            <v>0</v>
          </cell>
        </row>
        <row r="393">
          <cell r="A393" t="str">
            <v>D00096</v>
          </cell>
          <cell r="B393">
            <v>982</v>
          </cell>
          <cell r="C393" t="str">
            <v>a</v>
          </cell>
          <cell r="D393">
            <v>832843</v>
          </cell>
          <cell r="E393" t="str">
            <v>구조물터파기</v>
          </cell>
          <cell r="F393" t="str">
            <v>(육상토사 0∼2 M)</v>
          </cell>
          <cell r="G393" t="str">
            <v>㎥</v>
          </cell>
          <cell r="I393">
            <v>0</v>
          </cell>
        </row>
        <row r="394">
          <cell r="A394" t="str">
            <v>D00097</v>
          </cell>
          <cell r="B394">
            <v>520</v>
          </cell>
          <cell r="C394" t="str">
            <v>b</v>
          </cell>
          <cell r="D394">
            <v>833179</v>
          </cell>
          <cell r="E394" t="str">
            <v>구조물터파기</v>
          </cell>
          <cell r="F394" t="str">
            <v>(육상토사 2∼4 M)</v>
          </cell>
          <cell r="G394" t="str">
            <v>㎥</v>
          </cell>
          <cell r="I394">
            <v>0</v>
          </cell>
        </row>
        <row r="395">
          <cell r="A395" t="str">
            <v>D03858</v>
          </cell>
          <cell r="B395">
            <v>44</v>
          </cell>
          <cell r="C395" t="str">
            <v>c</v>
          </cell>
          <cell r="D395">
            <v>833347</v>
          </cell>
          <cell r="E395" t="str">
            <v>구조물터파기</v>
          </cell>
          <cell r="F395" t="str">
            <v>(육상풍화암 4∼5 M)</v>
          </cell>
          <cell r="G395" t="str">
            <v>㎥</v>
          </cell>
          <cell r="I395">
            <v>0</v>
          </cell>
        </row>
        <row r="396">
          <cell r="A396" t="str">
            <v>D00022</v>
          </cell>
          <cell r="B396">
            <v>4284</v>
          </cell>
          <cell r="C396" t="str">
            <v>d</v>
          </cell>
          <cell r="D396">
            <v>833431</v>
          </cell>
          <cell r="E396" t="str">
            <v>토  사깎기</v>
          </cell>
          <cell r="F396" t="str">
            <v>(불도쟈 32 Ton)</v>
          </cell>
          <cell r="G396" t="str">
            <v>㎥</v>
          </cell>
          <cell r="I396">
            <v>0</v>
          </cell>
        </row>
        <row r="397">
          <cell r="A397" t="str">
            <v>D00160</v>
          </cell>
          <cell r="B397">
            <v>5217</v>
          </cell>
          <cell r="C397" t="str">
            <v>e</v>
          </cell>
          <cell r="D397">
            <v>833515</v>
          </cell>
          <cell r="E397" t="str">
            <v>되메우기및다짐</v>
          </cell>
          <cell r="F397" t="str">
            <v>(인력30%+백호우70%)</v>
          </cell>
          <cell r="G397" t="str">
            <v>㎥</v>
          </cell>
          <cell r="I397">
            <v>0</v>
          </cell>
        </row>
        <row r="398">
          <cell r="A398" t="str">
            <v>D00170</v>
          </cell>
          <cell r="B398">
            <v>513</v>
          </cell>
          <cell r="C398" t="str">
            <v>f</v>
          </cell>
          <cell r="D398">
            <v>833635</v>
          </cell>
          <cell r="E398" t="str">
            <v>뒷채움잡석</v>
          </cell>
          <cell r="F398" t="str">
            <v>(현장암유용)</v>
          </cell>
          <cell r="G398" t="str">
            <v>㎥</v>
          </cell>
          <cell r="I398">
            <v>0</v>
          </cell>
        </row>
        <row r="399">
          <cell r="A399" t="str">
            <v>E2</v>
          </cell>
          <cell r="B399">
            <v>0</v>
          </cell>
          <cell r="C399" t="str">
            <v>계</v>
          </cell>
          <cell r="D399">
            <v>833755</v>
          </cell>
          <cell r="I399">
            <v>0</v>
          </cell>
        </row>
        <row r="400">
          <cell r="A400" t="str">
            <v>T2</v>
          </cell>
          <cell r="B400">
            <v>404</v>
          </cell>
          <cell r="C400" t="str">
            <v>3.02</v>
          </cell>
          <cell r="D400">
            <v>834541</v>
          </cell>
          <cell r="E400" t="str">
            <v>거 푸 집</v>
          </cell>
          <cell r="I400">
            <v>0</v>
          </cell>
        </row>
        <row r="401">
          <cell r="A401" t="str">
            <v>D00276</v>
          </cell>
          <cell r="B401">
            <v>546</v>
          </cell>
          <cell r="C401" t="str">
            <v>a</v>
          </cell>
          <cell r="D401">
            <v>834542</v>
          </cell>
          <cell r="E401" t="str">
            <v>합판거푸집</v>
          </cell>
          <cell r="F401" t="str">
            <v>(3 회)</v>
          </cell>
          <cell r="G401" t="str">
            <v>㎡</v>
          </cell>
          <cell r="I401">
            <v>0</v>
          </cell>
        </row>
        <row r="402">
          <cell r="A402" t="str">
            <v>D00280</v>
          </cell>
          <cell r="B402">
            <v>104</v>
          </cell>
          <cell r="C402" t="str">
            <v>b</v>
          </cell>
          <cell r="D402">
            <v>834606</v>
          </cell>
          <cell r="E402" t="str">
            <v>합판거푸집</v>
          </cell>
          <cell r="F402" t="str">
            <v>(4 회)</v>
          </cell>
          <cell r="G402" t="str">
            <v>㎡</v>
          </cell>
          <cell r="I402">
            <v>0</v>
          </cell>
        </row>
        <row r="403">
          <cell r="A403" t="str">
            <v>D00282</v>
          </cell>
          <cell r="B403">
            <v>87</v>
          </cell>
          <cell r="C403" t="str">
            <v>c</v>
          </cell>
          <cell r="D403">
            <v>834638</v>
          </cell>
          <cell r="E403" t="str">
            <v>합판거푸집</v>
          </cell>
          <cell r="F403" t="str">
            <v>(6 회)</v>
          </cell>
          <cell r="G403" t="str">
            <v>㎡</v>
          </cell>
          <cell r="I403">
            <v>0</v>
          </cell>
        </row>
        <row r="404">
          <cell r="A404" t="str">
            <v>D00265</v>
          </cell>
          <cell r="B404">
            <v>227</v>
          </cell>
          <cell r="C404" t="str">
            <v>d</v>
          </cell>
          <cell r="D404">
            <v>834646</v>
          </cell>
          <cell r="E404" t="str">
            <v>문양거푸집(합판4회+</v>
          </cell>
          <cell r="F404" t="str">
            <v>문양스치로폴(0∼7M)</v>
          </cell>
          <cell r="G404" t="str">
            <v>㎡</v>
          </cell>
          <cell r="I404">
            <v>0</v>
          </cell>
        </row>
        <row r="405">
          <cell r="A405" t="str">
            <v>E2</v>
          </cell>
          <cell r="B405">
            <v>0</v>
          </cell>
          <cell r="C405" t="str">
            <v>계</v>
          </cell>
          <cell r="D405">
            <v>834654</v>
          </cell>
          <cell r="I405">
            <v>0</v>
          </cell>
        </row>
        <row r="406">
          <cell r="A406" t="str">
            <v>D00323</v>
          </cell>
          <cell r="B406">
            <v>655</v>
          </cell>
          <cell r="C406" t="str">
            <v>3.03</v>
          </cell>
          <cell r="D406">
            <v>834655</v>
          </cell>
          <cell r="E406" t="str">
            <v>강관비계</v>
          </cell>
          <cell r="F406" t="str">
            <v>(0∼30 M)</v>
          </cell>
          <cell r="G406" t="str">
            <v>㎡</v>
          </cell>
          <cell r="I406">
            <v>0</v>
          </cell>
        </row>
        <row r="407">
          <cell r="A407" t="str">
            <v>T2</v>
          </cell>
          <cell r="B407">
            <v>410</v>
          </cell>
          <cell r="C407" t="str">
            <v>3.04</v>
          </cell>
          <cell r="D407">
            <v>834719</v>
          </cell>
          <cell r="E407" t="str">
            <v>동 바 리</v>
          </cell>
          <cell r="I407">
            <v>0</v>
          </cell>
        </row>
        <row r="408">
          <cell r="A408" t="str">
            <v>D00327</v>
          </cell>
          <cell r="B408">
            <v>346</v>
          </cell>
          <cell r="C408" t="str">
            <v>a</v>
          </cell>
          <cell r="D408">
            <v>834747</v>
          </cell>
          <cell r="E408" t="str">
            <v>동바리공</v>
          </cell>
          <cell r="F408" t="str">
            <v>(목재 4 회)</v>
          </cell>
          <cell r="G408" t="str">
            <v>공㎥</v>
          </cell>
          <cell r="I408">
            <v>0</v>
          </cell>
        </row>
        <row r="409">
          <cell r="A409" t="str">
            <v>D00334</v>
          </cell>
          <cell r="B409">
            <v>138</v>
          </cell>
          <cell r="C409" t="str">
            <v>b</v>
          </cell>
          <cell r="D409">
            <v>834775</v>
          </cell>
          <cell r="E409" t="str">
            <v>강관동바리</v>
          </cell>
          <cell r="F409" t="str">
            <v>(교량용)</v>
          </cell>
          <cell r="G409" t="str">
            <v>공㎥</v>
          </cell>
          <cell r="I409">
            <v>0</v>
          </cell>
        </row>
        <row r="410">
          <cell r="A410" t="str">
            <v>D01129</v>
          </cell>
          <cell r="B410">
            <v>34</v>
          </cell>
          <cell r="C410" t="str">
            <v>c</v>
          </cell>
          <cell r="D410">
            <v>834779</v>
          </cell>
          <cell r="E410" t="str">
            <v>수평보강재(교량용)</v>
          </cell>
          <cell r="F410" t="str">
            <v>(강관동바리)</v>
          </cell>
          <cell r="G410" t="str">
            <v>㎡</v>
          </cell>
          <cell r="I410">
            <v>0</v>
          </cell>
        </row>
        <row r="411">
          <cell r="A411" t="str">
            <v>E2</v>
          </cell>
          <cell r="B411">
            <v>0</v>
          </cell>
          <cell r="C411" t="str">
            <v>계</v>
          </cell>
          <cell r="D411">
            <v>834781</v>
          </cell>
          <cell r="I411">
            <v>0</v>
          </cell>
        </row>
        <row r="412">
          <cell r="A412" t="str">
            <v>T2</v>
          </cell>
          <cell r="B412">
            <v>414</v>
          </cell>
          <cell r="C412" t="str">
            <v>3.05</v>
          </cell>
          <cell r="D412">
            <v>834903</v>
          </cell>
          <cell r="E412" t="str">
            <v>철근가공조립</v>
          </cell>
          <cell r="I412">
            <v>0</v>
          </cell>
        </row>
        <row r="413">
          <cell r="A413" t="str">
            <v>D00271</v>
          </cell>
          <cell r="B413">
            <v>6.6219999999999999</v>
          </cell>
          <cell r="C413" t="str">
            <v>a</v>
          </cell>
          <cell r="D413">
            <v>834905</v>
          </cell>
          <cell r="E413" t="str">
            <v>철근가공조립</v>
          </cell>
          <cell r="F413" t="str">
            <v>(보 통)</v>
          </cell>
          <cell r="G413" t="str">
            <v>Ton</v>
          </cell>
          <cell r="I413">
            <v>0</v>
          </cell>
        </row>
        <row r="414">
          <cell r="A414" t="str">
            <v>D00272</v>
          </cell>
          <cell r="B414">
            <v>75.465000000000003</v>
          </cell>
          <cell r="C414" t="str">
            <v>b</v>
          </cell>
          <cell r="D414">
            <v>834907</v>
          </cell>
          <cell r="E414" t="str">
            <v>철근가공조립</v>
          </cell>
          <cell r="F414" t="str">
            <v>(복 잡)</v>
          </cell>
          <cell r="G414" t="str">
            <v>Ton</v>
          </cell>
          <cell r="I414">
            <v>0</v>
          </cell>
        </row>
        <row r="415">
          <cell r="A415" t="str">
            <v>E2</v>
          </cell>
          <cell r="B415">
            <v>0</v>
          </cell>
          <cell r="C415" t="str">
            <v>계</v>
          </cell>
          <cell r="D415">
            <v>834910</v>
          </cell>
          <cell r="I415">
            <v>0</v>
          </cell>
        </row>
        <row r="416">
          <cell r="A416" t="str">
            <v>T2</v>
          </cell>
          <cell r="B416">
            <v>419</v>
          </cell>
          <cell r="C416" t="str">
            <v>3.06</v>
          </cell>
          <cell r="D416">
            <v>834911</v>
          </cell>
          <cell r="E416" t="str">
            <v>콘크리트타설</v>
          </cell>
          <cell r="I416">
            <v>0</v>
          </cell>
        </row>
        <row r="417">
          <cell r="A417" t="str">
            <v>D00237</v>
          </cell>
          <cell r="B417">
            <v>572</v>
          </cell>
          <cell r="C417" t="str">
            <v>a</v>
          </cell>
          <cell r="D417">
            <v>834975</v>
          </cell>
          <cell r="E417" t="str">
            <v>콘크리트타설</v>
          </cell>
          <cell r="F417" t="str">
            <v>(철근 펌프카)</v>
          </cell>
          <cell r="G417" t="str">
            <v>㎥</v>
          </cell>
          <cell r="I417">
            <v>0</v>
          </cell>
        </row>
        <row r="418">
          <cell r="A418" t="str">
            <v>D00238</v>
          </cell>
          <cell r="B418">
            <v>183</v>
          </cell>
          <cell r="C418" t="str">
            <v>b</v>
          </cell>
          <cell r="D418">
            <v>834991</v>
          </cell>
          <cell r="E418" t="str">
            <v>콘크리트타설</v>
          </cell>
          <cell r="F418" t="str">
            <v>(무근 펌프카)</v>
          </cell>
          <cell r="G418" t="str">
            <v>㎥</v>
          </cell>
          <cell r="I418">
            <v>0</v>
          </cell>
        </row>
        <row r="419">
          <cell r="A419" t="str">
            <v>D00231</v>
          </cell>
          <cell r="B419">
            <v>9</v>
          </cell>
          <cell r="C419" t="str">
            <v>c</v>
          </cell>
          <cell r="D419">
            <v>835007</v>
          </cell>
          <cell r="E419" t="str">
            <v>콘크리트타설</v>
          </cell>
          <cell r="F419" t="str">
            <v>(무근 VIB 제외)</v>
          </cell>
          <cell r="G419" t="str">
            <v>㎥</v>
          </cell>
          <cell r="I419">
            <v>0</v>
          </cell>
        </row>
        <row r="420">
          <cell r="A420" t="str">
            <v>E2</v>
          </cell>
          <cell r="B420">
            <v>0</v>
          </cell>
          <cell r="C420" t="str">
            <v>계</v>
          </cell>
          <cell r="D420">
            <v>835039</v>
          </cell>
          <cell r="I420">
            <v>0</v>
          </cell>
        </row>
        <row r="421">
          <cell r="A421" t="str">
            <v>T2</v>
          </cell>
          <cell r="B421">
            <v>423</v>
          </cell>
          <cell r="C421" t="str">
            <v>3.07</v>
          </cell>
          <cell r="D421">
            <v>835047</v>
          </cell>
          <cell r="E421" t="str">
            <v>표 면 처 리</v>
          </cell>
          <cell r="I421">
            <v>0</v>
          </cell>
        </row>
        <row r="422">
          <cell r="A422" t="str">
            <v>D00537</v>
          </cell>
          <cell r="B422">
            <v>267</v>
          </cell>
          <cell r="C422" t="str">
            <v>a</v>
          </cell>
          <cell r="D422">
            <v>835051</v>
          </cell>
          <cell r="E422" t="str">
            <v>슬래브양생</v>
          </cell>
          <cell r="F422" t="str">
            <v>(양생제)</v>
          </cell>
          <cell r="G422" t="str">
            <v>㎡</v>
          </cell>
          <cell r="I422">
            <v>0</v>
          </cell>
        </row>
        <row r="423">
          <cell r="A423" t="str">
            <v>D00539</v>
          </cell>
          <cell r="B423">
            <v>240</v>
          </cell>
          <cell r="C423" t="str">
            <v>b</v>
          </cell>
          <cell r="D423">
            <v>835053</v>
          </cell>
          <cell r="E423" t="str">
            <v>슬래브면고르기</v>
          </cell>
          <cell r="F423" t="str">
            <v>(데크 피니샤)</v>
          </cell>
          <cell r="G423" t="str">
            <v>㎡</v>
          </cell>
          <cell r="I423">
            <v>0</v>
          </cell>
        </row>
        <row r="424">
          <cell r="A424" t="str">
            <v>E2</v>
          </cell>
          <cell r="B424">
            <v>0</v>
          </cell>
          <cell r="C424" t="str">
            <v>계</v>
          </cell>
          <cell r="D424">
            <v>835054</v>
          </cell>
          <cell r="I424">
            <v>0</v>
          </cell>
        </row>
        <row r="425">
          <cell r="A425" t="str">
            <v>T2</v>
          </cell>
          <cell r="B425">
            <v>429</v>
          </cell>
          <cell r="C425" t="str">
            <v>3.08</v>
          </cell>
          <cell r="D425">
            <v>835182</v>
          </cell>
          <cell r="E425" t="str">
            <v>교좌장치</v>
          </cell>
          <cell r="I425">
            <v>0</v>
          </cell>
        </row>
        <row r="426">
          <cell r="A426" t="str">
            <v>D00545</v>
          </cell>
          <cell r="B426">
            <v>1</v>
          </cell>
          <cell r="C426" t="str">
            <v>a</v>
          </cell>
          <cell r="D426">
            <v>835278</v>
          </cell>
          <cell r="E426" t="str">
            <v>교좌장치</v>
          </cell>
          <cell r="F426" t="str">
            <v>(고정단 135 Ton)</v>
          </cell>
          <cell r="G426" t="str">
            <v>EA</v>
          </cell>
          <cell r="I426">
            <v>0</v>
          </cell>
        </row>
        <row r="427">
          <cell r="A427" t="str">
            <v>D00549</v>
          </cell>
          <cell r="B427">
            <v>3</v>
          </cell>
          <cell r="C427" t="str">
            <v>b</v>
          </cell>
          <cell r="D427">
            <v>835326</v>
          </cell>
          <cell r="E427" t="str">
            <v>교좌장치</v>
          </cell>
          <cell r="F427" t="str">
            <v>(횡방향가동단135Ton)</v>
          </cell>
          <cell r="G427" t="str">
            <v>EA</v>
          </cell>
          <cell r="I427">
            <v>0</v>
          </cell>
        </row>
        <row r="428">
          <cell r="A428" t="str">
            <v>D00548</v>
          </cell>
          <cell r="B428">
            <v>1</v>
          </cell>
          <cell r="C428" t="str">
            <v>c</v>
          </cell>
          <cell r="D428">
            <v>835350</v>
          </cell>
          <cell r="E428" t="str">
            <v>교좌장치</v>
          </cell>
          <cell r="F428" t="str">
            <v>(종방향가동단135Ton)</v>
          </cell>
          <cell r="G428" t="str">
            <v>EA</v>
          </cell>
          <cell r="I428">
            <v>0</v>
          </cell>
        </row>
        <row r="429">
          <cell r="A429" t="str">
            <v>D00547</v>
          </cell>
          <cell r="B429">
            <v>3</v>
          </cell>
          <cell r="C429" t="str">
            <v>d</v>
          </cell>
          <cell r="D429">
            <v>835362</v>
          </cell>
          <cell r="E429" t="str">
            <v>교좌장치</v>
          </cell>
          <cell r="F429" t="str">
            <v>(양방향가동단135Ton)</v>
          </cell>
          <cell r="G429" t="str">
            <v>EA</v>
          </cell>
          <cell r="I429">
            <v>0</v>
          </cell>
        </row>
        <row r="430">
          <cell r="A430" t="str">
            <v>E2</v>
          </cell>
          <cell r="B430">
            <v>0</v>
          </cell>
          <cell r="C430" t="str">
            <v>계</v>
          </cell>
          <cell r="D430">
            <v>835368</v>
          </cell>
          <cell r="I430">
            <v>0</v>
          </cell>
        </row>
        <row r="431">
          <cell r="A431" t="str">
            <v>T2</v>
          </cell>
          <cell r="B431">
            <v>434</v>
          </cell>
          <cell r="C431" t="str">
            <v>3.09</v>
          </cell>
          <cell r="D431">
            <v>835496</v>
          </cell>
          <cell r="E431" t="str">
            <v>P.S.C BEAM</v>
          </cell>
          <cell r="I431">
            <v>0</v>
          </cell>
        </row>
        <row r="432">
          <cell r="A432" t="str">
            <v>D00619</v>
          </cell>
          <cell r="B432">
            <v>4</v>
          </cell>
          <cell r="C432" t="str">
            <v>a</v>
          </cell>
          <cell r="D432">
            <v>835560</v>
          </cell>
          <cell r="E432" t="str">
            <v>P.S.C BEAM 제작</v>
          </cell>
          <cell r="F432" t="str">
            <v>(L=30 M)</v>
          </cell>
          <cell r="G432" t="str">
            <v>본</v>
          </cell>
          <cell r="I432">
            <v>0</v>
          </cell>
        </row>
        <row r="433">
          <cell r="A433" t="str">
            <v>D00606</v>
          </cell>
          <cell r="B433">
            <v>4</v>
          </cell>
          <cell r="C433" t="str">
            <v>b</v>
          </cell>
          <cell r="D433">
            <v>835624</v>
          </cell>
          <cell r="E433" t="str">
            <v>P.S.C 빔 운반및설치</v>
          </cell>
          <cell r="F433" t="str">
            <v>(L=30 M)</v>
          </cell>
          <cell r="G433" t="str">
            <v>EA</v>
          </cell>
          <cell r="I433">
            <v>0</v>
          </cell>
        </row>
        <row r="434">
          <cell r="A434" t="str">
            <v>D01130</v>
          </cell>
          <cell r="B434">
            <v>4</v>
          </cell>
          <cell r="C434" t="str">
            <v>c</v>
          </cell>
          <cell r="D434">
            <v>835688</v>
          </cell>
          <cell r="E434" t="str">
            <v>P.S.C빔 전도방지시설</v>
          </cell>
          <cell r="G434" t="str">
            <v>본</v>
          </cell>
          <cell r="I434">
            <v>0</v>
          </cell>
        </row>
        <row r="435">
          <cell r="A435" t="str">
            <v>E2</v>
          </cell>
          <cell r="B435">
            <v>0</v>
          </cell>
          <cell r="C435" t="str">
            <v>계</v>
          </cell>
          <cell r="D435">
            <v>835720</v>
          </cell>
          <cell r="I435">
            <v>0</v>
          </cell>
        </row>
        <row r="436">
          <cell r="A436" t="str">
            <v>T2</v>
          </cell>
          <cell r="B436">
            <v>438</v>
          </cell>
          <cell r="C436" t="str">
            <v>3.10</v>
          </cell>
          <cell r="D436">
            <v>835784</v>
          </cell>
          <cell r="E436" t="str">
            <v>신축이음장치</v>
          </cell>
          <cell r="I436">
            <v>0</v>
          </cell>
        </row>
        <row r="437">
          <cell r="A437" t="str">
            <v>D03819</v>
          </cell>
          <cell r="B437">
            <v>8</v>
          </cell>
          <cell r="C437" t="str">
            <v>a</v>
          </cell>
          <cell r="D437">
            <v>835800</v>
          </cell>
          <cell r="E437" t="str">
            <v>신축이음장치</v>
          </cell>
          <cell r="F437" t="str">
            <v>(Rail-No 80)</v>
          </cell>
          <cell r="G437" t="str">
            <v>M</v>
          </cell>
          <cell r="I437">
            <v>0</v>
          </cell>
        </row>
        <row r="438">
          <cell r="A438" t="str">
            <v>D01313</v>
          </cell>
          <cell r="B438">
            <v>8</v>
          </cell>
          <cell r="C438" t="str">
            <v>b</v>
          </cell>
          <cell r="D438">
            <v>835816</v>
          </cell>
          <cell r="E438" t="str">
            <v>신축이음장치</v>
          </cell>
          <cell r="F438" t="str">
            <v>(Rail-No100)</v>
          </cell>
          <cell r="G438" t="str">
            <v>M</v>
          </cell>
          <cell r="I438">
            <v>0</v>
          </cell>
        </row>
        <row r="439">
          <cell r="A439" t="str">
            <v>E2</v>
          </cell>
          <cell r="B439">
            <v>0</v>
          </cell>
          <cell r="C439" t="str">
            <v>계</v>
          </cell>
          <cell r="D439">
            <v>835848</v>
          </cell>
          <cell r="I439">
            <v>0</v>
          </cell>
        </row>
        <row r="440">
          <cell r="A440" t="str">
            <v>D00535</v>
          </cell>
          <cell r="B440">
            <v>240</v>
          </cell>
          <cell r="C440" t="str">
            <v>3.11</v>
          </cell>
          <cell r="D440">
            <v>835976</v>
          </cell>
          <cell r="E440" t="str">
            <v>교면방수</v>
          </cell>
          <cell r="F440" t="str">
            <v>(도막식)</v>
          </cell>
          <cell r="G440" t="str">
            <v>㎡</v>
          </cell>
          <cell r="I440">
            <v>0</v>
          </cell>
        </row>
        <row r="441">
          <cell r="A441" t="str">
            <v>T2</v>
          </cell>
          <cell r="B441">
            <v>445</v>
          </cell>
          <cell r="C441" t="str">
            <v>3.12</v>
          </cell>
          <cell r="D441">
            <v>836040</v>
          </cell>
          <cell r="E441" t="str">
            <v>접속슬래브 접합공</v>
          </cell>
          <cell r="I441">
            <v>0</v>
          </cell>
        </row>
        <row r="442">
          <cell r="A442" t="str">
            <v>D01067</v>
          </cell>
          <cell r="B442">
            <v>36</v>
          </cell>
          <cell r="C442" t="str">
            <v>a</v>
          </cell>
          <cell r="D442">
            <v>836072</v>
          </cell>
          <cell r="E442" t="str">
            <v>다웰바 설치</v>
          </cell>
          <cell r="F442" t="str">
            <v>(D=25 m/m, L=500)</v>
          </cell>
          <cell r="G442" t="str">
            <v>EA</v>
          </cell>
          <cell r="I442">
            <v>0</v>
          </cell>
        </row>
        <row r="443">
          <cell r="A443" t="str">
            <v>D01190</v>
          </cell>
          <cell r="B443">
            <v>10</v>
          </cell>
          <cell r="C443" t="str">
            <v>b</v>
          </cell>
          <cell r="D443">
            <v>836104</v>
          </cell>
          <cell r="E443" t="str">
            <v>다웰-켑 설치</v>
          </cell>
          <cell r="F443" t="str">
            <v>(Φ60 m/m)</v>
          </cell>
          <cell r="G443" t="str">
            <v>M</v>
          </cell>
          <cell r="I443">
            <v>0</v>
          </cell>
        </row>
        <row r="444">
          <cell r="A444" t="str">
            <v>D00540</v>
          </cell>
          <cell r="B444">
            <v>36</v>
          </cell>
          <cell r="C444" t="str">
            <v>c</v>
          </cell>
          <cell r="D444">
            <v>836106</v>
          </cell>
          <cell r="E444" t="str">
            <v>경질고무판</v>
          </cell>
          <cell r="F444" t="str">
            <v>(150x150)</v>
          </cell>
          <cell r="G444" t="str">
            <v>EA</v>
          </cell>
          <cell r="I444">
            <v>0</v>
          </cell>
        </row>
        <row r="445">
          <cell r="A445" t="str">
            <v>D00566</v>
          </cell>
          <cell r="B445">
            <v>6</v>
          </cell>
          <cell r="C445" t="str">
            <v>d</v>
          </cell>
          <cell r="D445">
            <v>836107</v>
          </cell>
          <cell r="E445" t="str">
            <v>타르페이퍼 설치</v>
          </cell>
          <cell r="F445" t="str">
            <v>(5 겹)</v>
          </cell>
          <cell r="G445" t="str">
            <v>㎡</v>
          </cell>
          <cell r="I445">
            <v>0</v>
          </cell>
        </row>
        <row r="446">
          <cell r="A446" t="str">
            <v>E2</v>
          </cell>
          <cell r="B446">
            <v>0</v>
          </cell>
          <cell r="C446" t="str">
            <v>계</v>
          </cell>
          <cell r="D446">
            <v>836139</v>
          </cell>
          <cell r="I446">
            <v>0</v>
          </cell>
        </row>
        <row r="447">
          <cell r="A447" t="str">
            <v>T2</v>
          </cell>
          <cell r="B447">
            <v>449</v>
          </cell>
          <cell r="C447" t="str">
            <v>3.13</v>
          </cell>
          <cell r="D447">
            <v>836172</v>
          </cell>
          <cell r="E447" t="str">
            <v>무수축 콘크리트</v>
          </cell>
          <cell r="I447">
            <v>0</v>
          </cell>
        </row>
        <row r="448">
          <cell r="A448" t="str">
            <v>D00567</v>
          </cell>
          <cell r="B448">
            <v>0.377</v>
          </cell>
          <cell r="C448" t="str">
            <v>a</v>
          </cell>
          <cell r="D448">
            <v>836188</v>
          </cell>
          <cell r="E448" t="str">
            <v>무수축몰탈</v>
          </cell>
          <cell r="F448" t="str">
            <v>(1:1)</v>
          </cell>
          <cell r="G448" t="str">
            <v>㎥</v>
          </cell>
          <cell r="I448">
            <v>0</v>
          </cell>
        </row>
        <row r="449">
          <cell r="A449" t="str">
            <v>D00568</v>
          </cell>
          <cell r="B449">
            <v>3.04</v>
          </cell>
          <cell r="C449" t="str">
            <v>b</v>
          </cell>
          <cell r="D449">
            <v>836196</v>
          </cell>
          <cell r="E449" t="str">
            <v>무수축콘크리트</v>
          </cell>
          <cell r="G449" t="str">
            <v>㎥</v>
          </cell>
          <cell r="I449">
            <v>0</v>
          </cell>
        </row>
        <row r="450">
          <cell r="A450" t="str">
            <v>E2</v>
          </cell>
          <cell r="B450">
            <v>0</v>
          </cell>
          <cell r="C450" t="str">
            <v>계</v>
          </cell>
          <cell r="D450">
            <v>836200</v>
          </cell>
          <cell r="I450">
            <v>0</v>
          </cell>
        </row>
        <row r="451">
          <cell r="A451" t="str">
            <v>T2</v>
          </cell>
          <cell r="B451">
            <v>453</v>
          </cell>
          <cell r="C451" t="str">
            <v>3.14</v>
          </cell>
          <cell r="D451">
            <v>836202</v>
          </cell>
          <cell r="E451" t="str">
            <v>스치로폴 설치</v>
          </cell>
          <cell r="I451">
            <v>0</v>
          </cell>
        </row>
        <row r="452">
          <cell r="A452" t="str">
            <v>D00853</v>
          </cell>
          <cell r="B452">
            <v>3</v>
          </cell>
          <cell r="C452" t="str">
            <v>a</v>
          </cell>
          <cell r="D452">
            <v>836460</v>
          </cell>
          <cell r="E452" t="str">
            <v>스치로폴설치</v>
          </cell>
          <cell r="F452" t="str">
            <v>(T=10 m/m)</v>
          </cell>
          <cell r="G452" t="str">
            <v>㎡</v>
          </cell>
          <cell r="I452">
            <v>0</v>
          </cell>
        </row>
        <row r="453">
          <cell r="A453" t="str">
            <v>D00532</v>
          </cell>
          <cell r="B453">
            <v>15</v>
          </cell>
          <cell r="C453" t="str">
            <v>b</v>
          </cell>
          <cell r="D453">
            <v>836588</v>
          </cell>
          <cell r="E453" t="str">
            <v>스치로폴설치</v>
          </cell>
          <cell r="F453" t="str">
            <v>(T=20 m/m)</v>
          </cell>
          <cell r="G453" t="str">
            <v>㎡</v>
          </cell>
          <cell r="I453">
            <v>0</v>
          </cell>
        </row>
        <row r="454">
          <cell r="A454" t="str">
            <v>E2</v>
          </cell>
          <cell r="B454">
            <v>0</v>
          </cell>
          <cell r="C454" t="str">
            <v>계</v>
          </cell>
          <cell r="D454">
            <v>836589</v>
          </cell>
          <cell r="I454">
            <v>0</v>
          </cell>
        </row>
        <row r="455">
          <cell r="A455" t="str">
            <v>T2</v>
          </cell>
          <cell r="B455">
            <v>459</v>
          </cell>
          <cell r="C455" t="str">
            <v>3.15</v>
          </cell>
          <cell r="D455">
            <v>836716</v>
          </cell>
          <cell r="E455" t="str">
            <v>배수시설</v>
          </cell>
          <cell r="I455">
            <v>0</v>
          </cell>
        </row>
        <row r="456">
          <cell r="A456" t="str">
            <v>D00572</v>
          </cell>
          <cell r="B456">
            <v>4</v>
          </cell>
          <cell r="C456" t="str">
            <v>a</v>
          </cell>
          <cell r="D456">
            <v>836717</v>
          </cell>
          <cell r="E456" t="str">
            <v>집 수 구</v>
          </cell>
          <cell r="G456" t="str">
            <v>EA</v>
          </cell>
          <cell r="I456">
            <v>0</v>
          </cell>
        </row>
        <row r="457">
          <cell r="A457" t="str">
            <v>D00573</v>
          </cell>
          <cell r="B457">
            <v>17</v>
          </cell>
          <cell r="C457" t="str">
            <v>b</v>
          </cell>
          <cell r="D457">
            <v>836718</v>
          </cell>
          <cell r="E457" t="str">
            <v>배 수 구</v>
          </cell>
          <cell r="F457" t="str">
            <v>(스테인레스관)</v>
          </cell>
          <cell r="G457" t="str">
            <v>M</v>
          </cell>
          <cell r="I457">
            <v>0</v>
          </cell>
        </row>
        <row r="458">
          <cell r="A458" t="str">
            <v>D00574</v>
          </cell>
          <cell r="B458">
            <v>10</v>
          </cell>
          <cell r="C458" t="str">
            <v>c</v>
          </cell>
          <cell r="D458">
            <v>836782</v>
          </cell>
          <cell r="E458" t="str">
            <v>부착시설(A)</v>
          </cell>
          <cell r="G458" t="str">
            <v>EA</v>
          </cell>
          <cell r="I458">
            <v>0</v>
          </cell>
        </row>
        <row r="459">
          <cell r="A459" t="str">
            <v>D00577</v>
          </cell>
          <cell r="B459">
            <v>15</v>
          </cell>
          <cell r="C459" t="str">
            <v>d</v>
          </cell>
          <cell r="D459">
            <v>836814</v>
          </cell>
          <cell r="E459" t="str">
            <v>도 수 로</v>
          </cell>
          <cell r="G459" t="str">
            <v>M</v>
          </cell>
          <cell r="I459">
            <v>0</v>
          </cell>
        </row>
        <row r="460">
          <cell r="A460" t="str">
            <v>E2</v>
          </cell>
          <cell r="B460">
            <v>0</v>
          </cell>
          <cell r="C460" t="str">
            <v>계</v>
          </cell>
          <cell r="D460">
            <v>836830</v>
          </cell>
          <cell r="I460">
            <v>0</v>
          </cell>
        </row>
        <row r="461">
          <cell r="A461" t="str">
            <v>T2</v>
          </cell>
          <cell r="B461">
            <v>463</v>
          </cell>
          <cell r="C461" t="str">
            <v>3.16</v>
          </cell>
          <cell r="D461">
            <v>836846</v>
          </cell>
          <cell r="E461" t="str">
            <v>스페이서설치</v>
          </cell>
          <cell r="I461">
            <v>0</v>
          </cell>
        </row>
        <row r="462">
          <cell r="A462" t="str">
            <v>D00588</v>
          </cell>
          <cell r="B462">
            <v>488</v>
          </cell>
          <cell r="C462" t="str">
            <v>a</v>
          </cell>
          <cell r="D462">
            <v>836862</v>
          </cell>
          <cell r="E462" t="str">
            <v>스페이서 설치</v>
          </cell>
          <cell r="F462" t="str">
            <v>(슬라브및기초용)</v>
          </cell>
          <cell r="G462" t="str">
            <v>㎡</v>
          </cell>
          <cell r="I462">
            <v>0</v>
          </cell>
        </row>
        <row r="463">
          <cell r="A463" t="str">
            <v>D01070</v>
          </cell>
          <cell r="B463">
            <v>110</v>
          </cell>
          <cell r="C463" t="str">
            <v>b</v>
          </cell>
          <cell r="D463">
            <v>836870</v>
          </cell>
          <cell r="E463" t="str">
            <v>스페이서 설치</v>
          </cell>
          <cell r="F463" t="str">
            <v>(벽체용)</v>
          </cell>
          <cell r="G463" t="str">
            <v>㎡</v>
          </cell>
          <cell r="I463">
            <v>0</v>
          </cell>
        </row>
        <row r="464">
          <cell r="A464" t="str">
            <v>E2</v>
          </cell>
          <cell r="B464">
            <v>0</v>
          </cell>
          <cell r="C464" t="str">
            <v>계</v>
          </cell>
          <cell r="D464">
            <v>836874</v>
          </cell>
          <cell r="I464">
            <v>0</v>
          </cell>
        </row>
        <row r="465">
          <cell r="A465" t="str">
            <v>T2</v>
          </cell>
          <cell r="B465">
            <v>468</v>
          </cell>
          <cell r="C465" t="str">
            <v>3.17</v>
          </cell>
          <cell r="D465">
            <v>836892</v>
          </cell>
          <cell r="E465" t="str">
            <v>교명판 설명판</v>
          </cell>
          <cell r="I465">
            <v>0</v>
          </cell>
        </row>
        <row r="466">
          <cell r="A466" t="str">
            <v>D00581</v>
          </cell>
          <cell r="B466">
            <v>4</v>
          </cell>
          <cell r="C466" t="str">
            <v>a</v>
          </cell>
          <cell r="D466">
            <v>836893</v>
          </cell>
          <cell r="E466" t="str">
            <v>교 명 주</v>
          </cell>
          <cell r="F466" t="str">
            <v>(소형,화강석)</v>
          </cell>
          <cell r="G466" t="str">
            <v>기</v>
          </cell>
          <cell r="I466">
            <v>0</v>
          </cell>
        </row>
        <row r="467">
          <cell r="A467" t="str">
            <v>D00583</v>
          </cell>
          <cell r="B467">
            <v>2</v>
          </cell>
          <cell r="C467" t="str">
            <v>b</v>
          </cell>
          <cell r="D467">
            <v>836894</v>
          </cell>
          <cell r="E467" t="str">
            <v>교 명 판(황동주물)</v>
          </cell>
          <cell r="F467" t="str">
            <v>(450x200x10)</v>
          </cell>
          <cell r="G467" t="str">
            <v>EA</v>
          </cell>
          <cell r="I467">
            <v>0</v>
          </cell>
        </row>
        <row r="468">
          <cell r="A468" t="str">
            <v>D00584</v>
          </cell>
          <cell r="B468">
            <v>2</v>
          </cell>
          <cell r="C468" t="str">
            <v>c</v>
          </cell>
          <cell r="D468">
            <v>836958</v>
          </cell>
          <cell r="E468" t="str">
            <v>설 명 판(황동주물)</v>
          </cell>
          <cell r="F468" t="str">
            <v>(500x300x10)</v>
          </cell>
          <cell r="G468" t="str">
            <v>EA</v>
          </cell>
          <cell r="I468">
            <v>0</v>
          </cell>
        </row>
        <row r="469">
          <cell r="A469" t="str">
            <v>E2</v>
          </cell>
          <cell r="B469">
            <v>0</v>
          </cell>
          <cell r="C469" t="str">
            <v>계</v>
          </cell>
          <cell r="D469">
            <v>836990</v>
          </cell>
          <cell r="I469">
            <v>0</v>
          </cell>
        </row>
        <row r="470">
          <cell r="A470" t="str">
            <v>D00594</v>
          </cell>
          <cell r="B470">
            <v>1</v>
          </cell>
          <cell r="C470" t="str">
            <v>3.18</v>
          </cell>
          <cell r="D470">
            <v>836998</v>
          </cell>
          <cell r="E470" t="str">
            <v>측량기준점 설치</v>
          </cell>
          <cell r="F470" t="str">
            <v>(황동주물)</v>
          </cell>
          <cell r="G470" t="str">
            <v>EA</v>
          </cell>
          <cell r="I470">
            <v>0</v>
          </cell>
        </row>
        <row r="471">
          <cell r="A471" t="str">
            <v>D01224</v>
          </cell>
          <cell r="B471">
            <v>21</v>
          </cell>
          <cell r="C471" t="str">
            <v>3.19</v>
          </cell>
          <cell r="D471">
            <v>837426</v>
          </cell>
          <cell r="E471" t="str">
            <v>폴리우레탄실란트채움</v>
          </cell>
          <cell r="F471" t="str">
            <v>(25x10)</v>
          </cell>
          <cell r="G471" t="str">
            <v>M</v>
          </cell>
          <cell r="I471">
            <v>0</v>
          </cell>
        </row>
        <row r="472">
          <cell r="A472" t="str">
            <v>D01308</v>
          </cell>
          <cell r="B472">
            <v>111</v>
          </cell>
          <cell r="C472" t="str">
            <v>3.20</v>
          </cell>
          <cell r="D472">
            <v>837438</v>
          </cell>
          <cell r="E472" t="str">
            <v>강섬유보강재</v>
          </cell>
          <cell r="F472" t="str">
            <v>(900 g/㎥)</v>
          </cell>
          <cell r="G472" t="str">
            <v>㎥</v>
          </cell>
          <cell r="I472">
            <v>0</v>
          </cell>
        </row>
        <row r="473">
          <cell r="A473" t="str">
            <v>D01309</v>
          </cell>
          <cell r="B473">
            <v>16</v>
          </cell>
          <cell r="C473" t="str">
            <v>3.21</v>
          </cell>
          <cell r="D473">
            <v>837934</v>
          </cell>
          <cell r="E473" t="str">
            <v>모래주머니</v>
          </cell>
          <cell r="G473" t="str">
            <v>EA</v>
          </cell>
          <cell r="I473">
            <v>0</v>
          </cell>
        </row>
        <row r="474">
          <cell r="A474" t="str">
            <v>D00911</v>
          </cell>
          <cell r="B474">
            <v>82</v>
          </cell>
          <cell r="C474" t="str">
            <v>3.22</v>
          </cell>
          <cell r="D474">
            <v>990931</v>
          </cell>
          <cell r="E474" t="str">
            <v>방 호 벽</v>
          </cell>
          <cell r="F474" t="str">
            <v>(육교용)</v>
          </cell>
          <cell r="G474" t="str">
            <v>M</v>
          </cell>
          <cell r="I474">
            <v>0</v>
          </cell>
        </row>
        <row r="475">
          <cell r="A475" t="str">
            <v>D00791</v>
          </cell>
          <cell r="B475">
            <v>8</v>
          </cell>
          <cell r="C475" t="str">
            <v>3.23</v>
          </cell>
          <cell r="D475">
            <v>1067429</v>
          </cell>
          <cell r="E475" t="str">
            <v>교좌장치표지판</v>
          </cell>
          <cell r="G475" t="str">
            <v>EA</v>
          </cell>
          <cell r="I475">
            <v>0</v>
          </cell>
        </row>
        <row r="476">
          <cell r="A476" t="str">
            <v>D00817</v>
          </cell>
          <cell r="B476">
            <v>3.5999999999999997E-2</v>
          </cell>
          <cell r="C476" t="str">
            <v>3.24</v>
          </cell>
          <cell r="D476">
            <v>1105678</v>
          </cell>
          <cell r="E476" t="str">
            <v>아스팔트 채움</v>
          </cell>
          <cell r="F476" t="str">
            <v>(브론아스팔트)</v>
          </cell>
          <cell r="G476" t="str">
            <v>㎥</v>
          </cell>
          <cell r="I476">
            <v>0</v>
          </cell>
        </row>
        <row r="477">
          <cell r="A477" t="str">
            <v>D03871</v>
          </cell>
          <cell r="B477">
            <v>6</v>
          </cell>
          <cell r="C477" t="str">
            <v>3.25</v>
          </cell>
          <cell r="D477">
            <v>1124803</v>
          </cell>
          <cell r="E477" t="str">
            <v>평판재하시험</v>
          </cell>
          <cell r="G477" t="str">
            <v>개소</v>
          </cell>
          <cell r="I477">
            <v>0</v>
          </cell>
        </row>
        <row r="478">
          <cell r="A478" t="str">
            <v>E3</v>
          </cell>
          <cell r="B478">
            <v>0</v>
          </cell>
          <cell r="C478" t="str">
            <v>합계</v>
          </cell>
          <cell r="D478">
            <v>1143927</v>
          </cell>
          <cell r="I478">
            <v>0</v>
          </cell>
        </row>
        <row r="479">
          <cell r="A479" t="str">
            <v>T3</v>
          </cell>
          <cell r="B479">
            <v>588</v>
          </cell>
          <cell r="C479" t="str">
            <v>3.C</v>
          </cell>
          <cell r="D479">
            <v>1144055</v>
          </cell>
          <cell r="E479" t="str">
            <v>마    온    교</v>
          </cell>
          <cell r="F479" t="str">
            <v>PRE-FLEX BEAM</v>
          </cell>
          <cell r="I479">
            <v>0</v>
          </cell>
        </row>
        <row r="480">
          <cell r="A480" t="str">
            <v>T2</v>
          </cell>
          <cell r="B480">
            <v>488</v>
          </cell>
          <cell r="C480" t="str">
            <v>3.01</v>
          </cell>
          <cell r="D480">
            <v>1144183</v>
          </cell>
          <cell r="E480" t="str">
            <v>토          공</v>
          </cell>
          <cell r="I480">
            <v>0</v>
          </cell>
        </row>
        <row r="481">
          <cell r="A481" t="str">
            <v>D00096</v>
          </cell>
          <cell r="B481">
            <v>656</v>
          </cell>
          <cell r="C481" t="str">
            <v>a</v>
          </cell>
          <cell r="D481">
            <v>1297480</v>
          </cell>
          <cell r="E481" t="str">
            <v>구조물터파기</v>
          </cell>
          <cell r="F481" t="str">
            <v>(육상토사 0∼2 M)</v>
          </cell>
          <cell r="G481" t="str">
            <v>㎥</v>
          </cell>
          <cell r="I481">
            <v>0</v>
          </cell>
        </row>
        <row r="482">
          <cell r="A482" t="str">
            <v>D00097</v>
          </cell>
          <cell r="B482">
            <v>178</v>
          </cell>
          <cell r="C482" t="str">
            <v>b</v>
          </cell>
          <cell r="D482">
            <v>1297816</v>
          </cell>
          <cell r="E482" t="str">
            <v>구조물터파기</v>
          </cell>
          <cell r="F482" t="str">
            <v>(육상토사 2∼4 M)</v>
          </cell>
          <cell r="G482" t="str">
            <v>㎥</v>
          </cell>
          <cell r="I482">
            <v>0</v>
          </cell>
        </row>
        <row r="483">
          <cell r="A483" t="str">
            <v>D00121</v>
          </cell>
          <cell r="B483">
            <v>285</v>
          </cell>
          <cell r="C483" t="str">
            <v>c</v>
          </cell>
          <cell r="D483">
            <v>1297900</v>
          </cell>
          <cell r="E483" t="str">
            <v>구조물터파기</v>
          </cell>
          <cell r="F483" t="str">
            <v>(육상풍화암 0∼1 M)</v>
          </cell>
          <cell r="G483" t="str">
            <v>㎥</v>
          </cell>
          <cell r="I483">
            <v>0</v>
          </cell>
        </row>
        <row r="484">
          <cell r="A484" t="str">
            <v>D00130</v>
          </cell>
          <cell r="B484">
            <v>317</v>
          </cell>
          <cell r="C484" t="str">
            <v>d</v>
          </cell>
          <cell r="D484">
            <v>1297984</v>
          </cell>
          <cell r="E484" t="str">
            <v>구조물터파기</v>
          </cell>
          <cell r="F484" t="str">
            <v>(육상풍화암 1∼2 M)</v>
          </cell>
          <cell r="G484" t="str">
            <v>㎥</v>
          </cell>
          <cell r="I484">
            <v>0</v>
          </cell>
        </row>
        <row r="485">
          <cell r="A485" t="str">
            <v>D00131</v>
          </cell>
          <cell r="B485">
            <v>38</v>
          </cell>
          <cell r="C485" t="str">
            <v>e</v>
          </cell>
          <cell r="D485">
            <v>1298068</v>
          </cell>
          <cell r="E485" t="str">
            <v>구조물터파기</v>
          </cell>
          <cell r="F485" t="str">
            <v>(육상풍화암 2∼3 M)</v>
          </cell>
          <cell r="G485" t="str">
            <v>㎥</v>
          </cell>
          <cell r="I485">
            <v>0</v>
          </cell>
        </row>
        <row r="486">
          <cell r="A486" t="str">
            <v>D03820</v>
          </cell>
          <cell r="B486">
            <v>84</v>
          </cell>
          <cell r="C486" t="str">
            <v>f</v>
          </cell>
          <cell r="D486">
            <v>1298110</v>
          </cell>
          <cell r="E486" t="str">
            <v>구조물터파기</v>
          </cell>
          <cell r="F486" t="str">
            <v>(육상풍화암 3∼4 M)</v>
          </cell>
          <cell r="G486" t="str">
            <v>㎥</v>
          </cell>
          <cell r="I486">
            <v>0</v>
          </cell>
        </row>
        <row r="487">
          <cell r="A487" t="str">
            <v>D00160</v>
          </cell>
          <cell r="B487">
            <v>1127</v>
          </cell>
          <cell r="C487" t="str">
            <v>g</v>
          </cell>
          <cell r="D487">
            <v>1298152</v>
          </cell>
          <cell r="E487" t="str">
            <v>되메우기및다짐</v>
          </cell>
          <cell r="F487" t="str">
            <v>(인력30%+백호우70%)</v>
          </cell>
          <cell r="G487" t="str">
            <v>㎥</v>
          </cell>
          <cell r="I487">
            <v>0</v>
          </cell>
        </row>
        <row r="488">
          <cell r="A488" t="str">
            <v>D00170</v>
          </cell>
          <cell r="B488">
            <v>1014</v>
          </cell>
          <cell r="C488" t="str">
            <v>h</v>
          </cell>
          <cell r="D488">
            <v>1298272</v>
          </cell>
          <cell r="E488" t="str">
            <v>뒷채움잡석</v>
          </cell>
          <cell r="F488" t="str">
            <v>(현장암유용)</v>
          </cell>
          <cell r="G488" t="str">
            <v>㎥</v>
          </cell>
          <cell r="I488">
            <v>0</v>
          </cell>
        </row>
        <row r="489">
          <cell r="A489" t="str">
            <v>E2</v>
          </cell>
          <cell r="B489">
            <v>0</v>
          </cell>
          <cell r="C489" t="str">
            <v>계</v>
          </cell>
          <cell r="D489">
            <v>1298392</v>
          </cell>
          <cell r="I489">
            <v>0</v>
          </cell>
        </row>
        <row r="490">
          <cell r="A490" t="str">
            <v>T2</v>
          </cell>
          <cell r="B490">
            <v>497</v>
          </cell>
          <cell r="C490" t="str">
            <v>3.02</v>
          </cell>
          <cell r="D490">
            <v>1298785</v>
          </cell>
          <cell r="E490" t="str">
            <v>강관파일공</v>
          </cell>
          <cell r="I490">
            <v>0</v>
          </cell>
        </row>
        <row r="491">
          <cell r="A491" t="str">
            <v>D00504</v>
          </cell>
          <cell r="B491">
            <v>480</v>
          </cell>
          <cell r="C491" t="str">
            <v>a</v>
          </cell>
          <cell r="D491">
            <v>1298913</v>
          </cell>
          <cell r="E491" t="str">
            <v>강관파일구입</v>
          </cell>
          <cell r="F491" t="str">
            <v>(Φ508.0m/mx9t)</v>
          </cell>
          <cell r="G491" t="str">
            <v>M</v>
          </cell>
          <cell r="I491">
            <v>0</v>
          </cell>
        </row>
        <row r="492">
          <cell r="A492" t="str">
            <v>D00512</v>
          </cell>
          <cell r="B492">
            <v>464</v>
          </cell>
          <cell r="C492" t="str">
            <v>b</v>
          </cell>
          <cell r="D492">
            <v>1298942</v>
          </cell>
          <cell r="E492" t="str">
            <v>강관파일항타(직항)</v>
          </cell>
          <cell r="F492" t="str">
            <v>Φ508(15 m 이하)</v>
          </cell>
          <cell r="G492" t="str">
            <v>M</v>
          </cell>
          <cell r="I492">
            <v>0</v>
          </cell>
        </row>
        <row r="493">
          <cell r="A493" t="str">
            <v>D03821</v>
          </cell>
          <cell r="B493">
            <v>300</v>
          </cell>
          <cell r="C493" t="str">
            <v>c</v>
          </cell>
          <cell r="D493">
            <v>1298945</v>
          </cell>
          <cell r="E493" t="str">
            <v>토사천공</v>
          </cell>
          <cell r="G493" t="str">
            <v>M</v>
          </cell>
          <cell r="I493">
            <v>0</v>
          </cell>
        </row>
        <row r="494">
          <cell r="A494" t="str">
            <v>D03822</v>
          </cell>
          <cell r="B494">
            <v>160</v>
          </cell>
          <cell r="C494" t="str">
            <v>d</v>
          </cell>
          <cell r="D494">
            <v>1298948</v>
          </cell>
          <cell r="E494" t="str">
            <v>풍화암천공</v>
          </cell>
          <cell r="G494" t="str">
            <v>M</v>
          </cell>
          <cell r="I494">
            <v>0</v>
          </cell>
        </row>
        <row r="495">
          <cell r="A495" t="str">
            <v>D00516</v>
          </cell>
          <cell r="B495">
            <v>80</v>
          </cell>
          <cell r="C495" t="str">
            <v>e</v>
          </cell>
          <cell r="D495">
            <v>1298953</v>
          </cell>
          <cell r="E495" t="str">
            <v>두부및선단보강</v>
          </cell>
          <cell r="F495" t="str">
            <v>(Φ508.0 m/m)천공</v>
          </cell>
          <cell r="G495" t="str">
            <v>EA</v>
          </cell>
          <cell r="I495">
            <v>0</v>
          </cell>
        </row>
        <row r="496">
          <cell r="A496" t="str">
            <v>D03829</v>
          </cell>
          <cell r="B496">
            <v>106</v>
          </cell>
          <cell r="C496" t="str">
            <v>f</v>
          </cell>
          <cell r="D496">
            <v>1298962</v>
          </cell>
          <cell r="E496" t="str">
            <v>주면고정액</v>
          </cell>
          <cell r="G496" t="str">
            <v>㎥</v>
          </cell>
          <cell r="I496">
            <v>0</v>
          </cell>
        </row>
        <row r="497">
          <cell r="A497" t="str">
            <v>D03830</v>
          </cell>
          <cell r="B497">
            <v>23</v>
          </cell>
          <cell r="C497" t="str">
            <v>g</v>
          </cell>
          <cell r="D497">
            <v>1298966</v>
          </cell>
          <cell r="E497" t="str">
            <v>선단고정액</v>
          </cell>
          <cell r="G497" t="str">
            <v>㎥</v>
          </cell>
          <cell r="I497">
            <v>0</v>
          </cell>
        </row>
        <row r="498">
          <cell r="A498" t="str">
            <v>E2</v>
          </cell>
          <cell r="B498">
            <v>0</v>
          </cell>
          <cell r="C498" t="str">
            <v>계</v>
          </cell>
          <cell r="D498">
            <v>1298970</v>
          </cell>
          <cell r="I498">
            <v>0</v>
          </cell>
        </row>
        <row r="499">
          <cell r="A499" t="str">
            <v>T2</v>
          </cell>
          <cell r="B499">
            <v>507</v>
          </cell>
          <cell r="C499" t="str">
            <v>3.03</v>
          </cell>
          <cell r="D499">
            <v>1299363</v>
          </cell>
          <cell r="E499" t="str">
            <v>거 푸 집</v>
          </cell>
          <cell r="I499">
            <v>0</v>
          </cell>
        </row>
        <row r="500">
          <cell r="A500" t="str">
            <v>D00276</v>
          </cell>
          <cell r="B500">
            <v>3452</v>
          </cell>
          <cell r="C500" t="str">
            <v>a</v>
          </cell>
          <cell r="D500">
            <v>1299364</v>
          </cell>
          <cell r="E500" t="str">
            <v>합판거푸집</v>
          </cell>
          <cell r="F500" t="str">
            <v>(3 회)</v>
          </cell>
          <cell r="G500" t="str">
            <v>㎡</v>
          </cell>
          <cell r="I500">
            <v>0</v>
          </cell>
        </row>
        <row r="501">
          <cell r="A501" t="str">
            <v>D00277</v>
          </cell>
          <cell r="B501">
            <v>306</v>
          </cell>
          <cell r="C501" t="str">
            <v>b</v>
          </cell>
          <cell r="D501">
            <v>1299428</v>
          </cell>
          <cell r="E501" t="str">
            <v>합판거푸집</v>
          </cell>
          <cell r="F501" t="str">
            <v>(3 회 7∼10 m)</v>
          </cell>
          <cell r="G501" t="str">
            <v>㎡</v>
          </cell>
          <cell r="I501">
            <v>0</v>
          </cell>
        </row>
        <row r="502">
          <cell r="A502" t="str">
            <v>D00280</v>
          </cell>
          <cell r="B502">
            <v>323</v>
          </cell>
          <cell r="C502" t="str">
            <v>c</v>
          </cell>
          <cell r="D502">
            <v>1299460</v>
          </cell>
          <cell r="E502" t="str">
            <v>합판거푸집</v>
          </cell>
          <cell r="F502" t="str">
            <v>(4 회)</v>
          </cell>
          <cell r="G502" t="str">
            <v>㎡</v>
          </cell>
          <cell r="I502">
            <v>0</v>
          </cell>
        </row>
        <row r="503">
          <cell r="A503" t="str">
            <v>D00282</v>
          </cell>
          <cell r="B503">
            <v>26</v>
          </cell>
          <cell r="C503" t="str">
            <v>d</v>
          </cell>
          <cell r="D503">
            <v>1299464</v>
          </cell>
          <cell r="E503" t="str">
            <v>합판거푸집</v>
          </cell>
          <cell r="F503" t="str">
            <v>(6 회)</v>
          </cell>
          <cell r="G503" t="str">
            <v>㎡</v>
          </cell>
          <cell r="I503">
            <v>0</v>
          </cell>
        </row>
        <row r="504">
          <cell r="A504" t="str">
            <v>D00265</v>
          </cell>
          <cell r="B504">
            <v>481</v>
          </cell>
          <cell r="C504" t="str">
            <v>e</v>
          </cell>
          <cell r="D504">
            <v>1299468</v>
          </cell>
          <cell r="E504" t="str">
            <v>문양거푸집(합판4회+</v>
          </cell>
          <cell r="F504" t="str">
            <v>문양스치로폴(0∼7M)</v>
          </cell>
          <cell r="G504" t="str">
            <v>㎡</v>
          </cell>
          <cell r="I504">
            <v>0</v>
          </cell>
        </row>
        <row r="505">
          <cell r="A505" t="str">
            <v>D01111</v>
          </cell>
          <cell r="B505">
            <v>50</v>
          </cell>
          <cell r="C505" t="str">
            <v>f</v>
          </cell>
          <cell r="D505">
            <v>1299472</v>
          </cell>
          <cell r="E505" t="str">
            <v>문양거푸집(합판4회+</v>
          </cell>
          <cell r="F505" t="str">
            <v>문양스치로폴(7∼10M)</v>
          </cell>
          <cell r="G505" t="str">
            <v>㎡</v>
          </cell>
          <cell r="I505">
            <v>0</v>
          </cell>
        </row>
        <row r="506">
          <cell r="A506" t="str">
            <v>D00306</v>
          </cell>
          <cell r="B506">
            <v>158</v>
          </cell>
          <cell r="C506" t="str">
            <v>g</v>
          </cell>
          <cell r="D506">
            <v>1299475</v>
          </cell>
          <cell r="E506" t="str">
            <v>원형거푸집</v>
          </cell>
          <cell r="F506" t="str">
            <v>(3 회 0∼7 m)</v>
          </cell>
          <cell r="G506" t="str">
            <v>㎡</v>
          </cell>
          <cell r="I506">
            <v>0</v>
          </cell>
        </row>
        <row r="507">
          <cell r="A507" t="str">
            <v>D00307</v>
          </cell>
          <cell r="B507">
            <v>13</v>
          </cell>
          <cell r="C507" t="str">
            <v>h</v>
          </cell>
          <cell r="D507">
            <v>1299476</v>
          </cell>
          <cell r="E507" t="str">
            <v>원형거푸집</v>
          </cell>
          <cell r="F507" t="str">
            <v>(3 회 7∼10 m)</v>
          </cell>
          <cell r="G507" t="str">
            <v>㎡</v>
          </cell>
          <cell r="I507">
            <v>0</v>
          </cell>
        </row>
        <row r="508">
          <cell r="A508" t="str">
            <v>E2</v>
          </cell>
          <cell r="B508">
            <v>0</v>
          </cell>
          <cell r="C508" t="str">
            <v>계</v>
          </cell>
          <cell r="D508">
            <v>1299604</v>
          </cell>
          <cell r="I508">
            <v>0</v>
          </cell>
        </row>
        <row r="509">
          <cell r="A509" t="str">
            <v>D00323</v>
          </cell>
          <cell r="B509">
            <v>1507</v>
          </cell>
          <cell r="C509" t="str">
            <v>3.04</v>
          </cell>
          <cell r="D509">
            <v>1299605</v>
          </cell>
          <cell r="E509" t="str">
            <v>강관비계</v>
          </cell>
          <cell r="F509" t="str">
            <v>(0∼30 M)</v>
          </cell>
          <cell r="G509" t="str">
            <v>㎡</v>
          </cell>
          <cell r="I509">
            <v>0</v>
          </cell>
        </row>
        <row r="510">
          <cell r="A510" t="str">
            <v>T2</v>
          </cell>
          <cell r="B510">
            <v>513</v>
          </cell>
          <cell r="C510" t="str">
            <v>3.05</v>
          </cell>
          <cell r="D510">
            <v>1299669</v>
          </cell>
          <cell r="E510" t="str">
            <v>동 바 리</v>
          </cell>
          <cell r="I510">
            <v>0</v>
          </cell>
        </row>
        <row r="511">
          <cell r="A511" t="str">
            <v>D00327</v>
          </cell>
          <cell r="B511">
            <v>1407</v>
          </cell>
          <cell r="C511" t="str">
            <v>a</v>
          </cell>
          <cell r="D511">
            <v>1299701</v>
          </cell>
          <cell r="E511" t="str">
            <v>동바리공</v>
          </cell>
          <cell r="F511" t="str">
            <v>(목재 4 회)</v>
          </cell>
          <cell r="G511" t="str">
            <v>공㎥</v>
          </cell>
          <cell r="I511">
            <v>0</v>
          </cell>
        </row>
        <row r="512">
          <cell r="A512" t="str">
            <v>D00334</v>
          </cell>
          <cell r="B512">
            <v>568</v>
          </cell>
          <cell r="C512" t="str">
            <v>b</v>
          </cell>
          <cell r="D512">
            <v>1299725</v>
          </cell>
          <cell r="E512" t="str">
            <v>강관동바리</v>
          </cell>
          <cell r="F512" t="str">
            <v>(교량용)</v>
          </cell>
          <cell r="G512" t="str">
            <v>공㎥</v>
          </cell>
          <cell r="I512">
            <v>0</v>
          </cell>
        </row>
        <row r="513">
          <cell r="A513" t="str">
            <v>D01129</v>
          </cell>
          <cell r="B513">
            <v>147</v>
          </cell>
          <cell r="C513" t="str">
            <v>c</v>
          </cell>
          <cell r="D513">
            <v>1299729</v>
          </cell>
          <cell r="E513" t="str">
            <v>수평보강재(교량용)</v>
          </cell>
          <cell r="F513" t="str">
            <v>(강관동바리)</v>
          </cell>
          <cell r="G513" t="str">
            <v>㎡</v>
          </cell>
          <cell r="I513">
            <v>0</v>
          </cell>
        </row>
        <row r="514">
          <cell r="A514" t="str">
            <v>E2</v>
          </cell>
          <cell r="B514">
            <v>0</v>
          </cell>
          <cell r="C514" t="str">
            <v>계</v>
          </cell>
          <cell r="D514">
            <v>1299731</v>
          </cell>
          <cell r="I514">
            <v>0</v>
          </cell>
        </row>
        <row r="515">
          <cell r="A515" t="str">
            <v>T2</v>
          </cell>
          <cell r="B515">
            <v>517</v>
          </cell>
          <cell r="C515" t="str">
            <v>3.06</v>
          </cell>
          <cell r="D515">
            <v>1299853</v>
          </cell>
          <cell r="E515" t="str">
            <v>철근가공조립</v>
          </cell>
          <cell r="I515">
            <v>0</v>
          </cell>
        </row>
        <row r="516">
          <cell r="A516" t="str">
            <v>D00271</v>
          </cell>
          <cell r="B516">
            <v>19.16</v>
          </cell>
          <cell r="C516" t="str">
            <v>a</v>
          </cell>
          <cell r="D516">
            <v>1299855</v>
          </cell>
          <cell r="E516" t="str">
            <v>철근가공조립</v>
          </cell>
          <cell r="F516" t="str">
            <v>(보 통)</v>
          </cell>
          <cell r="G516" t="str">
            <v>Ton</v>
          </cell>
          <cell r="I516">
            <v>0</v>
          </cell>
        </row>
        <row r="517">
          <cell r="A517" t="str">
            <v>D00272</v>
          </cell>
          <cell r="B517">
            <v>399.48</v>
          </cell>
          <cell r="C517" t="str">
            <v>b</v>
          </cell>
          <cell r="D517">
            <v>1299857</v>
          </cell>
          <cell r="E517" t="str">
            <v>철근가공조립</v>
          </cell>
          <cell r="F517" t="str">
            <v>(복 잡)</v>
          </cell>
          <cell r="G517" t="str">
            <v>Ton</v>
          </cell>
          <cell r="I517">
            <v>0</v>
          </cell>
        </row>
        <row r="518">
          <cell r="A518" t="str">
            <v>E2</v>
          </cell>
          <cell r="B518">
            <v>0</v>
          </cell>
          <cell r="C518" t="str">
            <v>계</v>
          </cell>
          <cell r="D518">
            <v>1299860</v>
          </cell>
          <cell r="I518">
            <v>0</v>
          </cell>
        </row>
        <row r="519">
          <cell r="A519" t="str">
            <v>T2</v>
          </cell>
          <cell r="B519">
            <v>521</v>
          </cell>
          <cell r="C519" t="str">
            <v>3.07</v>
          </cell>
          <cell r="D519">
            <v>1299861</v>
          </cell>
          <cell r="E519" t="str">
            <v>콘크리트타설</v>
          </cell>
          <cell r="I519">
            <v>0</v>
          </cell>
        </row>
        <row r="520">
          <cell r="A520" t="str">
            <v>D00237</v>
          </cell>
          <cell r="B520">
            <v>2352</v>
          </cell>
          <cell r="C520" t="str">
            <v>a</v>
          </cell>
          <cell r="D520">
            <v>1299925</v>
          </cell>
          <cell r="E520" t="str">
            <v>콘크리트타설</v>
          </cell>
          <cell r="F520" t="str">
            <v>(철근 펌프카)</v>
          </cell>
          <cell r="G520" t="str">
            <v>㎥</v>
          </cell>
          <cell r="I520">
            <v>0</v>
          </cell>
        </row>
        <row r="521">
          <cell r="A521" t="str">
            <v>D00231</v>
          </cell>
          <cell r="B521">
            <v>69</v>
          </cell>
          <cell r="C521" t="str">
            <v>b</v>
          </cell>
          <cell r="D521">
            <v>1299957</v>
          </cell>
          <cell r="E521" t="str">
            <v>콘크리트타설</v>
          </cell>
          <cell r="F521" t="str">
            <v>(무근 VIB 제외)</v>
          </cell>
          <cell r="G521" t="str">
            <v>㎥</v>
          </cell>
          <cell r="I521">
            <v>0</v>
          </cell>
        </row>
        <row r="522">
          <cell r="A522" t="str">
            <v>E2</v>
          </cell>
          <cell r="B522">
            <v>0</v>
          </cell>
          <cell r="C522" t="str">
            <v>계</v>
          </cell>
          <cell r="D522">
            <v>1299989</v>
          </cell>
          <cell r="I522">
            <v>0</v>
          </cell>
        </row>
        <row r="523">
          <cell r="A523" t="str">
            <v>T2</v>
          </cell>
          <cell r="B523">
            <v>525</v>
          </cell>
          <cell r="C523" t="str">
            <v>3.08</v>
          </cell>
          <cell r="D523">
            <v>1299997</v>
          </cell>
          <cell r="E523" t="str">
            <v>표 면 처 리</v>
          </cell>
          <cell r="I523">
            <v>0</v>
          </cell>
        </row>
        <row r="524">
          <cell r="A524" t="str">
            <v>D00537</v>
          </cell>
          <cell r="B524">
            <v>1671</v>
          </cell>
          <cell r="C524" t="str">
            <v>a</v>
          </cell>
          <cell r="D524">
            <v>1300001</v>
          </cell>
          <cell r="E524" t="str">
            <v>슬래브양생</v>
          </cell>
          <cell r="F524" t="str">
            <v>(양생제)</v>
          </cell>
          <cell r="G524" t="str">
            <v>㎡</v>
          </cell>
          <cell r="I524">
            <v>0</v>
          </cell>
        </row>
        <row r="525">
          <cell r="A525" t="str">
            <v>D00539</v>
          </cell>
          <cell r="B525">
            <v>1521</v>
          </cell>
          <cell r="C525" t="str">
            <v>b</v>
          </cell>
          <cell r="D525">
            <v>1300003</v>
          </cell>
          <cell r="E525" t="str">
            <v>슬래브면고르기</v>
          </cell>
          <cell r="F525" t="str">
            <v>(데크 피니샤)</v>
          </cell>
          <cell r="G525" t="str">
            <v>㎡</v>
          </cell>
          <cell r="I525">
            <v>0</v>
          </cell>
        </row>
        <row r="526">
          <cell r="A526" t="str">
            <v>E2</v>
          </cell>
          <cell r="B526">
            <v>0</v>
          </cell>
          <cell r="C526" t="str">
            <v>계</v>
          </cell>
          <cell r="D526">
            <v>1300004</v>
          </cell>
          <cell r="I526">
            <v>0</v>
          </cell>
        </row>
        <row r="527">
          <cell r="A527" t="str">
            <v>T2</v>
          </cell>
          <cell r="B527">
            <v>531</v>
          </cell>
          <cell r="C527" t="str">
            <v>3.09</v>
          </cell>
          <cell r="D527">
            <v>1300132</v>
          </cell>
          <cell r="E527" t="str">
            <v>교좌장치</v>
          </cell>
          <cell r="I527">
            <v>0</v>
          </cell>
        </row>
        <row r="528">
          <cell r="A528" t="str">
            <v>D00541</v>
          </cell>
          <cell r="B528">
            <v>18</v>
          </cell>
          <cell r="C528" t="str">
            <v>a</v>
          </cell>
          <cell r="D528">
            <v>1300228</v>
          </cell>
          <cell r="E528" t="str">
            <v>교좌장치</v>
          </cell>
          <cell r="F528" t="str">
            <v>(양방향 175 Ton)</v>
          </cell>
          <cell r="G528" t="str">
            <v>EA</v>
          </cell>
          <cell r="I528">
            <v>0</v>
          </cell>
        </row>
        <row r="529">
          <cell r="A529" t="str">
            <v>D00542</v>
          </cell>
          <cell r="B529">
            <v>6</v>
          </cell>
          <cell r="C529" t="str">
            <v>b</v>
          </cell>
          <cell r="D529">
            <v>1300276</v>
          </cell>
          <cell r="E529" t="str">
            <v>교좌장치</v>
          </cell>
          <cell r="F529" t="str">
            <v>(횡방향가동단175Ton)</v>
          </cell>
          <cell r="G529" t="str">
            <v>EA</v>
          </cell>
          <cell r="I529">
            <v>0</v>
          </cell>
        </row>
        <row r="530">
          <cell r="A530" t="str">
            <v>D00543</v>
          </cell>
          <cell r="B530">
            <v>6</v>
          </cell>
          <cell r="C530" t="str">
            <v>c</v>
          </cell>
          <cell r="D530">
            <v>1300300</v>
          </cell>
          <cell r="E530" t="str">
            <v>교좌장치</v>
          </cell>
          <cell r="F530" t="str">
            <v>(교축방향 175 Ton)</v>
          </cell>
          <cell r="G530" t="str">
            <v>EA</v>
          </cell>
          <cell r="I530">
            <v>0</v>
          </cell>
        </row>
        <row r="531">
          <cell r="A531" t="str">
            <v>D00544</v>
          </cell>
          <cell r="B531">
            <v>2</v>
          </cell>
          <cell r="C531" t="str">
            <v>d</v>
          </cell>
          <cell r="D531">
            <v>1300312</v>
          </cell>
          <cell r="E531" t="str">
            <v>교좌장치</v>
          </cell>
          <cell r="F531" t="str">
            <v>(고정단 175 Ton)</v>
          </cell>
          <cell r="G531" t="str">
            <v>EA</v>
          </cell>
          <cell r="I531">
            <v>0</v>
          </cell>
        </row>
        <row r="532">
          <cell r="A532" t="str">
            <v>E2</v>
          </cell>
          <cell r="B532">
            <v>0</v>
          </cell>
          <cell r="C532" t="str">
            <v>계</v>
          </cell>
          <cell r="D532">
            <v>1300318</v>
          </cell>
          <cell r="I532">
            <v>0</v>
          </cell>
        </row>
        <row r="533">
          <cell r="A533" t="str">
            <v>T2</v>
          </cell>
          <cell r="B533">
            <v>536</v>
          </cell>
          <cell r="C533" t="str">
            <v>3.10</v>
          </cell>
          <cell r="D533">
            <v>1300446</v>
          </cell>
          <cell r="E533" t="str">
            <v>PRE-FLEX BEAM</v>
          </cell>
          <cell r="I533">
            <v>0</v>
          </cell>
        </row>
        <row r="534">
          <cell r="A534" t="str">
            <v>W00085</v>
          </cell>
          <cell r="B534">
            <v>8</v>
          </cell>
          <cell r="C534" t="str">
            <v>a</v>
          </cell>
          <cell r="D534">
            <v>1300510</v>
          </cell>
          <cell r="E534" t="str">
            <v>PRE-FLEX BEAM</v>
          </cell>
          <cell r="F534" t="str">
            <v>마온교(내측)</v>
          </cell>
          <cell r="G534" t="str">
            <v>본</v>
          </cell>
          <cell r="I534">
            <v>0</v>
          </cell>
        </row>
        <row r="535">
          <cell r="A535" t="str">
            <v>W00084</v>
          </cell>
          <cell r="B535">
            <v>8</v>
          </cell>
          <cell r="C535" t="str">
            <v>b</v>
          </cell>
          <cell r="D535">
            <v>1300542</v>
          </cell>
          <cell r="E535" t="str">
            <v>PRE-FLEX BEAM</v>
          </cell>
          <cell r="F535" t="str">
            <v>마온교(외측)</v>
          </cell>
          <cell r="G535" t="str">
            <v>본</v>
          </cell>
          <cell r="I535">
            <v>0</v>
          </cell>
        </row>
        <row r="536">
          <cell r="A536" t="str">
            <v>D00627</v>
          </cell>
          <cell r="B536">
            <v>1</v>
          </cell>
          <cell r="C536" t="str">
            <v>c</v>
          </cell>
          <cell r="D536">
            <v>1300574</v>
          </cell>
          <cell r="E536" t="str">
            <v>PRE-FLEX BEAM</v>
          </cell>
          <cell r="F536" t="str">
            <v>(전도방지시설)</v>
          </cell>
          <cell r="G536" t="str">
            <v>식</v>
          </cell>
          <cell r="I536">
            <v>0</v>
          </cell>
        </row>
        <row r="537">
          <cell r="A537" t="str">
            <v>E2</v>
          </cell>
          <cell r="B537">
            <v>0</v>
          </cell>
          <cell r="C537" t="str">
            <v>계</v>
          </cell>
          <cell r="D537">
            <v>1300670</v>
          </cell>
          <cell r="I537">
            <v>0</v>
          </cell>
        </row>
        <row r="538">
          <cell r="A538" t="str">
            <v>D01313</v>
          </cell>
          <cell r="B538">
            <v>39</v>
          </cell>
          <cell r="C538" t="str">
            <v>3.11</v>
          </cell>
          <cell r="D538">
            <v>1300766</v>
          </cell>
          <cell r="E538" t="str">
            <v>신축이음장치</v>
          </cell>
          <cell r="F538" t="str">
            <v>(Rail-No100)</v>
          </cell>
          <cell r="G538" t="str">
            <v>M</v>
          </cell>
          <cell r="I538">
            <v>0</v>
          </cell>
        </row>
        <row r="539">
          <cell r="A539" t="str">
            <v>D00535</v>
          </cell>
          <cell r="B539">
            <v>1521</v>
          </cell>
          <cell r="C539" t="str">
            <v>3.12</v>
          </cell>
          <cell r="D539">
            <v>1300926</v>
          </cell>
          <cell r="E539" t="str">
            <v>교면방수</v>
          </cell>
          <cell r="F539" t="str">
            <v>(도막식)</v>
          </cell>
          <cell r="G539" t="str">
            <v>㎡</v>
          </cell>
          <cell r="I539">
            <v>0</v>
          </cell>
        </row>
        <row r="540">
          <cell r="A540" t="str">
            <v>T2</v>
          </cell>
          <cell r="B540">
            <v>544</v>
          </cell>
          <cell r="C540" t="str">
            <v>3.13</v>
          </cell>
          <cell r="D540">
            <v>1300990</v>
          </cell>
          <cell r="E540" t="str">
            <v>접속슬래브 접합공</v>
          </cell>
          <cell r="I540">
            <v>0</v>
          </cell>
        </row>
        <row r="541">
          <cell r="A541" t="str">
            <v>D01067</v>
          </cell>
          <cell r="B541">
            <v>98</v>
          </cell>
          <cell r="C541" t="str">
            <v>a</v>
          </cell>
          <cell r="D541">
            <v>1301022</v>
          </cell>
          <cell r="E541" t="str">
            <v>다웰바 설치</v>
          </cell>
          <cell r="F541" t="str">
            <v>(D=25 m/m, L=500)</v>
          </cell>
          <cell r="G541" t="str">
            <v>EA</v>
          </cell>
          <cell r="I541">
            <v>0</v>
          </cell>
        </row>
        <row r="542">
          <cell r="A542" t="str">
            <v>D01190</v>
          </cell>
          <cell r="B542">
            <v>29</v>
          </cell>
          <cell r="C542" t="str">
            <v>b</v>
          </cell>
          <cell r="D542">
            <v>1301054</v>
          </cell>
          <cell r="E542" t="str">
            <v>다웰-켑 설치</v>
          </cell>
          <cell r="F542" t="str">
            <v>(Φ60 m/m)</v>
          </cell>
          <cell r="G542" t="str">
            <v>M</v>
          </cell>
          <cell r="I542">
            <v>0</v>
          </cell>
        </row>
        <row r="543">
          <cell r="A543" t="str">
            <v>D00540</v>
          </cell>
          <cell r="B543">
            <v>98</v>
          </cell>
          <cell r="C543" t="str">
            <v>c</v>
          </cell>
          <cell r="D543">
            <v>1301056</v>
          </cell>
          <cell r="E543" t="str">
            <v>경질고무판</v>
          </cell>
          <cell r="F543" t="str">
            <v>(150x150)</v>
          </cell>
          <cell r="G543" t="str">
            <v>EA</v>
          </cell>
          <cell r="I543">
            <v>0</v>
          </cell>
        </row>
        <row r="544">
          <cell r="A544" t="str">
            <v>D00566</v>
          </cell>
          <cell r="B544">
            <v>16</v>
          </cell>
          <cell r="C544" t="str">
            <v>d</v>
          </cell>
          <cell r="D544">
            <v>1301057</v>
          </cell>
          <cell r="E544" t="str">
            <v>타르페이퍼 설치</v>
          </cell>
          <cell r="F544" t="str">
            <v>(5 겹)</v>
          </cell>
          <cell r="G544" t="str">
            <v>㎡</v>
          </cell>
          <cell r="I544">
            <v>0</v>
          </cell>
        </row>
        <row r="545">
          <cell r="A545" t="str">
            <v>E2</v>
          </cell>
          <cell r="B545">
            <v>0</v>
          </cell>
          <cell r="C545" t="str">
            <v>계</v>
          </cell>
          <cell r="D545">
            <v>1301089</v>
          </cell>
          <cell r="I545">
            <v>0</v>
          </cell>
        </row>
        <row r="546">
          <cell r="A546" t="str">
            <v>T2</v>
          </cell>
          <cell r="B546">
            <v>548</v>
          </cell>
          <cell r="C546" t="str">
            <v>3.14</v>
          </cell>
          <cell r="D546">
            <v>1301122</v>
          </cell>
          <cell r="E546" t="str">
            <v>무수축 콘크리트</v>
          </cell>
          <cell r="I546">
            <v>0</v>
          </cell>
        </row>
        <row r="547">
          <cell r="A547" t="str">
            <v>D00567</v>
          </cell>
          <cell r="B547">
            <v>2.39</v>
          </cell>
          <cell r="C547" t="str">
            <v>a</v>
          </cell>
          <cell r="D547">
            <v>1301138</v>
          </cell>
          <cell r="E547" t="str">
            <v>무수축몰탈</v>
          </cell>
          <cell r="F547" t="str">
            <v>(1:1)</v>
          </cell>
          <cell r="G547" t="str">
            <v>㎥</v>
          </cell>
          <cell r="I547">
            <v>0</v>
          </cell>
        </row>
        <row r="548">
          <cell r="A548" t="str">
            <v>D00568</v>
          </cell>
          <cell r="B548">
            <v>7.48</v>
          </cell>
          <cell r="C548" t="str">
            <v>b</v>
          </cell>
          <cell r="D548">
            <v>1301146</v>
          </cell>
          <cell r="E548" t="str">
            <v>무수축콘크리트</v>
          </cell>
          <cell r="G548" t="str">
            <v>㎥</v>
          </cell>
          <cell r="I548">
            <v>0</v>
          </cell>
        </row>
        <row r="549">
          <cell r="A549" t="str">
            <v>E2</v>
          </cell>
          <cell r="B549">
            <v>0</v>
          </cell>
          <cell r="C549" t="str">
            <v>계</v>
          </cell>
          <cell r="D549">
            <v>1301150</v>
          </cell>
          <cell r="I549">
            <v>0</v>
          </cell>
        </row>
        <row r="550">
          <cell r="A550" t="str">
            <v>T2</v>
          </cell>
          <cell r="B550">
            <v>552</v>
          </cell>
          <cell r="C550" t="str">
            <v>3.15</v>
          </cell>
          <cell r="D550">
            <v>1301407</v>
          </cell>
          <cell r="E550" t="str">
            <v>스치로폴설치</v>
          </cell>
          <cell r="I550">
            <v>0</v>
          </cell>
        </row>
        <row r="551">
          <cell r="A551" t="str">
            <v>D00853</v>
          </cell>
          <cell r="B551">
            <v>6</v>
          </cell>
          <cell r="C551" t="str">
            <v>a</v>
          </cell>
          <cell r="D551">
            <v>1301536</v>
          </cell>
          <cell r="E551" t="str">
            <v>스치로폴설치</v>
          </cell>
          <cell r="F551" t="str">
            <v>(T=10 m/m)</v>
          </cell>
          <cell r="G551" t="str">
            <v>㎡</v>
          </cell>
          <cell r="I551">
            <v>0</v>
          </cell>
        </row>
        <row r="552">
          <cell r="A552" t="str">
            <v>D00532</v>
          </cell>
          <cell r="B552">
            <v>75</v>
          </cell>
          <cell r="C552" t="str">
            <v>b</v>
          </cell>
          <cell r="D552">
            <v>1301664</v>
          </cell>
          <cell r="E552" t="str">
            <v>스치로폴설치</v>
          </cell>
          <cell r="F552" t="str">
            <v>(T=20 m/m)</v>
          </cell>
          <cell r="G552" t="str">
            <v>㎡</v>
          </cell>
          <cell r="I552">
            <v>0</v>
          </cell>
        </row>
        <row r="553">
          <cell r="A553" t="str">
            <v>E2</v>
          </cell>
          <cell r="B553">
            <v>0</v>
          </cell>
          <cell r="C553" t="str">
            <v>계</v>
          </cell>
          <cell r="D553">
            <v>1301923</v>
          </cell>
          <cell r="I553">
            <v>0</v>
          </cell>
        </row>
        <row r="554">
          <cell r="A554" t="str">
            <v>T2</v>
          </cell>
          <cell r="B554">
            <v>560</v>
          </cell>
          <cell r="C554" t="str">
            <v>3.16</v>
          </cell>
          <cell r="D554">
            <v>1302181</v>
          </cell>
          <cell r="E554" t="str">
            <v>배수시설</v>
          </cell>
          <cell r="I554">
            <v>0</v>
          </cell>
        </row>
        <row r="555">
          <cell r="A555" t="str">
            <v>D00572</v>
          </cell>
          <cell r="B555">
            <v>8</v>
          </cell>
          <cell r="C555" t="str">
            <v>a</v>
          </cell>
          <cell r="D555">
            <v>1302182</v>
          </cell>
          <cell r="E555" t="str">
            <v>집 수 구</v>
          </cell>
          <cell r="G555" t="str">
            <v>EA</v>
          </cell>
          <cell r="I555">
            <v>0</v>
          </cell>
        </row>
        <row r="556">
          <cell r="A556" t="str">
            <v>D00573</v>
          </cell>
          <cell r="B556">
            <v>65</v>
          </cell>
          <cell r="C556" t="str">
            <v>b</v>
          </cell>
          <cell r="D556">
            <v>1302183</v>
          </cell>
          <cell r="E556" t="str">
            <v>배 수 구</v>
          </cell>
          <cell r="F556" t="str">
            <v>(스테인레스관)</v>
          </cell>
          <cell r="G556" t="str">
            <v>M</v>
          </cell>
          <cell r="I556">
            <v>0</v>
          </cell>
        </row>
        <row r="557">
          <cell r="A557" t="str">
            <v>D00574</v>
          </cell>
          <cell r="B557">
            <v>56</v>
          </cell>
          <cell r="C557" t="str">
            <v>c</v>
          </cell>
          <cell r="D557">
            <v>1302247</v>
          </cell>
          <cell r="E557" t="str">
            <v>부착시설(A)</v>
          </cell>
          <cell r="G557" t="str">
            <v>EA</v>
          </cell>
          <cell r="I557">
            <v>0</v>
          </cell>
        </row>
        <row r="558">
          <cell r="A558" t="str">
            <v>D03868</v>
          </cell>
          <cell r="B558">
            <v>6</v>
          </cell>
          <cell r="C558" t="str">
            <v>d</v>
          </cell>
          <cell r="D558">
            <v>1302279</v>
          </cell>
          <cell r="E558" t="str">
            <v>부착시설(D)</v>
          </cell>
          <cell r="G558" t="str">
            <v>EA</v>
          </cell>
          <cell r="I558">
            <v>0</v>
          </cell>
        </row>
        <row r="559">
          <cell r="A559" t="str">
            <v>D03867</v>
          </cell>
          <cell r="B559">
            <v>8</v>
          </cell>
          <cell r="C559" t="str">
            <v>e</v>
          </cell>
          <cell r="D559">
            <v>1302295</v>
          </cell>
          <cell r="E559" t="str">
            <v>집 수 정</v>
          </cell>
          <cell r="G559" t="str">
            <v>EA</v>
          </cell>
          <cell r="I559">
            <v>0</v>
          </cell>
        </row>
        <row r="560">
          <cell r="A560" t="str">
            <v>D03937</v>
          </cell>
          <cell r="B560">
            <v>4</v>
          </cell>
          <cell r="C560" t="str">
            <v>f</v>
          </cell>
          <cell r="D560">
            <v>1302299</v>
          </cell>
          <cell r="E560" t="str">
            <v>접속 T형관</v>
          </cell>
          <cell r="G560" t="str">
            <v>EA</v>
          </cell>
          <cell r="I560">
            <v>0</v>
          </cell>
        </row>
        <row r="561">
          <cell r="A561" t="str">
            <v>E2</v>
          </cell>
          <cell r="B561">
            <v>0</v>
          </cell>
          <cell r="C561" t="str">
            <v>계</v>
          </cell>
          <cell r="D561">
            <v>1302303</v>
          </cell>
          <cell r="I561">
            <v>0</v>
          </cell>
        </row>
        <row r="562">
          <cell r="A562" t="str">
            <v>T2</v>
          </cell>
          <cell r="B562">
            <v>564</v>
          </cell>
          <cell r="C562" t="str">
            <v>3.17</v>
          </cell>
          <cell r="D562">
            <v>1302311</v>
          </cell>
          <cell r="E562" t="str">
            <v>스페이서설치</v>
          </cell>
          <cell r="I562">
            <v>0</v>
          </cell>
        </row>
        <row r="563">
          <cell r="A563" t="str">
            <v>D00588</v>
          </cell>
          <cell r="B563">
            <v>2346</v>
          </cell>
          <cell r="C563" t="str">
            <v>a</v>
          </cell>
          <cell r="D563">
            <v>1302327</v>
          </cell>
          <cell r="E563" t="str">
            <v>스페이서 설치</v>
          </cell>
          <cell r="F563" t="str">
            <v>(슬라브및기초용)</v>
          </cell>
          <cell r="G563" t="str">
            <v>㎡</v>
          </cell>
          <cell r="I563">
            <v>0</v>
          </cell>
        </row>
        <row r="564">
          <cell r="A564" t="str">
            <v>D01070</v>
          </cell>
          <cell r="B564">
            <v>301</v>
          </cell>
          <cell r="C564" t="str">
            <v>b</v>
          </cell>
          <cell r="D564">
            <v>1302335</v>
          </cell>
          <cell r="E564" t="str">
            <v>스페이서 설치</v>
          </cell>
          <cell r="F564" t="str">
            <v>(벽체용)</v>
          </cell>
          <cell r="G564" t="str">
            <v>㎡</v>
          </cell>
          <cell r="I564">
            <v>0</v>
          </cell>
        </row>
        <row r="565">
          <cell r="A565" t="str">
            <v>E2</v>
          </cell>
          <cell r="B565">
            <v>0</v>
          </cell>
          <cell r="C565" t="str">
            <v>계</v>
          </cell>
          <cell r="D565">
            <v>1302339</v>
          </cell>
          <cell r="I565">
            <v>0</v>
          </cell>
        </row>
        <row r="566">
          <cell r="A566" t="str">
            <v>T2</v>
          </cell>
          <cell r="B566">
            <v>569</v>
          </cell>
          <cell r="C566" t="str">
            <v>3.18</v>
          </cell>
          <cell r="D566">
            <v>1302357</v>
          </cell>
          <cell r="E566" t="str">
            <v>교명판 설명판</v>
          </cell>
          <cell r="I566">
            <v>0</v>
          </cell>
        </row>
        <row r="567">
          <cell r="A567" t="str">
            <v>D00581</v>
          </cell>
          <cell r="B567">
            <v>4</v>
          </cell>
          <cell r="C567" t="str">
            <v>a</v>
          </cell>
          <cell r="D567">
            <v>1302358</v>
          </cell>
          <cell r="E567" t="str">
            <v>교 명 주</v>
          </cell>
          <cell r="F567" t="str">
            <v>(소형,화강석)</v>
          </cell>
          <cell r="G567" t="str">
            <v>기</v>
          </cell>
          <cell r="I567">
            <v>0</v>
          </cell>
        </row>
        <row r="568">
          <cell r="A568" t="str">
            <v>D00583</v>
          </cell>
          <cell r="B568">
            <v>2</v>
          </cell>
          <cell r="C568" t="str">
            <v>b</v>
          </cell>
          <cell r="D568">
            <v>1302359</v>
          </cell>
          <cell r="E568" t="str">
            <v>교 명 판(황동주물)</v>
          </cell>
          <cell r="F568" t="str">
            <v>(450x200x10)</v>
          </cell>
          <cell r="G568" t="str">
            <v>EA</v>
          </cell>
          <cell r="I568">
            <v>0</v>
          </cell>
        </row>
        <row r="569">
          <cell r="A569" t="str">
            <v>D00584</v>
          </cell>
          <cell r="B569">
            <v>2</v>
          </cell>
          <cell r="C569" t="str">
            <v>c</v>
          </cell>
          <cell r="D569">
            <v>1302423</v>
          </cell>
          <cell r="E569" t="str">
            <v>설 명 판(황동주물)</v>
          </cell>
          <cell r="F569" t="str">
            <v>(500x300x10)</v>
          </cell>
          <cell r="G569" t="str">
            <v>EA</v>
          </cell>
          <cell r="I569">
            <v>0</v>
          </cell>
        </row>
        <row r="570">
          <cell r="A570" t="str">
            <v>E2</v>
          </cell>
          <cell r="B570">
            <v>0</v>
          </cell>
          <cell r="C570" t="str">
            <v>계</v>
          </cell>
          <cell r="D570">
            <v>1302455</v>
          </cell>
          <cell r="I570">
            <v>0</v>
          </cell>
        </row>
        <row r="571">
          <cell r="A571" t="str">
            <v>D00594</v>
          </cell>
          <cell r="B571">
            <v>2</v>
          </cell>
          <cell r="C571" t="str">
            <v>3.19</v>
          </cell>
          <cell r="D571">
            <v>1302463</v>
          </cell>
          <cell r="E571" t="str">
            <v>측량기준점 설치</v>
          </cell>
          <cell r="F571" t="str">
            <v>(황동주물)</v>
          </cell>
          <cell r="G571" t="str">
            <v>EA</v>
          </cell>
          <cell r="I571">
            <v>0</v>
          </cell>
        </row>
        <row r="572">
          <cell r="A572" t="str">
            <v>T2</v>
          </cell>
          <cell r="B572">
            <v>574</v>
          </cell>
          <cell r="C572" t="str">
            <v>3.20</v>
          </cell>
          <cell r="D572">
            <v>1302591</v>
          </cell>
          <cell r="E572" t="str">
            <v>충 진 재</v>
          </cell>
          <cell r="I572">
            <v>0</v>
          </cell>
        </row>
        <row r="573">
          <cell r="A573" t="str">
            <v>D00846</v>
          </cell>
          <cell r="B573">
            <v>80</v>
          </cell>
          <cell r="C573" t="str">
            <v>a</v>
          </cell>
          <cell r="D573">
            <v>1302659</v>
          </cell>
          <cell r="E573" t="str">
            <v>폴리우레탄실란트채움</v>
          </cell>
          <cell r="F573" t="str">
            <v>(25x20)</v>
          </cell>
          <cell r="G573" t="str">
            <v>M</v>
          </cell>
          <cell r="I573">
            <v>0</v>
          </cell>
        </row>
        <row r="574">
          <cell r="A574" t="str">
            <v>D01224</v>
          </cell>
          <cell r="B574">
            <v>47</v>
          </cell>
          <cell r="C574" t="str">
            <v>b</v>
          </cell>
          <cell r="D574">
            <v>1302663</v>
          </cell>
          <cell r="E574" t="str">
            <v>폴리우레탄실란트채움</v>
          </cell>
          <cell r="F574" t="str">
            <v>(25x10)</v>
          </cell>
          <cell r="G574" t="str">
            <v>M</v>
          </cell>
          <cell r="I574">
            <v>0</v>
          </cell>
        </row>
        <row r="575">
          <cell r="A575" t="str">
            <v>E2</v>
          </cell>
          <cell r="B575">
            <v>0</v>
          </cell>
          <cell r="C575" t="str">
            <v>계</v>
          </cell>
          <cell r="D575">
            <v>1302665</v>
          </cell>
          <cell r="I575">
            <v>0</v>
          </cell>
        </row>
        <row r="576">
          <cell r="A576" t="str">
            <v>D01308</v>
          </cell>
          <cell r="B576">
            <v>853</v>
          </cell>
          <cell r="C576" t="str">
            <v>3.21</v>
          </cell>
          <cell r="D576">
            <v>1303105</v>
          </cell>
          <cell r="E576" t="str">
            <v>강섬유보강재</v>
          </cell>
          <cell r="F576" t="str">
            <v>(900 g/㎥)</v>
          </cell>
          <cell r="G576" t="str">
            <v>㎥</v>
          </cell>
          <cell r="I576">
            <v>0</v>
          </cell>
        </row>
        <row r="577">
          <cell r="A577" t="str">
            <v>D03817</v>
          </cell>
          <cell r="B577">
            <v>45</v>
          </cell>
          <cell r="C577" t="str">
            <v>3.22</v>
          </cell>
          <cell r="D577">
            <v>1303601</v>
          </cell>
          <cell r="E577" t="str">
            <v>ELASTIC FILLER</v>
          </cell>
          <cell r="F577" t="str">
            <v>(T=20 m/m)</v>
          </cell>
          <cell r="G577" t="str">
            <v>㎡</v>
          </cell>
          <cell r="I577">
            <v>0</v>
          </cell>
        </row>
        <row r="578">
          <cell r="A578" t="str">
            <v>D00911</v>
          </cell>
          <cell r="B578">
            <v>173</v>
          </cell>
          <cell r="C578" t="str">
            <v>3.23</v>
          </cell>
          <cell r="D578">
            <v>1456598</v>
          </cell>
          <cell r="E578" t="str">
            <v>방 호 벽</v>
          </cell>
          <cell r="F578" t="str">
            <v>(육교용)</v>
          </cell>
          <cell r="G578" t="str">
            <v>M</v>
          </cell>
          <cell r="I578">
            <v>0</v>
          </cell>
        </row>
        <row r="579">
          <cell r="A579" t="str">
            <v>D00791</v>
          </cell>
          <cell r="B579">
            <v>32</v>
          </cell>
          <cell r="C579" t="str">
            <v>3.24</v>
          </cell>
          <cell r="D579">
            <v>1533096</v>
          </cell>
          <cell r="E579" t="str">
            <v>교좌장치표지판</v>
          </cell>
          <cell r="G579" t="str">
            <v>EA</v>
          </cell>
          <cell r="I579">
            <v>0</v>
          </cell>
        </row>
        <row r="580">
          <cell r="A580" t="str">
            <v>D00817</v>
          </cell>
          <cell r="B580">
            <v>9.8000000000000004E-2</v>
          </cell>
          <cell r="C580" t="str">
            <v>3.25</v>
          </cell>
          <cell r="D580">
            <v>1571345</v>
          </cell>
          <cell r="E580" t="str">
            <v>아스팔트 채움</v>
          </cell>
          <cell r="F580" t="str">
            <v>(브론아스팔트)</v>
          </cell>
          <cell r="G580" t="str">
            <v>㎥</v>
          </cell>
          <cell r="I580">
            <v>0</v>
          </cell>
        </row>
        <row r="581">
          <cell r="A581" t="str">
            <v>D00593</v>
          </cell>
          <cell r="B581">
            <v>1035</v>
          </cell>
          <cell r="C581" t="str">
            <v>3.26</v>
          </cell>
          <cell r="D581">
            <v>1590470</v>
          </cell>
          <cell r="E581" t="str">
            <v>낙하물방지망</v>
          </cell>
          <cell r="G581" t="str">
            <v>㎡</v>
          </cell>
          <cell r="I581">
            <v>0</v>
          </cell>
        </row>
        <row r="582">
          <cell r="A582" t="str">
            <v>D01064</v>
          </cell>
          <cell r="B582">
            <v>80</v>
          </cell>
          <cell r="C582" t="str">
            <v>3.27</v>
          </cell>
          <cell r="D582">
            <v>1600032</v>
          </cell>
          <cell r="E582" t="str">
            <v>중앙분리대</v>
          </cell>
          <cell r="G582" t="str">
            <v>M</v>
          </cell>
          <cell r="I582">
            <v>0</v>
          </cell>
        </row>
        <row r="583">
          <cell r="A583" t="str">
            <v>D03859</v>
          </cell>
          <cell r="B583">
            <v>1</v>
          </cell>
          <cell r="C583" t="str">
            <v>3.28</v>
          </cell>
          <cell r="D583">
            <v>1604813</v>
          </cell>
          <cell r="E583" t="str">
            <v>천공장비조립및해체</v>
          </cell>
          <cell r="G583" t="str">
            <v>회</v>
          </cell>
          <cell r="I583">
            <v>0</v>
          </cell>
        </row>
        <row r="584">
          <cell r="A584" t="str">
            <v>T2</v>
          </cell>
          <cell r="B584">
            <v>586</v>
          </cell>
          <cell r="C584" t="str">
            <v>3.29</v>
          </cell>
          <cell r="D584">
            <v>1607204</v>
          </cell>
          <cell r="E584" t="str">
            <v>파일재하시험</v>
          </cell>
          <cell r="I584">
            <v>0</v>
          </cell>
        </row>
        <row r="585">
          <cell r="A585" t="str">
            <v>D03869</v>
          </cell>
          <cell r="B585">
            <v>1</v>
          </cell>
          <cell r="C585" t="str">
            <v>a</v>
          </cell>
          <cell r="D585">
            <v>1608399</v>
          </cell>
          <cell r="E585" t="str">
            <v>파일재하시험</v>
          </cell>
          <cell r="F585" t="str">
            <v>(정재하시험)</v>
          </cell>
          <cell r="G585" t="str">
            <v>개소</v>
          </cell>
          <cell r="I585">
            <v>0</v>
          </cell>
        </row>
        <row r="586">
          <cell r="A586" t="str">
            <v>D03870</v>
          </cell>
          <cell r="B586">
            <v>1</v>
          </cell>
          <cell r="C586" t="str">
            <v>b</v>
          </cell>
          <cell r="D586">
            <v>1608997</v>
          </cell>
          <cell r="E586" t="str">
            <v>파일재하시험</v>
          </cell>
          <cell r="F586" t="str">
            <v>(동재하시험)</v>
          </cell>
          <cell r="G586" t="str">
            <v>개소</v>
          </cell>
          <cell r="I586">
            <v>0</v>
          </cell>
        </row>
        <row r="587">
          <cell r="A587" t="str">
            <v>E2</v>
          </cell>
          <cell r="B587">
            <v>0</v>
          </cell>
          <cell r="C587" t="str">
            <v>계</v>
          </cell>
          <cell r="D587">
            <v>1609328</v>
          </cell>
          <cell r="I587">
            <v>0</v>
          </cell>
        </row>
        <row r="588">
          <cell r="A588" t="str">
            <v>D03871</v>
          </cell>
          <cell r="B588">
            <v>10</v>
          </cell>
          <cell r="C588" t="str">
            <v>3.30</v>
          </cell>
          <cell r="D588">
            <v>1609658</v>
          </cell>
          <cell r="E588" t="str">
            <v>평판재하시험</v>
          </cell>
          <cell r="G588" t="str">
            <v>개소</v>
          </cell>
          <cell r="I588">
            <v>0</v>
          </cell>
        </row>
        <row r="589">
          <cell r="A589" t="str">
            <v>E3</v>
          </cell>
          <cell r="B589">
            <v>0</v>
          </cell>
          <cell r="C589" t="str">
            <v>합계</v>
          </cell>
          <cell r="D589">
            <v>1609690</v>
          </cell>
          <cell r="I589">
            <v>0</v>
          </cell>
        </row>
        <row r="590">
          <cell r="A590" t="str">
            <v>T3</v>
          </cell>
          <cell r="B590">
            <v>705</v>
          </cell>
          <cell r="C590" t="str">
            <v>3.D</v>
          </cell>
          <cell r="D590">
            <v>1609722</v>
          </cell>
          <cell r="E590" t="str">
            <v>학  계   1  교</v>
          </cell>
          <cell r="F590" t="str">
            <v>P.S.C BEAM</v>
          </cell>
          <cell r="I590">
            <v>0</v>
          </cell>
        </row>
        <row r="591">
          <cell r="A591" t="str">
            <v>T2</v>
          </cell>
          <cell r="B591">
            <v>597</v>
          </cell>
          <cell r="C591" t="str">
            <v>3.01</v>
          </cell>
          <cell r="D591">
            <v>1609850</v>
          </cell>
          <cell r="E591" t="str">
            <v>토          공</v>
          </cell>
          <cell r="I591">
            <v>0</v>
          </cell>
        </row>
        <row r="592">
          <cell r="A592" t="str">
            <v>D00096</v>
          </cell>
          <cell r="B592">
            <v>3022</v>
          </cell>
          <cell r="C592" t="str">
            <v>a</v>
          </cell>
          <cell r="D592">
            <v>1763147</v>
          </cell>
          <cell r="E592" t="str">
            <v>구조물터파기</v>
          </cell>
          <cell r="F592" t="str">
            <v>(육상토사 0∼2 M)</v>
          </cell>
          <cell r="G592" t="str">
            <v>㎥</v>
          </cell>
          <cell r="I592">
            <v>0</v>
          </cell>
        </row>
        <row r="593">
          <cell r="A593" t="str">
            <v>D00097</v>
          </cell>
          <cell r="B593">
            <v>373</v>
          </cell>
          <cell r="C593" t="str">
            <v>b</v>
          </cell>
          <cell r="D593">
            <v>1763483</v>
          </cell>
          <cell r="E593" t="str">
            <v>구조물터파기</v>
          </cell>
          <cell r="F593" t="str">
            <v>(육상토사 2∼4 M)</v>
          </cell>
          <cell r="G593" t="str">
            <v>㎥</v>
          </cell>
          <cell r="I593">
            <v>0</v>
          </cell>
        </row>
        <row r="594">
          <cell r="A594" t="str">
            <v>D00160</v>
          </cell>
          <cell r="B594">
            <v>2927</v>
          </cell>
          <cell r="C594" t="str">
            <v>c</v>
          </cell>
          <cell r="D594">
            <v>1763819</v>
          </cell>
          <cell r="E594" t="str">
            <v>되메우기및다짐</v>
          </cell>
          <cell r="F594" t="str">
            <v>(인력30%+백호우70%)</v>
          </cell>
          <cell r="G594" t="str">
            <v>㎥</v>
          </cell>
          <cell r="I594">
            <v>0</v>
          </cell>
        </row>
        <row r="595">
          <cell r="A595" t="str">
            <v>D00170</v>
          </cell>
          <cell r="B595">
            <v>1175</v>
          </cell>
          <cell r="C595" t="str">
            <v>d</v>
          </cell>
          <cell r="D595">
            <v>1763939</v>
          </cell>
          <cell r="E595" t="str">
            <v>뒷채움잡석</v>
          </cell>
          <cell r="F595" t="str">
            <v>(현장암유용)</v>
          </cell>
          <cell r="G595" t="str">
            <v>㎥</v>
          </cell>
          <cell r="I595">
            <v>0</v>
          </cell>
        </row>
        <row r="596">
          <cell r="A596" t="str">
            <v>D00038</v>
          </cell>
          <cell r="B596">
            <v>1659</v>
          </cell>
          <cell r="C596" t="str">
            <v>e</v>
          </cell>
          <cell r="D596">
            <v>1763999</v>
          </cell>
          <cell r="E596" t="str">
            <v>토사치환</v>
          </cell>
          <cell r="F596" t="str">
            <v>노상다짐</v>
          </cell>
          <cell r="G596" t="str">
            <v>㎥</v>
          </cell>
          <cell r="I596">
            <v>0</v>
          </cell>
        </row>
        <row r="597">
          <cell r="A597" t="str">
            <v>D00150</v>
          </cell>
          <cell r="B597">
            <v>3045</v>
          </cell>
          <cell r="C597" t="str">
            <v>f</v>
          </cell>
          <cell r="D597">
            <v>1764029</v>
          </cell>
          <cell r="E597" t="str">
            <v>교대앞성토</v>
          </cell>
          <cell r="G597" t="str">
            <v>㎥</v>
          </cell>
          <cell r="I597">
            <v>0</v>
          </cell>
        </row>
        <row r="598">
          <cell r="A598" t="str">
            <v>E2</v>
          </cell>
          <cell r="B598">
            <v>0</v>
          </cell>
          <cell r="C598" t="str">
            <v>계</v>
          </cell>
          <cell r="D598">
            <v>1764059</v>
          </cell>
          <cell r="I598">
            <v>0</v>
          </cell>
        </row>
        <row r="599">
          <cell r="A599" t="str">
            <v>T2</v>
          </cell>
          <cell r="B599">
            <v>609</v>
          </cell>
          <cell r="C599" t="str">
            <v>3.02</v>
          </cell>
          <cell r="D599">
            <v>1764187</v>
          </cell>
          <cell r="E599" t="str">
            <v>강관파일공</v>
          </cell>
          <cell r="I599">
            <v>0</v>
          </cell>
        </row>
        <row r="600">
          <cell r="A600" t="str">
            <v>D00504</v>
          </cell>
          <cell r="B600">
            <v>3724</v>
          </cell>
          <cell r="C600" t="str">
            <v>a</v>
          </cell>
          <cell r="D600">
            <v>1764315</v>
          </cell>
          <cell r="E600" t="str">
            <v>강관파일구입</v>
          </cell>
          <cell r="F600" t="str">
            <v>(Φ508.0m/mx9t)</v>
          </cell>
          <cell r="G600" t="str">
            <v>M</v>
          </cell>
          <cell r="I600">
            <v>0</v>
          </cell>
        </row>
        <row r="601">
          <cell r="A601" t="str">
            <v>D00506</v>
          </cell>
          <cell r="B601">
            <v>2248</v>
          </cell>
          <cell r="C601" t="str">
            <v>b</v>
          </cell>
          <cell r="D601">
            <v>1764344</v>
          </cell>
          <cell r="E601" t="str">
            <v>강관파일항타(직항)</v>
          </cell>
          <cell r="F601" t="str">
            <v>Φ508(15 m 이상)</v>
          </cell>
          <cell r="G601" t="str">
            <v>M</v>
          </cell>
          <cell r="I601">
            <v>0</v>
          </cell>
        </row>
        <row r="602">
          <cell r="A602" t="str">
            <v>D00512</v>
          </cell>
          <cell r="B602">
            <v>1420</v>
          </cell>
          <cell r="C602" t="str">
            <v>c</v>
          </cell>
          <cell r="D602">
            <v>1764346</v>
          </cell>
          <cell r="E602" t="str">
            <v>강관파일항타(직항)</v>
          </cell>
          <cell r="F602" t="str">
            <v>Φ508(15 m 이하)</v>
          </cell>
          <cell r="G602" t="str">
            <v>M</v>
          </cell>
          <cell r="I602">
            <v>0</v>
          </cell>
        </row>
        <row r="603">
          <cell r="A603" t="str">
            <v>D03821</v>
          </cell>
          <cell r="B603">
            <v>3190</v>
          </cell>
          <cell r="C603" t="str">
            <v>d</v>
          </cell>
          <cell r="D603">
            <v>1764347</v>
          </cell>
          <cell r="E603" t="str">
            <v>토사천공</v>
          </cell>
          <cell r="G603" t="str">
            <v>M</v>
          </cell>
          <cell r="I603">
            <v>0</v>
          </cell>
        </row>
        <row r="604">
          <cell r="A604" t="str">
            <v>D03822</v>
          </cell>
          <cell r="B604">
            <v>465</v>
          </cell>
          <cell r="C604" t="str">
            <v>e</v>
          </cell>
          <cell r="D604">
            <v>1764350</v>
          </cell>
          <cell r="E604" t="str">
            <v>풍화암천공</v>
          </cell>
          <cell r="G604" t="str">
            <v>M</v>
          </cell>
          <cell r="I604">
            <v>0</v>
          </cell>
        </row>
        <row r="605">
          <cell r="A605" t="str">
            <v>D00516</v>
          </cell>
          <cell r="B605">
            <v>272</v>
          </cell>
          <cell r="C605" t="str">
            <v>f</v>
          </cell>
          <cell r="D605">
            <v>1764355</v>
          </cell>
          <cell r="E605" t="str">
            <v>두부및선단보강</v>
          </cell>
          <cell r="F605" t="str">
            <v>(Φ508.0 m/m)천공</v>
          </cell>
          <cell r="G605" t="str">
            <v>EA</v>
          </cell>
          <cell r="I605">
            <v>0</v>
          </cell>
        </row>
        <row r="606">
          <cell r="A606" t="str">
            <v>D03829</v>
          </cell>
          <cell r="B606">
            <v>972</v>
          </cell>
          <cell r="C606" t="str">
            <v>g</v>
          </cell>
          <cell r="D606">
            <v>1764364</v>
          </cell>
          <cell r="E606" t="str">
            <v>주면고정액</v>
          </cell>
          <cell r="G606" t="str">
            <v>㎥</v>
          </cell>
          <cell r="I606">
            <v>0</v>
          </cell>
        </row>
        <row r="607">
          <cell r="A607" t="str">
            <v>D03830</v>
          </cell>
          <cell r="B607">
            <v>79</v>
          </cell>
          <cell r="C607" t="str">
            <v>h</v>
          </cell>
          <cell r="D607">
            <v>1764368</v>
          </cell>
          <cell r="E607" t="str">
            <v>선단고정액</v>
          </cell>
          <cell r="G607" t="str">
            <v>㎥</v>
          </cell>
          <cell r="I607">
            <v>0</v>
          </cell>
        </row>
        <row r="608">
          <cell r="A608" t="str">
            <v>D00515</v>
          </cell>
          <cell r="B608">
            <v>136</v>
          </cell>
          <cell r="C608" t="str">
            <v>i</v>
          </cell>
          <cell r="D608">
            <v>1764370</v>
          </cell>
          <cell r="E608" t="str">
            <v>강관파일이음</v>
          </cell>
          <cell r="F608" t="str">
            <v>(Φ508.0 m/m)</v>
          </cell>
          <cell r="G608" t="str">
            <v>EA</v>
          </cell>
          <cell r="I608">
            <v>0</v>
          </cell>
        </row>
        <row r="609">
          <cell r="A609" t="str">
            <v>D01282</v>
          </cell>
          <cell r="B609">
            <v>48</v>
          </cell>
          <cell r="C609" t="str">
            <v>j</v>
          </cell>
          <cell r="D609">
            <v>1764371</v>
          </cell>
          <cell r="E609" t="str">
            <v>방사선투과검사(RT)</v>
          </cell>
          <cell r="F609" t="str">
            <v>(3 1/3x12 ")</v>
          </cell>
          <cell r="G609" t="str">
            <v>매</v>
          </cell>
          <cell r="I609">
            <v>0</v>
          </cell>
        </row>
        <row r="610">
          <cell r="A610" t="str">
            <v>E2</v>
          </cell>
          <cell r="B610">
            <v>0</v>
          </cell>
          <cell r="C610" t="str">
            <v>계</v>
          </cell>
          <cell r="D610">
            <v>1764372</v>
          </cell>
          <cell r="I610">
            <v>0</v>
          </cell>
        </row>
        <row r="611">
          <cell r="A611" t="str">
            <v>T2</v>
          </cell>
          <cell r="B611">
            <v>619</v>
          </cell>
          <cell r="C611" t="str">
            <v>3.03</v>
          </cell>
          <cell r="D611">
            <v>1765158</v>
          </cell>
          <cell r="E611" t="str">
            <v>거 푸 집</v>
          </cell>
          <cell r="I611">
            <v>0</v>
          </cell>
        </row>
        <row r="612">
          <cell r="A612" t="str">
            <v>D00276</v>
          </cell>
          <cell r="B612">
            <v>2604</v>
          </cell>
          <cell r="C612" t="str">
            <v>a</v>
          </cell>
          <cell r="D612">
            <v>1765159</v>
          </cell>
          <cell r="E612" t="str">
            <v>합판거푸집</v>
          </cell>
          <cell r="F612" t="str">
            <v>(3 회)</v>
          </cell>
          <cell r="G612" t="str">
            <v>㎡</v>
          </cell>
          <cell r="I612">
            <v>0</v>
          </cell>
        </row>
        <row r="613">
          <cell r="A613" t="str">
            <v>D00277</v>
          </cell>
          <cell r="B613">
            <v>386</v>
          </cell>
          <cell r="C613" t="str">
            <v>b</v>
          </cell>
          <cell r="D613">
            <v>1765207</v>
          </cell>
          <cell r="E613" t="str">
            <v>합판거푸집</v>
          </cell>
          <cell r="F613" t="str">
            <v>(3 회 7∼10 m)</v>
          </cell>
          <cell r="G613" t="str">
            <v>㎡</v>
          </cell>
          <cell r="I613">
            <v>0</v>
          </cell>
        </row>
        <row r="614">
          <cell r="A614" t="str">
            <v>D00280</v>
          </cell>
          <cell r="B614">
            <v>458</v>
          </cell>
          <cell r="C614" t="str">
            <v>c</v>
          </cell>
          <cell r="D614">
            <v>1765223</v>
          </cell>
          <cell r="E614" t="str">
            <v>합판거푸집</v>
          </cell>
          <cell r="F614" t="str">
            <v>(4 회)</v>
          </cell>
          <cell r="G614" t="str">
            <v>㎡</v>
          </cell>
          <cell r="I614">
            <v>0</v>
          </cell>
        </row>
        <row r="615">
          <cell r="A615" t="str">
            <v>D00282</v>
          </cell>
          <cell r="B615">
            <v>35</v>
          </cell>
          <cell r="C615" t="str">
            <v>d</v>
          </cell>
          <cell r="D615">
            <v>1765255</v>
          </cell>
          <cell r="E615" t="str">
            <v>합판거푸집</v>
          </cell>
          <cell r="F615" t="str">
            <v>(6 회)</v>
          </cell>
          <cell r="G615" t="str">
            <v>㎡</v>
          </cell>
          <cell r="I615">
            <v>0</v>
          </cell>
        </row>
        <row r="616">
          <cell r="A616" t="str">
            <v>D00265</v>
          </cell>
          <cell r="B616">
            <v>385</v>
          </cell>
          <cell r="C616" t="str">
            <v>e</v>
          </cell>
          <cell r="D616">
            <v>1765263</v>
          </cell>
          <cell r="E616" t="str">
            <v>문양거푸집(합판4회+</v>
          </cell>
          <cell r="F616" t="str">
            <v>문양스치로폴(0∼7M)</v>
          </cell>
          <cell r="G616" t="str">
            <v>㎡</v>
          </cell>
          <cell r="I616">
            <v>0</v>
          </cell>
        </row>
        <row r="617">
          <cell r="A617" t="str">
            <v>D01111</v>
          </cell>
          <cell r="B617">
            <v>23</v>
          </cell>
          <cell r="C617" t="str">
            <v>f</v>
          </cell>
          <cell r="D617">
            <v>1765267</v>
          </cell>
          <cell r="E617" t="str">
            <v>문양거푸집(합판4회+</v>
          </cell>
          <cell r="F617" t="str">
            <v>문양스치로폴(7∼10M)</v>
          </cell>
          <cell r="G617" t="str">
            <v>㎡</v>
          </cell>
          <cell r="I617">
            <v>0</v>
          </cell>
        </row>
        <row r="618">
          <cell r="A618" t="str">
            <v>D00306</v>
          </cell>
          <cell r="B618">
            <v>316</v>
          </cell>
          <cell r="C618" t="str">
            <v>g</v>
          </cell>
          <cell r="D618">
            <v>1765269</v>
          </cell>
          <cell r="E618" t="str">
            <v>원형거푸집</v>
          </cell>
          <cell r="F618" t="str">
            <v>(3 회 0∼7 m)</v>
          </cell>
          <cell r="G618" t="str">
            <v>㎡</v>
          </cell>
          <cell r="I618">
            <v>0</v>
          </cell>
        </row>
        <row r="619">
          <cell r="A619" t="str">
            <v>D00307</v>
          </cell>
          <cell r="B619">
            <v>27</v>
          </cell>
          <cell r="C619" t="str">
            <v>h</v>
          </cell>
          <cell r="D619">
            <v>1765270</v>
          </cell>
          <cell r="E619" t="str">
            <v>원형거푸집</v>
          </cell>
          <cell r="F619" t="str">
            <v>(3 회 7∼10 m)</v>
          </cell>
          <cell r="G619" t="str">
            <v>㎡</v>
          </cell>
          <cell r="I619">
            <v>0</v>
          </cell>
        </row>
        <row r="620">
          <cell r="A620" t="str">
            <v>E2</v>
          </cell>
          <cell r="B620">
            <v>0</v>
          </cell>
          <cell r="C620" t="str">
            <v>계</v>
          </cell>
          <cell r="D620">
            <v>1765271</v>
          </cell>
          <cell r="I620">
            <v>0</v>
          </cell>
        </row>
        <row r="621">
          <cell r="A621" t="str">
            <v>D00323</v>
          </cell>
          <cell r="B621">
            <v>2046</v>
          </cell>
          <cell r="C621" t="str">
            <v>3.04</v>
          </cell>
          <cell r="D621">
            <v>1765272</v>
          </cell>
          <cell r="E621" t="str">
            <v>강관비계</v>
          </cell>
          <cell r="F621" t="str">
            <v>(0∼30 M)</v>
          </cell>
          <cell r="G621" t="str">
            <v>㎡</v>
          </cell>
          <cell r="I621">
            <v>0</v>
          </cell>
        </row>
        <row r="622">
          <cell r="A622" t="str">
            <v>T2</v>
          </cell>
          <cell r="B622">
            <v>625</v>
          </cell>
          <cell r="C622" t="str">
            <v>3.05</v>
          </cell>
          <cell r="D622">
            <v>1765336</v>
          </cell>
          <cell r="E622" t="str">
            <v>동 바 리</v>
          </cell>
          <cell r="I622">
            <v>0</v>
          </cell>
        </row>
        <row r="623">
          <cell r="A623" t="str">
            <v>D00327</v>
          </cell>
          <cell r="B623">
            <v>2243</v>
          </cell>
          <cell r="C623" t="str">
            <v>a</v>
          </cell>
          <cell r="D623">
            <v>1765368</v>
          </cell>
          <cell r="E623" t="str">
            <v>동바리공</v>
          </cell>
          <cell r="F623" t="str">
            <v>(목재 4 회)</v>
          </cell>
          <cell r="G623" t="str">
            <v>공㎥</v>
          </cell>
          <cell r="I623">
            <v>0</v>
          </cell>
        </row>
        <row r="624">
          <cell r="A624" t="str">
            <v>D00334</v>
          </cell>
          <cell r="B624">
            <v>922</v>
          </cell>
          <cell r="C624" t="str">
            <v>b</v>
          </cell>
          <cell r="D624">
            <v>1765392</v>
          </cell>
          <cell r="E624" t="str">
            <v>강관동바리</v>
          </cell>
          <cell r="F624" t="str">
            <v>(교량용)</v>
          </cell>
          <cell r="G624" t="str">
            <v>공㎥</v>
          </cell>
          <cell r="I624">
            <v>0</v>
          </cell>
        </row>
        <row r="625">
          <cell r="A625" t="str">
            <v>D01129</v>
          </cell>
          <cell r="B625">
            <v>225</v>
          </cell>
          <cell r="C625" t="str">
            <v>c</v>
          </cell>
          <cell r="D625">
            <v>1765396</v>
          </cell>
          <cell r="E625" t="str">
            <v>수평보강재(교량용)</v>
          </cell>
          <cell r="F625" t="str">
            <v>(강관동바리)</v>
          </cell>
          <cell r="G625" t="str">
            <v>㎡</v>
          </cell>
          <cell r="I625">
            <v>0</v>
          </cell>
        </row>
        <row r="626">
          <cell r="A626" t="str">
            <v>E2</v>
          </cell>
          <cell r="B626">
            <v>0</v>
          </cell>
          <cell r="C626" t="str">
            <v>계</v>
          </cell>
          <cell r="D626">
            <v>1765398</v>
          </cell>
          <cell r="I626">
            <v>0</v>
          </cell>
        </row>
        <row r="627">
          <cell r="A627" t="str">
            <v>T2</v>
          </cell>
          <cell r="B627">
            <v>629</v>
          </cell>
          <cell r="C627" t="str">
            <v>3.06</v>
          </cell>
          <cell r="D627">
            <v>1765520</v>
          </cell>
          <cell r="E627" t="str">
            <v>철근가공조립</v>
          </cell>
          <cell r="I627">
            <v>0</v>
          </cell>
        </row>
        <row r="628">
          <cell r="A628" t="str">
            <v>D00271</v>
          </cell>
          <cell r="B628">
            <v>19.492000000000001</v>
          </cell>
          <cell r="C628" t="str">
            <v>a</v>
          </cell>
          <cell r="D628">
            <v>1765522</v>
          </cell>
          <cell r="E628" t="str">
            <v>철근가공조립</v>
          </cell>
          <cell r="F628" t="str">
            <v>(보 통)</v>
          </cell>
          <cell r="G628" t="str">
            <v>Ton</v>
          </cell>
          <cell r="I628">
            <v>0</v>
          </cell>
        </row>
        <row r="629">
          <cell r="A629" t="str">
            <v>D00272</v>
          </cell>
          <cell r="B629">
            <v>418.69099999999997</v>
          </cell>
          <cell r="C629" t="str">
            <v>b</v>
          </cell>
          <cell r="D629">
            <v>1765524</v>
          </cell>
          <cell r="E629" t="str">
            <v>철근가공조립</v>
          </cell>
          <cell r="F629" t="str">
            <v>(복 잡)</v>
          </cell>
          <cell r="G629" t="str">
            <v>Ton</v>
          </cell>
          <cell r="I629">
            <v>0</v>
          </cell>
        </row>
        <row r="630">
          <cell r="A630" t="str">
            <v>E2</v>
          </cell>
          <cell r="B630">
            <v>0</v>
          </cell>
          <cell r="C630" t="str">
            <v>계</v>
          </cell>
          <cell r="D630">
            <v>1765527</v>
          </cell>
          <cell r="I630">
            <v>0</v>
          </cell>
        </row>
        <row r="631">
          <cell r="A631" t="str">
            <v>T2</v>
          </cell>
          <cell r="B631">
            <v>633</v>
          </cell>
          <cell r="C631" t="str">
            <v>3.07</v>
          </cell>
          <cell r="D631">
            <v>1765528</v>
          </cell>
          <cell r="E631" t="str">
            <v>콘크리트타설</v>
          </cell>
          <cell r="I631">
            <v>0</v>
          </cell>
        </row>
        <row r="632">
          <cell r="A632" t="str">
            <v>D00237</v>
          </cell>
          <cell r="B632">
            <v>2584</v>
          </cell>
          <cell r="C632" t="str">
            <v>a</v>
          </cell>
          <cell r="D632">
            <v>1765592</v>
          </cell>
          <cell r="E632" t="str">
            <v>콘크리트타설</v>
          </cell>
          <cell r="F632" t="str">
            <v>(철근 펌프카)</v>
          </cell>
          <cell r="G632" t="str">
            <v>㎥</v>
          </cell>
          <cell r="I632">
            <v>0</v>
          </cell>
        </row>
        <row r="633">
          <cell r="A633" t="str">
            <v>D00231</v>
          </cell>
          <cell r="B633">
            <v>89</v>
          </cell>
          <cell r="C633" t="str">
            <v>b</v>
          </cell>
          <cell r="D633">
            <v>1765624</v>
          </cell>
          <cell r="E633" t="str">
            <v>콘크리트타설</v>
          </cell>
          <cell r="F633" t="str">
            <v>(무근 VIB 제외)</v>
          </cell>
          <cell r="G633" t="str">
            <v>㎥</v>
          </cell>
          <cell r="I633">
            <v>0</v>
          </cell>
        </row>
        <row r="634">
          <cell r="A634" t="str">
            <v>E2</v>
          </cell>
          <cell r="B634">
            <v>0</v>
          </cell>
          <cell r="C634" t="str">
            <v>계</v>
          </cell>
          <cell r="D634">
            <v>1765656</v>
          </cell>
          <cell r="I634">
            <v>0</v>
          </cell>
        </row>
        <row r="635">
          <cell r="A635" t="str">
            <v>T2</v>
          </cell>
          <cell r="B635">
            <v>637</v>
          </cell>
          <cell r="C635" t="str">
            <v>3.08</v>
          </cell>
          <cell r="D635">
            <v>1765664</v>
          </cell>
          <cell r="E635" t="str">
            <v>표 면 처 리</v>
          </cell>
          <cell r="I635">
            <v>0</v>
          </cell>
        </row>
        <row r="636">
          <cell r="A636" t="str">
            <v>D00537</v>
          </cell>
          <cell r="B636">
            <v>1898</v>
          </cell>
          <cell r="C636" t="str">
            <v>a</v>
          </cell>
          <cell r="D636">
            <v>1765668</v>
          </cell>
          <cell r="E636" t="str">
            <v>슬래브양생</v>
          </cell>
          <cell r="F636" t="str">
            <v>(양생제)</v>
          </cell>
          <cell r="G636" t="str">
            <v>㎡</v>
          </cell>
          <cell r="I636">
            <v>0</v>
          </cell>
        </row>
        <row r="637">
          <cell r="A637" t="str">
            <v>D00539</v>
          </cell>
          <cell r="B637">
            <v>1717</v>
          </cell>
          <cell r="C637" t="str">
            <v>b</v>
          </cell>
          <cell r="D637">
            <v>1765670</v>
          </cell>
          <cell r="E637" t="str">
            <v>슬래브면고르기</v>
          </cell>
          <cell r="F637" t="str">
            <v>(데크 피니샤)</v>
          </cell>
          <cell r="G637" t="str">
            <v>㎡</v>
          </cell>
          <cell r="I637">
            <v>0</v>
          </cell>
        </row>
        <row r="638">
          <cell r="A638" t="str">
            <v>E2</v>
          </cell>
          <cell r="B638">
            <v>0</v>
          </cell>
          <cell r="C638" t="str">
            <v>계</v>
          </cell>
          <cell r="D638">
            <v>1765671</v>
          </cell>
          <cell r="I638">
            <v>0</v>
          </cell>
        </row>
        <row r="639">
          <cell r="A639" t="str">
            <v>T2</v>
          </cell>
          <cell r="B639">
            <v>643</v>
          </cell>
          <cell r="C639" t="str">
            <v>3.09</v>
          </cell>
          <cell r="D639">
            <v>1765799</v>
          </cell>
          <cell r="E639" t="str">
            <v>교좌장치</v>
          </cell>
          <cell r="I639">
            <v>0</v>
          </cell>
        </row>
        <row r="640">
          <cell r="A640" t="str">
            <v>D00545</v>
          </cell>
          <cell r="B640">
            <v>2</v>
          </cell>
          <cell r="C640" t="str">
            <v>a</v>
          </cell>
          <cell r="D640">
            <v>1765895</v>
          </cell>
          <cell r="E640" t="str">
            <v>교좌장치</v>
          </cell>
          <cell r="F640" t="str">
            <v>(고정단 135 Ton)</v>
          </cell>
          <cell r="G640" t="str">
            <v>EA</v>
          </cell>
          <cell r="I640">
            <v>0</v>
          </cell>
        </row>
        <row r="641">
          <cell r="A641" t="str">
            <v>D00549</v>
          </cell>
          <cell r="B641">
            <v>8</v>
          </cell>
          <cell r="C641" t="str">
            <v>b</v>
          </cell>
          <cell r="D641">
            <v>1765943</v>
          </cell>
          <cell r="E641" t="str">
            <v>교좌장치</v>
          </cell>
          <cell r="F641" t="str">
            <v>(횡방향가동단135Ton)</v>
          </cell>
          <cell r="G641" t="str">
            <v>EA</v>
          </cell>
          <cell r="I641">
            <v>0</v>
          </cell>
        </row>
        <row r="642">
          <cell r="A642" t="str">
            <v>D00548</v>
          </cell>
          <cell r="B642">
            <v>10</v>
          </cell>
          <cell r="C642" t="str">
            <v>c</v>
          </cell>
          <cell r="D642">
            <v>1765967</v>
          </cell>
          <cell r="E642" t="str">
            <v>교좌장치</v>
          </cell>
          <cell r="F642" t="str">
            <v>(종방향가동단135Ton)</v>
          </cell>
          <cell r="G642" t="str">
            <v>EA</v>
          </cell>
          <cell r="I642">
            <v>0</v>
          </cell>
        </row>
        <row r="643">
          <cell r="A643" t="str">
            <v>D00547</v>
          </cell>
          <cell r="B643">
            <v>40</v>
          </cell>
          <cell r="C643" t="str">
            <v>d</v>
          </cell>
          <cell r="D643">
            <v>1765979</v>
          </cell>
          <cell r="E643" t="str">
            <v>교좌장치</v>
          </cell>
          <cell r="F643" t="str">
            <v>(양방향가동단135Ton)</v>
          </cell>
          <cell r="G643" t="str">
            <v>EA</v>
          </cell>
          <cell r="I643">
            <v>0</v>
          </cell>
        </row>
        <row r="644">
          <cell r="A644" t="str">
            <v>E2</v>
          </cell>
          <cell r="B644">
            <v>0</v>
          </cell>
          <cell r="C644" t="str">
            <v>계</v>
          </cell>
          <cell r="D644">
            <v>1765985</v>
          </cell>
          <cell r="I644">
            <v>0</v>
          </cell>
        </row>
        <row r="645">
          <cell r="A645" t="str">
            <v>T2</v>
          </cell>
          <cell r="B645">
            <v>648</v>
          </cell>
          <cell r="C645" t="str">
            <v>3.10</v>
          </cell>
          <cell r="D645">
            <v>1766113</v>
          </cell>
          <cell r="E645" t="str">
            <v>P.S.C BEAM</v>
          </cell>
          <cell r="I645">
            <v>0</v>
          </cell>
        </row>
        <row r="646">
          <cell r="A646" t="str">
            <v>D00619</v>
          </cell>
          <cell r="B646">
            <v>30</v>
          </cell>
          <cell r="C646" t="str">
            <v>a</v>
          </cell>
          <cell r="D646">
            <v>1766177</v>
          </cell>
          <cell r="E646" t="str">
            <v>P.S.C BEAM 제작</v>
          </cell>
          <cell r="F646" t="str">
            <v>(L=30 M)</v>
          </cell>
          <cell r="G646" t="str">
            <v>본</v>
          </cell>
          <cell r="I646">
            <v>0</v>
          </cell>
        </row>
        <row r="647">
          <cell r="A647" t="str">
            <v>D00606</v>
          </cell>
          <cell r="B647">
            <v>30</v>
          </cell>
          <cell r="C647" t="str">
            <v>b</v>
          </cell>
          <cell r="D647">
            <v>1766241</v>
          </cell>
          <cell r="E647" t="str">
            <v>P.S.C 빔 운반및설치</v>
          </cell>
          <cell r="F647" t="str">
            <v>(L=30 M)</v>
          </cell>
          <cell r="G647" t="str">
            <v>EA</v>
          </cell>
          <cell r="I647">
            <v>0</v>
          </cell>
        </row>
        <row r="648">
          <cell r="A648" t="str">
            <v>D01130</v>
          </cell>
          <cell r="B648">
            <v>30</v>
          </cell>
          <cell r="C648" t="str">
            <v>c</v>
          </cell>
          <cell r="D648">
            <v>1766305</v>
          </cell>
          <cell r="E648" t="str">
            <v>P.S.C빔 전도방지시설</v>
          </cell>
          <cell r="G648" t="str">
            <v>본</v>
          </cell>
          <cell r="I648">
            <v>0</v>
          </cell>
        </row>
        <row r="649">
          <cell r="A649" t="str">
            <v>E2</v>
          </cell>
          <cell r="B649">
            <v>0</v>
          </cell>
          <cell r="C649" t="str">
            <v>계</v>
          </cell>
          <cell r="D649">
            <v>1766337</v>
          </cell>
          <cell r="I649">
            <v>0</v>
          </cell>
        </row>
        <row r="650">
          <cell r="A650" t="str">
            <v>T2</v>
          </cell>
          <cell r="B650">
            <v>652</v>
          </cell>
          <cell r="C650" t="str">
            <v>3.11</v>
          </cell>
          <cell r="D650">
            <v>1766377</v>
          </cell>
          <cell r="E650" t="str">
            <v>신축이음장치</v>
          </cell>
          <cell r="I650">
            <v>0</v>
          </cell>
        </row>
        <row r="651">
          <cell r="A651" t="str">
            <v>D01313</v>
          </cell>
          <cell r="B651">
            <v>22</v>
          </cell>
          <cell r="C651" t="str">
            <v>a</v>
          </cell>
          <cell r="D651">
            <v>1766417</v>
          </cell>
          <cell r="E651" t="str">
            <v>신축이음장치</v>
          </cell>
          <cell r="F651" t="str">
            <v>(Rail-No100)</v>
          </cell>
          <cell r="G651" t="str">
            <v>M</v>
          </cell>
          <cell r="I651">
            <v>0</v>
          </cell>
        </row>
        <row r="652">
          <cell r="A652" t="str">
            <v>D00554</v>
          </cell>
          <cell r="B652">
            <v>22</v>
          </cell>
          <cell r="C652" t="str">
            <v>b</v>
          </cell>
          <cell r="D652">
            <v>1766505</v>
          </cell>
          <cell r="E652" t="str">
            <v>신축이음장치</v>
          </cell>
          <cell r="F652" t="str">
            <v>(Rail-No160)</v>
          </cell>
          <cell r="G652" t="str">
            <v>M</v>
          </cell>
          <cell r="I652">
            <v>0</v>
          </cell>
        </row>
        <row r="653">
          <cell r="A653" t="str">
            <v>E2</v>
          </cell>
          <cell r="B653">
            <v>0</v>
          </cell>
          <cell r="C653" t="str">
            <v>계</v>
          </cell>
          <cell r="D653">
            <v>1766549</v>
          </cell>
          <cell r="I653">
            <v>0</v>
          </cell>
        </row>
        <row r="654">
          <cell r="A654" t="str">
            <v>D00535</v>
          </cell>
          <cell r="B654">
            <v>1717</v>
          </cell>
          <cell r="C654" t="str">
            <v>3.12</v>
          </cell>
          <cell r="D654">
            <v>1766593</v>
          </cell>
          <cell r="E654" t="str">
            <v>교면방수</v>
          </cell>
          <cell r="F654" t="str">
            <v>(도막식)</v>
          </cell>
          <cell r="G654" t="str">
            <v>㎡</v>
          </cell>
          <cell r="I654">
            <v>0</v>
          </cell>
        </row>
        <row r="655">
          <cell r="A655" t="str">
            <v>T2</v>
          </cell>
          <cell r="B655">
            <v>659</v>
          </cell>
          <cell r="C655" t="str">
            <v>3.13</v>
          </cell>
          <cell r="D655">
            <v>1766657</v>
          </cell>
          <cell r="E655" t="str">
            <v>접속슬래브 접합공</v>
          </cell>
          <cell r="I655">
            <v>0</v>
          </cell>
        </row>
        <row r="656">
          <cell r="A656" t="str">
            <v>D01067</v>
          </cell>
          <cell r="B656">
            <v>104</v>
          </cell>
          <cell r="C656" t="str">
            <v>a</v>
          </cell>
          <cell r="D656">
            <v>1766689</v>
          </cell>
          <cell r="E656" t="str">
            <v>다웰바 설치</v>
          </cell>
          <cell r="F656" t="str">
            <v>(D=25 m/m, L=500)</v>
          </cell>
          <cell r="G656" t="str">
            <v>EA</v>
          </cell>
          <cell r="I656">
            <v>0</v>
          </cell>
        </row>
        <row r="657">
          <cell r="A657" t="str">
            <v>D01190</v>
          </cell>
          <cell r="B657">
            <v>31</v>
          </cell>
          <cell r="C657" t="str">
            <v>b</v>
          </cell>
          <cell r="D657">
            <v>1766721</v>
          </cell>
          <cell r="E657" t="str">
            <v>다웰-켑 설치</v>
          </cell>
          <cell r="F657" t="str">
            <v>(Φ60 m/m)</v>
          </cell>
          <cell r="G657" t="str">
            <v>M</v>
          </cell>
          <cell r="I657">
            <v>0</v>
          </cell>
        </row>
        <row r="658">
          <cell r="A658" t="str">
            <v>D00540</v>
          </cell>
          <cell r="B658">
            <v>104</v>
          </cell>
          <cell r="C658" t="str">
            <v>c</v>
          </cell>
          <cell r="D658">
            <v>1766723</v>
          </cell>
          <cell r="E658" t="str">
            <v>경질고무판</v>
          </cell>
          <cell r="F658" t="str">
            <v>(150x150)</v>
          </cell>
          <cell r="G658" t="str">
            <v>EA</v>
          </cell>
          <cell r="I658">
            <v>0</v>
          </cell>
        </row>
        <row r="659">
          <cell r="A659" t="str">
            <v>D00566</v>
          </cell>
          <cell r="B659">
            <v>18</v>
          </cell>
          <cell r="C659" t="str">
            <v>d</v>
          </cell>
          <cell r="D659">
            <v>1766724</v>
          </cell>
          <cell r="E659" t="str">
            <v>타르페이퍼 설치</v>
          </cell>
          <cell r="F659" t="str">
            <v>(5 겹)</v>
          </cell>
          <cell r="G659" t="str">
            <v>㎡</v>
          </cell>
          <cell r="I659">
            <v>0</v>
          </cell>
        </row>
        <row r="660">
          <cell r="A660" t="str">
            <v>E2</v>
          </cell>
          <cell r="B660">
            <v>0</v>
          </cell>
          <cell r="C660" t="str">
            <v>계</v>
          </cell>
          <cell r="D660">
            <v>1766756</v>
          </cell>
          <cell r="I660">
            <v>0</v>
          </cell>
        </row>
        <row r="661">
          <cell r="A661" t="str">
            <v>T2</v>
          </cell>
          <cell r="B661">
            <v>663</v>
          </cell>
          <cell r="C661" t="str">
            <v>3.14</v>
          </cell>
          <cell r="D661">
            <v>1766789</v>
          </cell>
          <cell r="E661" t="str">
            <v>무수축 콘크리트</v>
          </cell>
          <cell r="I661">
            <v>0</v>
          </cell>
        </row>
        <row r="662">
          <cell r="A662" t="str">
            <v>D00567</v>
          </cell>
          <cell r="B662">
            <v>2.8439999999999999</v>
          </cell>
          <cell r="C662" t="str">
            <v>a</v>
          </cell>
          <cell r="D662">
            <v>1766805</v>
          </cell>
          <cell r="E662" t="str">
            <v>무수축몰탈</v>
          </cell>
          <cell r="F662" t="str">
            <v>(1:1)</v>
          </cell>
          <cell r="G662" t="str">
            <v>㎥</v>
          </cell>
          <cell r="I662">
            <v>0</v>
          </cell>
        </row>
        <row r="663">
          <cell r="A663" t="str">
            <v>D00568</v>
          </cell>
          <cell r="B663">
            <v>10.54</v>
          </cell>
          <cell r="C663" t="str">
            <v>b</v>
          </cell>
          <cell r="D663">
            <v>1766813</v>
          </cell>
          <cell r="E663" t="str">
            <v>무수축콘크리트</v>
          </cell>
          <cell r="G663" t="str">
            <v>㎥</v>
          </cell>
          <cell r="I663">
            <v>0</v>
          </cell>
        </row>
        <row r="664">
          <cell r="A664" t="str">
            <v>E2</v>
          </cell>
          <cell r="B664">
            <v>0</v>
          </cell>
          <cell r="C664" t="str">
            <v>계</v>
          </cell>
          <cell r="D664">
            <v>1766817</v>
          </cell>
          <cell r="I664">
            <v>0</v>
          </cell>
        </row>
        <row r="665">
          <cell r="A665" t="str">
            <v>T2</v>
          </cell>
          <cell r="B665">
            <v>667</v>
          </cell>
          <cell r="C665" t="str">
            <v>3.15</v>
          </cell>
          <cell r="D665">
            <v>1766819</v>
          </cell>
          <cell r="E665" t="str">
            <v>스치로폴 설치</v>
          </cell>
          <cell r="I665">
            <v>0</v>
          </cell>
        </row>
        <row r="666">
          <cell r="A666" t="str">
            <v>D00853</v>
          </cell>
          <cell r="B666">
            <v>9</v>
          </cell>
          <cell r="C666" t="str">
            <v>a</v>
          </cell>
          <cell r="D666">
            <v>1767077</v>
          </cell>
          <cell r="E666" t="str">
            <v>스치로폴설치</v>
          </cell>
          <cell r="F666" t="str">
            <v>(T=10 m/m)</v>
          </cell>
          <cell r="G666" t="str">
            <v>㎡</v>
          </cell>
          <cell r="I666">
            <v>0</v>
          </cell>
        </row>
        <row r="667">
          <cell r="A667" t="str">
            <v>D00532</v>
          </cell>
          <cell r="B667">
            <v>83</v>
          </cell>
          <cell r="C667" t="str">
            <v>b</v>
          </cell>
          <cell r="D667">
            <v>1767205</v>
          </cell>
          <cell r="E667" t="str">
            <v>스치로폴설치</v>
          </cell>
          <cell r="F667" t="str">
            <v>(T=20 m/m)</v>
          </cell>
          <cell r="G667" t="str">
            <v>㎡</v>
          </cell>
          <cell r="I667">
            <v>0</v>
          </cell>
        </row>
        <row r="668">
          <cell r="A668" t="str">
            <v>E2</v>
          </cell>
          <cell r="B668">
            <v>0</v>
          </cell>
          <cell r="C668" t="str">
            <v>계</v>
          </cell>
          <cell r="D668">
            <v>1767206</v>
          </cell>
          <cell r="I668">
            <v>0</v>
          </cell>
        </row>
        <row r="669">
          <cell r="A669" t="str">
            <v>T2</v>
          </cell>
          <cell r="B669">
            <v>674</v>
          </cell>
          <cell r="C669" t="str">
            <v>3.16</v>
          </cell>
          <cell r="D669">
            <v>1767333</v>
          </cell>
          <cell r="E669" t="str">
            <v>배수시설</v>
          </cell>
          <cell r="I669">
            <v>0</v>
          </cell>
        </row>
        <row r="670">
          <cell r="A670" t="str">
            <v>D00572</v>
          </cell>
          <cell r="B670">
            <v>8</v>
          </cell>
          <cell r="C670" t="str">
            <v>a</v>
          </cell>
          <cell r="D670">
            <v>1767334</v>
          </cell>
          <cell r="E670" t="str">
            <v>집 수 구</v>
          </cell>
          <cell r="G670" t="str">
            <v>EA</v>
          </cell>
          <cell r="I670">
            <v>0</v>
          </cell>
        </row>
        <row r="671">
          <cell r="A671" t="str">
            <v>D00573</v>
          </cell>
          <cell r="B671">
            <v>36</v>
          </cell>
          <cell r="C671" t="str">
            <v>b</v>
          </cell>
          <cell r="D671">
            <v>1767335</v>
          </cell>
          <cell r="E671" t="str">
            <v>배 수 구</v>
          </cell>
          <cell r="F671" t="str">
            <v>(스테인레스관)</v>
          </cell>
          <cell r="G671" t="str">
            <v>M</v>
          </cell>
          <cell r="I671">
            <v>0</v>
          </cell>
        </row>
        <row r="672">
          <cell r="A672" t="str">
            <v>D00574</v>
          </cell>
          <cell r="B672">
            <v>40</v>
          </cell>
          <cell r="C672" t="str">
            <v>c</v>
          </cell>
          <cell r="D672">
            <v>1767399</v>
          </cell>
          <cell r="E672" t="str">
            <v>부착시설(A)</v>
          </cell>
          <cell r="G672" t="str">
            <v>EA</v>
          </cell>
          <cell r="I672">
            <v>0</v>
          </cell>
        </row>
        <row r="673">
          <cell r="A673" t="str">
            <v>D00577</v>
          </cell>
          <cell r="B673">
            <v>45</v>
          </cell>
          <cell r="C673" t="str">
            <v>d</v>
          </cell>
          <cell r="D673">
            <v>1767431</v>
          </cell>
          <cell r="E673" t="str">
            <v>도 수 로</v>
          </cell>
          <cell r="G673" t="str">
            <v>M</v>
          </cell>
          <cell r="I673">
            <v>0</v>
          </cell>
        </row>
        <row r="674">
          <cell r="A674" t="str">
            <v>D03867</v>
          </cell>
          <cell r="B674">
            <v>4</v>
          </cell>
          <cell r="C674" t="str">
            <v>e</v>
          </cell>
          <cell r="D674">
            <v>1767439</v>
          </cell>
          <cell r="E674" t="str">
            <v>집 수 정</v>
          </cell>
          <cell r="G674" t="str">
            <v>EA</v>
          </cell>
          <cell r="I674">
            <v>0</v>
          </cell>
        </row>
        <row r="675">
          <cell r="A675" t="str">
            <v>E2</v>
          </cell>
          <cell r="B675">
            <v>0</v>
          </cell>
          <cell r="C675" t="str">
            <v>계</v>
          </cell>
          <cell r="D675">
            <v>1767447</v>
          </cell>
          <cell r="I675">
            <v>0</v>
          </cell>
        </row>
        <row r="676">
          <cell r="A676" t="str">
            <v>T2</v>
          </cell>
          <cell r="B676">
            <v>678</v>
          </cell>
          <cell r="C676" t="str">
            <v>3.17</v>
          </cell>
          <cell r="D676">
            <v>1767463</v>
          </cell>
          <cell r="E676" t="str">
            <v>스페이서설치</v>
          </cell>
          <cell r="I676">
            <v>0</v>
          </cell>
        </row>
        <row r="677">
          <cell r="A677" t="str">
            <v>D00588</v>
          </cell>
          <cell r="B677">
            <v>2768</v>
          </cell>
          <cell r="C677" t="str">
            <v>a</v>
          </cell>
          <cell r="D677">
            <v>1767479</v>
          </cell>
          <cell r="E677" t="str">
            <v>스페이서 설치</v>
          </cell>
          <cell r="F677" t="str">
            <v>(슬라브및기초용)</v>
          </cell>
          <cell r="G677" t="str">
            <v>㎡</v>
          </cell>
          <cell r="I677">
            <v>0</v>
          </cell>
        </row>
        <row r="678">
          <cell r="A678" t="str">
            <v>D01070</v>
          </cell>
          <cell r="B678">
            <v>257</v>
          </cell>
          <cell r="C678" t="str">
            <v>b</v>
          </cell>
          <cell r="D678">
            <v>1767487</v>
          </cell>
          <cell r="E678" t="str">
            <v>스페이서 설치</v>
          </cell>
          <cell r="F678" t="str">
            <v>(벽체용)</v>
          </cell>
          <cell r="G678" t="str">
            <v>㎡</v>
          </cell>
          <cell r="I678">
            <v>0</v>
          </cell>
        </row>
        <row r="679">
          <cell r="A679" t="str">
            <v>E2</v>
          </cell>
          <cell r="B679">
            <v>0</v>
          </cell>
          <cell r="C679" t="str">
            <v>계</v>
          </cell>
          <cell r="D679">
            <v>1767491</v>
          </cell>
          <cell r="I679">
            <v>0</v>
          </cell>
        </row>
        <row r="680">
          <cell r="A680" t="str">
            <v>T2</v>
          </cell>
          <cell r="B680">
            <v>683</v>
          </cell>
          <cell r="C680" t="str">
            <v>3.18</v>
          </cell>
          <cell r="D680">
            <v>1767509</v>
          </cell>
          <cell r="E680" t="str">
            <v>교명판 설명판</v>
          </cell>
          <cell r="I680">
            <v>0</v>
          </cell>
        </row>
        <row r="681">
          <cell r="A681" t="str">
            <v>D00581</v>
          </cell>
          <cell r="B681">
            <v>4</v>
          </cell>
          <cell r="C681" t="str">
            <v>a</v>
          </cell>
          <cell r="D681">
            <v>1767510</v>
          </cell>
          <cell r="E681" t="str">
            <v>교 명 주</v>
          </cell>
          <cell r="F681" t="str">
            <v>(소형,화강석)</v>
          </cell>
          <cell r="G681" t="str">
            <v>기</v>
          </cell>
          <cell r="I681">
            <v>0</v>
          </cell>
        </row>
        <row r="682">
          <cell r="A682" t="str">
            <v>D00583</v>
          </cell>
          <cell r="B682">
            <v>2</v>
          </cell>
          <cell r="C682" t="str">
            <v>b</v>
          </cell>
          <cell r="D682">
            <v>1767511</v>
          </cell>
          <cell r="E682" t="str">
            <v>교 명 판(황동주물)</v>
          </cell>
          <cell r="F682" t="str">
            <v>(450x200x10)</v>
          </cell>
          <cell r="G682" t="str">
            <v>EA</v>
          </cell>
          <cell r="I682">
            <v>0</v>
          </cell>
        </row>
        <row r="683">
          <cell r="A683" t="str">
            <v>D00584</v>
          </cell>
          <cell r="B683">
            <v>2</v>
          </cell>
          <cell r="C683" t="str">
            <v>c</v>
          </cell>
          <cell r="D683">
            <v>1767575</v>
          </cell>
          <cell r="E683" t="str">
            <v>설 명 판(황동주물)</v>
          </cell>
          <cell r="F683" t="str">
            <v>(500x300x10)</v>
          </cell>
          <cell r="G683" t="str">
            <v>EA</v>
          </cell>
          <cell r="I683">
            <v>0</v>
          </cell>
        </row>
        <row r="684">
          <cell r="A684" t="str">
            <v>E2</v>
          </cell>
          <cell r="B684">
            <v>0</v>
          </cell>
          <cell r="C684" t="str">
            <v>계</v>
          </cell>
          <cell r="D684">
            <v>1767607</v>
          </cell>
          <cell r="I684">
            <v>0</v>
          </cell>
        </row>
        <row r="685">
          <cell r="A685" t="str">
            <v>D00594</v>
          </cell>
          <cell r="B685">
            <v>2</v>
          </cell>
          <cell r="C685" t="str">
            <v>3.19</v>
          </cell>
          <cell r="D685">
            <v>1767615</v>
          </cell>
          <cell r="E685" t="str">
            <v>측량기준점 설치</v>
          </cell>
          <cell r="F685" t="str">
            <v>(황동주물)</v>
          </cell>
          <cell r="G685" t="str">
            <v>EA</v>
          </cell>
          <cell r="I685">
            <v>0</v>
          </cell>
        </row>
        <row r="686">
          <cell r="A686" t="str">
            <v>T2</v>
          </cell>
          <cell r="B686">
            <v>688</v>
          </cell>
          <cell r="C686" t="str">
            <v>3.20</v>
          </cell>
          <cell r="D686">
            <v>1767743</v>
          </cell>
          <cell r="E686" t="str">
            <v>충 진 재</v>
          </cell>
          <cell r="I686">
            <v>0</v>
          </cell>
        </row>
        <row r="687">
          <cell r="A687" t="str">
            <v>D00846</v>
          </cell>
          <cell r="B687">
            <v>90</v>
          </cell>
          <cell r="C687" t="str">
            <v>a</v>
          </cell>
          <cell r="D687">
            <v>1767811</v>
          </cell>
          <cell r="E687" t="str">
            <v>폴리우레탄실란트채움</v>
          </cell>
          <cell r="F687" t="str">
            <v>(25x20)</v>
          </cell>
          <cell r="G687" t="str">
            <v>M</v>
          </cell>
          <cell r="I687">
            <v>0</v>
          </cell>
        </row>
        <row r="688">
          <cell r="A688" t="str">
            <v>D01224</v>
          </cell>
          <cell r="B688">
            <v>57</v>
          </cell>
          <cell r="C688" t="str">
            <v>b</v>
          </cell>
          <cell r="D688">
            <v>1767815</v>
          </cell>
          <cell r="E688" t="str">
            <v>폴리우레탄실란트채움</v>
          </cell>
          <cell r="F688" t="str">
            <v>(25x10)</v>
          </cell>
          <cell r="G688" t="str">
            <v>M</v>
          </cell>
          <cell r="I688">
            <v>0</v>
          </cell>
        </row>
        <row r="689">
          <cell r="A689" t="str">
            <v>E2</v>
          </cell>
          <cell r="B689">
            <v>0</v>
          </cell>
          <cell r="C689" t="str">
            <v>계</v>
          </cell>
          <cell r="D689">
            <v>1767817</v>
          </cell>
          <cell r="I689">
            <v>0</v>
          </cell>
        </row>
        <row r="690">
          <cell r="A690" t="str">
            <v>D01308</v>
          </cell>
          <cell r="B690">
            <v>775</v>
          </cell>
          <cell r="C690" t="str">
            <v>3.21</v>
          </cell>
          <cell r="D690">
            <v>1768257</v>
          </cell>
          <cell r="E690" t="str">
            <v>강섬유보강재</v>
          </cell>
          <cell r="F690" t="str">
            <v>(900 g/㎥)</v>
          </cell>
          <cell r="G690" t="str">
            <v>㎥</v>
          </cell>
          <cell r="I690">
            <v>0</v>
          </cell>
        </row>
        <row r="691">
          <cell r="A691" t="str">
            <v>D01309</v>
          </cell>
          <cell r="B691">
            <v>40</v>
          </cell>
          <cell r="C691" t="str">
            <v>3.22</v>
          </cell>
          <cell r="D691">
            <v>1768753</v>
          </cell>
          <cell r="E691" t="str">
            <v>모래주머니</v>
          </cell>
          <cell r="G691" t="str">
            <v>EA</v>
          </cell>
          <cell r="I691">
            <v>0</v>
          </cell>
        </row>
        <row r="692">
          <cell r="A692" t="str">
            <v>D00911</v>
          </cell>
          <cell r="B692">
            <v>100</v>
          </cell>
          <cell r="C692" t="str">
            <v>3.23</v>
          </cell>
          <cell r="D692">
            <v>1921750</v>
          </cell>
          <cell r="E692" t="str">
            <v>방 호 벽</v>
          </cell>
          <cell r="F692" t="str">
            <v>(육교용)</v>
          </cell>
          <cell r="G692" t="str">
            <v>M</v>
          </cell>
          <cell r="I692">
            <v>0</v>
          </cell>
        </row>
        <row r="693">
          <cell r="A693" t="str">
            <v>D00791</v>
          </cell>
          <cell r="B693">
            <v>60</v>
          </cell>
          <cell r="C693" t="str">
            <v>3.24</v>
          </cell>
          <cell r="D693">
            <v>1998248</v>
          </cell>
          <cell r="E693" t="str">
            <v>교좌장치표지판</v>
          </cell>
          <cell r="G693" t="str">
            <v>EA</v>
          </cell>
          <cell r="I693">
            <v>0</v>
          </cell>
        </row>
        <row r="694">
          <cell r="A694" t="str">
            <v>D00817</v>
          </cell>
          <cell r="B694">
            <v>0.104</v>
          </cell>
          <cell r="C694" t="str">
            <v>3.25</v>
          </cell>
          <cell r="D694">
            <v>2036497</v>
          </cell>
          <cell r="E694" t="str">
            <v>아스팔트 채움</v>
          </cell>
          <cell r="F694" t="str">
            <v>(브론아스팔트)</v>
          </cell>
          <cell r="G694" t="str">
            <v>㎥</v>
          </cell>
          <cell r="I694">
            <v>0</v>
          </cell>
        </row>
        <row r="695">
          <cell r="A695" t="str">
            <v>D01064</v>
          </cell>
          <cell r="B695">
            <v>90</v>
          </cell>
          <cell r="C695" t="str">
            <v>3.26</v>
          </cell>
          <cell r="D695">
            <v>2055622</v>
          </cell>
          <cell r="E695" t="str">
            <v>중앙분리대</v>
          </cell>
          <cell r="G695" t="str">
            <v>M</v>
          </cell>
          <cell r="I695">
            <v>0</v>
          </cell>
        </row>
        <row r="696">
          <cell r="A696" t="str">
            <v>D03817</v>
          </cell>
          <cell r="B696">
            <v>38</v>
          </cell>
          <cell r="C696" t="str">
            <v>3.27</v>
          </cell>
          <cell r="D696">
            <v>2065184</v>
          </cell>
          <cell r="E696" t="str">
            <v>ELASTIC FILLER</v>
          </cell>
          <cell r="F696" t="str">
            <v>(T=20 m/m)</v>
          </cell>
          <cell r="G696" t="str">
            <v>㎡</v>
          </cell>
          <cell r="I696">
            <v>0</v>
          </cell>
        </row>
        <row r="697">
          <cell r="A697" t="str">
            <v>D01333</v>
          </cell>
          <cell r="B697">
            <v>100</v>
          </cell>
          <cell r="C697" t="str">
            <v>3.28</v>
          </cell>
          <cell r="D697">
            <v>2069965</v>
          </cell>
          <cell r="E697" t="str">
            <v>방음벽 기초</v>
          </cell>
          <cell r="G697" t="str">
            <v>M</v>
          </cell>
          <cell r="I697">
            <v>0</v>
          </cell>
        </row>
        <row r="698">
          <cell r="A698" t="str">
            <v>D00593</v>
          </cell>
          <cell r="B698">
            <v>506</v>
          </cell>
          <cell r="C698" t="str">
            <v>3.29</v>
          </cell>
          <cell r="D698">
            <v>2072356</v>
          </cell>
          <cell r="E698" t="str">
            <v>낙하물방지망</v>
          </cell>
          <cell r="G698" t="str">
            <v>㎡</v>
          </cell>
          <cell r="I698">
            <v>0</v>
          </cell>
        </row>
        <row r="699">
          <cell r="A699" t="str">
            <v>D00434</v>
          </cell>
          <cell r="B699">
            <v>555</v>
          </cell>
          <cell r="C699" t="str">
            <v>3.30</v>
          </cell>
          <cell r="D699">
            <v>2073551</v>
          </cell>
          <cell r="E699" t="str">
            <v>법면보호블럭</v>
          </cell>
          <cell r="F699" t="str">
            <v>(400x400x120)육교용</v>
          </cell>
          <cell r="G699" t="str">
            <v>㎡</v>
          </cell>
          <cell r="I699">
            <v>0</v>
          </cell>
        </row>
        <row r="700">
          <cell r="A700" t="str">
            <v>D00844</v>
          </cell>
          <cell r="B700">
            <v>59</v>
          </cell>
          <cell r="C700" t="str">
            <v>3.31</v>
          </cell>
          <cell r="D700">
            <v>2074149</v>
          </cell>
          <cell r="E700" t="str">
            <v>법면보호블럭</v>
          </cell>
          <cell r="F700" t="str">
            <v>(기초)</v>
          </cell>
          <cell r="G700" t="str">
            <v>M</v>
          </cell>
          <cell r="I700">
            <v>0</v>
          </cell>
        </row>
        <row r="701">
          <cell r="A701" t="str">
            <v>D03859</v>
          </cell>
          <cell r="B701">
            <v>1</v>
          </cell>
          <cell r="C701" t="str">
            <v>3.32</v>
          </cell>
          <cell r="D701">
            <v>2074448</v>
          </cell>
          <cell r="E701" t="str">
            <v>천공장비조립및해체</v>
          </cell>
          <cell r="G701" t="str">
            <v>회</v>
          </cell>
          <cell r="I701">
            <v>0</v>
          </cell>
        </row>
        <row r="702">
          <cell r="A702" t="str">
            <v>T2</v>
          </cell>
          <cell r="B702">
            <v>704</v>
          </cell>
          <cell r="C702" t="str">
            <v>3.33</v>
          </cell>
          <cell r="D702">
            <v>2074597</v>
          </cell>
          <cell r="E702" t="str">
            <v>파일재하시험</v>
          </cell>
          <cell r="I702">
            <v>0</v>
          </cell>
        </row>
        <row r="703">
          <cell r="A703" t="str">
            <v>D03869</v>
          </cell>
          <cell r="B703">
            <v>1</v>
          </cell>
          <cell r="C703" t="str">
            <v>a</v>
          </cell>
          <cell r="D703">
            <v>2074672</v>
          </cell>
          <cell r="E703" t="str">
            <v>파일재하시험</v>
          </cell>
          <cell r="F703" t="str">
            <v>(정재하시험)</v>
          </cell>
          <cell r="G703" t="str">
            <v>개소</v>
          </cell>
          <cell r="I703">
            <v>0</v>
          </cell>
        </row>
        <row r="704">
          <cell r="A704" t="str">
            <v>D03870</v>
          </cell>
          <cell r="B704">
            <v>7</v>
          </cell>
          <cell r="C704" t="str">
            <v>b</v>
          </cell>
          <cell r="D704">
            <v>2074800</v>
          </cell>
          <cell r="E704" t="str">
            <v>파일재하시험</v>
          </cell>
          <cell r="F704" t="str">
            <v>(동재하시험)</v>
          </cell>
          <cell r="G704" t="str">
            <v>개소</v>
          </cell>
          <cell r="I704">
            <v>0</v>
          </cell>
        </row>
        <row r="705">
          <cell r="A705" t="str">
            <v>E2</v>
          </cell>
          <cell r="B705">
            <v>0</v>
          </cell>
          <cell r="C705" t="str">
            <v>계</v>
          </cell>
          <cell r="D705">
            <v>2074901</v>
          </cell>
          <cell r="I705">
            <v>0</v>
          </cell>
        </row>
        <row r="706">
          <cell r="A706" t="str">
            <v>E3</v>
          </cell>
          <cell r="B706">
            <v>0</v>
          </cell>
          <cell r="C706" t="str">
            <v>합계</v>
          </cell>
          <cell r="D706">
            <v>2075002</v>
          </cell>
          <cell r="I706">
            <v>0</v>
          </cell>
        </row>
        <row r="707">
          <cell r="A707" t="str">
            <v>T3</v>
          </cell>
          <cell r="B707">
            <v>802</v>
          </cell>
          <cell r="C707" t="str">
            <v>3.E</v>
          </cell>
          <cell r="D707">
            <v>2075130</v>
          </cell>
          <cell r="E707" t="str">
            <v>학  계   2  교</v>
          </cell>
          <cell r="F707" t="str">
            <v>P.S.C BEAM</v>
          </cell>
          <cell r="I707">
            <v>0</v>
          </cell>
        </row>
        <row r="708">
          <cell r="A708" t="str">
            <v>T2</v>
          </cell>
          <cell r="B708">
            <v>713</v>
          </cell>
          <cell r="C708" t="str">
            <v>3.01</v>
          </cell>
          <cell r="D708">
            <v>2075258</v>
          </cell>
          <cell r="E708" t="str">
            <v>토          공</v>
          </cell>
          <cell r="I708">
            <v>0</v>
          </cell>
        </row>
        <row r="709">
          <cell r="A709" t="str">
            <v>D00096</v>
          </cell>
          <cell r="B709">
            <v>519</v>
          </cell>
          <cell r="C709" t="str">
            <v>a</v>
          </cell>
          <cell r="D709">
            <v>2228555</v>
          </cell>
          <cell r="E709" t="str">
            <v>구조물터파기</v>
          </cell>
          <cell r="F709" t="str">
            <v>(육상토사 0∼2 M)</v>
          </cell>
          <cell r="G709" t="str">
            <v>㎥</v>
          </cell>
          <cell r="I709">
            <v>0</v>
          </cell>
        </row>
        <row r="710">
          <cell r="A710" t="str">
            <v>D00134</v>
          </cell>
          <cell r="B710">
            <v>469</v>
          </cell>
          <cell r="C710" t="str">
            <v>b</v>
          </cell>
          <cell r="D710">
            <v>2228891</v>
          </cell>
          <cell r="E710" t="str">
            <v>구조물터파기</v>
          </cell>
          <cell r="F710" t="str">
            <v>(육상리핑암 1∼2 M)</v>
          </cell>
          <cell r="G710" t="str">
            <v>㎥</v>
          </cell>
          <cell r="I710">
            <v>0</v>
          </cell>
        </row>
        <row r="711">
          <cell r="A711" t="str">
            <v>D00160</v>
          </cell>
          <cell r="B711">
            <v>353</v>
          </cell>
          <cell r="C711" t="str">
            <v>c</v>
          </cell>
          <cell r="D711">
            <v>2229227</v>
          </cell>
          <cell r="E711" t="str">
            <v>되메우기및다짐</v>
          </cell>
          <cell r="F711" t="str">
            <v>(인력30%+백호우70%)</v>
          </cell>
          <cell r="G711" t="str">
            <v>㎥</v>
          </cell>
          <cell r="I711">
            <v>0</v>
          </cell>
        </row>
        <row r="712">
          <cell r="A712" t="str">
            <v>D00170</v>
          </cell>
          <cell r="B712">
            <v>1105</v>
          </cell>
          <cell r="C712" t="str">
            <v>d</v>
          </cell>
          <cell r="D712">
            <v>2229347</v>
          </cell>
          <cell r="E712" t="str">
            <v>뒷채움잡석</v>
          </cell>
          <cell r="F712" t="str">
            <v>(현장암유용)</v>
          </cell>
          <cell r="G712" t="str">
            <v>㎥</v>
          </cell>
          <cell r="I712">
            <v>0</v>
          </cell>
        </row>
        <row r="713">
          <cell r="A713" t="str">
            <v>D00150</v>
          </cell>
          <cell r="B713">
            <v>2297</v>
          </cell>
          <cell r="C713" t="str">
            <v>e</v>
          </cell>
          <cell r="D713">
            <v>2229407</v>
          </cell>
          <cell r="E713" t="str">
            <v>교대앞성토</v>
          </cell>
          <cell r="G713" t="str">
            <v>㎥</v>
          </cell>
          <cell r="I713">
            <v>0</v>
          </cell>
        </row>
        <row r="714">
          <cell r="A714" t="str">
            <v>E2</v>
          </cell>
          <cell r="B714">
            <v>0</v>
          </cell>
          <cell r="C714" t="str">
            <v>계</v>
          </cell>
          <cell r="D714">
            <v>2229467</v>
          </cell>
          <cell r="I714">
            <v>0</v>
          </cell>
        </row>
        <row r="715">
          <cell r="A715" t="str">
            <v>T2</v>
          </cell>
          <cell r="B715">
            <v>721</v>
          </cell>
          <cell r="C715" t="str">
            <v>3.02</v>
          </cell>
          <cell r="D715">
            <v>2230566</v>
          </cell>
          <cell r="E715" t="str">
            <v>거 푸 집</v>
          </cell>
          <cell r="I715">
            <v>0</v>
          </cell>
        </row>
        <row r="716">
          <cell r="A716" t="str">
            <v>D00276</v>
          </cell>
          <cell r="B716">
            <v>1352</v>
          </cell>
          <cell r="C716" t="str">
            <v>a</v>
          </cell>
          <cell r="D716">
            <v>2230567</v>
          </cell>
          <cell r="E716" t="str">
            <v>합판거푸집</v>
          </cell>
          <cell r="F716" t="str">
            <v>(3 회)</v>
          </cell>
          <cell r="G716" t="str">
            <v>㎡</v>
          </cell>
          <cell r="I716">
            <v>0</v>
          </cell>
        </row>
        <row r="717">
          <cell r="A717" t="str">
            <v>D00277</v>
          </cell>
          <cell r="B717">
            <v>225</v>
          </cell>
          <cell r="C717" t="str">
            <v>b</v>
          </cell>
          <cell r="D717">
            <v>2230599</v>
          </cell>
          <cell r="E717" t="str">
            <v>합판거푸집</v>
          </cell>
          <cell r="F717" t="str">
            <v>(3 회 7∼10 m)</v>
          </cell>
          <cell r="G717" t="str">
            <v>㎡</v>
          </cell>
          <cell r="I717">
            <v>0</v>
          </cell>
        </row>
        <row r="718">
          <cell r="A718" t="str">
            <v>D00280</v>
          </cell>
          <cell r="B718">
            <v>254</v>
          </cell>
          <cell r="C718" t="str">
            <v>c</v>
          </cell>
          <cell r="D718">
            <v>2230631</v>
          </cell>
          <cell r="E718" t="str">
            <v>합판거푸집</v>
          </cell>
          <cell r="F718" t="str">
            <v>(4 회)</v>
          </cell>
          <cell r="G718" t="str">
            <v>㎡</v>
          </cell>
          <cell r="I718">
            <v>0</v>
          </cell>
        </row>
        <row r="719">
          <cell r="A719" t="str">
            <v>D00282</v>
          </cell>
          <cell r="B719">
            <v>560</v>
          </cell>
          <cell r="C719" t="str">
            <v>d</v>
          </cell>
          <cell r="D719">
            <v>2230663</v>
          </cell>
          <cell r="E719" t="str">
            <v>합판거푸집</v>
          </cell>
          <cell r="F719" t="str">
            <v>(6 회)</v>
          </cell>
          <cell r="G719" t="str">
            <v>㎡</v>
          </cell>
          <cell r="I719">
            <v>0</v>
          </cell>
        </row>
        <row r="720">
          <cell r="A720" t="str">
            <v>D00265</v>
          </cell>
          <cell r="B720">
            <v>528</v>
          </cell>
          <cell r="C720" t="str">
            <v>e</v>
          </cell>
          <cell r="D720">
            <v>2230671</v>
          </cell>
          <cell r="E720" t="str">
            <v>문양거푸집(합판4회+</v>
          </cell>
          <cell r="F720" t="str">
            <v>문양스치로폴(0∼7M)</v>
          </cell>
          <cell r="G720" t="str">
            <v>㎡</v>
          </cell>
          <cell r="I720">
            <v>0</v>
          </cell>
        </row>
        <row r="721">
          <cell r="A721" t="str">
            <v>D01111</v>
          </cell>
          <cell r="B721">
            <v>35</v>
          </cell>
          <cell r="C721" t="str">
            <v>f</v>
          </cell>
          <cell r="D721">
            <v>2230675</v>
          </cell>
          <cell r="E721" t="str">
            <v>문양거푸집(합판4회+</v>
          </cell>
          <cell r="F721" t="str">
            <v>문양스치로폴(7∼10M)</v>
          </cell>
          <cell r="G721" t="str">
            <v>㎡</v>
          </cell>
          <cell r="I721">
            <v>0</v>
          </cell>
        </row>
        <row r="722">
          <cell r="A722" t="str">
            <v>E2</v>
          </cell>
          <cell r="B722">
            <v>0</v>
          </cell>
          <cell r="C722" t="str">
            <v>계</v>
          </cell>
          <cell r="D722">
            <v>2230679</v>
          </cell>
          <cell r="I722">
            <v>0</v>
          </cell>
        </row>
        <row r="723">
          <cell r="A723" t="str">
            <v>D00323</v>
          </cell>
          <cell r="B723">
            <v>1272</v>
          </cell>
          <cell r="C723" t="str">
            <v>3.03</v>
          </cell>
          <cell r="D723">
            <v>2230680</v>
          </cell>
          <cell r="E723" t="str">
            <v>강관비계</v>
          </cell>
          <cell r="F723" t="str">
            <v>(0∼30 M)</v>
          </cell>
          <cell r="G723" t="str">
            <v>㎡</v>
          </cell>
          <cell r="I723">
            <v>0</v>
          </cell>
        </row>
        <row r="724">
          <cell r="A724" t="str">
            <v>T2</v>
          </cell>
          <cell r="B724">
            <v>727</v>
          </cell>
          <cell r="C724" t="str">
            <v>3.04</v>
          </cell>
          <cell r="D724">
            <v>2230744</v>
          </cell>
          <cell r="E724" t="str">
            <v>동 바 리</v>
          </cell>
          <cell r="I724">
            <v>0</v>
          </cell>
        </row>
        <row r="725">
          <cell r="A725" t="str">
            <v>D00327</v>
          </cell>
          <cell r="B725">
            <v>769</v>
          </cell>
          <cell r="C725" t="str">
            <v>a</v>
          </cell>
          <cell r="D725">
            <v>2230776</v>
          </cell>
          <cell r="E725" t="str">
            <v>동바리공</v>
          </cell>
          <cell r="F725" t="str">
            <v>(목재 4 회)</v>
          </cell>
          <cell r="G725" t="str">
            <v>공㎥</v>
          </cell>
          <cell r="I725">
            <v>0</v>
          </cell>
        </row>
        <row r="726">
          <cell r="A726" t="str">
            <v>D00334</v>
          </cell>
          <cell r="B726">
            <v>284</v>
          </cell>
          <cell r="C726" t="str">
            <v>b</v>
          </cell>
          <cell r="D726">
            <v>2230800</v>
          </cell>
          <cell r="E726" t="str">
            <v>강관동바리</v>
          </cell>
          <cell r="F726" t="str">
            <v>(교량용)</v>
          </cell>
          <cell r="G726" t="str">
            <v>공㎥</v>
          </cell>
          <cell r="I726">
            <v>0</v>
          </cell>
        </row>
        <row r="727">
          <cell r="A727" t="str">
            <v>D01129</v>
          </cell>
          <cell r="B727">
            <v>69</v>
          </cell>
          <cell r="C727" t="str">
            <v>c</v>
          </cell>
          <cell r="D727">
            <v>2230804</v>
          </cell>
          <cell r="E727" t="str">
            <v>수평보강재(교량용)</v>
          </cell>
          <cell r="F727" t="str">
            <v>(강관동바리)</v>
          </cell>
          <cell r="G727" t="str">
            <v>㎡</v>
          </cell>
          <cell r="I727">
            <v>0</v>
          </cell>
        </row>
        <row r="728">
          <cell r="A728" t="str">
            <v>E2</v>
          </cell>
          <cell r="B728">
            <v>0</v>
          </cell>
          <cell r="C728" t="str">
            <v>계</v>
          </cell>
          <cell r="D728">
            <v>2230806</v>
          </cell>
          <cell r="I728">
            <v>0</v>
          </cell>
        </row>
        <row r="729">
          <cell r="A729" t="str">
            <v>T2</v>
          </cell>
          <cell r="B729">
            <v>731</v>
          </cell>
          <cell r="C729" t="str">
            <v>3.05</v>
          </cell>
          <cell r="D729">
            <v>2230928</v>
          </cell>
          <cell r="E729" t="str">
            <v>철근가공조립</v>
          </cell>
          <cell r="I729">
            <v>0</v>
          </cell>
        </row>
        <row r="730">
          <cell r="A730" t="str">
            <v>D00271</v>
          </cell>
          <cell r="B730">
            <v>19.88</v>
          </cell>
          <cell r="C730" t="str">
            <v>a</v>
          </cell>
          <cell r="D730">
            <v>2230930</v>
          </cell>
          <cell r="E730" t="str">
            <v>철근가공조립</v>
          </cell>
          <cell r="F730" t="str">
            <v>(보 통)</v>
          </cell>
          <cell r="G730" t="str">
            <v>Ton</v>
          </cell>
          <cell r="I730">
            <v>0</v>
          </cell>
        </row>
        <row r="731">
          <cell r="A731" t="str">
            <v>D00272</v>
          </cell>
          <cell r="B731">
            <v>240.196</v>
          </cell>
          <cell r="C731" t="str">
            <v>b</v>
          </cell>
          <cell r="D731">
            <v>2230932</v>
          </cell>
          <cell r="E731" t="str">
            <v>철근가공조립</v>
          </cell>
          <cell r="F731" t="str">
            <v>(복 잡)</v>
          </cell>
          <cell r="G731" t="str">
            <v>Ton</v>
          </cell>
          <cell r="I731">
            <v>0</v>
          </cell>
        </row>
        <row r="732">
          <cell r="A732" t="str">
            <v>E2</v>
          </cell>
          <cell r="B732">
            <v>0</v>
          </cell>
          <cell r="C732" t="str">
            <v>계</v>
          </cell>
          <cell r="D732">
            <v>2230935</v>
          </cell>
          <cell r="I732">
            <v>0</v>
          </cell>
        </row>
        <row r="733">
          <cell r="A733" t="str">
            <v>T2</v>
          </cell>
          <cell r="B733">
            <v>736</v>
          </cell>
          <cell r="C733" t="str">
            <v>3.06</v>
          </cell>
          <cell r="D733">
            <v>2230936</v>
          </cell>
          <cell r="E733" t="str">
            <v>콘크리트타설</v>
          </cell>
          <cell r="I733">
            <v>0</v>
          </cell>
        </row>
        <row r="734">
          <cell r="A734" t="str">
            <v>D00237</v>
          </cell>
          <cell r="B734">
            <v>1738</v>
          </cell>
          <cell r="C734" t="str">
            <v>a</v>
          </cell>
          <cell r="D734">
            <v>2231000</v>
          </cell>
          <cell r="E734" t="str">
            <v>콘크리트타설</v>
          </cell>
          <cell r="F734" t="str">
            <v>(철근 펌프카)</v>
          </cell>
          <cell r="G734" t="str">
            <v>㎥</v>
          </cell>
          <cell r="I734">
            <v>0</v>
          </cell>
        </row>
        <row r="735">
          <cell r="A735" t="str">
            <v>D00238</v>
          </cell>
          <cell r="B735">
            <v>1583</v>
          </cell>
          <cell r="C735" t="str">
            <v>b</v>
          </cell>
          <cell r="D735">
            <v>2231016</v>
          </cell>
          <cell r="E735" t="str">
            <v>콘크리트타설</v>
          </cell>
          <cell r="F735" t="str">
            <v>(무근 펌프카)</v>
          </cell>
          <cell r="G735" t="str">
            <v>㎥</v>
          </cell>
          <cell r="I735">
            <v>0</v>
          </cell>
        </row>
        <row r="736">
          <cell r="A736" t="str">
            <v>D00231</v>
          </cell>
          <cell r="B736">
            <v>25</v>
          </cell>
          <cell r="C736" t="str">
            <v>c</v>
          </cell>
          <cell r="D736">
            <v>2231032</v>
          </cell>
          <cell r="E736" t="str">
            <v>콘크리트타설</v>
          </cell>
          <cell r="F736" t="str">
            <v>(무근 VIB 제외)</v>
          </cell>
          <cell r="G736" t="str">
            <v>㎥</v>
          </cell>
          <cell r="I736">
            <v>0</v>
          </cell>
        </row>
        <row r="737">
          <cell r="A737" t="str">
            <v>E2</v>
          </cell>
          <cell r="B737">
            <v>0</v>
          </cell>
          <cell r="C737" t="str">
            <v>계</v>
          </cell>
          <cell r="D737">
            <v>2231064</v>
          </cell>
          <cell r="I737">
            <v>0</v>
          </cell>
        </row>
        <row r="738">
          <cell r="A738" t="str">
            <v>T2</v>
          </cell>
          <cell r="B738">
            <v>740</v>
          </cell>
          <cell r="C738" t="str">
            <v>3.07</v>
          </cell>
          <cell r="D738">
            <v>2231072</v>
          </cell>
          <cell r="E738" t="str">
            <v>표 면 처 리</v>
          </cell>
          <cell r="I738">
            <v>0</v>
          </cell>
        </row>
        <row r="739">
          <cell r="A739" t="str">
            <v>D00537</v>
          </cell>
          <cell r="B739">
            <v>638</v>
          </cell>
          <cell r="C739" t="str">
            <v>a</v>
          </cell>
          <cell r="D739">
            <v>2231076</v>
          </cell>
          <cell r="E739" t="str">
            <v>슬래브양생</v>
          </cell>
          <cell r="F739" t="str">
            <v>(양생제)</v>
          </cell>
          <cell r="G739" t="str">
            <v>㎡</v>
          </cell>
          <cell r="I739">
            <v>0</v>
          </cell>
        </row>
        <row r="740">
          <cell r="A740" t="str">
            <v>D00539</v>
          </cell>
          <cell r="B740">
            <v>577</v>
          </cell>
          <cell r="C740" t="str">
            <v>b</v>
          </cell>
          <cell r="D740">
            <v>2231078</v>
          </cell>
          <cell r="E740" t="str">
            <v>슬래브면고르기</v>
          </cell>
          <cell r="F740" t="str">
            <v>(데크 피니샤)</v>
          </cell>
          <cell r="G740" t="str">
            <v>㎡</v>
          </cell>
          <cell r="I740">
            <v>0</v>
          </cell>
        </row>
        <row r="741">
          <cell r="A741" t="str">
            <v>E2</v>
          </cell>
          <cell r="B741">
            <v>0</v>
          </cell>
          <cell r="C741" t="str">
            <v>계</v>
          </cell>
          <cell r="D741">
            <v>2231079</v>
          </cell>
          <cell r="I741">
            <v>0</v>
          </cell>
        </row>
        <row r="742">
          <cell r="A742" t="str">
            <v>T2</v>
          </cell>
          <cell r="B742">
            <v>746</v>
          </cell>
          <cell r="C742" t="str">
            <v>3.08</v>
          </cell>
          <cell r="D742">
            <v>2231207</v>
          </cell>
          <cell r="E742" t="str">
            <v>교좌장치</v>
          </cell>
          <cell r="I742">
            <v>0</v>
          </cell>
        </row>
        <row r="743">
          <cell r="A743" t="str">
            <v>D00545</v>
          </cell>
          <cell r="B743">
            <v>2</v>
          </cell>
          <cell r="C743" t="str">
            <v>a</v>
          </cell>
          <cell r="D743">
            <v>2231299</v>
          </cell>
          <cell r="E743" t="str">
            <v>교좌장치</v>
          </cell>
          <cell r="F743" t="str">
            <v>(고정단 135 Ton)</v>
          </cell>
          <cell r="G743" t="str">
            <v>EA</v>
          </cell>
          <cell r="I743">
            <v>0</v>
          </cell>
        </row>
        <row r="744">
          <cell r="A744" t="str">
            <v>D00549</v>
          </cell>
          <cell r="B744">
            <v>8</v>
          </cell>
          <cell r="C744" t="str">
            <v>b</v>
          </cell>
          <cell r="D744">
            <v>2231345</v>
          </cell>
          <cell r="E744" t="str">
            <v>교좌장치</v>
          </cell>
          <cell r="F744" t="str">
            <v>(횡방향가동단135Ton)</v>
          </cell>
          <cell r="G744" t="str">
            <v>EA</v>
          </cell>
          <cell r="I744">
            <v>0</v>
          </cell>
        </row>
        <row r="745">
          <cell r="A745" t="str">
            <v>D00548</v>
          </cell>
          <cell r="B745">
            <v>2</v>
          </cell>
          <cell r="C745" t="str">
            <v>c</v>
          </cell>
          <cell r="D745">
            <v>2231390</v>
          </cell>
          <cell r="E745" t="str">
            <v>교좌장치</v>
          </cell>
          <cell r="F745" t="str">
            <v>(종방향가동단135Ton)</v>
          </cell>
          <cell r="G745" t="str">
            <v>EA</v>
          </cell>
          <cell r="I745">
            <v>0</v>
          </cell>
        </row>
        <row r="746">
          <cell r="A746" t="str">
            <v>D00547</v>
          </cell>
          <cell r="B746">
            <v>8</v>
          </cell>
          <cell r="C746" t="str">
            <v>d</v>
          </cell>
          <cell r="D746">
            <v>2231392</v>
          </cell>
          <cell r="E746" t="str">
            <v>교좌장치</v>
          </cell>
          <cell r="F746" t="str">
            <v>(양방향가동단135Ton)</v>
          </cell>
          <cell r="G746" t="str">
            <v>EA</v>
          </cell>
          <cell r="I746">
            <v>0</v>
          </cell>
        </row>
        <row r="747">
          <cell r="A747" t="str">
            <v>E2</v>
          </cell>
          <cell r="B747">
            <v>0</v>
          </cell>
          <cell r="C747" t="str">
            <v>계</v>
          </cell>
          <cell r="D747">
            <v>2231393</v>
          </cell>
          <cell r="I747">
            <v>0</v>
          </cell>
        </row>
        <row r="748">
          <cell r="A748" t="str">
            <v>T2</v>
          </cell>
          <cell r="B748">
            <v>751</v>
          </cell>
          <cell r="C748" t="str">
            <v>3.09</v>
          </cell>
          <cell r="D748">
            <v>2231521</v>
          </cell>
          <cell r="E748" t="str">
            <v>P.S.C BEAM</v>
          </cell>
          <cell r="I748">
            <v>0</v>
          </cell>
        </row>
        <row r="749">
          <cell r="A749" t="str">
            <v>D00619</v>
          </cell>
          <cell r="B749">
            <v>10</v>
          </cell>
          <cell r="C749" t="str">
            <v>a</v>
          </cell>
          <cell r="D749">
            <v>2231585</v>
          </cell>
          <cell r="E749" t="str">
            <v>P.S.C BEAM 제작</v>
          </cell>
          <cell r="F749" t="str">
            <v>(L=30 M)</v>
          </cell>
          <cell r="G749" t="str">
            <v>본</v>
          </cell>
          <cell r="I749">
            <v>0</v>
          </cell>
        </row>
        <row r="750">
          <cell r="A750" t="str">
            <v>D00606</v>
          </cell>
          <cell r="B750">
            <v>10</v>
          </cell>
          <cell r="C750" t="str">
            <v>b</v>
          </cell>
          <cell r="D750">
            <v>2231649</v>
          </cell>
          <cell r="E750" t="str">
            <v>P.S.C 빔 운반및설치</v>
          </cell>
          <cell r="F750" t="str">
            <v>(L=30 M)</v>
          </cell>
          <cell r="G750" t="str">
            <v>EA</v>
          </cell>
          <cell r="I750">
            <v>0</v>
          </cell>
        </row>
        <row r="751">
          <cell r="A751" t="str">
            <v>D01130</v>
          </cell>
          <cell r="B751">
            <v>10</v>
          </cell>
          <cell r="C751" t="str">
            <v>c</v>
          </cell>
          <cell r="D751">
            <v>2231713</v>
          </cell>
          <cell r="E751" t="str">
            <v>P.S.C빔 전도방지시설</v>
          </cell>
          <cell r="G751" t="str">
            <v>본</v>
          </cell>
          <cell r="I751">
            <v>0</v>
          </cell>
        </row>
        <row r="752">
          <cell r="A752" t="str">
            <v>E2</v>
          </cell>
          <cell r="B752">
            <v>0</v>
          </cell>
          <cell r="C752" t="str">
            <v>계</v>
          </cell>
          <cell r="D752">
            <v>2231745</v>
          </cell>
          <cell r="I752">
            <v>0</v>
          </cell>
        </row>
        <row r="753">
          <cell r="A753" t="str">
            <v>T2</v>
          </cell>
          <cell r="B753">
            <v>755</v>
          </cell>
          <cell r="C753" t="str">
            <v>3.10</v>
          </cell>
          <cell r="D753">
            <v>2231809</v>
          </cell>
          <cell r="E753" t="str">
            <v>신축이음장치</v>
          </cell>
          <cell r="I753">
            <v>0</v>
          </cell>
        </row>
        <row r="754">
          <cell r="A754" t="str">
            <v>D03819</v>
          </cell>
          <cell r="B754">
            <v>22</v>
          </cell>
          <cell r="C754" t="str">
            <v>a</v>
          </cell>
          <cell r="D754">
            <v>2231825</v>
          </cell>
          <cell r="E754" t="str">
            <v>신축이음장치</v>
          </cell>
          <cell r="F754" t="str">
            <v>(Rail-No 80)</v>
          </cell>
          <cell r="G754" t="str">
            <v>M</v>
          </cell>
          <cell r="I754">
            <v>0</v>
          </cell>
        </row>
        <row r="755">
          <cell r="A755" t="str">
            <v>D01313</v>
          </cell>
          <cell r="B755">
            <v>22</v>
          </cell>
          <cell r="C755" t="str">
            <v>b</v>
          </cell>
          <cell r="D755">
            <v>2231841</v>
          </cell>
          <cell r="E755" t="str">
            <v>신축이음장치</v>
          </cell>
          <cell r="F755" t="str">
            <v>(Rail-No100)</v>
          </cell>
          <cell r="G755" t="str">
            <v>M</v>
          </cell>
          <cell r="I755">
            <v>0</v>
          </cell>
        </row>
        <row r="756">
          <cell r="A756" t="str">
            <v>E2</v>
          </cell>
          <cell r="B756">
            <v>0</v>
          </cell>
          <cell r="C756" t="str">
            <v>계</v>
          </cell>
          <cell r="D756">
            <v>2231873</v>
          </cell>
          <cell r="I756">
            <v>0</v>
          </cell>
        </row>
        <row r="757">
          <cell r="A757" t="str">
            <v>D00535</v>
          </cell>
          <cell r="B757">
            <v>577</v>
          </cell>
          <cell r="C757" t="str">
            <v>3.11</v>
          </cell>
          <cell r="D757">
            <v>2232001</v>
          </cell>
          <cell r="E757" t="str">
            <v>교면방수</v>
          </cell>
          <cell r="F757" t="str">
            <v>(도막식)</v>
          </cell>
          <cell r="G757" t="str">
            <v>㎡</v>
          </cell>
          <cell r="I757">
            <v>0</v>
          </cell>
        </row>
        <row r="758">
          <cell r="A758" t="str">
            <v>T2</v>
          </cell>
          <cell r="B758">
            <v>762</v>
          </cell>
          <cell r="C758" t="str">
            <v>3.12</v>
          </cell>
          <cell r="D758">
            <v>2232065</v>
          </cell>
          <cell r="E758" t="str">
            <v>접속슬래브 접합공</v>
          </cell>
          <cell r="I758">
            <v>0</v>
          </cell>
        </row>
        <row r="759">
          <cell r="A759" t="str">
            <v>D01067</v>
          </cell>
          <cell r="B759">
            <v>106</v>
          </cell>
          <cell r="C759" t="str">
            <v>a</v>
          </cell>
          <cell r="D759">
            <v>2232097</v>
          </cell>
          <cell r="E759" t="str">
            <v>다웰바 설치</v>
          </cell>
          <cell r="F759" t="str">
            <v>(D=25 m/m, L=500)</v>
          </cell>
          <cell r="G759" t="str">
            <v>EA</v>
          </cell>
          <cell r="I759">
            <v>0</v>
          </cell>
        </row>
        <row r="760">
          <cell r="A760" t="str">
            <v>D01190</v>
          </cell>
          <cell r="B760">
            <v>31</v>
          </cell>
          <cell r="C760" t="str">
            <v>b</v>
          </cell>
          <cell r="D760">
            <v>2232129</v>
          </cell>
          <cell r="E760" t="str">
            <v>다웰-켑 설치</v>
          </cell>
          <cell r="F760" t="str">
            <v>(Φ60 m/m)</v>
          </cell>
          <cell r="G760" t="str">
            <v>M</v>
          </cell>
          <cell r="I760">
            <v>0</v>
          </cell>
        </row>
        <row r="761">
          <cell r="A761" t="str">
            <v>D00540</v>
          </cell>
          <cell r="B761">
            <v>106</v>
          </cell>
          <cell r="C761" t="str">
            <v>c</v>
          </cell>
          <cell r="D761">
            <v>2232131</v>
          </cell>
          <cell r="E761" t="str">
            <v>경질고무판</v>
          </cell>
          <cell r="F761" t="str">
            <v>(150x150)</v>
          </cell>
          <cell r="G761" t="str">
            <v>EA</v>
          </cell>
          <cell r="I761">
            <v>0</v>
          </cell>
        </row>
        <row r="762">
          <cell r="A762" t="str">
            <v>D00566</v>
          </cell>
          <cell r="B762">
            <v>17</v>
          </cell>
          <cell r="C762" t="str">
            <v>d</v>
          </cell>
          <cell r="D762">
            <v>2232132</v>
          </cell>
          <cell r="E762" t="str">
            <v>타르페이퍼 설치</v>
          </cell>
          <cell r="F762" t="str">
            <v>(5 겹)</v>
          </cell>
          <cell r="G762" t="str">
            <v>㎡</v>
          </cell>
          <cell r="I762">
            <v>0</v>
          </cell>
        </row>
        <row r="763">
          <cell r="A763" t="str">
            <v>E2</v>
          </cell>
          <cell r="B763">
            <v>0</v>
          </cell>
          <cell r="C763" t="str">
            <v>계</v>
          </cell>
          <cell r="D763">
            <v>2232164</v>
          </cell>
          <cell r="I763">
            <v>0</v>
          </cell>
        </row>
        <row r="764">
          <cell r="A764" t="str">
            <v>T2</v>
          </cell>
          <cell r="B764">
            <v>766</v>
          </cell>
          <cell r="C764" t="str">
            <v>3.13</v>
          </cell>
          <cell r="D764">
            <v>2232197</v>
          </cell>
          <cell r="E764" t="str">
            <v>무수축 콘크리트</v>
          </cell>
          <cell r="I764">
            <v>0</v>
          </cell>
        </row>
        <row r="765">
          <cell r="A765" t="str">
            <v>D00567</v>
          </cell>
          <cell r="B765">
            <v>0.95</v>
          </cell>
          <cell r="C765" t="str">
            <v>a</v>
          </cell>
          <cell r="D765">
            <v>2232213</v>
          </cell>
          <cell r="E765" t="str">
            <v>무수축몰탈</v>
          </cell>
          <cell r="F765" t="str">
            <v>(1:1)</v>
          </cell>
          <cell r="G765" t="str">
            <v>㎥</v>
          </cell>
          <cell r="I765">
            <v>0</v>
          </cell>
        </row>
        <row r="766">
          <cell r="A766" t="str">
            <v>D00568</v>
          </cell>
          <cell r="B766">
            <v>8.32</v>
          </cell>
          <cell r="C766" t="str">
            <v>b</v>
          </cell>
          <cell r="D766">
            <v>2232221</v>
          </cell>
          <cell r="E766" t="str">
            <v>무수축콘크리트</v>
          </cell>
          <cell r="G766" t="str">
            <v>㎥</v>
          </cell>
          <cell r="I766">
            <v>0</v>
          </cell>
        </row>
        <row r="767">
          <cell r="A767" t="str">
            <v>E2</v>
          </cell>
          <cell r="B767">
            <v>0</v>
          </cell>
          <cell r="C767" t="str">
            <v>계</v>
          </cell>
          <cell r="D767">
            <v>2232225</v>
          </cell>
          <cell r="I767">
            <v>0</v>
          </cell>
        </row>
        <row r="768">
          <cell r="A768" t="str">
            <v>T2</v>
          </cell>
          <cell r="B768">
            <v>770</v>
          </cell>
          <cell r="C768" t="str">
            <v>3.14</v>
          </cell>
          <cell r="D768">
            <v>2232227</v>
          </cell>
          <cell r="E768" t="str">
            <v>스치로폴 설치</v>
          </cell>
          <cell r="I768">
            <v>0</v>
          </cell>
        </row>
        <row r="769">
          <cell r="A769" t="str">
            <v>D00853</v>
          </cell>
          <cell r="B769">
            <v>3</v>
          </cell>
          <cell r="C769" t="str">
            <v>a</v>
          </cell>
          <cell r="D769">
            <v>2232485</v>
          </cell>
          <cell r="E769" t="str">
            <v>스치로폴설치</v>
          </cell>
          <cell r="F769" t="str">
            <v>(T=10 m/m)</v>
          </cell>
          <cell r="G769" t="str">
            <v>㎡</v>
          </cell>
          <cell r="I769">
            <v>0</v>
          </cell>
        </row>
        <row r="770">
          <cell r="A770" t="str">
            <v>D00532</v>
          </cell>
          <cell r="B770">
            <v>49</v>
          </cell>
          <cell r="C770" t="str">
            <v>b</v>
          </cell>
          <cell r="D770">
            <v>2232613</v>
          </cell>
          <cell r="E770" t="str">
            <v>스치로폴설치</v>
          </cell>
          <cell r="F770" t="str">
            <v>(T=20 m/m)</v>
          </cell>
          <cell r="G770" t="str">
            <v>㎡</v>
          </cell>
          <cell r="I770">
            <v>0</v>
          </cell>
        </row>
        <row r="771">
          <cell r="A771" t="str">
            <v>E2</v>
          </cell>
          <cell r="B771">
            <v>0</v>
          </cell>
          <cell r="C771" t="str">
            <v>계</v>
          </cell>
          <cell r="D771">
            <v>2232614</v>
          </cell>
          <cell r="I771">
            <v>0</v>
          </cell>
        </row>
        <row r="772">
          <cell r="A772" t="str">
            <v>T2</v>
          </cell>
          <cell r="B772">
            <v>776</v>
          </cell>
          <cell r="C772" t="str">
            <v>3.15</v>
          </cell>
          <cell r="D772">
            <v>2232741</v>
          </cell>
          <cell r="E772" t="str">
            <v>배수시설</v>
          </cell>
          <cell r="I772">
            <v>0</v>
          </cell>
        </row>
        <row r="773">
          <cell r="A773" t="str">
            <v>D00572</v>
          </cell>
          <cell r="B773">
            <v>4</v>
          </cell>
          <cell r="C773" t="str">
            <v>a</v>
          </cell>
          <cell r="D773">
            <v>2232742</v>
          </cell>
          <cell r="E773" t="str">
            <v>집 수 구</v>
          </cell>
          <cell r="G773" t="str">
            <v>EA</v>
          </cell>
          <cell r="I773">
            <v>0</v>
          </cell>
        </row>
        <row r="774">
          <cell r="A774" t="str">
            <v>D00573</v>
          </cell>
          <cell r="B774">
            <v>20</v>
          </cell>
          <cell r="C774" t="str">
            <v>b</v>
          </cell>
          <cell r="D774">
            <v>2232743</v>
          </cell>
          <cell r="E774" t="str">
            <v>배 수 구</v>
          </cell>
          <cell r="F774" t="str">
            <v>(스테인레스관)</v>
          </cell>
          <cell r="G774" t="str">
            <v>M</v>
          </cell>
          <cell r="I774">
            <v>0</v>
          </cell>
        </row>
        <row r="775">
          <cell r="A775" t="str">
            <v>D00574</v>
          </cell>
          <cell r="B775">
            <v>12</v>
          </cell>
          <cell r="C775" t="str">
            <v>c</v>
          </cell>
          <cell r="D775">
            <v>2232807</v>
          </cell>
          <cell r="E775" t="str">
            <v>부착시설(A)</v>
          </cell>
          <cell r="G775" t="str">
            <v>EA</v>
          </cell>
          <cell r="I775">
            <v>0</v>
          </cell>
        </row>
        <row r="776">
          <cell r="A776" t="str">
            <v>D00577</v>
          </cell>
          <cell r="B776">
            <v>36</v>
          </cell>
          <cell r="C776" t="str">
            <v>d</v>
          </cell>
          <cell r="D776">
            <v>2232839</v>
          </cell>
          <cell r="E776" t="str">
            <v>도 수 로</v>
          </cell>
          <cell r="G776" t="str">
            <v>M</v>
          </cell>
          <cell r="I776">
            <v>0</v>
          </cell>
        </row>
        <row r="777">
          <cell r="A777" t="str">
            <v>E2</v>
          </cell>
          <cell r="B777">
            <v>0</v>
          </cell>
          <cell r="C777" t="str">
            <v>계</v>
          </cell>
          <cell r="D777">
            <v>2232855</v>
          </cell>
          <cell r="I777">
            <v>0</v>
          </cell>
        </row>
        <row r="778">
          <cell r="A778" t="str">
            <v>T2</v>
          </cell>
          <cell r="B778">
            <v>780</v>
          </cell>
          <cell r="C778" t="str">
            <v>3.16</v>
          </cell>
          <cell r="D778">
            <v>2232871</v>
          </cell>
          <cell r="E778" t="str">
            <v>스페이서설치</v>
          </cell>
          <cell r="I778">
            <v>0</v>
          </cell>
        </row>
        <row r="779">
          <cell r="A779" t="str">
            <v>D00588</v>
          </cell>
          <cell r="B779">
            <v>1327</v>
          </cell>
          <cell r="C779" t="str">
            <v>a</v>
          </cell>
          <cell r="D779">
            <v>2232887</v>
          </cell>
          <cell r="E779" t="str">
            <v>스페이서 설치</v>
          </cell>
          <cell r="F779" t="str">
            <v>(슬라브및기초용)</v>
          </cell>
          <cell r="G779" t="str">
            <v>㎡</v>
          </cell>
          <cell r="I779">
            <v>0</v>
          </cell>
        </row>
        <row r="780">
          <cell r="A780" t="str">
            <v>D01070</v>
          </cell>
          <cell r="B780">
            <v>301</v>
          </cell>
          <cell r="C780" t="str">
            <v>b</v>
          </cell>
          <cell r="D780">
            <v>2232895</v>
          </cell>
          <cell r="E780" t="str">
            <v>스페이서 설치</v>
          </cell>
          <cell r="F780" t="str">
            <v>(벽체용)</v>
          </cell>
          <cell r="G780" t="str">
            <v>㎡</v>
          </cell>
          <cell r="I780">
            <v>0</v>
          </cell>
        </row>
        <row r="781">
          <cell r="A781" t="str">
            <v>E2</v>
          </cell>
          <cell r="B781">
            <v>0</v>
          </cell>
          <cell r="C781" t="str">
            <v>계</v>
          </cell>
          <cell r="D781">
            <v>2232899</v>
          </cell>
          <cell r="I781">
            <v>0</v>
          </cell>
        </row>
        <row r="782">
          <cell r="A782" t="str">
            <v>T2</v>
          </cell>
          <cell r="B782">
            <v>785</v>
          </cell>
          <cell r="C782" t="str">
            <v>3.17</v>
          </cell>
          <cell r="D782">
            <v>2232917</v>
          </cell>
          <cell r="E782" t="str">
            <v>교명판 설명판</v>
          </cell>
          <cell r="I782">
            <v>0</v>
          </cell>
        </row>
        <row r="783">
          <cell r="A783" t="str">
            <v>D00581</v>
          </cell>
          <cell r="B783">
            <v>4</v>
          </cell>
          <cell r="C783" t="str">
            <v>a</v>
          </cell>
          <cell r="D783">
            <v>2232918</v>
          </cell>
          <cell r="E783" t="str">
            <v>교 명 주</v>
          </cell>
          <cell r="F783" t="str">
            <v>(소형,화강석)</v>
          </cell>
          <cell r="G783" t="str">
            <v>기</v>
          </cell>
          <cell r="I783">
            <v>0</v>
          </cell>
        </row>
        <row r="784">
          <cell r="A784" t="str">
            <v>D00583</v>
          </cell>
          <cell r="B784">
            <v>2</v>
          </cell>
          <cell r="C784" t="str">
            <v>b</v>
          </cell>
          <cell r="D784">
            <v>2232919</v>
          </cell>
          <cell r="E784" t="str">
            <v>교 명 판(황동주물)</v>
          </cell>
          <cell r="F784" t="str">
            <v>(450x200x10)</v>
          </cell>
          <cell r="G784" t="str">
            <v>EA</v>
          </cell>
          <cell r="I784">
            <v>0</v>
          </cell>
        </row>
        <row r="785">
          <cell r="A785" t="str">
            <v>D00584</v>
          </cell>
          <cell r="B785">
            <v>2</v>
          </cell>
          <cell r="C785" t="str">
            <v>c</v>
          </cell>
          <cell r="D785">
            <v>2232983</v>
          </cell>
          <cell r="E785" t="str">
            <v>설 명 판(황동주물)</v>
          </cell>
          <cell r="F785" t="str">
            <v>(500x300x10)</v>
          </cell>
          <cell r="G785" t="str">
            <v>EA</v>
          </cell>
          <cell r="I785">
            <v>0</v>
          </cell>
        </row>
        <row r="786">
          <cell r="A786" t="str">
            <v>E2</v>
          </cell>
          <cell r="B786">
            <v>0</v>
          </cell>
          <cell r="C786" t="str">
            <v>계</v>
          </cell>
          <cell r="D786">
            <v>2233015</v>
          </cell>
          <cell r="I786">
            <v>0</v>
          </cell>
        </row>
        <row r="787">
          <cell r="A787" t="str">
            <v>D00594</v>
          </cell>
          <cell r="B787">
            <v>1</v>
          </cell>
          <cell r="C787" t="str">
            <v>3.18</v>
          </cell>
          <cell r="D787">
            <v>2233023</v>
          </cell>
          <cell r="E787" t="str">
            <v>측량기준점 설치</v>
          </cell>
          <cell r="F787" t="str">
            <v>(황동주물)</v>
          </cell>
          <cell r="G787" t="str">
            <v>EA</v>
          </cell>
          <cell r="I787">
            <v>0</v>
          </cell>
        </row>
        <row r="788">
          <cell r="A788" t="str">
            <v>T2</v>
          </cell>
          <cell r="B788">
            <v>790</v>
          </cell>
          <cell r="C788" t="str">
            <v>3.19</v>
          </cell>
          <cell r="D788">
            <v>2233151</v>
          </cell>
          <cell r="E788" t="str">
            <v>충 진 재</v>
          </cell>
          <cell r="I788">
            <v>0</v>
          </cell>
        </row>
        <row r="789">
          <cell r="A789" t="str">
            <v>D00846</v>
          </cell>
          <cell r="B789">
            <v>30</v>
          </cell>
          <cell r="C789" t="str">
            <v>a</v>
          </cell>
          <cell r="D789">
            <v>2233219</v>
          </cell>
          <cell r="E789" t="str">
            <v>폴리우레탄실란트채움</v>
          </cell>
          <cell r="F789" t="str">
            <v>(25x20)</v>
          </cell>
          <cell r="G789" t="str">
            <v>M</v>
          </cell>
          <cell r="I789">
            <v>0</v>
          </cell>
        </row>
        <row r="790">
          <cell r="A790" t="str">
            <v>D01224</v>
          </cell>
          <cell r="B790">
            <v>21</v>
          </cell>
          <cell r="C790" t="str">
            <v>b</v>
          </cell>
          <cell r="D790">
            <v>2233223</v>
          </cell>
          <cell r="E790" t="str">
            <v>폴리우레탄실란트채움</v>
          </cell>
          <cell r="F790" t="str">
            <v>(25x10)</v>
          </cell>
          <cell r="G790" t="str">
            <v>M</v>
          </cell>
          <cell r="I790">
            <v>0</v>
          </cell>
        </row>
        <row r="791">
          <cell r="A791" t="str">
            <v>E2</v>
          </cell>
          <cell r="B791">
            <v>0</v>
          </cell>
          <cell r="C791" t="str">
            <v>계</v>
          </cell>
          <cell r="D791">
            <v>2233225</v>
          </cell>
          <cell r="I791">
            <v>0</v>
          </cell>
        </row>
        <row r="792">
          <cell r="A792" t="str">
            <v>D01308</v>
          </cell>
          <cell r="B792">
            <v>253</v>
          </cell>
          <cell r="C792" t="str">
            <v>3.20</v>
          </cell>
          <cell r="D792">
            <v>2233665</v>
          </cell>
          <cell r="E792" t="str">
            <v>강섬유보강재</v>
          </cell>
          <cell r="F792" t="str">
            <v>(900 g/㎥)</v>
          </cell>
          <cell r="G792" t="str">
            <v>㎥</v>
          </cell>
          <cell r="I792">
            <v>0</v>
          </cell>
        </row>
        <row r="793">
          <cell r="A793" t="str">
            <v>D01309</v>
          </cell>
          <cell r="B793">
            <v>40</v>
          </cell>
          <cell r="C793" t="str">
            <v>3.21</v>
          </cell>
          <cell r="D793">
            <v>2234161</v>
          </cell>
          <cell r="E793" t="str">
            <v>모래주머니</v>
          </cell>
          <cell r="G793" t="str">
            <v>EA</v>
          </cell>
          <cell r="I793">
            <v>0</v>
          </cell>
        </row>
        <row r="794">
          <cell r="A794" t="str">
            <v>D00911</v>
          </cell>
          <cell r="B794">
            <v>89</v>
          </cell>
          <cell r="C794" t="str">
            <v>3.22</v>
          </cell>
          <cell r="D794">
            <v>2387158</v>
          </cell>
          <cell r="E794" t="str">
            <v>방 호 벽</v>
          </cell>
          <cell r="F794" t="str">
            <v>(육교용)</v>
          </cell>
          <cell r="G794" t="str">
            <v>M</v>
          </cell>
          <cell r="I794">
            <v>0</v>
          </cell>
        </row>
        <row r="795">
          <cell r="A795" t="str">
            <v>D00791</v>
          </cell>
          <cell r="B795">
            <v>20</v>
          </cell>
          <cell r="C795" t="str">
            <v>3.23</v>
          </cell>
          <cell r="D795">
            <v>2463656</v>
          </cell>
          <cell r="E795" t="str">
            <v>교좌장치표지판</v>
          </cell>
          <cell r="G795" t="str">
            <v>EA</v>
          </cell>
          <cell r="I795">
            <v>0</v>
          </cell>
        </row>
        <row r="796">
          <cell r="A796" t="str">
            <v>D00817</v>
          </cell>
          <cell r="B796">
            <v>0.106</v>
          </cell>
          <cell r="C796" t="str">
            <v>3.24</v>
          </cell>
          <cell r="D796">
            <v>2501905</v>
          </cell>
          <cell r="E796" t="str">
            <v>아스팔트 채움</v>
          </cell>
          <cell r="F796" t="str">
            <v>(브론아스팔트)</v>
          </cell>
          <cell r="G796" t="str">
            <v>㎥</v>
          </cell>
          <cell r="I796">
            <v>0</v>
          </cell>
        </row>
        <row r="797">
          <cell r="A797" t="str">
            <v>D01064</v>
          </cell>
          <cell r="B797">
            <v>30</v>
          </cell>
          <cell r="C797" t="str">
            <v>3.25</v>
          </cell>
          <cell r="D797">
            <v>2521030</v>
          </cell>
          <cell r="E797" t="str">
            <v>중앙분리대</v>
          </cell>
          <cell r="G797" t="str">
            <v>M</v>
          </cell>
          <cell r="I797">
            <v>0</v>
          </cell>
        </row>
        <row r="798">
          <cell r="A798" t="str">
            <v>D03817</v>
          </cell>
          <cell r="B798">
            <v>102</v>
          </cell>
          <cell r="C798" t="str">
            <v>3.26</v>
          </cell>
          <cell r="D798">
            <v>2530592</v>
          </cell>
          <cell r="E798" t="str">
            <v>ELASTIC FILLER</v>
          </cell>
          <cell r="F798" t="str">
            <v>(T=20 m/m)</v>
          </cell>
          <cell r="G798" t="str">
            <v>㎡</v>
          </cell>
          <cell r="I798">
            <v>0</v>
          </cell>
        </row>
        <row r="799">
          <cell r="A799" t="str">
            <v>D00593</v>
          </cell>
          <cell r="B799">
            <v>345</v>
          </cell>
          <cell r="C799" t="str">
            <v>3.27</v>
          </cell>
          <cell r="D799">
            <v>2537764</v>
          </cell>
          <cell r="E799" t="str">
            <v>낙하물방지망</v>
          </cell>
          <cell r="G799" t="str">
            <v>㎡</v>
          </cell>
          <cell r="I799">
            <v>0</v>
          </cell>
        </row>
        <row r="800">
          <cell r="A800" t="str">
            <v>D00847</v>
          </cell>
          <cell r="B800">
            <v>89</v>
          </cell>
          <cell r="C800" t="str">
            <v>3.28</v>
          </cell>
          <cell r="D800">
            <v>2537796</v>
          </cell>
          <cell r="E800" t="str">
            <v>가드휀스설치</v>
          </cell>
          <cell r="G800" t="str">
            <v>M</v>
          </cell>
          <cell r="I800">
            <v>0</v>
          </cell>
        </row>
        <row r="801">
          <cell r="A801" t="str">
            <v>D01305</v>
          </cell>
          <cell r="B801">
            <v>2</v>
          </cell>
          <cell r="C801" t="str">
            <v>3.29</v>
          </cell>
          <cell r="D801">
            <v>2537812</v>
          </cell>
          <cell r="E801" t="str">
            <v>점검용계단</v>
          </cell>
          <cell r="G801" t="str">
            <v>EA</v>
          </cell>
          <cell r="I801">
            <v>0</v>
          </cell>
        </row>
        <row r="802">
          <cell r="A802" t="str">
            <v>D03871</v>
          </cell>
          <cell r="B802">
            <v>10</v>
          </cell>
          <cell r="C802" t="str">
            <v>3.30</v>
          </cell>
          <cell r="D802">
            <v>2537820</v>
          </cell>
          <cell r="E802" t="str">
            <v>평판재하시험</v>
          </cell>
          <cell r="G802" t="str">
            <v>개소</v>
          </cell>
          <cell r="I802">
            <v>0</v>
          </cell>
        </row>
        <row r="803">
          <cell r="A803" t="str">
            <v>E3</v>
          </cell>
          <cell r="B803">
            <v>0</v>
          </cell>
          <cell r="C803" t="str">
            <v>합계</v>
          </cell>
          <cell r="D803">
            <v>2537828</v>
          </cell>
          <cell r="I803">
            <v>0</v>
          </cell>
        </row>
        <row r="804">
          <cell r="A804" t="str">
            <v>T3</v>
          </cell>
          <cell r="B804">
            <v>901</v>
          </cell>
          <cell r="C804" t="str">
            <v>3.F</v>
          </cell>
          <cell r="D804">
            <v>2537892</v>
          </cell>
          <cell r="E804" t="str">
            <v>영    암    교</v>
          </cell>
          <cell r="F804" t="str">
            <v>PRE-FLEX BEAM</v>
          </cell>
          <cell r="I804">
            <v>0</v>
          </cell>
        </row>
        <row r="805">
          <cell r="A805" t="str">
            <v>T2</v>
          </cell>
          <cell r="B805">
            <v>813</v>
          </cell>
          <cell r="C805" t="str">
            <v>3.01</v>
          </cell>
          <cell r="D805">
            <v>2538020</v>
          </cell>
          <cell r="E805" t="str">
            <v>토          공</v>
          </cell>
          <cell r="I805">
            <v>0</v>
          </cell>
        </row>
        <row r="806">
          <cell r="A806" t="str">
            <v>D00096</v>
          </cell>
          <cell r="B806">
            <v>1421</v>
          </cell>
          <cell r="C806" t="str">
            <v>a</v>
          </cell>
          <cell r="D806">
            <v>2691317</v>
          </cell>
          <cell r="E806" t="str">
            <v>구조물터파기</v>
          </cell>
          <cell r="F806" t="str">
            <v>(육상토사 0∼2 M)</v>
          </cell>
          <cell r="G806" t="str">
            <v>㎥</v>
          </cell>
          <cell r="I806">
            <v>0</v>
          </cell>
        </row>
        <row r="807">
          <cell r="A807" t="str">
            <v>D00097</v>
          </cell>
          <cell r="B807">
            <v>548</v>
          </cell>
          <cell r="C807" t="str">
            <v>b</v>
          </cell>
          <cell r="D807">
            <v>2691653</v>
          </cell>
          <cell r="E807" t="str">
            <v>구조물터파기</v>
          </cell>
          <cell r="F807" t="str">
            <v>(육상토사 2∼4 M)</v>
          </cell>
          <cell r="G807" t="str">
            <v>㎥</v>
          </cell>
          <cell r="I807">
            <v>0</v>
          </cell>
        </row>
        <row r="808">
          <cell r="A808" t="str">
            <v>D00131</v>
          </cell>
          <cell r="B808">
            <v>154</v>
          </cell>
          <cell r="C808" t="str">
            <v>c</v>
          </cell>
          <cell r="D808">
            <v>2691821</v>
          </cell>
          <cell r="E808" t="str">
            <v>구조물터파기</v>
          </cell>
          <cell r="F808" t="str">
            <v>(육상풍화암 2∼3 M)</v>
          </cell>
          <cell r="G808" t="str">
            <v>㎥</v>
          </cell>
          <cell r="I808">
            <v>0</v>
          </cell>
        </row>
        <row r="809">
          <cell r="A809" t="str">
            <v>D03858</v>
          </cell>
          <cell r="B809">
            <v>134</v>
          </cell>
          <cell r="C809" t="str">
            <v>d</v>
          </cell>
          <cell r="D809">
            <v>2691905</v>
          </cell>
          <cell r="E809" t="str">
            <v>구조물터파기</v>
          </cell>
          <cell r="F809" t="str">
            <v>(육상풍화암 4∼5 M)</v>
          </cell>
          <cell r="G809" t="str">
            <v>㎥</v>
          </cell>
          <cell r="I809">
            <v>0</v>
          </cell>
        </row>
        <row r="810">
          <cell r="A810" t="str">
            <v>D00160</v>
          </cell>
          <cell r="B810">
            <v>1155</v>
          </cell>
          <cell r="C810" t="str">
            <v>e</v>
          </cell>
          <cell r="D810">
            <v>2691989</v>
          </cell>
          <cell r="E810" t="str">
            <v>되메우기및다짐</v>
          </cell>
          <cell r="F810" t="str">
            <v>(인력30%+백호우70%)</v>
          </cell>
          <cell r="G810" t="str">
            <v>㎥</v>
          </cell>
          <cell r="I810">
            <v>0</v>
          </cell>
        </row>
        <row r="811">
          <cell r="A811" t="str">
            <v>D00170</v>
          </cell>
          <cell r="B811">
            <v>1491</v>
          </cell>
          <cell r="C811" t="str">
            <v>f</v>
          </cell>
          <cell r="D811">
            <v>2692109</v>
          </cell>
          <cell r="E811" t="str">
            <v>뒷채움잡석</v>
          </cell>
          <cell r="F811" t="str">
            <v>(현장암유용)</v>
          </cell>
          <cell r="G811" t="str">
            <v>㎥</v>
          </cell>
          <cell r="I811">
            <v>0</v>
          </cell>
        </row>
        <row r="812">
          <cell r="A812" t="str">
            <v>D00150</v>
          </cell>
          <cell r="B812">
            <v>2672</v>
          </cell>
          <cell r="C812" t="str">
            <v>g</v>
          </cell>
          <cell r="D812">
            <v>2692169</v>
          </cell>
          <cell r="E812" t="str">
            <v>교대앞성토</v>
          </cell>
          <cell r="G812" t="str">
            <v>㎥</v>
          </cell>
          <cell r="I812">
            <v>0</v>
          </cell>
        </row>
        <row r="813">
          <cell r="A813" t="str">
            <v>D01202</v>
          </cell>
          <cell r="B813">
            <v>180</v>
          </cell>
          <cell r="C813" t="str">
            <v>h</v>
          </cell>
          <cell r="D813">
            <v>2692199</v>
          </cell>
          <cell r="E813" t="str">
            <v>암면고르기</v>
          </cell>
          <cell r="F813" t="str">
            <v>(발파암)</v>
          </cell>
          <cell r="G813" t="str">
            <v>㎡</v>
          </cell>
          <cell r="I813">
            <v>0</v>
          </cell>
        </row>
        <row r="814">
          <cell r="A814" t="str">
            <v>E2</v>
          </cell>
          <cell r="B814">
            <v>0</v>
          </cell>
          <cell r="C814" t="str">
            <v>계</v>
          </cell>
          <cell r="D814">
            <v>2692229</v>
          </cell>
          <cell r="I814">
            <v>0</v>
          </cell>
        </row>
        <row r="815">
          <cell r="A815" t="str">
            <v>T2</v>
          </cell>
          <cell r="B815">
            <v>821</v>
          </cell>
          <cell r="C815" t="str">
            <v>3.02</v>
          </cell>
          <cell r="D815">
            <v>2693200</v>
          </cell>
          <cell r="E815" t="str">
            <v>거 푸 집</v>
          </cell>
          <cell r="I815">
            <v>0</v>
          </cell>
        </row>
        <row r="816">
          <cell r="A816" t="str">
            <v>D00276</v>
          </cell>
          <cell r="B816">
            <v>1778</v>
          </cell>
          <cell r="C816" t="str">
            <v>a</v>
          </cell>
          <cell r="D816">
            <v>2693201</v>
          </cell>
          <cell r="E816" t="str">
            <v>합판거푸집</v>
          </cell>
          <cell r="F816" t="str">
            <v>(3 회)</v>
          </cell>
          <cell r="G816" t="str">
            <v>㎡</v>
          </cell>
          <cell r="I816">
            <v>0</v>
          </cell>
        </row>
        <row r="817">
          <cell r="A817" t="str">
            <v>D00277</v>
          </cell>
          <cell r="B817">
            <v>335</v>
          </cell>
          <cell r="C817" t="str">
            <v>b</v>
          </cell>
          <cell r="D817">
            <v>2693265</v>
          </cell>
          <cell r="E817" t="str">
            <v>합판거푸집</v>
          </cell>
          <cell r="F817" t="str">
            <v>(3 회 7∼10 m)</v>
          </cell>
          <cell r="G817" t="str">
            <v>㎡</v>
          </cell>
          <cell r="I817">
            <v>0</v>
          </cell>
        </row>
        <row r="818">
          <cell r="A818" t="str">
            <v>D00280</v>
          </cell>
          <cell r="B818">
            <v>232</v>
          </cell>
          <cell r="C818" t="str">
            <v>c</v>
          </cell>
          <cell r="D818">
            <v>2693297</v>
          </cell>
          <cell r="E818" t="str">
            <v>합판거푸집</v>
          </cell>
          <cell r="F818" t="str">
            <v>(4 회)</v>
          </cell>
          <cell r="G818" t="str">
            <v>㎡</v>
          </cell>
          <cell r="I818">
            <v>0</v>
          </cell>
        </row>
        <row r="819">
          <cell r="A819" t="str">
            <v>D00282</v>
          </cell>
          <cell r="B819">
            <v>189</v>
          </cell>
          <cell r="C819" t="str">
            <v>d</v>
          </cell>
          <cell r="D819">
            <v>2693301</v>
          </cell>
          <cell r="E819" t="str">
            <v>합판거푸집</v>
          </cell>
          <cell r="F819" t="str">
            <v>(6 회)</v>
          </cell>
          <cell r="G819" t="str">
            <v>㎡</v>
          </cell>
          <cell r="I819">
            <v>0</v>
          </cell>
        </row>
        <row r="820">
          <cell r="A820" t="str">
            <v>D00265</v>
          </cell>
          <cell r="B820">
            <v>364</v>
          </cell>
          <cell r="C820" t="str">
            <v>e</v>
          </cell>
          <cell r="D820">
            <v>2693305</v>
          </cell>
          <cell r="E820" t="str">
            <v>문양거푸집(합판4회+</v>
          </cell>
          <cell r="F820" t="str">
            <v>문양스치로폴(0∼7M)</v>
          </cell>
          <cell r="G820" t="str">
            <v>㎡</v>
          </cell>
          <cell r="I820">
            <v>0</v>
          </cell>
        </row>
        <row r="821">
          <cell r="A821" t="str">
            <v>D01111</v>
          </cell>
          <cell r="B821">
            <v>66</v>
          </cell>
          <cell r="C821" t="str">
            <v>f</v>
          </cell>
          <cell r="D821">
            <v>2693309</v>
          </cell>
          <cell r="E821" t="str">
            <v>문양거푸집(합판4회+</v>
          </cell>
          <cell r="F821" t="str">
            <v>문양스치로폴(7∼10M)</v>
          </cell>
          <cell r="G821" t="str">
            <v>㎡</v>
          </cell>
          <cell r="I821">
            <v>0</v>
          </cell>
        </row>
        <row r="822">
          <cell r="A822" t="str">
            <v>E2</v>
          </cell>
          <cell r="B822">
            <v>0</v>
          </cell>
          <cell r="C822" t="str">
            <v>계</v>
          </cell>
          <cell r="D822">
            <v>2693441</v>
          </cell>
          <cell r="I822">
            <v>0</v>
          </cell>
        </row>
        <row r="823">
          <cell r="A823" t="str">
            <v>D00323</v>
          </cell>
          <cell r="B823">
            <v>1227</v>
          </cell>
          <cell r="C823" t="str">
            <v>3.03</v>
          </cell>
          <cell r="D823">
            <v>2693442</v>
          </cell>
          <cell r="E823" t="str">
            <v>강관비계</v>
          </cell>
          <cell r="F823" t="str">
            <v>(0∼30 M)</v>
          </cell>
          <cell r="G823" t="str">
            <v>㎡</v>
          </cell>
          <cell r="I823">
            <v>0</v>
          </cell>
        </row>
        <row r="824">
          <cell r="A824" t="str">
            <v>T2</v>
          </cell>
          <cell r="B824">
            <v>827</v>
          </cell>
          <cell r="C824" t="str">
            <v>3.04</v>
          </cell>
          <cell r="D824">
            <v>2693506</v>
          </cell>
          <cell r="E824" t="str">
            <v>동 바 리</v>
          </cell>
          <cell r="I824">
            <v>0</v>
          </cell>
        </row>
        <row r="825">
          <cell r="A825" t="str">
            <v>D00327</v>
          </cell>
          <cell r="B825">
            <v>702</v>
          </cell>
          <cell r="C825" t="str">
            <v>a</v>
          </cell>
          <cell r="D825">
            <v>2693538</v>
          </cell>
          <cell r="E825" t="str">
            <v>동바리공</v>
          </cell>
          <cell r="F825" t="str">
            <v>(목재 4 회)</v>
          </cell>
          <cell r="G825" t="str">
            <v>공㎥</v>
          </cell>
          <cell r="I825">
            <v>0</v>
          </cell>
        </row>
        <row r="826">
          <cell r="A826" t="str">
            <v>D00334</v>
          </cell>
          <cell r="B826">
            <v>262</v>
          </cell>
          <cell r="C826" t="str">
            <v>b</v>
          </cell>
          <cell r="D826">
            <v>2693562</v>
          </cell>
          <cell r="E826" t="str">
            <v>강관동바리</v>
          </cell>
          <cell r="F826" t="str">
            <v>(교량용)</v>
          </cell>
          <cell r="G826" t="str">
            <v>공㎥</v>
          </cell>
          <cell r="I826">
            <v>0</v>
          </cell>
        </row>
        <row r="827">
          <cell r="A827" t="str">
            <v>D01129</v>
          </cell>
          <cell r="B827">
            <v>79</v>
          </cell>
          <cell r="C827" t="str">
            <v>c</v>
          </cell>
          <cell r="D827">
            <v>2693566</v>
          </cell>
          <cell r="E827" t="str">
            <v>수평보강재(교량용)</v>
          </cell>
          <cell r="F827" t="str">
            <v>(강관동바리)</v>
          </cell>
          <cell r="G827" t="str">
            <v>㎡</v>
          </cell>
          <cell r="I827">
            <v>0</v>
          </cell>
        </row>
        <row r="828">
          <cell r="A828" t="str">
            <v>E2</v>
          </cell>
          <cell r="B828">
            <v>0</v>
          </cell>
          <cell r="C828" t="str">
            <v>계</v>
          </cell>
          <cell r="D828">
            <v>2693568</v>
          </cell>
          <cell r="I828">
            <v>0</v>
          </cell>
        </row>
        <row r="829">
          <cell r="A829" t="str">
            <v>T2</v>
          </cell>
          <cell r="B829">
            <v>831</v>
          </cell>
          <cell r="C829" t="str">
            <v>3.05</v>
          </cell>
          <cell r="D829">
            <v>2693690</v>
          </cell>
          <cell r="E829" t="str">
            <v>철근가공조립</v>
          </cell>
          <cell r="I829">
            <v>0</v>
          </cell>
        </row>
        <row r="830">
          <cell r="A830" t="str">
            <v>D00271</v>
          </cell>
          <cell r="B830">
            <v>16.827999999999999</v>
          </cell>
          <cell r="C830" t="str">
            <v>a</v>
          </cell>
          <cell r="D830">
            <v>2693692</v>
          </cell>
          <cell r="E830" t="str">
            <v>철근가공조립</v>
          </cell>
          <cell r="F830" t="str">
            <v>(보 통)</v>
          </cell>
          <cell r="G830" t="str">
            <v>Ton</v>
          </cell>
          <cell r="I830">
            <v>0</v>
          </cell>
        </row>
        <row r="831">
          <cell r="A831" t="str">
            <v>D00272</v>
          </cell>
          <cell r="B831">
            <v>203.584</v>
          </cell>
          <cell r="C831" t="str">
            <v>b</v>
          </cell>
          <cell r="D831">
            <v>2693694</v>
          </cell>
          <cell r="E831" t="str">
            <v>철근가공조립</v>
          </cell>
          <cell r="F831" t="str">
            <v>(복 잡)</v>
          </cell>
          <cell r="G831" t="str">
            <v>Ton</v>
          </cell>
          <cell r="I831">
            <v>0</v>
          </cell>
        </row>
        <row r="832">
          <cell r="A832" t="str">
            <v>E2</v>
          </cell>
          <cell r="B832">
            <v>0</v>
          </cell>
          <cell r="C832" t="str">
            <v>계</v>
          </cell>
          <cell r="D832">
            <v>2693697</v>
          </cell>
          <cell r="I832">
            <v>0</v>
          </cell>
        </row>
        <row r="833">
          <cell r="A833" t="str">
            <v>T2</v>
          </cell>
          <cell r="B833">
            <v>836</v>
          </cell>
          <cell r="C833" t="str">
            <v>3.06</v>
          </cell>
          <cell r="D833">
            <v>2693698</v>
          </cell>
          <cell r="E833" t="str">
            <v>콘크리트타설</v>
          </cell>
          <cell r="I833">
            <v>0</v>
          </cell>
        </row>
        <row r="834">
          <cell r="A834" t="str">
            <v>D00237</v>
          </cell>
          <cell r="B834">
            <v>1521</v>
          </cell>
          <cell r="C834" t="str">
            <v>a</v>
          </cell>
          <cell r="D834">
            <v>2693762</v>
          </cell>
          <cell r="E834" t="str">
            <v>콘크리트타설</v>
          </cell>
          <cell r="F834" t="str">
            <v>(철근 펌프카)</v>
          </cell>
          <cell r="G834" t="str">
            <v>㎥</v>
          </cell>
          <cell r="I834">
            <v>0</v>
          </cell>
        </row>
        <row r="835">
          <cell r="A835" t="str">
            <v>D00238</v>
          </cell>
          <cell r="B835">
            <v>420</v>
          </cell>
          <cell r="C835" t="str">
            <v>b</v>
          </cell>
          <cell r="D835">
            <v>2693794</v>
          </cell>
          <cell r="E835" t="str">
            <v>콘크리트타설</v>
          </cell>
          <cell r="F835" t="str">
            <v>(무근 펌프카)</v>
          </cell>
          <cell r="G835" t="str">
            <v>㎥</v>
          </cell>
          <cell r="I835">
            <v>0</v>
          </cell>
        </row>
        <row r="836">
          <cell r="A836" t="str">
            <v>D00231</v>
          </cell>
          <cell r="B836">
            <v>90</v>
          </cell>
          <cell r="C836" t="str">
            <v>c</v>
          </cell>
          <cell r="D836">
            <v>2693810</v>
          </cell>
          <cell r="E836" t="str">
            <v>콘크리트타설</v>
          </cell>
          <cell r="F836" t="str">
            <v>(무근 VIB 제외)</v>
          </cell>
          <cell r="G836" t="str">
            <v>㎥</v>
          </cell>
          <cell r="I836">
            <v>0</v>
          </cell>
        </row>
        <row r="837">
          <cell r="A837" t="str">
            <v>E2</v>
          </cell>
          <cell r="B837">
            <v>0</v>
          </cell>
          <cell r="C837" t="str">
            <v>계</v>
          </cell>
          <cell r="D837">
            <v>2693826</v>
          </cell>
          <cell r="I837">
            <v>0</v>
          </cell>
        </row>
        <row r="838">
          <cell r="A838" t="str">
            <v>T2</v>
          </cell>
          <cell r="B838">
            <v>840</v>
          </cell>
          <cell r="C838" t="str">
            <v>3.07</v>
          </cell>
          <cell r="D838">
            <v>2693834</v>
          </cell>
          <cell r="E838" t="str">
            <v>표 면 처 리</v>
          </cell>
          <cell r="I838">
            <v>0</v>
          </cell>
        </row>
        <row r="839">
          <cell r="A839" t="str">
            <v>D00537</v>
          </cell>
          <cell r="B839">
            <v>837</v>
          </cell>
          <cell r="C839" t="str">
            <v>a</v>
          </cell>
          <cell r="D839">
            <v>2693838</v>
          </cell>
          <cell r="E839" t="str">
            <v>슬래브양생</v>
          </cell>
          <cell r="F839" t="str">
            <v>(양생제)</v>
          </cell>
          <cell r="G839" t="str">
            <v>㎡</v>
          </cell>
          <cell r="I839">
            <v>0</v>
          </cell>
        </row>
        <row r="840">
          <cell r="A840" t="str">
            <v>D00539</v>
          </cell>
          <cell r="B840">
            <v>758</v>
          </cell>
          <cell r="C840" t="str">
            <v>b</v>
          </cell>
          <cell r="D840">
            <v>2693840</v>
          </cell>
          <cell r="E840" t="str">
            <v>슬래브면고르기</v>
          </cell>
          <cell r="F840" t="str">
            <v>(데크 피니샤)</v>
          </cell>
          <cell r="G840" t="str">
            <v>㎡</v>
          </cell>
          <cell r="I840">
            <v>0</v>
          </cell>
        </row>
        <row r="841">
          <cell r="A841" t="str">
            <v>E2</v>
          </cell>
          <cell r="B841">
            <v>0</v>
          </cell>
          <cell r="C841" t="str">
            <v>계</v>
          </cell>
          <cell r="D841">
            <v>2693841</v>
          </cell>
          <cell r="I841">
            <v>0</v>
          </cell>
        </row>
        <row r="842">
          <cell r="A842" t="str">
            <v>T2</v>
          </cell>
          <cell r="B842">
            <v>846</v>
          </cell>
          <cell r="C842" t="str">
            <v>3.08</v>
          </cell>
          <cell r="D842">
            <v>2693969</v>
          </cell>
          <cell r="E842" t="str">
            <v>교좌장치</v>
          </cell>
          <cell r="I842">
            <v>0</v>
          </cell>
        </row>
        <row r="843">
          <cell r="A843" t="str">
            <v>D00544</v>
          </cell>
          <cell r="B843">
            <v>2</v>
          </cell>
          <cell r="C843" t="str">
            <v>a</v>
          </cell>
          <cell r="D843">
            <v>2694065</v>
          </cell>
          <cell r="E843" t="str">
            <v>교좌장치</v>
          </cell>
          <cell r="F843" t="str">
            <v>(고정단 175 Ton)</v>
          </cell>
          <cell r="G843" t="str">
            <v>EA</v>
          </cell>
          <cell r="I843">
            <v>0</v>
          </cell>
        </row>
        <row r="844">
          <cell r="A844" t="str">
            <v>D00542</v>
          </cell>
          <cell r="B844">
            <v>6</v>
          </cell>
          <cell r="C844" t="str">
            <v>b</v>
          </cell>
          <cell r="D844">
            <v>2694113</v>
          </cell>
          <cell r="E844" t="str">
            <v>교좌장치</v>
          </cell>
          <cell r="F844" t="str">
            <v>(횡방향가동단175Ton)</v>
          </cell>
          <cell r="G844" t="str">
            <v>EA</v>
          </cell>
          <cell r="I844">
            <v>0</v>
          </cell>
        </row>
        <row r="845">
          <cell r="A845" t="str">
            <v>D00546</v>
          </cell>
          <cell r="B845">
            <v>2</v>
          </cell>
          <cell r="C845" t="str">
            <v>c</v>
          </cell>
          <cell r="D845">
            <v>2694152</v>
          </cell>
          <cell r="E845" t="str">
            <v>교좌장치</v>
          </cell>
          <cell r="F845" t="str">
            <v>(종방향가동단175Ton)</v>
          </cell>
          <cell r="G845" t="str">
            <v>EA</v>
          </cell>
          <cell r="I845">
            <v>0</v>
          </cell>
        </row>
        <row r="846">
          <cell r="A846" t="str">
            <v>D00550</v>
          </cell>
          <cell r="B846">
            <v>6</v>
          </cell>
          <cell r="C846" t="str">
            <v>d</v>
          </cell>
          <cell r="D846">
            <v>2694154</v>
          </cell>
          <cell r="E846" t="str">
            <v>교좌장치</v>
          </cell>
          <cell r="F846" t="str">
            <v>(양방향가동단175Ton)</v>
          </cell>
          <cell r="G846" t="str">
            <v>EA</v>
          </cell>
          <cell r="I846">
            <v>0</v>
          </cell>
        </row>
        <row r="847">
          <cell r="A847" t="str">
            <v>E2</v>
          </cell>
          <cell r="B847">
            <v>0</v>
          </cell>
          <cell r="C847" t="str">
            <v>계</v>
          </cell>
          <cell r="D847">
            <v>2694155</v>
          </cell>
          <cell r="I847">
            <v>0</v>
          </cell>
        </row>
        <row r="848">
          <cell r="A848" t="str">
            <v>T2</v>
          </cell>
          <cell r="B848">
            <v>851</v>
          </cell>
          <cell r="C848" t="str">
            <v>3.09</v>
          </cell>
          <cell r="D848">
            <v>2694283</v>
          </cell>
          <cell r="E848" t="str">
            <v>PRE-FLEX BEAM</v>
          </cell>
          <cell r="I848">
            <v>0</v>
          </cell>
        </row>
        <row r="849">
          <cell r="A849" t="str">
            <v>W00083</v>
          </cell>
          <cell r="B849">
            <v>4</v>
          </cell>
          <cell r="C849" t="str">
            <v>a</v>
          </cell>
          <cell r="D849">
            <v>2694347</v>
          </cell>
          <cell r="E849" t="str">
            <v>PRE-FLEX BEAM</v>
          </cell>
          <cell r="F849" t="str">
            <v>영암교(내측)</v>
          </cell>
          <cell r="G849" t="str">
            <v>본</v>
          </cell>
          <cell r="I849">
            <v>0</v>
          </cell>
        </row>
        <row r="850">
          <cell r="A850" t="str">
            <v>W00082</v>
          </cell>
          <cell r="B850">
            <v>4</v>
          </cell>
          <cell r="C850" t="str">
            <v>b</v>
          </cell>
          <cell r="D850">
            <v>2694379</v>
          </cell>
          <cell r="E850" t="str">
            <v>PRE-FLEX BEAM</v>
          </cell>
          <cell r="F850" t="str">
            <v>영암교(외측)</v>
          </cell>
          <cell r="G850" t="str">
            <v>본</v>
          </cell>
          <cell r="I850">
            <v>0</v>
          </cell>
        </row>
        <row r="851">
          <cell r="A851" t="str">
            <v>D03936</v>
          </cell>
          <cell r="B851">
            <v>1</v>
          </cell>
          <cell r="C851" t="str">
            <v>c</v>
          </cell>
          <cell r="D851">
            <v>2694411</v>
          </cell>
          <cell r="E851" t="str">
            <v>PRE-FLEX BEAM</v>
          </cell>
          <cell r="F851" t="str">
            <v>(전도방지시설).</v>
          </cell>
          <cell r="G851" t="str">
            <v>식</v>
          </cell>
          <cell r="I851">
            <v>0</v>
          </cell>
        </row>
        <row r="852">
          <cell r="A852" t="str">
            <v>E2</v>
          </cell>
          <cell r="B852">
            <v>0</v>
          </cell>
          <cell r="C852" t="str">
            <v>계</v>
          </cell>
          <cell r="D852">
            <v>2694507</v>
          </cell>
          <cell r="I852">
            <v>0</v>
          </cell>
        </row>
        <row r="853">
          <cell r="A853" t="str">
            <v>T2</v>
          </cell>
          <cell r="B853">
            <v>855</v>
          </cell>
          <cell r="C853" t="str">
            <v>3.10</v>
          </cell>
          <cell r="D853">
            <v>2694635</v>
          </cell>
          <cell r="E853" t="str">
            <v>신축이음장치</v>
          </cell>
          <cell r="I853">
            <v>0</v>
          </cell>
        </row>
        <row r="854">
          <cell r="A854" t="str">
            <v>D03819</v>
          </cell>
          <cell r="B854">
            <v>19</v>
          </cell>
          <cell r="C854" t="str">
            <v>a</v>
          </cell>
          <cell r="D854">
            <v>2694651</v>
          </cell>
          <cell r="E854" t="str">
            <v>신축이음장치</v>
          </cell>
          <cell r="F854" t="str">
            <v>(Rail-No 80)</v>
          </cell>
          <cell r="G854" t="str">
            <v>M</v>
          </cell>
          <cell r="I854">
            <v>0</v>
          </cell>
        </row>
        <row r="855">
          <cell r="A855" t="str">
            <v>D01313</v>
          </cell>
          <cell r="B855">
            <v>19</v>
          </cell>
          <cell r="C855" t="str">
            <v>b</v>
          </cell>
          <cell r="D855">
            <v>2694667</v>
          </cell>
          <cell r="E855" t="str">
            <v>신축이음장치</v>
          </cell>
          <cell r="F855" t="str">
            <v>(Rail-No100)</v>
          </cell>
          <cell r="G855" t="str">
            <v>M</v>
          </cell>
          <cell r="I855">
            <v>0</v>
          </cell>
        </row>
        <row r="856">
          <cell r="A856" t="str">
            <v>E2</v>
          </cell>
          <cell r="B856">
            <v>0</v>
          </cell>
          <cell r="C856" t="str">
            <v>계</v>
          </cell>
          <cell r="D856">
            <v>2694699</v>
          </cell>
          <cell r="I856">
            <v>0</v>
          </cell>
        </row>
        <row r="857">
          <cell r="A857" t="str">
            <v>D00535</v>
          </cell>
          <cell r="B857">
            <v>758</v>
          </cell>
          <cell r="C857" t="str">
            <v>3.11</v>
          </cell>
          <cell r="D857">
            <v>2694955</v>
          </cell>
          <cell r="E857" t="str">
            <v>교면방수</v>
          </cell>
          <cell r="F857" t="str">
            <v>(도막식)</v>
          </cell>
          <cell r="G857" t="str">
            <v>㎡</v>
          </cell>
          <cell r="I857">
            <v>0</v>
          </cell>
        </row>
        <row r="858">
          <cell r="A858" t="str">
            <v>T2</v>
          </cell>
          <cell r="B858">
            <v>862</v>
          </cell>
          <cell r="C858" t="str">
            <v>3.12</v>
          </cell>
          <cell r="D858">
            <v>2695019</v>
          </cell>
          <cell r="E858" t="str">
            <v>접속슬래브 접합공</v>
          </cell>
          <cell r="I858">
            <v>0</v>
          </cell>
        </row>
        <row r="859">
          <cell r="A859" t="str">
            <v>D01067</v>
          </cell>
          <cell r="B859">
            <v>96</v>
          </cell>
          <cell r="C859" t="str">
            <v>a</v>
          </cell>
          <cell r="D859">
            <v>2695051</v>
          </cell>
          <cell r="E859" t="str">
            <v>다웰바 설치</v>
          </cell>
          <cell r="F859" t="str">
            <v>(D=25 m/m, L=500)</v>
          </cell>
          <cell r="G859" t="str">
            <v>EA</v>
          </cell>
          <cell r="I859">
            <v>0</v>
          </cell>
        </row>
        <row r="860">
          <cell r="A860" t="str">
            <v>D01190</v>
          </cell>
          <cell r="B860">
            <v>28</v>
          </cell>
          <cell r="C860" t="str">
            <v>b</v>
          </cell>
          <cell r="D860">
            <v>2695083</v>
          </cell>
          <cell r="E860" t="str">
            <v>다웰-켑 설치</v>
          </cell>
          <cell r="F860" t="str">
            <v>(Φ60 m/m)</v>
          </cell>
          <cell r="G860" t="str">
            <v>M</v>
          </cell>
          <cell r="I860">
            <v>0</v>
          </cell>
        </row>
        <row r="861">
          <cell r="A861" t="str">
            <v>D00540</v>
          </cell>
          <cell r="B861">
            <v>96</v>
          </cell>
          <cell r="C861" t="str">
            <v>c</v>
          </cell>
          <cell r="D861">
            <v>2695085</v>
          </cell>
          <cell r="E861" t="str">
            <v>경질고무판</v>
          </cell>
          <cell r="F861" t="str">
            <v>(150x150)</v>
          </cell>
          <cell r="G861" t="str">
            <v>EA</v>
          </cell>
          <cell r="I861">
            <v>0</v>
          </cell>
        </row>
        <row r="862">
          <cell r="A862" t="str">
            <v>D00566</v>
          </cell>
          <cell r="B862">
            <v>15</v>
          </cell>
          <cell r="C862" t="str">
            <v>d</v>
          </cell>
          <cell r="D862">
            <v>2695086</v>
          </cell>
          <cell r="E862" t="str">
            <v>타르페이퍼 설치</v>
          </cell>
          <cell r="F862" t="str">
            <v>(5 겹)</v>
          </cell>
          <cell r="G862" t="str">
            <v>㎡</v>
          </cell>
          <cell r="I862">
            <v>0</v>
          </cell>
        </row>
        <row r="863">
          <cell r="A863" t="str">
            <v>E2</v>
          </cell>
          <cell r="B863">
            <v>0</v>
          </cell>
          <cell r="C863" t="str">
            <v>계</v>
          </cell>
          <cell r="D863">
            <v>2695118</v>
          </cell>
          <cell r="I863">
            <v>0</v>
          </cell>
        </row>
        <row r="864">
          <cell r="A864" t="str">
            <v>T2</v>
          </cell>
          <cell r="B864">
            <v>866</v>
          </cell>
          <cell r="C864" t="str">
            <v>3.13</v>
          </cell>
          <cell r="D864">
            <v>2695151</v>
          </cell>
          <cell r="E864" t="str">
            <v>무수축 콘크리트</v>
          </cell>
          <cell r="I864">
            <v>0</v>
          </cell>
        </row>
        <row r="865">
          <cell r="A865" t="str">
            <v>D00567</v>
          </cell>
          <cell r="B865">
            <v>0.88600000000000001</v>
          </cell>
          <cell r="C865" t="str">
            <v>a</v>
          </cell>
          <cell r="D865">
            <v>2695167</v>
          </cell>
          <cell r="E865" t="str">
            <v>무수축몰탈</v>
          </cell>
          <cell r="F865" t="str">
            <v>(1:1)</v>
          </cell>
          <cell r="G865" t="str">
            <v>㎥</v>
          </cell>
          <cell r="I865">
            <v>0</v>
          </cell>
        </row>
        <row r="866">
          <cell r="A866" t="str">
            <v>D00568</v>
          </cell>
          <cell r="B866">
            <v>7.22</v>
          </cell>
          <cell r="C866" t="str">
            <v>b</v>
          </cell>
          <cell r="D866">
            <v>2695175</v>
          </cell>
          <cell r="E866" t="str">
            <v>무수축콘크리트</v>
          </cell>
          <cell r="G866" t="str">
            <v>㎥</v>
          </cell>
          <cell r="I866">
            <v>0</v>
          </cell>
        </row>
        <row r="867">
          <cell r="A867" t="str">
            <v>E2</v>
          </cell>
          <cell r="B867">
            <v>0</v>
          </cell>
          <cell r="C867" t="str">
            <v>계</v>
          </cell>
          <cell r="D867">
            <v>2695179</v>
          </cell>
          <cell r="I867">
            <v>0</v>
          </cell>
        </row>
        <row r="868">
          <cell r="A868" t="str">
            <v>T2</v>
          </cell>
          <cell r="B868">
            <v>870</v>
          </cell>
          <cell r="C868" t="str">
            <v>3.14</v>
          </cell>
          <cell r="D868">
            <v>2695307</v>
          </cell>
          <cell r="E868" t="str">
            <v>스치로폴 설치</v>
          </cell>
          <cell r="I868">
            <v>0</v>
          </cell>
        </row>
        <row r="869">
          <cell r="A869" t="str">
            <v>D00853</v>
          </cell>
          <cell r="B869">
            <v>3</v>
          </cell>
          <cell r="C869" t="str">
            <v>a</v>
          </cell>
          <cell r="D869">
            <v>2695565</v>
          </cell>
          <cell r="E869" t="str">
            <v>스치로폴설치</v>
          </cell>
          <cell r="F869" t="str">
            <v>(T=10 m/m)</v>
          </cell>
          <cell r="G869" t="str">
            <v>㎡</v>
          </cell>
          <cell r="I869">
            <v>0</v>
          </cell>
        </row>
        <row r="870">
          <cell r="A870" t="str">
            <v>D00532</v>
          </cell>
          <cell r="B870">
            <v>46</v>
          </cell>
          <cell r="C870" t="str">
            <v>b</v>
          </cell>
          <cell r="D870">
            <v>2695693</v>
          </cell>
          <cell r="E870" t="str">
            <v>스치로폴설치</v>
          </cell>
          <cell r="F870" t="str">
            <v>(T=20 m/m)</v>
          </cell>
          <cell r="G870" t="str">
            <v>㎡</v>
          </cell>
          <cell r="I870">
            <v>0</v>
          </cell>
        </row>
        <row r="871">
          <cell r="A871" t="str">
            <v>E2</v>
          </cell>
          <cell r="B871">
            <v>0</v>
          </cell>
          <cell r="C871" t="str">
            <v>계</v>
          </cell>
          <cell r="D871">
            <v>2695694</v>
          </cell>
          <cell r="I871">
            <v>0</v>
          </cell>
        </row>
        <row r="872">
          <cell r="A872" t="str">
            <v>T2</v>
          </cell>
          <cell r="B872">
            <v>876</v>
          </cell>
          <cell r="C872" t="str">
            <v>3.15</v>
          </cell>
          <cell r="D872">
            <v>2696210</v>
          </cell>
          <cell r="E872" t="str">
            <v>배수시설</v>
          </cell>
          <cell r="I872">
            <v>0</v>
          </cell>
        </row>
        <row r="873">
          <cell r="A873" t="str">
            <v>D00572</v>
          </cell>
          <cell r="B873">
            <v>4</v>
          </cell>
          <cell r="C873" t="str">
            <v>a</v>
          </cell>
          <cell r="D873">
            <v>2696211</v>
          </cell>
          <cell r="E873" t="str">
            <v>집 수 구</v>
          </cell>
          <cell r="G873" t="str">
            <v>EA</v>
          </cell>
          <cell r="I873">
            <v>0</v>
          </cell>
        </row>
        <row r="874">
          <cell r="A874" t="str">
            <v>D00573</v>
          </cell>
          <cell r="B874">
            <v>14</v>
          </cell>
          <cell r="C874" t="str">
            <v>b</v>
          </cell>
          <cell r="D874">
            <v>2696212</v>
          </cell>
          <cell r="E874" t="str">
            <v>배 수 구</v>
          </cell>
          <cell r="F874" t="str">
            <v>(스테인레스관)</v>
          </cell>
          <cell r="G874" t="str">
            <v>M</v>
          </cell>
          <cell r="I874">
            <v>0</v>
          </cell>
        </row>
        <row r="875">
          <cell r="A875" t="str">
            <v>D00574</v>
          </cell>
          <cell r="B875">
            <v>8</v>
          </cell>
          <cell r="C875" t="str">
            <v>c</v>
          </cell>
          <cell r="D875">
            <v>2696276</v>
          </cell>
          <cell r="E875" t="str">
            <v>부착시설(A)</v>
          </cell>
          <cell r="G875" t="str">
            <v>EA</v>
          </cell>
          <cell r="I875">
            <v>0</v>
          </cell>
        </row>
        <row r="876">
          <cell r="A876" t="str">
            <v>D00577</v>
          </cell>
          <cell r="B876">
            <v>29</v>
          </cell>
          <cell r="C876" t="str">
            <v>d</v>
          </cell>
          <cell r="D876">
            <v>2696308</v>
          </cell>
          <cell r="E876" t="str">
            <v>도 수 로</v>
          </cell>
          <cell r="G876" t="str">
            <v>M</v>
          </cell>
          <cell r="I876">
            <v>0</v>
          </cell>
        </row>
        <row r="877">
          <cell r="A877" t="str">
            <v>E2</v>
          </cell>
          <cell r="B877">
            <v>0</v>
          </cell>
          <cell r="C877" t="str">
            <v>계</v>
          </cell>
          <cell r="D877">
            <v>2696324</v>
          </cell>
          <cell r="I877">
            <v>0</v>
          </cell>
        </row>
        <row r="878">
          <cell r="A878" t="str">
            <v>T2</v>
          </cell>
          <cell r="B878">
            <v>880</v>
          </cell>
          <cell r="C878" t="str">
            <v>3.16</v>
          </cell>
          <cell r="D878">
            <v>2696340</v>
          </cell>
          <cell r="E878" t="str">
            <v>스페이서설치</v>
          </cell>
          <cell r="I878">
            <v>0</v>
          </cell>
        </row>
        <row r="879">
          <cell r="A879" t="str">
            <v>D00588</v>
          </cell>
          <cell r="B879">
            <v>1368</v>
          </cell>
          <cell r="C879" t="str">
            <v>a</v>
          </cell>
          <cell r="D879">
            <v>2696356</v>
          </cell>
          <cell r="E879" t="str">
            <v>스페이서 설치</v>
          </cell>
          <cell r="F879" t="str">
            <v>(슬라브및기초용)</v>
          </cell>
          <cell r="G879" t="str">
            <v>㎡</v>
          </cell>
          <cell r="I879">
            <v>0</v>
          </cell>
        </row>
        <row r="880">
          <cell r="A880" t="str">
            <v>D01070</v>
          </cell>
          <cell r="B880">
            <v>305</v>
          </cell>
          <cell r="C880" t="str">
            <v>b</v>
          </cell>
          <cell r="D880">
            <v>2696364</v>
          </cell>
          <cell r="E880" t="str">
            <v>스페이서 설치</v>
          </cell>
          <cell r="F880" t="str">
            <v>(벽체용)</v>
          </cell>
          <cell r="G880" t="str">
            <v>㎡</v>
          </cell>
          <cell r="I880">
            <v>0</v>
          </cell>
        </row>
        <row r="881">
          <cell r="A881" t="str">
            <v>E2</v>
          </cell>
          <cell r="B881">
            <v>0</v>
          </cell>
          <cell r="C881" t="str">
            <v>계</v>
          </cell>
          <cell r="D881">
            <v>2696368</v>
          </cell>
          <cell r="I881">
            <v>0</v>
          </cell>
        </row>
        <row r="882">
          <cell r="A882" t="str">
            <v>T2</v>
          </cell>
          <cell r="B882">
            <v>885</v>
          </cell>
          <cell r="C882" t="str">
            <v>3.17</v>
          </cell>
          <cell r="D882">
            <v>2696386</v>
          </cell>
          <cell r="E882" t="str">
            <v>교명판 설명판</v>
          </cell>
          <cell r="I882">
            <v>0</v>
          </cell>
        </row>
        <row r="883">
          <cell r="A883" t="str">
            <v>D00581</v>
          </cell>
          <cell r="B883">
            <v>4</v>
          </cell>
          <cell r="C883" t="str">
            <v>a</v>
          </cell>
          <cell r="D883">
            <v>2696387</v>
          </cell>
          <cell r="E883" t="str">
            <v>교 명 주</v>
          </cell>
          <cell r="F883" t="str">
            <v>(소형,화강석)</v>
          </cell>
          <cell r="G883" t="str">
            <v>기</v>
          </cell>
          <cell r="I883">
            <v>0</v>
          </cell>
        </row>
        <row r="884">
          <cell r="A884" t="str">
            <v>D00583</v>
          </cell>
          <cell r="B884">
            <v>2</v>
          </cell>
          <cell r="C884" t="str">
            <v>b</v>
          </cell>
          <cell r="D884">
            <v>2696388</v>
          </cell>
          <cell r="E884" t="str">
            <v>교 명 판(황동주물)</v>
          </cell>
          <cell r="F884" t="str">
            <v>(450x200x10)</v>
          </cell>
          <cell r="G884" t="str">
            <v>EA</v>
          </cell>
          <cell r="I884">
            <v>0</v>
          </cell>
        </row>
        <row r="885">
          <cell r="A885" t="str">
            <v>D00584</v>
          </cell>
          <cell r="B885">
            <v>2</v>
          </cell>
          <cell r="C885" t="str">
            <v>c</v>
          </cell>
          <cell r="D885">
            <v>2696452</v>
          </cell>
          <cell r="E885" t="str">
            <v>설 명 판(황동주물)</v>
          </cell>
          <cell r="F885" t="str">
            <v>(500x300x10)</v>
          </cell>
          <cell r="G885" t="str">
            <v>EA</v>
          </cell>
          <cell r="I885">
            <v>0</v>
          </cell>
        </row>
        <row r="886">
          <cell r="A886" t="str">
            <v>E2</v>
          </cell>
          <cell r="B886">
            <v>0</v>
          </cell>
          <cell r="C886" t="str">
            <v>계</v>
          </cell>
          <cell r="D886">
            <v>2696484</v>
          </cell>
          <cell r="I886">
            <v>0</v>
          </cell>
        </row>
        <row r="887">
          <cell r="A887" t="str">
            <v>D00594</v>
          </cell>
          <cell r="B887">
            <v>1</v>
          </cell>
          <cell r="C887" t="str">
            <v>3.18</v>
          </cell>
          <cell r="D887">
            <v>2696492</v>
          </cell>
          <cell r="E887" t="str">
            <v>측량기준점 설치</v>
          </cell>
          <cell r="F887" t="str">
            <v>(황동주물)</v>
          </cell>
          <cell r="G887" t="str">
            <v>EA</v>
          </cell>
          <cell r="I887">
            <v>0</v>
          </cell>
        </row>
        <row r="888">
          <cell r="A888" t="str">
            <v>T2</v>
          </cell>
          <cell r="B888">
            <v>890</v>
          </cell>
          <cell r="C888" t="str">
            <v>3.19</v>
          </cell>
          <cell r="D888">
            <v>2696620</v>
          </cell>
          <cell r="E888" t="str">
            <v>충 진 재</v>
          </cell>
          <cell r="I888">
            <v>0</v>
          </cell>
        </row>
        <row r="889">
          <cell r="A889" t="str">
            <v>D00846</v>
          </cell>
          <cell r="B889">
            <v>39</v>
          </cell>
          <cell r="C889" t="str">
            <v>a</v>
          </cell>
          <cell r="D889">
            <v>2696688</v>
          </cell>
          <cell r="E889" t="str">
            <v>폴리우레탄실란트채움</v>
          </cell>
          <cell r="F889" t="str">
            <v>(25x20)</v>
          </cell>
          <cell r="G889" t="str">
            <v>M</v>
          </cell>
          <cell r="I889">
            <v>0</v>
          </cell>
        </row>
        <row r="890">
          <cell r="A890" t="str">
            <v>D01224</v>
          </cell>
          <cell r="B890">
            <v>26</v>
          </cell>
          <cell r="C890" t="str">
            <v>b</v>
          </cell>
          <cell r="D890">
            <v>2696692</v>
          </cell>
          <cell r="E890" t="str">
            <v>폴리우레탄실란트채움</v>
          </cell>
          <cell r="F890" t="str">
            <v>(25x10)</v>
          </cell>
          <cell r="G890" t="str">
            <v>M</v>
          </cell>
          <cell r="I890">
            <v>0</v>
          </cell>
        </row>
        <row r="891">
          <cell r="A891" t="str">
            <v>E2</v>
          </cell>
          <cell r="B891">
            <v>0</v>
          </cell>
          <cell r="C891" t="str">
            <v>계</v>
          </cell>
          <cell r="D891">
            <v>2696694</v>
          </cell>
          <cell r="I891">
            <v>0</v>
          </cell>
        </row>
        <row r="892">
          <cell r="A892" t="str">
            <v>D01308</v>
          </cell>
          <cell r="B892">
            <v>422</v>
          </cell>
          <cell r="C892" t="str">
            <v>3.20</v>
          </cell>
          <cell r="D892">
            <v>2697134</v>
          </cell>
          <cell r="E892" t="str">
            <v>강섬유보강재</v>
          </cell>
          <cell r="F892" t="str">
            <v>(900 g/㎥)</v>
          </cell>
          <cell r="G892" t="str">
            <v>㎥</v>
          </cell>
          <cell r="I892">
            <v>0</v>
          </cell>
        </row>
        <row r="893">
          <cell r="A893" t="str">
            <v>D03817</v>
          </cell>
          <cell r="B893">
            <v>72</v>
          </cell>
          <cell r="C893" t="str">
            <v>3.21</v>
          </cell>
          <cell r="D893">
            <v>2697630</v>
          </cell>
          <cell r="E893" t="str">
            <v>ELASTIC FILLER</v>
          </cell>
          <cell r="F893" t="str">
            <v>(T=20 m/m)</v>
          </cell>
          <cell r="G893" t="str">
            <v>㎡</v>
          </cell>
          <cell r="I893">
            <v>0</v>
          </cell>
        </row>
        <row r="894">
          <cell r="A894" t="str">
            <v>D00911</v>
          </cell>
          <cell r="B894">
            <v>97</v>
          </cell>
          <cell r="C894" t="str">
            <v>3.22</v>
          </cell>
          <cell r="D894">
            <v>2850627</v>
          </cell>
          <cell r="E894" t="str">
            <v>방 호 벽</v>
          </cell>
          <cell r="F894" t="str">
            <v>(육교용)</v>
          </cell>
          <cell r="G894" t="str">
            <v>M</v>
          </cell>
          <cell r="I894">
            <v>0</v>
          </cell>
        </row>
        <row r="895">
          <cell r="A895" t="str">
            <v>D00791</v>
          </cell>
          <cell r="B895">
            <v>16</v>
          </cell>
          <cell r="C895" t="str">
            <v>3.23</v>
          </cell>
          <cell r="D895">
            <v>2927125</v>
          </cell>
          <cell r="E895" t="str">
            <v>교좌장치표지판</v>
          </cell>
          <cell r="G895" t="str">
            <v>EA</v>
          </cell>
          <cell r="I895">
            <v>0</v>
          </cell>
        </row>
        <row r="896">
          <cell r="A896" t="str">
            <v>D00817</v>
          </cell>
          <cell r="B896">
            <v>9.6000000000000002E-2</v>
          </cell>
          <cell r="C896" t="str">
            <v>3.24</v>
          </cell>
          <cell r="D896">
            <v>2965374</v>
          </cell>
          <cell r="E896" t="str">
            <v>아스팔트 채움</v>
          </cell>
          <cell r="F896" t="str">
            <v>(브론아스팔트)</v>
          </cell>
          <cell r="G896" t="str">
            <v>㎥</v>
          </cell>
          <cell r="I896">
            <v>0</v>
          </cell>
        </row>
        <row r="897">
          <cell r="A897" t="str">
            <v>D00593</v>
          </cell>
          <cell r="B897">
            <v>690</v>
          </cell>
          <cell r="C897" t="str">
            <v>3.25</v>
          </cell>
          <cell r="D897">
            <v>2984499</v>
          </cell>
          <cell r="E897" t="str">
            <v>낙하물방지망</v>
          </cell>
          <cell r="G897" t="str">
            <v>㎡</v>
          </cell>
          <cell r="I897">
            <v>0</v>
          </cell>
        </row>
        <row r="898">
          <cell r="A898" t="str">
            <v>D01064</v>
          </cell>
          <cell r="B898">
            <v>39</v>
          </cell>
          <cell r="C898" t="str">
            <v>3.26</v>
          </cell>
          <cell r="D898">
            <v>2994061</v>
          </cell>
          <cell r="E898" t="str">
            <v>중앙분리대</v>
          </cell>
          <cell r="G898" t="str">
            <v>M</v>
          </cell>
          <cell r="I898">
            <v>0</v>
          </cell>
        </row>
        <row r="899">
          <cell r="A899" t="str">
            <v>D00434</v>
          </cell>
          <cell r="B899">
            <v>345</v>
          </cell>
          <cell r="C899" t="str">
            <v>3.27</v>
          </cell>
          <cell r="D899">
            <v>2998842</v>
          </cell>
          <cell r="E899" t="str">
            <v>법면보호블럭</v>
          </cell>
          <cell r="F899" t="str">
            <v>(400x400x120)육교용</v>
          </cell>
          <cell r="G899" t="str">
            <v>㎡</v>
          </cell>
          <cell r="I899">
            <v>0</v>
          </cell>
        </row>
        <row r="900">
          <cell r="A900" t="str">
            <v>D00844</v>
          </cell>
          <cell r="B900">
            <v>49</v>
          </cell>
          <cell r="C900" t="str">
            <v>3.28</v>
          </cell>
          <cell r="D900">
            <v>3001233</v>
          </cell>
          <cell r="E900" t="str">
            <v>법면보호블럭</v>
          </cell>
          <cell r="F900" t="str">
            <v>(기초)</v>
          </cell>
          <cell r="G900" t="str">
            <v>M</v>
          </cell>
          <cell r="I900">
            <v>0</v>
          </cell>
        </row>
        <row r="901">
          <cell r="A901" t="str">
            <v>D03871</v>
          </cell>
          <cell r="B901">
            <v>10</v>
          </cell>
          <cell r="C901" t="str">
            <v>3.29</v>
          </cell>
          <cell r="D901">
            <v>3002428</v>
          </cell>
          <cell r="E901" t="str">
            <v>평판재하시험</v>
          </cell>
          <cell r="G901" t="str">
            <v>개소</v>
          </cell>
          <cell r="I901">
            <v>0</v>
          </cell>
        </row>
        <row r="902">
          <cell r="A902" t="str">
            <v>E3</v>
          </cell>
          <cell r="B902">
            <v>0</v>
          </cell>
          <cell r="C902" t="str">
            <v>합계</v>
          </cell>
          <cell r="D902">
            <v>3003623</v>
          </cell>
          <cell r="I902">
            <v>0</v>
          </cell>
        </row>
        <row r="903">
          <cell r="A903" t="str">
            <v>T3</v>
          </cell>
          <cell r="B903">
            <v>988</v>
          </cell>
          <cell r="C903" t="str">
            <v>3.G</v>
          </cell>
          <cell r="D903">
            <v>3003751</v>
          </cell>
          <cell r="E903" t="str">
            <v>고  암  육  교</v>
          </cell>
          <cell r="F903" t="str">
            <v>P.S.C BEAM</v>
          </cell>
          <cell r="I903">
            <v>0</v>
          </cell>
        </row>
        <row r="904">
          <cell r="A904" t="str">
            <v>T2</v>
          </cell>
          <cell r="B904">
            <v>910</v>
          </cell>
          <cell r="C904" t="str">
            <v>3.01</v>
          </cell>
          <cell r="D904">
            <v>3003879</v>
          </cell>
          <cell r="E904" t="str">
            <v>토          공</v>
          </cell>
          <cell r="I904">
            <v>0</v>
          </cell>
        </row>
        <row r="905">
          <cell r="A905" t="str">
            <v>D00022</v>
          </cell>
          <cell r="B905">
            <v>2839</v>
          </cell>
          <cell r="C905" t="str">
            <v>a</v>
          </cell>
          <cell r="D905">
            <v>3080528</v>
          </cell>
          <cell r="E905" t="str">
            <v>토  사깎기</v>
          </cell>
          <cell r="F905" t="str">
            <v>(불도쟈 32 Ton)</v>
          </cell>
          <cell r="G905" t="str">
            <v>㎥</v>
          </cell>
          <cell r="I905">
            <v>0</v>
          </cell>
        </row>
        <row r="906">
          <cell r="A906" t="str">
            <v>D00096</v>
          </cell>
          <cell r="B906">
            <v>300</v>
          </cell>
          <cell r="C906" t="str">
            <v>b</v>
          </cell>
          <cell r="D906">
            <v>3157176</v>
          </cell>
          <cell r="E906" t="str">
            <v>구조물터파기</v>
          </cell>
          <cell r="F906" t="str">
            <v>(육상토사 0∼2 M)</v>
          </cell>
          <cell r="G906" t="str">
            <v>㎥</v>
          </cell>
          <cell r="I906">
            <v>0</v>
          </cell>
        </row>
        <row r="907">
          <cell r="A907" t="str">
            <v>D00121</v>
          </cell>
          <cell r="B907">
            <v>251</v>
          </cell>
          <cell r="C907" t="str">
            <v>c</v>
          </cell>
          <cell r="D907">
            <v>3157512</v>
          </cell>
          <cell r="E907" t="str">
            <v>구조물터파기</v>
          </cell>
          <cell r="F907" t="str">
            <v>(육상풍화암 0∼1 M)</v>
          </cell>
          <cell r="G907" t="str">
            <v>㎥</v>
          </cell>
          <cell r="I907">
            <v>0</v>
          </cell>
        </row>
        <row r="908">
          <cell r="A908" t="str">
            <v>D00160</v>
          </cell>
          <cell r="B908">
            <v>2638</v>
          </cell>
          <cell r="C908" t="str">
            <v>d</v>
          </cell>
          <cell r="D908">
            <v>3157848</v>
          </cell>
          <cell r="E908" t="str">
            <v>되메우기및다짐</v>
          </cell>
          <cell r="F908" t="str">
            <v>(인력30%+백호우70%)</v>
          </cell>
          <cell r="G908" t="str">
            <v>㎥</v>
          </cell>
          <cell r="I908">
            <v>0</v>
          </cell>
        </row>
        <row r="909">
          <cell r="A909" t="str">
            <v>D00170</v>
          </cell>
          <cell r="B909">
            <v>584</v>
          </cell>
          <cell r="C909" t="str">
            <v>e</v>
          </cell>
          <cell r="D909">
            <v>3157968</v>
          </cell>
          <cell r="E909" t="str">
            <v>뒷채움잡석</v>
          </cell>
          <cell r="F909" t="str">
            <v>(현장암유용)</v>
          </cell>
          <cell r="G909" t="str">
            <v>㎥</v>
          </cell>
          <cell r="I909">
            <v>0</v>
          </cell>
        </row>
        <row r="910">
          <cell r="A910" t="str">
            <v>D01202</v>
          </cell>
          <cell r="B910">
            <v>116</v>
          </cell>
          <cell r="C910" t="str">
            <v>f</v>
          </cell>
          <cell r="D910">
            <v>3158028</v>
          </cell>
          <cell r="E910" t="str">
            <v>암면고르기</v>
          </cell>
          <cell r="F910" t="str">
            <v>(발파암)</v>
          </cell>
          <cell r="G910" t="str">
            <v>㎡</v>
          </cell>
          <cell r="I910">
            <v>0</v>
          </cell>
        </row>
        <row r="911">
          <cell r="A911" t="str">
            <v>E2</v>
          </cell>
          <cell r="B911">
            <v>0</v>
          </cell>
          <cell r="C911" t="str">
            <v>계</v>
          </cell>
          <cell r="D911">
            <v>3158088</v>
          </cell>
          <cell r="I911">
            <v>0</v>
          </cell>
        </row>
        <row r="912">
          <cell r="A912" t="str">
            <v>T2</v>
          </cell>
          <cell r="B912">
            <v>916</v>
          </cell>
          <cell r="C912" t="str">
            <v>3.02</v>
          </cell>
          <cell r="D912">
            <v>3159187</v>
          </cell>
          <cell r="E912" t="str">
            <v>거 푸 집</v>
          </cell>
          <cell r="I912">
            <v>0</v>
          </cell>
        </row>
        <row r="913">
          <cell r="A913" t="str">
            <v>D00276</v>
          </cell>
          <cell r="B913">
            <v>756</v>
          </cell>
          <cell r="C913" t="str">
            <v>a</v>
          </cell>
          <cell r="D913">
            <v>3159188</v>
          </cell>
          <cell r="E913" t="str">
            <v>합판거푸집</v>
          </cell>
          <cell r="F913" t="str">
            <v>(3 회)</v>
          </cell>
          <cell r="G913" t="str">
            <v>㎡</v>
          </cell>
          <cell r="I913">
            <v>0</v>
          </cell>
        </row>
        <row r="914">
          <cell r="A914" t="str">
            <v>D00280</v>
          </cell>
          <cell r="B914">
            <v>100</v>
          </cell>
          <cell r="C914" t="str">
            <v>b</v>
          </cell>
          <cell r="D914">
            <v>3159252</v>
          </cell>
          <cell r="E914" t="str">
            <v>합판거푸집</v>
          </cell>
          <cell r="F914" t="str">
            <v>(4 회)</v>
          </cell>
          <cell r="G914" t="str">
            <v>㎡</v>
          </cell>
          <cell r="I914">
            <v>0</v>
          </cell>
        </row>
        <row r="915">
          <cell r="A915" t="str">
            <v>D00282</v>
          </cell>
          <cell r="B915">
            <v>9</v>
          </cell>
          <cell r="C915" t="str">
            <v>c</v>
          </cell>
          <cell r="D915">
            <v>3159284</v>
          </cell>
          <cell r="E915" t="str">
            <v>합판거푸집</v>
          </cell>
          <cell r="F915" t="str">
            <v>(6 회)</v>
          </cell>
          <cell r="G915" t="str">
            <v>㎡</v>
          </cell>
          <cell r="I915">
            <v>0</v>
          </cell>
        </row>
        <row r="916">
          <cell r="A916" t="str">
            <v>D00265</v>
          </cell>
          <cell r="B916">
            <v>342</v>
          </cell>
          <cell r="C916" t="str">
            <v>d</v>
          </cell>
          <cell r="D916">
            <v>3159292</v>
          </cell>
          <cell r="E916" t="str">
            <v>문양거푸집(합판4회+</v>
          </cell>
          <cell r="F916" t="str">
            <v>문양스치로폴(0∼7M)</v>
          </cell>
          <cell r="G916" t="str">
            <v>㎡</v>
          </cell>
          <cell r="I916">
            <v>0</v>
          </cell>
        </row>
        <row r="917">
          <cell r="A917" t="str">
            <v>E2</v>
          </cell>
          <cell r="B917">
            <v>0</v>
          </cell>
          <cell r="C917" t="str">
            <v>계</v>
          </cell>
          <cell r="D917">
            <v>3159300</v>
          </cell>
          <cell r="I917">
            <v>0</v>
          </cell>
        </row>
        <row r="918">
          <cell r="A918" t="str">
            <v>D00323</v>
          </cell>
          <cell r="B918">
            <v>716</v>
          </cell>
          <cell r="C918" t="str">
            <v>3.03</v>
          </cell>
          <cell r="D918">
            <v>3159301</v>
          </cell>
          <cell r="E918" t="str">
            <v>강관비계</v>
          </cell>
          <cell r="F918" t="str">
            <v>(0∼30 M)</v>
          </cell>
          <cell r="G918" t="str">
            <v>㎡</v>
          </cell>
          <cell r="I918">
            <v>0</v>
          </cell>
        </row>
        <row r="919">
          <cell r="A919" t="str">
            <v>T2</v>
          </cell>
          <cell r="B919">
            <v>922</v>
          </cell>
          <cell r="C919" t="str">
            <v>3.04</v>
          </cell>
          <cell r="D919">
            <v>3159365</v>
          </cell>
          <cell r="E919" t="str">
            <v>동 바 리</v>
          </cell>
          <cell r="I919">
            <v>0</v>
          </cell>
        </row>
        <row r="920">
          <cell r="A920" t="str">
            <v>D00327</v>
          </cell>
          <cell r="B920">
            <v>427</v>
          </cell>
          <cell r="C920" t="str">
            <v>a</v>
          </cell>
          <cell r="D920">
            <v>3159397</v>
          </cell>
          <cell r="E920" t="str">
            <v>동바리공</v>
          </cell>
          <cell r="F920" t="str">
            <v>(목재 4 회)</v>
          </cell>
          <cell r="G920" t="str">
            <v>공㎥</v>
          </cell>
          <cell r="I920">
            <v>0</v>
          </cell>
        </row>
        <row r="921">
          <cell r="A921" t="str">
            <v>D00334</v>
          </cell>
          <cell r="B921">
            <v>144</v>
          </cell>
          <cell r="C921" t="str">
            <v>b</v>
          </cell>
          <cell r="D921">
            <v>3159421</v>
          </cell>
          <cell r="E921" t="str">
            <v>강관동바리</v>
          </cell>
          <cell r="F921" t="str">
            <v>(교량용)</v>
          </cell>
          <cell r="G921" t="str">
            <v>공㎥</v>
          </cell>
          <cell r="I921">
            <v>0</v>
          </cell>
        </row>
        <row r="922">
          <cell r="A922" t="str">
            <v>D01129</v>
          </cell>
          <cell r="B922">
            <v>35</v>
          </cell>
          <cell r="C922" t="str">
            <v>c</v>
          </cell>
          <cell r="D922">
            <v>3159425</v>
          </cell>
          <cell r="E922" t="str">
            <v>수평보강재(교량용)</v>
          </cell>
          <cell r="F922" t="str">
            <v>(강관동바리)</v>
          </cell>
          <cell r="G922" t="str">
            <v>㎡</v>
          </cell>
          <cell r="I922">
            <v>0</v>
          </cell>
        </row>
        <row r="923">
          <cell r="A923" t="str">
            <v>E2</v>
          </cell>
          <cell r="B923">
            <v>0</v>
          </cell>
          <cell r="C923" t="str">
            <v>계</v>
          </cell>
          <cell r="D923">
            <v>3159427</v>
          </cell>
          <cell r="I923">
            <v>0</v>
          </cell>
        </row>
        <row r="924">
          <cell r="A924" t="str">
            <v>T2</v>
          </cell>
          <cell r="B924">
            <v>926</v>
          </cell>
          <cell r="C924" t="str">
            <v>3.05</v>
          </cell>
          <cell r="D924">
            <v>3159549</v>
          </cell>
          <cell r="E924" t="str">
            <v>철근가공조립</v>
          </cell>
          <cell r="I924">
            <v>0</v>
          </cell>
        </row>
        <row r="925">
          <cell r="A925" t="str">
            <v>D00271</v>
          </cell>
          <cell r="B925">
            <v>7.968</v>
          </cell>
          <cell r="C925" t="str">
            <v>a</v>
          </cell>
          <cell r="D925">
            <v>3159551</v>
          </cell>
          <cell r="E925" t="str">
            <v>철근가공조립</v>
          </cell>
          <cell r="F925" t="str">
            <v>(보 통)</v>
          </cell>
          <cell r="G925" t="str">
            <v>Ton</v>
          </cell>
          <cell r="I925">
            <v>0</v>
          </cell>
        </row>
        <row r="926">
          <cell r="A926" t="str">
            <v>D00272</v>
          </cell>
          <cell r="B926">
            <v>95.73</v>
          </cell>
          <cell r="C926" t="str">
            <v>b</v>
          </cell>
          <cell r="D926">
            <v>3159553</v>
          </cell>
          <cell r="E926" t="str">
            <v>철근가공조립</v>
          </cell>
          <cell r="F926" t="str">
            <v>(복 잡)</v>
          </cell>
          <cell r="G926" t="str">
            <v>Ton</v>
          </cell>
          <cell r="I926">
            <v>0</v>
          </cell>
        </row>
        <row r="927">
          <cell r="A927" t="str">
            <v>E2</v>
          </cell>
          <cell r="B927">
            <v>0</v>
          </cell>
          <cell r="C927" t="str">
            <v>계</v>
          </cell>
          <cell r="D927">
            <v>3159556</v>
          </cell>
          <cell r="I927">
            <v>0</v>
          </cell>
        </row>
        <row r="928">
          <cell r="A928" t="str">
            <v>T2</v>
          </cell>
          <cell r="B928">
            <v>930</v>
          </cell>
          <cell r="C928" t="str">
            <v>3.06</v>
          </cell>
          <cell r="D928">
            <v>3159557</v>
          </cell>
          <cell r="E928" t="str">
            <v>콘크리트타설</v>
          </cell>
          <cell r="I928">
            <v>0</v>
          </cell>
        </row>
        <row r="929">
          <cell r="A929" t="str">
            <v>D00237</v>
          </cell>
          <cell r="B929">
            <v>709</v>
          </cell>
          <cell r="C929" t="str">
            <v>a</v>
          </cell>
          <cell r="D929">
            <v>3159621</v>
          </cell>
          <cell r="E929" t="str">
            <v>콘크리트타설</v>
          </cell>
          <cell r="F929" t="str">
            <v>(철근 펌프카)</v>
          </cell>
          <cell r="G929" t="str">
            <v>㎥</v>
          </cell>
          <cell r="I929">
            <v>0</v>
          </cell>
        </row>
        <row r="930">
          <cell r="A930" t="str">
            <v>D00231</v>
          </cell>
          <cell r="B930">
            <v>26</v>
          </cell>
          <cell r="C930" t="str">
            <v>b</v>
          </cell>
          <cell r="D930">
            <v>3159653</v>
          </cell>
          <cell r="E930" t="str">
            <v>콘크리트타설</v>
          </cell>
          <cell r="F930" t="str">
            <v>(무근 VIB 제외)</v>
          </cell>
          <cell r="G930" t="str">
            <v>㎥</v>
          </cell>
          <cell r="I930">
            <v>0</v>
          </cell>
        </row>
        <row r="931">
          <cell r="A931" t="str">
            <v>E2</v>
          </cell>
          <cell r="B931">
            <v>0</v>
          </cell>
          <cell r="C931" t="str">
            <v>계</v>
          </cell>
          <cell r="D931">
            <v>3159685</v>
          </cell>
          <cell r="I931">
            <v>0</v>
          </cell>
        </row>
        <row r="932">
          <cell r="A932" t="str">
            <v>T2</v>
          </cell>
          <cell r="B932">
            <v>934</v>
          </cell>
          <cell r="C932" t="str">
            <v>3.07</v>
          </cell>
          <cell r="D932">
            <v>3159693</v>
          </cell>
          <cell r="E932" t="str">
            <v>표 면 처 리</v>
          </cell>
          <cell r="I932">
            <v>0</v>
          </cell>
        </row>
        <row r="933">
          <cell r="A933" t="str">
            <v>D00537</v>
          </cell>
          <cell r="B933">
            <v>327</v>
          </cell>
          <cell r="C933" t="str">
            <v>a</v>
          </cell>
          <cell r="D933">
            <v>3159697</v>
          </cell>
          <cell r="E933" t="str">
            <v>슬래브양생</v>
          </cell>
          <cell r="F933" t="str">
            <v>(양생제)</v>
          </cell>
          <cell r="G933" t="str">
            <v>㎡</v>
          </cell>
          <cell r="I933">
            <v>0</v>
          </cell>
        </row>
        <row r="934">
          <cell r="A934" t="str">
            <v>D00539</v>
          </cell>
          <cell r="B934">
            <v>300</v>
          </cell>
          <cell r="C934" t="str">
            <v>b</v>
          </cell>
          <cell r="D934">
            <v>3159699</v>
          </cell>
          <cell r="E934" t="str">
            <v>슬래브면고르기</v>
          </cell>
          <cell r="F934" t="str">
            <v>(데크 피니샤)</v>
          </cell>
          <cell r="G934" t="str">
            <v>㎡</v>
          </cell>
          <cell r="I934">
            <v>0</v>
          </cell>
        </row>
        <row r="935">
          <cell r="A935" t="str">
            <v>E2</v>
          </cell>
          <cell r="B935">
            <v>0</v>
          </cell>
          <cell r="C935" t="str">
            <v>계</v>
          </cell>
          <cell r="D935">
            <v>3159700</v>
          </cell>
          <cell r="I935">
            <v>0</v>
          </cell>
        </row>
        <row r="936">
          <cell r="A936" t="str">
            <v>T2</v>
          </cell>
          <cell r="B936">
            <v>940</v>
          </cell>
          <cell r="C936" t="str">
            <v>3.08</v>
          </cell>
          <cell r="D936">
            <v>3159828</v>
          </cell>
          <cell r="E936" t="str">
            <v>교좌장치</v>
          </cell>
          <cell r="I936">
            <v>0</v>
          </cell>
        </row>
        <row r="937">
          <cell r="A937" t="str">
            <v>D00545</v>
          </cell>
          <cell r="B937">
            <v>1</v>
          </cell>
          <cell r="C937" t="str">
            <v>a</v>
          </cell>
          <cell r="D937">
            <v>3159956</v>
          </cell>
          <cell r="E937" t="str">
            <v>교좌장치</v>
          </cell>
          <cell r="F937" t="str">
            <v>(고정단 135 Ton)</v>
          </cell>
          <cell r="G937" t="str">
            <v>EA</v>
          </cell>
          <cell r="I937">
            <v>0</v>
          </cell>
        </row>
        <row r="938">
          <cell r="A938" t="str">
            <v>D00549</v>
          </cell>
          <cell r="B938">
            <v>4</v>
          </cell>
          <cell r="C938" t="str">
            <v>b</v>
          </cell>
          <cell r="D938">
            <v>3160004</v>
          </cell>
          <cell r="E938" t="str">
            <v>교좌장치</v>
          </cell>
          <cell r="F938" t="str">
            <v>(횡방향가동단135Ton)</v>
          </cell>
          <cell r="G938" t="str">
            <v>EA</v>
          </cell>
          <cell r="I938">
            <v>0</v>
          </cell>
        </row>
        <row r="939">
          <cell r="A939" t="str">
            <v>D00548</v>
          </cell>
          <cell r="B939">
            <v>1</v>
          </cell>
          <cell r="C939" t="str">
            <v>c</v>
          </cell>
          <cell r="D939">
            <v>3160028</v>
          </cell>
          <cell r="E939" t="str">
            <v>교좌장치</v>
          </cell>
          <cell r="F939" t="str">
            <v>(종방향가동단135Ton)</v>
          </cell>
          <cell r="G939" t="str">
            <v>EA</v>
          </cell>
          <cell r="I939">
            <v>0</v>
          </cell>
        </row>
        <row r="940">
          <cell r="A940" t="str">
            <v>D00547</v>
          </cell>
          <cell r="B940">
            <v>4</v>
          </cell>
          <cell r="C940" t="str">
            <v>d</v>
          </cell>
          <cell r="D940">
            <v>3160040</v>
          </cell>
          <cell r="E940" t="str">
            <v>교좌장치</v>
          </cell>
          <cell r="F940" t="str">
            <v>(양방향가동단135Ton)</v>
          </cell>
          <cell r="G940" t="str">
            <v>EA</v>
          </cell>
          <cell r="I940">
            <v>0</v>
          </cell>
        </row>
        <row r="941">
          <cell r="A941" t="str">
            <v>E2</v>
          </cell>
          <cell r="B941">
            <v>0</v>
          </cell>
          <cell r="C941" t="str">
            <v>계</v>
          </cell>
          <cell r="D941">
            <v>3160046</v>
          </cell>
          <cell r="I941">
            <v>0</v>
          </cell>
        </row>
        <row r="942">
          <cell r="A942" t="str">
            <v>T2</v>
          </cell>
          <cell r="B942">
            <v>945</v>
          </cell>
          <cell r="C942" t="str">
            <v>3.09</v>
          </cell>
          <cell r="D942">
            <v>3160360</v>
          </cell>
          <cell r="E942" t="str">
            <v>P.S.C BEAM</v>
          </cell>
          <cell r="I942">
            <v>0</v>
          </cell>
        </row>
        <row r="943">
          <cell r="A943" t="str">
            <v>D00619</v>
          </cell>
          <cell r="B943">
            <v>5</v>
          </cell>
          <cell r="C943" t="str">
            <v>a</v>
          </cell>
          <cell r="D943">
            <v>3160424</v>
          </cell>
          <cell r="E943" t="str">
            <v>P.S.C BEAM 제작</v>
          </cell>
          <cell r="F943" t="str">
            <v>(L=30 M)</v>
          </cell>
          <cell r="G943" t="str">
            <v>본</v>
          </cell>
          <cell r="I943">
            <v>0</v>
          </cell>
        </row>
        <row r="944">
          <cell r="A944" t="str">
            <v>D00606</v>
          </cell>
          <cell r="B944">
            <v>5</v>
          </cell>
          <cell r="C944" t="str">
            <v>b</v>
          </cell>
          <cell r="D944">
            <v>3160488</v>
          </cell>
          <cell r="E944" t="str">
            <v>P.S.C 빔 운반및설치</v>
          </cell>
          <cell r="F944" t="str">
            <v>(L=30 M)</v>
          </cell>
          <cell r="G944" t="str">
            <v>EA</v>
          </cell>
          <cell r="I944">
            <v>0</v>
          </cell>
        </row>
        <row r="945">
          <cell r="A945" t="str">
            <v>D01130</v>
          </cell>
          <cell r="B945">
            <v>5</v>
          </cell>
          <cell r="C945" t="str">
            <v>c</v>
          </cell>
          <cell r="D945">
            <v>3160552</v>
          </cell>
          <cell r="E945" t="str">
            <v>P.S.C빔 전도방지시설</v>
          </cell>
          <cell r="G945" t="str">
            <v>본</v>
          </cell>
          <cell r="I945">
            <v>0</v>
          </cell>
        </row>
        <row r="946">
          <cell r="A946" t="str">
            <v>E2</v>
          </cell>
          <cell r="B946">
            <v>0</v>
          </cell>
          <cell r="C946" t="str">
            <v>계</v>
          </cell>
          <cell r="D946">
            <v>3160584</v>
          </cell>
          <cell r="I946">
            <v>0</v>
          </cell>
        </row>
        <row r="947">
          <cell r="A947" t="str">
            <v>T2</v>
          </cell>
          <cell r="B947">
            <v>949</v>
          </cell>
          <cell r="C947" t="str">
            <v>3.10</v>
          </cell>
          <cell r="D947">
            <v>3160648</v>
          </cell>
          <cell r="E947" t="str">
            <v>신축이음장치</v>
          </cell>
          <cell r="I947">
            <v>0</v>
          </cell>
        </row>
        <row r="948">
          <cell r="A948" t="str">
            <v>D03819</v>
          </cell>
          <cell r="B948">
            <v>10</v>
          </cell>
          <cell r="C948" t="str">
            <v>a</v>
          </cell>
          <cell r="D948">
            <v>3160664</v>
          </cell>
          <cell r="E948" t="str">
            <v>신축이음장치</v>
          </cell>
          <cell r="F948" t="str">
            <v>(Rail-No 80)</v>
          </cell>
          <cell r="G948" t="str">
            <v>M</v>
          </cell>
          <cell r="I948">
            <v>0</v>
          </cell>
        </row>
        <row r="949">
          <cell r="A949" t="str">
            <v>D01313</v>
          </cell>
          <cell r="B949">
            <v>10</v>
          </cell>
          <cell r="C949" t="str">
            <v>b</v>
          </cell>
          <cell r="D949">
            <v>3160680</v>
          </cell>
          <cell r="E949" t="str">
            <v>신축이음장치</v>
          </cell>
          <cell r="F949" t="str">
            <v>(Rail-No100)</v>
          </cell>
          <cell r="G949" t="str">
            <v>M</v>
          </cell>
          <cell r="I949">
            <v>0</v>
          </cell>
        </row>
        <row r="950">
          <cell r="A950" t="str">
            <v>E2</v>
          </cell>
          <cell r="B950">
            <v>0</v>
          </cell>
          <cell r="C950" t="str">
            <v>계</v>
          </cell>
          <cell r="D950">
            <v>3160712</v>
          </cell>
          <cell r="I950">
            <v>0</v>
          </cell>
        </row>
        <row r="951">
          <cell r="A951" t="str">
            <v>D00535</v>
          </cell>
          <cell r="B951">
            <v>300</v>
          </cell>
          <cell r="C951" t="str">
            <v>3.11</v>
          </cell>
          <cell r="D951">
            <v>3160840</v>
          </cell>
          <cell r="E951" t="str">
            <v>교면방수</v>
          </cell>
          <cell r="F951" t="str">
            <v>(도막식)</v>
          </cell>
          <cell r="G951" t="str">
            <v>㎡</v>
          </cell>
          <cell r="I951">
            <v>0</v>
          </cell>
        </row>
        <row r="952">
          <cell r="A952" t="str">
            <v>T2</v>
          </cell>
          <cell r="B952">
            <v>956</v>
          </cell>
          <cell r="C952" t="str">
            <v>3.12</v>
          </cell>
          <cell r="D952">
            <v>3160904</v>
          </cell>
          <cell r="E952" t="str">
            <v>접속슬래브 접합공</v>
          </cell>
          <cell r="I952">
            <v>0</v>
          </cell>
        </row>
        <row r="953">
          <cell r="A953" t="str">
            <v>D01067</v>
          </cell>
          <cell r="B953">
            <v>46</v>
          </cell>
          <cell r="C953" t="str">
            <v>a</v>
          </cell>
          <cell r="D953">
            <v>3160936</v>
          </cell>
          <cell r="E953" t="str">
            <v>다웰바 설치</v>
          </cell>
          <cell r="F953" t="str">
            <v>(D=25 m/m, L=500)</v>
          </cell>
          <cell r="G953" t="str">
            <v>EA</v>
          </cell>
          <cell r="I953">
            <v>0</v>
          </cell>
        </row>
        <row r="954">
          <cell r="A954" t="str">
            <v>D01190</v>
          </cell>
          <cell r="B954">
            <v>13</v>
          </cell>
          <cell r="C954" t="str">
            <v>b</v>
          </cell>
          <cell r="D954">
            <v>3160968</v>
          </cell>
          <cell r="E954" t="str">
            <v>다웰-켑 설치</v>
          </cell>
          <cell r="F954" t="str">
            <v>(Φ60 m/m)</v>
          </cell>
          <cell r="G954" t="str">
            <v>M</v>
          </cell>
          <cell r="I954">
            <v>0</v>
          </cell>
        </row>
        <row r="955">
          <cell r="A955" t="str">
            <v>D00540</v>
          </cell>
          <cell r="B955">
            <v>46</v>
          </cell>
          <cell r="C955" t="str">
            <v>c</v>
          </cell>
          <cell r="D955">
            <v>3160970</v>
          </cell>
          <cell r="E955" t="str">
            <v>경질고무판</v>
          </cell>
          <cell r="F955" t="str">
            <v>(150x150)</v>
          </cell>
          <cell r="G955" t="str">
            <v>EA</v>
          </cell>
          <cell r="I955">
            <v>0</v>
          </cell>
        </row>
        <row r="956">
          <cell r="A956" t="str">
            <v>D00566</v>
          </cell>
          <cell r="B956">
            <v>7</v>
          </cell>
          <cell r="C956" t="str">
            <v>d</v>
          </cell>
          <cell r="D956">
            <v>3160971</v>
          </cell>
          <cell r="E956" t="str">
            <v>타르페이퍼 설치</v>
          </cell>
          <cell r="F956" t="str">
            <v>(5 겹)</v>
          </cell>
          <cell r="G956" t="str">
            <v>㎡</v>
          </cell>
          <cell r="I956">
            <v>0</v>
          </cell>
        </row>
        <row r="957">
          <cell r="A957" t="str">
            <v>E2</v>
          </cell>
          <cell r="B957">
            <v>0</v>
          </cell>
          <cell r="C957" t="str">
            <v>계</v>
          </cell>
          <cell r="D957">
            <v>3161003</v>
          </cell>
          <cell r="I957">
            <v>0</v>
          </cell>
        </row>
        <row r="958">
          <cell r="A958" t="str">
            <v>T2</v>
          </cell>
          <cell r="B958">
            <v>960</v>
          </cell>
          <cell r="C958" t="str">
            <v>3.13</v>
          </cell>
          <cell r="D958">
            <v>3161036</v>
          </cell>
          <cell r="E958" t="str">
            <v>무수축 콘크리트</v>
          </cell>
          <cell r="I958">
            <v>0</v>
          </cell>
        </row>
        <row r="959">
          <cell r="A959" t="str">
            <v>D00567</v>
          </cell>
          <cell r="B959">
            <v>0.50700000000000001</v>
          </cell>
          <cell r="C959" t="str">
            <v>a</v>
          </cell>
          <cell r="D959">
            <v>3161052</v>
          </cell>
          <cell r="E959" t="str">
            <v>무수축몰탈</v>
          </cell>
          <cell r="F959" t="str">
            <v>(1:1)</v>
          </cell>
          <cell r="G959" t="str">
            <v>㎥</v>
          </cell>
          <cell r="I959">
            <v>0</v>
          </cell>
        </row>
        <row r="960">
          <cell r="A960" t="str">
            <v>D00568</v>
          </cell>
          <cell r="B960">
            <v>3.8</v>
          </cell>
          <cell r="C960" t="str">
            <v>b</v>
          </cell>
          <cell r="D960">
            <v>3161060</v>
          </cell>
          <cell r="E960" t="str">
            <v>무수축콘크리트</v>
          </cell>
          <cell r="G960" t="str">
            <v>㎥</v>
          </cell>
          <cell r="I960">
            <v>0</v>
          </cell>
        </row>
        <row r="961">
          <cell r="A961" t="str">
            <v>E2</v>
          </cell>
          <cell r="B961">
            <v>0</v>
          </cell>
          <cell r="C961" t="str">
            <v>계</v>
          </cell>
          <cell r="D961">
            <v>3161064</v>
          </cell>
          <cell r="I961">
            <v>0</v>
          </cell>
        </row>
        <row r="962">
          <cell r="A962" t="str">
            <v>T2</v>
          </cell>
          <cell r="B962">
            <v>964</v>
          </cell>
          <cell r="C962" t="str">
            <v>3.14</v>
          </cell>
          <cell r="D962">
            <v>3161066</v>
          </cell>
          <cell r="E962" t="str">
            <v>스치로폴 설치</v>
          </cell>
          <cell r="I962">
            <v>0</v>
          </cell>
        </row>
        <row r="963">
          <cell r="A963" t="str">
            <v>D00853</v>
          </cell>
          <cell r="B963">
            <v>3</v>
          </cell>
          <cell r="C963" t="str">
            <v>a</v>
          </cell>
          <cell r="D963">
            <v>3161324</v>
          </cell>
          <cell r="E963" t="str">
            <v>스치로폴설치</v>
          </cell>
          <cell r="F963" t="str">
            <v>(T=10 m/m)</v>
          </cell>
          <cell r="G963" t="str">
            <v>㎡</v>
          </cell>
          <cell r="I963">
            <v>0</v>
          </cell>
        </row>
        <row r="964">
          <cell r="A964" t="str">
            <v>D00532</v>
          </cell>
          <cell r="B964">
            <v>17</v>
          </cell>
          <cell r="C964" t="str">
            <v>b</v>
          </cell>
          <cell r="D964">
            <v>3161452</v>
          </cell>
          <cell r="E964" t="str">
            <v>스치로폴설치</v>
          </cell>
          <cell r="F964" t="str">
            <v>(T=20 m/m)</v>
          </cell>
          <cell r="G964" t="str">
            <v>㎡</v>
          </cell>
          <cell r="I964">
            <v>0</v>
          </cell>
        </row>
        <row r="965">
          <cell r="A965" t="str">
            <v>E2</v>
          </cell>
          <cell r="B965">
            <v>0</v>
          </cell>
          <cell r="C965" t="str">
            <v>계</v>
          </cell>
          <cell r="D965">
            <v>3161453</v>
          </cell>
          <cell r="I965">
            <v>0</v>
          </cell>
        </row>
        <row r="966">
          <cell r="A966" t="str">
            <v>T2</v>
          </cell>
          <cell r="B966">
            <v>970</v>
          </cell>
          <cell r="C966" t="str">
            <v>3.15</v>
          </cell>
          <cell r="D966">
            <v>3161580</v>
          </cell>
          <cell r="E966" t="str">
            <v>배수시설</v>
          </cell>
          <cell r="I966">
            <v>0</v>
          </cell>
        </row>
        <row r="967">
          <cell r="A967" t="str">
            <v>D00572</v>
          </cell>
          <cell r="B967">
            <v>4</v>
          </cell>
          <cell r="C967" t="str">
            <v>a</v>
          </cell>
          <cell r="D967">
            <v>3161581</v>
          </cell>
          <cell r="E967" t="str">
            <v>집 수 구</v>
          </cell>
          <cell r="G967" t="str">
            <v>EA</v>
          </cell>
          <cell r="I967">
            <v>0</v>
          </cell>
        </row>
        <row r="968">
          <cell r="A968" t="str">
            <v>D00573</v>
          </cell>
          <cell r="B968">
            <v>21</v>
          </cell>
          <cell r="C968" t="str">
            <v>b</v>
          </cell>
          <cell r="D968">
            <v>3161582</v>
          </cell>
          <cell r="E968" t="str">
            <v>배 수 구</v>
          </cell>
          <cell r="F968" t="str">
            <v>(스테인레스관)</v>
          </cell>
          <cell r="G968" t="str">
            <v>M</v>
          </cell>
          <cell r="I968">
            <v>0</v>
          </cell>
        </row>
        <row r="969">
          <cell r="A969" t="str">
            <v>D00574</v>
          </cell>
          <cell r="B969">
            <v>14</v>
          </cell>
          <cell r="C969" t="str">
            <v>c</v>
          </cell>
          <cell r="D969">
            <v>3161646</v>
          </cell>
          <cell r="E969" t="str">
            <v>부착시설(A)</v>
          </cell>
          <cell r="G969" t="str">
            <v>EA</v>
          </cell>
          <cell r="I969">
            <v>0</v>
          </cell>
        </row>
        <row r="970">
          <cell r="A970" t="str">
            <v>D00577</v>
          </cell>
          <cell r="B970">
            <v>16</v>
          </cell>
          <cell r="C970" t="str">
            <v>d</v>
          </cell>
          <cell r="D970">
            <v>3161678</v>
          </cell>
          <cell r="E970" t="str">
            <v>도 수 로</v>
          </cell>
          <cell r="G970" t="str">
            <v>M</v>
          </cell>
          <cell r="I970">
            <v>0</v>
          </cell>
        </row>
        <row r="971">
          <cell r="A971" t="str">
            <v>E2</v>
          </cell>
          <cell r="B971">
            <v>0</v>
          </cell>
          <cell r="C971" t="str">
            <v>계</v>
          </cell>
          <cell r="D971">
            <v>3161694</v>
          </cell>
          <cell r="I971">
            <v>0</v>
          </cell>
        </row>
        <row r="972">
          <cell r="A972" t="str">
            <v>T2</v>
          </cell>
          <cell r="B972">
            <v>974</v>
          </cell>
          <cell r="C972" t="str">
            <v>3.16</v>
          </cell>
          <cell r="D972">
            <v>3161710</v>
          </cell>
          <cell r="E972" t="str">
            <v>스페이서설치</v>
          </cell>
          <cell r="I972">
            <v>0</v>
          </cell>
        </row>
        <row r="973">
          <cell r="A973" t="str">
            <v>D00588</v>
          </cell>
          <cell r="B973">
            <v>586</v>
          </cell>
          <cell r="C973" t="str">
            <v>a</v>
          </cell>
          <cell r="D973">
            <v>3161726</v>
          </cell>
          <cell r="E973" t="str">
            <v>스페이서 설치</v>
          </cell>
          <cell r="F973" t="str">
            <v>(슬라브및기초용)</v>
          </cell>
          <cell r="G973" t="str">
            <v>㎡</v>
          </cell>
          <cell r="I973">
            <v>0</v>
          </cell>
        </row>
        <row r="974">
          <cell r="A974" t="str">
            <v>D01070</v>
          </cell>
          <cell r="B974">
            <v>117</v>
          </cell>
          <cell r="C974" t="str">
            <v>b</v>
          </cell>
          <cell r="D974">
            <v>3161734</v>
          </cell>
          <cell r="E974" t="str">
            <v>스페이서 설치</v>
          </cell>
          <cell r="F974" t="str">
            <v>(벽체용)</v>
          </cell>
          <cell r="G974" t="str">
            <v>㎡</v>
          </cell>
          <cell r="I974">
            <v>0</v>
          </cell>
        </row>
        <row r="975">
          <cell r="A975" t="str">
            <v>E2</v>
          </cell>
          <cell r="B975">
            <v>0</v>
          </cell>
          <cell r="C975" t="str">
            <v>계</v>
          </cell>
          <cell r="D975">
            <v>3161738</v>
          </cell>
          <cell r="I975">
            <v>0</v>
          </cell>
        </row>
        <row r="976">
          <cell r="A976" t="str">
            <v>T2</v>
          </cell>
          <cell r="B976">
            <v>979</v>
          </cell>
          <cell r="C976" t="str">
            <v>3.17</v>
          </cell>
          <cell r="D976">
            <v>3161756</v>
          </cell>
          <cell r="E976" t="str">
            <v>교명판 설명판</v>
          </cell>
          <cell r="I976">
            <v>0</v>
          </cell>
        </row>
        <row r="977">
          <cell r="A977" t="str">
            <v>D00581</v>
          </cell>
          <cell r="B977">
            <v>4</v>
          </cell>
          <cell r="C977" t="str">
            <v>a</v>
          </cell>
          <cell r="D977">
            <v>3161757</v>
          </cell>
          <cell r="E977" t="str">
            <v>교 명 주</v>
          </cell>
          <cell r="F977" t="str">
            <v>(소형,화강석)</v>
          </cell>
          <cell r="G977" t="str">
            <v>기</v>
          </cell>
          <cell r="I977">
            <v>0</v>
          </cell>
        </row>
        <row r="978">
          <cell r="A978" t="str">
            <v>D00583</v>
          </cell>
          <cell r="B978">
            <v>2</v>
          </cell>
          <cell r="C978" t="str">
            <v>b</v>
          </cell>
          <cell r="D978">
            <v>3161758</v>
          </cell>
          <cell r="E978" t="str">
            <v>교 명 판(황동주물)</v>
          </cell>
          <cell r="F978" t="str">
            <v>(450x200x10)</v>
          </cell>
          <cell r="G978" t="str">
            <v>EA</v>
          </cell>
          <cell r="I978">
            <v>0</v>
          </cell>
        </row>
        <row r="979">
          <cell r="A979" t="str">
            <v>D00584</v>
          </cell>
          <cell r="B979">
            <v>2</v>
          </cell>
          <cell r="C979" t="str">
            <v>c</v>
          </cell>
          <cell r="D979">
            <v>3161822</v>
          </cell>
          <cell r="E979" t="str">
            <v>설 명 판(황동주물)</v>
          </cell>
          <cell r="F979" t="str">
            <v>(500x300x10)</v>
          </cell>
          <cell r="G979" t="str">
            <v>EA</v>
          </cell>
          <cell r="I979">
            <v>0</v>
          </cell>
        </row>
        <row r="980">
          <cell r="A980" t="str">
            <v>E2</v>
          </cell>
          <cell r="B980">
            <v>0</v>
          </cell>
          <cell r="C980" t="str">
            <v>계</v>
          </cell>
          <cell r="D980">
            <v>3161854</v>
          </cell>
          <cell r="I980">
            <v>0</v>
          </cell>
        </row>
        <row r="981">
          <cell r="A981" t="str">
            <v>D00594</v>
          </cell>
          <cell r="B981">
            <v>1</v>
          </cell>
          <cell r="C981" t="str">
            <v>3.18</v>
          </cell>
          <cell r="D981">
            <v>3161862</v>
          </cell>
          <cell r="E981" t="str">
            <v>측량기준점 설치</v>
          </cell>
          <cell r="F981" t="str">
            <v>(황동주물)</v>
          </cell>
          <cell r="G981" t="str">
            <v>EA</v>
          </cell>
          <cell r="I981">
            <v>0</v>
          </cell>
        </row>
        <row r="982">
          <cell r="A982" t="str">
            <v>D01224</v>
          </cell>
          <cell r="B982">
            <v>21</v>
          </cell>
          <cell r="C982" t="str">
            <v>3.19</v>
          </cell>
          <cell r="D982">
            <v>3162062</v>
          </cell>
          <cell r="E982" t="str">
            <v>폴리우레탄실란트채움</v>
          </cell>
          <cell r="F982" t="str">
            <v>(25x10)</v>
          </cell>
          <cell r="G982" t="str">
            <v>M</v>
          </cell>
          <cell r="I982">
            <v>0</v>
          </cell>
        </row>
        <row r="983">
          <cell r="A983" t="str">
            <v>D01308</v>
          </cell>
          <cell r="B983">
            <v>134</v>
          </cell>
          <cell r="C983" t="str">
            <v>3.20</v>
          </cell>
          <cell r="D983">
            <v>3162504</v>
          </cell>
          <cell r="E983" t="str">
            <v>강섬유보강재</v>
          </cell>
          <cell r="F983" t="str">
            <v>(900 g/㎥)</v>
          </cell>
          <cell r="G983" t="str">
            <v>㎥</v>
          </cell>
          <cell r="I983">
            <v>0</v>
          </cell>
        </row>
        <row r="984">
          <cell r="A984" t="str">
            <v>D01309</v>
          </cell>
          <cell r="B984">
            <v>20</v>
          </cell>
          <cell r="C984" t="str">
            <v>3.21</v>
          </cell>
          <cell r="D984">
            <v>3163000</v>
          </cell>
          <cell r="E984" t="str">
            <v>모래주머니</v>
          </cell>
          <cell r="G984" t="str">
            <v>EA</v>
          </cell>
          <cell r="I984">
            <v>0</v>
          </cell>
        </row>
        <row r="985">
          <cell r="A985" t="str">
            <v>D00911</v>
          </cell>
          <cell r="B985">
            <v>88</v>
          </cell>
          <cell r="C985" t="str">
            <v>3.22</v>
          </cell>
          <cell r="D985">
            <v>3315997</v>
          </cell>
          <cell r="E985" t="str">
            <v>방 호 벽</v>
          </cell>
          <cell r="F985" t="str">
            <v>(육교용)</v>
          </cell>
          <cell r="G985" t="str">
            <v>M</v>
          </cell>
          <cell r="I985">
            <v>0</v>
          </cell>
        </row>
        <row r="986">
          <cell r="A986" t="str">
            <v>D00791</v>
          </cell>
          <cell r="B986">
            <v>10</v>
          </cell>
          <cell r="C986" t="str">
            <v>3.23</v>
          </cell>
          <cell r="D986">
            <v>3392495</v>
          </cell>
          <cell r="E986" t="str">
            <v>교좌장치표지판</v>
          </cell>
          <cell r="G986" t="str">
            <v>EA</v>
          </cell>
          <cell r="I986">
            <v>0</v>
          </cell>
        </row>
        <row r="987">
          <cell r="A987" t="str">
            <v>D00817</v>
          </cell>
          <cell r="B987">
            <v>4.5999999999999999E-2</v>
          </cell>
          <cell r="C987" t="str">
            <v>3.24</v>
          </cell>
          <cell r="D987">
            <v>3430744</v>
          </cell>
          <cell r="E987" t="str">
            <v>아스팔트 채움</v>
          </cell>
          <cell r="F987" t="str">
            <v>(브론아스팔트)</v>
          </cell>
          <cell r="G987" t="str">
            <v>㎥</v>
          </cell>
          <cell r="I987">
            <v>0</v>
          </cell>
        </row>
        <row r="988">
          <cell r="A988" t="str">
            <v>D03871</v>
          </cell>
          <cell r="B988">
            <v>6</v>
          </cell>
          <cell r="C988" t="str">
            <v>3.25</v>
          </cell>
          <cell r="D988">
            <v>3613199</v>
          </cell>
          <cell r="E988" t="str">
            <v>평판재하시험</v>
          </cell>
          <cell r="G988" t="str">
            <v>개소</v>
          </cell>
          <cell r="I988">
            <v>0</v>
          </cell>
        </row>
        <row r="989">
          <cell r="A989" t="str">
            <v>E3</v>
          </cell>
          <cell r="B989">
            <v>0</v>
          </cell>
          <cell r="C989" t="str">
            <v>합계</v>
          </cell>
          <cell r="D989">
            <v>3795653</v>
          </cell>
          <cell r="I989">
            <v>0</v>
          </cell>
        </row>
        <row r="990">
          <cell r="A990" t="str">
            <v>T3</v>
          </cell>
          <cell r="B990">
            <v>1092</v>
          </cell>
          <cell r="C990" t="str">
            <v>3.H</v>
          </cell>
          <cell r="D990">
            <v>3960306</v>
          </cell>
          <cell r="E990" t="str">
            <v>고    암    교</v>
          </cell>
          <cell r="F990" t="str">
            <v>PRE-FLEX BEAM</v>
          </cell>
          <cell r="I990">
            <v>0</v>
          </cell>
        </row>
        <row r="991">
          <cell r="A991" t="str">
            <v>T2</v>
          </cell>
          <cell r="B991">
            <v>995</v>
          </cell>
          <cell r="C991" t="str">
            <v>3.01</v>
          </cell>
          <cell r="D991">
            <v>3960434</v>
          </cell>
          <cell r="E991" t="str">
            <v>토          공</v>
          </cell>
          <cell r="I991">
            <v>0</v>
          </cell>
        </row>
        <row r="992">
          <cell r="A992" t="str">
            <v>D00096</v>
          </cell>
          <cell r="B992">
            <v>2953</v>
          </cell>
          <cell r="C992" t="str">
            <v>a</v>
          </cell>
          <cell r="D992">
            <v>4113731</v>
          </cell>
          <cell r="E992" t="str">
            <v>구조물터파기</v>
          </cell>
          <cell r="F992" t="str">
            <v>(육상토사 0∼2 M)</v>
          </cell>
          <cell r="G992" t="str">
            <v>㎥</v>
          </cell>
          <cell r="I992">
            <v>0</v>
          </cell>
        </row>
        <row r="993">
          <cell r="A993" t="str">
            <v>D00038</v>
          </cell>
          <cell r="B993">
            <v>2953</v>
          </cell>
          <cell r="C993" t="str">
            <v>b</v>
          </cell>
          <cell r="D993">
            <v>4114067</v>
          </cell>
          <cell r="E993" t="str">
            <v>토사치환</v>
          </cell>
          <cell r="F993" t="str">
            <v>노상다짐</v>
          </cell>
          <cell r="G993" t="str">
            <v>㎥</v>
          </cell>
          <cell r="I993">
            <v>0</v>
          </cell>
        </row>
        <row r="994">
          <cell r="A994" t="str">
            <v>D00170</v>
          </cell>
          <cell r="B994">
            <v>1033</v>
          </cell>
          <cell r="C994" t="str">
            <v>c</v>
          </cell>
          <cell r="D994">
            <v>4114523</v>
          </cell>
          <cell r="E994" t="str">
            <v>뒷채움잡석</v>
          </cell>
          <cell r="F994" t="str">
            <v>(현장암유용)</v>
          </cell>
          <cell r="G994" t="str">
            <v>㎥</v>
          </cell>
          <cell r="I994">
            <v>0</v>
          </cell>
        </row>
        <row r="995">
          <cell r="A995" t="str">
            <v>D00150</v>
          </cell>
          <cell r="B995">
            <v>3002</v>
          </cell>
          <cell r="C995" t="str">
            <v>d</v>
          </cell>
          <cell r="D995">
            <v>4114583</v>
          </cell>
          <cell r="E995" t="str">
            <v>교대앞성토</v>
          </cell>
          <cell r="G995" t="str">
            <v>㎥</v>
          </cell>
          <cell r="I995">
            <v>0</v>
          </cell>
        </row>
        <row r="996">
          <cell r="A996" t="str">
            <v>E2</v>
          </cell>
          <cell r="B996">
            <v>0</v>
          </cell>
          <cell r="C996" t="str">
            <v>계</v>
          </cell>
          <cell r="D996">
            <v>4114643</v>
          </cell>
          <cell r="I996">
            <v>0</v>
          </cell>
        </row>
        <row r="997">
          <cell r="A997" t="str">
            <v>T2</v>
          </cell>
          <cell r="B997">
            <v>1002</v>
          </cell>
          <cell r="C997" t="str">
            <v>3.02</v>
          </cell>
          <cell r="D997">
            <v>4114771</v>
          </cell>
          <cell r="E997" t="str">
            <v>강관파일공</v>
          </cell>
          <cell r="I997">
            <v>0</v>
          </cell>
        </row>
        <row r="998">
          <cell r="A998" t="str">
            <v>D00504</v>
          </cell>
          <cell r="B998">
            <v>1376</v>
          </cell>
          <cell r="C998" t="str">
            <v>a</v>
          </cell>
          <cell r="D998">
            <v>4114829</v>
          </cell>
          <cell r="E998" t="str">
            <v>강관파일구입</v>
          </cell>
          <cell r="F998" t="str">
            <v>(Φ508.0m/mx9t)</v>
          </cell>
          <cell r="G998" t="str">
            <v>M</v>
          </cell>
          <cell r="I998">
            <v>0</v>
          </cell>
        </row>
        <row r="999">
          <cell r="A999" t="str">
            <v>D00512</v>
          </cell>
          <cell r="B999">
            <v>1344</v>
          </cell>
          <cell r="C999" t="str">
            <v>b</v>
          </cell>
          <cell r="D999">
            <v>4114858</v>
          </cell>
          <cell r="E999" t="str">
            <v>강관파일항타(직항)</v>
          </cell>
          <cell r="F999" t="str">
            <v>Φ508(15 m 이하)</v>
          </cell>
          <cell r="G999" t="str">
            <v>M</v>
          </cell>
          <cell r="I999">
            <v>0</v>
          </cell>
        </row>
        <row r="1000">
          <cell r="A1000" t="str">
            <v>D03838</v>
          </cell>
          <cell r="B1000">
            <v>24</v>
          </cell>
          <cell r="C1000" t="str">
            <v>c</v>
          </cell>
          <cell r="D1000">
            <v>4114864</v>
          </cell>
          <cell r="E1000" t="str">
            <v>파일속모래채움</v>
          </cell>
          <cell r="G1000" t="str">
            <v>㎥</v>
          </cell>
          <cell r="I1000">
            <v>0</v>
          </cell>
        </row>
        <row r="1001">
          <cell r="A1001" t="str">
            <v>D00502</v>
          </cell>
          <cell r="B1001">
            <v>24</v>
          </cell>
          <cell r="C1001" t="str">
            <v>d</v>
          </cell>
          <cell r="D1001">
            <v>4114867</v>
          </cell>
          <cell r="E1001" t="str">
            <v>속채움 콘크리트</v>
          </cell>
          <cell r="G1001" t="str">
            <v>㎥</v>
          </cell>
          <cell r="I1001">
            <v>0</v>
          </cell>
        </row>
        <row r="1002">
          <cell r="A1002" t="str">
            <v>D00517</v>
          </cell>
          <cell r="B1002">
            <v>128</v>
          </cell>
          <cell r="C1002" t="str">
            <v>e</v>
          </cell>
          <cell r="D1002">
            <v>4114869</v>
          </cell>
          <cell r="E1002" t="str">
            <v>두부및선단보강</v>
          </cell>
          <cell r="F1002" t="str">
            <v>(Φ508.8 m/m)</v>
          </cell>
          <cell r="G1002" t="str">
            <v>EA</v>
          </cell>
          <cell r="I1002">
            <v>0</v>
          </cell>
        </row>
        <row r="1003">
          <cell r="A1003" t="str">
            <v>E2</v>
          </cell>
          <cell r="B1003">
            <v>0</v>
          </cell>
          <cell r="C1003" t="str">
            <v>계</v>
          </cell>
          <cell r="D1003">
            <v>4114886</v>
          </cell>
          <cell r="I1003">
            <v>0</v>
          </cell>
        </row>
        <row r="1004">
          <cell r="A1004" t="str">
            <v>T2</v>
          </cell>
          <cell r="B1004">
            <v>1008</v>
          </cell>
          <cell r="C1004" t="str">
            <v>3.03</v>
          </cell>
          <cell r="D1004">
            <v>4115857</v>
          </cell>
          <cell r="E1004" t="str">
            <v>거 푸 집</v>
          </cell>
          <cell r="I1004">
            <v>0</v>
          </cell>
        </row>
        <row r="1005">
          <cell r="A1005" t="str">
            <v>D00276</v>
          </cell>
          <cell r="B1005">
            <v>2018</v>
          </cell>
          <cell r="C1005" t="str">
            <v>a</v>
          </cell>
          <cell r="D1005">
            <v>4115858</v>
          </cell>
          <cell r="E1005" t="str">
            <v>합판거푸집</v>
          </cell>
          <cell r="F1005" t="str">
            <v>(3 회)</v>
          </cell>
          <cell r="G1005" t="str">
            <v>㎡</v>
          </cell>
          <cell r="I1005">
            <v>0</v>
          </cell>
        </row>
        <row r="1006">
          <cell r="A1006" t="str">
            <v>D00280</v>
          </cell>
          <cell r="B1006">
            <v>194</v>
          </cell>
          <cell r="C1006" t="str">
            <v>b</v>
          </cell>
          <cell r="D1006">
            <v>4115954</v>
          </cell>
          <cell r="E1006" t="str">
            <v>합판거푸집</v>
          </cell>
          <cell r="F1006" t="str">
            <v>(4 회)</v>
          </cell>
          <cell r="G1006" t="str">
            <v>㎡</v>
          </cell>
          <cell r="I1006">
            <v>0</v>
          </cell>
        </row>
        <row r="1007">
          <cell r="A1007" t="str">
            <v>D00282</v>
          </cell>
          <cell r="B1007">
            <v>18</v>
          </cell>
          <cell r="C1007" t="str">
            <v>c</v>
          </cell>
          <cell r="D1007">
            <v>4115958</v>
          </cell>
          <cell r="E1007" t="str">
            <v>합판거푸집</v>
          </cell>
          <cell r="F1007" t="str">
            <v>(6 회)</v>
          </cell>
          <cell r="G1007" t="str">
            <v>㎡</v>
          </cell>
          <cell r="I1007">
            <v>0</v>
          </cell>
        </row>
        <row r="1008">
          <cell r="A1008" t="str">
            <v>D00265</v>
          </cell>
          <cell r="B1008">
            <v>373</v>
          </cell>
          <cell r="C1008" t="str">
            <v>d</v>
          </cell>
          <cell r="D1008">
            <v>4115962</v>
          </cell>
          <cell r="E1008" t="str">
            <v>문양거푸집(합판4회+</v>
          </cell>
          <cell r="F1008" t="str">
            <v>문양스치로폴(0∼7M)</v>
          </cell>
          <cell r="G1008" t="str">
            <v>㎡</v>
          </cell>
          <cell r="I1008">
            <v>0</v>
          </cell>
        </row>
        <row r="1009">
          <cell r="A1009" t="str">
            <v>E2</v>
          </cell>
          <cell r="B1009">
            <v>0</v>
          </cell>
          <cell r="C1009" t="str">
            <v>계</v>
          </cell>
          <cell r="D1009">
            <v>4116098</v>
          </cell>
          <cell r="I1009">
            <v>0</v>
          </cell>
        </row>
        <row r="1010">
          <cell r="A1010" t="str">
            <v>D00323</v>
          </cell>
          <cell r="B1010">
            <v>970</v>
          </cell>
          <cell r="C1010" t="str">
            <v>3.04</v>
          </cell>
          <cell r="D1010">
            <v>4116099</v>
          </cell>
          <cell r="E1010" t="str">
            <v>강관비계</v>
          </cell>
          <cell r="F1010" t="str">
            <v>(0∼30 M)</v>
          </cell>
          <cell r="G1010" t="str">
            <v>㎡</v>
          </cell>
          <cell r="I1010">
            <v>0</v>
          </cell>
        </row>
        <row r="1011">
          <cell r="A1011" t="str">
            <v>T2</v>
          </cell>
          <cell r="B1011">
            <v>1014</v>
          </cell>
          <cell r="C1011" t="str">
            <v>3.05</v>
          </cell>
          <cell r="D1011">
            <v>4116163</v>
          </cell>
          <cell r="E1011" t="str">
            <v>동 바 리</v>
          </cell>
          <cell r="I1011">
            <v>0</v>
          </cell>
        </row>
        <row r="1012">
          <cell r="A1012" t="str">
            <v>D00327</v>
          </cell>
          <cell r="B1012">
            <v>702</v>
          </cell>
          <cell r="C1012" t="str">
            <v>a</v>
          </cell>
          <cell r="D1012">
            <v>4116195</v>
          </cell>
          <cell r="E1012" t="str">
            <v>동바리공</v>
          </cell>
          <cell r="F1012" t="str">
            <v>(목재 4 회)</v>
          </cell>
          <cell r="G1012" t="str">
            <v>공㎥</v>
          </cell>
          <cell r="I1012">
            <v>0</v>
          </cell>
        </row>
        <row r="1013">
          <cell r="A1013" t="str">
            <v>D00334</v>
          </cell>
          <cell r="B1013">
            <v>201</v>
          </cell>
          <cell r="C1013" t="str">
            <v>b</v>
          </cell>
          <cell r="D1013">
            <v>4116219</v>
          </cell>
          <cell r="E1013" t="str">
            <v>강관동바리</v>
          </cell>
          <cell r="F1013" t="str">
            <v>(교량용)</v>
          </cell>
          <cell r="G1013" t="str">
            <v>공㎥</v>
          </cell>
          <cell r="I1013">
            <v>0</v>
          </cell>
        </row>
        <row r="1014">
          <cell r="A1014" t="str">
            <v>D01129</v>
          </cell>
          <cell r="B1014">
            <v>54</v>
          </cell>
          <cell r="C1014" t="str">
            <v>c</v>
          </cell>
          <cell r="D1014">
            <v>4116223</v>
          </cell>
          <cell r="E1014" t="str">
            <v>수평보강재(교량용)</v>
          </cell>
          <cell r="F1014" t="str">
            <v>(강관동바리)</v>
          </cell>
          <cell r="G1014" t="str">
            <v>㎡</v>
          </cell>
          <cell r="I1014">
            <v>0</v>
          </cell>
        </row>
        <row r="1015">
          <cell r="A1015" t="str">
            <v>E2</v>
          </cell>
          <cell r="B1015">
            <v>0</v>
          </cell>
          <cell r="C1015" t="str">
            <v>계</v>
          </cell>
          <cell r="D1015">
            <v>4116225</v>
          </cell>
          <cell r="I1015">
            <v>0</v>
          </cell>
        </row>
        <row r="1016">
          <cell r="A1016" t="str">
            <v>T2</v>
          </cell>
          <cell r="B1016">
            <v>1018</v>
          </cell>
          <cell r="C1016" t="str">
            <v>3.06</v>
          </cell>
          <cell r="D1016">
            <v>4116347</v>
          </cell>
          <cell r="E1016" t="str">
            <v>철근가공조립</v>
          </cell>
          <cell r="I1016">
            <v>0</v>
          </cell>
        </row>
        <row r="1017">
          <cell r="A1017" t="str">
            <v>D00271</v>
          </cell>
          <cell r="B1017">
            <v>16.827999999999999</v>
          </cell>
          <cell r="C1017" t="str">
            <v>a</v>
          </cell>
          <cell r="D1017">
            <v>4116349</v>
          </cell>
          <cell r="E1017" t="str">
            <v>철근가공조립</v>
          </cell>
          <cell r="F1017" t="str">
            <v>(보 통)</v>
          </cell>
          <cell r="G1017" t="str">
            <v>Ton</v>
          </cell>
          <cell r="I1017">
            <v>0</v>
          </cell>
        </row>
        <row r="1018">
          <cell r="A1018" t="str">
            <v>D00272</v>
          </cell>
          <cell r="B1018">
            <v>171.11600000000001</v>
          </cell>
          <cell r="C1018" t="str">
            <v>b</v>
          </cell>
          <cell r="D1018">
            <v>4116351</v>
          </cell>
          <cell r="E1018" t="str">
            <v>철근가공조립</v>
          </cell>
          <cell r="F1018" t="str">
            <v>(복 잡)</v>
          </cell>
          <cell r="G1018" t="str">
            <v>Ton</v>
          </cell>
          <cell r="I1018">
            <v>0</v>
          </cell>
        </row>
        <row r="1019">
          <cell r="A1019" t="str">
            <v>E2</v>
          </cell>
          <cell r="B1019">
            <v>0</v>
          </cell>
          <cell r="C1019" t="str">
            <v>계</v>
          </cell>
          <cell r="D1019">
            <v>4116354</v>
          </cell>
          <cell r="I1019">
            <v>0</v>
          </cell>
        </row>
        <row r="1020">
          <cell r="A1020" t="str">
            <v>T2</v>
          </cell>
          <cell r="B1020">
            <v>1022</v>
          </cell>
          <cell r="C1020" t="str">
            <v>3.07</v>
          </cell>
          <cell r="D1020">
            <v>4116355</v>
          </cell>
          <cell r="E1020" t="str">
            <v>콘크리트타설</v>
          </cell>
          <cell r="I1020">
            <v>0</v>
          </cell>
        </row>
        <row r="1021">
          <cell r="A1021" t="str">
            <v>D00237</v>
          </cell>
          <cell r="B1021">
            <v>1311</v>
          </cell>
          <cell r="C1021" t="str">
            <v>a</v>
          </cell>
          <cell r="D1021">
            <v>4116419</v>
          </cell>
          <cell r="E1021" t="str">
            <v>콘크리트타설</v>
          </cell>
          <cell r="F1021" t="str">
            <v>(철근 펌프카)</v>
          </cell>
          <cell r="G1021" t="str">
            <v>㎥</v>
          </cell>
          <cell r="I1021">
            <v>0</v>
          </cell>
        </row>
        <row r="1022">
          <cell r="A1022" t="str">
            <v>D00231</v>
          </cell>
          <cell r="B1022">
            <v>50</v>
          </cell>
          <cell r="C1022" t="str">
            <v>b</v>
          </cell>
          <cell r="D1022">
            <v>4116451</v>
          </cell>
          <cell r="E1022" t="str">
            <v>콘크리트타설</v>
          </cell>
          <cell r="F1022" t="str">
            <v>(무근 VIB 제외)</v>
          </cell>
          <cell r="G1022" t="str">
            <v>㎥</v>
          </cell>
          <cell r="I1022">
            <v>0</v>
          </cell>
        </row>
        <row r="1023">
          <cell r="A1023" t="str">
            <v>E2</v>
          </cell>
          <cell r="B1023">
            <v>0</v>
          </cell>
          <cell r="C1023" t="str">
            <v>계</v>
          </cell>
          <cell r="D1023">
            <v>4116483</v>
          </cell>
          <cell r="I1023">
            <v>0</v>
          </cell>
        </row>
        <row r="1024">
          <cell r="A1024" t="str">
            <v>T2</v>
          </cell>
          <cell r="B1024">
            <v>1026</v>
          </cell>
          <cell r="C1024" t="str">
            <v>3.08</v>
          </cell>
          <cell r="D1024">
            <v>4116491</v>
          </cell>
          <cell r="E1024" t="str">
            <v>표 면 처 리</v>
          </cell>
          <cell r="I1024">
            <v>0</v>
          </cell>
        </row>
        <row r="1025">
          <cell r="A1025" t="str">
            <v>D00537</v>
          </cell>
          <cell r="B1025">
            <v>837</v>
          </cell>
          <cell r="C1025" t="str">
            <v>a</v>
          </cell>
          <cell r="D1025">
            <v>4116495</v>
          </cell>
          <cell r="E1025" t="str">
            <v>슬래브양생</v>
          </cell>
          <cell r="F1025" t="str">
            <v>(양생제)</v>
          </cell>
          <cell r="G1025" t="str">
            <v>㎡</v>
          </cell>
          <cell r="I1025">
            <v>0</v>
          </cell>
        </row>
        <row r="1026">
          <cell r="A1026" t="str">
            <v>D00539</v>
          </cell>
          <cell r="B1026">
            <v>758</v>
          </cell>
          <cell r="C1026" t="str">
            <v>b</v>
          </cell>
          <cell r="D1026">
            <v>4116497</v>
          </cell>
          <cell r="E1026" t="str">
            <v>슬래브면고르기</v>
          </cell>
          <cell r="F1026" t="str">
            <v>(데크 피니샤)</v>
          </cell>
          <cell r="G1026" t="str">
            <v>㎡</v>
          </cell>
          <cell r="I1026">
            <v>0</v>
          </cell>
        </row>
        <row r="1027">
          <cell r="A1027" t="str">
            <v>E2</v>
          </cell>
          <cell r="B1027">
            <v>0</v>
          </cell>
          <cell r="C1027" t="str">
            <v>계</v>
          </cell>
          <cell r="D1027">
            <v>4116498</v>
          </cell>
          <cell r="I1027">
            <v>0</v>
          </cell>
        </row>
        <row r="1028">
          <cell r="A1028" t="str">
            <v>T2</v>
          </cell>
          <cell r="B1028">
            <v>1032</v>
          </cell>
          <cell r="C1028" t="str">
            <v>3.09</v>
          </cell>
          <cell r="D1028">
            <v>4116626</v>
          </cell>
          <cell r="E1028" t="str">
            <v>교좌장치</v>
          </cell>
          <cell r="I1028">
            <v>0</v>
          </cell>
        </row>
        <row r="1029">
          <cell r="A1029" t="str">
            <v>D00544</v>
          </cell>
          <cell r="B1029">
            <v>2</v>
          </cell>
          <cell r="C1029" t="str">
            <v>a</v>
          </cell>
          <cell r="D1029">
            <v>4116722</v>
          </cell>
          <cell r="E1029" t="str">
            <v>교좌장치</v>
          </cell>
          <cell r="F1029" t="str">
            <v>(고정단 175 Ton)</v>
          </cell>
          <cell r="G1029" t="str">
            <v>EA</v>
          </cell>
          <cell r="I1029">
            <v>0</v>
          </cell>
        </row>
        <row r="1030">
          <cell r="A1030" t="str">
            <v>D00542</v>
          </cell>
          <cell r="B1030">
            <v>6</v>
          </cell>
          <cell r="C1030" t="str">
            <v>b</v>
          </cell>
          <cell r="D1030">
            <v>4116770</v>
          </cell>
          <cell r="E1030" t="str">
            <v>교좌장치</v>
          </cell>
          <cell r="F1030" t="str">
            <v>(횡방향가동단175Ton)</v>
          </cell>
          <cell r="G1030" t="str">
            <v>EA</v>
          </cell>
          <cell r="I1030">
            <v>0</v>
          </cell>
        </row>
        <row r="1031">
          <cell r="A1031" t="str">
            <v>D00546</v>
          </cell>
          <cell r="B1031">
            <v>2</v>
          </cell>
          <cell r="C1031" t="str">
            <v>c</v>
          </cell>
          <cell r="D1031">
            <v>4116809</v>
          </cell>
          <cell r="E1031" t="str">
            <v>교좌장치</v>
          </cell>
          <cell r="F1031" t="str">
            <v>(종방향가동단175Ton)</v>
          </cell>
          <cell r="G1031" t="str">
            <v>EA</v>
          </cell>
          <cell r="I1031">
            <v>0</v>
          </cell>
        </row>
        <row r="1032">
          <cell r="A1032" t="str">
            <v>D00550</v>
          </cell>
          <cell r="B1032">
            <v>6</v>
          </cell>
          <cell r="C1032" t="str">
            <v>d</v>
          </cell>
          <cell r="D1032">
            <v>4116811</v>
          </cell>
          <cell r="E1032" t="str">
            <v>교좌장치</v>
          </cell>
          <cell r="F1032" t="str">
            <v>(양방향가동단175Ton)</v>
          </cell>
          <cell r="G1032" t="str">
            <v>EA</v>
          </cell>
          <cell r="I1032">
            <v>0</v>
          </cell>
        </row>
        <row r="1033">
          <cell r="A1033" t="str">
            <v>E2</v>
          </cell>
          <cell r="B1033">
            <v>0</v>
          </cell>
          <cell r="C1033" t="str">
            <v>계</v>
          </cell>
          <cell r="D1033">
            <v>4116812</v>
          </cell>
          <cell r="I1033">
            <v>0</v>
          </cell>
        </row>
        <row r="1034">
          <cell r="A1034" t="str">
            <v>T2</v>
          </cell>
          <cell r="B1034">
            <v>1037</v>
          </cell>
          <cell r="C1034" t="str">
            <v>3.10</v>
          </cell>
          <cell r="D1034">
            <v>4116940</v>
          </cell>
          <cell r="E1034" t="str">
            <v>PRE-FLEX BEAM</v>
          </cell>
          <cell r="I1034">
            <v>0</v>
          </cell>
        </row>
        <row r="1035">
          <cell r="A1035" t="str">
            <v>W00087</v>
          </cell>
          <cell r="B1035">
            <v>4</v>
          </cell>
          <cell r="C1035" t="str">
            <v>a</v>
          </cell>
          <cell r="D1035">
            <v>4117004</v>
          </cell>
          <cell r="E1035" t="str">
            <v>PRE-FLEX BEAM</v>
          </cell>
          <cell r="F1035" t="str">
            <v>고암교(내측)</v>
          </cell>
          <cell r="G1035" t="str">
            <v>본</v>
          </cell>
          <cell r="I1035">
            <v>0</v>
          </cell>
        </row>
        <row r="1036">
          <cell r="A1036" t="str">
            <v>W00086</v>
          </cell>
          <cell r="B1036">
            <v>4</v>
          </cell>
          <cell r="C1036" t="str">
            <v>b</v>
          </cell>
          <cell r="D1036">
            <v>4117036</v>
          </cell>
          <cell r="E1036" t="str">
            <v>PRE-FLEX BEAM</v>
          </cell>
          <cell r="F1036" t="str">
            <v>고암교(외측)</v>
          </cell>
          <cell r="G1036" t="str">
            <v>본</v>
          </cell>
          <cell r="I1036">
            <v>0</v>
          </cell>
        </row>
        <row r="1037">
          <cell r="A1037" t="str">
            <v>D00627</v>
          </cell>
          <cell r="B1037">
            <v>1</v>
          </cell>
          <cell r="C1037" t="str">
            <v>c</v>
          </cell>
          <cell r="D1037">
            <v>4117068</v>
          </cell>
          <cell r="E1037" t="str">
            <v>PRE-FLEX BEAM</v>
          </cell>
          <cell r="F1037" t="str">
            <v>(전도방지시설)</v>
          </cell>
          <cell r="G1037" t="str">
            <v>식</v>
          </cell>
          <cell r="I1037">
            <v>0</v>
          </cell>
        </row>
        <row r="1038">
          <cell r="A1038" t="str">
            <v>E2</v>
          </cell>
          <cell r="B1038">
            <v>0</v>
          </cell>
          <cell r="C1038" t="str">
            <v>계</v>
          </cell>
          <cell r="D1038">
            <v>4117164</v>
          </cell>
          <cell r="I1038">
            <v>0</v>
          </cell>
        </row>
        <row r="1039">
          <cell r="A1039" t="str">
            <v>T2</v>
          </cell>
          <cell r="B1039">
            <v>1041</v>
          </cell>
          <cell r="C1039" t="str">
            <v>3.11</v>
          </cell>
          <cell r="D1039">
            <v>4117292</v>
          </cell>
          <cell r="E1039" t="str">
            <v>신축이음장치</v>
          </cell>
          <cell r="I1039">
            <v>0</v>
          </cell>
        </row>
        <row r="1040">
          <cell r="A1040" t="str">
            <v>D03819</v>
          </cell>
          <cell r="B1040">
            <v>19</v>
          </cell>
          <cell r="C1040" t="str">
            <v>a</v>
          </cell>
          <cell r="D1040">
            <v>4117308</v>
          </cell>
          <cell r="E1040" t="str">
            <v>신축이음장치</v>
          </cell>
          <cell r="F1040" t="str">
            <v>(Rail-No 80)</v>
          </cell>
          <cell r="G1040" t="str">
            <v>M</v>
          </cell>
          <cell r="I1040">
            <v>0</v>
          </cell>
        </row>
        <row r="1041">
          <cell r="A1041" t="str">
            <v>D01313</v>
          </cell>
          <cell r="B1041">
            <v>19</v>
          </cell>
          <cell r="C1041" t="str">
            <v>b</v>
          </cell>
          <cell r="D1041">
            <v>4117324</v>
          </cell>
          <cell r="E1041" t="str">
            <v>신축이음장치</v>
          </cell>
          <cell r="F1041" t="str">
            <v>(Rail-No100)</v>
          </cell>
          <cell r="G1041" t="str">
            <v>M</v>
          </cell>
          <cell r="I1041">
            <v>0</v>
          </cell>
        </row>
        <row r="1042">
          <cell r="A1042" t="str">
            <v>E2</v>
          </cell>
          <cell r="B1042">
            <v>0</v>
          </cell>
          <cell r="C1042" t="str">
            <v>계</v>
          </cell>
          <cell r="D1042">
            <v>4117356</v>
          </cell>
          <cell r="I1042">
            <v>0</v>
          </cell>
        </row>
        <row r="1043">
          <cell r="A1043" t="str">
            <v>D00535</v>
          </cell>
          <cell r="B1043">
            <v>758</v>
          </cell>
          <cell r="C1043" t="str">
            <v>3.12</v>
          </cell>
          <cell r="D1043">
            <v>4117612</v>
          </cell>
          <cell r="E1043" t="str">
            <v>교면방수</v>
          </cell>
          <cell r="F1043" t="str">
            <v>(도막식)</v>
          </cell>
          <cell r="G1043" t="str">
            <v>㎡</v>
          </cell>
          <cell r="I1043">
            <v>0</v>
          </cell>
        </row>
        <row r="1044">
          <cell r="A1044" t="str">
            <v>T2</v>
          </cell>
          <cell r="B1044">
            <v>1048</v>
          </cell>
          <cell r="C1044" t="str">
            <v>3.13</v>
          </cell>
          <cell r="D1044">
            <v>4117676</v>
          </cell>
          <cell r="E1044" t="str">
            <v>접속슬래브 접합공</v>
          </cell>
          <cell r="I1044">
            <v>0</v>
          </cell>
        </row>
        <row r="1045">
          <cell r="A1045" t="str">
            <v>D01067</v>
          </cell>
          <cell r="B1045">
            <v>96</v>
          </cell>
          <cell r="C1045" t="str">
            <v>a</v>
          </cell>
          <cell r="D1045">
            <v>4117708</v>
          </cell>
          <cell r="E1045" t="str">
            <v>다웰바 설치</v>
          </cell>
          <cell r="F1045" t="str">
            <v>(D=25 m/m, L=500)</v>
          </cell>
          <cell r="G1045" t="str">
            <v>EA</v>
          </cell>
          <cell r="I1045">
            <v>0</v>
          </cell>
        </row>
        <row r="1046">
          <cell r="A1046" t="str">
            <v>D01190</v>
          </cell>
          <cell r="B1046">
            <v>28</v>
          </cell>
          <cell r="C1046" t="str">
            <v>b</v>
          </cell>
          <cell r="D1046">
            <v>4117740</v>
          </cell>
          <cell r="E1046" t="str">
            <v>다웰-켑 설치</v>
          </cell>
          <cell r="F1046" t="str">
            <v>(Φ60 m/m)</v>
          </cell>
          <cell r="G1046" t="str">
            <v>M</v>
          </cell>
          <cell r="I1046">
            <v>0</v>
          </cell>
        </row>
        <row r="1047">
          <cell r="A1047" t="str">
            <v>D00540</v>
          </cell>
          <cell r="B1047">
            <v>96</v>
          </cell>
          <cell r="C1047" t="str">
            <v>c</v>
          </cell>
          <cell r="D1047">
            <v>4117742</v>
          </cell>
          <cell r="E1047" t="str">
            <v>경질고무판</v>
          </cell>
          <cell r="F1047" t="str">
            <v>(150x150)</v>
          </cell>
          <cell r="G1047" t="str">
            <v>EA</v>
          </cell>
          <cell r="I1047">
            <v>0</v>
          </cell>
        </row>
        <row r="1048">
          <cell r="A1048" t="str">
            <v>D00566</v>
          </cell>
          <cell r="B1048">
            <v>15</v>
          </cell>
          <cell r="C1048" t="str">
            <v>d</v>
          </cell>
          <cell r="D1048">
            <v>4117743</v>
          </cell>
          <cell r="E1048" t="str">
            <v>타르페이퍼 설치</v>
          </cell>
          <cell r="F1048" t="str">
            <v>(5 겹)</v>
          </cell>
          <cell r="G1048" t="str">
            <v>㎡</v>
          </cell>
          <cell r="I1048">
            <v>0</v>
          </cell>
        </row>
        <row r="1049">
          <cell r="A1049" t="str">
            <v>E2</v>
          </cell>
          <cell r="B1049">
            <v>0</v>
          </cell>
          <cell r="C1049" t="str">
            <v>계</v>
          </cell>
          <cell r="D1049">
            <v>4117775</v>
          </cell>
          <cell r="I1049">
            <v>0</v>
          </cell>
        </row>
        <row r="1050">
          <cell r="A1050" t="str">
            <v>T2</v>
          </cell>
          <cell r="B1050">
            <v>1052</v>
          </cell>
          <cell r="C1050" t="str">
            <v>3.14</v>
          </cell>
          <cell r="D1050">
            <v>4117808</v>
          </cell>
          <cell r="E1050" t="str">
            <v>무수축 콘크리트</v>
          </cell>
          <cell r="I1050">
            <v>0</v>
          </cell>
        </row>
        <row r="1051">
          <cell r="A1051" t="str">
            <v>D00567</v>
          </cell>
          <cell r="B1051">
            <v>0.94799999999999995</v>
          </cell>
          <cell r="C1051" t="str">
            <v>a</v>
          </cell>
          <cell r="D1051">
            <v>4117824</v>
          </cell>
          <cell r="E1051" t="str">
            <v>무수축몰탈</v>
          </cell>
          <cell r="F1051" t="str">
            <v>(1:1)</v>
          </cell>
          <cell r="G1051" t="str">
            <v>㎥</v>
          </cell>
          <cell r="I1051">
            <v>0</v>
          </cell>
        </row>
        <row r="1052">
          <cell r="A1052" t="str">
            <v>D00568</v>
          </cell>
          <cell r="B1052">
            <v>7.22</v>
          </cell>
          <cell r="C1052" t="str">
            <v>b</v>
          </cell>
          <cell r="D1052">
            <v>4117832</v>
          </cell>
          <cell r="E1052" t="str">
            <v>무수축콘크리트</v>
          </cell>
          <cell r="G1052" t="str">
            <v>㎥</v>
          </cell>
          <cell r="I1052">
            <v>0</v>
          </cell>
        </row>
        <row r="1053">
          <cell r="A1053" t="str">
            <v>E2</v>
          </cell>
          <cell r="B1053">
            <v>0</v>
          </cell>
          <cell r="C1053" t="str">
            <v>계</v>
          </cell>
          <cell r="D1053">
            <v>4117836</v>
          </cell>
          <cell r="I1053">
            <v>0</v>
          </cell>
        </row>
        <row r="1054">
          <cell r="A1054" t="str">
            <v>T2</v>
          </cell>
          <cell r="B1054">
            <v>1056</v>
          </cell>
          <cell r="C1054" t="str">
            <v>3.15</v>
          </cell>
          <cell r="D1054">
            <v>4117964</v>
          </cell>
          <cell r="E1054" t="str">
            <v>스치로폴 설치</v>
          </cell>
          <cell r="I1054">
            <v>0</v>
          </cell>
        </row>
        <row r="1055">
          <cell r="A1055" t="str">
            <v>D00853</v>
          </cell>
          <cell r="B1055">
            <v>3</v>
          </cell>
          <cell r="C1055" t="str">
            <v>a</v>
          </cell>
          <cell r="D1055">
            <v>4118222</v>
          </cell>
          <cell r="E1055" t="str">
            <v>스치로폴설치</v>
          </cell>
          <cell r="F1055" t="str">
            <v>(T=10 m/m)</v>
          </cell>
          <cell r="G1055" t="str">
            <v>㎡</v>
          </cell>
          <cell r="I1055">
            <v>0</v>
          </cell>
        </row>
        <row r="1056">
          <cell r="A1056" t="str">
            <v>D00532</v>
          </cell>
          <cell r="B1056">
            <v>45</v>
          </cell>
          <cell r="C1056" t="str">
            <v>b</v>
          </cell>
          <cell r="D1056">
            <v>4118350</v>
          </cell>
          <cell r="E1056" t="str">
            <v>스치로폴설치</v>
          </cell>
          <cell r="F1056" t="str">
            <v>(T=20 m/m)</v>
          </cell>
          <cell r="G1056" t="str">
            <v>㎡</v>
          </cell>
          <cell r="I1056">
            <v>0</v>
          </cell>
        </row>
        <row r="1057">
          <cell r="A1057" t="str">
            <v>E2</v>
          </cell>
          <cell r="B1057">
            <v>0</v>
          </cell>
          <cell r="C1057" t="str">
            <v>계</v>
          </cell>
          <cell r="D1057">
            <v>4118351</v>
          </cell>
          <cell r="I1057">
            <v>0</v>
          </cell>
        </row>
        <row r="1058">
          <cell r="A1058" t="str">
            <v>T2</v>
          </cell>
          <cell r="B1058">
            <v>1064</v>
          </cell>
          <cell r="C1058" t="str">
            <v>3.16</v>
          </cell>
          <cell r="D1058">
            <v>4118867</v>
          </cell>
          <cell r="E1058" t="str">
            <v>배수시설</v>
          </cell>
          <cell r="I1058">
            <v>0</v>
          </cell>
        </row>
        <row r="1059">
          <cell r="A1059" t="str">
            <v>D00572</v>
          </cell>
          <cell r="B1059">
            <v>6</v>
          </cell>
          <cell r="C1059" t="str">
            <v>a</v>
          </cell>
          <cell r="D1059">
            <v>4118868</v>
          </cell>
          <cell r="E1059" t="str">
            <v>집 수 구</v>
          </cell>
          <cell r="G1059" t="str">
            <v>EA</v>
          </cell>
          <cell r="I1059">
            <v>0</v>
          </cell>
        </row>
        <row r="1060">
          <cell r="A1060" t="str">
            <v>D00573</v>
          </cell>
          <cell r="B1060">
            <v>54</v>
          </cell>
          <cell r="C1060" t="str">
            <v>b</v>
          </cell>
          <cell r="D1060">
            <v>4118869</v>
          </cell>
          <cell r="E1060" t="str">
            <v>배 수 구</v>
          </cell>
          <cell r="F1060" t="str">
            <v>(스테인레스관)</v>
          </cell>
          <cell r="G1060" t="str">
            <v>M</v>
          </cell>
          <cell r="I1060">
            <v>0</v>
          </cell>
        </row>
        <row r="1061">
          <cell r="A1061" t="str">
            <v>D00574</v>
          </cell>
          <cell r="B1061">
            <v>12</v>
          </cell>
          <cell r="C1061" t="str">
            <v>c</v>
          </cell>
          <cell r="D1061">
            <v>4118933</v>
          </cell>
          <cell r="E1061" t="str">
            <v>부착시설(A)</v>
          </cell>
          <cell r="G1061" t="str">
            <v>EA</v>
          </cell>
          <cell r="I1061">
            <v>0</v>
          </cell>
        </row>
        <row r="1062">
          <cell r="A1062" t="str">
            <v>D03868</v>
          </cell>
          <cell r="B1062">
            <v>14</v>
          </cell>
          <cell r="C1062" t="str">
            <v>d</v>
          </cell>
          <cell r="D1062">
            <v>4118949</v>
          </cell>
          <cell r="E1062" t="str">
            <v>부착시설(D)</v>
          </cell>
          <cell r="G1062" t="str">
            <v>EA</v>
          </cell>
          <cell r="I1062">
            <v>0</v>
          </cell>
        </row>
        <row r="1063">
          <cell r="A1063" t="str">
            <v>D00577</v>
          </cell>
          <cell r="B1063">
            <v>26</v>
          </cell>
          <cell r="C1063" t="str">
            <v>e</v>
          </cell>
          <cell r="D1063">
            <v>4118965</v>
          </cell>
          <cell r="E1063" t="str">
            <v>도 수 로</v>
          </cell>
          <cell r="G1063" t="str">
            <v>M</v>
          </cell>
          <cell r="I1063">
            <v>0</v>
          </cell>
        </row>
        <row r="1064">
          <cell r="A1064" t="str">
            <v>D03937</v>
          </cell>
          <cell r="B1064">
            <v>2</v>
          </cell>
          <cell r="C1064" t="str">
            <v>f</v>
          </cell>
          <cell r="D1064">
            <v>4118973</v>
          </cell>
          <cell r="E1064" t="str">
            <v>접속 T형관</v>
          </cell>
          <cell r="G1064" t="str">
            <v>EA</v>
          </cell>
          <cell r="I1064">
            <v>0</v>
          </cell>
        </row>
        <row r="1065">
          <cell r="A1065" t="str">
            <v>E2</v>
          </cell>
          <cell r="B1065">
            <v>0</v>
          </cell>
          <cell r="C1065" t="str">
            <v>계</v>
          </cell>
          <cell r="D1065">
            <v>4118981</v>
          </cell>
          <cell r="I1065">
            <v>0</v>
          </cell>
        </row>
        <row r="1066">
          <cell r="A1066" t="str">
            <v>T2</v>
          </cell>
          <cell r="B1066">
            <v>1068</v>
          </cell>
          <cell r="C1066" t="str">
            <v>3.17</v>
          </cell>
          <cell r="D1066">
            <v>4118997</v>
          </cell>
          <cell r="E1066" t="str">
            <v>스페이서설치</v>
          </cell>
          <cell r="I1066">
            <v>0</v>
          </cell>
        </row>
        <row r="1067">
          <cell r="A1067" t="str">
            <v>D00588</v>
          </cell>
          <cell r="B1067">
            <v>1330</v>
          </cell>
          <cell r="C1067" t="str">
            <v>a</v>
          </cell>
          <cell r="D1067">
            <v>4119013</v>
          </cell>
          <cell r="E1067" t="str">
            <v>스페이서 설치</v>
          </cell>
          <cell r="F1067" t="str">
            <v>(슬라브및기초용)</v>
          </cell>
          <cell r="G1067" t="str">
            <v>㎡</v>
          </cell>
          <cell r="I1067">
            <v>0</v>
          </cell>
        </row>
        <row r="1068">
          <cell r="A1068" t="str">
            <v>D01070</v>
          </cell>
          <cell r="B1068">
            <v>247</v>
          </cell>
          <cell r="C1068" t="str">
            <v>b</v>
          </cell>
          <cell r="D1068">
            <v>4119021</v>
          </cell>
          <cell r="E1068" t="str">
            <v>스페이서 설치</v>
          </cell>
          <cell r="F1068" t="str">
            <v>(벽체용)</v>
          </cell>
          <cell r="G1068" t="str">
            <v>㎡</v>
          </cell>
          <cell r="I1068">
            <v>0</v>
          </cell>
        </row>
        <row r="1069">
          <cell r="A1069" t="str">
            <v>E2</v>
          </cell>
          <cell r="B1069">
            <v>0</v>
          </cell>
          <cell r="C1069" t="str">
            <v>계</v>
          </cell>
          <cell r="D1069">
            <v>4119025</v>
          </cell>
          <cell r="I1069">
            <v>0</v>
          </cell>
        </row>
        <row r="1070">
          <cell r="A1070" t="str">
            <v>T2</v>
          </cell>
          <cell r="B1070">
            <v>1073</v>
          </cell>
          <cell r="C1070" t="str">
            <v>3.18</v>
          </cell>
          <cell r="D1070">
            <v>4119043</v>
          </cell>
          <cell r="E1070" t="str">
            <v>교명판 설명판</v>
          </cell>
          <cell r="I1070">
            <v>0</v>
          </cell>
        </row>
        <row r="1071">
          <cell r="A1071" t="str">
            <v>D00581</v>
          </cell>
          <cell r="B1071">
            <v>4</v>
          </cell>
          <cell r="C1071" t="str">
            <v>a</v>
          </cell>
          <cell r="D1071">
            <v>4119044</v>
          </cell>
          <cell r="E1071" t="str">
            <v>교 명 주</v>
          </cell>
          <cell r="F1071" t="str">
            <v>(소형,화강석)</v>
          </cell>
          <cell r="G1071" t="str">
            <v>기</v>
          </cell>
          <cell r="I1071">
            <v>0</v>
          </cell>
        </row>
        <row r="1072">
          <cell r="A1072" t="str">
            <v>D00583</v>
          </cell>
          <cell r="B1072">
            <v>2</v>
          </cell>
          <cell r="C1072" t="str">
            <v>b</v>
          </cell>
          <cell r="D1072">
            <v>4119045</v>
          </cell>
          <cell r="E1072" t="str">
            <v>교 명 판(황동주물)</v>
          </cell>
          <cell r="F1072" t="str">
            <v>(450x200x10)</v>
          </cell>
          <cell r="G1072" t="str">
            <v>EA</v>
          </cell>
          <cell r="I1072">
            <v>0</v>
          </cell>
        </row>
        <row r="1073">
          <cell r="A1073" t="str">
            <v>D00584</v>
          </cell>
          <cell r="B1073">
            <v>2</v>
          </cell>
          <cell r="C1073" t="str">
            <v>c</v>
          </cell>
          <cell r="D1073">
            <v>4119109</v>
          </cell>
          <cell r="E1073" t="str">
            <v>설 명 판(황동주물)</v>
          </cell>
          <cell r="F1073" t="str">
            <v>(500x300x10)</v>
          </cell>
          <cell r="G1073" t="str">
            <v>EA</v>
          </cell>
          <cell r="I1073">
            <v>0</v>
          </cell>
        </row>
        <row r="1074">
          <cell r="A1074" t="str">
            <v>E2</v>
          </cell>
          <cell r="B1074">
            <v>0</v>
          </cell>
          <cell r="C1074" t="str">
            <v>계</v>
          </cell>
          <cell r="D1074">
            <v>4119141</v>
          </cell>
          <cell r="I1074">
            <v>0</v>
          </cell>
        </row>
        <row r="1075">
          <cell r="A1075" t="str">
            <v>D00594</v>
          </cell>
          <cell r="B1075">
            <v>1</v>
          </cell>
          <cell r="C1075" t="str">
            <v>3.19</v>
          </cell>
          <cell r="D1075">
            <v>4119149</v>
          </cell>
          <cell r="E1075" t="str">
            <v>측량기준점 설치</v>
          </cell>
          <cell r="F1075" t="str">
            <v>(황동주물)</v>
          </cell>
          <cell r="G1075" t="str">
            <v>EA</v>
          </cell>
          <cell r="I1075">
            <v>0</v>
          </cell>
        </row>
        <row r="1076">
          <cell r="A1076" t="str">
            <v>T2</v>
          </cell>
          <cell r="B1076">
            <v>1078</v>
          </cell>
          <cell r="C1076" t="str">
            <v>3.20</v>
          </cell>
          <cell r="D1076">
            <v>4119277</v>
          </cell>
          <cell r="E1076" t="str">
            <v>충 진 재</v>
          </cell>
          <cell r="I1076">
            <v>0</v>
          </cell>
        </row>
        <row r="1077">
          <cell r="A1077" t="str">
            <v>D00846</v>
          </cell>
          <cell r="B1077">
            <v>39</v>
          </cell>
          <cell r="C1077" t="str">
            <v>a</v>
          </cell>
          <cell r="D1077">
            <v>4119345</v>
          </cell>
          <cell r="E1077" t="str">
            <v>폴리우레탄실란트채움</v>
          </cell>
          <cell r="F1077" t="str">
            <v>(25x20)</v>
          </cell>
          <cell r="G1077" t="str">
            <v>M</v>
          </cell>
          <cell r="I1077">
            <v>0</v>
          </cell>
        </row>
        <row r="1078">
          <cell r="A1078" t="str">
            <v>D01224</v>
          </cell>
          <cell r="B1078">
            <v>26</v>
          </cell>
          <cell r="C1078" t="str">
            <v>b</v>
          </cell>
          <cell r="D1078">
            <v>4119349</v>
          </cell>
          <cell r="E1078" t="str">
            <v>폴리우레탄실란트채움</v>
          </cell>
          <cell r="F1078" t="str">
            <v>(25x10)</v>
          </cell>
          <cell r="G1078" t="str">
            <v>M</v>
          </cell>
          <cell r="I1078">
            <v>0</v>
          </cell>
        </row>
        <row r="1079">
          <cell r="A1079" t="str">
            <v>E2</v>
          </cell>
          <cell r="B1079">
            <v>0</v>
          </cell>
          <cell r="C1079" t="str">
            <v>계</v>
          </cell>
          <cell r="D1079">
            <v>4119351</v>
          </cell>
          <cell r="I1079">
            <v>0</v>
          </cell>
        </row>
        <row r="1080">
          <cell r="A1080" t="str">
            <v>D01308</v>
          </cell>
          <cell r="B1080">
            <v>423</v>
          </cell>
          <cell r="C1080" t="str">
            <v>3.21</v>
          </cell>
          <cell r="D1080">
            <v>4119791</v>
          </cell>
          <cell r="E1080" t="str">
            <v>강섬유보강재</v>
          </cell>
          <cell r="F1080" t="str">
            <v>(900 g/㎥)</v>
          </cell>
          <cell r="G1080" t="str">
            <v>㎥</v>
          </cell>
          <cell r="I1080">
            <v>0</v>
          </cell>
        </row>
        <row r="1081">
          <cell r="A1081" t="str">
            <v>D03817</v>
          </cell>
          <cell r="B1081">
            <v>38</v>
          </cell>
          <cell r="C1081" t="str">
            <v>3.22</v>
          </cell>
          <cell r="D1081">
            <v>4120287</v>
          </cell>
          <cell r="E1081" t="str">
            <v>ELASTIC FILLER</v>
          </cell>
          <cell r="F1081" t="str">
            <v>(T=20 m/m)</v>
          </cell>
          <cell r="G1081" t="str">
            <v>㎡</v>
          </cell>
          <cell r="I1081">
            <v>0</v>
          </cell>
        </row>
        <row r="1082">
          <cell r="A1082" t="str">
            <v>D00911</v>
          </cell>
          <cell r="B1082">
            <v>100</v>
          </cell>
          <cell r="C1082" t="str">
            <v>3.23</v>
          </cell>
          <cell r="D1082">
            <v>4273284</v>
          </cell>
          <cell r="E1082" t="str">
            <v>방 호 벽</v>
          </cell>
          <cell r="F1082" t="str">
            <v>(육교용)</v>
          </cell>
          <cell r="G1082" t="str">
            <v>M</v>
          </cell>
          <cell r="I1082">
            <v>0</v>
          </cell>
        </row>
        <row r="1083">
          <cell r="A1083" t="str">
            <v>D00791</v>
          </cell>
          <cell r="B1083">
            <v>16</v>
          </cell>
          <cell r="C1083" t="str">
            <v>3.24</v>
          </cell>
          <cell r="D1083">
            <v>4349782</v>
          </cell>
          <cell r="E1083" t="str">
            <v>교좌장치표지판</v>
          </cell>
          <cell r="G1083" t="str">
            <v>EA</v>
          </cell>
          <cell r="I1083">
            <v>0</v>
          </cell>
        </row>
        <row r="1084">
          <cell r="A1084" t="str">
            <v>D00817</v>
          </cell>
          <cell r="B1084">
            <v>9.6000000000000002E-2</v>
          </cell>
          <cell r="C1084" t="str">
            <v>3.25</v>
          </cell>
          <cell r="D1084">
            <v>4388031</v>
          </cell>
          <cell r="E1084" t="str">
            <v>아스팔트 채움</v>
          </cell>
          <cell r="F1084" t="str">
            <v>(브론아스팔트)</v>
          </cell>
          <cell r="G1084" t="str">
            <v>㎥</v>
          </cell>
          <cell r="I1084">
            <v>0</v>
          </cell>
        </row>
        <row r="1085">
          <cell r="A1085" t="str">
            <v>D00593</v>
          </cell>
          <cell r="B1085">
            <v>494</v>
          </cell>
          <cell r="C1085" t="str">
            <v>3.26</v>
          </cell>
          <cell r="D1085">
            <v>4407156</v>
          </cell>
          <cell r="E1085" t="str">
            <v>낙하물방지망</v>
          </cell>
          <cell r="G1085" t="str">
            <v>㎡</v>
          </cell>
          <cell r="I1085">
            <v>0</v>
          </cell>
        </row>
        <row r="1086">
          <cell r="A1086" t="str">
            <v>D01064</v>
          </cell>
          <cell r="B1086">
            <v>39</v>
          </cell>
          <cell r="C1086" t="str">
            <v>3.27</v>
          </cell>
          <cell r="D1086">
            <v>4416718</v>
          </cell>
          <cell r="E1086" t="str">
            <v>중앙분리대</v>
          </cell>
          <cell r="G1086" t="str">
            <v>M</v>
          </cell>
          <cell r="I1086">
            <v>0</v>
          </cell>
        </row>
        <row r="1087">
          <cell r="A1087" t="str">
            <v>D00434</v>
          </cell>
          <cell r="B1087">
            <v>329</v>
          </cell>
          <cell r="C1087" t="str">
            <v>3.28</v>
          </cell>
          <cell r="D1087">
            <v>4421499</v>
          </cell>
          <cell r="E1087" t="str">
            <v>법면보호블럭</v>
          </cell>
          <cell r="F1087" t="str">
            <v>(400x400x120)육교용</v>
          </cell>
          <cell r="G1087" t="str">
            <v>㎡</v>
          </cell>
          <cell r="I1087">
            <v>0</v>
          </cell>
        </row>
        <row r="1088">
          <cell r="A1088" t="str">
            <v>D00844</v>
          </cell>
          <cell r="B1088">
            <v>49</v>
          </cell>
          <cell r="C1088" t="str">
            <v>3.29</v>
          </cell>
          <cell r="D1088">
            <v>4423890</v>
          </cell>
          <cell r="E1088" t="str">
            <v>법면보호블럭</v>
          </cell>
          <cell r="F1088" t="str">
            <v>(기초)</v>
          </cell>
          <cell r="G1088" t="str">
            <v>M</v>
          </cell>
          <cell r="I1088">
            <v>0</v>
          </cell>
        </row>
        <row r="1089">
          <cell r="A1089" t="str">
            <v>T2</v>
          </cell>
          <cell r="B1089">
            <v>1091</v>
          </cell>
          <cell r="C1089" t="str">
            <v>3.30</v>
          </cell>
          <cell r="D1089">
            <v>4425085</v>
          </cell>
          <cell r="E1089" t="str">
            <v>파일재하시험</v>
          </cell>
          <cell r="I1089">
            <v>0</v>
          </cell>
        </row>
        <row r="1090">
          <cell r="A1090" t="str">
            <v>D03869</v>
          </cell>
          <cell r="B1090">
            <v>1</v>
          </cell>
          <cell r="C1090" t="str">
            <v>a</v>
          </cell>
          <cell r="D1090">
            <v>4425683</v>
          </cell>
          <cell r="E1090" t="str">
            <v>파일재하시험</v>
          </cell>
          <cell r="F1090" t="str">
            <v>(정재하시험)</v>
          </cell>
          <cell r="G1090" t="str">
            <v>개소</v>
          </cell>
          <cell r="I1090">
            <v>0</v>
          </cell>
        </row>
        <row r="1091">
          <cell r="A1091" t="str">
            <v>D03870</v>
          </cell>
          <cell r="B1091">
            <v>3</v>
          </cell>
          <cell r="C1091" t="str">
            <v>b</v>
          </cell>
          <cell r="D1091">
            <v>4425982</v>
          </cell>
          <cell r="E1091" t="str">
            <v>파일재하시험</v>
          </cell>
          <cell r="F1091" t="str">
            <v>(동재하시험)</v>
          </cell>
          <cell r="G1091" t="str">
            <v>개소</v>
          </cell>
          <cell r="I1091">
            <v>0</v>
          </cell>
        </row>
        <row r="1092">
          <cell r="A1092" t="str">
            <v>E2</v>
          </cell>
          <cell r="B1092">
            <v>0</v>
          </cell>
          <cell r="C1092" t="str">
            <v>계</v>
          </cell>
          <cell r="D1092">
            <v>4426131</v>
          </cell>
          <cell r="I1092">
            <v>0</v>
          </cell>
        </row>
        <row r="1093">
          <cell r="A1093" t="str">
            <v>E3</v>
          </cell>
          <cell r="B1093">
            <v>0</v>
          </cell>
          <cell r="C1093" t="str">
            <v>합계</v>
          </cell>
          <cell r="D1093">
            <v>4426280</v>
          </cell>
          <cell r="I1093">
            <v>0</v>
          </cell>
        </row>
        <row r="1094">
          <cell r="A1094" t="str">
            <v>T3</v>
          </cell>
          <cell r="B1094">
            <v>1252</v>
          </cell>
          <cell r="C1094" t="str">
            <v>3.I</v>
          </cell>
          <cell r="D1094">
            <v>10657275</v>
          </cell>
          <cell r="E1094" t="str">
            <v>삽  교  천  교</v>
          </cell>
          <cell r="I1094">
            <v>0</v>
          </cell>
        </row>
        <row r="1095">
          <cell r="A1095" t="str">
            <v>T2</v>
          </cell>
          <cell r="B1095">
            <v>1106</v>
          </cell>
          <cell r="C1095" t="str">
            <v>3.01</v>
          </cell>
          <cell r="D1095">
            <v>10657403</v>
          </cell>
          <cell r="E1095" t="str">
            <v>토          공</v>
          </cell>
          <cell r="I1095">
            <v>0</v>
          </cell>
        </row>
        <row r="1096">
          <cell r="A1096" t="str">
            <v>D00096</v>
          </cell>
          <cell r="B1096">
            <v>1722</v>
          </cell>
          <cell r="C1096" t="str">
            <v>a</v>
          </cell>
          <cell r="D1096">
            <v>10777167</v>
          </cell>
          <cell r="E1096" t="str">
            <v>구조물터파기</v>
          </cell>
          <cell r="F1096" t="str">
            <v>(육상토사 0∼2 M)</v>
          </cell>
          <cell r="G1096" t="str">
            <v>㎥</v>
          </cell>
          <cell r="I1096">
            <v>0</v>
          </cell>
        </row>
        <row r="1097">
          <cell r="A1097" t="str">
            <v>D00097</v>
          </cell>
          <cell r="B1097">
            <v>286</v>
          </cell>
          <cell r="C1097" t="str">
            <v>b</v>
          </cell>
          <cell r="D1097">
            <v>10777766</v>
          </cell>
          <cell r="E1097" t="str">
            <v>구조물터파기</v>
          </cell>
          <cell r="F1097" t="str">
            <v>(육상토사 2∼4 M)</v>
          </cell>
          <cell r="G1097" t="str">
            <v>㎥</v>
          </cell>
          <cell r="I1097">
            <v>0</v>
          </cell>
        </row>
        <row r="1098">
          <cell r="A1098" t="str">
            <v>D00100</v>
          </cell>
          <cell r="B1098">
            <v>2890</v>
          </cell>
          <cell r="C1098" t="str">
            <v>c</v>
          </cell>
          <cell r="D1098">
            <v>10778066</v>
          </cell>
          <cell r="E1098" t="str">
            <v>구조물터파기</v>
          </cell>
          <cell r="F1098" t="str">
            <v>(수중토사 0∼2 M)</v>
          </cell>
          <cell r="G1098" t="str">
            <v>㎥</v>
          </cell>
          <cell r="I1098">
            <v>0</v>
          </cell>
        </row>
        <row r="1099">
          <cell r="A1099" t="str">
            <v>D00101</v>
          </cell>
          <cell r="B1099">
            <v>1624</v>
          </cell>
          <cell r="C1099" t="str">
            <v>d</v>
          </cell>
          <cell r="D1099">
            <v>10778216</v>
          </cell>
          <cell r="E1099" t="str">
            <v>구조물터파기</v>
          </cell>
          <cell r="F1099" t="str">
            <v>(수중토사 2∼4 M)</v>
          </cell>
          <cell r="G1099" t="str">
            <v>㎥</v>
          </cell>
          <cell r="I1099">
            <v>0</v>
          </cell>
        </row>
        <row r="1100">
          <cell r="A1100" t="str">
            <v>D00102</v>
          </cell>
          <cell r="B1100">
            <v>290</v>
          </cell>
          <cell r="C1100" t="str">
            <v>e</v>
          </cell>
          <cell r="D1100">
            <v>10778365</v>
          </cell>
          <cell r="E1100" t="str">
            <v>구조물터파기</v>
          </cell>
          <cell r="F1100" t="str">
            <v>(수중토사 4∼6 M)</v>
          </cell>
          <cell r="G1100" t="str">
            <v>㎥</v>
          </cell>
          <cell r="I1100">
            <v>0</v>
          </cell>
        </row>
        <row r="1101">
          <cell r="A1101" t="str">
            <v>D03839</v>
          </cell>
          <cell r="B1101">
            <v>120</v>
          </cell>
          <cell r="C1101" t="str">
            <v>f</v>
          </cell>
          <cell r="D1101">
            <v>10780012</v>
          </cell>
          <cell r="E1101" t="str">
            <v>구조물터파기</v>
          </cell>
          <cell r="F1101" t="str">
            <v>(수중연암 4∼6 M)</v>
          </cell>
          <cell r="G1101" t="str">
            <v>㎥</v>
          </cell>
          <cell r="I1101">
            <v>0</v>
          </cell>
        </row>
        <row r="1102">
          <cell r="A1102" t="str">
            <v>D00160</v>
          </cell>
          <cell r="B1102">
            <v>1427</v>
          </cell>
          <cell r="C1102" t="str">
            <v>g</v>
          </cell>
          <cell r="D1102">
            <v>10781658</v>
          </cell>
          <cell r="E1102" t="str">
            <v>되메우기및다짐</v>
          </cell>
          <cell r="F1102" t="str">
            <v>(인력30%+백호우70%)</v>
          </cell>
          <cell r="G1102" t="str">
            <v>㎥</v>
          </cell>
          <cell r="I1102">
            <v>0</v>
          </cell>
        </row>
        <row r="1103">
          <cell r="A1103" t="str">
            <v>D00170</v>
          </cell>
          <cell r="B1103">
            <v>2238</v>
          </cell>
          <cell r="C1103" t="str">
            <v>h</v>
          </cell>
          <cell r="D1103">
            <v>10781808</v>
          </cell>
          <cell r="E1103" t="str">
            <v>뒷채움잡석</v>
          </cell>
          <cell r="F1103" t="str">
            <v>(현장암유용)</v>
          </cell>
          <cell r="G1103" t="str">
            <v>㎥</v>
          </cell>
          <cell r="I1103">
            <v>0</v>
          </cell>
        </row>
        <row r="1104">
          <cell r="A1104" t="str">
            <v>D00591</v>
          </cell>
          <cell r="B1104">
            <v>4003</v>
          </cell>
          <cell r="C1104" t="str">
            <v>i</v>
          </cell>
          <cell r="D1104">
            <v>10781883</v>
          </cell>
          <cell r="E1104" t="str">
            <v>사석채움</v>
          </cell>
          <cell r="G1104" t="str">
            <v>㎥</v>
          </cell>
          <cell r="I1104">
            <v>0</v>
          </cell>
        </row>
        <row r="1105">
          <cell r="A1105" t="str">
            <v>D00534</v>
          </cell>
          <cell r="B1105">
            <v>395</v>
          </cell>
          <cell r="C1105" t="str">
            <v>j</v>
          </cell>
          <cell r="D1105">
            <v>10781920</v>
          </cell>
          <cell r="E1105" t="str">
            <v>물 푸 기</v>
          </cell>
          <cell r="G1105" t="str">
            <v>HR</v>
          </cell>
          <cell r="I1105">
            <v>0</v>
          </cell>
        </row>
        <row r="1106">
          <cell r="A1106" t="str">
            <v>D00037</v>
          </cell>
          <cell r="B1106">
            <v>1004</v>
          </cell>
          <cell r="C1106" t="str">
            <v>k</v>
          </cell>
          <cell r="D1106">
            <v>10781939</v>
          </cell>
          <cell r="E1106" t="str">
            <v>제방성토</v>
          </cell>
          <cell r="F1106" t="str">
            <v>노  체</v>
          </cell>
          <cell r="G1106" t="str">
            <v>㎥</v>
          </cell>
          <cell r="I1106">
            <v>0</v>
          </cell>
        </row>
        <row r="1107">
          <cell r="A1107" t="str">
            <v>E2</v>
          </cell>
          <cell r="B1107">
            <v>0</v>
          </cell>
          <cell r="C1107" t="str">
            <v>계</v>
          </cell>
          <cell r="D1107">
            <v>10781957</v>
          </cell>
          <cell r="I1107">
            <v>0</v>
          </cell>
        </row>
        <row r="1108">
          <cell r="A1108" t="str">
            <v>T2</v>
          </cell>
          <cell r="B1108">
            <v>1127</v>
          </cell>
          <cell r="C1108" t="str">
            <v>3.02</v>
          </cell>
          <cell r="D1108">
            <v>10782085</v>
          </cell>
          <cell r="E1108" t="str">
            <v>강관파일</v>
          </cell>
          <cell r="I1108">
            <v>0</v>
          </cell>
        </row>
        <row r="1109">
          <cell r="A1109" t="str">
            <v>T1</v>
          </cell>
          <cell r="B1109">
            <v>1111</v>
          </cell>
          <cell r="C1109" t="str">
            <v>a</v>
          </cell>
          <cell r="D1109">
            <v>10782133</v>
          </cell>
          <cell r="E1109" t="str">
            <v>강관파일구입</v>
          </cell>
          <cell r="I1109">
            <v>0</v>
          </cell>
        </row>
        <row r="1110">
          <cell r="A1110" t="str">
            <v>D00504</v>
          </cell>
          <cell r="B1110">
            <v>2131</v>
          </cell>
          <cell r="C1110" t="str">
            <v>-1</v>
          </cell>
          <cell r="D1110">
            <v>10782181</v>
          </cell>
          <cell r="E1110" t="str">
            <v>강관파일구입</v>
          </cell>
          <cell r="F1110" t="str">
            <v>(Φ508.0m/mx9t)</v>
          </cell>
          <cell r="G1110" t="str">
            <v>M</v>
          </cell>
          <cell r="I1110">
            <v>0</v>
          </cell>
        </row>
        <row r="1111">
          <cell r="A1111" t="str">
            <v>D00511</v>
          </cell>
          <cell r="B1111">
            <v>380</v>
          </cell>
          <cell r="C1111" t="str">
            <v>-2</v>
          </cell>
          <cell r="D1111">
            <v>10782189</v>
          </cell>
          <cell r="E1111" t="str">
            <v>강관파일구입</v>
          </cell>
          <cell r="F1111" t="str">
            <v>(Φ406.4m/mx9t)</v>
          </cell>
          <cell r="G1111" t="str">
            <v>M</v>
          </cell>
          <cell r="I1111">
            <v>0</v>
          </cell>
        </row>
        <row r="1112">
          <cell r="A1112" t="str">
            <v>E1</v>
          </cell>
          <cell r="B1112">
            <v>0</v>
          </cell>
          <cell r="C1112" t="str">
            <v>소계</v>
          </cell>
          <cell r="D1112">
            <v>10782191</v>
          </cell>
          <cell r="I1112">
            <v>0</v>
          </cell>
        </row>
        <row r="1113">
          <cell r="A1113" t="str">
            <v>T1</v>
          </cell>
          <cell r="B1113">
            <v>1116</v>
          </cell>
          <cell r="C1113" t="str">
            <v>b</v>
          </cell>
          <cell r="D1113">
            <v>10782193</v>
          </cell>
          <cell r="E1113" t="str">
            <v>강관파일항타</v>
          </cell>
          <cell r="I1113">
            <v>0</v>
          </cell>
        </row>
        <row r="1114">
          <cell r="A1114" t="str">
            <v>D00512</v>
          </cell>
          <cell r="B1114">
            <v>1271</v>
          </cell>
          <cell r="C1114" t="str">
            <v>-1</v>
          </cell>
          <cell r="D1114">
            <v>10782197</v>
          </cell>
          <cell r="E1114" t="str">
            <v>강관파일항타(직항)</v>
          </cell>
          <cell r="F1114" t="str">
            <v>Φ508(15 m 이하)</v>
          </cell>
          <cell r="G1114" t="str">
            <v>M</v>
          </cell>
          <cell r="I1114">
            <v>0</v>
          </cell>
        </row>
        <row r="1115">
          <cell r="A1115" t="str">
            <v>D01314</v>
          </cell>
          <cell r="B1115">
            <v>348</v>
          </cell>
          <cell r="C1115" t="str">
            <v>-2</v>
          </cell>
          <cell r="D1115">
            <v>10782202</v>
          </cell>
          <cell r="E1115" t="str">
            <v>강관파일항타(사항)</v>
          </cell>
          <cell r="F1115" t="str">
            <v>Φ508(15 m 이하)</v>
          </cell>
          <cell r="G1115" t="str">
            <v>M</v>
          </cell>
          <cell r="I1115">
            <v>0</v>
          </cell>
        </row>
        <row r="1116">
          <cell r="A1116" t="str">
            <v>D00505</v>
          </cell>
          <cell r="B1116">
            <v>370</v>
          </cell>
          <cell r="C1116" t="str">
            <v>-3</v>
          </cell>
          <cell r="D1116">
            <v>10782207</v>
          </cell>
          <cell r="E1116" t="str">
            <v>강관파일항타(직항)</v>
          </cell>
          <cell r="F1116" t="str">
            <v>Φ406.4(15 m 이하)</v>
          </cell>
          <cell r="G1116" t="str">
            <v>M</v>
          </cell>
          <cell r="I1116">
            <v>0</v>
          </cell>
        </row>
        <row r="1117">
          <cell r="A1117" t="str">
            <v>E1</v>
          </cell>
          <cell r="B1117">
            <v>0</v>
          </cell>
          <cell r="C1117" t="str">
            <v>소계</v>
          </cell>
          <cell r="D1117">
            <v>10782212</v>
          </cell>
          <cell r="I1117">
            <v>0</v>
          </cell>
        </row>
        <row r="1118">
          <cell r="A1118" t="str">
            <v>D03838</v>
          </cell>
          <cell r="B1118">
            <v>46</v>
          </cell>
          <cell r="C1118" t="str">
            <v>c</v>
          </cell>
          <cell r="D1118">
            <v>10782217</v>
          </cell>
          <cell r="E1118" t="str">
            <v>파일속모래채움</v>
          </cell>
          <cell r="G1118" t="str">
            <v>㎥</v>
          </cell>
          <cell r="I1118">
            <v>0</v>
          </cell>
        </row>
        <row r="1119">
          <cell r="A1119" t="str">
            <v>D00502</v>
          </cell>
          <cell r="B1119">
            <v>46</v>
          </cell>
          <cell r="C1119" t="str">
            <v>d</v>
          </cell>
          <cell r="D1119">
            <v>10782221</v>
          </cell>
          <cell r="E1119" t="str">
            <v>속채움 콘크리트</v>
          </cell>
          <cell r="G1119" t="str">
            <v>㎥</v>
          </cell>
          <cell r="I1119">
            <v>0</v>
          </cell>
        </row>
        <row r="1120">
          <cell r="A1120" t="str">
            <v>T1</v>
          </cell>
          <cell r="B1120">
            <v>1122</v>
          </cell>
          <cell r="C1120" t="str">
            <v>e</v>
          </cell>
          <cell r="D1120">
            <v>10782225</v>
          </cell>
          <cell r="E1120" t="str">
            <v>두부및선단보강</v>
          </cell>
          <cell r="I1120">
            <v>0</v>
          </cell>
        </row>
        <row r="1121">
          <cell r="A1121" t="str">
            <v>D00516</v>
          </cell>
          <cell r="B1121">
            <v>299</v>
          </cell>
          <cell r="C1121" t="str">
            <v>-1</v>
          </cell>
          <cell r="D1121">
            <v>10782229</v>
          </cell>
          <cell r="E1121" t="str">
            <v>두부및선단보강</v>
          </cell>
          <cell r="F1121" t="str">
            <v>(Φ508.0 m/m)천공</v>
          </cell>
          <cell r="G1121" t="str">
            <v>EA</v>
          </cell>
          <cell r="I1121">
            <v>0</v>
          </cell>
        </row>
        <row r="1122">
          <cell r="A1122" t="str">
            <v>D00509</v>
          </cell>
          <cell r="B1122">
            <v>40</v>
          </cell>
          <cell r="C1122" t="str">
            <v>-2</v>
          </cell>
          <cell r="D1122">
            <v>10782232</v>
          </cell>
          <cell r="E1122" t="str">
            <v>두부및선단보강</v>
          </cell>
          <cell r="F1122" t="str">
            <v>(Φ406.4 m/m)</v>
          </cell>
          <cell r="G1122" t="str">
            <v>EA</v>
          </cell>
          <cell r="I1122">
            <v>0</v>
          </cell>
        </row>
        <row r="1123">
          <cell r="A1123" t="str">
            <v>E1</v>
          </cell>
          <cell r="B1123">
            <v>0</v>
          </cell>
          <cell r="C1123" t="str">
            <v>소계</v>
          </cell>
          <cell r="D1123">
            <v>10782234</v>
          </cell>
          <cell r="I1123">
            <v>0</v>
          </cell>
        </row>
        <row r="1124">
          <cell r="A1124" t="str">
            <v>D03821</v>
          </cell>
          <cell r="B1124">
            <v>262</v>
          </cell>
          <cell r="C1124" t="str">
            <v>g</v>
          </cell>
          <cell r="D1124">
            <v>10782238</v>
          </cell>
          <cell r="E1124" t="str">
            <v>토사천공</v>
          </cell>
          <cell r="G1124" t="str">
            <v>M</v>
          </cell>
          <cell r="I1124">
            <v>0</v>
          </cell>
        </row>
        <row r="1125">
          <cell r="A1125" t="str">
            <v>D03797</v>
          </cell>
          <cell r="B1125">
            <v>174</v>
          </cell>
          <cell r="C1125" t="str">
            <v>h</v>
          </cell>
          <cell r="D1125">
            <v>10782240</v>
          </cell>
          <cell r="E1125" t="str">
            <v>풍 화 암</v>
          </cell>
          <cell r="F1125" t="str">
            <v>(T-4)</v>
          </cell>
          <cell r="G1125" t="str">
            <v>M</v>
          </cell>
          <cell r="I1125">
            <v>0</v>
          </cell>
        </row>
        <row r="1126">
          <cell r="A1126" t="str">
            <v>D03830</v>
          </cell>
          <cell r="B1126">
            <v>22</v>
          </cell>
          <cell r="C1126" t="str">
            <v>i</v>
          </cell>
          <cell r="D1126">
            <v>10782241</v>
          </cell>
          <cell r="E1126" t="str">
            <v>선단고정액</v>
          </cell>
          <cell r="G1126" t="str">
            <v>㎥</v>
          </cell>
          <cell r="I1126">
            <v>0</v>
          </cell>
        </row>
        <row r="1127">
          <cell r="A1127" t="str">
            <v>D03829</v>
          </cell>
          <cell r="B1127">
            <v>105</v>
          </cell>
          <cell r="C1127" t="str">
            <v>j</v>
          </cell>
          <cell r="D1127">
            <v>10782305</v>
          </cell>
          <cell r="E1127" t="str">
            <v>주면고정액</v>
          </cell>
          <cell r="G1127" t="str">
            <v>㎥</v>
          </cell>
          <cell r="I1127">
            <v>0</v>
          </cell>
        </row>
        <row r="1128">
          <cell r="A1128" t="str">
            <v>E2</v>
          </cell>
          <cell r="B1128">
            <v>0</v>
          </cell>
          <cell r="C1128" t="str">
            <v>계</v>
          </cell>
          <cell r="D1128">
            <v>10782369</v>
          </cell>
          <cell r="I1128">
            <v>0</v>
          </cell>
        </row>
        <row r="1129">
          <cell r="A1129" t="str">
            <v>T2</v>
          </cell>
          <cell r="B1129">
            <v>1137</v>
          </cell>
          <cell r="C1129" t="str">
            <v>3.03</v>
          </cell>
          <cell r="D1129">
            <v>10812256</v>
          </cell>
          <cell r="E1129" t="str">
            <v>거 푸 집</v>
          </cell>
          <cell r="I1129">
            <v>0</v>
          </cell>
        </row>
        <row r="1130">
          <cell r="A1130" t="str">
            <v>D00276</v>
          </cell>
          <cell r="B1130">
            <v>1392</v>
          </cell>
          <cell r="C1130" t="str">
            <v>a</v>
          </cell>
          <cell r="D1130">
            <v>10812312</v>
          </cell>
          <cell r="E1130" t="str">
            <v>합판거푸집</v>
          </cell>
          <cell r="F1130" t="str">
            <v>(3 회)</v>
          </cell>
          <cell r="G1130" t="str">
            <v>㎡</v>
          </cell>
          <cell r="I1130">
            <v>0</v>
          </cell>
        </row>
        <row r="1131">
          <cell r="A1131" t="str">
            <v>D00277</v>
          </cell>
          <cell r="B1131">
            <v>382</v>
          </cell>
          <cell r="C1131" t="str">
            <v>b</v>
          </cell>
          <cell r="D1131">
            <v>10812320</v>
          </cell>
          <cell r="E1131" t="str">
            <v>합판거푸집</v>
          </cell>
          <cell r="F1131" t="str">
            <v>(3 회 7∼10 m)</v>
          </cell>
          <cell r="G1131" t="str">
            <v>㎡</v>
          </cell>
          <cell r="I1131">
            <v>0</v>
          </cell>
        </row>
        <row r="1132">
          <cell r="A1132" t="str">
            <v>D00280</v>
          </cell>
          <cell r="B1132">
            <v>654</v>
          </cell>
          <cell r="C1132" t="str">
            <v>c</v>
          </cell>
          <cell r="D1132">
            <v>10812368</v>
          </cell>
          <cell r="E1132" t="str">
            <v>합판거푸집</v>
          </cell>
          <cell r="F1132" t="str">
            <v>(4 회)</v>
          </cell>
          <cell r="G1132" t="str">
            <v>㎡</v>
          </cell>
          <cell r="I1132">
            <v>0</v>
          </cell>
        </row>
        <row r="1133">
          <cell r="A1133" t="str">
            <v>D00282</v>
          </cell>
          <cell r="B1133">
            <v>58</v>
          </cell>
          <cell r="C1133" t="str">
            <v>d</v>
          </cell>
          <cell r="D1133">
            <v>10812383</v>
          </cell>
          <cell r="E1133" t="str">
            <v>합판거푸집</v>
          </cell>
          <cell r="F1133" t="str">
            <v>(6 회)</v>
          </cell>
          <cell r="G1133" t="str">
            <v>㎡</v>
          </cell>
          <cell r="I1133">
            <v>0</v>
          </cell>
        </row>
        <row r="1134">
          <cell r="A1134" t="str">
            <v>D00265</v>
          </cell>
          <cell r="B1134">
            <v>713</v>
          </cell>
          <cell r="C1134" t="str">
            <v>e</v>
          </cell>
          <cell r="D1134">
            <v>10812527</v>
          </cell>
          <cell r="E1134" t="str">
            <v>문양거푸집(합판4회+</v>
          </cell>
          <cell r="F1134" t="str">
            <v>문양스치로폴(0∼7M)</v>
          </cell>
          <cell r="G1134" t="str">
            <v>㎡</v>
          </cell>
          <cell r="I1134">
            <v>0</v>
          </cell>
        </row>
        <row r="1135">
          <cell r="A1135" t="str">
            <v>D00306</v>
          </cell>
          <cell r="B1135">
            <v>355</v>
          </cell>
          <cell r="C1135" t="str">
            <v>f</v>
          </cell>
          <cell r="D1135">
            <v>10812528</v>
          </cell>
          <cell r="E1135" t="str">
            <v>원형거푸집</v>
          </cell>
          <cell r="F1135" t="str">
            <v>(3 회 0∼7 m)</v>
          </cell>
          <cell r="G1135" t="str">
            <v>㎡</v>
          </cell>
          <cell r="I1135">
            <v>0</v>
          </cell>
        </row>
        <row r="1136">
          <cell r="A1136" t="str">
            <v>D00307</v>
          </cell>
          <cell r="B1136">
            <v>43</v>
          </cell>
          <cell r="C1136" t="str">
            <v>g</v>
          </cell>
          <cell r="D1136">
            <v>10812592</v>
          </cell>
          <cell r="E1136" t="str">
            <v>원형거푸집</v>
          </cell>
          <cell r="F1136" t="str">
            <v>(3 회 7∼10 m)</v>
          </cell>
          <cell r="G1136" t="str">
            <v>㎡</v>
          </cell>
          <cell r="I1136">
            <v>0</v>
          </cell>
        </row>
        <row r="1137">
          <cell r="A1137" t="str">
            <v>D00519</v>
          </cell>
          <cell r="B1137">
            <v>1651</v>
          </cell>
          <cell r="C1137" t="str">
            <v>h</v>
          </cell>
          <cell r="D1137">
            <v>10812656</v>
          </cell>
          <cell r="E1137" t="str">
            <v>DECK PLATE</v>
          </cell>
          <cell r="G1137" t="str">
            <v>㎡</v>
          </cell>
          <cell r="I1137">
            <v>0</v>
          </cell>
        </row>
        <row r="1138">
          <cell r="A1138" t="str">
            <v>E2</v>
          </cell>
          <cell r="B1138">
            <v>0</v>
          </cell>
          <cell r="C1138" t="str">
            <v>계</v>
          </cell>
          <cell r="D1138">
            <v>10812784</v>
          </cell>
          <cell r="I1138">
            <v>0</v>
          </cell>
        </row>
        <row r="1139">
          <cell r="A1139" t="str">
            <v>D00323</v>
          </cell>
          <cell r="B1139">
            <v>2777</v>
          </cell>
          <cell r="C1139" t="str">
            <v>3.04</v>
          </cell>
          <cell r="D1139">
            <v>10812912</v>
          </cell>
          <cell r="E1139" t="str">
            <v>강관비계</v>
          </cell>
          <cell r="F1139" t="str">
            <v>(0∼30 M)</v>
          </cell>
          <cell r="G1139" t="str">
            <v>㎡</v>
          </cell>
          <cell r="I1139">
            <v>0</v>
          </cell>
        </row>
        <row r="1140">
          <cell r="A1140" t="str">
            <v>T2</v>
          </cell>
          <cell r="B1140">
            <v>1142</v>
          </cell>
          <cell r="C1140" t="str">
            <v>3.05</v>
          </cell>
          <cell r="D1140">
            <v>10812913</v>
          </cell>
          <cell r="E1140" t="str">
            <v>동 바 리</v>
          </cell>
          <cell r="I1140">
            <v>0</v>
          </cell>
        </row>
        <row r="1141">
          <cell r="A1141" t="str">
            <v>D00334</v>
          </cell>
          <cell r="B1141">
            <v>1004</v>
          </cell>
          <cell r="C1141" t="str">
            <v>a</v>
          </cell>
          <cell r="D1141">
            <v>10812914</v>
          </cell>
          <cell r="E1141" t="str">
            <v>강관동바리</v>
          </cell>
          <cell r="F1141" t="str">
            <v>(교량용)</v>
          </cell>
          <cell r="G1141" t="str">
            <v>공㎥</v>
          </cell>
          <cell r="I1141">
            <v>0</v>
          </cell>
        </row>
        <row r="1142">
          <cell r="A1142" t="str">
            <v>D01129</v>
          </cell>
          <cell r="B1142">
            <v>171</v>
          </cell>
          <cell r="C1142" t="str">
            <v>b</v>
          </cell>
          <cell r="D1142">
            <v>10813010</v>
          </cell>
          <cell r="E1142" t="str">
            <v>수평보강재(교량용)</v>
          </cell>
          <cell r="F1142" t="str">
            <v>(강관동바리)</v>
          </cell>
          <cell r="G1142" t="str">
            <v>㎡</v>
          </cell>
          <cell r="I1142">
            <v>0</v>
          </cell>
        </row>
        <row r="1143">
          <cell r="A1143" t="str">
            <v>E2</v>
          </cell>
          <cell r="B1143">
            <v>0</v>
          </cell>
          <cell r="C1143" t="str">
            <v>계</v>
          </cell>
          <cell r="D1143">
            <v>10813026</v>
          </cell>
          <cell r="I1143">
            <v>0</v>
          </cell>
        </row>
        <row r="1144">
          <cell r="A1144" t="str">
            <v>T2</v>
          </cell>
          <cell r="B1144">
            <v>1146</v>
          </cell>
          <cell r="C1144" t="str">
            <v>3.06</v>
          </cell>
          <cell r="D1144">
            <v>10813058</v>
          </cell>
          <cell r="E1144" t="str">
            <v>철근가공조립</v>
          </cell>
          <cell r="I1144">
            <v>0</v>
          </cell>
        </row>
        <row r="1145">
          <cell r="A1145" t="str">
            <v>D00271</v>
          </cell>
          <cell r="B1145">
            <v>38.932000000000002</v>
          </cell>
          <cell r="C1145" t="str">
            <v>a</v>
          </cell>
          <cell r="D1145">
            <v>10813082</v>
          </cell>
          <cell r="E1145" t="str">
            <v>철근가공조립</v>
          </cell>
          <cell r="F1145" t="str">
            <v>(보 통)</v>
          </cell>
          <cell r="G1145" t="str">
            <v>Ton</v>
          </cell>
          <cell r="I1145">
            <v>0</v>
          </cell>
        </row>
        <row r="1146">
          <cell r="A1146" t="str">
            <v>D00272</v>
          </cell>
          <cell r="B1146">
            <v>713.41600000000005</v>
          </cell>
          <cell r="C1146" t="str">
            <v>b</v>
          </cell>
          <cell r="D1146">
            <v>10813086</v>
          </cell>
          <cell r="E1146" t="str">
            <v>철근가공조립</v>
          </cell>
          <cell r="F1146" t="str">
            <v>(복 잡)</v>
          </cell>
          <cell r="G1146" t="str">
            <v>Ton</v>
          </cell>
          <cell r="I1146">
            <v>0</v>
          </cell>
        </row>
        <row r="1147">
          <cell r="A1147" t="str">
            <v>E2</v>
          </cell>
          <cell r="B1147">
            <v>0</v>
          </cell>
          <cell r="C1147" t="str">
            <v>계</v>
          </cell>
          <cell r="D1147">
            <v>10813088</v>
          </cell>
          <cell r="I1147">
            <v>0</v>
          </cell>
        </row>
        <row r="1148">
          <cell r="A1148" t="str">
            <v>T2</v>
          </cell>
          <cell r="B1148">
            <v>1150</v>
          </cell>
          <cell r="C1148" t="str">
            <v>3.07</v>
          </cell>
          <cell r="D1148">
            <v>10813089</v>
          </cell>
          <cell r="E1148" t="str">
            <v>콘크리트타설</v>
          </cell>
          <cell r="I1148">
            <v>0</v>
          </cell>
        </row>
        <row r="1149">
          <cell r="A1149" t="str">
            <v>D00237</v>
          </cell>
          <cell r="B1149">
            <v>4266</v>
          </cell>
          <cell r="C1149" t="str">
            <v>a</v>
          </cell>
          <cell r="D1149">
            <v>10813090</v>
          </cell>
          <cell r="E1149" t="str">
            <v>콘크리트타설</v>
          </cell>
          <cell r="F1149" t="str">
            <v>(철근 펌프카)</v>
          </cell>
          <cell r="G1149" t="str">
            <v>㎥</v>
          </cell>
          <cell r="I1149">
            <v>0</v>
          </cell>
        </row>
        <row r="1150">
          <cell r="A1150" t="str">
            <v>D00231</v>
          </cell>
          <cell r="B1150">
            <v>120</v>
          </cell>
          <cell r="C1150" t="str">
            <v>b</v>
          </cell>
          <cell r="D1150">
            <v>10813122</v>
          </cell>
          <cell r="E1150" t="str">
            <v>콘크리트타설</v>
          </cell>
          <cell r="F1150" t="str">
            <v>(무근 VIB 제외)</v>
          </cell>
          <cell r="G1150" t="str">
            <v>㎥</v>
          </cell>
          <cell r="I1150">
            <v>0</v>
          </cell>
        </row>
        <row r="1151">
          <cell r="A1151" t="str">
            <v>E2</v>
          </cell>
          <cell r="B1151">
            <v>0</v>
          </cell>
          <cell r="C1151" t="str">
            <v>계</v>
          </cell>
          <cell r="D1151">
            <v>10813186</v>
          </cell>
          <cell r="I1151">
            <v>0</v>
          </cell>
        </row>
        <row r="1152">
          <cell r="A1152" t="str">
            <v>T2</v>
          </cell>
          <cell r="B1152">
            <v>1154</v>
          </cell>
          <cell r="C1152" t="str">
            <v>3.08</v>
          </cell>
          <cell r="D1152">
            <v>10813202</v>
          </cell>
          <cell r="E1152" t="str">
            <v>표면처리</v>
          </cell>
          <cell r="I1152">
            <v>0</v>
          </cell>
        </row>
        <row r="1153">
          <cell r="A1153" t="str">
            <v>D00537</v>
          </cell>
          <cell r="B1153">
            <v>3732</v>
          </cell>
          <cell r="C1153" t="str">
            <v>a</v>
          </cell>
          <cell r="D1153">
            <v>10813218</v>
          </cell>
          <cell r="E1153" t="str">
            <v>슬래브양생</v>
          </cell>
          <cell r="F1153" t="str">
            <v>(양생제)</v>
          </cell>
          <cell r="G1153" t="str">
            <v>㎡</v>
          </cell>
          <cell r="I1153">
            <v>0</v>
          </cell>
        </row>
        <row r="1154">
          <cell r="A1154" t="str">
            <v>D00539</v>
          </cell>
          <cell r="B1154">
            <v>3447</v>
          </cell>
          <cell r="C1154" t="str">
            <v>b</v>
          </cell>
          <cell r="D1154">
            <v>10813226</v>
          </cell>
          <cell r="E1154" t="str">
            <v>슬래브면고르기</v>
          </cell>
          <cell r="F1154" t="str">
            <v>(데크 피니샤)</v>
          </cell>
          <cell r="G1154" t="str">
            <v>㎡</v>
          </cell>
          <cell r="I1154">
            <v>0</v>
          </cell>
        </row>
        <row r="1155">
          <cell r="A1155" t="str">
            <v>E2</v>
          </cell>
          <cell r="B1155">
            <v>0</v>
          </cell>
          <cell r="C1155" t="str">
            <v>계</v>
          </cell>
          <cell r="D1155">
            <v>10813230</v>
          </cell>
          <cell r="I1155">
            <v>0</v>
          </cell>
        </row>
        <row r="1156">
          <cell r="A1156" t="str">
            <v>T2</v>
          </cell>
          <cell r="B1156">
            <v>1162</v>
          </cell>
          <cell r="C1156" t="str">
            <v>3.09</v>
          </cell>
          <cell r="D1156">
            <v>10813358</v>
          </cell>
          <cell r="E1156" t="str">
            <v>교좌장치</v>
          </cell>
          <cell r="I1156">
            <v>0</v>
          </cell>
        </row>
        <row r="1157">
          <cell r="A1157" t="str">
            <v>D00786</v>
          </cell>
          <cell r="B1157">
            <v>4</v>
          </cell>
          <cell r="C1157" t="str">
            <v>a</v>
          </cell>
          <cell r="D1157">
            <v>10813365</v>
          </cell>
          <cell r="E1157" t="str">
            <v>교좌장치</v>
          </cell>
          <cell r="F1157" t="str">
            <v>(종방향 300 Ton)</v>
          </cell>
          <cell r="G1157" t="str">
            <v>EA</v>
          </cell>
          <cell r="I1157">
            <v>0</v>
          </cell>
        </row>
        <row r="1158">
          <cell r="A1158" t="str">
            <v>D00787</v>
          </cell>
          <cell r="B1158">
            <v>6</v>
          </cell>
          <cell r="C1158" t="str">
            <v>b</v>
          </cell>
          <cell r="D1158">
            <v>10813429</v>
          </cell>
          <cell r="E1158" t="str">
            <v>교좌장치</v>
          </cell>
          <cell r="F1158" t="str">
            <v>(양방향 300 Ton)</v>
          </cell>
          <cell r="G1158" t="str">
            <v>EA</v>
          </cell>
          <cell r="I1158">
            <v>0</v>
          </cell>
        </row>
        <row r="1159">
          <cell r="A1159" t="str">
            <v>D00782</v>
          </cell>
          <cell r="B1159">
            <v>2</v>
          </cell>
          <cell r="C1159" t="str">
            <v>c</v>
          </cell>
          <cell r="D1159">
            <v>10813494</v>
          </cell>
          <cell r="E1159" t="str">
            <v>교좌장치</v>
          </cell>
          <cell r="F1159" t="str">
            <v>(종방향 800 Ton)</v>
          </cell>
          <cell r="G1159" t="str">
            <v>EA</v>
          </cell>
          <cell r="I1159">
            <v>0</v>
          </cell>
        </row>
        <row r="1160">
          <cell r="A1160" t="str">
            <v>D00783</v>
          </cell>
          <cell r="B1160">
            <v>3</v>
          </cell>
          <cell r="C1160" t="str">
            <v>d</v>
          </cell>
          <cell r="D1160">
            <v>10813558</v>
          </cell>
          <cell r="E1160" t="str">
            <v>교좌장치</v>
          </cell>
          <cell r="F1160" t="str">
            <v>(양방향 800 Ton)</v>
          </cell>
          <cell r="G1160" t="str">
            <v>EA</v>
          </cell>
          <cell r="I1160">
            <v>0</v>
          </cell>
        </row>
        <row r="1161">
          <cell r="A1161" t="str">
            <v>D00784</v>
          </cell>
          <cell r="B1161">
            <v>2</v>
          </cell>
          <cell r="C1161" t="str">
            <v>f</v>
          </cell>
          <cell r="D1161">
            <v>10813590</v>
          </cell>
          <cell r="E1161" t="str">
            <v>교좌장치</v>
          </cell>
          <cell r="F1161" t="str">
            <v>(고정단 800 Ton)</v>
          </cell>
          <cell r="G1161" t="str">
            <v>EA</v>
          </cell>
          <cell r="I1161">
            <v>0</v>
          </cell>
        </row>
        <row r="1162">
          <cell r="A1162" t="str">
            <v>D00551</v>
          </cell>
          <cell r="B1162">
            <v>3</v>
          </cell>
          <cell r="C1162" t="str">
            <v>g</v>
          </cell>
          <cell r="D1162">
            <v>10813598</v>
          </cell>
          <cell r="E1162" t="str">
            <v>교좌장치</v>
          </cell>
          <cell r="F1162" t="str">
            <v>(횡방향 800 Ton)</v>
          </cell>
          <cell r="G1162" t="str">
            <v>EA</v>
          </cell>
          <cell r="I1162">
            <v>0</v>
          </cell>
        </row>
        <row r="1163">
          <cell r="A1163" t="str">
            <v>E2</v>
          </cell>
          <cell r="B1163">
            <v>0</v>
          </cell>
          <cell r="C1163" t="str">
            <v>계</v>
          </cell>
          <cell r="D1163">
            <v>10813606</v>
          </cell>
          <cell r="I1163">
            <v>0</v>
          </cell>
        </row>
        <row r="1164">
          <cell r="A1164" t="str">
            <v>T2</v>
          </cell>
          <cell r="B1164">
            <v>1182</v>
          </cell>
          <cell r="C1164" t="str">
            <v>3.10</v>
          </cell>
          <cell r="D1164">
            <v>10813734</v>
          </cell>
          <cell r="E1164" t="str">
            <v>강    교</v>
          </cell>
          <cell r="I1164">
            <v>0</v>
          </cell>
        </row>
        <row r="1165">
          <cell r="A1165" t="str">
            <v>T1</v>
          </cell>
          <cell r="B1165">
            <v>1168</v>
          </cell>
          <cell r="C1165" t="str">
            <v>a</v>
          </cell>
          <cell r="D1165">
            <v>10813735</v>
          </cell>
          <cell r="E1165" t="str">
            <v>제작및가설</v>
          </cell>
          <cell r="I1165">
            <v>0</v>
          </cell>
        </row>
        <row r="1166">
          <cell r="A1166" t="str">
            <v>D00629</v>
          </cell>
          <cell r="B1166">
            <v>1450.579</v>
          </cell>
          <cell r="C1166" t="str">
            <v>-1</v>
          </cell>
          <cell r="D1166">
            <v>10813863</v>
          </cell>
          <cell r="E1166" t="str">
            <v>강교 제작</v>
          </cell>
          <cell r="F1166" t="str">
            <v>(삽교천교)</v>
          </cell>
          <cell r="G1166" t="str">
            <v>Ton</v>
          </cell>
          <cell r="I1166">
            <v>0</v>
          </cell>
        </row>
        <row r="1167">
          <cell r="A1167" t="str">
            <v>D00630</v>
          </cell>
          <cell r="B1167">
            <v>1450.579</v>
          </cell>
          <cell r="C1167" t="str">
            <v>-2</v>
          </cell>
          <cell r="D1167">
            <v>10813927</v>
          </cell>
          <cell r="E1167" t="str">
            <v>강교 운반</v>
          </cell>
          <cell r="F1167" t="str">
            <v>(삽교천교)</v>
          </cell>
          <cell r="G1167" t="str">
            <v>Ton</v>
          </cell>
          <cell r="I1167">
            <v>0</v>
          </cell>
        </row>
        <row r="1168">
          <cell r="A1168" t="str">
            <v>D00631</v>
          </cell>
          <cell r="B1168">
            <v>1450.579</v>
          </cell>
          <cell r="C1168" t="str">
            <v>-3</v>
          </cell>
          <cell r="D1168">
            <v>10813943</v>
          </cell>
          <cell r="E1168" t="str">
            <v>강교 가설</v>
          </cell>
          <cell r="F1168" t="str">
            <v>(삽교천교)</v>
          </cell>
          <cell r="G1168" t="str">
            <v>Ton</v>
          </cell>
          <cell r="I1168">
            <v>0</v>
          </cell>
        </row>
        <row r="1169">
          <cell r="A1169" t="str">
            <v>E1</v>
          </cell>
          <cell r="B1169">
            <v>0</v>
          </cell>
          <cell r="C1169" t="str">
            <v>소계</v>
          </cell>
          <cell r="D1169">
            <v>10813959</v>
          </cell>
          <cell r="I1169">
            <v>0</v>
          </cell>
        </row>
        <row r="1170">
          <cell r="A1170" t="str">
            <v>T1</v>
          </cell>
          <cell r="B1170">
            <v>1177</v>
          </cell>
          <cell r="C1170" t="str">
            <v>b</v>
          </cell>
          <cell r="D1170">
            <v>10814087</v>
          </cell>
          <cell r="E1170" t="str">
            <v>강교도장</v>
          </cell>
          <cell r="I1170">
            <v>0</v>
          </cell>
        </row>
        <row r="1171">
          <cell r="A1171" t="str">
            <v>D00637</v>
          </cell>
          <cell r="B1171">
            <v>14749</v>
          </cell>
          <cell r="C1171" t="str">
            <v>-1</v>
          </cell>
          <cell r="D1171">
            <v>10814215</v>
          </cell>
          <cell r="E1171" t="str">
            <v>강교내부도장(공장)</v>
          </cell>
          <cell r="F1171" t="str">
            <v>수용성무기징크</v>
          </cell>
          <cell r="G1171" t="str">
            <v>㎡</v>
          </cell>
          <cell r="I1171">
            <v>0</v>
          </cell>
        </row>
        <row r="1172">
          <cell r="A1172" t="str">
            <v>D00639</v>
          </cell>
          <cell r="B1172">
            <v>1522</v>
          </cell>
          <cell r="C1172" t="str">
            <v>-2</v>
          </cell>
          <cell r="D1172">
            <v>10814217</v>
          </cell>
          <cell r="E1172" t="str">
            <v>강교 SPLICE</v>
          </cell>
          <cell r="F1172" t="str">
            <v>(공장)</v>
          </cell>
          <cell r="G1172" t="str">
            <v>㎡</v>
          </cell>
          <cell r="I1172">
            <v>0</v>
          </cell>
        </row>
        <row r="1173">
          <cell r="A1173" t="str">
            <v>D00638</v>
          </cell>
          <cell r="B1173">
            <v>8198</v>
          </cell>
          <cell r="C1173" t="str">
            <v>-3</v>
          </cell>
          <cell r="D1173">
            <v>10814219</v>
          </cell>
          <cell r="E1173" t="str">
            <v>외부 도장</v>
          </cell>
          <cell r="F1173" t="str">
            <v>(공장)</v>
          </cell>
          <cell r="G1173" t="str">
            <v>㎡</v>
          </cell>
          <cell r="I1173">
            <v>0</v>
          </cell>
        </row>
        <row r="1174">
          <cell r="A1174" t="str">
            <v>D00644</v>
          </cell>
          <cell r="B1174">
            <v>8198</v>
          </cell>
          <cell r="C1174" t="str">
            <v>-4</v>
          </cell>
          <cell r="D1174">
            <v>10814347</v>
          </cell>
          <cell r="E1174" t="str">
            <v>외부 도장</v>
          </cell>
          <cell r="F1174" t="str">
            <v>(현장)</v>
          </cell>
          <cell r="G1174" t="str">
            <v>㎡</v>
          </cell>
          <cell r="I1174">
            <v>0</v>
          </cell>
        </row>
        <row r="1175">
          <cell r="A1175" t="str">
            <v>D00640</v>
          </cell>
          <cell r="B1175">
            <v>2055</v>
          </cell>
          <cell r="C1175" t="str">
            <v>-5</v>
          </cell>
          <cell r="D1175">
            <v>10814349</v>
          </cell>
          <cell r="E1175" t="str">
            <v>외부포장면도장</v>
          </cell>
          <cell r="F1175" t="str">
            <v>(공장)</v>
          </cell>
          <cell r="G1175" t="str">
            <v>㎡</v>
          </cell>
          <cell r="I1175">
            <v>0</v>
          </cell>
        </row>
        <row r="1176">
          <cell r="A1176" t="str">
            <v>D00642</v>
          </cell>
          <cell r="B1176">
            <v>380</v>
          </cell>
          <cell r="C1176" t="str">
            <v>-6</v>
          </cell>
          <cell r="D1176">
            <v>10814415</v>
          </cell>
          <cell r="E1176" t="str">
            <v>외부볼트및 SPLICE</v>
          </cell>
          <cell r="F1176" t="str">
            <v>(현장)-내후성중방식</v>
          </cell>
          <cell r="G1176" t="str">
            <v>㎡</v>
          </cell>
          <cell r="I1176">
            <v>0</v>
          </cell>
        </row>
        <row r="1177">
          <cell r="A1177" t="str">
            <v>D00641</v>
          </cell>
          <cell r="B1177">
            <v>380</v>
          </cell>
          <cell r="C1177" t="str">
            <v>-7</v>
          </cell>
          <cell r="D1177">
            <v>10814423</v>
          </cell>
          <cell r="E1177" t="str">
            <v>내부볼트및 SPILCE</v>
          </cell>
          <cell r="F1177" t="str">
            <v>(현장)</v>
          </cell>
          <cell r="G1177" t="str">
            <v>㎡</v>
          </cell>
          <cell r="I1177">
            <v>0</v>
          </cell>
        </row>
        <row r="1178">
          <cell r="A1178" t="str">
            <v>E1</v>
          </cell>
          <cell r="B1178">
            <v>0</v>
          </cell>
          <cell r="C1178" t="str">
            <v>소계</v>
          </cell>
          <cell r="D1178">
            <v>10814431</v>
          </cell>
          <cell r="I1178">
            <v>0</v>
          </cell>
        </row>
        <row r="1179">
          <cell r="A1179" t="str">
            <v>T1</v>
          </cell>
          <cell r="B1179">
            <v>1181</v>
          </cell>
          <cell r="C1179" t="str">
            <v>c</v>
          </cell>
          <cell r="D1179">
            <v>10814480</v>
          </cell>
          <cell r="E1179" t="str">
            <v>비파괴 검사비</v>
          </cell>
          <cell r="I1179">
            <v>0</v>
          </cell>
        </row>
        <row r="1180">
          <cell r="A1180" t="str">
            <v>D01282</v>
          </cell>
          <cell r="B1180">
            <v>1387</v>
          </cell>
          <cell r="C1180" t="str">
            <v>-1</v>
          </cell>
          <cell r="D1180">
            <v>10814497</v>
          </cell>
          <cell r="E1180" t="str">
            <v>방사선투과검사(RT)</v>
          </cell>
          <cell r="F1180" t="str">
            <v>(3 1/3x12 ")</v>
          </cell>
          <cell r="G1180" t="str">
            <v>매</v>
          </cell>
          <cell r="I1180">
            <v>0</v>
          </cell>
        </row>
        <row r="1181">
          <cell r="A1181" t="str">
            <v>D03841</v>
          </cell>
          <cell r="B1181">
            <v>1742</v>
          </cell>
          <cell r="C1181" t="str">
            <v>-2</v>
          </cell>
          <cell r="D1181">
            <v>10814509</v>
          </cell>
          <cell r="E1181" t="str">
            <v>자분탐상검사</v>
          </cell>
          <cell r="F1181" t="str">
            <v>(MT)</v>
          </cell>
          <cell r="G1181" t="str">
            <v>M</v>
          </cell>
          <cell r="I1181">
            <v>0</v>
          </cell>
        </row>
        <row r="1182">
          <cell r="A1182" t="str">
            <v>E1</v>
          </cell>
          <cell r="B1182">
            <v>0</v>
          </cell>
          <cell r="C1182" t="str">
            <v>소계</v>
          </cell>
          <cell r="D1182">
            <v>10814511</v>
          </cell>
          <cell r="I1182">
            <v>0</v>
          </cell>
        </row>
        <row r="1183">
          <cell r="A1183" t="str">
            <v>E2</v>
          </cell>
          <cell r="B1183">
            <v>0</v>
          </cell>
          <cell r="C1183" t="str">
            <v>계</v>
          </cell>
          <cell r="D1183">
            <v>10814512</v>
          </cell>
          <cell r="I1183">
            <v>0</v>
          </cell>
        </row>
        <row r="1184">
          <cell r="A1184" t="str">
            <v>T2</v>
          </cell>
          <cell r="B1184">
            <v>1186</v>
          </cell>
          <cell r="C1184" t="str">
            <v>3.11</v>
          </cell>
          <cell r="D1184">
            <v>10814513</v>
          </cell>
          <cell r="E1184" t="str">
            <v>신축이음장치</v>
          </cell>
          <cell r="I1184">
            <v>0</v>
          </cell>
        </row>
        <row r="1185">
          <cell r="A1185" t="str">
            <v>D01313</v>
          </cell>
          <cell r="B1185">
            <v>26</v>
          </cell>
          <cell r="C1185" t="str">
            <v>a</v>
          </cell>
          <cell r="D1185">
            <v>10814546</v>
          </cell>
          <cell r="E1185" t="str">
            <v>신축이음장치</v>
          </cell>
          <cell r="F1185" t="str">
            <v>(Rail-No100)</v>
          </cell>
          <cell r="G1185" t="str">
            <v>M</v>
          </cell>
          <cell r="I1185">
            <v>0</v>
          </cell>
        </row>
        <row r="1186">
          <cell r="A1186" t="str">
            <v>D00554</v>
          </cell>
          <cell r="B1186">
            <v>26</v>
          </cell>
          <cell r="C1186" t="str">
            <v>b</v>
          </cell>
          <cell r="D1186">
            <v>10814563</v>
          </cell>
          <cell r="E1186" t="str">
            <v>신축이음장치</v>
          </cell>
          <cell r="F1186" t="str">
            <v>(Rail-No160)</v>
          </cell>
          <cell r="G1186" t="str">
            <v>M</v>
          </cell>
          <cell r="I1186">
            <v>0</v>
          </cell>
        </row>
        <row r="1187">
          <cell r="A1187" t="str">
            <v>E2</v>
          </cell>
          <cell r="B1187">
            <v>0</v>
          </cell>
          <cell r="C1187" t="str">
            <v>계</v>
          </cell>
          <cell r="D1187">
            <v>10814571</v>
          </cell>
          <cell r="I1187">
            <v>0</v>
          </cell>
        </row>
        <row r="1188">
          <cell r="A1188" t="str">
            <v>D00535</v>
          </cell>
          <cell r="B1188">
            <v>3447</v>
          </cell>
          <cell r="C1188" t="str">
            <v>3.12</v>
          </cell>
          <cell r="D1188">
            <v>10814576</v>
          </cell>
          <cell r="E1188" t="str">
            <v>교면방수</v>
          </cell>
          <cell r="F1188" t="str">
            <v>(도막식)</v>
          </cell>
          <cell r="G1188" t="str">
            <v>㎡</v>
          </cell>
          <cell r="I1188">
            <v>0</v>
          </cell>
        </row>
        <row r="1189">
          <cell r="A1189" t="str">
            <v>T2</v>
          </cell>
          <cell r="B1189">
            <v>1193</v>
          </cell>
          <cell r="C1189" t="str">
            <v>3.13</v>
          </cell>
          <cell r="D1189">
            <v>10814578</v>
          </cell>
          <cell r="E1189" t="str">
            <v>접속슬래브 접합공</v>
          </cell>
          <cell r="I1189">
            <v>0</v>
          </cell>
        </row>
        <row r="1190">
          <cell r="A1190" t="str">
            <v>D01067</v>
          </cell>
          <cell r="B1190">
            <v>127</v>
          </cell>
          <cell r="C1190" t="str">
            <v>a</v>
          </cell>
          <cell r="D1190">
            <v>10814580</v>
          </cell>
          <cell r="E1190" t="str">
            <v>다웰바 설치</v>
          </cell>
          <cell r="F1190" t="str">
            <v>(D=25 m/m, L=500)</v>
          </cell>
          <cell r="G1190" t="str">
            <v>EA</v>
          </cell>
          <cell r="I1190">
            <v>0</v>
          </cell>
        </row>
        <row r="1191">
          <cell r="A1191" t="str">
            <v>D01190</v>
          </cell>
          <cell r="B1191">
            <v>38</v>
          </cell>
          <cell r="C1191" t="str">
            <v>b</v>
          </cell>
          <cell r="D1191">
            <v>10814581</v>
          </cell>
          <cell r="E1191" t="str">
            <v>다웰-켑 설치</v>
          </cell>
          <cell r="F1191" t="str">
            <v>(Φ60 m/m)</v>
          </cell>
          <cell r="G1191" t="str">
            <v>M</v>
          </cell>
          <cell r="I1191">
            <v>0</v>
          </cell>
        </row>
        <row r="1192">
          <cell r="A1192" t="str">
            <v>D00540</v>
          </cell>
          <cell r="B1192">
            <v>127</v>
          </cell>
          <cell r="C1192" t="str">
            <v>c</v>
          </cell>
          <cell r="D1192">
            <v>10814709</v>
          </cell>
          <cell r="E1192" t="str">
            <v>경질고무판</v>
          </cell>
          <cell r="F1192" t="str">
            <v>(150x150)</v>
          </cell>
          <cell r="G1192" t="str">
            <v>EA</v>
          </cell>
          <cell r="I1192">
            <v>0</v>
          </cell>
        </row>
        <row r="1193">
          <cell r="A1193" t="str">
            <v>D00566</v>
          </cell>
          <cell r="B1193">
            <v>21</v>
          </cell>
          <cell r="C1193" t="str">
            <v>d</v>
          </cell>
          <cell r="D1193">
            <v>10814773</v>
          </cell>
          <cell r="E1193" t="str">
            <v>타르페이퍼 설치</v>
          </cell>
          <cell r="F1193" t="str">
            <v>(5 겹)</v>
          </cell>
          <cell r="G1193" t="str">
            <v>㎡</v>
          </cell>
          <cell r="I1193">
            <v>0</v>
          </cell>
        </row>
        <row r="1194">
          <cell r="A1194" t="str">
            <v>E2</v>
          </cell>
          <cell r="B1194">
            <v>0</v>
          </cell>
          <cell r="C1194" t="str">
            <v>계</v>
          </cell>
          <cell r="D1194">
            <v>10814805</v>
          </cell>
          <cell r="I1194">
            <v>0</v>
          </cell>
        </row>
        <row r="1195">
          <cell r="A1195" t="str">
            <v>T2</v>
          </cell>
          <cell r="B1195">
            <v>1197</v>
          </cell>
          <cell r="C1195" t="str">
            <v>3.14</v>
          </cell>
          <cell r="D1195">
            <v>10814809</v>
          </cell>
          <cell r="E1195" t="str">
            <v>무수축 콘크리트</v>
          </cell>
          <cell r="I1195">
            <v>0</v>
          </cell>
        </row>
        <row r="1196">
          <cell r="A1196" t="str">
            <v>D00567</v>
          </cell>
          <cell r="B1196">
            <v>5.1479999999999997</v>
          </cell>
          <cell r="C1196" t="str">
            <v>a</v>
          </cell>
          <cell r="D1196">
            <v>10814811</v>
          </cell>
          <cell r="E1196" t="str">
            <v>무수축몰탈</v>
          </cell>
          <cell r="F1196" t="str">
            <v>(1:1)</v>
          </cell>
          <cell r="G1196" t="str">
            <v>㎥</v>
          </cell>
          <cell r="I1196">
            <v>0</v>
          </cell>
        </row>
        <row r="1197">
          <cell r="A1197" t="str">
            <v>D00568</v>
          </cell>
          <cell r="B1197">
            <v>25</v>
          </cell>
          <cell r="C1197" t="str">
            <v>b</v>
          </cell>
          <cell r="D1197">
            <v>10814812</v>
          </cell>
          <cell r="E1197" t="str">
            <v>무수축콘크리트</v>
          </cell>
          <cell r="G1197" t="str">
            <v>㎥</v>
          </cell>
          <cell r="I1197">
            <v>0</v>
          </cell>
        </row>
        <row r="1198">
          <cell r="A1198" t="str">
            <v>E2</v>
          </cell>
          <cell r="B1198">
            <v>0</v>
          </cell>
          <cell r="C1198" t="str">
            <v>계</v>
          </cell>
          <cell r="D1198">
            <v>10814813</v>
          </cell>
          <cell r="I1198">
            <v>0</v>
          </cell>
        </row>
        <row r="1199">
          <cell r="A1199" t="str">
            <v>T2</v>
          </cell>
          <cell r="B1199">
            <v>1201</v>
          </cell>
          <cell r="C1199" t="str">
            <v>3.15</v>
          </cell>
          <cell r="D1199">
            <v>10814941</v>
          </cell>
          <cell r="E1199" t="str">
            <v>스치로폴설치</v>
          </cell>
          <cell r="I1199">
            <v>0</v>
          </cell>
        </row>
        <row r="1200">
          <cell r="A1200" t="str">
            <v>D00853</v>
          </cell>
          <cell r="B1200">
            <v>12</v>
          </cell>
          <cell r="C1200" t="str">
            <v>a</v>
          </cell>
          <cell r="D1200">
            <v>10815069</v>
          </cell>
          <cell r="E1200" t="str">
            <v>스치로폴설치</v>
          </cell>
          <cell r="F1200" t="str">
            <v>(T=10 m/m)</v>
          </cell>
          <cell r="G1200" t="str">
            <v>㎡</v>
          </cell>
          <cell r="I1200">
            <v>0</v>
          </cell>
        </row>
        <row r="1201">
          <cell r="A1201" t="str">
            <v>D00532</v>
          </cell>
          <cell r="B1201">
            <v>118</v>
          </cell>
          <cell r="C1201" t="str">
            <v>b</v>
          </cell>
          <cell r="D1201">
            <v>10815070</v>
          </cell>
          <cell r="E1201" t="str">
            <v>스치로폴설치</v>
          </cell>
          <cell r="F1201" t="str">
            <v>(T=20 m/m)</v>
          </cell>
          <cell r="G1201" t="str">
            <v>㎡</v>
          </cell>
          <cell r="I1201">
            <v>0</v>
          </cell>
        </row>
        <row r="1202">
          <cell r="A1202" t="str">
            <v>E2</v>
          </cell>
          <cell r="B1202">
            <v>0</v>
          </cell>
          <cell r="C1202" t="str">
            <v>계</v>
          </cell>
          <cell r="D1202">
            <v>10815135</v>
          </cell>
          <cell r="I1202">
            <v>0</v>
          </cell>
        </row>
        <row r="1203">
          <cell r="A1203" t="str">
            <v>T2</v>
          </cell>
          <cell r="B1203">
            <v>1208</v>
          </cell>
          <cell r="C1203" t="str">
            <v>3.16</v>
          </cell>
          <cell r="D1203">
            <v>10815199</v>
          </cell>
          <cell r="E1203" t="str">
            <v>배수시설</v>
          </cell>
          <cell r="I1203">
            <v>0</v>
          </cell>
        </row>
        <row r="1204">
          <cell r="A1204" t="str">
            <v>D00572</v>
          </cell>
          <cell r="B1204">
            <v>18</v>
          </cell>
          <cell r="C1204" t="str">
            <v>a</v>
          </cell>
          <cell r="D1204">
            <v>10815215</v>
          </cell>
          <cell r="E1204" t="str">
            <v>집 수 구</v>
          </cell>
          <cell r="G1204" t="str">
            <v>EA</v>
          </cell>
          <cell r="I1204">
            <v>0</v>
          </cell>
        </row>
        <row r="1205">
          <cell r="A1205" t="str">
            <v>D00573</v>
          </cell>
          <cell r="B1205">
            <v>61</v>
          </cell>
          <cell r="C1205" t="str">
            <v>b</v>
          </cell>
          <cell r="D1205">
            <v>10815223</v>
          </cell>
          <cell r="E1205" t="str">
            <v>배 수 구</v>
          </cell>
          <cell r="F1205" t="str">
            <v>(스테인레스관)</v>
          </cell>
          <cell r="G1205" t="str">
            <v>M</v>
          </cell>
          <cell r="I1205">
            <v>0</v>
          </cell>
        </row>
        <row r="1206">
          <cell r="A1206" t="str">
            <v>D00574</v>
          </cell>
          <cell r="B1206">
            <v>14</v>
          </cell>
          <cell r="C1206" t="str">
            <v>c</v>
          </cell>
          <cell r="D1206">
            <v>10815227</v>
          </cell>
          <cell r="E1206" t="str">
            <v>부착시설(A)</v>
          </cell>
          <cell r="G1206" t="str">
            <v>EA</v>
          </cell>
          <cell r="I1206">
            <v>0</v>
          </cell>
        </row>
        <row r="1207">
          <cell r="A1207" t="str">
            <v>D00576</v>
          </cell>
          <cell r="B1207">
            <v>54</v>
          </cell>
          <cell r="C1207" t="str">
            <v>d</v>
          </cell>
          <cell r="D1207">
            <v>10815229</v>
          </cell>
          <cell r="E1207" t="str">
            <v>부착시설(C)</v>
          </cell>
          <cell r="G1207" t="str">
            <v>EA</v>
          </cell>
          <cell r="I1207">
            <v>0</v>
          </cell>
        </row>
        <row r="1208">
          <cell r="A1208" t="str">
            <v>D00577</v>
          </cell>
          <cell r="B1208">
            <v>6</v>
          </cell>
          <cell r="C1208" t="str">
            <v>e</v>
          </cell>
          <cell r="D1208">
            <v>10815230</v>
          </cell>
          <cell r="E1208" t="str">
            <v>도 수 로</v>
          </cell>
          <cell r="G1208" t="str">
            <v>M</v>
          </cell>
          <cell r="I1208">
            <v>0</v>
          </cell>
        </row>
        <row r="1209">
          <cell r="A1209" t="str">
            <v>E2</v>
          </cell>
          <cell r="B1209">
            <v>0</v>
          </cell>
          <cell r="C1209" t="str">
            <v>계</v>
          </cell>
          <cell r="D1209">
            <v>10815231</v>
          </cell>
          <cell r="I1209">
            <v>0</v>
          </cell>
        </row>
        <row r="1210">
          <cell r="A1210" t="str">
            <v>T2</v>
          </cell>
          <cell r="B1210">
            <v>1212</v>
          </cell>
          <cell r="C1210" t="str">
            <v>3.17</v>
          </cell>
          <cell r="D1210">
            <v>10815359</v>
          </cell>
          <cell r="E1210" t="str">
            <v>스페이서설치</v>
          </cell>
          <cell r="I1210">
            <v>0</v>
          </cell>
        </row>
        <row r="1211">
          <cell r="A1211" t="str">
            <v>D00588</v>
          </cell>
          <cell r="B1211">
            <v>4902</v>
          </cell>
          <cell r="C1211" t="str">
            <v>a</v>
          </cell>
          <cell r="D1211">
            <v>10815375</v>
          </cell>
          <cell r="E1211" t="str">
            <v>스페이서 설치</v>
          </cell>
          <cell r="F1211" t="str">
            <v>(슬라브및기초용)</v>
          </cell>
          <cell r="G1211" t="str">
            <v>㎡</v>
          </cell>
          <cell r="I1211">
            <v>0</v>
          </cell>
        </row>
        <row r="1212">
          <cell r="A1212" t="str">
            <v>D01070</v>
          </cell>
          <cell r="B1212">
            <v>418</v>
          </cell>
          <cell r="C1212" t="str">
            <v>b</v>
          </cell>
          <cell r="D1212">
            <v>10815383</v>
          </cell>
          <cell r="E1212" t="str">
            <v>스페이서 설치</v>
          </cell>
          <cell r="F1212" t="str">
            <v>(벽체용)</v>
          </cell>
          <cell r="G1212" t="str">
            <v>㎡</v>
          </cell>
          <cell r="I1212">
            <v>0</v>
          </cell>
        </row>
        <row r="1213">
          <cell r="A1213" t="str">
            <v>E2</v>
          </cell>
          <cell r="B1213">
            <v>0</v>
          </cell>
          <cell r="C1213" t="str">
            <v>계</v>
          </cell>
          <cell r="D1213">
            <v>10815387</v>
          </cell>
          <cell r="I1213">
            <v>0</v>
          </cell>
        </row>
        <row r="1214">
          <cell r="A1214" t="str">
            <v>T2</v>
          </cell>
          <cell r="B1214">
            <v>1217</v>
          </cell>
          <cell r="C1214" t="str">
            <v>3.18</v>
          </cell>
          <cell r="D1214">
            <v>10815389</v>
          </cell>
          <cell r="E1214" t="str">
            <v>교명판및설명판</v>
          </cell>
          <cell r="I1214">
            <v>0</v>
          </cell>
        </row>
        <row r="1215">
          <cell r="A1215" t="str">
            <v>D00582</v>
          </cell>
          <cell r="B1215">
            <v>4</v>
          </cell>
          <cell r="C1215" t="str">
            <v>a</v>
          </cell>
          <cell r="D1215">
            <v>10815390</v>
          </cell>
          <cell r="E1215" t="str">
            <v>교 명 주</v>
          </cell>
          <cell r="F1215" t="str">
            <v>(중형, 화강석)</v>
          </cell>
          <cell r="G1215" t="str">
            <v>기</v>
          </cell>
          <cell r="I1215">
            <v>0</v>
          </cell>
        </row>
        <row r="1216">
          <cell r="A1216" t="str">
            <v>D00583</v>
          </cell>
          <cell r="B1216">
            <v>2</v>
          </cell>
          <cell r="C1216" t="str">
            <v>b</v>
          </cell>
          <cell r="D1216">
            <v>10815391</v>
          </cell>
          <cell r="E1216" t="str">
            <v>교 명 판(황동주물)</v>
          </cell>
          <cell r="F1216" t="str">
            <v>(450x200x10)</v>
          </cell>
          <cell r="G1216" t="str">
            <v>EA</v>
          </cell>
          <cell r="I1216">
            <v>0</v>
          </cell>
        </row>
        <row r="1217">
          <cell r="A1217" t="str">
            <v>D00584</v>
          </cell>
          <cell r="B1217">
            <v>2</v>
          </cell>
          <cell r="C1217" t="str">
            <v>c</v>
          </cell>
          <cell r="D1217">
            <v>10815455</v>
          </cell>
          <cell r="E1217" t="str">
            <v>설 명 판(황동주물)</v>
          </cell>
          <cell r="F1217" t="str">
            <v>(500x300x10)</v>
          </cell>
          <cell r="G1217" t="str">
            <v>EA</v>
          </cell>
          <cell r="I1217">
            <v>0</v>
          </cell>
        </row>
        <row r="1218">
          <cell r="A1218" t="str">
            <v>E2</v>
          </cell>
          <cell r="B1218">
            <v>0</v>
          </cell>
          <cell r="C1218" t="str">
            <v>계</v>
          </cell>
          <cell r="D1218">
            <v>10815487</v>
          </cell>
          <cell r="I1218">
            <v>0</v>
          </cell>
        </row>
        <row r="1219">
          <cell r="A1219" t="str">
            <v>D00594</v>
          </cell>
          <cell r="B1219">
            <v>2</v>
          </cell>
          <cell r="C1219" t="str">
            <v>3.19</v>
          </cell>
          <cell r="D1219">
            <v>10815503</v>
          </cell>
          <cell r="E1219" t="str">
            <v>측량기준점 설치</v>
          </cell>
          <cell r="F1219" t="str">
            <v>(황동주물)</v>
          </cell>
          <cell r="G1219" t="str">
            <v>EA</v>
          </cell>
          <cell r="I1219">
            <v>0</v>
          </cell>
        </row>
        <row r="1220">
          <cell r="A1220" t="str">
            <v>D00791</v>
          </cell>
          <cell r="B1220">
            <v>20</v>
          </cell>
          <cell r="C1220" t="str">
            <v>3.20</v>
          </cell>
          <cell r="D1220">
            <v>10815517</v>
          </cell>
          <cell r="E1220" t="str">
            <v>교좌장치표지판</v>
          </cell>
          <cell r="G1220" t="str">
            <v>EA</v>
          </cell>
          <cell r="I1220">
            <v>0</v>
          </cell>
        </row>
        <row r="1221">
          <cell r="A1221" t="str">
            <v>D00654</v>
          </cell>
          <cell r="B1221">
            <v>90</v>
          </cell>
          <cell r="C1221" t="str">
            <v>3.21</v>
          </cell>
          <cell r="D1221">
            <v>10815615</v>
          </cell>
          <cell r="E1221" t="str">
            <v>종방향점검로</v>
          </cell>
          <cell r="G1221" t="str">
            <v>EA</v>
          </cell>
          <cell r="I1221">
            <v>0</v>
          </cell>
        </row>
        <row r="1222">
          <cell r="A1222" t="str">
            <v>T2</v>
          </cell>
          <cell r="B1222">
            <v>1225</v>
          </cell>
          <cell r="C1222" t="str">
            <v>3.22</v>
          </cell>
          <cell r="D1222">
            <v>10815770</v>
          </cell>
          <cell r="E1222" t="str">
            <v>교각점검시설</v>
          </cell>
          <cell r="I1222">
            <v>0</v>
          </cell>
        </row>
        <row r="1223">
          <cell r="A1223" t="str">
            <v>D00793</v>
          </cell>
          <cell r="B1223">
            <v>2</v>
          </cell>
          <cell r="C1223" t="str">
            <v>a</v>
          </cell>
          <cell r="D1223">
            <v>10815840</v>
          </cell>
          <cell r="E1223" t="str">
            <v>교각점검시설</v>
          </cell>
          <cell r="F1223" t="str">
            <v>(TYPE-1)</v>
          </cell>
          <cell r="G1223" t="str">
            <v>EA</v>
          </cell>
          <cell r="I1223">
            <v>0</v>
          </cell>
        </row>
        <row r="1224">
          <cell r="A1224" t="str">
            <v>D00789</v>
          </cell>
          <cell r="B1224">
            <v>2</v>
          </cell>
          <cell r="C1224" t="str">
            <v>b</v>
          </cell>
          <cell r="D1224">
            <v>10815875</v>
          </cell>
          <cell r="E1224" t="str">
            <v>교각점검시설</v>
          </cell>
          <cell r="F1224" t="str">
            <v>(TYPE-2)</v>
          </cell>
          <cell r="G1224" t="str">
            <v>EA</v>
          </cell>
          <cell r="I1224">
            <v>0</v>
          </cell>
        </row>
        <row r="1225">
          <cell r="A1225" t="str">
            <v>D01305</v>
          </cell>
          <cell r="B1225">
            <v>2</v>
          </cell>
          <cell r="C1225" t="str">
            <v>c</v>
          </cell>
          <cell r="D1225">
            <v>10815884</v>
          </cell>
          <cell r="E1225" t="str">
            <v>점검용계단</v>
          </cell>
          <cell r="G1225" t="str">
            <v>EA</v>
          </cell>
          <cell r="I1225">
            <v>0</v>
          </cell>
        </row>
        <row r="1226">
          <cell r="A1226" t="str">
            <v>E2</v>
          </cell>
          <cell r="B1226">
            <v>0</v>
          </cell>
          <cell r="C1226" t="str">
            <v>계</v>
          </cell>
          <cell r="D1226">
            <v>10815892</v>
          </cell>
          <cell r="I1226">
            <v>0</v>
          </cell>
        </row>
        <row r="1227">
          <cell r="A1227" t="str">
            <v>T2</v>
          </cell>
          <cell r="B1227">
            <v>1229</v>
          </cell>
          <cell r="C1227" t="str">
            <v>3.23</v>
          </cell>
          <cell r="D1227">
            <v>10815909</v>
          </cell>
          <cell r="E1227" t="str">
            <v>충  진  제</v>
          </cell>
          <cell r="I1227">
            <v>0</v>
          </cell>
        </row>
        <row r="1228">
          <cell r="A1228" t="str">
            <v>D01224</v>
          </cell>
          <cell r="B1228">
            <v>89</v>
          </cell>
          <cell r="C1228" t="str">
            <v>a</v>
          </cell>
          <cell r="D1228">
            <v>10815972</v>
          </cell>
          <cell r="E1228" t="str">
            <v>폴리우레탄실란트채움</v>
          </cell>
          <cell r="F1228" t="str">
            <v>(25x10)</v>
          </cell>
          <cell r="G1228" t="str">
            <v>M</v>
          </cell>
          <cell r="I1228">
            <v>0</v>
          </cell>
        </row>
        <row r="1229">
          <cell r="A1229" t="str">
            <v>D00846</v>
          </cell>
          <cell r="B1229">
            <v>166</v>
          </cell>
          <cell r="C1229" t="str">
            <v>b</v>
          </cell>
          <cell r="D1229">
            <v>10816035</v>
          </cell>
          <cell r="E1229" t="str">
            <v>폴리우레탄실란트채움</v>
          </cell>
          <cell r="F1229" t="str">
            <v>(25x20)</v>
          </cell>
          <cell r="G1229" t="str">
            <v>M</v>
          </cell>
          <cell r="I1229">
            <v>0</v>
          </cell>
        </row>
        <row r="1230">
          <cell r="A1230" t="str">
            <v>E2</v>
          </cell>
          <cell r="B1230">
            <v>0</v>
          </cell>
          <cell r="C1230" t="str">
            <v>계</v>
          </cell>
          <cell r="D1230">
            <v>10816085</v>
          </cell>
          <cell r="I1230">
            <v>0</v>
          </cell>
        </row>
        <row r="1231">
          <cell r="A1231" t="str">
            <v>D01308</v>
          </cell>
          <cell r="B1231">
            <v>1319</v>
          </cell>
          <cell r="C1231" t="str">
            <v>3.24</v>
          </cell>
          <cell r="D1231">
            <v>10816135</v>
          </cell>
          <cell r="E1231" t="str">
            <v>강섬유보강재</v>
          </cell>
          <cell r="F1231" t="str">
            <v>(900 g/㎥)</v>
          </cell>
          <cell r="G1231" t="str">
            <v>㎥</v>
          </cell>
          <cell r="I1231">
            <v>0</v>
          </cell>
        </row>
        <row r="1232">
          <cell r="A1232" t="str">
            <v>T2</v>
          </cell>
          <cell r="B1232">
            <v>1237</v>
          </cell>
          <cell r="C1232" t="str">
            <v>3.25</v>
          </cell>
          <cell r="D1232">
            <v>10816419</v>
          </cell>
          <cell r="E1232" t="str">
            <v>가 도 공</v>
          </cell>
          <cell r="I1232">
            <v>0</v>
          </cell>
        </row>
        <row r="1233">
          <cell r="A1233" t="str">
            <v>D00037</v>
          </cell>
          <cell r="B1233">
            <v>6276</v>
          </cell>
          <cell r="C1233" t="str">
            <v>a</v>
          </cell>
          <cell r="D1233">
            <v>10816420</v>
          </cell>
          <cell r="E1233" t="str">
            <v>가도성토및철거</v>
          </cell>
          <cell r="G1233" t="str">
            <v>㎥</v>
          </cell>
          <cell r="I1233">
            <v>0</v>
          </cell>
        </row>
        <row r="1234">
          <cell r="A1234" t="str">
            <v>D03742</v>
          </cell>
          <cell r="B1234">
            <v>570</v>
          </cell>
          <cell r="C1234" t="str">
            <v>b</v>
          </cell>
          <cell r="D1234">
            <v>10816485</v>
          </cell>
          <cell r="E1234" t="str">
            <v>보조기층생산</v>
          </cell>
          <cell r="F1234" t="str">
            <v>(현장암유용)</v>
          </cell>
          <cell r="G1234" t="str">
            <v>㎥</v>
          </cell>
          <cell r="I1234">
            <v>0</v>
          </cell>
        </row>
        <row r="1235">
          <cell r="A1235" t="str">
            <v>D00798</v>
          </cell>
          <cell r="B1235">
            <v>444</v>
          </cell>
          <cell r="C1235" t="str">
            <v>c</v>
          </cell>
          <cell r="D1235">
            <v>10816517</v>
          </cell>
          <cell r="E1235" t="str">
            <v>보조기층</v>
          </cell>
          <cell r="F1235" t="str">
            <v>(포설및다짐 T=20 Cm)</v>
          </cell>
          <cell r="G1235" t="str">
            <v>㎥</v>
          </cell>
          <cell r="I1235">
            <v>0</v>
          </cell>
        </row>
        <row r="1236">
          <cell r="A1236" t="str">
            <v>D00704</v>
          </cell>
          <cell r="B1236">
            <v>1956</v>
          </cell>
          <cell r="C1236" t="str">
            <v>d</v>
          </cell>
          <cell r="D1236">
            <v>10816537</v>
          </cell>
          <cell r="E1236" t="str">
            <v>마대쌓기및헐기</v>
          </cell>
          <cell r="G1236" t="str">
            <v>㎡</v>
          </cell>
          <cell r="I1236">
            <v>0</v>
          </cell>
        </row>
        <row r="1237">
          <cell r="A1237" t="str">
            <v>D00976</v>
          </cell>
          <cell r="B1237">
            <v>210</v>
          </cell>
          <cell r="C1237" t="str">
            <v>e</v>
          </cell>
          <cell r="D1237">
            <v>10816539</v>
          </cell>
          <cell r="E1237" t="str">
            <v>흄관부설</v>
          </cell>
          <cell r="F1237" t="str">
            <v>(D=1200 m/m)</v>
          </cell>
          <cell r="G1237" t="str">
            <v>본</v>
          </cell>
          <cell r="I1237">
            <v>0</v>
          </cell>
        </row>
        <row r="1238">
          <cell r="A1238" t="str">
            <v>E2</v>
          </cell>
          <cell r="B1238">
            <v>0</v>
          </cell>
          <cell r="C1238" t="str">
            <v>계</v>
          </cell>
          <cell r="D1238">
            <v>10816541</v>
          </cell>
          <cell r="I1238">
            <v>0</v>
          </cell>
        </row>
        <row r="1239">
          <cell r="A1239" t="str">
            <v>D01064</v>
          </cell>
          <cell r="B1239">
            <v>150</v>
          </cell>
          <cell r="C1239" t="str">
            <v>3.26</v>
          </cell>
          <cell r="D1239">
            <v>10816545</v>
          </cell>
          <cell r="E1239" t="str">
            <v>중앙분리대</v>
          </cell>
          <cell r="G1239" t="str">
            <v>M</v>
          </cell>
          <cell r="I1239">
            <v>0</v>
          </cell>
        </row>
        <row r="1240">
          <cell r="A1240" t="str">
            <v>D03860</v>
          </cell>
          <cell r="B1240">
            <v>316</v>
          </cell>
          <cell r="C1240" t="str">
            <v>3.27</v>
          </cell>
          <cell r="D1240">
            <v>10816547</v>
          </cell>
          <cell r="E1240" t="str">
            <v>방 호 벽</v>
          </cell>
          <cell r="F1240" t="str">
            <v>(일반용)</v>
          </cell>
          <cell r="G1240" t="str">
            <v>M</v>
          </cell>
          <cell r="I1240">
            <v>0</v>
          </cell>
        </row>
        <row r="1241">
          <cell r="A1241" t="str">
            <v>D03817</v>
          </cell>
          <cell r="B1241">
            <v>62</v>
          </cell>
          <cell r="C1241" t="str">
            <v>3.28</v>
          </cell>
          <cell r="D1241">
            <v>10817140</v>
          </cell>
          <cell r="E1241" t="str">
            <v>ELASTIC FILLER</v>
          </cell>
          <cell r="F1241" t="str">
            <v>(T=20 m/m)</v>
          </cell>
          <cell r="G1241" t="str">
            <v>㎡</v>
          </cell>
          <cell r="I1241">
            <v>0</v>
          </cell>
        </row>
        <row r="1242">
          <cell r="A1242" t="str">
            <v>D00817</v>
          </cell>
          <cell r="B1242">
            <v>0.127</v>
          </cell>
          <cell r="C1242" t="str">
            <v>3.29</v>
          </cell>
          <cell r="D1242">
            <v>10817436</v>
          </cell>
          <cell r="E1242" t="str">
            <v>아스팔트 채움</v>
          </cell>
          <cell r="F1242" t="str">
            <v>(브론아스팔트)</v>
          </cell>
          <cell r="G1242" t="str">
            <v>㎥</v>
          </cell>
          <cell r="I1242">
            <v>0</v>
          </cell>
        </row>
        <row r="1243">
          <cell r="A1243" t="str">
            <v>D01191</v>
          </cell>
          <cell r="B1243">
            <v>3</v>
          </cell>
          <cell r="C1243" t="str">
            <v>3.30</v>
          </cell>
          <cell r="D1243">
            <v>10817658</v>
          </cell>
          <cell r="E1243" t="str">
            <v>PVC PIPE 설치</v>
          </cell>
          <cell r="F1243" t="str">
            <v>(Φ65 m/m)</v>
          </cell>
          <cell r="G1243" t="str">
            <v>M</v>
          </cell>
          <cell r="I1243">
            <v>0</v>
          </cell>
        </row>
        <row r="1244">
          <cell r="A1244" t="str">
            <v>D03859</v>
          </cell>
          <cell r="B1244">
            <v>1</v>
          </cell>
          <cell r="C1244" t="str">
            <v>3.31</v>
          </cell>
          <cell r="D1244">
            <v>10817714</v>
          </cell>
          <cell r="E1244" t="str">
            <v>천공장비조립및해체</v>
          </cell>
          <cell r="G1244" t="str">
            <v>회</v>
          </cell>
          <cell r="I1244">
            <v>0</v>
          </cell>
        </row>
        <row r="1245">
          <cell r="A1245" t="str">
            <v>T2</v>
          </cell>
          <cell r="B1245">
            <v>1247</v>
          </cell>
          <cell r="C1245" t="str">
            <v>3.32</v>
          </cell>
          <cell r="D1245">
            <v>10817723</v>
          </cell>
          <cell r="E1245" t="str">
            <v>파일재하시험</v>
          </cell>
          <cell r="I1245">
            <v>0</v>
          </cell>
        </row>
        <row r="1246">
          <cell r="A1246" t="str">
            <v>D03869</v>
          </cell>
          <cell r="B1246">
            <v>1</v>
          </cell>
          <cell r="C1246" t="str">
            <v>a</v>
          </cell>
          <cell r="D1246">
            <v>10817728</v>
          </cell>
          <cell r="E1246" t="str">
            <v>파일재하시험</v>
          </cell>
          <cell r="F1246" t="str">
            <v>(정재하시험)</v>
          </cell>
          <cell r="G1246" t="str">
            <v>개소</v>
          </cell>
          <cell r="I1246">
            <v>0</v>
          </cell>
        </row>
        <row r="1247">
          <cell r="A1247" t="str">
            <v>D03870</v>
          </cell>
          <cell r="B1247">
            <v>5</v>
          </cell>
          <cell r="C1247" t="str">
            <v>b</v>
          </cell>
          <cell r="D1247">
            <v>10817730</v>
          </cell>
          <cell r="E1247" t="str">
            <v>파일재하시험</v>
          </cell>
          <cell r="F1247" t="str">
            <v>(동재하시험)</v>
          </cell>
          <cell r="G1247" t="str">
            <v>개소</v>
          </cell>
          <cell r="I1247">
            <v>0</v>
          </cell>
        </row>
        <row r="1248">
          <cell r="A1248" t="str">
            <v>E2</v>
          </cell>
          <cell r="B1248">
            <v>0</v>
          </cell>
          <cell r="C1248" t="str">
            <v>계</v>
          </cell>
          <cell r="D1248">
            <v>10817731</v>
          </cell>
          <cell r="I1248">
            <v>0</v>
          </cell>
        </row>
        <row r="1249">
          <cell r="A1249" t="str">
            <v>D03871</v>
          </cell>
          <cell r="B1249">
            <v>5</v>
          </cell>
          <cell r="C1249" t="str">
            <v>3.33</v>
          </cell>
          <cell r="D1249">
            <v>10817732</v>
          </cell>
          <cell r="E1249" t="str">
            <v>평판재하시험</v>
          </cell>
          <cell r="G1249" t="str">
            <v>개소</v>
          </cell>
          <cell r="I1249">
            <v>0</v>
          </cell>
        </row>
        <row r="1250">
          <cell r="A1250" t="str">
            <v>D03747</v>
          </cell>
          <cell r="B1250">
            <v>20</v>
          </cell>
          <cell r="C1250" t="str">
            <v>3.34</v>
          </cell>
          <cell r="D1250">
            <v>10817860</v>
          </cell>
          <cell r="E1250" t="str">
            <v>워터스톱</v>
          </cell>
          <cell r="F1250" t="str">
            <v>(20x25)</v>
          </cell>
          <cell r="G1250" t="str">
            <v>M</v>
          </cell>
          <cell r="I1250">
            <v>0</v>
          </cell>
        </row>
        <row r="1251">
          <cell r="A1251" t="str">
            <v>D03942</v>
          </cell>
          <cell r="B1251">
            <v>1</v>
          </cell>
          <cell r="C1251" t="str">
            <v>3.35</v>
          </cell>
          <cell r="D1251">
            <v>10817892</v>
          </cell>
          <cell r="E1251" t="str">
            <v>상수원보호장비</v>
          </cell>
          <cell r="F1251" t="str">
            <v>(TYPE-1)</v>
          </cell>
          <cell r="G1251" t="str">
            <v>식</v>
          </cell>
          <cell r="I1251">
            <v>0</v>
          </cell>
        </row>
        <row r="1252">
          <cell r="A1252" t="str">
            <v>D00847</v>
          </cell>
          <cell r="B1252">
            <v>300</v>
          </cell>
          <cell r="C1252" t="str">
            <v>3.36</v>
          </cell>
          <cell r="D1252">
            <v>10817924</v>
          </cell>
          <cell r="E1252" t="str">
            <v>가드휀스설치</v>
          </cell>
          <cell r="G1252" t="str">
            <v>M</v>
          </cell>
          <cell r="I1252">
            <v>0</v>
          </cell>
        </row>
        <row r="1253">
          <cell r="A1253" t="str">
            <v>E3</v>
          </cell>
          <cell r="B1253">
            <v>0</v>
          </cell>
          <cell r="C1253" t="str">
            <v>합계</v>
          </cell>
          <cell r="D1253">
            <v>10817988</v>
          </cell>
          <cell r="I1253">
            <v>0</v>
          </cell>
        </row>
        <row r="1254">
          <cell r="A1254" t="str">
            <v>T3</v>
          </cell>
          <cell r="B1254">
            <v>1328</v>
          </cell>
          <cell r="C1254" t="str">
            <v>3.J</v>
          </cell>
          <cell r="D1254">
            <v>12062306</v>
          </cell>
          <cell r="E1254" t="str">
            <v>구    룡    교</v>
          </cell>
          <cell r="I1254">
            <v>0</v>
          </cell>
        </row>
        <row r="1255">
          <cell r="A1255" t="str">
            <v>T2</v>
          </cell>
          <cell r="B1255">
            <v>1261</v>
          </cell>
          <cell r="C1255" t="str">
            <v>3.01</v>
          </cell>
          <cell r="D1255">
            <v>12062434</v>
          </cell>
          <cell r="E1255" t="str">
            <v>토          공</v>
          </cell>
          <cell r="I1255">
            <v>0</v>
          </cell>
        </row>
        <row r="1256">
          <cell r="A1256" t="str">
            <v>D00096</v>
          </cell>
          <cell r="B1256">
            <v>3932</v>
          </cell>
          <cell r="C1256" t="str">
            <v>a</v>
          </cell>
          <cell r="D1256">
            <v>12182198</v>
          </cell>
          <cell r="E1256" t="str">
            <v>구조물터파기</v>
          </cell>
          <cell r="F1256" t="str">
            <v>(육상토사 0∼2 M)</v>
          </cell>
          <cell r="G1256" t="str">
            <v>㎥</v>
          </cell>
          <cell r="I1256">
            <v>0</v>
          </cell>
        </row>
        <row r="1257">
          <cell r="A1257" t="str">
            <v>D00097</v>
          </cell>
          <cell r="B1257">
            <v>2636</v>
          </cell>
          <cell r="C1257" t="str">
            <v>b</v>
          </cell>
          <cell r="D1257">
            <v>12184444</v>
          </cell>
          <cell r="E1257" t="str">
            <v>구조물터파기</v>
          </cell>
          <cell r="F1257" t="str">
            <v>(육상토사 2∼4 M)</v>
          </cell>
          <cell r="G1257" t="str">
            <v>㎥</v>
          </cell>
          <cell r="I1257">
            <v>0</v>
          </cell>
        </row>
        <row r="1258">
          <cell r="A1258" t="str">
            <v>D00098</v>
          </cell>
          <cell r="B1258">
            <v>1273</v>
          </cell>
          <cell r="C1258" t="str">
            <v>c</v>
          </cell>
          <cell r="D1258">
            <v>12185567</v>
          </cell>
          <cell r="E1258" t="str">
            <v>구조물터파기</v>
          </cell>
          <cell r="F1258" t="str">
            <v>(육상토사 4∼6 M)</v>
          </cell>
          <cell r="G1258" t="str">
            <v>㎥</v>
          </cell>
          <cell r="I1258">
            <v>0</v>
          </cell>
        </row>
        <row r="1259">
          <cell r="A1259" t="str">
            <v>D00160</v>
          </cell>
          <cell r="B1259">
            <v>359</v>
          </cell>
          <cell r="C1259" t="str">
            <v>d</v>
          </cell>
          <cell r="D1259">
            <v>12186689</v>
          </cell>
          <cell r="E1259" t="str">
            <v>되메우기및다짐</v>
          </cell>
          <cell r="F1259" t="str">
            <v>(인력30%+백호우70%)</v>
          </cell>
          <cell r="G1259" t="str">
            <v>㎥</v>
          </cell>
          <cell r="I1259">
            <v>0</v>
          </cell>
        </row>
        <row r="1260">
          <cell r="A1260" t="str">
            <v>D00170</v>
          </cell>
          <cell r="B1260">
            <v>1371</v>
          </cell>
          <cell r="C1260" t="str">
            <v>e</v>
          </cell>
          <cell r="D1260">
            <v>12186839</v>
          </cell>
          <cell r="E1260" t="str">
            <v>뒷채움잡석</v>
          </cell>
          <cell r="F1260" t="str">
            <v>(현장암유용)</v>
          </cell>
          <cell r="G1260" t="str">
            <v>㎥</v>
          </cell>
          <cell r="I1260">
            <v>0</v>
          </cell>
        </row>
        <row r="1261">
          <cell r="A1261" t="str">
            <v>D00038</v>
          </cell>
          <cell r="B1261">
            <v>7644</v>
          </cell>
          <cell r="C1261" t="str">
            <v>f</v>
          </cell>
          <cell r="D1261">
            <v>12186914</v>
          </cell>
          <cell r="E1261" t="str">
            <v>토사치환</v>
          </cell>
          <cell r="F1261" t="str">
            <v>노상다짐</v>
          </cell>
          <cell r="G1261" t="str">
            <v>㎥</v>
          </cell>
          <cell r="I1261">
            <v>0</v>
          </cell>
        </row>
        <row r="1262">
          <cell r="A1262" t="str">
            <v>E2</v>
          </cell>
          <cell r="B1262">
            <v>0</v>
          </cell>
          <cell r="C1262" t="str">
            <v>계</v>
          </cell>
          <cell r="D1262">
            <v>12186988</v>
          </cell>
          <cell r="I1262">
            <v>0</v>
          </cell>
        </row>
        <row r="1263">
          <cell r="A1263" t="str">
            <v>T2</v>
          </cell>
          <cell r="B1263">
            <v>1272</v>
          </cell>
          <cell r="C1263" t="str">
            <v>3.02</v>
          </cell>
          <cell r="D1263">
            <v>12187116</v>
          </cell>
          <cell r="E1263" t="str">
            <v>강관파일</v>
          </cell>
          <cell r="I1263">
            <v>0</v>
          </cell>
        </row>
        <row r="1264">
          <cell r="A1264" t="str">
            <v>D00504</v>
          </cell>
          <cell r="B1264">
            <v>867</v>
          </cell>
          <cell r="C1264" t="str">
            <v>a</v>
          </cell>
          <cell r="D1264">
            <v>12187212</v>
          </cell>
          <cell r="E1264" t="str">
            <v>강관파일구입</v>
          </cell>
          <cell r="F1264" t="str">
            <v>(Φ508.0m/mx9t)</v>
          </cell>
          <cell r="G1264" t="str">
            <v>M</v>
          </cell>
          <cell r="I1264">
            <v>0</v>
          </cell>
        </row>
        <row r="1265">
          <cell r="A1265" t="str">
            <v>D00511</v>
          </cell>
          <cell r="B1265">
            <v>528</v>
          </cell>
          <cell r="C1265" t="str">
            <v>b</v>
          </cell>
          <cell r="D1265">
            <v>12187220</v>
          </cell>
          <cell r="E1265" t="str">
            <v>강관파일구입</v>
          </cell>
          <cell r="F1265" t="str">
            <v>(Φ406.4m/mx9t)</v>
          </cell>
          <cell r="G1265" t="str">
            <v>M</v>
          </cell>
          <cell r="I1265">
            <v>0</v>
          </cell>
        </row>
        <row r="1266">
          <cell r="A1266" t="str">
            <v>D03840</v>
          </cell>
          <cell r="B1266">
            <v>560</v>
          </cell>
          <cell r="C1266" t="str">
            <v>c</v>
          </cell>
          <cell r="D1266">
            <v>12187228</v>
          </cell>
          <cell r="E1266" t="str">
            <v>강관파일항타(직항)</v>
          </cell>
          <cell r="F1266" t="str">
            <v>Φ508(15 m 이하)천공</v>
          </cell>
          <cell r="G1266" t="str">
            <v>M</v>
          </cell>
          <cell r="I1266">
            <v>0</v>
          </cell>
        </row>
        <row r="1267">
          <cell r="A1267" t="str">
            <v>D00505</v>
          </cell>
          <cell r="B1267">
            <v>516</v>
          </cell>
          <cell r="C1267" t="str">
            <v>d</v>
          </cell>
          <cell r="D1267">
            <v>12187233</v>
          </cell>
          <cell r="E1267" t="str">
            <v>강관파일항타(직항)</v>
          </cell>
          <cell r="F1267" t="str">
            <v>Φ406.4(15 m 이하)</v>
          </cell>
          <cell r="G1267" t="str">
            <v>M</v>
          </cell>
          <cell r="I1267">
            <v>0</v>
          </cell>
        </row>
        <row r="1268">
          <cell r="A1268" t="str">
            <v>D01314</v>
          </cell>
          <cell r="B1268">
            <v>283</v>
          </cell>
          <cell r="C1268" t="str">
            <v>e</v>
          </cell>
          <cell r="D1268">
            <v>12187238</v>
          </cell>
          <cell r="E1268" t="str">
            <v>강관파일항타(사항)</v>
          </cell>
          <cell r="F1268" t="str">
            <v>Φ508(15 m 이하)</v>
          </cell>
          <cell r="G1268" t="str">
            <v>M</v>
          </cell>
          <cell r="I1268">
            <v>0</v>
          </cell>
        </row>
        <row r="1269">
          <cell r="A1269" t="str">
            <v>D03838</v>
          </cell>
          <cell r="B1269">
            <v>23</v>
          </cell>
          <cell r="C1269" t="str">
            <v>f</v>
          </cell>
          <cell r="D1269">
            <v>12187248</v>
          </cell>
          <cell r="E1269" t="str">
            <v>파일속모래채움</v>
          </cell>
          <cell r="G1269" t="str">
            <v>㎥</v>
          </cell>
          <cell r="I1269">
            <v>0</v>
          </cell>
        </row>
        <row r="1270">
          <cell r="A1270" t="str">
            <v>D00502</v>
          </cell>
          <cell r="B1270">
            <v>23</v>
          </cell>
          <cell r="C1270" t="str">
            <v>g</v>
          </cell>
          <cell r="D1270">
            <v>12187252</v>
          </cell>
          <cell r="E1270" t="str">
            <v>속채움 콘크리트</v>
          </cell>
          <cell r="G1270" t="str">
            <v>㎥</v>
          </cell>
          <cell r="I1270">
            <v>0</v>
          </cell>
        </row>
        <row r="1271">
          <cell r="A1271" t="str">
            <v>D00517</v>
          </cell>
          <cell r="B1271">
            <v>96</v>
          </cell>
          <cell r="C1271" t="str">
            <v>h</v>
          </cell>
          <cell r="D1271">
            <v>12187260</v>
          </cell>
          <cell r="E1271" t="str">
            <v>두부및선단보강</v>
          </cell>
          <cell r="F1271" t="str">
            <v>(Φ508.8 m/m)</v>
          </cell>
          <cell r="G1271" t="str">
            <v>EA</v>
          </cell>
          <cell r="I1271">
            <v>0</v>
          </cell>
        </row>
        <row r="1272">
          <cell r="A1272" t="str">
            <v>D00509</v>
          </cell>
          <cell r="B1272">
            <v>48</v>
          </cell>
          <cell r="C1272" t="str">
            <v>i</v>
          </cell>
          <cell r="D1272">
            <v>12187330</v>
          </cell>
          <cell r="E1272" t="str">
            <v>두부및선단보강</v>
          </cell>
          <cell r="F1272" t="str">
            <v>(Φ406.4 m/m)</v>
          </cell>
          <cell r="G1272" t="str">
            <v>EA</v>
          </cell>
          <cell r="I1272">
            <v>0</v>
          </cell>
        </row>
        <row r="1273">
          <cell r="A1273" t="str">
            <v>E2</v>
          </cell>
          <cell r="B1273">
            <v>0</v>
          </cell>
          <cell r="C1273" t="str">
            <v>계</v>
          </cell>
          <cell r="D1273">
            <v>12187400</v>
          </cell>
          <cell r="I1273">
            <v>0</v>
          </cell>
        </row>
        <row r="1274">
          <cell r="A1274" t="str">
            <v>T2</v>
          </cell>
          <cell r="B1274">
            <v>1278</v>
          </cell>
          <cell r="C1274" t="str">
            <v>3.03</v>
          </cell>
          <cell r="D1274">
            <v>12217287</v>
          </cell>
          <cell r="E1274" t="str">
            <v>거 푸 집</v>
          </cell>
          <cell r="I1274">
            <v>0</v>
          </cell>
        </row>
        <row r="1275">
          <cell r="A1275" t="str">
            <v>D00276</v>
          </cell>
          <cell r="B1275">
            <v>805</v>
          </cell>
          <cell r="C1275" t="str">
            <v>a</v>
          </cell>
          <cell r="D1275">
            <v>12217343</v>
          </cell>
          <cell r="E1275" t="str">
            <v>합판거푸집</v>
          </cell>
          <cell r="F1275" t="str">
            <v>(3 회)</v>
          </cell>
          <cell r="G1275" t="str">
            <v>㎡</v>
          </cell>
          <cell r="I1275">
            <v>0</v>
          </cell>
        </row>
        <row r="1276">
          <cell r="A1276" t="str">
            <v>D00280</v>
          </cell>
          <cell r="B1276">
            <v>215</v>
          </cell>
          <cell r="C1276" t="str">
            <v>b</v>
          </cell>
          <cell r="D1276">
            <v>12217399</v>
          </cell>
          <cell r="E1276" t="str">
            <v>합판거푸집</v>
          </cell>
          <cell r="F1276" t="str">
            <v>(4 회)</v>
          </cell>
          <cell r="G1276" t="str">
            <v>㎡</v>
          </cell>
          <cell r="I1276">
            <v>0</v>
          </cell>
        </row>
        <row r="1277">
          <cell r="A1277" t="str">
            <v>D00282</v>
          </cell>
          <cell r="B1277">
            <v>16</v>
          </cell>
          <cell r="C1277" t="str">
            <v>c</v>
          </cell>
          <cell r="D1277">
            <v>12217414</v>
          </cell>
          <cell r="E1277" t="str">
            <v>합판거푸집</v>
          </cell>
          <cell r="F1277" t="str">
            <v>(6 회)</v>
          </cell>
          <cell r="G1277" t="str">
            <v>㎡</v>
          </cell>
          <cell r="I1277">
            <v>0</v>
          </cell>
        </row>
        <row r="1278">
          <cell r="A1278" t="str">
            <v>D00265</v>
          </cell>
          <cell r="B1278">
            <v>541</v>
          </cell>
          <cell r="C1278" t="str">
            <v>d</v>
          </cell>
          <cell r="D1278">
            <v>12217558</v>
          </cell>
          <cell r="E1278" t="str">
            <v>문양거푸집(합판4회+</v>
          </cell>
          <cell r="F1278" t="str">
            <v>문양스치로폴(0∼7M)</v>
          </cell>
          <cell r="G1278" t="str">
            <v>㎡</v>
          </cell>
          <cell r="I1278">
            <v>0</v>
          </cell>
        </row>
        <row r="1279">
          <cell r="A1279" t="str">
            <v>E2</v>
          </cell>
          <cell r="B1279">
            <v>0</v>
          </cell>
          <cell r="C1279" t="str">
            <v>계</v>
          </cell>
          <cell r="D1279">
            <v>12217815</v>
          </cell>
          <cell r="I1279">
            <v>0</v>
          </cell>
        </row>
        <row r="1280">
          <cell r="A1280" t="str">
            <v>D00323</v>
          </cell>
          <cell r="B1280">
            <v>573</v>
          </cell>
          <cell r="C1280" t="str">
            <v>3.04</v>
          </cell>
          <cell r="D1280">
            <v>12217943</v>
          </cell>
          <cell r="E1280" t="str">
            <v>강관비계</v>
          </cell>
          <cell r="F1280" t="str">
            <v>(0∼30 M)</v>
          </cell>
          <cell r="G1280" t="str">
            <v>㎡</v>
          </cell>
          <cell r="I1280">
            <v>0</v>
          </cell>
        </row>
        <row r="1281">
          <cell r="A1281" t="str">
            <v>T2</v>
          </cell>
          <cell r="B1281">
            <v>1283</v>
          </cell>
          <cell r="C1281" t="str">
            <v>3.05</v>
          </cell>
          <cell r="D1281">
            <v>12217944</v>
          </cell>
          <cell r="E1281" t="str">
            <v>동 바 리</v>
          </cell>
          <cell r="I1281">
            <v>0</v>
          </cell>
        </row>
        <row r="1282">
          <cell r="A1282" t="str">
            <v>D00334</v>
          </cell>
          <cell r="B1282">
            <v>1697</v>
          </cell>
          <cell r="C1282" t="str">
            <v>a</v>
          </cell>
          <cell r="D1282">
            <v>12217945</v>
          </cell>
          <cell r="E1282" t="str">
            <v>강관동바리</v>
          </cell>
          <cell r="F1282" t="str">
            <v>(교량용)</v>
          </cell>
          <cell r="G1282" t="str">
            <v>공㎥</v>
          </cell>
          <cell r="I1282">
            <v>0</v>
          </cell>
        </row>
        <row r="1283">
          <cell r="A1283" t="str">
            <v>D01129</v>
          </cell>
          <cell r="B1283">
            <v>501</v>
          </cell>
          <cell r="C1283" t="str">
            <v>b</v>
          </cell>
          <cell r="D1283">
            <v>12218041</v>
          </cell>
          <cell r="E1283" t="str">
            <v>수평보강재(교량용)</v>
          </cell>
          <cell r="F1283" t="str">
            <v>(강관동바리)</v>
          </cell>
          <cell r="G1283" t="str">
            <v>㎡</v>
          </cell>
          <cell r="I1283">
            <v>0</v>
          </cell>
        </row>
        <row r="1284">
          <cell r="A1284" t="str">
            <v>E2</v>
          </cell>
          <cell r="B1284">
            <v>0</v>
          </cell>
          <cell r="C1284" t="str">
            <v>계</v>
          </cell>
          <cell r="D1284">
            <v>12218057</v>
          </cell>
          <cell r="I1284">
            <v>0</v>
          </cell>
        </row>
        <row r="1285">
          <cell r="A1285" t="str">
            <v>T2</v>
          </cell>
          <cell r="B1285">
            <v>1287</v>
          </cell>
          <cell r="C1285" t="str">
            <v>3.06</v>
          </cell>
          <cell r="D1285">
            <v>12218089</v>
          </cell>
          <cell r="E1285" t="str">
            <v>철근가공조립</v>
          </cell>
          <cell r="I1285">
            <v>0</v>
          </cell>
        </row>
        <row r="1286">
          <cell r="A1286" t="str">
            <v>D00271</v>
          </cell>
          <cell r="B1286">
            <v>40.68</v>
          </cell>
          <cell r="C1286" t="str">
            <v>a</v>
          </cell>
          <cell r="D1286">
            <v>12218113</v>
          </cell>
          <cell r="E1286" t="str">
            <v>철근가공조립</v>
          </cell>
          <cell r="F1286" t="str">
            <v>(보 통)</v>
          </cell>
          <cell r="G1286" t="str">
            <v>Ton</v>
          </cell>
          <cell r="I1286">
            <v>0</v>
          </cell>
        </row>
        <row r="1287">
          <cell r="A1287" t="str">
            <v>D00272</v>
          </cell>
          <cell r="B1287">
            <v>117.657</v>
          </cell>
          <cell r="C1287" t="str">
            <v>b</v>
          </cell>
          <cell r="D1287">
            <v>12218117</v>
          </cell>
          <cell r="E1287" t="str">
            <v>철근가공조립</v>
          </cell>
          <cell r="F1287" t="str">
            <v>(복 잡)</v>
          </cell>
          <cell r="G1287" t="str">
            <v>Ton</v>
          </cell>
          <cell r="I1287">
            <v>0</v>
          </cell>
        </row>
        <row r="1288">
          <cell r="A1288" t="str">
            <v>E2</v>
          </cell>
          <cell r="B1288">
            <v>0</v>
          </cell>
          <cell r="C1288" t="str">
            <v>계</v>
          </cell>
          <cell r="D1288">
            <v>12218119</v>
          </cell>
          <cell r="I1288">
            <v>0</v>
          </cell>
        </row>
        <row r="1289">
          <cell r="A1289" t="str">
            <v>T2</v>
          </cell>
          <cell r="B1289">
            <v>1291</v>
          </cell>
          <cell r="C1289" t="str">
            <v>3.07</v>
          </cell>
          <cell r="D1289">
            <v>12218120</v>
          </cell>
          <cell r="E1289" t="str">
            <v>콘크리트타설</v>
          </cell>
          <cell r="I1289">
            <v>0</v>
          </cell>
        </row>
        <row r="1290">
          <cell r="A1290" t="str">
            <v>D00237</v>
          </cell>
          <cell r="B1290">
            <v>791</v>
          </cell>
          <cell r="C1290" t="str">
            <v>a</v>
          </cell>
          <cell r="D1290">
            <v>12218121</v>
          </cell>
          <cell r="E1290" t="str">
            <v>콘크리트타설</v>
          </cell>
          <cell r="F1290" t="str">
            <v>(철근 펌프카)</v>
          </cell>
          <cell r="G1290" t="str">
            <v>㎥</v>
          </cell>
          <cell r="I1290">
            <v>0</v>
          </cell>
        </row>
        <row r="1291">
          <cell r="A1291" t="str">
            <v>D00231</v>
          </cell>
          <cell r="B1291">
            <v>54</v>
          </cell>
          <cell r="C1291" t="str">
            <v>b</v>
          </cell>
          <cell r="D1291">
            <v>12218153</v>
          </cell>
          <cell r="E1291" t="str">
            <v>콘크리트타설</v>
          </cell>
          <cell r="F1291" t="str">
            <v>(무근 VIB 제외)</v>
          </cell>
          <cell r="G1291" t="str">
            <v>㎥</v>
          </cell>
          <cell r="I1291">
            <v>0</v>
          </cell>
        </row>
        <row r="1292">
          <cell r="A1292" t="str">
            <v>E2</v>
          </cell>
          <cell r="B1292">
            <v>0</v>
          </cell>
          <cell r="C1292" t="str">
            <v>계</v>
          </cell>
          <cell r="D1292">
            <v>12218217</v>
          </cell>
          <cell r="I1292">
            <v>0</v>
          </cell>
        </row>
        <row r="1293">
          <cell r="A1293" t="str">
            <v>T2</v>
          </cell>
          <cell r="B1293">
            <v>1295</v>
          </cell>
          <cell r="C1293" t="str">
            <v>3.08</v>
          </cell>
          <cell r="D1293">
            <v>12218233</v>
          </cell>
          <cell r="E1293" t="str">
            <v>표면처리</v>
          </cell>
          <cell r="I1293">
            <v>0</v>
          </cell>
        </row>
        <row r="1294">
          <cell r="A1294" t="str">
            <v>D00537</v>
          </cell>
          <cell r="B1294">
            <v>280</v>
          </cell>
          <cell r="C1294" t="str">
            <v>a</v>
          </cell>
          <cell r="D1294">
            <v>12218249</v>
          </cell>
          <cell r="E1294" t="str">
            <v>슬래브양생</v>
          </cell>
          <cell r="F1294" t="str">
            <v>(양생제)</v>
          </cell>
          <cell r="G1294" t="str">
            <v>㎡</v>
          </cell>
          <cell r="I1294">
            <v>0</v>
          </cell>
        </row>
        <row r="1295">
          <cell r="A1295" t="str">
            <v>D00539</v>
          </cell>
          <cell r="B1295">
            <v>254</v>
          </cell>
          <cell r="C1295" t="str">
            <v>b</v>
          </cell>
          <cell r="D1295">
            <v>12218257</v>
          </cell>
          <cell r="E1295" t="str">
            <v>슬래브면고르기</v>
          </cell>
          <cell r="F1295" t="str">
            <v>(데크 피니샤)</v>
          </cell>
          <cell r="G1295" t="str">
            <v>㎡</v>
          </cell>
          <cell r="I1295">
            <v>0</v>
          </cell>
        </row>
        <row r="1296">
          <cell r="A1296" t="str">
            <v>E2</v>
          </cell>
          <cell r="B1296">
            <v>0</v>
          </cell>
          <cell r="C1296" t="str">
            <v>계</v>
          </cell>
          <cell r="D1296">
            <v>12218261</v>
          </cell>
          <cell r="I1296">
            <v>0</v>
          </cell>
        </row>
        <row r="1297">
          <cell r="A1297" t="str">
            <v>D00535</v>
          </cell>
          <cell r="B1297">
            <v>254</v>
          </cell>
          <cell r="C1297" t="str">
            <v>3.09</v>
          </cell>
          <cell r="D1297">
            <v>12219479</v>
          </cell>
          <cell r="E1297" t="str">
            <v>교면방수</v>
          </cell>
          <cell r="F1297" t="str">
            <v>(도막식)</v>
          </cell>
          <cell r="G1297" t="str">
            <v>㎡</v>
          </cell>
          <cell r="I1297">
            <v>0</v>
          </cell>
        </row>
        <row r="1298">
          <cell r="A1298" t="str">
            <v>D03863</v>
          </cell>
          <cell r="B1298">
            <v>96</v>
          </cell>
          <cell r="C1298" t="str">
            <v>3.10</v>
          </cell>
          <cell r="D1298">
            <v>12219483</v>
          </cell>
          <cell r="E1298" t="str">
            <v>다웰바 설치</v>
          </cell>
          <cell r="F1298" t="str">
            <v>(구룡교)</v>
          </cell>
          <cell r="G1298" t="str">
            <v>EA</v>
          </cell>
          <cell r="I1298">
            <v>0</v>
          </cell>
        </row>
        <row r="1299">
          <cell r="A1299" t="str">
            <v>T2</v>
          </cell>
          <cell r="B1299">
            <v>1301</v>
          </cell>
          <cell r="C1299" t="str">
            <v>3.11</v>
          </cell>
          <cell r="D1299">
            <v>12219844</v>
          </cell>
          <cell r="E1299" t="str">
            <v>스치로폴설치</v>
          </cell>
          <cell r="I1299">
            <v>0</v>
          </cell>
        </row>
        <row r="1300">
          <cell r="A1300" t="str">
            <v>D00853</v>
          </cell>
          <cell r="B1300">
            <v>1</v>
          </cell>
          <cell r="C1300" t="str">
            <v>a</v>
          </cell>
          <cell r="D1300">
            <v>12219972</v>
          </cell>
          <cell r="E1300" t="str">
            <v>스치로폴설치</v>
          </cell>
          <cell r="F1300" t="str">
            <v>(T=10 m/m)</v>
          </cell>
          <cell r="G1300" t="str">
            <v>㎡</v>
          </cell>
          <cell r="I1300">
            <v>0</v>
          </cell>
        </row>
        <row r="1301">
          <cell r="A1301" t="str">
            <v>D00532</v>
          </cell>
          <cell r="B1301">
            <v>19</v>
          </cell>
          <cell r="C1301" t="str">
            <v>b</v>
          </cell>
          <cell r="D1301">
            <v>12219973</v>
          </cell>
          <cell r="E1301" t="str">
            <v>스치로폴설치</v>
          </cell>
          <cell r="F1301" t="str">
            <v>(T=20 m/m)</v>
          </cell>
          <cell r="G1301" t="str">
            <v>㎡</v>
          </cell>
          <cell r="I1301">
            <v>0</v>
          </cell>
        </row>
        <row r="1302">
          <cell r="A1302" t="str">
            <v>E2</v>
          </cell>
          <cell r="B1302">
            <v>0</v>
          </cell>
          <cell r="C1302" t="str">
            <v>계</v>
          </cell>
          <cell r="D1302">
            <v>12220038</v>
          </cell>
          <cell r="I1302">
            <v>0</v>
          </cell>
        </row>
        <row r="1303">
          <cell r="A1303" t="str">
            <v>T2</v>
          </cell>
          <cell r="B1303">
            <v>1305</v>
          </cell>
          <cell r="C1303" t="str">
            <v>3.12</v>
          </cell>
          <cell r="D1303">
            <v>12220262</v>
          </cell>
          <cell r="E1303" t="str">
            <v>스페이서설치</v>
          </cell>
          <cell r="I1303">
            <v>0</v>
          </cell>
        </row>
        <row r="1304">
          <cell r="A1304" t="str">
            <v>D00588</v>
          </cell>
          <cell r="B1304">
            <v>773</v>
          </cell>
          <cell r="C1304" t="str">
            <v>a</v>
          </cell>
          <cell r="D1304">
            <v>12220278</v>
          </cell>
          <cell r="E1304" t="str">
            <v>스페이서 설치</v>
          </cell>
          <cell r="F1304" t="str">
            <v>(슬라브및기초용)</v>
          </cell>
          <cell r="G1304" t="str">
            <v>㎡</v>
          </cell>
          <cell r="I1304">
            <v>0</v>
          </cell>
        </row>
        <row r="1305">
          <cell r="A1305" t="str">
            <v>D01070</v>
          </cell>
          <cell r="B1305">
            <v>465</v>
          </cell>
          <cell r="C1305" t="str">
            <v>b</v>
          </cell>
          <cell r="D1305">
            <v>12220286</v>
          </cell>
          <cell r="E1305" t="str">
            <v>스페이서 설치</v>
          </cell>
          <cell r="F1305" t="str">
            <v>(벽체용)</v>
          </cell>
          <cell r="G1305" t="str">
            <v>㎡</v>
          </cell>
          <cell r="I1305">
            <v>0</v>
          </cell>
        </row>
        <row r="1306">
          <cell r="A1306" t="str">
            <v>E2</v>
          </cell>
          <cell r="B1306">
            <v>0</v>
          </cell>
          <cell r="C1306" t="str">
            <v>계</v>
          </cell>
          <cell r="D1306">
            <v>12220290</v>
          </cell>
          <cell r="I1306">
            <v>0</v>
          </cell>
        </row>
        <row r="1307">
          <cell r="A1307" t="str">
            <v>T2</v>
          </cell>
          <cell r="B1307">
            <v>1310</v>
          </cell>
          <cell r="C1307" t="str">
            <v>3.13</v>
          </cell>
          <cell r="D1307">
            <v>12220292</v>
          </cell>
          <cell r="E1307" t="str">
            <v>교명판및설명판</v>
          </cell>
          <cell r="I1307">
            <v>0</v>
          </cell>
        </row>
        <row r="1308">
          <cell r="A1308" t="str">
            <v>D00581</v>
          </cell>
          <cell r="B1308">
            <v>4</v>
          </cell>
          <cell r="C1308" t="str">
            <v>a</v>
          </cell>
          <cell r="D1308">
            <v>12220293</v>
          </cell>
          <cell r="E1308" t="str">
            <v>교 명 주</v>
          </cell>
          <cell r="F1308" t="str">
            <v>(소형,화강석)</v>
          </cell>
          <cell r="G1308" t="str">
            <v>기</v>
          </cell>
          <cell r="I1308">
            <v>0</v>
          </cell>
        </row>
        <row r="1309">
          <cell r="A1309" t="str">
            <v>D00583</v>
          </cell>
          <cell r="B1309">
            <v>2</v>
          </cell>
          <cell r="C1309" t="str">
            <v>b</v>
          </cell>
          <cell r="D1309">
            <v>12220294</v>
          </cell>
          <cell r="E1309" t="str">
            <v>교 명 판(황동주물)</v>
          </cell>
          <cell r="F1309" t="str">
            <v>(450x200x10)</v>
          </cell>
          <cell r="G1309" t="str">
            <v>EA</v>
          </cell>
          <cell r="I1309">
            <v>0</v>
          </cell>
        </row>
        <row r="1310">
          <cell r="A1310" t="str">
            <v>D00584</v>
          </cell>
          <cell r="B1310">
            <v>2</v>
          </cell>
          <cell r="C1310" t="str">
            <v>c</v>
          </cell>
          <cell r="D1310">
            <v>12220358</v>
          </cell>
          <cell r="E1310" t="str">
            <v>설 명 판(황동주물)</v>
          </cell>
          <cell r="F1310" t="str">
            <v>(500x300x10)</v>
          </cell>
          <cell r="G1310" t="str">
            <v>EA</v>
          </cell>
          <cell r="I1310">
            <v>0</v>
          </cell>
        </row>
        <row r="1311">
          <cell r="A1311" t="str">
            <v>E2</v>
          </cell>
          <cell r="B1311">
            <v>0</v>
          </cell>
          <cell r="C1311" t="str">
            <v>계</v>
          </cell>
          <cell r="D1311">
            <v>12220390</v>
          </cell>
          <cell r="I1311">
            <v>0</v>
          </cell>
        </row>
        <row r="1312">
          <cell r="A1312" t="str">
            <v>D00594</v>
          </cell>
          <cell r="B1312">
            <v>1</v>
          </cell>
          <cell r="C1312" t="str">
            <v>3.14</v>
          </cell>
          <cell r="D1312">
            <v>12220406</v>
          </cell>
          <cell r="E1312" t="str">
            <v>측량기준점 설치</v>
          </cell>
          <cell r="F1312" t="str">
            <v>(황동주물)</v>
          </cell>
          <cell r="G1312" t="str">
            <v>EA</v>
          </cell>
          <cell r="I1312">
            <v>0</v>
          </cell>
        </row>
        <row r="1313">
          <cell r="A1313" t="str">
            <v>T2</v>
          </cell>
          <cell r="B1313">
            <v>1315</v>
          </cell>
          <cell r="C1313" t="str">
            <v>3.15</v>
          </cell>
          <cell r="D1313">
            <v>12220812</v>
          </cell>
          <cell r="E1313" t="str">
            <v>충  진  제</v>
          </cell>
          <cell r="I1313">
            <v>0</v>
          </cell>
        </row>
        <row r="1314">
          <cell r="A1314" t="str">
            <v>D01224</v>
          </cell>
          <cell r="B1314">
            <v>67</v>
          </cell>
          <cell r="C1314" t="str">
            <v>a</v>
          </cell>
          <cell r="D1314">
            <v>12220875</v>
          </cell>
          <cell r="E1314" t="str">
            <v>폴리우레탄실란트채움</v>
          </cell>
          <cell r="F1314" t="str">
            <v>(25x10)</v>
          </cell>
          <cell r="G1314" t="str">
            <v>M</v>
          </cell>
          <cell r="I1314">
            <v>0</v>
          </cell>
        </row>
        <row r="1315">
          <cell r="A1315" t="str">
            <v>D00846</v>
          </cell>
          <cell r="B1315">
            <v>10</v>
          </cell>
          <cell r="C1315" t="str">
            <v>b</v>
          </cell>
          <cell r="D1315">
            <v>12220938</v>
          </cell>
          <cell r="E1315" t="str">
            <v>폴리우레탄실란트채움</v>
          </cell>
          <cell r="F1315" t="str">
            <v>(25x20)</v>
          </cell>
          <cell r="G1315" t="str">
            <v>M</v>
          </cell>
          <cell r="I1315">
            <v>0</v>
          </cell>
        </row>
        <row r="1316">
          <cell r="A1316" t="str">
            <v>E2</v>
          </cell>
          <cell r="B1316">
            <v>0</v>
          </cell>
          <cell r="C1316" t="str">
            <v>계</v>
          </cell>
          <cell r="D1316">
            <v>12220988</v>
          </cell>
          <cell r="I1316">
            <v>0</v>
          </cell>
        </row>
        <row r="1317">
          <cell r="A1317" t="str">
            <v>D00911</v>
          </cell>
          <cell r="B1317">
            <v>32</v>
          </cell>
          <cell r="C1317" t="str">
            <v>3.16</v>
          </cell>
          <cell r="D1317">
            <v>12221450</v>
          </cell>
          <cell r="E1317" t="str">
            <v>방 호 벽</v>
          </cell>
          <cell r="F1317" t="str">
            <v>(육교용)</v>
          </cell>
          <cell r="G1317" t="str">
            <v>M</v>
          </cell>
          <cell r="I1317">
            <v>0</v>
          </cell>
        </row>
        <row r="1318">
          <cell r="A1318" t="str">
            <v>D01064</v>
          </cell>
          <cell r="B1318">
            <v>13</v>
          </cell>
          <cell r="C1318" t="str">
            <v>3.17</v>
          </cell>
          <cell r="D1318">
            <v>12221747</v>
          </cell>
          <cell r="E1318" t="str">
            <v>중앙분리대</v>
          </cell>
          <cell r="G1318" t="str">
            <v>M</v>
          </cell>
          <cell r="I1318">
            <v>0</v>
          </cell>
        </row>
        <row r="1319">
          <cell r="A1319" t="str">
            <v>D03817</v>
          </cell>
          <cell r="B1319">
            <v>45</v>
          </cell>
          <cell r="C1319" t="str">
            <v>3.18</v>
          </cell>
          <cell r="D1319">
            <v>12222043</v>
          </cell>
          <cell r="E1319" t="str">
            <v>ELASTIC FILLER</v>
          </cell>
          <cell r="F1319" t="str">
            <v>(T=20 m/m)</v>
          </cell>
          <cell r="G1319" t="str">
            <v>㎡</v>
          </cell>
          <cell r="I1319">
            <v>0</v>
          </cell>
        </row>
        <row r="1320">
          <cell r="A1320" t="str">
            <v>D00563</v>
          </cell>
          <cell r="B1320">
            <v>330</v>
          </cell>
          <cell r="C1320" t="str">
            <v>3.19</v>
          </cell>
          <cell r="D1320">
            <v>12222487</v>
          </cell>
          <cell r="E1320" t="str">
            <v>아스팔트 방수</v>
          </cell>
          <cell r="F1320" t="str">
            <v>(2 회)</v>
          </cell>
          <cell r="G1320" t="str">
            <v>㎡</v>
          </cell>
          <cell r="I1320">
            <v>0</v>
          </cell>
        </row>
        <row r="1321">
          <cell r="A1321" t="str">
            <v>D01191</v>
          </cell>
          <cell r="B1321">
            <v>6</v>
          </cell>
          <cell r="C1321" t="str">
            <v>3.20</v>
          </cell>
          <cell r="D1321">
            <v>12222561</v>
          </cell>
          <cell r="E1321" t="str">
            <v>PVC PIPE 설치</v>
          </cell>
          <cell r="F1321" t="str">
            <v>(Φ65 m/m)</v>
          </cell>
          <cell r="G1321" t="str">
            <v>M</v>
          </cell>
          <cell r="I1321">
            <v>0</v>
          </cell>
        </row>
        <row r="1322">
          <cell r="A1322" t="str">
            <v>D00587</v>
          </cell>
          <cell r="B1322">
            <v>29</v>
          </cell>
          <cell r="C1322" t="str">
            <v>3.21</v>
          </cell>
          <cell r="D1322">
            <v>12222617</v>
          </cell>
          <cell r="E1322" t="str">
            <v>신축이음</v>
          </cell>
          <cell r="F1322" t="str">
            <v>(지하차도)</v>
          </cell>
          <cell r="G1322" t="str">
            <v>M</v>
          </cell>
          <cell r="I1322">
            <v>0</v>
          </cell>
        </row>
        <row r="1323">
          <cell r="A1323" t="str">
            <v>D03842</v>
          </cell>
          <cell r="B1323">
            <v>20</v>
          </cell>
          <cell r="C1323" t="str">
            <v>3.22</v>
          </cell>
          <cell r="D1323">
            <v>12222626</v>
          </cell>
          <cell r="E1323" t="str">
            <v>지수판설치</v>
          </cell>
          <cell r="F1323" t="str">
            <v>(300x5 m/m)</v>
          </cell>
          <cell r="G1323" t="str">
            <v>M</v>
          </cell>
          <cell r="I1323">
            <v>0</v>
          </cell>
        </row>
        <row r="1324">
          <cell r="A1324" t="str">
            <v>D03747</v>
          </cell>
          <cell r="B1324">
            <v>67</v>
          </cell>
          <cell r="C1324" t="str">
            <v>3.23</v>
          </cell>
          <cell r="D1324">
            <v>12222629</v>
          </cell>
          <cell r="E1324" t="str">
            <v>워터스톱</v>
          </cell>
          <cell r="F1324" t="str">
            <v>(20x25)</v>
          </cell>
          <cell r="G1324" t="str">
            <v>M</v>
          </cell>
          <cell r="I1324">
            <v>0</v>
          </cell>
        </row>
        <row r="1325">
          <cell r="A1325" t="str">
            <v>T2</v>
          </cell>
          <cell r="B1325">
            <v>1327</v>
          </cell>
          <cell r="C1325" t="str">
            <v>3.24</v>
          </cell>
          <cell r="D1325">
            <v>12222631</v>
          </cell>
          <cell r="E1325" t="str">
            <v>파일재하시험</v>
          </cell>
          <cell r="I1325">
            <v>0</v>
          </cell>
        </row>
        <row r="1326">
          <cell r="A1326" t="str">
            <v>D03869</v>
          </cell>
          <cell r="B1326">
            <v>1</v>
          </cell>
          <cell r="C1326" t="str">
            <v>a</v>
          </cell>
          <cell r="D1326">
            <v>12222633</v>
          </cell>
          <cell r="E1326" t="str">
            <v>파일재하시험</v>
          </cell>
          <cell r="F1326" t="str">
            <v>(정재하시험)</v>
          </cell>
          <cell r="G1326" t="str">
            <v>개소</v>
          </cell>
          <cell r="I1326">
            <v>0</v>
          </cell>
        </row>
        <row r="1327">
          <cell r="A1327" t="str">
            <v>D03870</v>
          </cell>
          <cell r="B1327">
            <v>3</v>
          </cell>
          <cell r="C1327" t="str">
            <v>b</v>
          </cell>
          <cell r="D1327">
            <v>12222634</v>
          </cell>
          <cell r="E1327" t="str">
            <v>파일재하시험</v>
          </cell>
          <cell r="F1327" t="str">
            <v>(동재하시험)</v>
          </cell>
          <cell r="G1327" t="str">
            <v>개소</v>
          </cell>
          <cell r="I1327">
            <v>0</v>
          </cell>
        </row>
        <row r="1328">
          <cell r="A1328" t="str">
            <v>E2</v>
          </cell>
          <cell r="B1328">
            <v>0</v>
          </cell>
          <cell r="C1328" t="str">
            <v>계</v>
          </cell>
          <cell r="D1328">
            <v>12222635</v>
          </cell>
          <cell r="I1328">
            <v>0</v>
          </cell>
        </row>
        <row r="1329">
          <cell r="A1329" t="str">
            <v>E3</v>
          </cell>
          <cell r="B1329">
            <v>0</v>
          </cell>
          <cell r="C1329" t="str">
            <v>합계</v>
          </cell>
          <cell r="D1329">
            <v>12222763</v>
          </cell>
          <cell r="I1329">
            <v>0</v>
          </cell>
        </row>
        <row r="1330">
          <cell r="A1330" t="str">
            <v>T3</v>
          </cell>
          <cell r="B1330">
            <v>1450</v>
          </cell>
          <cell r="C1330" t="str">
            <v>3.K</v>
          </cell>
          <cell r="D1330">
            <v>12222891</v>
          </cell>
          <cell r="E1330" t="str">
            <v>장  성  천  교</v>
          </cell>
          <cell r="F1330" t="str">
            <v>P.S.C BEAM</v>
          </cell>
          <cell r="I1330">
            <v>0</v>
          </cell>
        </row>
        <row r="1331">
          <cell r="A1331" t="str">
            <v>T2</v>
          </cell>
          <cell r="B1331">
            <v>1341</v>
          </cell>
          <cell r="C1331" t="str">
            <v>3.01</v>
          </cell>
          <cell r="D1331">
            <v>12223019</v>
          </cell>
          <cell r="E1331" t="str">
            <v>토          공</v>
          </cell>
          <cell r="I1331">
            <v>0</v>
          </cell>
        </row>
        <row r="1332">
          <cell r="A1332" t="str">
            <v>D00096</v>
          </cell>
          <cell r="B1332">
            <v>370</v>
          </cell>
          <cell r="C1332" t="str">
            <v>a</v>
          </cell>
          <cell r="D1332">
            <v>12376316</v>
          </cell>
          <cell r="E1332" t="str">
            <v>구조물터파기</v>
          </cell>
          <cell r="F1332" t="str">
            <v>(육상토사 0∼2 M)</v>
          </cell>
          <cell r="G1332" t="str">
            <v>㎥</v>
          </cell>
          <cell r="I1332">
            <v>0</v>
          </cell>
        </row>
        <row r="1333">
          <cell r="A1333" t="str">
            <v>D00100</v>
          </cell>
          <cell r="B1333">
            <v>2148</v>
          </cell>
          <cell r="C1333" t="str">
            <v>b</v>
          </cell>
          <cell r="D1333">
            <v>12376652</v>
          </cell>
          <cell r="E1333" t="str">
            <v>구조물터파기</v>
          </cell>
          <cell r="F1333" t="str">
            <v>(수중토사 0∼2 M)</v>
          </cell>
          <cell r="G1333" t="str">
            <v>㎥</v>
          </cell>
          <cell r="I1333">
            <v>0</v>
          </cell>
        </row>
        <row r="1334">
          <cell r="A1334" t="str">
            <v>D00101</v>
          </cell>
          <cell r="B1334">
            <v>1369</v>
          </cell>
          <cell r="C1334" t="str">
            <v>c</v>
          </cell>
          <cell r="D1334">
            <v>12376820</v>
          </cell>
          <cell r="E1334" t="str">
            <v>구조물터파기</v>
          </cell>
          <cell r="F1334" t="str">
            <v>(수중토사 2∼4 M)</v>
          </cell>
          <cell r="G1334" t="str">
            <v>㎥</v>
          </cell>
          <cell r="I1334">
            <v>0</v>
          </cell>
        </row>
        <row r="1335">
          <cell r="A1335" t="str">
            <v>D00102</v>
          </cell>
          <cell r="B1335">
            <v>613</v>
          </cell>
          <cell r="C1335" t="str">
            <v>d</v>
          </cell>
          <cell r="D1335">
            <v>12376904</v>
          </cell>
          <cell r="E1335" t="str">
            <v>구조물터파기</v>
          </cell>
          <cell r="F1335" t="str">
            <v>(수중토사 4∼6 M)</v>
          </cell>
          <cell r="G1335" t="str">
            <v>㎥</v>
          </cell>
          <cell r="I1335">
            <v>0</v>
          </cell>
        </row>
        <row r="1336">
          <cell r="A1336" t="str">
            <v>D00160</v>
          </cell>
          <cell r="B1336">
            <v>2467</v>
          </cell>
          <cell r="C1336" t="str">
            <v>e</v>
          </cell>
          <cell r="D1336">
            <v>12376988</v>
          </cell>
          <cell r="E1336" t="str">
            <v>되메우기및다짐</v>
          </cell>
          <cell r="F1336" t="str">
            <v>(인력30%+백호우70%)</v>
          </cell>
          <cell r="G1336" t="str">
            <v>㎥</v>
          </cell>
          <cell r="I1336">
            <v>0</v>
          </cell>
        </row>
        <row r="1337">
          <cell r="A1337" t="str">
            <v>D00170</v>
          </cell>
          <cell r="B1337">
            <v>512</v>
          </cell>
          <cell r="C1337" t="str">
            <v>f</v>
          </cell>
          <cell r="D1337">
            <v>12377108</v>
          </cell>
          <cell r="E1337" t="str">
            <v>뒷채움잡석</v>
          </cell>
          <cell r="F1337" t="str">
            <v>(현장암유용)</v>
          </cell>
          <cell r="G1337" t="str">
            <v>㎥</v>
          </cell>
          <cell r="I1337">
            <v>0</v>
          </cell>
        </row>
        <row r="1338">
          <cell r="A1338" t="str">
            <v>D00534</v>
          </cell>
          <cell r="B1338">
            <v>200</v>
          </cell>
          <cell r="C1338" t="str">
            <v>g</v>
          </cell>
          <cell r="D1338">
            <v>12377168</v>
          </cell>
          <cell r="E1338" t="str">
            <v>물 푸 기</v>
          </cell>
          <cell r="G1338" t="str">
            <v>HR</v>
          </cell>
          <cell r="I1338">
            <v>0</v>
          </cell>
        </row>
        <row r="1339">
          <cell r="A1339" t="str">
            <v>D00150</v>
          </cell>
          <cell r="B1339">
            <v>1374</v>
          </cell>
          <cell r="C1339" t="str">
            <v>h</v>
          </cell>
          <cell r="D1339">
            <v>12377198</v>
          </cell>
          <cell r="E1339" t="str">
            <v>교대앞성토</v>
          </cell>
          <cell r="G1339" t="str">
            <v>㎥</v>
          </cell>
          <cell r="I1339">
            <v>0</v>
          </cell>
        </row>
        <row r="1340">
          <cell r="A1340" t="str">
            <v>D00591</v>
          </cell>
          <cell r="B1340">
            <v>1321</v>
          </cell>
          <cell r="C1340" t="str">
            <v>i</v>
          </cell>
          <cell r="D1340">
            <v>12377213</v>
          </cell>
          <cell r="E1340" t="str">
            <v>사석채움</v>
          </cell>
          <cell r="G1340" t="str">
            <v>㎥</v>
          </cell>
          <cell r="I1340">
            <v>0</v>
          </cell>
        </row>
        <row r="1341">
          <cell r="A1341" t="str">
            <v>D00704</v>
          </cell>
          <cell r="B1341">
            <v>1287</v>
          </cell>
          <cell r="C1341" t="str">
            <v>j</v>
          </cell>
          <cell r="D1341">
            <v>12377221</v>
          </cell>
          <cell r="E1341" t="str">
            <v>마대쌓기및헐기</v>
          </cell>
          <cell r="G1341" t="str">
            <v>㎡</v>
          </cell>
          <cell r="I1341">
            <v>0</v>
          </cell>
        </row>
        <row r="1342">
          <cell r="A1342" t="str">
            <v>E2</v>
          </cell>
          <cell r="B1342">
            <v>0</v>
          </cell>
          <cell r="C1342" t="str">
            <v>계</v>
          </cell>
          <cell r="D1342">
            <v>12377228</v>
          </cell>
          <cell r="I1342">
            <v>0</v>
          </cell>
        </row>
        <row r="1343">
          <cell r="A1343" t="str">
            <v>T2</v>
          </cell>
          <cell r="B1343">
            <v>1352</v>
          </cell>
          <cell r="C1343" t="str">
            <v>3.02</v>
          </cell>
          <cell r="D1343">
            <v>12377356</v>
          </cell>
          <cell r="E1343" t="str">
            <v>강관파일공</v>
          </cell>
          <cell r="I1343">
            <v>0</v>
          </cell>
        </row>
        <row r="1344">
          <cell r="A1344" t="str">
            <v>D00504</v>
          </cell>
          <cell r="B1344">
            <v>2156</v>
          </cell>
          <cell r="C1344" t="str">
            <v>a</v>
          </cell>
          <cell r="D1344">
            <v>12377484</v>
          </cell>
          <cell r="E1344" t="str">
            <v>강관파일구입</v>
          </cell>
          <cell r="F1344" t="str">
            <v>(Φ508.0m/mx9t)</v>
          </cell>
          <cell r="G1344" t="str">
            <v>M</v>
          </cell>
          <cell r="I1344">
            <v>0</v>
          </cell>
        </row>
        <row r="1345">
          <cell r="A1345" t="str">
            <v>D00512</v>
          </cell>
          <cell r="B1345">
            <v>2094</v>
          </cell>
          <cell r="C1345" t="str">
            <v>b</v>
          </cell>
          <cell r="D1345">
            <v>12377513</v>
          </cell>
          <cell r="E1345" t="str">
            <v>강관파일항타(직항)</v>
          </cell>
          <cell r="F1345" t="str">
            <v>Φ508(15 m 이하)</v>
          </cell>
          <cell r="G1345" t="str">
            <v>M</v>
          </cell>
          <cell r="I1345">
            <v>0</v>
          </cell>
        </row>
        <row r="1346">
          <cell r="A1346" t="str">
            <v>D03821</v>
          </cell>
          <cell r="B1346">
            <v>215</v>
          </cell>
          <cell r="C1346" t="str">
            <v>c</v>
          </cell>
          <cell r="D1346">
            <v>12377516</v>
          </cell>
          <cell r="E1346" t="str">
            <v>토사천공</v>
          </cell>
          <cell r="G1346" t="str">
            <v>M</v>
          </cell>
          <cell r="I1346">
            <v>0</v>
          </cell>
        </row>
        <row r="1347">
          <cell r="A1347" t="str">
            <v>D03797</v>
          </cell>
          <cell r="B1347">
            <v>106</v>
          </cell>
          <cell r="C1347" t="str">
            <v>d</v>
          </cell>
          <cell r="D1347">
            <v>12377519</v>
          </cell>
          <cell r="E1347" t="str">
            <v>풍 화 암</v>
          </cell>
          <cell r="F1347" t="str">
            <v>(T-4)</v>
          </cell>
          <cell r="G1347" t="str">
            <v>M</v>
          </cell>
          <cell r="I1347">
            <v>0</v>
          </cell>
        </row>
        <row r="1348">
          <cell r="A1348" t="str">
            <v>D03838</v>
          </cell>
          <cell r="B1348">
            <v>26</v>
          </cell>
          <cell r="C1348" t="str">
            <v>e</v>
          </cell>
          <cell r="D1348">
            <v>12377522</v>
          </cell>
          <cell r="E1348" t="str">
            <v>파일속모래채움</v>
          </cell>
          <cell r="G1348" t="str">
            <v>㎥</v>
          </cell>
          <cell r="I1348">
            <v>0</v>
          </cell>
        </row>
        <row r="1349">
          <cell r="A1349" t="str">
            <v>D00502</v>
          </cell>
          <cell r="B1349">
            <v>26</v>
          </cell>
          <cell r="C1349" t="str">
            <v>f</v>
          </cell>
          <cell r="D1349">
            <v>12377523</v>
          </cell>
          <cell r="E1349" t="str">
            <v>속채움 콘크리트</v>
          </cell>
          <cell r="G1349" t="str">
            <v>㎥</v>
          </cell>
          <cell r="I1349">
            <v>0</v>
          </cell>
        </row>
        <row r="1350">
          <cell r="A1350" t="str">
            <v>D00516</v>
          </cell>
          <cell r="B1350">
            <v>248</v>
          </cell>
          <cell r="C1350" t="str">
            <v>g</v>
          </cell>
          <cell r="D1350">
            <v>12377524</v>
          </cell>
          <cell r="E1350" t="str">
            <v>두부및선단보강</v>
          </cell>
          <cell r="F1350" t="str">
            <v>(Φ508.0 m/m)천공</v>
          </cell>
          <cell r="G1350" t="str">
            <v>EA</v>
          </cell>
          <cell r="I1350">
            <v>0</v>
          </cell>
        </row>
        <row r="1351">
          <cell r="A1351" t="str">
            <v>D03829</v>
          </cell>
          <cell r="B1351">
            <v>77</v>
          </cell>
          <cell r="C1351" t="str">
            <v>h</v>
          </cell>
          <cell r="D1351">
            <v>12377533</v>
          </cell>
          <cell r="E1351" t="str">
            <v>주면고정액</v>
          </cell>
          <cell r="G1351" t="str">
            <v>㎥</v>
          </cell>
          <cell r="I1351">
            <v>0</v>
          </cell>
        </row>
        <row r="1352">
          <cell r="A1352" t="str">
            <v>D03830</v>
          </cell>
          <cell r="B1352">
            <v>16</v>
          </cell>
          <cell r="C1352" t="str">
            <v>i</v>
          </cell>
          <cell r="D1352">
            <v>12377537</v>
          </cell>
          <cell r="E1352" t="str">
            <v>선단고정액</v>
          </cell>
          <cell r="G1352" t="str">
            <v>㎥</v>
          </cell>
          <cell r="I1352">
            <v>0</v>
          </cell>
        </row>
        <row r="1353">
          <cell r="A1353" t="str">
            <v>E2</v>
          </cell>
          <cell r="B1353">
            <v>0</v>
          </cell>
          <cell r="C1353" t="str">
            <v>계</v>
          </cell>
          <cell r="D1353">
            <v>12377541</v>
          </cell>
          <cell r="I1353">
            <v>0</v>
          </cell>
        </row>
        <row r="1354">
          <cell r="A1354" t="str">
            <v>T2</v>
          </cell>
          <cell r="B1354">
            <v>1360</v>
          </cell>
          <cell r="C1354" t="str">
            <v>3.03</v>
          </cell>
          <cell r="D1354">
            <v>12378327</v>
          </cell>
          <cell r="E1354" t="str">
            <v>거 푸 집</v>
          </cell>
          <cell r="I1354">
            <v>0</v>
          </cell>
        </row>
        <row r="1355">
          <cell r="A1355" t="str">
            <v>D00276</v>
          </cell>
          <cell r="B1355">
            <v>2709</v>
          </cell>
          <cell r="C1355" t="str">
            <v>a</v>
          </cell>
          <cell r="D1355">
            <v>12378328</v>
          </cell>
          <cell r="E1355" t="str">
            <v>합판거푸집</v>
          </cell>
          <cell r="F1355" t="str">
            <v>(3 회)</v>
          </cell>
          <cell r="G1355" t="str">
            <v>㎡</v>
          </cell>
          <cell r="I1355">
            <v>0</v>
          </cell>
        </row>
        <row r="1356">
          <cell r="A1356" t="str">
            <v>D00280</v>
          </cell>
          <cell r="B1356">
            <v>402</v>
          </cell>
          <cell r="C1356" t="str">
            <v>b</v>
          </cell>
          <cell r="D1356">
            <v>12378392</v>
          </cell>
          <cell r="E1356" t="str">
            <v>합판거푸집</v>
          </cell>
          <cell r="F1356" t="str">
            <v>(4 회)</v>
          </cell>
          <cell r="G1356" t="str">
            <v>㎡</v>
          </cell>
          <cell r="I1356">
            <v>0</v>
          </cell>
        </row>
        <row r="1357">
          <cell r="A1357" t="str">
            <v>D00282</v>
          </cell>
          <cell r="B1357">
            <v>31</v>
          </cell>
          <cell r="C1357" t="str">
            <v>c</v>
          </cell>
          <cell r="D1357">
            <v>12378424</v>
          </cell>
          <cell r="E1357" t="str">
            <v>합판거푸집</v>
          </cell>
          <cell r="F1357" t="str">
            <v>(6 회)</v>
          </cell>
          <cell r="G1357" t="str">
            <v>㎡</v>
          </cell>
          <cell r="I1357">
            <v>0</v>
          </cell>
        </row>
        <row r="1358">
          <cell r="A1358" t="str">
            <v>D00265</v>
          </cell>
          <cell r="B1358">
            <v>298</v>
          </cell>
          <cell r="C1358" t="str">
            <v>d</v>
          </cell>
          <cell r="D1358">
            <v>12378432</v>
          </cell>
          <cell r="E1358" t="str">
            <v>문양거푸집(합판4회+</v>
          </cell>
          <cell r="F1358" t="str">
            <v>문양스치로폴(0∼7M)</v>
          </cell>
          <cell r="G1358" t="str">
            <v>㎡</v>
          </cell>
          <cell r="I1358">
            <v>0</v>
          </cell>
        </row>
        <row r="1359">
          <cell r="A1359" t="str">
            <v>D00306</v>
          </cell>
          <cell r="B1359">
            <v>284</v>
          </cell>
          <cell r="C1359" t="str">
            <v>e</v>
          </cell>
          <cell r="D1359">
            <v>12378438</v>
          </cell>
          <cell r="E1359" t="str">
            <v>원형거푸집</v>
          </cell>
          <cell r="F1359" t="str">
            <v>(3 회 0∼7 m)</v>
          </cell>
          <cell r="G1359" t="str">
            <v>㎡</v>
          </cell>
          <cell r="I1359">
            <v>0</v>
          </cell>
        </row>
        <row r="1360">
          <cell r="A1360" t="str">
            <v>D00307</v>
          </cell>
          <cell r="B1360">
            <v>25</v>
          </cell>
          <cell r="C1360" t="str">
            <v>f</v>
          </cell>
          <cell r="D1360">
            <v>12378439</v>
          </cell>
          <cell r="E1360" t="str">
            <v>원형거푸집</v>
          </cell>
          <cell r="F1360" t="str">
            <v>(3 회 7∼10 m)</v>
          </cell>
          <cell r="G1360" t="str">
            <v>㎡</v>
          </cell>
          <cell r="I1360">
            <v>0</v>
          </cell>
        </row>
        <row r="1361">
          <cell r="A1361" t="str">
            <v>E2</v>
          </cell>
          <cell r="B1361">
            <v>0</v>
          </cell>
          <cell r="C1361" t="str">
            <v>계</v>
          </cell>
          <cell r="D1361">
            <v>12378440</v>
          </cell>
          <cell r="I1361">
            <v>0</v>
          </cell>
        </row>
        <row r="1362">
          <cell r="A1362" t="str">
            <v>D00323</v>
          </cell>
          <cell r="B1362">
            <v>1581</v>
          </cell>
          <cell r="C1362" t="str">
            <v>3.04</v>
          </cell>
          <cell r="D1362">
            <v>12378441</v>
          </cell>
          <cell r="E1362" t="str">
            <v>강관비계</v>
          </cell>
          <cell r="F1362" t="str">
            <v>(0∼30 M)</v>
          </cell>
          <cell r="G1362" t="str">
            <v>㎡</v>
          </cell>
          <cell r="I1362">
            <v>0</v>
          </cell>
        </row>
        <row r="1363">
          <cell r="A1363" t="str">
            <v>T2</v>
          </cell>
          <cell r="B1363">
            <v>1366</v>
          </cell>
          <cell r="C1363" t="str">
            <v>3.05</v>
          </cell>
          <cell r="D1363">
            <v>12378505</v>
          </cell>
          <cell r="E1363" t="str">
            <v>동 바 리</v>
          </cell>
          <cell r="I1363">
            <v>0</v>
          </cell>
        </row>
        <row r="1364">
          <cell r="A1364" t="str">
            <v>D00327</v>
          </cell>
          <cell r="B1364">
            <v>2266</v>
          </cell>
          <cell r="C1364" t="str">
            <v>a</v>
          </cell>
          <cell r="D1364">
            <v>12378537</v>
          </cell>
          <cell r="E1364" t="str">
            <v>동바리공</v>
          </cell>
          <cell r="F1364" t="str">
            <v>(목재 4 회)</v>
          </cell>
          <cell r="G1364" t="str">
            <v>공㎥</v>
          </cell>
          <cell r="I1364">
            <v>0</v>
          </cell>
        </row>
        <row r="1365">
          <cell r="A1365" t="str">
            <v>D00334</v>
          </cell>
          <cell r="B1365">
            <v>642</v>
          </cell>
          <cell r="C1365" t="str">
            <v>b</v>
          </cell>
          <cell r="D1365">
            <v>12378561</v>
          </cell>
          <cell r="E1365" t="str">
            <v>강관동바리</v>
          </cell>
          <cell r="F1365" t="str">
            <v>(교량용)</v>
          </cell>
          <cell r="G1365" t="str">
            <v>공㎥</v>
          </cell>
          <cell r="I1365">
            <v>0</v>
          </cell>
        </row>
        <row r="1366">
          <cell r="A1366" t="str">
            <v>D01129</v>
          </cell>
          <cell r="B1366">
            <v>82</v>
          </cell>
          <cell r="C1366" t="str">
            <v>c</v>
          </cell>
          <cell r="D1366">
            <v>12378565</v>
          </cell>
          <cell r="E1366" t="str">
            <v>수평보강재(교량용)</v>
          </cell>
          <cell r="F1366" t="str">
            <v>(강관동바리)</v>
          </cell>
          <cell r="G1366" t="str">
            <v>㎡</v>
          </cell>
          <cell r="I1366">
            <v>0</v>
          </cell>
        </row>
        <row r="1367">
          <cell r="A1367" t="str">
            <v>E2</v>
          </cell>
          <cell r="B1367">
            <v>0</v>
          </cell>
          <cell r="C1367" t="str">
            <v>계</v>
          </cell>
          <cell r="D1367">
            <v>12378567</v>
          </cell>
          <cell r="I1367">
            <v>0</v>
          </cell>
        </row>
        <row r="1368">
          <cell r="A1368" t="str">
            <v>T2</v>
          </cell>
          <cell r="B1368">
            <v>1370</v>
          </cell>
          <cell r="C1368" t="str">
            <v>3.06</v>
          </cell>
          <cell r="D1368">
            <v>12378689</v>
          </cell>
          <cell r="E1368" t="str">
            <v>철근가공조립</v>
          </cell>
          <cell r="I1368">
            <v>0</v>
          </cell>
        </row>
        <row r="1369">
          <cell r="A1369" t="str">
            <v>D00271</v>
          </cell>
          <cell r="B1369">
            <v>19.244</v>
          </cell>
          <cell r="C1369" t="str">
            <v>a</v>
          </cell>
          <cell r="D1369">
            <v>12378691</v>
          </cell>
          <cell r="E1369" t="str">
            <v>철근가공조립</v>
          </cell>
          <cell r="F1369" t="str">
            <v>(보 통)</v>
          </cell>
          <cell r="G1369" t="str">
            <v>Ton</v>
          </cell>
          <cell r="I1369">
            <v>0</v>
          </cell>
        </row>
        <row r="1370">
          <cell r="A1370" t="str">
            <v>D00272</v>
          </cell>
          <cell r="B1370">
            <v>346.63499999999999</v>
          </cell>
          <cell r="C1370" t="str">
            <v>b</v>
          </cell>
          <cell r="D1370">
            <v>12378693</v>
          </cell>
          <cell r="E1370" t="str">
            <v>철근가공조립</v>
          </cell>
          <cell r="F1370" t="str">
            <v>(복 잡)</v>
          </cell>
          <cell r="G1370" t="str">
            <v>Ton</v>
          </cell>
          <cell r="I1370">
            <v>0</v>
          </cell>
        </row>
        <row r="1371">
          <cell r="A1371" t="str">
            <v>E2</v>
          </cell>
          <cell r="B1371">
            <v>0</v>
          </cell>
          <cell r="C1371" t="str">
            <v>계</v>
          </cell>
          <cell r="D1371">
            <v>12378696</v>
          </cell>
          <cell r="I1371">
            <v>0</v>
          </cell>
        </row>
        <row r="1372">
          <cell r="A1372" t="str">
            <v>T2</v>
          </cell>
          <cell r="B1372">
            <v>1374</v>
          </cell>
          <cell r="C1372" t="str">
            <v>3.07</v>
          </cell>
          <cell r="D1372">
            <v>12378697</v>
          </cell>
          <cell r="E1372" t="str">
            <v>콘크리트타설</v>
          </cell>
          <cell r="I1372">
            <v>0</v>
          </cell>
        </row>
        <row r="1373">
          <cell r="A1373" t="str">
            <v>D00237</v>
          </cell>
          <cell r="B1373">
            <v>2114</v>
          </cell>
          <cell r="C1373" t="str">
            <v>a</v>
          </cell>
          <cell r="D1373">
            <v>12378761</v>
          </cell>
          <cell r="E1373" t="str">
            <v>콘크리트타설</v>
          </cell>
          <cell r="F1373" t="str">
            <v>(철근 펌프카)</v>
          </cell>
          <cell r="G1373" t="str">
            <v>㎥</v>
          </cell>
          <cell r="I1373">
            <v>0</v>
          </cell>
        </row>
        <row r="1374">
          <cell r="A1374" t="str">
            <v>D00231</v>
          </cell>
          <cell r="B1374">
            <v>73</v>
          </cell>
          <cell r="C1374" t="str">
            <v>b</v>
          </cell>
          <cell r="D1374">
            <v>12378793</v>
          </cell>
          <cell r="E1374" t="str">
            <v>콘크리트타설</v>
          </cell>
          <cell r="F1374" t="str">
            <v>(무근 VIB 제외)</v>
          </cell>
          <cell r="G1374" t="str">
            <v>㎥</v>
          </cell>
          <cell r="I1374">
            <v>0</v>
          </cell>
        </row>
        <row r="1375">
          <cell r="A1375" t="str">
            <v>E2</v>
          </cell>
          <cell r="B1375">
            <v>0</v>
          </cell>
          <cell r="C1375" t="str">
            <v>계</v>
          </cell>
          <cell r="D1375">
            <v>12378825</v>
          </cell>
          <cell r="I1375">
            <v>0</v>
          </cell>
        </row>
        <row r="1376">
          <cell r="A1376" t="str">
            <v>T2</v>
          </cell>
          <cell r="B1376">
            <v>1378</v>
          </cell>
          <cell r="C1376" t="str">
            <v>3.08</v>
          </cell>
          <cell r="D1376">
            <v>12378833</v>
          </cell>
          <cell r="E1376" t="str">
            <v>표 면 처 리</v>
          </cell>
          <cell r="I1376">
            <v>0</v>
          </cell>
        </row>
        <row r="1377">
          <cell r="A1377" t="str">
            <v>D00537</v>
          </cell>
          <cell r="B1377">
            <v>1894</v>
          </cell>
          <cell r="C1377" t="str">
            <v>a</v>
          </cell>
          <cell r="D1377">
            <v>12378837</v>
          </cell>
          <cell r="E1377" t="str">
            <v>슬래브양생</v>
          </cell>
          <cell r="F1377" t="str">
            <v>(양생제)</v>
          </cell>
          <cell r="G1377" t="str">
            <v>㎡</v>
          </cell>
          <cell r="I1377">
            <v>0</v>
          </cell>
        </row>
        <row r="1378">
          <cell r="A1378" t="str">
            <v>D00539</v>
          </cell>
          <cell r="B1378">
            <v>1714</v>
          </cell>
          <cell r="C1378" t="str">
            <v>b</v>
          </cell>
          <cell r="D1378">
            <v>12378839</v>
          </cell>
          <cell r="E1378" t="str">
            <v>슬래브면고르기</v>
          </cell>
          <cell r="F1378" t="str">
            <v>(데크 피니샤)</v>
          </cell>
          <cell r="G1378" t="str">
            <v>㎡</v>
          </cell>
          <cell r="I1378">
            <v>0</v>
          </cell>
        </row>
        <row r="1379">
          <cell r="A1379" t="str">
            <v>E2</v>
          </cell>
          <cell r="B1379">
            <v>0</v>
          </cell>
          <cell r="C1379" t="str">
            <v>계</v>
          </cell>
          <cell r="D1379">
            <v>12378840</v>
          </cell>
          <cell r="I1379">
            <v>0</v>
          </cell>
        </row>
        <row r="1380">
          <cell r="A1380" t="str">
            <v>T2</v>
          </cell>
          <cell r="B1380">
            <v>1384</v>
          </cell>
          <cell r="C1380" t="str">
            <v>3.09</v>
          </cell>
          <cell r="D1380">
            <v>12378968</v>
          </cell>
          <cell r="E1380" t="str">
            <v>교좌장치</v>
          </cell>
          <cell r="I1380">
            <v>0</v>
          </cell>
        </row>
        <row r="1381">
          <cell r="A1381" t="str">
            <v>D00545</v>
          </cell>
          <cell r="B1381">
            <v>2</v>
          </cell>
          <cell r="C1381" t="str">
            <v>a</v>
          </cell>
          <cell r="D1381">
            <v>12379064</v>
          </cell>
          <cell r="E1381" t="str">
            <v>교좌장치</v>
          </cell>
          <cell r="F1381" t="str">
            <v>(고정단 135 Ton)</v>
          </cell>
          <cell r="G1381" t="str">
            <v>EA</v>
          </cell>
          <cell r="I1381">
            <v>0</v>
          </cell>
        </row>
        <row r="1382">
          <cell r="A1382" t="str">
            <v>D00549</v>
          </cell>
          <cell r="B1382">
            <v>8</v>
          </cell>
          <cell r="C1382" t="str">
            <v>b</v>
          </cell>
          <cell r="D1382">
            <v>12379112</v>
          </cell>
          <cell r="E1382" t="str">
            <v>교좌장치</v>
          </cell>
          <cell r="F1382" t="str">
            <v>(횡방향가동단135Ton)</v>
          </cell>
          <cell r="G1382" t="str">
            <v>EA</v>
          </cell>
          <cell r="I1382">
            <v>0</v>
          </cell>
        </row>
        <row r="1383">
          <cell r="A1383" t="str">
            <v>D00548</v>
          </cell>
          <cell r="B1383">
            <v>10</v>
          </cell>
          <cell r="C1383" t="str">
            <v>c</v>
          </cell>
          <cell r="D1383">
            <v>12379151</v>
          </cell>
          <cell r="E1383" t="str">
            <v>교좌장치</v>
          </cell>
          <cell r="F1383" t="str">
            <v>(종방향가동단135Ton)</v>
          </cell>
          <cell r="G1383" t="str">
            <v>EA</v>
          </cell>
          <cell r="I1383">
            <v>0</v>
          </cell>
        </row>
        <row r="1384">
          <cell r="A1384" t="str">
            <v>D00547</v>
          </cell>
          <cell r="B1384">
            <v>40</v>
          </cell>
          <cell r="C1384" t="str">
            <v>d</v>
          </cell>
          <cell r="D1384">
            <v>12379153</v>
          </cell>
          <cell r="E1384" t="str">
            <v>교좌장치</v>
          </cell>
          <cell r="F1384" t="str">
            <v>(양방향가동단135Ton)</v>
          </cell>
          <cell r="G1384" t="str">
            <v>EA</v>
          </cell>
          <cell r="I1384">
            <v>0</v>
          </cell>
        </row>
        <row r="1385">
          <cell r="A1385" t="str">
            <v>E2</v>
          </cell>
          <cell r="B1385">
            <v>0</v>
          </cell>
          <cell r="C1385" t="str">
            <v>계</v>
          </cell>
          <cell r="D1385">
            <v>12379154</v>
          </cell>
          <cell r="I1385">
            <v>0</v>
          </cell>
        </row>
        <row r="1386">
          <cell r="A1386" t="str">
            <v>T2</v>
          </cell>
          <cell r="B1386">
            <v>1389</v>
          </cell>
          <cell r="C1386" t="str">
            <v>3.10</v>
          </cell>
          <cell r="D1386">
            <v>12379282</v>
          </cell>
          <cell r="E1386" t="str">
            <v>P.S.C BEAM</v>
          </cell>
          <cell r="I1386">
            <v>0</v>
          </cell>
        </row>
        <row r="1387">
          <cell r="A1387" t="str">
            <v>D00619</v>
          </cell>
          <cell r="B1387">
            <v>30</v>
          </cell>
          <cell r="C1387" t="str">
            <v>a</v>
          </cell>
          <cell r="D1387">
            <v>12379346</v>
          </cell>
          <cell r="E1387" t="str">
            <v>P.S.C BEAM 제작</v>
          </cell>
          <cell r="F1387" t="str">
            <v>(L=30 M)</v>
          </cell>
          <cell r="G1387" t="str">
            <v>본</v>
          </cell>
          <cell r="I1387">
            <v>0</v>
          </cell>
        </row>
        <row r="1388">
          <cell r="A1388" t="str">
            <v>D00606</v>
          </cell>
          <cell r="B1388">
            <v>30</v>
          </cell>
          <cell r="C1388" t="str">
            <v>b</v>
          </cell>
          <cell r="D1388">
            <v>12379410</v>
          </cell>
          <cell r="E1388" t="str">
            <v>P.S.C 빔 운반및설치</v>
          </cell>
          <cell r="F1388" t="str">
            <v>(L=30 M)</v>
          </cell>
          <cell r="G1388" t="str">
            <v>EA</v>
          </cell>
          <cell r="I1388">
            <v>0</v>
          </cell>
        </row>
        <row r="1389">
          <cell r="A1389" t="str">
            <v>D01130</v>
          </cell>
          <cell r="B1389">
            <v>30</v>
          </cell>
          <cell r="C1389" t="str">
            <v>c</v>
          </cell>
          <cell r="D1389">
            <v>12379474</v>
          </cell>
          <cell r="E1389" t="str">
            <v>P.S.C빔 전도방지시설</v>
          </cell>
          <cell r="G1389" t="str">
            <v>본</v>
          </cell>
          <cell r="I1389">
            <v>0</v>
          </cell>
        </row>
        <row r="1390">
          <cell r="A1390" t="str">
            <v>E2</v>
          </cell>
          <cell r="B1390">
            <v>0</v>
          </cell>
          <cell r="C1390" t="str">
            <v>계</v>
          </cell>
          <cell r="D1390">
            <v>12379506</v>
          </cell>
          <cell r="I1390">
            <v>0</v>
          </cell>
        </row>
        <row r="1391">
          <cell r="A1391" t="str">
            <v>D01313</v>
          </cell>
          <cell r="B1391">
            <v>40</v>
          </cell>
          <cell r="C1391" t="str">
            <v>3.11</v>
          </cell>
          <cell r="D1391">
            <v>12379586</v>
          </cell>
          <cell r="E1391" t="str">
            <v>신축이음장치</v>
          </cell>
          <cell r="F1391" t="str">
            <v>(Rail-No100)</v>
          </cell>
          <cell r="G1391" t="str">
            <v>M</v>
          </cell>
          <cell r="I1391">
            <v>0</v>
          </cell>
        </row>
        <row r="1392">
          <cell r="A1392" t="str">
            <v>D00535</v>
          </cell>
          <cell r="B1392">
            <v>1714</v>
          </cell>
          <cell r="C1392" t="str">
            <v>3.12</v>
          </cell>
          <cell r="D1392">
            <v>12379762</v>
          </cell>
          <cell r="E1392" t="str">
            <v>교면방수</v>
          </cell>
          <cell r="F1392" t="str">
            <v>(도막식)</v>
          </cell>
          <cell r="G1392" t="str">
            <v>㎡</v>
          </cell>
          <cell r="I1392">
            <v>0</v>
          </cell>
        </row>
        <row r="1393">
          <cell r="A1393" t="str">
            <v>T2</v>
          </cell>
          <cell r="B1393">
            <v>1397</v>
          </cell>
          <cell r="C1393" t="str">
            <v>3.13</v>
          </cell>
          <cell r="D1393">
            <v>12379826</v>
          </cell>
          <cell r="E1393" t="str">
            <v>접속슬래브 접합공</v>
          </cell>
          <cell r="I1393">
            <v>0</v>
          </cell>
        </row>
        <row r="1394">
          <cell r="A1394" t="str">
            <v>D01067</v>
          </cell>
          <cell r="B1394">
            <v>100</v>
          </cell>
          <cell r="C1394" t="str">
            <v>a</v>
          </cell>
          <cell r="D1394">
            <v>12379858</v>
          </cell>
          <cell r="E1394" t="str">
            <v>다웰바 설치</v>
          </cell>
          <cell r="F1394" t="str">
            <v>(D=25 m/m, L=500)</v>
          </cell>
          <cell r="G1394" t="str">
            <v>EA</v>
          </cell>
          <cell r="I1394">
            <v>0</v>
          </cell>
        </row>
        <row r="1395">
          <cell r="A1395" t="str">
            <v>D01190</v>
          </cell>
          <cell r="B1395">
            <v>30</v>
          </cell>
          <cell r="C1395" t="str">
            <v>b</v>
          </cell>
          <cell r="D1395">
            <v>12379890</v>
          </cell>
          <cell r="E1395" t="str">
            <v>다웰-켑 설치</v>
          </cell>
          <cell r="F1395" t="str">
            <v>(Φ60 m/m)</v>
          </cell>
          <cell r="G1395" t="str">
            <v>M</v>
          </cell>
          <cell r="I1395">
            <v>0</v>
          </cell>
        </row>
        <row r="1396">
          <cell r="A1396" t="str">
            <v>D00540</v>
          </cell>
          <cell r="B1396">
            <v>100</v>
          </cell>
          <cell r="C1396" t="str">
            <v>c</v>
          </cell>
          <cell r="D1396">
            <v>12379892</v>
          </cell>
          <cell r="E1396" t="str">
            <v>경질고무판</v>
          </cell>
          <cell r="F1396" t="str">
            <v>(150x150)</v>
          </cell>
          <cell r="G1396" t="str">
            <v>EA</v>
          </cell>
          <cell r="I1396">
            <v>0</v>
          </cell>
        </row>
        <row r="1397">
          <cell r="A1397" t="str">
            <v>D00566</v>
          </cell>
          <cell r="B1397">
            <v>16</v>
          </cell>
          <cell r="C1397" t="str">
            <v>d</v>
          </cell>
          <cell r="D1397">
            <v>12379893</v>
          </cell>
          <cell r="E1397" t="str">
            <v>타르페이퍼 설치</v>
          </cell>
          <cell r="F1397" t="str">
            <v>(5 겹)</v>
          </cell>
          <cell r="G1397" t="str">
            <v>㎡</v>
          </cell>
          <cell r="I1397">
            <v>0</v>
          </cell>
        </row>
        <row r="1398">
          <cell r="A1398" t="str">
            <v>E2</v>
          </cell>
          <cell r="B1398">
            <v>0</v>
          </cell>
          <cell r="C1398" t="str">
            <v>계</v>
          </cell>
          <cell r="D1398">
            <v>12379925</v>
          </cell>
          <cell r="I1398">
            <v>0</v>
          </cell>
        </row>
        <row r="1399">
          <cell r="A1399" t="str">
            <v>T2</v>
          </cell>
          <cell r="B1399">
            <v>1401</v>
          </cell>
          <cell r="C1399" t="str">
            <v>3.14</v>
          </cell>
          <cell r="D1399">
            <v>12379958</v>
          </cell>
          <cell r="E1399" t="str">
            <v>무수축 콘크리트</v>
          </cell>
          <cell r="I1399">
            <v>0</v>
          </cell>
        </row>
        <row r="1400">
          <cell r="A1400" t="str">
            <v>D00567</v>
          </cell>
          <cell r="B1400">
            <v>2.7570000000000001</v>
          </cell>
          <cell r="C1400" t="str">
            <v>a</v>
          </cell>
          <cell r="D1400">
            <v>12379974</v>
          </cell>
          <cell r="E1400" t="str">
            <v>무수축몰탈</v>
          </cell>
          <cell r="F1400" t="str">
            <v>(1:1)</v>
          </cell>
          <cell r="G1400" t="str">
            <v>㎥</v>
          </cell>
          <cell r="I1400">
            <v>0</v>
          </cell>
        </row>
        <row r="1401">
          <cell r="A1401" t="str">
            <v>D00568</v>
          </cell>
          <cell r="B1401">
            <v>9.61</v>
          </cell>
          <cell r="C1401" t="str">
            <v>b</v>
          </cell>
          <cell r="D1401">
            <v>12379982</v>
          </cell>
          <cell r="E1401" t="str">
            <v>무수축콘크리트</v>
          </cell>
          <cell r="G1401" t="str">
            <v>㎥</v>
          </cell>
          <cell r="I1401">
            <v>0</v>
          </cell>
        </row>
        <row r="1402">
          <cell r="A1402" t="str">
            <v>E2</v>
          </cell>
          <cell r="B1402">
            <v>0</v>
          </cell>
          <cell r="C1402" t="str">
            <v>계</v>
          </cell>
          <cell r="D1402">
            <v>12379986</v>
          </cell>
          <cell r="I1402">
            <v>0</v>
          </cell>
        </row>
        <row r="1403">
          <cell r="A1403" t="str">
            <v>T2</v>
          </cell>
          <cell r="B1403">
            <v>1405</v>
          </cell>
          <cell r="C1403" t="str">
            <v>3.15</v>
          </cell>
          <cell r="D1403">
            <v>12379988</v>
          </cell>
          <cell r="E1403" t="str">
            <v>스치로폴 설치</v>
          </cell>
          <cell r="I1403">
            <v>0</v>
          </cell>
        </row>
        <row r="1404">
          <cell r="A1404" t="str">
            <v>D00853</v>
          </cell>
          <cell r="B1404">
            <v>8</v>
          </cell>
          <cell r="C1404" t="str">
            <v>a</v>
          </cell>
          <cell r="D1404">
            <v>12380246</v>
          </cell>
          <cell r="E1404" t="str">
            <v>스치로폴설치</v>
          </cell>
          <cell r="F1404" t="str">
            <v>(T=10 m/m)</v>
          </cell>
          <cell r="G1404" t="str">
            <v>㎡</v>
          </cell>
          <cell r="I1404">
            <v>0</v>
          </cell>
        </row>
        <row r="1405">
          <cell r="A1405" t="str">
            <v>D00532</v>
          </cell>
          <cell r="B1405">
            <v>81</v>
          </cell>
          <cell r="C1405" t="str">
            <v>b</v>
          </cell>
          <cell r="D1405">
            <v>12380374</v>
          </cell>
          <cell r="E1405" t="str">
            <v>스치로폴설치</v>
          </cell>
          <cell r="F1405" t="str">
            <v>(T=20 m/m)</v>
          </cell>
          <cell r="G1405" t="str">
            <v>㎡</v>
          </cell>
          <cell r="I1405">
            <v>0</v>
          </cell>
        </row>
        <row r="1406">
          <cell r="A1406" t="str">
            <v>E2</v>
          </cell>
          <cell r="B1406">
            <v>0</v>
          </cell>
          <cell r="C1406" t="str">
            <v>계</v>
          </cell>
          <cell r="D1406">
            <v>12380375</v>
          </cell>
          <cell r="I1406">
            <v>0</v>
          </cell>
        </row>
        <row r="1407">
          <cell r="A1407" t="str">
            <v>T2</v>
          </cell>
          <cell r="B1407">
            <v>1411</v>
          </cell>
          <cell r="C1407" t="str">
            <v>3.16</v>
          </cell>
          <cell r="D1407">
            <v>12380502</v>
          </cell>
          <cell r="E1407" t="str">
            <v>배수시설</v>
          </cell>
          <cell r="I1407">
            <v>0</v>
          </cell>
        </row>
        <row r="1408">
          <cell r="A1408" t="str">
            <v>D00572</v>
          </cell>
          <cell r="B1408">
            <v>12</v>
          </cell>
          <cell r="C1408" t="str">
            <v>a</v>
          </cell>
          <cell r="D1408">
            <v>12380503</v>
          </cell>
          <cell r="E1408" t="str">
            <v>집 수 구</v>
          </cell>
          <cell r="G1408" t="str">
            <v>EA</v>
          </cell>
          <cell r="I1408">
            <v>0</v>
          </cell>
        </row>
        <row r="1409">
          <cell r="A1409" t="str">
            <v>D00573</v>
          </cell>
          <cell r="B1409">
            <v>32</v>
          </cell>
          <cell r="C1409" t="str">
            <v>b</v>
          </cell>
          <cell r="D1409">
            <v>12380504</v>
          </cell>
          <cell r="E1409" t="str">
            <v>배 수 구</v>
          </cell>
          <cell r="F1409" t="str">
            <v>(스테인레스관)</v>
          </cell>
          <cell r="G1409" t="str">
            <v>M</v>
          </cell>
          <cell r="I1409">
            <v>0</v>
          </cell>
        </row>
        <row r="1410">
          <cell r="A1410" t="str">
            <v>D00574</v>
          </cell>
          <cell r="B1410">
            <v>8</v>
          </cell>
          <cell r="C1410" t="str">
            <v>c</v>
          </cell>
          <cell r="D1410">
            <v>12380568</v>
          </cell>
          <cell r="E1410" t="str">
            <v>부착시설(A)</v>
          </cell>
          <cell r="G1410" t="str">
            <v>EA</v>
          </cell>
          <cell r="I1410">
            <v>0</v>
          </cell>
        </row>
        <row r="1411">
          <cell r="A1411" t="str">
            <v>D00577</v>
          </cell>
          <cell r="B1411">
            <v>23</v>
          </cell>
          <cell r="C1411" t="str">
            <v>d</v>
          </cell>
          <cell r="D1411">
            <v>12380600</v>
          </cell>
          <cell r="E1411" t="str">
            <v>도 수 로</v>
          </cell>
          <cell r="G1411" t="str">
            <v>M</v>
          </cell>
          <cell r="I1411">
            <v>0</v>
          </cell>
        </row>
        <row r="1412">
          <cell r="A1412" t="str">
            <v>E2</v>
          </cell>
          <cell r="B1412">
            <v>0</v>
          </cell>
          <cell r="C1412" t="str">
            <v>계</v>
          </cell>
          <cell r="D1412">
            <v>12380616</v>
          </cell>
          <cell r="I1412">
            <v>0</v>
          </cell>
        </row>
        <row r="1413">
          <cell r="A1413" t="str">
            <v>T2</v>
          </cell>
          <cell r="B1413">
            <v>1415</v>
          </cell>
          <cell r="C1413" t="str">
            <v>3.17</v>
          </cell>
          <cell r="D1413">
            <v>12380632</v>
          </cell>
          <cell r="E1413" t="str">
            <v>스페이서설치</v>
          </cell>
          <cell r="I1413">
            <v>0</v>
          </cell>
        </row>
        <row r="1414">
          <cell r="A1414" t="str">
            <v>D00588</v>
          </cell>
          <cell r="B1414">
            <v>2598</v>
          </cell>
          <cell r="C1414" t="str">
            <v>a</v>
          </cell>
          <cell r="D1414">
            <v>12380648</v>
          </cell>
          <cell r="E1414" t="str">
            <v>스페이서 설치</v>
          </cell>
          <cell r="F1414" t="str">
            <v>(슬라브및기초용)</v>
          </cell>
          <cell r="G1414" t="str">
            <v>㎡</v>
          </cell>
          <cell r="I1414">
            <v>0</v>
          </cell>
        </row>
        <row r="1415">
          <cell r="A1415" t="str">
            <v>D01070</v>
          </cell>
          <cell r="B1415">
            <v>151</v>
          </cell>
          <cell r="C1415" t="str">
            <v>b</v>
          </cell>
          <cell r="D1415">
            <v>12380656</v>
          </cell>
          <cell r="E1415" t="str">
            <v>스페이서 설치</v>
          </cell>
          <cell r="F1415" t="str">
            <v>(벽체용)</v>
          </cell>
          <cell r="G1415" t="str">
            <v>㎡</v>
          </cell>
          <cell r="I1415">
            <v>0</v>
          </cell>
        </row>
        <row r="1416">
          <cell r="A1416" t="str">
            <v>E2</v>
          </cell>
          <cell r="B1416">
            <v>0</v>
          </cell>
          <cell r="C1416" t="str">
            <v>계</v>
          </cell>
          <cell r="D1416">
            <v>12380660</v>
          </cell>
          <cell r="I1416">
            <v>0</v>
          </cell>
        </row>
        <row r="1417">
          <cell r="A1417" t="str">
            <v>T2</v>
          </cell>
          <cell r="B1417">
            <v>1420</v>
          </cell>
          <cell r="C1417" t="str">
            <v>3.18</v>
          </cell>
          <cell r="D1417">
            <v>12380678</v>
          </cell>
          <cell r="E1417" t="str">
            <v>교명판 설명판</v>
          </cell>
          <cell r="I1417">
            <v>0</v>
          </cell>
        </row>
        <row r="1418">
          <cell r="A1418" t="str">
            <v>D00581</v>
          </cell>
          <cell r="B1418">
            <v>4</v>
          </cell>
          <cell r="C1418" t="str">
            <v>a</v>
          </cell>
          <cell r="D1418">
            <v>12380679</v>
          </cell>
          <cell r="E1418" t="str">
            <v>교 명 주</v>
          </cell>
          <cell r="F1418" t="str">
            <v>(소형,화강석)</v>
          </cell>
          <cell r="G1418" t="str">
            <v>기</v>
          </cell>
          <cell r="I1418">
            <v>0</v>
          </cell>
        </row>
        <row r="1419">
          <cell r="A1419" t="str">
            <v>D00583</v>
          </cell>
          <cell r="B1419">
            <v>2</v>
          </cell>
          <cell r="C1419" t="str">
            <v>b</v>
          </cell>
          <cell r="D1419">
            <v>12380680</v>
          </cell>
          <cell r="E1419" t="str">
            <v>교 명 판(황동주물)</v>
          </cell>
          <cell r="F1419" t="str">
            <v>(450x200x10)</v>
          </cell>
          <cell r="G1419" t="str">
            <v>EA</v>
          </cell>
          <cell r="I1419">
            <v>0</v>
          </cell>
        </row>
        <row r="1420">
          <cell r="A1420" t="str">
            <v>D00584</v>
          </cell>
          <cell r="B1420">
            <v>2</v>
          </cell>
          <cell r="C1420" t="str">
            <v>c</v>
          </cell>
          <cell r="D1420">
            <v>12380744</v>
          </cell>
          <cell r="E1420" t="str">
            <v>설 명 판(황동주물)</v>
          </cell>
          <cell r="F1420" t="str">
            <v>(500x300x10)</v>
          </cell>
          <cell r="G1420" t="str">
            <v>EA</v>
          </cell>
          <cell r="I1420">
            <v>0</v>
          </cell>
        </row>
        <row r="1421">
          <cell r="A1421" t="str">
            <v>E2</v>
          </cell>
          <cell r="B1421">
            <v>0</v>
          </cell>
          <cell r="C1421" t="str">
            <v>계</v>
          </cell>
          <cell r="D1421">
            <v>12380776</v>
          </cell>
          <cell r="I1421">
            <v>0</v>
          </cell>
        </row>
        <row r="1422">
          <cell r="A1422" t="str">
            <v>D00594</v>
          </cell>
          <cell r="B1422">
            <v>2</v>
          </cell>
          <cell r="C1422" t="str">
            <v>3.19</v>
          </cell>
          <cell r="D1422">
            <v>12380784</v>
          </cell>
          <cell r="E1422" t="str">
            <v>측량기준점 설치</v>
          </cell>
          <cell r="F1422" t="str">
            <v>(황동주물)</v>
          </cell>
          <cell r="G1422" t="str">
            <v>EA</v>
          </cell>
          <cell r="I1422">
            <v>0</v>
          </cell>
        </row>
        <row r="1423">
          <cell r="A1423" t="str">
            <v>T2</v>
          </cell>
          <cell r="B1423">
            <v>1425</v>
          </cell>
          <cell r="C1423" t="str">
            <v>3.20</v>
          </cell>
          <cell r="D1423">
            <v>12380912</v>
          </cell>
          <cell r="E1423" t="str">
            <v>충 진 재</v>
          </cell>
          <cell r="I1423">
            <v>0</v>
          </cell>
        </row>
        <row r="1424">
          <cell r="A1424" t="str">
            <v>D00846</v>
          </cell>
          <cell r="B1424">
            <v>90</v>
          </cell>
          <cell r="C1424" t="str">
            <v>a</v>
          </cell>
          <cell r="D1424">
            <v>12380980</v>
          </cell>
          <cell r="E1424" t="str">
            <v>폴리우레탄실란트채움</v>
          </cell>
          <cell r="F1424" t="str">
            <v>(25x20)</v>
          </cell>
          <cell r="G1424" t="str">
            <v>M</v>
          </cell>
          <cell r="I1424">
            <v>0</v>
          </cell>
        </row>
        <row r="1425">
          <cell r="A1425" t="str">
            <v>D01224</v>
          </cell>
          <cell r="B1425">
            <v>57</v>
          </cell>
          <cell r="C1425" t="str">
            <v>b</v>
          </cell>
          <cell r="D1425">
            <v>12380984</v>
          </cell>
          <cell r="E1425" t="str">
            <v>폴리우레탄실란트채움</v>
          </cell>
          <cell r="F1425" t="str">
            <v>(25x10)</v>
          </cell>
          <cell r="G1425" t="str">
            <v>M</v>
          </cell>
          <cell r="I1425">
            <v>0</v>
          </cell>
        </row>
        <row r="1426">
          <cell r="A1426" t="str">
            <v>E2</v>
          </cell>
          <cell r="B1426">
            <v>0</v>
          </cell>
          <cell r="C1426" t="str">
            <v>계</v>
          </cell>
          <cell r="D1426">
            <v>12380986</v>
          </cell>
          <cell r="I1426">
            <v>0</v>
          </cell>
        </row>
        <row r="1427">
          <cell r="A1427" t="str">
            <v>D01308</v>
          </cell>
          <cell r="B1427">
            <v>742</v>
          </cell>
          <cell r="C1427" t="str">
            <v>3.21</v>
          </cell>
          <cell r="D1427">
            <v>12381426</v>
          </cell>
          <cell r="E1427" t="str">
            <v>강섬유보강재</v>
          </cell>
          <cell r="F1427" t="str">
            <v>(900 g/㎥)</v>
          </cell>
          <cell r="G1427" t="str">
            <v>㎥</v>
          </cell>
          <cell r="I1427">
            <v>0</v>
          </cell>
        </row>
        <row r="1428">
          <cell r="A1428" t="str">
            <v>D01309</v>
          </cell>
          <cell r="B1428">
            <v>40</v>
          </cell>
          <cell r="C1428" t="str">
            <v>3.22</v>
          </cell>
          <cell r="D1428">
            <v>12381922</v>
          </cell>
          <cell r="E1428" t="str">
            <v>모래주머니</v>
          </cell>
          <cell r="G1428" t="str">
            <v>EA</v>
          </cell>
          <cell r="I1428">
            <v>0</v>
          </cell>
        </row>
        <row r="1429">
          <cell r="A1429" t="str">
            <v>D03860</v>
          </cell>
          <cell r="B1429">
            <v>198</v>
          </cell>
          <cell r="C1429" t="str">
            <v>3.23</v>
          </cell>
          <cell r="D1429">
            <v>12534919</v>
          </cell>
          <cell r="E1429" t="str">
            <v>방 호 벽</v>
          </cell>
          <cell r="F1429" t="str">
            <v>(일반용)</v>
          </cell>
          <cell r="G1429" t="str">
            <v>M</v>
          </cell>
          <cell r="I1429">
            <v>0</v>
          </cell>
        </row>
        <row r="1430">
          <cell r="A1430" t="str">
            <v>D00791</v>
          </cell>
          <cell r="B1430">
            <v>60</v>
          </cell>
          <cell r="C1430" t="str">
            <v>3.24</v>
          </cell>
          <cell r="D1430">
            <v>12611417</v>
          </cell>
          <cell r="E1430" t="str">
            <v>교좌장치표지판</v>
          </cell>
          <cell r="G1430" t="str">
            <v>EA</v>
          </cell>
          <cell r="I1430">
            <v>0</v>
          </cell>
        </row>
        <row r="1431">
          <cell r="A1431" t="str">
            <v>D00817</v>
          </cell>
          <cell r="B1431">
            <v>0.1</v>
          </cell>
          <cell r="C1431" t="str">
            <v>3.25</v>
          </cell>
          <cell r="D1431">
            <v>12649666</v>
          </cell>
          <cell r="E1431" t="str">
            <v>아스팔트 채움</v>
          </cell>
          <cell r="F1431" t="str">
            <v>(브론아스팔트)</v>
          </cell>
          <cell r="G1431" t="str">
            <v>㎥</v>
          </cell>
          <cell r="I1431">
            <v>0</v>
          </cell>
        </row>
        <row r="1432">
          <cell r="A1432" t="str">
            <v>D01064</v>
          </cell>
          <cell r="B1432">
            <v>90</v>
          </cell>
          <cell r="C1432" t="str">
            <v>3.26</v>
          </cell>
          <cell r="D1432">
            <v>12668791</v>
          </cell>
          <cell r="E1432" t="str">
            <v>중앙분리대</v>
          </cell>
          <cell r="G1432" t="str">
            <v>M</v>
          </cell>
          <cell r="I1432">
            <v>0</v>
          </cell>
        </row>
        <row r="1433">
          <cell r="A1433" t="str">
            <v>D03817</v>
          </cell>
          <cell r="B1433">
            <v>29</v>
          </cell>
          <cell r="C1433" t="str">
            <v>3.27</v>
          </cell>
          <cell r="D1433">
            <v>12678353</v>
          </cell>
          <cell r="E1433" t="str">
            <v>ELASTIC FILLER</v>
          </cell>
          <cell r="F1433" t="str">
            <v>(T=20 m/m)</v>
          </cell>
          <cell r="G1433" t="str">
            <v>㎡</v>
          </cell>
          <cell r="I1433">
            <v>0</v>
          </cell>
        </row>
        <row r="1434">
          <cell r="A1434" t="str">
            <v>D01305</v>
          </cell>
          <cell r="B1434">
            <v>2</v>
          </cell>
          <cell r="C1434" t="str">
            <v>3.28</v>
          </cell>
          <cell r="D1434">
            <v>12680744</v>
          </cell>
          <cell r="E1434" t="str">
            <v>점검용계단</v>
          </cell>
          <cell r="G1434" t="str">
            <v>EA</v>
          </cell>
          <cell r="I1434">
            <v>0</v>
          </cell>
        </row>
        <row r="1435">
          <cell r="A1435" t="str">
            <v>D03859</v>
          </cell>
          <cell r="B1435">
            <v>1</v>
          </cell>
          <cell r="C1435" t="str">
            <v>3.29</v>
          </cell>
          <cell r="D1435">
            <v>12683134</v>
          </cell>
          <cell r="E1435" t="str">
            <v>천공장비조립및해체</v>
          </cell>
          <cell r="G1435" t="str">
            <v>회</v>
          </cell>
          <cell r="I1435">
            <v>0</v>
          </cell>
        </row>
        <row r="1436">
          <cell r="A1436" t="str">
            <v>D03857</v>
          </cell>
          <cell r="B1436">
            <v>1392</v>
          </cell>
          <cell r="C1436" t="str">
            <v>3.30</v>
          </cell>
          <cell r="D1436">
            <v>12685525</v>
          </cell>
          <cell r="E1436" t="str">
            <v>법면보호블럭</v>
          </cell>
          <cell r="F1436" t="str">
            <v>(하천용)</v>
          </cell>
          <cell r="G1436" t="str">
            <v>㎡</v>
          </cell>
          <cell r="I1436">
            <v>0</v>
          </cell>
        </row>
        <row r="1437">
          <cell r="A1437" t="str">
            <v>D00844</v>
          </cell>
          <cell r="B1437">
            <v>100</v>
          </cell>
          <cell r="C1437" t="str">
            <v>3.31</v>
          </cell>
          <cell r="D1437">
            <v>12686720</v>
          </cell>
          <cell r="E1437" t="str">
            <v>법면보호블럭</v>
          </cell>
          <cell r="F1437" t="str">
            <v>(기초)</v>
          </cell>
          <cell r="G1437" t="str">
            <v>M</v>
          </cell>
          <cell r="I1437">
            <v>0</v>
          </cell>
        </row>
        <row r="1438">
          <cell r="A1438" t="str">
            <v>D00847</v>
          </cell>
          <cell r="B1438">
            <v>198</v>
          </cell>
          <cell r="C1438" t="str">
            <v>3.32</v>
          </cell>
          <cell r="D1438">
            <v>12687318</v>
          </cell>
          <cell r="E1438" t="str">
            <v>가드휀스설치</v>
          </cell>
          <cell r="G1438" t="str">
            <v>M</v>
          </cell>
          <cell r="I1438">
            <v>0</v>
          </cell>
        </row>
        <row r="1439">
          <cell r="A1439" t="str">
            <v>T2</v>
          </cell>
          <cell r="B1439">
            <v>1441</v>
          </cell>
          <cell r="C1439" t="str">
            <v>3.33</v>
          </cell>
          <cell r="D1439">
            <v>12687617</v>
          </cell>
          <cell r="E1439" t="str">
            <v>파일재하시험</v>
          </cell>
          <cell r="I1439">
            <v>0</v>
          </cell>
        </row>
        <row r="1440">
          <cell r="A1440" t="str">
            <v>D03869</v>
          </cell>
          <cell r="B1440">
            <v>1</v>
          </cell>
          <cell r="C1440" t="str">
            <v>a</v>
          </cell>
          <cell r="D1440">
            <v>12687766</v>
          </cell>
          <cell r="E1440" t="str">
            <v>파일재하시험</v>
          </cell>
          <cell r="F1440" t="str">
            <v>(정재하시험)</v>
          </cell>
          <cell r="G1440" t="str">
            <v>개소</v>
          </cell>
          <cell r="I1440">
            <v>0</v>
          </cell>
        </row>
        <row r="1441">
          <cell r="A1441" t="str">
            <v>D03870</v>
          </cell>
          <cell r="B1441">
            <v>7</v>
          </cell>
          <cell r="C1441" t="str">
            <v>b</v>
          </cell>
          <cell r="D1441">
            <v>12687841</v>
          </cell>
          <cell r="E1441" t="str">
            <v>파일재하시험</v>
          </cell>
          <cell r="F1441" t="str">
            <v>(동재하시험)</v>
          </cell>
          <cell r="G1441" t="str">
            <v>개소</v>
          </cell>
          <cell r="I1441">
            <v>0</v>
          </cell>
        </row>
        <row r="1442">
          <cell r="A1442" t="str">
            <v>E2</v>
          </cell>
          <cell r="B1442">
            <v>0</v>
          </cell>
          <cell r="C1442" t="str">
            <v>계</v>
          </cell>
          <cell r="D1442">
            <v>12687878</v>
          </cell>
          <cell r="I1442">
            <v>0</v>
          </cell>
        </row>
        <row r="1443">
          <cell r="A1443" t="str">
            <v>T2</v>
          </cell>
          <cell r="B1443">
            <v>1449</v>
          </cell>
          <cell r="C1443" t="str">
            <v>3.34</v>
          </cell>
          <cell r="D1443">
            <v>12688006</v>
          </cell>
          <cell r="E1443" t="str">
            <v>가 도 공</v>
          </cell>
          <cell r="I1443">
            <v>0</v>
          </cell>
        </row>
        <row r="1444">
          <cell r="A1444" t="str">
            <v>D00037</v>
          </cell>
          <cell r="B1444">
            <v>2685</v>
          </cell>
          <cell r="C1444" t="str">
            <v>a</v>
          </cell>
          <cell r="D1444">
            <v>12688007</v>
          </cell>
          <cell r="E1444" t="str">
            <v>가도성토및철거</v>
          </cell>
          <cell r="G1444" t="str">
            <v>㎥</v>
          </cell>
          <cell r="I1444">
            <v>0</v>
          </cell>
        </row>
        <row r="1445">
          <cell r="A1445" t="str">
            <v>D03742</v>
          </cell>
          <cell r="B1445">
            <v>221</v>
          </cell>
          <cell r="C1445" t="str">
            <v>b</v>
          </cell>
          <cell r="D1445">
            <v>12688072</v>
          </cell>
          <cell r="E1445" t="str">
            <v>보조기층생산</v>
          </cell>
          <cell r="F1445" t="str">
            <v>(현장암유용)</v>
          </cell>
          <cell r="G1445" t="str">
            <v>㎥</v>
          </cell>
          <cell r="I1445">
            <v>0</v>
          </cell>
        </row>
        <row r="1446">
          <cell r="A1446" t="str">
            <v>D00798</v>
          </cell>
          <cell r="B1446">
            <v>172</v>
          </cell>
          <cell r="C1446" t="str">
            <v>c</v>
          </cell>
          <cell r="D1446">
            <v>12688104</v>
          </cell>
          <cell r="E1446" t="str">
            <v>보조기층</v>
          </cell>
          <cell r="F1446" t="str">
            <v>(포설및다짐 T=20 Cm)</v>
          </cell>
          <cell r="G1446" t="str">
            <v>㎥</v>
          </cell>
          <cell r="I1446">
            <v>0</v>
          </cell>
        </row>
        <row r="1447">
          <cell r="A1447" t="str">
            <v>D00976</v>
          </cell>
          <cell r="B1447">
            <v>70</v>
          </cell>
          <cell r="C1447" t="str">
            <v>d</v>
          </cell>
          <cell r="D1447">
            <v>12688126</v>
          </cell>
          <cell r="E1447" t="str">
            <v>흄관부설</v>
          </cell>
          <cell r="F1447" t="str">
            <v>(D=1200 m/m)</v>
          </cell>
          <cell r="G1447" t="str">
            <v>본</v>
          </cell>
          <cell r="I1447">
            <v>0</v>
          </cell>
        </row>
        <row r="1448">
          <cell r="A1448" t="str">
            <v>D03941</v>
          </cell>
          <cell r="B1448">
            <v>1</v>
          </cell>
          <cell r="C1448" t="str">
            <v>e</v>
          </cell>
          <cell r="D1448">
            <v>12688127</v>
          </cell>
          <cell r="E1448" t="str">
            <v>상수원보호장비</v>
          </cell>
          <cell r="F1448" t="str">
            <v>(TYPE-2)</v>
          </cell>
          <cell r="G1448" t="str">
            <v>식</v>
          </cell>
          <cell r="I1448">
            <v>0</v>
          </cell>
        </row>
        <row r="1449">
          <cell r="A1449" t="str">
            <v>D00847</v>
          </cell>
          <cell r="B1449">
            <v>198</v>
          </cell>
          <cell r="C1449" t="str">
            <v>f</v>
          </cell>
          <cell r="D1449">
            <v>12688128</v>
          </cell>
          <cell r="E1449" t="str">
            <v>가드휀스설치</v>
          </cell>
          <cell r="G1449" t="str">
            <v>M</v>
          </cell>
          <cell r="I1449">
            <v>0</v>
          </cell>
        </row>
        <row r="1450">
          <cell r="A1450" t="str">
            <v>E2</v>
          </cell>
          <cell r="B1450">
            <v>0</v>
          </cell>
          <cell r="C1450" t="str">
            <v>계</v>
          </cell>
          <cell r="D1450">
            <v>12688256</v>
          </cell>
          <cell r="I1450">
            <v>0</v>
          </cell>
        </row>
        <row r="1451">
          <cell r="A1451" t="str">
            <v>E3</v>
          </cell>
          <cell r="B1451">
            <v>0</v>
          </cell>
          <cell r="C1451" t="str">
            <v>합계</v>
          </cell>
          <cell r="D1451">
            <v>12688293</v>
          </cell>
          <cell r="I1451">
            <v>0</v>
          </cell>
        </row>
        <row r="1452">
          <cell r="A1452" t="str">
            <v>T3</v>
          </cell>
          <cell r="B1452">
            <v>1496</v>
          </cell>
          <cell r="C1452" t="str">
            <v>3.L</v>
          </cell>
          <cell r="D1452">
            <v>12688421</v>
          </cell>
          <cell r="E1452" t="str">
            <v>장 성 지하차도</v>
          </cell>
          <cell r="I1452">
            <v>0</v>
          </cell>
        </row>
        <row r="1453">
          <cell r="A1453" t="str">
            <v>T2</v>
          </cell>
          <cell r="B1453">
            <v>1458</v>
          </cell>
          <cell r="C1453" t="str">
            <v>3.01</v>
          </cell>
          <cell r="D1453">
            <v>12841718</v>
          </cell>
          <cell r="E1453" t="str">
            <v>토          공</v>
          </cell>
          <cell r="I1453">
            <v>0</v>
          </cell>
        </row>
        <row r="1454">
          <cell r="A1454" t="str">
            <v>D00096</v>
          </cell>
          <cell r="B1454">
            <v>6369</v>
          </cell>
          <cell r="C1454" t="str">
            <v>a</v>
          </cell>
          <cell r="D1454">
            <v>12918642</v>
          </cell>
          <cell r="E1454" t="str">
            <v>구조물터파기</v>
          </cell>
          <cell r="F1454" t="str">
            <v>(육상토사 0∼2 M)</v>
          </cell>
          <cell r="G1454" t="str">
            <v>㎥</v>
          </cell>
          <cell r="I1454">
            <v>0</v>
          </cell>
        </row>
        <row r="1455">
          <cell r="A1455" t="str">
            <v>D00097</v>
          </cell>
          <cell r="B1455">
            <v>5674</v>
          </cell>
          <cell r="C1455" t="str">
            <v>b</v>
          </cell>
          <cell r="D1455">
            <v>12995566</v>
          </cell>
          <cell r="E1455" t="str">
            <v>구조물터파기</v>
          </cell>
          <cell r="F1455" t="str">
            <v>(육상토사 2∼4 M)</v>
          </cell>
          <cell r="G1455" t="str">
            <v>㎥</v>
          </cell>
          <cell r="I1455">
            <v>0</v>
          </cell>
        </row>
        <row r="1456">
          <cell r="A1456" t="str">
            <v>D00038</v>
          </cell>
          <cell r="B1456">
            <v>8647</v>
          </cell>
          <cell r="C1456" t="str">
            <v>c</v>
          </cell>
          <cell r="D1456">
            <v>12995597</v>
          </cell>
          <cell r="E1456" t="str">
            <v>토사치환</v>
          </cell>
          <cell r="F1456" t="str">
            <v>노상다짐</v>
          </cell>
          <cell r="G1456" t="str">
            <v>㎥</v>
          </cell>
          <cell r="I1456">
            <v>0</v>
          </cell>
        </row>
        <row r="1457">
          <cell r="A1457" t="str">
            <v>D00170</v>
          </cell>
          <cell r="B1457">
            <v>3121</v>
          </cell>
          <cell r="C1457" t="str">
            <v>d</v>
          </cell>
          <cell r="D1457">
            <v>12995807</v>
          </cell>
          <cell r="E1457" t="str">
            <v>뒷채움잡석</v>
          </cell>
          <cell r="F1457" t="str">
            <v>(현장암유용)</v>
          </cell>
          <cell r="G1457" t="str">
            <v>㎥</v>
          </cell>
          <cell r="I1457">
            <v>0</v>
          </cell>
        </row>
        <row r="1458">
          <cell r="A1458" t="str">
            <v>D00185</v>
          </cell>
          <cell r="B1458">
            <v>4176</v>
          </cell>
          <cell r="C1458" t="str">
            <v>e</v>
          </cell>
          <cell r="D1458">
            <v>12995867</v>
          </cell>
          <cell r="E1458" t="str">
            <v>잡석운반</v>
          </cell>
          <cell r="F1458" t="str">
            <v>(현장암유용)</v>
          </cell>
          <cell r="G1458" t="str">
            <v>㎥</v>
          </cell>
          <cell r="I1458">
            <v>0</v>
          </cell>
        </row>
        <row r="1459">
          <cell r="A1459" t="str">
            <v>E2</v>
          </cell>
          <cell r="B1459">
            <v>0</v>
          </cell>
          <cell r="C1459" t="str">
            <v>계</v>
          </cell>
          <cell r="D1459">
            <v>12995927</v>
          </cell>
          <cell r="I1459">
            <v>0</v>
          </cell>
        </row>
        <row r="1460">
          <cell r="A1460" t="str">
            <v>T2</v>
          </cell>
          <cell r="B1460">
            <v>1464</v>
          </cell>
          <cell r="C1460" t="str">
            <v>3.02</v>
          </cell>
          <cell r="D1460">
            <v>12996286</v>
          </cell>
          <cell r="E1460" t="str">
            <v>거 푸 집</v>
          </cell>
          <cell r="I1460">
            <v>0</v>
          </cell>
        </row>
        <row r="1461">
          <cell r="A1461" t="str">
            <v>D00276</v>
          </cell>
          <cell r="B1461">
            <v>2191</v>
          </cell>
          <cell r="C1461" t="str">
            <v>a</v>
          </cell>
          <cell r="D1461">
            <v>12996287</v>
          </cell>
          <cell r="E1461" t="str">
            <v>합판거푸집</v>
          </cell>
          <cell r="F1461" t="str">
            <v>(3 회)</v>
          </cell>
          <cell r="G1461" t="str">
            <v>㎡</v>
          </cell>
          <cell r="I1461">
            <v>0</v>
          </cell>
        </row>
        <row r="1462">
          <cell r="A1462" t="str">
            <v>D00280</v>
          </cell>
          <cell r="B1462">
            <v>188</v>
          </cell>
          <cell r="C1462" t="str">
            <v>b</v>
          </cell>
          <cell r="D1462">
            <v>12996351</v>
          </cell>
          <cell r="E1462" t="str">
            <v>합판거푸집</v>
          </cell>
          <cell r="F1462" t="str">
            <v>(4 회)</v>
          </cell>
          <cell r="G1462" t="str">
            <v>㎡</v>
          </cell>
          <cell r="I1462">
            <v>0</v>
          </cell>
        </row>
        <row r="1463">
          <cell r="A1463" t="str">
            <v>D00282</v>
          </cell>
          <cell r="B1463">
            <v>38</v>
          </cell>
          <cell r="C1463" t="str">
            <v>c</v>
          </cell>
          <cell r="D1463">
            <v>12996383</v>
          </cell>
          <cell r="E1463" t="str">
            <v>합판거푸집</v>
          </cell>
          <cell r="F1463" t="str">
            <v>(6 회)</v>
          </cell>
          <cell r="G1463" t="str">
            <v>㎡</v>
          </cell>
          <cell r="I1463">
            <v>0</v>
          </cell>
        </row>
        <row r="1464">
          <cell r="A1464" t="str">
            <v>D00265</v>
          </cell>
          <cell r="B1464">
            <v>253</v>
          </cell>
          <cell r="C1464" t="str">
            <v>d</v>
          </cell>
          <cell r="D1464">
            <v>12996391</v>
          </cell>
          <cell r="E1464" t="str">
            <v>문양거푸집(합판4회+</v>
          </cell>
          <cell r="F1464" t="str">
            <v>문양스치로폴(0∼7M)</v>
          </cell>
          <cell r="G1464" t="str">
            <v>㎡</v>
          </cell>
          <cell r="I1464">
            <v>0</v>
          </cell>
        </row>
        <row r="1465">
          <cell r="A1465" t="str">
            <v>E2</v>
          </cell>
          <cell r="B1465">
            <v>0</v>
          </cell>
          <cell r="C1465" t="str">
            <v>계</v>
          </cell>
          <cell r="D1465">
            <v>12996399</v>
          </cell>
          <cell r="I1465">
            <v>0</v>
          </cell>
        </row>
        <row r="1466">
          <cell r="A1466" t="str">
            <v>D00323</v>
          </cell>
          <cell r="B1466">
            <v>1075</v>
          </cell>
          <cell r="C1466" t="str">
            <v>3.03</v>
          </cell>
          <cell r="D1466">
            <v>12996400</v>
          </cell>
          <cell r="E1466" t="str">
            <v>강관비계</v>
          </cell>
          <cell r="F1466" t="str">
            <v>(0∼30 M)</v>
          </cell>
          <cell r="G1466" t="str">
            <v>㎡</v>
          </cell>
          <cell r="I1466">
            <v>0</v>
          </cell>
        </row>
        <row r="1467">
          <cell r="A1467" t="str">
            <v>D00334</v>
          </cell>
          <cell r="B1467">
            <v>3156</v>
          </cell>
          <cell r="C1467" t="str">
            <v>3.04</v>
          </cell>
          <cell r="D1467">
            <v>12996520</v>
          </cell>
          <cell r="E1467" t="str">
            <v>강관동바리</v>
          </cell>
          <cell r="F1467" t="str">
            <v>(교량용)</v>
          </cell>
          <cell r="G1467" t="str">
            <v>공㎥</v>
          </cell>
          <cell r="I1467">
            <v>0</v>
          </cell>
        </row>
        <row r="1468">
          <cell r="A1468" t="str">
            <v>T2</v>
          </cell>
          <cell r="B1468">
            <v>1470</v>
          </cell>
          <cell r="C1468" t="str">
            <v>3.05</v>
          </cell>
          <cell r="D1468">
            <v>12996648</v>
          </cell>
          <cell r="E1468" t="str">
            <v>철근가공조립</v>
          </cell>
          <cell r="I1468">
            <v>0</v>
          </cell>
        </row>
        <row r="1469">
          <cell r="A1469" t="str">
            <v>D00271</v>
          </cell>
          <cell r="B1469">
            <v>82.427999999999997</v>
          </cell>
          <cell r="C1469" t="str">
            <v>a</v>
          </cell>
          <cell r="D1469">
            <v>12996776</v>
          </cell>
          <cell r="E1469" t="str">
            <v>철근가공조립</v>
          </cell>
          <cell r="F1469" t="str">
            <v>(보 통)</v>
          </cell>
          <cell r="G1469" t="str">
            <v>Ton</v>
          </cell>
          <cell r="I1469">
            <v>0</v>
          </cell>
        </row>
        <row r="1470">
          <cell r="A1470" t="str">
            <v>D00272</v>
          </cell>
          <cell r="B1470">
            <v>426.21100000000001</v>
          </cell>
          <cell r="C1470" t="str">
            <v>b</v>
          </cell>
          <cell r="D1470">
            <v>12996780</v>
          </cell>
          <cell r="E1470" t="str">
            <v>철근가공조립</v>
          </cell>
          <cell r="F1470" t="str">
            <v>(복 잡)</v>
          </cell>
          <cell r="G1470" t="str">
            <v>Ton</v>
          </cell>
          <cell r="I1470">
            <v>0</v>
          </cell>
        </row>
        <row r="1471">
          <cell r="A1471" t="str">
            <v>E2</v>
          </cell>
          <cell r="B1471">
            <v>0</v>
          </cell>
          <cell r="C1471" t="str">
            <v>계</v>
          </cell>
          <cell r="D1471">
            <v>12996783</v>
          </cell>
          <cell r="I1471">
            <v>0</v>
          </cell>
        </row>
        <row r="1472">
          <cell r="A1472" t="str">
            <v>T2</v>
          </cell>
          <cell r="B1472">
            <v>1474</v>
          </cell>
          <cell r="C1472" t="str">
            <v>3.06</v>
          </cell>
          <cell r="D1472">
            <v>12996784</v>
          </cell>
          <cell r="E1472" t="str">
            <v>콘크리트타설</v>
          </cell>
          <cell r="I1472">
            <v>0</v>
          </cell>
        </row>
        <row r="1473">
          <cell r="A1473" t="str">
            <v>D00237</v>
          </cell>
          <cell r="B1473">
            <v>2271</v>
          </cell>
          <cell r="C1473" t="str">
            <v>a</v>
          </cell>
          <cell r="D1473">
            <v>12996848</v>
          </cell>
          <cell r="E1473" t="str">
            <v>콘크리트타설</v>
          </cell>
          <cell r="F1473" t="str">
            <v>(철근 펌프카)</v>
          </cell>
          <cell r="G1473" t="str">
            <v>㎥</v>
          </cell>
          <cell r="I1473">
            <v>0</v>
          </cell>
        </row>
        <row r="1474">
          <cell r="A1474" t="str">
            <v>D00231</v>
          </cell>
          <cell r="B1474">
            <v>140</v>
          </cell>
          <cell r="C1474" t="str">
            <v>b</v>
          </cell>
          <cell r="D1474">
            <v>12996880</v>
          </cell>
          <cell r="E1474" t="str">
            <v>콘크리트타설</v>
          </cell>
          <cell r="F1474" t="str">
            <v>(무근 VIB 제외)</v>
          </cell>
          <cell r="G1474" t="str">
            <v>㎥</v>
          </cell>
          <cell r="I1474">
            <v>0</v>
          </cell>
        </row>
        <row r="1475">
          <cell r="A1475" t="str">
            <v>E2</v>
          </cell>
          <cell r="B1475">
            <v>0</v>
          </cell>
          <cell r="C1475" t="str">
            <v>계</v>
          </cell>
          <cell r="D1475">
            <v>12996912</v>
          </cell>
          <cell r="I1475">
            <v>0</v>
          </cell>
        </row>
        <row r="1476">
          <cell r="A1476" t="str">
            <v>D03746</v>
          </cell>
          <cell r="B1476">
            <v>531</v>
          </cell>
          <cell r="C1476" t="str">
            <v>3.07</v>
          </cell>
          <cell r="D1476">
            <v>12996920</v>
          </cell>
          <cell r="E1476" t="str">
            <v>타일붙이기</v>
          </cell>
          <cell r="F1476" t="str">
            <v>(90x190x11)</v>
          </cell>
          <cell r="G1476" t="str">
            <v>㎡</v>
          </cell>
          <cell r="I1476">
            <v>0</v>
          </cell>
        </row>
        <row r="1477">
          <cell r="A1477" t="str">
            <v>D01034</v>
          </cell>
          <cell r="B1477">
            <v>531</v>
          </cell>
          <cell r="C1477" t="str">
            <v>3.08</v>
          </cell>
          <cell r="D1477">
            <v>12996924</v>
          </cell>
          <cell r="E1477" t="str">
            <v>바탕고르기</v>
          </cell>
          <cell r="F1477" t="str">
            <v>T=24 m/m</v>
          </cell>
          <cell r="G1477" t="str">
            <v>㎡</v>
          </cell>
          <cell r="I1477">
            <v>0</v>
          </cell>
        </row>
        <row r="1478">
          <cell r="A1478" t="str">
            <v>D00563</v>
          </cell>
          <cell r="B1478">
            <v>1536</v>
          </cell>
          <cell r="C1478" t="str">
            <v>3.09</v>
          </cell>
          <cell r="D1478">
            <v>12996926</v>
          </cell>
          <cell r="E1478" t="str">
            <v>아스팔트 방수</v>
          </cell>
          <cell r="F1478" t="str">
            <v>(2 회)</v>
          </cell>
          <cell r="G1478" t="str">
            <v>㎡</v>
          </cell>
          <cell r="I1478">
            <v>0</v>
          </cell>
        </row>
        <row r="1479">
          <cell r="A1479" t="str">
            <v>D03816</v>
          </cell>
          <cell r="B1479">
            <v>119</v>
          </cell>
          <cell r="C1479" t="str">
            <v>3.10</v>
          </cell>
          <cell r="D1479">
            <v>12996927</v>
          </cell>
          <cell r="E1479" t="str">
            <v>시공이음면정리</v>
          </cell>
          <cell r="G1479" t="str">
            <v>㎡</v>
          </cell>
          <cell r="I1479">
            <v>0</v>
          </cell>
        </row>
        <row r="1480">
          <cell r="A1480" t="str">
            <v>D00587</v>
          </cell>
          <cell r="B1480">
            <v>113</v>
          </cell>
          <cell r="C1480" t="str">
            <v>3.11</v>
          </cell>
          <cell r="D1480">
            <v>12997055</v>
          </cell>
          <cell r="E1480" t="str">
            <v>신축이음</v>
          </cell>
          <cell r="F1480" t="str">
            <v>(지하차도)</v>
          </cell>
          <cell r="G1480" t="str">
            <v>M</v>
          </cell>
          <cell r="I1480">
            <v>0</v>
          </cell>
        </row>
        <row r="1481">
          <cell r="A1481" t="str">
            <v>D03748</v>
          </cell>
          <cell r="B1481">
            <v>112</v>
          </cell>
          <cell r="C1481" t="str">
            <v>3.12</v>
          </cell>
          <cell r="D1481">
            <v>12997151</v>
          </cell>
          <cell r="E1481" t="str">
            <v>수축줄눈</v>
          </cell>
          <cell r="F1481" t="str">
            <v>(지하차도)</v>
          </cell>
          <cell r="G1481" t="str">
            <v>M</v>
          </cell>
          <cell r="I1481">
            <v>0</v>
          </cell>
        </row>
        <row r="1482">
          <cell r="A1482" t="str">
            <v>D03817</v>
          </cell>
          <cell r="B1482">
            <v>112</v>
          </cell>
          <cell r="C1482" t="str">
            <v>3.13</v>
          </cell>
          <cell r="D1482">
            <v>12997199</v>
          </cell>
          <cell r="E1482" t="str">
            <v>ELASTIC FILLER</v>
          </cell>
          <cell r="F1482" t="str">
            <v>(T=20 m/m)</v>
          </cell>
          <cell r="G1482" t="str">
            <v>㎡</v>
          </cell>
          <cell r="I1482">
            <v>0</v>
          </cell>
        </row>
        <row r="1483">
          <cell r="A1483" t="str">
            <v>T2</v>
          </cell>
          <cell r="B1483">
            <v>1485</v>
          </cell>
          <cell r="C1483" t="str">
            <v>3.14</v>
          </cell>
          <cell r="D1483">
            <v>12997524</v>
          </cell>
          <cell r="E1483" t="str">
            <v>스페이서 설치</v>
          </cell>
          <cell r="I1483">
            <v>0</v>
          </cell>
        </row>
        <row r="1484">
          <cell r="A1484" t="str">
            <v>D00588</v>
          </cell>
          <cell r="B1484">
            <v>1423</v>
          </cell>
          <cell r="C1484" t="str">
            <v>a</v>
          </cell>
          <cell r="D1484">
            <v>12997652</v>
          </cell>
          <cell r="E1484" t="str">
            <v>스페이서 설치</v>
          </cell>
          <cell r="F1484" t="str">
            <v>(슬라브및기초용)</v>
          </cell>
          <cell r="G1484" t="str">
            <v>㎡</v>
          </cell>
          <cell r="I1484">
            <v>0</v>
          </cell>
        </row>
        <row r="1485">
          <cell r="A1485" t="str">
            <v>D01070</v>
          </cell>
          <cell r="B1485">
            <v>866</v>
          </cell>
          <cell r="C1485" t="str">
            <v>b</v>
          </cell>
          <cell r="D1485">
            <v>12997660</v>
          </cell>
          <cell r="E1485" t="str">
            <v>스페이서 설치</v>
          </cell>
          <cell r="F1485" t="str">
            <v>(벽체용)</v>
          </cell>
          <cell r="G1485" t="str">
            <v>㎡</v>
          </cell>
          <cell r="I1485">
            <v>0</v>
          </cell>
        </row>
        <row r="1486">
          <cell r="A1486" t="str">
            <v>E2</v>
          </cell>
          <cell r="B1486">
            <v>0</v>
          </cell>
          <cell r="C1486" t="str">
            <v>계</v>
          </cell>
          <cell r="D1486">
            <v>12997664</v>
          </cell>
          <cell r="I1486">
            <v>0</v>
          </cell>
        </row>
        <row r="1487">
          <cell r="A1487" t="str">
            <v>D03818</v>
          </cell>
          <cell r="B1487">
            <v>57</v>
          </cell>
          <cell r="C1487" t="str">
            <v>3.15</v>
          </cell>
          <cell r="D1487">
            <v>12997989</v>
          </cell>
          <cell r="E1487" t="str">
            <v>스틸그레이팅</v>
          </cell>
          <cell r="F1487" t="str">
            <v>(995x350x44)</v>
          </cell>
          <cell r="G1487" t="str">
            <v>M</v>
          </cell>
          <cell r="I1487">
            <v>0</v>
          </cell>
        </row>
        <row r="1488">
          <cell r="A1488" t="str">
            <v>D01191</v>
          </cell>
          <cell r="B1488">
            <v>24</v>
          </cell>
          <cell r="C1488" t="str">
            <v>3.16</v>
          </cell>
          <cell r="D1488">
            <v>12998117</v>
          </cell>
          <cell r="E1488" t="str">
            <v>PVC PIPE 설치</v>
          </cell>
          <cell r="F1488" t="str">
            <v>(Φ65 m/m)</v>
          </cell>
          <cell r="G1488" t="str">
            <v>M</v>
          </cell>
          <cell r="I1488">
            <v>0</v>
          </cell>
        </row>
        <row r="1489">
          <cell r="A1489" t="str">
            <v>D00537</v>
          </cell>
          <cell r="B1489">
            <v>694</v>
          </cell>
          <cell r="C1489" t="str">
            <v>3.17</v>
          </cell>
          <cell r="D1489">
            <v>13229174</v>
          </cell>
          <cell r="E1489" t="str">
            <v>슬래브양생</v>
          </cell>
          <cell r="F1489" t="str">
            <v>(양생제)</v>
          </cell>
          <cell r="G1489" t="str">
            <v>㎡</v>
          </cell>
          <cell r="I1489">
            <v>0</v>
          </cell>
        </row>
        <row r="1490">
          <cell r="A1490" t="str">
            <v>D00846</v>
          </cell>
          <cell r="B1490">
            <v>40</v>
          </cell>
          <cell r="C1490" t="str">
            <v>3.18</v>
          </cell>
          <cell r="D1490">
            <v>13267684</v>
          </cell>
          <cell r="E1490" t="str">
            <v>폴리우레탄실란트채움</v>
          </cell>
          <cell r="F1490" t="str">
            <v>(25x20)</v>
          </cell>
          <cell r="G1490" t="str">
            <v>M</v>
          </cell>
          <cell r="I1490">
            <v>0</v>
          </cell>
        </row>
        <row r="1491">
          <cell r="A1491" t="str">
            <v>D03843</v>
          </cell>
          <cell r="B1491">
            <v>3.0059999999999998</v>
          </cell>
          <cell r="C1491" t="str">
            <v>3.19</v>
          </cell>
          <cell r="D1491">
            <v>13286939</v>
          </cell>
          <cell r="E1491" t="str">
            <v>철근망 설치</v>
          </cell>
          <cell r="F1491" t="str">
            <v>(D=13 m/m)</v>
          </cell>
          <cell r="G1491" t="str">
            <v>Ton</v>
          </cell>
          <cell r="I1491">
            <v>0</v>
          </cell>
        </row>
        <row r="1492">
          <cell r="A1492" t="str">
            <v>D03856</v>
          </cell>
          <cell r="B1492">
            <v>186</v>
          </cell>
          <cell r="C1492" t="str">
            <v>3.20</v>
          </cell>
          <cell r="D1492">
            <v>13296566</v>
          </cell>
          <cell r="E1492" t="str">
            <v>맹암거설치</v>
          </cell>
          <cell r="F1492" t="str">
            <v>(D=200 m/m)</v>
          </cell>
          <cell r="G1492" t="str">
            <v>M</v>
          </cell>
          <cell r="I1492">
            <v>0</v>
          </cell>
        </row>
        <row r="1493">
          <cell r="A1493" t="str">
            <v>D00419</v>
          </cell>
          <cell r="B1493">
            <v>154</v>
          </cell>
          <cell r="C1493" t="str">
            <v>3.21</v>
          </cell>
          <cell r="D1493">
            <v>13301380</v>
          </cell>
          <cell r="E1493" t="str">
            <v>부직포설치</v>
          </cell>
          <cell r="F1493" t="str">
            <v>(2.0 T/M)</v>
          </cell>
          <cell r="G1493" t="str">
            <v>㎡</v>
          </cell>
          <cell r="I1493">
            <v>0</v>
          </cell>
        </row>
        <row r="1494">
          <cell r="A1494" t="str">
            <v>D00539</v>
          </cell>
          <cell r="B1494">
            <v>572</v>
          </cell>
          <cell r="C1494" t="str">
            <v>3.22</v>
          </cell>
          <cell r="D1494">
            <v>13303787</v>
          </cell>
          <cell r="E1494" t="str">
            <v>슬래브면고르기</v>
          </cell>
          <cell r="G1494" t="str">
            <v>㎡</v>
          </cell>
          <cell r="I1494">
            <v>0</v>
          </cell>
        </row>
        <row r="1495">
          <cell r="A1495" t="str">
            <v>D03747</v>
          </cell>
          <cell r="B1495">
            <v>32</v>
          </cell>
          <cell r="C1495" t="str">
            <v>3.23</v>
          </cell>
          <cell r="D1495">
            <v>13304389</v>
          </cell>
          <cell r="E1495" t="str">
            <v>워터스톱</v>
          </cell>
          <cell r="F1495" t="str">
            <v>(20x25)</v>
          </cell>
          <cell r="G1495" t="str">
            <v>M</v>
          </cell>
          <cell r="I1495">
            <v>0</v>
          </cell>
        </row>
        <row r="1496">
          <cell r="A1496" t="str">
            <v>D03871</v>
          </cell>
          <cell r="B1496">
            <v>4</v>
          </cell>
          <cell r="C1496" t="str">
            <v>3.24</v>
          </cell>
          <cell r="D1496">
            <v>13304990</v>
          </cell>
          <cell r="E1496" t="str">
            <v>평판재하시험</v>
          </cell>
          <cell r="G1496" t="str">
            <v>개소</v>
          </cell>
          <cell r="I1496">
            <v>0</v>
          </cell>
        </row>
        <row r="1497">
          <cell r="A1497" t="str">
            <v>E3</v>
          </cell>
          <cell r="B1497">
            <v>0</v>
          </cell>
          <cell r="C1497" t="str">
            <v>합계</v>
          </cell>
          <cell r="D1497">
            <v>13306193</v>
          </cell>
          <cell r="I1497">
            <v>0</v>
          </cell>
        </row>
        <row r="1498">
          <cell r="A1498" t="str">
            <v>E4</v>
          </cell>
          <cell r="B1498">
            <v>0</v>
          </cell>
          <cell r="C1498" t="str">
            <v>총계</v>
          </cell>
          <cell r="D1498">
            <v>14550510</v>
          </cell>
          <cell r="I1498">
            <v>0</v>
          </cell>
        </row>
        <row r="1499">
          <cell r="A1499" t="str">
            <v>T4</v>
          </cell>
          <cell r="B1499">
            <v>1757</v>
          </cell>
          <cell r="C1499" t="str">
            <v>4.</v>
          </cell>
          <cell r="D1499">
            <v>14550638</v>
          </cell>
          <cell r="E1499" t="str">
            <v>터    널    공</v>
          </cell>
          <cell r="I1499">
            <v>0</v>
          </cell>
        </row>
        <row r="1500">
          <cell r="A1500" t="str">
            <v>T3</v>
          </cell>
          <cell r="B1500">
            <v>1526</v>
          </cell>
          <cell r="C1500" t="str">
            <v>4.01</v>
          </cell>
          <cell r="D1500">
            <v>14550796</v>
          </cell>
          <cell r="E1500" t="str">
            <v>굴       착</v>
          </cell>
          <cell r="I1500">
            <v>0</v>
          </cell>
        </row>
        <row r="1501">
          <cell r="A1501" t="str">
            <v>T2</v>
          </cell>
          <cell r="B1501">
            <v>1503</v>
          </cell>
          <cell r="C1501" t="str">
            <v>a</v>
          </cell>
          <cell r="D1501">
            <v>14550875</v>
          </cell>
          <cell r="E1501" t="str">
            <v>전단면 굴착</v>
          </cell>
          <cell r="I1501">
            <v>0</v>
          </cell>
        </row>
        <row r="1502">
          <cell r="A1502" t="str">
            <v>D00158</v>
          </cell>
          <cell r="B1502">
            <v>4535</v>
          </cell>
          <cell r="C1502" t="str">
            <v>-1</v>
          </cell>
          <cell r="D1502">
            <v>14551110</v>
          </cell>
          <cell r="E1502" t="str">
            <v>전단면 굴착</v>
          </cell>
          <cell r="F1502" t="str">
            <v>(표준단면-2)</v>
          </cell>
          <cell r="G1502" t="str">
            <v>㎥</v>
          </cell>
          <cell r="I1502">
            <v>0</v>
          </cell>
        </row>
        <row r="1503">
          <cell r="A1503" t="str">
            <v>D00710</v>
          </cell>
          <cell r="B1503">
            <v>17544</v>
          </cell>
          <cell r="C1503" t="str">
            <v>-2</v>
          </cell>
          <cell r="D1503">
            <v>14551189</v>
          </cell>
          <cell r="E1503" t="str">
            <v>전단면 굴착</v>
          </cell>
          <cell r="F1503" t="str">
            <v>(표준단면-3)</v>
          </cell>
          <cell r="G1503" t="str">
            <v>㎥</v>
          </cell>
          <cell r="I1503">
            <v>0</v>
          </cell>
        </row>
        <row r="1504">
          <cell r="A1504" t="str">
            <v>E2</v>
          </cell>
          <cell r="B1504">
            <v>0</v>
          </cell>
          <cell r="C1504" t="str">
            <v>계</v>
          </cell>
          <cell r="D1504">
            <v>14551208</v>
          </cell>
          <cell r="I1504">
            <v>0</v>
          </cell>
        </row>
        <row r="1505">
          <cell r="A1505" t="str">
            <v>T2</v>
          </cell>
          <cell r="B1505">
            <v>1525</v>
          </cell>
          <cell r="C1505" t="str">
            <v>b</v>
          </cell>
          <cell r="D1505">
            <v>14551217</v>
          </cell>
          <cell r="E1505" t="str">
            <v>반단면 굴착</v>
          </cell>
          <cell r="I1505">
            <v>0</v>
          </cell>
        </row>
        <row r="1506">
          <cell r="A1506" t="str">
            <v>T1</v>
          </cell>
          <cell r="B1506">
            <v>1508</v>
          </cell>
          <cell r="C1506" t="str">
            <v>-1</v>
          </cell>
          <cell r="D1506">
            <v>14551222</v>
          </cell>
          <cell r="E1506" t="str">
            <v>표준단면-4</v>
          </cell>
          <cell r="I1506">
            <v>0</v>
          </cell>
        </row>
        <row r="1507">
          <cell r="A1507" t="str">
            <v>D00712</v>
          </cell>
          <cell r="B1507">
            <v>5895</v>
          </cell>
          <cell r="C1507" t="str">
            <v>-1-a</v>
          </cell>
          <cell r="D1507">
            <v>14551226</v>
          </cell>
          <cell r="E1507" t="str">
            <v>반단면 굴착</v>
          </cell>
          <cell r="F1507" t="str">
            <v>(상부,표준단면-4)</v>
          </cell>
          <cell r="G1507" t="str">
            <v>㎥</v>
          </cell>
          <cell r="I1507">
            <v>0</v>
          </cell>
        </row>
        <row r="1508">
          <cell r="A1508" t="str">
            <v>D00713</v>
          </cell>
          <cell r="B1508">
            <v>5223</v>
          </cell>
          <cell r="C1508" t="str">
            <v>-1-b</v>
          </cell>
          <cell r="D1508">
            <v>14551228</v>
          </cell>
          <cell r="E1508" t="str">
            <v>반단면 굴착</v>
          </cell>
          <cell r="F1508" t="str">
            <v>(하부,표준단면-4)</v>
          </cell>
          <cell r="G1508" t="str">
            <v>㎥</v>
          </cell>
          <cell r="I1508">
            <v>0</v>
          </cell>
        </row>
        <row r="1509">
          <cell r="A1509" t="str">
            <v>E1</v>
          </cell>
          <cell r="B1509">
            <v>0</v>
          </cell>
          <cell r="C1509" t="str">
            <v>소계</v>
          </cell>
          <cell r="D1509">
            <v>14551243</v>
          </cell>
          <cell r="I1509">
            <v>0</v>
          </cell>
        </row>
        <row r="1510">
          <cell r="A1510" t="str">
            <v>T1</v>
          </cell>
          <cell r="B1510">
            <v>1512</v>
          </cell>
          <cell r="C1510" t="str">
            <v>-2</v>
          </cell>
          <cell r="D1510">
            <v>14551251</v>
          </cell>
          <cell r="E1510" t="str">
            <v>표준단면-5</v>
          </cell>
          <cell r="F1510" t="str">
            <v>(포장 60 Cm)</v>
          </cell>
          <cell r="I1510">
            <v>0</v>
          </cell>
        </row>
        <row r="1511">
          <cell r="A1511" t="str">
            <v>D01036</v>
          </cell>
          <cell r="B1511">
            <v>9150</v>
          </cell>
          <cell r="C1511" t="str">
            <v>-2-a</v>
          </cell>
          <cell r="D1511">
            <v>14551258</v>
          </cell>
          <cell r="E1511" t="str">
            <v>반단면 굴착(포장60)</v>
          </cell>
          <cell r="F1511" t="str">
            <v>(상부,표준단면-5)</v>
          </cell>
          <cell r="G1511" t="str">
            <v>㎥</v>
          </cell>
          <cell r="I1511">
            <v>0</v>
          </cell>
        </row>
        <row r="1512">
          <cell r="A1512" t="str">
            <v>D01037</v>
          </cell>
          <cell r="B1512">
            <v>8043</v>
          </cell>
          <cell r="C1512" t="str">
            <v>-2-b</v>
          </cell>
          <cell r="D1512">
            <v>14551263</v>
          </cell>
          <cell r="E1512" t="str">
            <v>반단면 굴착(포장60)</v>
          </cell>
          <cell r="F1512" t="str">
            <v>(하부,표준단면-5)</v>
          </cell>
          <cell r="G1512" t="str">
            <v>㎥</v>
          </cell>
          <cell r="I1512">
            <v>0</v>
          </cell>
        </row>
        <row r="1513">
          <cell r="A1513" t="str">
            <v>E1</v>
          </cell>
          <cell r="B1513">
            <v>0</v>
          </cell>
          <cell r="C1513" t="str">
            <v>소계</v>
          </cell>
          <cell r="D1513">
            <v>14551264</v>
          </cell>
          <cell r="I1513">
            <v>0</v>
          </cell>
        </row>
        <row r="1514">
          <cell r="A1514" t="str">
            <v>T1</v>
          </cell>
          <cell r="B1514">
            <v>1516</v>
          </cell>
          <cell r="C1514" t="str">
            <v>-3</v>
          </cell>
          <cell r="D1514">
            <v>14551265</v>
          </cell>
          <cell r="E1514" t="str">
            <v>표준단면-5</v>
          </cell>
          <cell r="F1514" t="str">
            <v>(포장 80 Cm)</v>
          </cell>
          <cell r="I1514">
            <v>0</v>
          </cell>
        </row>
        <row r="1515">
          <cell r="A1515" t="str">
            <v>D01139</v>
          </cell>
          <cell r="B1515">
            <v>1330</v>
          </cell>
          <cell r="C1515" t="str">
            <v>-3-a</v>
          </cell>
          <cell r="D1515">
            <v>14551393</v>
          </cell>
          <cell r="E1515" t="str">
            <v>반단면 굴착(포장80)</v>
          </cell>
          <cell r="F1515" t="str">
            <v>(상부,표준단면-5)</v>
          </cell>
          <cell r="G1515" t="str">
            <v>㎥</v>
          </cell>
          <cell r="I1515">
            <v>0</v>
          </cell>
        </row>
        <row r="1516">
          <cell r="A1516" t="str">
            <v>D01140</v>
          </cell>
          <cell r="B1516">
            <v>1208</v>
          </cell>
          <cell r="C1516" t="str">
            <v>-3-b</v>
          </cell>
          <cell r="D1516">
            <v>14551394</v>
          </cell>
          <cell r="E1516" t="str">
            <v>반단면 굴착(포장80)</v>
          </cell>
          <cell r="F1516" t="str">
            <v>(하부,표준단면-5)</v>
          </cell>
          <cell r="G1516" t="str">
            <v>㎥</v>
          </cell>
          <cell r="I1516">
            <v>0</v>
          </cell>
        </row>
        <row r="1517">
          <cell r="A1517" t="str">
            <v>E1</v>
          </cell>
          <cell r="B1517">
            <v>0</v>
          </cell>
          <cell r="C1517" t="str">
            <v>소계</v>
          </cell>
          <cell r="D1517">
            <v>14551395</v>
          </cell>
          <cell r="I1517">
            <v>0</v>
          </cell>
        </row>
        <row r="1518">
          <cell r="A1518" t="str">
            <v>T1</v>
          </cell>
          <cell r="B1518">
            <v>1520</v>
          </cell>
          <cell r="C1518" t="str">
            <v>-4</v>
          </cell>
          <cell r="D1518">
            <v>14551459</v>
          </cell>
          <cell r="E1518" t="str">
            <v>표준단면-6</v>
          </cell>
          <cell r="F1518" t="str">
            <v>(포장 60 Cm)</v>
          </cell>
          <cell r="I1518">
            <v>0</v>
          </cell>
        </row>
        <row r="1519">
          <cell r="A1519" t="str">
            <v>D01141</v>
          </cell>
          <cell r="B1519">
            <v>5989</v>
          </cell>
          <cell r="C1519" t="str">
            <v>-4-a</v>
          </cell>
          <cell r="D1519">
            <v>14551523</v>
          </cell>
          <cell r="E1519" t="str">
            <v>반단면 굴착(포장60)</v>
          </cell>
          <cell r="F1519" t="str">
            <v>(상부,표준단면-6)</v>
          </cell>
          <cell r="G1519" t="str">
            <v>㎥</v>
          </cell>
          <cell r="I1519">
            <v>0</v>
          </cell>
        </row>
        <row r="1520">
          <cell r="A1520" t="str">
            <v>D01142</v>
          </cell>
          <cell r="B1520">
            <v>5264</v>
          </cell>
          <cell r="C1520" t="str">
            <v>-4-b</v>
          </cell>
          <cell r="D1520">
            <v>14551587</v>
          </cell>
          <cell r="E1520" t="str">
            <v>반단면 굴착(포장60)</v>
          </cell>
          <cell r="F1520" t="str">
            <v>(하부,표준단면-6)</v>
          </cell>
          <cell r="G1520" t="str">
            <v>㎥</v>
          </cell>
          <cell r="I1520">
            <v>0</v>
          </cell>
        </row>
        <row r="1521">
          <cell r="A1521" t="str">
            <v>E1</v>
          </cell>
          <cell r="B1521">
            <v>0</v>
          </cell>
          <cell r="C1521" t="str">
            <v>소계</v>
          </cell>
          <cell r="D1521">
            <v>14551603</v>
          </cell>
          <cell r="I1521">
            <v>0</v>
          </cell>
        </row>
        <row r="1522">
          <cell r="A1522" t="str">
            <v>T1</v>
          </cell>
          <cell r="B1522">
            <v>1524</v>
          </cell>
          <cell r="C1522" t="str">
            <v>-5</v>
          </cell>
          <cell r="D1522">
            <v>14551611</v>
          </cell>
          <cell r="E1522" t="str">
            <v>표준단면-6</v>
          </cell>
          <cell r="F1522" t="str">
            <v>(포장 80 Cm)</v>
          </cell>
          <cell r="I1522">
            <v>0</v>
          </cell>
        </row>
        <row r="1523">
          <cell r="A1523" t="str">
            <v>D03710</v>
          </cell>
          <cell r="B1523">
            <v>2495</v>
          </cell>
          <cell r="C1523" t="str">
            <v>-5-a</v>
          </cell>
          <cell r="D1523">
            <v>14551615</v>
          </cell>
          <cell r="E1523" t="str">
            <v>반단면 굴착(포장80)</v>
          </cell>
          <cell r="F1523" t="str">
            <v>(상부,표준단면-6)</v>
          </cell>
          <cell r="G1523" t="str">
            <v>㎥</v>
          </cell>
          <cell r="I1523">
            <v>0</v>
          </cell>
        </row>
        <row r="1524">
          <cell r="A1524" t="str">
            <v>D03711</v>
          </cell>
          <cell r="B1524">
            <v>2266</v>
          </cell>
          <cell r="C1524" t="str">
            <v>-5-b</v>
          </cell>
          <cell r="D1524">
            <v>14551617</v>
          </cell>
          <cell r="E1524" t="str">
            <v>반단면 굴착(포장80)</v>
          </cell>
          <cell r="F1524" t="str">
            <v>(하부,표준단면-6)</v>
          </cell>
          <cell r="G1524" t="str">
            <v>㎥</v>
          </cell>
          <cell r="I1524">
            <v>0</v>
          </cell>
        </row>
        <row r="1525">
          <cell r="A1525" t="str">
            <v>E1</v>
          </cell>
          <cell r="B1525">
            <v>0</v>
          </cell>
          <cell r="C1525" t="str">
            <v>소계</v>
          </cell>
          <cell r="D1525">
            <v>14551618</v>
          </cell>
          <cell r="I1525">
            <v>0</v>
          </cell>
        </row>
        <row r="1526">
          <cell r="A1526" t="str">
            <v>E2</v>
          </cell>
          <cell r="B1526">
            <v>0</v>
          </cell>
          <cell r="C1526" t="str">
            <v>계</v>
          </cell>
          <cell r="D1526">
            <v>14551619</v>
          </cell>
          <cell r="I1526">
            <v>0</v>
          </cell>
        </row>
        <row r="1527">
          <cell r="A1527" t="str">
            <v>E3</v>
          </cell>
          <cell r="B1527">
            <v>0</v>
          </cell>
          <cell r="C1527" t="str">
            <v>합계</v>
          </cell>
          <cell r="D1527">
            <v>14551683</v>
          </cell>
          <cell r="I1527">
            <v>0</v>
          </cell>
        </row>
        <row r="1528">
          <cell r="A1528" t="str">
            <v>T3</v>
          </cell>
          <cell r="B1528">
            <v>1558</v>
          </cell>
          <cell r="C1528" t="str">
            <v>4.02</v>
          </cell>
          <cell r="D1528">
            <v>14551715</v>
          </cell>
          <cell r="E1528" t="str">
            <v>버 럭 처 리</v>
          </cell>
          <cell r="I1528">
            <v>0</v>
          </cell>
        </row>
        <row r="1529">
          <cell r="A1529" t="str">
            <v>T2</v>
          </cell>
          <cell r="B1529">
            <v>1531</v>
          </cell>
          <cell r="C1529" t="str">
            <v>a</v>
          </cell>
          <cell r="D1529">
            <v>14551731</v>
          </cell>
          <cell r="E1529" t="str">
            <v>전단면버럭처리</v>
          </cell>
          <cell r="I1529">
            <v>0</v>
          </cell>
        </row>
        <row r="1530">
          <cell r="A1530" t="str">
            <v>D00159</v>
          </cell>
          <cell r="B1530">
            <v>4675</v>
          </cell>
          <cell r="C1530" t="str">
            <v>-1</v>
          </cell>
          <cell r="D1530">
            <v>14551763</v>
          </cell>
          <cell r="E1530" t="str">
            <v>전단면 버럭처리</v>
          </cell>
          <cell r="F1530" t="str">
            <v>(표준단면-2)</v>
          </cell>
          <cell r="G1530" t="str">
            <v>㎥</v>
          </cell>
          <cell r="I1530">
            <v>0</v>
          </cell>
        </row>
        <row r="1531">
          <cell r="A1531" t="str">
            <v>D00716</v>
          </cell>
          <cell r="B1531">
            <v>18355</v>
          </cell>
          <cell r="C1531" t="str">
            <v>-2</v>
          </cell>
          <cell r="D1531">
            <v>14551771</v>
          </cell>
          <cell r="E1531" t="str">
            <v>전단면 버럭처리</v>
          </cell>
          <cell r="F1531" t="str">
            <v>(표준단면-3)</v>
          </cell>
          <cell r="G1531" t="str">
            <v>㎥</v>
          </cell>
          <cell r="I1531">
            <v>0</v>
          </cell>
        </row>
        <row r="1532">
          <cell r="A1532" t="str">
            <v>E2</v>
          </cell>
          <cell r="B1532">
            <v>0</v>
          </cell>
          <cell r="C1532" t="str">
            <v>계</v>
          </cell>
          <cell r="D1532">
            <v>14551772</v>
          </cell>
          <cell r="I1532">
            <v>0</v>
          </cell>
        </row>
        <row r="1533">
          <cell r="A1533" t="str">
            <v>T2</v>
          </cell>
          <cell r="B1533">
            <v>1553</v>
          </cell>
          <cell r="C1533" t="str">
            <v>b</v>
          </cell>
          <cell r="D1533">
            <v>14551773</v>
          </cell>
          <cell r="E1533" t="str">
            <v>반단면버럭처리</v>
          </cell>
          <cell r="I1533">
            <v>0</v>
          </cell>
        </row>
        <row r="1534">
          <cell r="A1534" t="str">
            <v>T1</v>
          </cell>
          <cell r="B1534">
            <v>1536</v>
          </cell>
          <cell r="C1534" t="str">
            <v>-1</v>
          </cell>
          <cell r="D1534">
            <v>14551774</v>
          </cell>
          <cell r="E1534" t="str">
            <v>표준단면-4</v>
          </cell>
          <cell r="I1534">
            <v>0</v>
          </cell>
        </row>
        <row r="1535">
          <cell r="A1535" t="str">
            <v>D00717</v>
          </cell>
          <cell r="B1535">
            <v>6371</v>
          </cell>
          <cell r="C1535" t="str">
            <v>-1-a</v>
          </cell>
          <cell r="D1535">
            <v>14551903</v>
          </cell>
          <cell r="E1535" t="str">
            <v>반단면버럭처리</v>
          </cell>
          <cell r="F1535" t="str">
            <v>(상부,표준단면-4)</v>
          </cell>
          <cell r="G1535" t="str">
            <v>㎥</v>
          </cell>
          <cell r="I1535">
            <v>0</v>
          </cell>
        </row>
        <row r="1536">
          <cell r="A1536" t="str">
            <v>D00718</v>
          </cell>
          <cell r="B1536">
            <v>5429</v>
          </cell>
          <cell r="C1536" t="str">
            <v>-1-b</v>
          </cell>
          <cell r="D1536">
            <v>14551905</v>
          </cell>
          <cell r="E1536" t="str">
            <v>반단면버럭처리</v>
          </cell>
          <cell r="F1536" t="str">
            <v>(하부,표준단면-4)</v>
          </cell>
          <cell r="G1536" t="str">
            <v>㎥</v>
          </cell>
          <cell r="I1536">
            <v>0</v>
          </cell>
        </row>
        <row r="1537">
          <cell r="A1537" t="str">
            <v>E1</v>
          </cell>
          <cell r="B1537">
            <v>0</v>
          </cell>
          <cell r="C1537" t="str">
            <v>소계</v>
          </cell>
          <cell r="D1537">
            <v>14551906</v>
          </cell>
          <cell r="I1537">
            <v>0</v>
          </cell>
        </row>
        <row r="1538">
          <cell r="A1538" t="str">
            <v>T1</v>
          </cell>
          <cell r="B1538">
            <v>1540</v>
          </cell>
          <cell r="C1538" t="str">
            <v>-2</v>
          </cell>
          <cell r="D1538">
            <v>14551970</v>
          </cell>
          <cell r="E1538" t="str">
            <v>표준단면-5</v>
          </cell>
          <cell r="F1538" t="str">
            <v>(포장 60 Cm)</v>
          </cell>
          <cell r="I1538">
            <v>0</v>
          </cell>
        </row>
        <row r="1539">
          <cell r="A1539" t="str">
            <v>D01038</v>
          </cell>
          <cell r="B1539">
            <v>9882</v>
          </cell>
          <cell r="C1539" t="str">
            <v>-2-a</v>
          </cell>
          <cell r="D1539">
            <v>14552034</v>
          </cell>
          <cell r="E1539" t="str">
            <v>반단면버럭처리(상부)</v>
          </cell>
          <cell r="F1539" t="str">
            <v>(표준단면-5, 60Cm)</v>
          </cell>
          <cell r="G1539" t="str">
            <v>㎥</v>
          </cell>
          <cell r="I1539">
            <v>0</v>
          </cell>
        </row>
        <row r="1540">
          <cell r="A1540" t="str">
            <v>D01039</v>
          </cell>
          <cell r="B1540">
            <v>8357</v>
          </cell>
          <cell r="C1540" t="str">
            <v>-2-b</v>
          </cell>
          <cell r="D1540">
            <v>14552035</v>
          </cell>
          <cell r="E1540" t="str">
            <v>반단면버럭처리(하부)</v>
          </cell>
          <cell r="F1540" t="str">
            <v>(표준단면-5, 60Cm)</v>
          </cell>
          <cell r="G1540" t="str">
            <v>㎥</v>
          </cell>
          <cell r="I1540">
            <v>0</v>
          </cell>
        </row>
        <row r="1541">
          <cell r="A1541" t="str">
            <v>E1</v>
          </cell>
          <cell r="B1541">
            <v>0</v>
          </cell>
          <cell r="C1541" t="str">
            <v>소계</v>
          </cell>
          <cell r="D1541">
            <v>14552067</v>
          </cell>
          <cell r="I1541">
            <v>0</v>
          </cell>
        </row>
        <row r="1542">
          <cell r="A1542" t="str">
            <v>T1</v>
          </cell>
          <cell r="B1542">
            <v>1544</v>
          </cell>
          <cell r="C1542" t="str">
            <v>-3</v>
          </cell>
          <cell r="D1542">
            <v>14552083</v>
          </cell>
          <cell r="E1542" t="str">
            <v>표준단면-5</v>
          </cell>
          <cell r="F1542" t="str">
            <v>(포장 80 Cm)</v>
          </cell>
          <cell r="I1542">
            <v>0</v>
          </cell>
        </row>
        <row r="1543">
          <cell r="A1543" t="str">
            <v>D01143</v>
          </cell>
          <cell r="B1543">
            <v>1437</v>
          </cell>
          <cell r="C1543" t="str">
            <v>-3-a</v>
          </cell>
          <cell r="D1543">
            <v>14552099</v>
          </cell>
          <cell r="E1543" t="str">
            <v>반단면버럭처리(상부)</v>
          </cell>
          <cell r="F1543" t="str">
            <v>(표준단면-5, 80Cm)</v>
          </cell>
          <cell r="G1543" t="str">
            <v>㎥</v>
          </cell>
          <cell r="I1543">
            <v>0</v>
          </cell>
        </row>
        <row r="1544">
          <cell r="A1544" t="str">
            <v>D01144</v>
          </cell>
          <cell r="B1544">
            <v>1254</v>
          </cell>
          <cell r="C1544" t="str">
            <v>-3-b</v>
          </cell>
          <cell r="D1544">
            <v>14552131</v>
          </cell>
          <cell r="E1544" t="str">
            <v>반단면버럭처리(하부)</v>
          </cell>
          <cell r="F1544" t="str">
            <v>(표준단면-5, 80Cm)</v>
          </cell>
          <cell r="G1544" t="str">
            <v>㎥</v>
          </cell>
          <cell r="I1544">
            <v>0</v>
          </cell>
        </row>
        <row r="1545">
          <cell r="A1545" t="str">
            <v>E1</v>
          </cell>
          <cell r="B1545">
            <v>0</v>
          </cell>
          <cell r="C1545" t="str">
            <v>소계</v>
          </cell>
          <cell r="D1545">
            <v>14552139</v>
          </cell>
          <cell r="I1545">
            <v>0</v>
          </cell>
        </row>
        <row r="1546">
          <cell r="A1546" t="str">
            <v>T1</v>
          </cell>
          <cell r="B1546">
            <v>1548</v>
          </cell>
          <cell r="C1546" t="str">
            <v>-4</v>
          </cell>
          <cell r="D1546">
            <v>14552143</v>
          </cell>
          <cell r="E1546" t="str">
            <v>표준단면-6</v>
          </cell>
          <cell r="F1546" t="str">
            <v>(포장 60 Cm)</v>
          </cell>
          <cell r="I1546">
            <v>0</v>
          </cell>
        </row>
        <row r="1547">
          <cell r="A1547" t="str">
            <v>D01145</v>
          </cell>
          <cell r="B1547">
            <v>6468</v>
          </cell>
          <cell r="C1547" t="str">
            <v>-4-a</v>
          </cell>
          <cell r="D1547">
            <v>14552147</v>
          </cell>
          <cell r="E1547" t="str">
            <v>반단면버럭처리(상부)</v>
          </cell>
          <cell r="F1547" t="str">
            <v>(표준단면-6, 60Cm)</v>
          </cell>
          <cell r="G1547" t="str">
            <v>㎥</v>
          </cell>
          <cell r="I1547">
            <v>0</v>
          </cell>
        </row>
        <row r="1548">
          <cell r="A1548" t="str">
            <v>D01146</v>
          </cell>
          <cell r="B1548">
            <v>5470</v>
          </cell>
          <cell r="C1548" t="str">
            <v>-4-b</v>
          </cell>
          <cell r="D1548">
            <v>14552155</v>
          </cell>
          <cell r="E1548" t="str">
            <v>반단면버럭처리(하부)</v>
          </cell>
          <cell r="F1548" t="str">
            <v>(표준단면-6, 60Cm)</v>
          </cell>
          <cell r="G1548" t="str">
            <v>㎥</v>
          </cell>
          <cell r="I1548">
            <v>0</v>
          </cell>
        </row>
        <row r="1549">
          <cell r="A1549" t="str">
            <v>E1</v>
          </cell>
          <cell r="B1549">
            <v>0</v>
          </cell>
          <cell r="C1549" t="str">
            <v>소계</v>
          </cell>
          <cell r="D1549">
            <v>14552157</v>
          </cell>
          <cell r="I1549">
            <v>0</v>
          </cell>
        </row>
        <row r="1550">
          <cell r="A1550" t="str">
            <v>T1</v>
          </cell>
          <cell r="B1550">
            <v>1552</v>
          </cell>
          <cell r="C1550" t="str">
            <v>-5</v>
          </cell>
          <cell r="D1550">
            <v>14552158</v>
          </cell>
          <cell r="E1550" t="str">
            <v>표준단면-6</v>
          </cell>
          <cell r="F1550" t="str">
            <v>(포장 80 Cm)</v>
          </cell>
          <cell r="I1550">
            <v>0</v>
          </cell>
        </row>
        <row r="1551">
          <cell r="A1551" t="str">
            <v>D03712</v>
          </cell>
          <cell r="B1551">
            <v>2695</v>
          </cell>
          <cell r="C1551" t="str">
            <v>-5-a</v>
          </cell>
          <cell r="D1551">
            <v>14552159</v>
          </cell>
          <cell r="E1551" t="str">
            <v>반단면버럭처리(상부)</v>
          </cell>
          <cell r="F1551" t="str">
            <v>(표준단면-6, 80Cm)</v>
          </cell>
          <cell r="G1551" t="str">
            <v>㎥</v>
          </cell>
          <cell r="I1551">
            <v>0</v>
          </cell>
        </row>
        <row r="1552">
          <cell r="A1552" t="str">
            <v>D03713</v>
          </cell>
          <cell r="B1552">
            <v>2351</v>
          </cell>
          <cell r="C1552" t="str">
            <v>-5-b</v>
          </cell>
          <cell r="D1552">
            <v>14552223</v>
          </cell>
          <cell r="E1552" t="str">
            <v>반단면버럭처리(하부)</v>
          </cell>
          <cell r="F1552" t="str">
            <v>(표준단면-6, 80Cm)</v>
          </cell>
          <cell r="G1552" t="str">
            <v>㎥</v>
          </cell>
          <cell r="I1552">
            <v>0</v>
          </cell>
        </row>
        <row r="1553">
          <cell r="A1553" t="str">
            <v>E1</v>
          </cell>
          <cell r="B1553">
            <v>0</v>
          </cell>
          <cell r="C1553" t="str">
            <v>소계</v>
          </cell>
          <cell r="D1553">
            <v>14552255</v>
          </cell>
          <cell r="I1553">
            <v>0</v>
          </cell>
        </row>
        <row r="1554">
          <cell r="A1554" t="str">
            <v>E2</v>
          </cell>
          <cell r="B1554">
            <v>0</v>
          </cell>
          <cell r="C1554" t="str">
            <v>계</v>
          </cell>
          <cell r="D1554">
            <v>14552263</v>
          </cell>
          <cell r="I1554">
            <v>0</v>
          </cell>
        </row>
        <row r="1555">
          <cell r="A1555" t="str">
            <v>T2</v>
          </cell>
          <cell r="B1555">
            <v>1557</v>
          </cell>
          <cell r="C1555" t="str">
            <v>c</v>
          </cell>
          <cell r="D1555">
            <v>14552271</v>
          </cell>
          <cell r="E1555" t="str">
            <v>숏크리트버럭처리</v>
          </cell>
          <cell r="I1555">
            <v>0</v>
          </cell>
        </row>
        <row r="1556">
          <cell r="A1556" t="str">
            <v>D00719</v>
          </cell>
          <cell r="B1556">
            <v>935</v>
          </cell>
          <cell r="C1556" t="str">
            <v>-1</v>
          </cell>
          <cell r="D1556">
            <v>14552287</v>
          </cell>
          <cell r="E1556" t="str">
            <v>숏크리트 버럭처리</v>
          </cell>
          <cell r="F1556" t="str">
            <v>(갱  내)</v>
          </cell>
          <cell r="G1556" t="str">
            <v>㎥</v>
          </cell>
          <cell r="I1556">
            <v>0</v>
          </cell>
        </row>
        <row r="1557">
          <cell r="A1557" t="str">
            <v>D01147</v>
          </cell>
          <cell r="B1557">
            <v>10</v>
          </cell>
          <cell r="C1557" t="str">
            <v>-2</v>
          </cell>
          <cell r="D1557">
            <v>14552289</v>
          </cell>
          <cell r="E1557" t="str">
            <v>숏크리트 버럭처리</v>
          </cell>
          <cell r="F1557" t="str">
            <v>(갱구부)</v>
          </cell>
          <cell r="G1557" t="str">
            <v>㎥</v>
          </cell>
          <cell r="I1557">
            <v>0</v>
          </cell>
        </row>
        <row r="1558">
          <cell r="A1558" t="str">
            <v>E2</v>
          </cell>
          <cell r="B1558">
            <v>0</v>
          </cell>
          <cell r="C1558" t="str">
            <v>계</v>
          </cell>
          <cell r="D1558">
            <v>14552290</v>
          </cell>
          <cell r="I1558">
            <v>0</v>
          </cell>
        </row>
        <row r="1559">
          <cell r="A1559" t="str">
            <v>E3</v>
          </cell>
          <cell r="B1559">
            <v>0</v>
          </cell>
          <cell r="C1559" t="str">
            <v>합계</v>
          </cell>
          <cell r="D1559">
            <v>14552322</v>
          </cell>
          <cell r="I1559">
            <v>0</v>
          </cell>
        </row>
        <row r="1560">
          <cell r="A1560" t="str">
            <v>T3</v>
          </cell>
          <cell r="B1560">
            <v>1573</v>
          </cell>
          <cell r="C1560" t="str">
            <v>4.03</v>
          </cell>
          <cell r="D1560">
            <v>14552354</v>
          </cell>
          <cell r="E1560" t="str">
            <v>지  보  공</v>
          </cell>
          <cell r="I1560">
            <v>0</v>
          </cell>
        </row>
        <row r="1561">
          <cell r="A1561" t="str">
            <v>T2</v>
          </cell>
          <cell r="B1561">
            <v>1564</v>
          </cell>
          <cell r="C1561" t="str">
            <v>a</v>
          </cell>
          <cell r="D1561">
            <v>14552387</v>
          </cell>
          <cell r="E1561" t="str">
            <v>강지보공</v>
          </cell>
          <cell r="I1561">
            <v>0</v>
          </cell>
        </row>
        <row r="1562">
          <cell r="A1562" t="str">
            <v>D01042</v>
          </cell>
          <cell r="B1562">
            <v>96</v>
          </cell>
          <cell r="C1562" t="str">
            <v>-1</v>
          </cell>
          <cell r="D1562">
            <v>14552419</v>
          </cell>
          <cell r="E1562" t="str">
            <v>STEEL RIB</v>
          </cell>
          <cell r="F1562" t="str">
            <v>(표준단면-4)</v>
          </cell>
          <cell r="G1562" t="str">
            <v>SET</v>
          </cell>
          <cell r="I1562">
            <v>0</v>
          </cell>
        </row>
        <row r="1563">
          <cell r="A1563" t="str">
            <v>D00738</v>
          </cell>
          <cell r="B1563">
            <v>210</v>
          </cell>
          <cell r="C1563" t="str">
            <v>-2</v>
          </cell>
          <cell r="D1563">
            <v>14552483</v>
          </cell>
          <cell r="E1563" t="str">
            <v>STEEL RIB</v>
          </cell>
          <cell r="F1563" t="str">
            <v>(표준단면-5)</v>
          </cell>
          <cell r="G1563" t="str">
            <v>SET</v>
          </cell>
          <cell r="I1563">
            <v>0</v>
          </cell>
        </row>
        <row r="1564">
          <cell r="A1564" t="str">
            <v>D01041</v>
          </cell>
          <cell r="B1564">
            <v>340</v>
          </cell>
          <cell r="C1564" t="str">
            <v>-3</v>
          </cell>
          <cell r="D1564">
            <v>14552515</v>
          </cell>
          <cell r="E1564" t="str">
            <v>STEEL RIB</v>
          </cell>
          <cell r="F1564" t="str">
            <v>(표준단면-6)</v>
          </cell>
          <cell r="G1564" t="str">
            <v>SET</v>
          </cell>
          <cell r="I1564">
            <v>0</v>
          </cell>
        </row>
        <row r="1565">
          <cell r="A1565" t="str">
            <v>E2</v>
          </cell>
          <cell r="B1565">
            <v>0</v>
          </cell>
          <cell r="C1565" t="str">
            <v>계</v>
          </cell>
          <cell r="D1565">
            <v>14552523</v>
          </cell>
          <cell r="I1565">
            <v>0</v>
          </cell>
        </row>
        <row r="1566">
          <cell r="A1566" t="str">
            <v>T2</v>
          </cell>
          <cell r="B1566">
            <v>1572</v>
          </cell>
          <cell r="C1566" t="str">
            <v>b</v>
          </cell>
          <cell r="D1566">
            <v>14552527</v>
          </cell>
          <cell r="E1566" t="str">
            <v>숏크리트공</v>
          </cell>
          <cell r="I1566">
            <v>0</v>
          </cell>
        </row>
        <row r="1567">
          <cell r="A1567" t="str">
            <v>D00727</v>
          </cell>
          <cell r="B1567">
            <v>162</v>
          </cell>
          <cell r="C1567" t="str">
            <v>-1</v>
          </cell>
          <cell r="D1567">
            <v>14552539</v>
          </cell>
          <cell r="E1567" t="str">
            <v>숏크리트</v>
          </cell>
          <cell r="F1567" t="str">
            <v>(표준단면-2)</v>
          </cell>
          <cell r="G1567" t="str">
            <v>㎥</v>
          </cell>
          <cell r="I1567">
            <v>0</v>
          </cell>
        </row>
        <row r="1568">
          <cell r="A1568" t="str">
            <v>D00728</v>
          </cell>
          <cell r="B1568">
            <v>968</v>
          </cell>
          <cell r="C1568" t="str">
            <v>-2</v>
          </cell>
          <cell r="D1568">
            <v>14552543</v>
          </cell>
          <cell r="E1568" t="str">
            <v>숏크리트</v>
          </cell>
          <cell r="F1568" t="str">
            <v>(표준단면-3)</v>
          </cell>
          <cell r="G1568" t="str">
            <v>㎥</v>
          </cell>
          <cell r="I1568">
            <v>0</v>
          </cell>
        </row>
        <row r="1569">
          <cell r="A1569" t="str">
            <v>D01044</v>
          </cell>
          <cell r="B1569">
            <v>866</v>
          </cell>
          <cell r="C1569" t="str">
            <v>-3</v>
          </cell>
          <cell r="D1569">
            <v>14552545</v>
          </cell>
          <cell r="E1569" t="str">
            <v>숏크리트</v>
          </cell>
          <cell r="F1569" t="str">
            <v>(표준단면-4)</v>
          </cell>
          <cell r="G1569" t="str">
            <v>㎥</v>
          </cell>
          <cell r="I1569">
            <v>0</v>
          </cell>
        </row>
        <row r="1570">
          <cell r="A1570" t="str">
            <v>D00741</v>
          </cell>
          <cell r="B1570">
            <v>1841</v>
          </cell>
          <cell r="C1570" t="str">
            <v>-4</v>
          </cell>
          <cell r="D1570">
            <v>14552546</v>
          </cell>
          <cell r="E1570" t="str">
            <v>숏크리트</v>
          </cell>
          <cell r="F1570" t="str">
            <v>(표준단면-5)</v>
          </cell>
          <cell r="G1570" t="str">
            <v>㎥</v>
          </cell>
          <cell r="I1570">
            <v>0</v>
          </cell>
        </row>
        <row r="1571">
          <cell r="A1571" t="str">
            <v>D01045</v>
          </cell>
          <cell r="B1571">
            <v>1518</v>
          </cell>
          <cell r="C1571" t="str">
            <v>-5</v>
          </cell>
          <cell r="D1571">
            <v>14552547</v>
          </cell>
          <cell r="E1571" t="str">
            <v>숏크리트</v>
          </cell>
          <cell r="F1571" t="str">
            <v>(표준단면-6)</v>
          </cell>
          <cell r="G1571" t="str">
            <v>㎥</v>
          </cell>
          <cell r="I1571">
            <v>0</v>
          </cell>
        </row>
        <row r="1572">
          <cell r="A1572" t="str">
            <v>D00729</v>
          </cell>
          <cell r="B1572">
            <v>95</v>
          </cell>
          <cell r="C1572" t="str">
            <v>-6</v>
          </cell>
          <cell r="D1572">
            <v>14552611</v>
          </cell>
          <cell r="E1572" t="str">
            <v>숏크리트</v>
          </cell>
          <cell r="F1572" t="str">
            <v>(갱구부)</v>
          </cell>
          <cell r="G1572" t="str">
            <v>㎥</v>
          </cell>
          <cell r="I1572">
            <v>0</v>
          </cell>
        </row>
        <row r="1573">
          <cell r="A1573" t="str">
            <v>E2</v>
          </cell>
          <cell r="B1573">
            <v>0</v>
          </cell>
          <cell r="C1573" t="str">
            <v>계</v>
          </cell>
          <cell r="D1573">
            <v>14552627</v>
          </cell>
          <cell r="I1573">
            <v>0</v>
          </cell>
        </row>
        <row r="1574">
          <cell r="A1574" t="str">
            <v>E3</v>
          </cell>
          <cell r="B1574">
            <v>0</v>
          </cell>
          <cell r="C1574" t="str">
            <v>합계</v>
          </cell>
          <cell r="D1574">
            <v>14552635</v>
          </cell>
          <cell r="I1574">
            <v>0</v>
          </cell>
        </row>
        <row r="1575">
          <cell r="A1575" t="str">
            <v>T3</v>
          </cell>
          <cell r="B1575">
            <v>1610</v>
          </cell>
          <cell r="C1575" t="str">
            <v>4.04</v>
          </cell>
          <cell r="D1575">
            <v>14552639</v>
          </cell>
          <cell r="E1575" t="str">
            <v>락볼트공</v>
          </cell>
          <cell r="I1575">
            <v>0</v>
          </cell>
        </row>
        <row r="1576">
          <cell r="A1576" t="str">
            <v>T2</v>
          </cell>
          <cell r="B1576">
            <v>1578</v>
          </cell>
          <cell r="C1576" t="str">
            <v>a</v>
          </cell>
          <cell r="D1576">
            <v>14552653</v>
          </cell>
          <cell r="E1576" t="str">
            <v>표준단면-2</v>
          </cell>
          <cell r="I1576">
            <v>0</v>
          </cell>
        </row>
        <row r="1577">
          <cell r="A1577" t="str">
            <v>D00387</v>
          </cell>
          <cell r="B1577">
            <v>170</v>
          </cell>
          <cell r="C1577" t="str">
            <v>-1</v>
          </cell>
          <cell r="D1577">
            <v>14552667</v>
          </cell>
          <cell r="E1577" t="str">
            <v>락볼트공(상부)</v>
          </cell>
          <cell r="F1577" t="str">
            <v>(표준단면-2)</v>
          </cell>
          <cell r="G1577" t="str">
            <v>SET</v>
          </cell>
          <cell r="I1577">
            <v>0</v>
          </cell>
        </row>
        <row r="1578">
          <cell r="A1578" t="str">
            <v>D00388</v>
          </cell>
          <cell r="B1578">
            <v>40</v>
          </cell>
          <cell r="C1578" t="str">
            <v>-2</v>
          </cell>
          <cell r="D1578">
            <v>14552671</v>
          </cell>
          <cell r="E1578" t="str">
            <v>락볼트공(측벽)</v>
          </cell>
          <cell r="F1578" t="str">
            <v>(표준단면-2)</v>
          </cell>
          <cell r="G1578" t="str">
            <v>SET</v>
          </cell>
          <cell r="I1578">
            <v>0</v>
          </cell>
        </row>
        <row r="1579">
          <cell r="A1579" t="str">
            <v>E2</v>
          </cell>
          <cell r="B1579">
            <v>0</v>
          </cell>
          <cell r="C1579" t="str">
            <v>계</v>
          </cell>
          <cell r="D1579">
            <v>14552672</v>
          </cell>
          <cell r="I1579">
            <v>0</v>
          </cell>
        </row>
        <row r="1580">
          <cell r="A1580" t="str">
            <v>T2</v>
          </cell>
          <cell r="B1580">
            <v>1582</v>
          </cell>
          <cell r="C1580" t="str">
            <v>b</v>
          </cell>
          <cell r="D1580">
            <v>14552673</v>
          </cell>
          <cell r="E1580" t="str">
            <v>표준단면-3</v>
          </cell>
          <cell r="I1580">
            <v>0</v>
          </cell>
        </row>
        <row r="1581">
          <cell r="A1581" t="str">
            <v>D00749</v>
          </cell>
          <cell r="B1581">
            <v>977</v>
          </cell>
          <cell r="C1581" t="str">
            <v>-1</v>
          </cell>
          <cell r="D1581">
            <v>14552801</v>
          </cell>
          <cell r="E1581" t="str">
            <v>락볼트공(상부)</v>
          </cell>
          <cell r="F1581" t="str">
            <v>(표준단면-3)</v>
          </cell>
          <cell r="G1581" t="str">
            <v>SET</v>
          </cell>
          <cell r="I1581">
            <v>0</v>
          </cell>
        </row>
        <row r="1582">
          <cell r="A1582" t="str">
            <v>D00748</v>
          </cell>
          <cell r="B1582">
            <v>690</v>
          </cell>
          <cell r="C1582" t="str">
            <v>-2</v>
          </cell>
          <cell r="D1582">
            <v>14552802</v>
          </cell>
          <cell r="E1582" t="str">
            <v>락볼트공(하부)</v>
          </cell>
          <cell r="F1582" t="str">
            <v>(표준단면-3)</v>
          </cell>
          <cell r="G1582" t="str">
            <v>SET</v>
          </cell>
          <cell r="I1582">
            <v>0</v>
          </cell>
        </row>
        <row r="1583">
          <cell r="A1583" t="str">
            <v>E2</v>
          </cell>
          <cell r="B1583">
            <v>0</v>
          </cell>
          <cell r="C1583" t="str">
            <v>계</v>
          </cell>
          <cell r="D1583">
            <v>14552803</v>
          </cell>
          <cell r="I1583">
            <v>0</v>
          </cell>
        </row>
        <row r="1584">
          <cell r="A1584" t="str">
            <v>T2</v>
          </cell>
          <cell r="B1584">
            <v>1586</v>
          </cell>
          <cell r="C1584" t="str">
            <v>c</v>
          </cell>
          <cell r="D1584">
            <v>14552867</v>
          </cell>
          <cell r="E1584" t="str">
            <v>표준단면-4</v>
          </cell>
          <cell r="I1584">
            <v>0</v>
          </cell>
        </row>
        <row r="1585">
          <cell r="A1585" t="str">
            <v>D00747</v>
          </cell>
          <cell r="B1585">
            <v>816</v>
          </cell>
          <cell r="C1585" t="str">
            <v>-1</v>
          </cell>
          <cell r="D1585">
            <v>14552931</v>
          </cell>
          <cell r="E1585" t="str">
            <v>락볼트공(상부)</v>
          </cell>
          <cell r="F1585" t="str">
            <v>(표준단면-4)</v>
          </cell>
          <cell r="G1585" t="str">
            <v>SET</v>
          </cell>
          <cell r="I1585">
            <v>0</v>
          </cell>
        </row>
        <row r="1586">
          <cell r="A1586" t="str">
            <v>D00750</v>
          </cell>
          <cell r="B1586">
            <v>576</v>
          </cell>
          <cell r="C1586" t="str">
            <v>-2</v>
          </cell>
          <cell r="D1586">
            <v>14552995</v>
          </cell>
          <cell r="E1586" t="str">
            <v>락볼트공(하부)</v>
          </cell>
          <cell r="F1586" t="str">
            <v>(표준단면-4)</v>
          </cell>
          <cell r="G1586" t="str">
            <v>SET</v>
          </cell>
          <cell r="I1586">
            <v>0</v>
          </cell>
        </row>
        <row r="1587">
          <cell r="A1587" t="str">
            <v>E2</v>
          </cell>
          <cell r="B1587">
            <v>0</v>
          </cell>
          <cell r="C1587" t="str">
            <v>계</v>
          </cell>
          <cell r="D1587">
            <v>14553011</v>
          </cell>
          <cell r="I1587">
            <v>0</v>
          </cell>
        </row>
        <row r="1588">
          <cell r="A1588" t="str">
            <v>T2</v>
          </cell>
          <cell r="B1588">
            <v>1590</v>
          </cell>
          <cell r="C1588" t="str">
            <v>d</v>
          </cell>
          <cell r="D1588">
            <v>14553019</v>
          </cell>
          <cell r="E1588" t="str">
            <v>표준단면-5</v>
          </cell>
          <cell r="I1588">
            <v>0</v>
          </cell>
        </row>
        <row r="1589">
          <cell r="A1589" t="str">
            <v>D01046</v>
          </cell>
          <cell r="B1589">
            <v>1785</v>
          </cell>
          <cell r="C1589" t="str">
            <v>-1</v>
          </cell>
          <cell r="D1589">
            <v>14553027</v>
          </cell>
          <cell r="E1589" t="str">
            <v>락볼트공(상부)</v>
          </cell>
          <cell r="F1589" t="str">
            <v>(표준단면-5)</v>
          </cell>
          <cell r="G1589" t="str">
            <v>SET</v>
          </cell>
          <cell r="I1589">
            <v>0</v>
          </cell>
        </row>
        <row r="1590">
          <cell r="A1590" t="str">
            <v>D01047</v>
          </cell>
          <cell r="B1590">
            <v>1260</v>
          </cell>
          <cell r="C1590" t="str">
            <v>-2</v>
          </cell>
          <cell r="D1590">
            <v>14553043</v>
          </cell>
          <cell r="E1590" t="str">
            <v>락볼트공(측벽)</v>
          </cell>
          <cell r="F1590" t="str">
            <v>(표준단면-5)</v>
          </cell>
          <cell r="G1590" t="str">
            <v>SET</v>
          </cell>
          <cell r="I1590">
            <v>0</v>
          </cell>
        </row>
        <row r="1591">
          <cell r="A1591" t="str">
            <v>E2</v>
          </cell>
          <cell r="B1591">
            <v>0</v>
          </cell>
          <cell r="C1591" t="str">
            <v>계</v>
          </cell>
          <cell r="D1591">
            <v>14553047</v>
          </cell>
          <cell r="I1591">
            <v>0</v>
          </cell>
        </row>
        <row r="1592">
          <cell r="A1592" t="str">
            <v>T2</v>
          </cell>
          <cell r="B1592">
            <v>1594</v>
          </cell>
          <cell r="C1592" t="str">
            <v>e</v>
          </cell>
          <cell r="D1592">
            <v>14553049</v>
          </cell>
          <cell r="E1592" t="str">
            <v>표준단면-6</v>
          </cell>
          <cell r="I1592">
            <v>0</v>
          </cell>
        </row>
        <row r="1593">
          <cell r="A1593" t="str">
            <v>D03717</v>
          </cell>
          <cell r="B1593">
            <v>1445</v>
          </cell>
          <cell r="C1593" t="str">
            <v>-1</v>
          </cell>
          <cell r="D1593">
            <v>14553114</v>
          </cell>
          <cell r="E1593" t="str">
            <v>락볼트공(상부)</v>
          </cell>
          <cell r="F1593" t="str">
            <v>(표준단면-6)</v>
          </cell>
          <cell r="G1593" t="str">
            <v>SET</v>
          </cell>
          <cell r="I1593">
            <v>0</v>
          </cell>
        </row>
        <row r="1594">
          <cell r="A1594" t="str">
            <v>D03718</v>
          </cell>
          <cell r="B1594">
            <v>1020</v>
          </cell>
          <cell r="C1594" t="str">
            <v>-2</v>
          </cell>
          <cell r="D1594">
            <v>14553147</v>
          </cell>
          <cell r="E1594" t="str">
            <v>락볼트공(측벽)</v>
          </cell>
          <cell r="F1594" t="str">
            <v>(표준단면-6)</v>
          </cell>
          <cell r="G1594" t="str">
            <v>SET</v>
          </cell>
          <cell r="I1594">
            <v>0</v>
          </cell>
        </row>
        <row r="1595">
          <cell r="A1595" t="str">
            <v>E2</v>
          </cell>
          <cell r="B1595">
            <v>0</v>
          </cell>
          <cell r="C1595" t="str">
            <v>계</v>
          </cell>
          <cell r="D1595">
            <v>14553163</v>
          </cell>
          <cell r="I1595">
            <v>0</v>
          </cell>
        </row>
        <row r="1596">
          <cell r="A1596" t="str">
            <v>T2</v>
          </cell>
          <cell r="B1596">
            <v>1598</v>
          </cell>
          <cell r="C1596" t="str">
            <v>f</v>
          </cell>
          <cell r="D1596">
            <v>14553171</v>
          </cell>
          <cell r="E1596" t="str">
            <v>락볼트공</v>
          </cell>
          <cell r="I1596">
            <v>0</v>
          </cell>
        </row>
        <row r="1597">
          <cell r="A1597" t="str">
            <v>D00751</v>
          </cell>
          <cell r="B1597">
            <v>1313</v>
          </cell>
          <cell r="C1597" t="str">
            <v>-1</v>
          </cell>
          <cell r="D1597">
            <v>14553179</v>
          </cell>
          <cell r="E1597" t="str">
            <v>락볼트공</v>
          </cell>
          <cell r="F1597" t="str">
            <v>(갱구부 L=5 M)</v>
          </cell>
          <cell r="G1597" t="str">
            <v>조</v>
          </cell>
          <cell r="I1597">
            <v>0</v>
          </cell>
        </row>
        <row r="1598">
          <cell r="A1598" t="str">
            <v>D03864</v>
          </cell>
          <cell r="B1598">
            <v>144</v>
          </cell>
          <cell r="C1598" t="str">
            <v>-2</v>
          </cell>
          <cell r="D1598">
            <v>14553180</v>
          </cell>
          <cell r="E1598" t="str">
            <v>락볼트공</v>
          </cell>
          <cell r="F1598" t="str">
            <v>(갱구부 L=7 M)</v>
          </cell>
          <cell r="G1598" t="str">
            <v>조</v>
          </cell>
          <cell r="I1598">
            <v>0</v>
          </cell>
        </row>
        <row r="1599">
          <cell r="A1599" t="str">
            <v>E2</v>
          </cell>
          <cell r="B1599">
            <v>0</v>
          </cell>
          <cell r="C1599" t="str">
            <v>계</v>
          </cell>
          <cell r="D1599">
            <v>14553181</v>
          </cell>
          <cell r="I1599">
            <v>0</v>
          </cell>
        </row>
        <row r="1600">
          <cell r="A1600" t="str">
            <v>T2</v>
          </cell>
          <cell r="B1600">
            <v>1606</v>
          </cell>
          <cell r="C1600" t="str">
            <v>g</v>
          </cell>
          <cell r="D1600">
            <v>14553309</v>
          </cell>
          <cell r="E1600" t="str">
            <v>강관다단그라우팅</v>
          </cell>
          <cell r="I1600">
            <v>0</v>
          </cell>
        </row>
        <row r="1601">
          <cell r="A1601" t="str">
            <v>T1</v>
          </cell>
          <cell r="B1601">
            <v>1602</v>
          </cell>
          <cell r="C1601" t="str">
            <v>-1</v>
          </cell>
          <cell r="D1601">
            <v>14553310</v>
          </cell>
          <cell r="E1601" t="str">
            <v>갱 구 부</v>
          </cell>
          <cell r="F1601" t="str">
            <v>(L=16.06 M/공)</v>
          </cell>
          <cell r="I1601">
            <v>0</v>
          </cell>
        </row>
        <row r="1602">
          <cell r="A1602" t="str">
            <v>D03722</v>
          </cell>
          <cell r="B1602">
            <v>276</v>
          </cell>
          <cell r="C1602" t="str">
            <v>-1-a</v>
          </cell>
          <cell r="D1602">
            <v>14553311</v>
          </cell>
          <cell r="E1602" t="str">
            <v>갱구부강관다단그라우</v>
          </cell>
          <cell r="F1602" t="str">
            <v>팅(풍화암)</v>
          </cell>
          <cell r="G1602" t="str">
            <v>공</v>
          </cell>
          <cell r="I1602">
            <v>0</v>
          </cell>
        </row>
        <row r="1603">
          <cell r="A1603" t="str">
            <v>E1</v>
          </cell>
          <cell r="B1603">
            <v>0</v>
          </cell>
          <cell r="C1603" t="str">
            <v>소계</v>
          </cell>
          <cell r="D1603">
            <v>14553415</v>
          </cell>
          <cell r="I1603">
            <v>0</v>
          </cell>
        </row>
        <row r="1604">
          <cell r="A1604" t="str">
            <v>T1</v>
          </cell>
          <cell r="B1604">
            <v>1605</v>
          </cell>
          <cell r="C1604" t="str">
            <v>-2</v>
          </cell>
          <cell r="D1604">
            <v>14553423</v>
          </cell>
          <cell r="E1604" t="str">
            <v>갱    내</v>
          </cell>
          <cell r="F1604" t="str">
            <v>(L=16.25 M/공)</v>
          </cell>
          <cell r="I1604">
            <v>0</v>
          </cell>
        </row>
        <row r="1605">
          <cell r="A1605" t="str">
            <v>D03721</v>
          </cell>
          <cell r="B1605">
            <v>638</v>
          </cell>
          <cell r="C1605" t="str">
            <v>-2-a</v>
          </cell>
          <cell r="D1605">
            <v>14553431</v>
          </cell>
          <cell r="E1605" t="str">
            <v>갱내강관다단그라우팅</v>
          </cell>
          <cell r="F1605" t="str">
            <v>(풍화암)</v>
          </cell>
          <cell r="G1605" t="str">
            <v>공</v>
          </cell>
          <cell r="I1605">
            <v>0</v>
          </cell>
        </row>
        <row r="1606">
          <cell r="A1606" t="str">
            <v>E1</v>
          </cell>
          <cell r="B1606">
            <v>0</v>
          </cell>
          <cell r="C1606" t="str">
            <v>소계</v>
          </cell>
          <cell r="D1606">
            <v>14553438</v>
          </cell>
          <cell r="I1606">
            <v>0</v>
          </cell>
        </row>
        <row r="1607">
          <cell r="A1607" t="str">
            <v>E2</v>
          </cell>
          <cell r="B1607">
            <v>0</v>
          </cell>
          <cell r="C1607" t="str">
            <v>계</v>
          </cell>
          <cell r="D1607">
            <v>14553439</v>
          </cell>
          <cell r="I1607">
            <v>0</v>
          </cell>
        </row>
        <row r="1608">
          <cell r="A1608" t="str">
            <v>D03736</v>
          </cell>
          <cell r="B1608">
            <v>275</v>
          </cell>
          <cell r="C1608" t="str">
            <v>h</v>
          </cell>
          <cell r="D1608">
            <v>14553504</v>
          </cell>
          <cell r="E1608" t="str">
            <v>FORE POLING</v>
          </cell>
          <cell r="G1608" t="str">
            <v>공</v>
          </cell>
          <cell r="I1608">
            <v>0</v>
          </cell>
        </row>
        <row r="1609">
          <cell r="A1609" t="str">
            <v>D00753</v>
          </cell>
          <cell r="B1609">
            <v>15</v>
          </cell>
          <cell r="C1609" t="str">
            <v>i</v>
          </cell>
          <cell r="D1609">
            <v>14553569</v>
          </cell>
          <cell r="E1609" t="str">
            <v>PRE GROUTING</v>
          </cell>
          <cell r="G1609" t="str">
            <v>개소</v>
          </cell>
          <cell r="I1609">
            <v>0</v>
          </cell>
        </row>
        <row r="1610">
          <cell r="A1610" t="str">
            <v>D03850</v>
          </cell>
          <cell r="B1610">
            <v>216</v>
          </cell>
          <cell r="C1610" t="str">
            <v>j</v>
          </cell>
          <cell r="D1610">
            <v>14553570</v>
          </cell>
          <cell r="E1610" t="str">
            <v>Soil Nailing</v>
          </cell>
          <cell r="G1610" t="str">
            <v>공</v>
          </cell>
          <cell r="I1610">
            <v>0</v>
          </cell>
        </row>
        <row r="1611">
          <cell r="A1611" t="str">
            <v>E3</v>
          </cell>
          <cell r="B1611">
            <v>0</v>
          </cell>
          <cell r="C1611" t="str">
            <v>합계</v>
          </cell>
          <cell r="D1611">
            <v>14553698</v>
          </cell>
          <cell r="I1611">
            <v>0</v>
          </cell>
        </row>
        <row r="1612">
          <cell r="A1612" t="str">
            <v>T3</v>
          </cell>
          <cell r="B1612">
            <v>1615</v>
          </cell>
          <cell r="C1612" t="str">
            <v>4.05</v>
          </cell>
          <cell r="D1612">
            <v>14553762</v>
          </cell>
          <cell r="E1612" t="str">
            <v>방 수 공</v>
          </cell>
          <cell r="I1612">
            <v>0</v>
          </cell>
        </row>
        <row r="1613">
          <cell r="A1613" t="str">
            <v>D00754</v>
          </cell>
          <cell r="B1613">
            <v>37</v>
          </cell>
          <cell r="C1613" t="str">
            <v>a</v>
          </cell>
          <cell r="D1613">
            <v>14553826</v>
          </cell>
          <cell r="E1613" t="str">
            <v>방 수 공</v>
          </cell>
          <cell r="F1613" t="str">
            <v>(FILTER CONCRETE)</v>
          </cell>
          <cell r="G1613" t="str">
            <v>㎥</v>
          </cell>
          <cell r="I1613">
            <v>0</v>
          </cell>
        </row>
        <row r="1614">
          <cell r="A1614" t="str">
            <v>D00341</v>
          </cell>
          <cell r="B1614">
            <v>199</v>
          </cell>
          <cell r="C1614" t="str">
            <v>b</v>
          </cell>
          <cell r="D1614">
            <v>14553827</v>
          </cell>
          <cell r="E1614" t="str">
            <v>PVC PIPE 설치</v>
          </cell>
          <cell r="F1614" t="str">
            <v>(D=100 m/m)</v>
          </cell>
          <cell r="G1614" t="str">
            <v>M</v>
          </cell>
          <cell r="I1614">
            <v>0</v>
          </cell>
        </row>
        <row r="1615">
          <cell r="A1615" t="str">
            <v>D00756</v>
          </cell>
          <cell r="B1615">
            <v>21643</v>
          </cell>
          <cell r="C1615" t="str">
            <v>c</v>
          </cell>
          <cell r="D1615">
            <v>14553891</v>
          </cell>
          <cell r="E1615" t="str">
            <v>방  수  공(방수쉬트</v>
          </cell>
          <cell r="F1615" t="str">
            <v>및부직포설치)</v>
          </cell>
          <cell r="G1615" t="str">
            <v>㎡</v>
          </cell>
          <cell r="I1615">
            <v>0</v>
          </cell>
        </row>
        <row r="1616">
          <cell r="A1616" t="str">
            <v>E3</v>
          </cell>
          <cell r="B1616">
            <v>0</v>
          </cell>
          <cell r="C1616" t="str">
            <v>합계</v>
          </cell>
          <cell r="D1616">
            <v>14553907</v>
          </cell>
          <cell r="I1616">
            <v>0</v>
          </cell>
        </row>
        <row r="1617">
          <cell r="A1617" t="str">
            <v>T3</v>
          </cell>
          <cell r="B1617">
            <v>1632</v>
          </cell>
          <cell r="C1617" t="str">
            <v>4.06</v>
          </cell>
          <cell r="D1617">
            <v>14553915</v>
          </cell>
          <cell r="E1617" t="str">
            <v>배 수 공</v>
          </cell>
          <cell r="I1617">
            <v>0</v>
          </cell>
        </row>
        <row r="1618">
          <cell r="A1618" t="str">
            <v>D00757</v>
          </cell>
          <cell r="B1618">
            <v>691</v>
          </cell>
          <cell r="C1618" t="str">
            <v>a</v>
          </cell>
          <cell r="D1618">
            <v>14553923</v>
          </cell>
          <cell r="E1618" t="str">
            <v>배 수 공</v>
          </cell>
          <cell r="F1618" t="str">
            <v>(용수처리)</v>
          </cell>
          <cell r="G1618" t="str">
            <v>M</v>
          </cell>
          <cell r="I1618">
            <v>0</v>
          </cell>
        </row>
        <row r="1619">
          <cell r="A1619" t="str">
            <v>D01197</v>
          </cell>
          <cell r="B1619">
            <v>1812</v>
          </cell>
          <cell r="C1619" t="str">
            <v>b</v>
          </cell>
          <cell r="D1619">
            <v>14553939</v>
          </cell>
          <cell r="E1619" t="str">
            <v>유공관 부설</v>
          </cell>
          <cell r="F1619" t="str">
            <v>(T.H.P D=200)</v>
          </cell>
          <cell r="G1619" t="str">
            <v>M</v>
          </cell>
          <cell r="I1619">
            <v>0</v>
          </cell>
        </row>
        <row r="1620">
          <cell r="A1620" t="str">
            <v>D01198</v>
          </cell>
          <cell r="B1620">
            <v>1780</v>
          </cell>
          <cell r="C1620" t="str">
            <v>c</v>
          </cell>
          <cell r="D1620">
            <v>14553951</v>
          </cell>
          <cell r="E1620" t="str">
            <v>유공관 부설</v>
          </cell>
          <cell r="F1620" t="str">
            <v>(T.H.P D=100)</v>
          </cell>
          <cell r="G1620" t="str">
            <v>M</v>
          </cell>
          <cell r="I1620">
            <v>0</v>
          </cell>
        </row>
        <row r="1621">
          <cell r="A1621" t="str">
            <v>D00276</v>
          </cell>
          <cell r="B1621">
            <v>2856</v>
          </cell>
          <cell r="C1621" t="str">
            <v>d</v>
          </cell>
          <cell r="D1621">
            <v>14553953</v>
          </cell>
          <cell r="E1621" t="str">
            <v>합판거푸집</v>
          </cell>
          <cell r="F1621" t="str">
            <v>(3 회)</v>
          </cell>
          <cell r="G1621" t="str">
            <v>㎡</v>
          </cell>
          <cell r="I1621">
            <v>0</v>
          </cell>
        </row>
        <row r="1622">
          <cell r="A1622" t="str">
            <v>D00270</v>
          </cell>
          <cell r="B1622">
            <v>260.28500000000003</v>
          </cell>
          <cell r="C1622" t="str">
            <v>e</v>
          </cell>
          <cell r="D1622">
            <v>14553954</v>
          </cell>
          <cell r="E1622" t="str">
            <v>철근가공조립</v>
          </cell>
          <cell r="F1622" t="str">
            <v>(간 단)</v>
          </cell>
          <cell r="G1622" t="str">
            <v>Ton</v>
          </cell>
          <cell r="I1622">
            <v>0</v>
          </cell>
        </row>
        <row r="1623">
          <cell r="A1623" t="str">
            <v>D00235</v>
          </cell>
          <cell r="B1623">
            <v>1918</v>
          </cell>
          <cell r="C1623" t="str">
            <v>f</v>
          </cell>
          <cell r="D1623">
            <v>14553955</v>
          </cell>
          <cell r="E1623" t="str">
            <v>콘크리트타설</v>
          </cell>
          <cell r="F1623" t="str">
            <v>(철근 VIB 포함)</v>
          </cell>
          <cell r="G1623" t="str">
            <v>㎥</v>
          </cell>
          <cell r="I1623">
            <v>0</v>
          </cell>
        </row>
        <row r="1624">
          <cell r="A1624" t="str">
            <v>T2</v>
          </cell>
          <cell r="B1624">
            <v>1626</v>
          </cell>
          <cell r="C1624" t="str">
            <v>g</v>
          </cell>
          <cell r="D1624">
            <v>14553987</v>
          </cell>
          <cell r="E1624" t="str">
            <v>뚜껑제작설치</v>
          </cell>
          <cell r="I1624">
            <v>0</v>
          </cell>
        </row>
        <row r="1625">
          <cell r="A1625" t="str">
            <v>D00759</v>
          </cell>
          <cell r="B1625">
            <v>4008</v>
          </cell>
          <cell r="C1625" t="str">
            <v>-1</v>
          </cell>
          <cell r="D1625">
            <v>14554019</v>
          </cell>
          <cell r="E1625" t="str">
            <v>배수공(공동구뚜껑)</v>
          </cell>
          <cell r="F1625" t="str">
            <v>(580x500x100)</v>
          </cell>
          <cell r="G1625" t="str">
            <v>EA</v>
          </cell>
          <cell r="I1625">
            <v>0</v>
          </cell>
        </row>
        <row r="1626">
          <cell r="A1626" t="str">
            <v>D01199</v>
          </cell>
          <cell r="B1626">
            <v>80</v>
          </cell>
          <cell r="C1626" t="str">
            <v>-2</v>
          </cell>
          <cell r="D1626">
            <v>14554051</v>
          </cell>
          <cell r="E1626" t="str">
            <v>스틸그레이팅</v>
          </cell>
          <cell r="F1626" t="str">
            <v>(530x480x75)</v>
          </cell>
          <cell r="G1626" t="str">
            <v>EA</v>
          </cell>
          <cell r="I1626">
            <v>0</v>
          </cell>
        </row>
        <row r="1627">
          <cell r="A1627" t="str">
            <v>E2</v>
          </cell>
          <cell r="B1627">
            <v>0</v>
          </cell>
          <cell r="C1627" t="str">
            <v>계</v>
          </cell>
          <cell r="D1627">
            <v>14554059</v>
          </cell>
          <cell r="I1627">
            <v>0</v>
          </cell>
        </row>
        <row r="1628">
          <cell r="A1628" t="str">
            <v>D00761</v>
          </cell>
          <cell r="B1628">
            <v>2095</v>
          </cell>
          <cell r="C1628" t="str">
            <v>h</v>
          </cell>
          <cell r="D1628">
            <v>14554067</v>
          </cell>
          <cell r="E1628" t="str">
            <v>비닐깔기</v>
          </cell>
          <cell r="G1628" t="str">
            <v>㎡</v>
          </cell>
          <cell r="I1628">
            <v>0</v>
          </cell>
        </row>
        <row r="1629">
          <cell r="A1629" t="str">
            <v>T2</v>
          </cell>
          <cell r="B1629">
            <v>1631</v>
          </cell>
          <cell r="C1629" t="str">
            <v>i</v>
          </cell>
          <cell r="D1629">
            <v>14554071</v>
          </cell>
          <cell r="E1629" t="str">
            <v>배수관 설치</v>
          </cell>
          <cell r="I1629">
            <v>0</v>
          </cell>
        </row>
        <row r="1630">
          <cell r="A1630" t="str">
            <v>D01200</v>
          </cell>
          <cell r="B1630">
            <v>2062</v>
          </cell>
          <cell r="C1630" t="str">
            <v>-1</v>
          </cell>
          <cell r="D1630">
            <v>14554075</v>
          </cell>
          <cell r="E1630" t="str">
            <v>배수관 설치</v>
          </cell>
          <cell r="F1630" t="str">
            <v>(THP Φ400 m/m)</v>
          </cell>
          <cell r="G1630" t="str">
            <v>M</v>
          </cell>
          <cell r="I1630">
            <v>0</v>
          </cell>
        </row>
        <row r="1631">
          <cell r="A1631" t="str">
            <v>D03787</v>
          </cell>
          <cell r="B1631">
            <v>7</v>
          </cell>
          <cell r="C1631" t="str">
            <v>-2</v>
          </cell>
          <cell r="D1631">
            <v>14554077</v>
          </cell>
          <cell r="E1631" t="str">
            <v>배수관 설치</v>
          </cell>
          <cell r="F1631" t="str">
            <v>(THP Φ600 m/m)</v>
          </cell>
          <cell r="G1631" t="str">
            <v>M</v>
          </cell>
          <cell r="I1631">
            <v>0</v>
          </cell>
        </row>
        <row r="1632">
          <cell r="A1632" t="str">
            <v>E2</v>
          </cell>
          <cell r="B1632">
            <v>0</v>
          </cell>
          <cell r="C1632" t="str">
            <v>계</v>
          </cell>
          <cell r="D1632">
            <v>14554078</v>
          </cell>
          <cell r="I1632">
            <v>0</v>
          </cell>
        </row>
        <row r="1633">
          <cell r="A1633" t="str">
            <v>E3</v>
          </cell>
          <cell r="B1633">
            <v>0</v>
          </cell>
          <cell r="C1633" t="str">
            <v>합계</v>
          </cell>
          <cell r="D1633">
            <v>14554079</v>
          </cell>
          <cell r="I1633">
            <v>0</v>
          </cell>
        </row>
        <row r="1634">
          <cell r="A1634" t="str">
            <v>T3</v>
          </cell>
          <cell r="B1634">
            <v>1640</v>
          </cell>
          <cell r="C1634" t="str">
            <v>4.07</v>
          </cell>
          <cell r="D1634">
            <v>14554207</v>
          </cell>
          <cell r="E1634" t="str">
            <v>라이닝콘크리트</v>
          </cell>
          <cell r="I1634">
            <v>0</v>
          </cell>
        </row>
        <row r="1635">
          <cell r="A1635" t="str">
            <v>D00735</v>
          </cell>
          <cell r="B1635">
            <v>2</v>
          </cell>
          <cell r="C1635" t="str">
            <v>a</v>
          </cell>
          <cell r="D1635">
            <v>14554271</v>
          </cell>
          <cell r="E1635" t="str">
            <v>강재동바리공및거푸집</v>
          </cell>
          <cell r="G1635" t="str">
            <v>조</v>
          </cell>
          <cell r="I1635">
            <v>0</v>
          </cell>
        </row>
        <row r="1636">
          <cell r="A1636" t="str">
            <v>D00237</v>
          </cell>
          <cell r="B1636">
            <v>900</v>
          </cell>
          <cell r="C1636" t="str">
            <v>b</v>
          </cell>
          <cell r="D1636">
            <v>14554303</v>
          </cell>
          <cell r="E1636" t="str">
            <v>콘크리트타설</v>
          </cell>
          <cell r="F1636" t="str">
            <v>(철근 펌프카)</v>
          </cell>
          <cell r="G1636" t="str">
            <v>㎥</v>
          </cell>
          <cell r="I1636">
            <v>0</v>
          </cell>
        </row>
        <row r="1637">
          <cell r="A1637" t="str">
            <v>D00238</v>
          </cell>
          <cell r="B1637">
            <v>6342</v>
          </cell>
          <cell r="C1637" t="str">
            <v>c</v>
          </cell>
          <cell r="D1637">
            <v>14554319</v>
          </cell>
          <cell r="E1637" t="str">
            <v>콘크리트타설</v>
          </cell>
          <cell r="F1637" t="str">
            <v>(무근 펌프카)</v>
          </cell>
          <cell r="G1637" t="str">
            <v>㎥</v>
          </cell>
          <cell r="I1637">
            <v>0</v>
          </cell>
        </row>
        <row r="1638">
          <cell r="A1638" t="str">
            <v>D00272</v>
          </cell>
          <cell r="B1638">
            <v>109.84</v>
          </cell>
          <cell r="C1638" t="str">
            <v>d</v>
          </cell>
          <cell r="D1638">
            <v>14554327</v>
          </cell>
          <cell r="E1638" t="str">
            <v>철근가공조립</v>
          </cell>
          <cell r="F1638" t="str">
            <v>(복 잡)</v>
          </cell>
          <cell r="G1638" t="str">
            <v>Ton</v>
          </cell>
          <cell r="I1638">
            <v>0</v>
          </cell>
        </row>
        <row r="1639">
          <cell r="A1639" t="str">
            <v>D00556</v>
          </cell>
          <cell r="B1639">
            <v>667</v>
          </cell>
          <cell r="C1639" t="str">
            <v>e</v>
          </cell>
          <cell r="D1639">
            <v>14554455</v>
          </cell>
          <cell r="E1639" t="str">
            <v>신축이음장치</v>
          </cell>
          <cell r="F1639" t="str">
            <v>(라이닝콘크리트)</v>
          </cell>
          <cell r="G1639" t="str">
            <v>M</v>
          </cell>
          <cell r="I1639">
            <v>0</v>
          </cell>
        </row>
        <row r="1640">
          <cell r="A1640" t="str">
            <v>D00391</v>
          </cell>
          <cell r="B1640">
            <v>178</v>
          </cell>
          <cell r="C1640" t="str">
            <v>f</v>
          </cell>
          <cell r="D1640">
            <v>14554471</v>
          </cell>
          <cell r="E1640" t="str">
            <v>뒷채움주입공</v>
          </cell>
          <cell r="G1640" t="str">
            <v>㎥</v>
          </cell>
          <cell r="I1640">
            <v>0</v>
          </cell>
        </row>
        <row r="1641">
          <cell r="A1641" t="str">
            <v>E3</v>
          </cell>
          <cell r="B1641">
            <v>0</v>
          </cell>
          <cell r="C1641" t="str">
            <v>합계</v>
          </cell>
          <cell r="D1641">
            <v>14554477</v>
          </cell>
          <cell r="I1641">
            <v>0</v>
          </cell>
        </row>
        <row r="1642">
          <cell r="A1642" t="str">
            <v>T3</v>
          </cell>
          <cell r="B1642">
            <v>1664</v>
          </cell>
          <cell r="C1642" t="str">
            <v>4.08</v>
          </cell>
          <cell r="D1642">
            <v>14554480</v>
          </cell>
          <cell r="E1642" t="str">
            <v>갱문 및 옹벽</v>
          </cell>
          <cell r="I1642">
            <v>0</v>
          </cell>
        </row>
        <row r="1643">
          <cell r="A1643" t="str">
            <v>T2</v>
          </cell>
          <cell r="B1643">
            <v>1646</v>
          </cell>
          <cell r="C1643" t="str">
            <v>a</v>
          </cell>
          <cell r="D1643">
            <v>14554481</v>
          </cell>
          <cell r="E1643" t="str">
            <v>거 푸 집</v>
          </cell>
          <cell r="I1643">
            <v>0</v>
          </cell>
        </row>
        <row r="1644">
          <cell r="A1644" t="str">
            <v>D00276</v>
          </cell>
          <cell r="B1644">
            <v>979</v>
          </cell>
          <cell r="C1644" t="str">
            <v>-1</v>
          </cell>
          <cell r="D1644">
            <v>14554482</v>
          </cell>
          <cell r="E1644" t="str">
            <v>합판거푸집</v>
          </cell>
          <cell r="F1644" t="str">
            <v>(3 회)</v>
          </cell>
          <cell r="G1644" t="str">
            <v>㎡</v>
          </cell>
          <cell r="I1644">
            <v>0</v>
          </cell>
        </row>
        <row r="1645">
          <cell r="A1645" t="str">
            <v>D00282</v>
          </cell>
          <cell r="B1645">
            <v>360</v>
          </cell>
          <cell r="C1645" t="str">
            <v>-2</v>
          </cell>
          <cell r="D1645">
            <v>14554546</v>
          </cell>
          <cell r="E1645" t="str">
            <v>합판거푸집</v>
          </cell>
          <cell r="F1645" t="str">
            <v>(6 회)</v>
          </cell>
          <cell r="G1645" t="str">
            <v>㎡</v>
          </cell>
          <cell r="I1645">
            <v>0</v>
          </cell>
        </row>
        <row r="1646">
          <cell r="A1646" t="str">
            <v>D00265</v>
          </cell>
          <cell r="B1646">
            <v>298</v>
          </cell>
          <cell r="C1646" t="str">
            <v>-3</v>
          </cell>
          <cell r="D1646">
            <v>14554674</v>
          </cell>
          <cell r="E1646" t="str">
            <v>문양거푸집(합판4회+</v>
          </cell>
          <cell r="F1646" t="str">
            <v>문양스치로폴(0∼7M)</v>
          </cell>
          <cell r="G1646" t="str">
            <v>㎡</v>
          </cell>
          <cell r="I1646">
            <v>0</v>
          </cell>
        </row>
        <row r="1647">
          <cell r="A1647" t="str">
            <v>E2</v>
          </cell>
          <cell r="B1647">
            <v>0</v>
          </cell>
          <cell r="C1647" t="str">
            <v>계</v>
          </cell>
          <cell r="D1647">
            <v>14554706</v>
          </cell>
          <cell r="I1647">
            <v>0</v>
          </cell>
        </row>
        <row r="1648">
          <cell r="A1648" t="str">
            <v>D00323</v>
          </cell>
          <cell r="B1648">
            <v>899</v>
          </cell>
          <cell r="C1648" t="str">
            <v>b</v>
          </cell>
          <cell r="D1648">
            <v>14554722</v>
          </cell>
          <cell r="E1648" t="str">
            <v>강관비계</v>
          </cell>
          <cell r="F1648" t="str">
            <v>(0∼30 M)</v>
          </cell>
          <cell r="G1648" t="str">
            <v>㎡</v>
          </cell>
          <cell r="I1648">
            <v>0</v>
          </cell>
        </row>
        <row r="1649">
          <cell r="A1649" t="str">
            <v>D00334</v>
          </cell>
          <cell r="B1649">
            <v>145</v>
          </cell>
          <cell r="C1649" t="str">
            <v>c</v>
          </cell>
          <cell r="D1649">
            <v>14554730</v>
          </cell>
          <cell r="E1649" t="str">
            <v>강관동바리</v>
          </cell>
          <cell r="F1649" t="str">
            <v>(교량용)</v>
          </cell>
          <cell r="G1649" t="str">
            <v>공㎥</v>
          </cell>
          <cell r="I1649">
            <v>0</v>
          </cell>
        </row>
        <row r="1650">
          <cell r="A1650" t="str">
            <v>T1</v>
          </cell>
          <cell r="B1650">
            <v>1652</v>
          </cell>
          <cell r="C1650" t="str">
            <v>d</v>
          </cell>
          <cell r="D1650">
            <v>14554733</v>
          </cell>
          <cell r="E1650" t="str">
            <v>철근가공조립</v>
          </cell>
          <cell r="I1650">
            <v>0</v>
          </cell>
        </row>
        <row r="1651">
          <cell r="A1651" t="str">
            <v>D00270</v>
          </cell>
          <cell r="B1651">
            <v>6.2249999999999996</v>
          </cell>
          <cell r="C1651" t="str">
            <v>-1</v>
          </cell>
          <cell r="D1651">
            <v>14554736</v>
          </cell>
          <cell r="E1651" t="str">
            <v>철근가공조립</v>
          </cell>
          <cell r="F1651" t="str">
            <v>(간 단)</v>
          </cell>
          <cell r="G1651" t="str">
            <v>Ton</v>
          </cell>
          <cell r="I1651">
            <v>0</v>
          </cell>
        </row>
        <row r="1652">
          <cell r="A1652" t="str">
            <v>D00272</v>
          </cell>
          <cell r="B1652">
            <v>25.167999999999999</v>
          </cell>
          <cell r="C1652" t="str">
            <v>-2</v>
          </cell>
          <cell r="D1652">
            <v>14554737</v>
          </cell>
          <cell r="E1652" t="str">
            <v>철근가공조립</v>
          </cell>
          <cell r="F1652" t="str">
            <v>(복 잡)</v>
          </cell>
          <cell r="G1652" t="str">
            <v>Ton</v>
          </cell>
          <cell r="I1652">
            <v>0</v>
          </cell>
        </row>
        <row r="1653">
          <cell r="A1653" t="str">
            <v>E1</v>
          </cell>
          <cell r="B1653">
            <v>0</v>
          </cell>
          <cell r="C1653" t="str">
            <v>소계</v>
          </cell>
          <cell r="D1653">
            <v>14554801</v>
          </cell>
          <cell r="I1653">
            <v>0</v>
          </cell>
        </row>
        <row r="1654">
          <cell r="A1654" t="str">
            <v>T2</v>
          </cell>
          <cell r="B1654">
            <v>1657</v>
          </cell>
          <cell r="C1654" t="str">
            <v>e</v>
          </cell>
          <cell r="D1654">
            <v>14554865</v>
          </cell>
          <cell r="E1654" t="str">
            <v>콘크리트타설</v>
          </cell>
          <cell r="I1654">
            <v>0</v>
          </cell>
        </row>
        <row r="1655">
          <cell r="A1655" t="str">
            <v>D00237</v>
          </cell>
          <cell r="B1655">
            <v>761</v>
          </cell>
          <cell r="C1655" t="str">
            <v>-1</v>
          </cell>
          <cell r="D1655">
            <v>14554866</v>
          </cell>
          <cell r="E1655" t="str">
            <v>콘크리트타설</v>
          </cell>
          <cell r="F1655" t="str">
            <v>(철근 펌프카)</v>
          </cell>
          <cell r="G1655" t="str">
            <v>㎥</v>
          </cell>
          <cell r="I1655">
            <v>0</v>
          </cell>
        </row>
        <row r="1656">
          <cell r="A1656" t="str">
            <v>D00234</v>
          </cell>
          <cell r="B1656">
            <v>77</v>
          </cell>
          <cell r="C1656" t="str">
            <v>-2</v>
          </cell>
          <cell r="D1656">
            <v>14554930</v>
          </cell>
          <cell r="E1656" t="str">
            <v>콘크리트타설</v>
          </cell>
          <cell r="F1656" t="str">
            <v>(무근 VIB 포함)</v>
          </cell>
          <cell r="G1656" t="str">
            <v>㎥</v>
          </cell>
          <cell r="I1656">
            <v>0</v>
          </cell>
        </row>
        <row r="1657">
          <cell r="A1657" t="str">
            <v>D00231</v>
          </cell>
          <cell r="B1657">
            <v>13</v>
          </cell>
          <cell r="C1657" t="str">
            <v>-3</v>
          </cell>
          <cell r="D1657">
            <v>14554962</v>
          </cell>
          <cell r="E1657" t="str">
            <v>콘크리트타설</v>
          </cell>
          <cell r="F1657" t="str">
            <v>(무근 VIB 제외)</v>
          </cell>
          <cell r="G1657" t="str">
            <v>㎥</v>
          </cell>
          <cell r="I1657">
            <v>0</v>
          </cell>
        </row>
        <row r="1658">
          <cell r="A1658" t="str">
            <v>E2</v>
          </cell>
          <cell r="B1658">
            <v>0</v>
          </cell>
          <cell r="C1658" t="str">
            <v>계</v>
          </cell>
          <cell r="D1658">
            <v>14554978</v>
          </cell>
          <cell r="I1658">
            <v>0</v>
          </cell>
        </row>
        <row r="1659">
          <cell r="A1659" t="str">
            <v>D00340</v>
          </cell>
          <cell r="B1659">
            <v>504</v>
          </cell>
          <cell r="C1659" t="str">
            <v>f</v>
          </cell>
          <cell r="D1659">
            <v>14555106</v>
          </cell>
          <cell r="E1659" t="str">
            <v>PVC PIPE 설치</v>
          </cell>
          <cell r="F1659" t="str">
            <v>(D= 50 m/m)</v>
          </cell>
          <cell r="G1659" t="str">
            <v>M</v>
          </cell>
          <cell r="I1659">
            <v>0</v>
          </cell>
        </row>
        <row r="1660">
          <cell r="A1660" t="str">
            <v>D01165</v>
          </cell>
          <cell r="B1660">
            <v>34</v>
          </cell>
          <cell r="C1660" t="str">
            <v>g</v>
          </cell>
          <cell r="D1660">
            <v>14555234</v>
          </cell>
          <cell r="E1660" t="str">
            <v>난간용강재파이프</v>
          </cell>
          <cell r="F1660" t="str">
            <v>(백관 Φ 100 m/m)</v>
          </cell>
          <cell r="G1660" t="str">
            <v>M</v>
          </cell>
          <cell r="I1660">
            <v>0</v>
          </cell>
        </row>
        <row r="1661">
          <cell r="A1661" t="str">
            <v>D00425</v>
          </cell>
          <cell r="B1661">
            <v>133</v>
          </cell>
          <cell r="C1661" t="str">
            <v>h</v>
          </cell>
          <cell r="D1661">
            <v>14555362</v>
          </cell>
          <cell r="E1661" t="str">
            <v>화강석 판붙임</v>
          </cell>
          <cell r="F1661" t="str">
            <v>(T=5 Cm)</v>
          </cell>
          <cell r="G1661" t="str">
            <v>㎡</v>
          </cell>
          <cell r="I1661">
            <v>0</v>
          </cell>
        </row>
        <row r="1662">
          <cell r="A1662" t="str">
            <v>D03846</v>
          </cell>
          <cell r="B1662">
            <v>8</v>
          </cell>
          <cell r="C1662" t="str">
            <v>i</v>
          </cell>
          <cell r="D1662">
            <v>14555370</v>
          </cell>
          <cell r="E1662" t="str">
            <v>스틸그레이팅</v>
          </cell>
          <cell r="F1662" t="str">
            <v>(1130x780x75)</v>
          </cell>
          <cell r="G1662" t="str">
            <v>EA</v>
          </cell>
          <cell r="I1662">
            <v>0</v>
          </cell>
        </row>
        <row r="1663">
          <cell r="A1663" t="str">
            <v>D03845</v>
          </cell>
          <cell r="B1663">
            <v>8</v>
          </cell>
          <cell r="C1663" t="str">
            <v>j</v>
          </cell>
          <cell r="D1663">
            <v>14555372</v>
          </cell>
          <cell r="E1663" t="str">
            <v>스틸그레이팅</v>
          </cell>
          <cell r="F1663" t="str">
            <v>(1130x980x75)</v>
          </cell>
          <cell r="G1663" t="str">
            <v>EA</v>
          </cell>
          <cell r="I1663">
            <v>0</v>
          </cell>
        </row>
        <row r="1664">
          <cell r="A1664" t="str">
            <v>D03847</v>
          </cell>
          <cell r="B1664">
            <v>986</v>
          </cell>
          <cell r="C1664" t="str">
            <v>k</v>
          </cell>
          <cell r="D1664">
            <v>14555373</v>
          </cell>
          <cell r="E1664" t="str">
            <v>콘크리트 블록</v>
          </cell>
          <cell r="G1664" t="str">
            <v>EA</v>
          </cell>
          <cell r="I1664">
            <v>0</v>
          </cell>
        </row>
        <row r="1665">
          <cell r="A1665" t="str">
            <v>E3</v>
          </cell>
          <cell r="B1665">
            <v>0</v>
          </cell>
          <cell r="C1665" t="str">
            <v>합계</v>
          </cell>
          <cell r="D1665">
            <v>14555374</v>
          </cell>
          <cell r="I1665">
            <v>0</v>
          </cell>
        </row>
        <row r="1666">
          <cell r="A1666" t="str">
            <v>T3</v>
          </cell>
          <cell r="B1666">
            <v>1680</v>
          </cell>
          <cell r="C1666" t="str">
            <v>4.09</v>
          </cell>
          <cell r="D1666">
            <v>14555376</v>
          </cell>
          <cell r="E1666" t="str">
            <v>부대시설공</v>
          </cell>
          <cell r="I1666">
            <v>0</v>
          </cell>
        </row>
        <row r="1667">
          <cell r="A1667" t="str">
            <v>D00769</v>
          </cell>
          <cell r="B1667">
            <v>2398</v>
          </cell>
          <cell r="C1667" t="str">
            <v>a</v>
          </cell>
          <cell r="D1667">
            <v>14555699</v>
          </cell>
          <cell r="E1667" t="str">
            <v>터널내부도장</v>
          </cell>
          <cell r="F1667" t="str">
            <v>(상부)</v>
          </cell>
          <cell r="G1667" t="str">
            <v>㎡</v>
          </cell>
          <cell r="I1667">
            <v>0</v>
          </cell>
        </row>
        <row r="1668">
          <cell r="A1668" t="str">
            <v>D00770</v>
          </cell>
          <cell r="B1668">
            <v>7547</v>
          </cell>
          <cell r="C1668" t="str">
            <v>b</v>
          </cell>
          <cell r="D1668">
            <v>14555731</v>
          </cell>
          <cell r="E1668" t="str">
            <v>터널타일붙임</v>
          </cell>
          <cell r="G1668" t="str">
            <v>㎡</v>
          </cell>
          <cell r="I1668">
            <v>0</v>
          </cell>
        </row>
        <row r="1669">
          <cell r="A1669" t="str">
            <v>D00771</v>
          </cell>
          <cell r="B1669">
            <v>4</v>
          </cell>
          <cell r="C1669" t="str">
            <v>c</v>
          </cell>
          <cell r="D1669">
            <v>14555747</v>
          </cell>
          <cell r="E1669" t="str">
            <v>터널명판및안내판</v>
          </cell>
          <cell r="G1669" t="str">
            <v>EA</v>
          </cell>
          <cell r="I1669">
            <v>0</v>
          </cell>
        </row>
        <row r="1670">
          <cell r="A1670" t="str">
            <v>T2</v>
          </cell>
          <cell r="B1670">
            <v>1674</v>
          </cell>
          <cell r="C1670" t="str">
            <v>d</v>
          </cell>
          <cell r="D1670">
            <v>14555751</v>
          </cell>
          <cell r="E1670" t="str">
            <v>가 시 설</v>
          </cell>
          <cell r="I1670">
            <v>0</v>
          </cell>
        </row>
        <row r="1671">
          <cell r="A1671" t="str">
            <v>D01095</v>
          </cell>
          <cell r="B1671">
            <v>1</v>
          </cell>
          <cell r="C1671" t="str">
            <v>-1</v>
          </cell>
          <cell r="D1671">
            <v>14555755</v>
          </cell>
          <cell r="E1671" t="str">
            <v>임시전기시설</v>
          </cell>
          <cell r="G1671" t="str">
            <v>식</v>
          </cell>
          <cell r="I1671">
            <v>0</v>
          </cell>
        </row>
        <row r="1672">
          <cell r="A1672" t="str">
            <v>D00772</v>
          </cell>
          <cell r="B1672">
            <v>1</v>
          </cell>
          <cell r="C1672" t="str">
            <v>-2</v>
          </cell>
          <cell r="D1672">
            <v>14555759</v>
          </cell>
          <cell r="E1672" t="str">
            <v>작업용 비계</v>
          </cell>
          <cell r="F1672" t="str">
            <v>(터널용)</v>
          </cell>
          <cell r="G1672" t="str">
            <v>식</v>
          </cell>
          <cell r="I1672">
            <v>0</v>
          </cell>
        </row>
        <row r="1673">
          <cell r="A1673" t="str">
            <v>D00773</v>
          </cell>
          <cell r="B1673">
            <v>1</v>
          </cell>
          <cell r="C1673" t="str">
            <v>-3</v>
          </cell>
          <cell r="D1673">
            <v>14555761</v>
          </cell>
          <cell r="E1673" t="str">
            <v>대    차</v>
          </cell>
          <cell r="F1673" t="str">
            <v>(터널용)</v>
          </cell>
          <cell r="G1673" t="str">
            <v>식</v>
          </cell>
          <cell r="I1673">
            <v>0</v>
          </cell>
        </row>
        <row r="1674">
          <cell r="A1674" t="str">
            <v>D01093</v>
          </cell>
          <cell r="B1674">
            <v>1</v>
          </cell>
          <cell r="C1674" t="str">
            <v>-4</v>
          </cell>
          <cell r="D1674">
            <v>14555762</v>
          </cell>
          <cell r="E1674" t="str">
            <v>임시환기시설</v>
          </cell>
          <cell r="G1674" t="str">
            <v>식</v>
          </cell>
          <cell r="I1674">
            <v>0</v>
          </cell>
        </row>
        <row r="1675">
          <cell r="A1675" t="str">
            <v>E2</v>
          </cell>
          <cell r="B1675">
            <v>0</v>
          </cell>
          <cell r="C1675" t="str">
            <v>계</v>
          </cell>
          <cell r="D1675">
            <v>14555763</v>
          </cell>
          <cell r="I1675">
            <v>0</v>
          </cell>
        </row>
        <row r="1676">
          <cell r="A1676" t="str">
            <v>D00775</v>
          </cell>
          <cell r="B1676">
            <v>4</v>
          </cell>
          <cell r="C1676" t="str">
            <v>e</v>
          </cell>
          <cell r="D1676">
            <v>14555891</v>
          </cell>
          <cell r="E1676" t="str">
            <v>갱문 가시설</v>
          </cell>
          <cell r="G1676" t="str">
            <v>개소</v>
          </cell>
          <cell r="I1676">
            <v>0</v>
          </cell>
        </row>
        <row r="1677">
          <cell r="A1677" t="str">
            <v>D00392</v>
          </cell>
          <cell r="B1677">
            <v>1</v>
          </cell>
          <cell r="C1677" t="str">
            <v>f</v>
          </cell>
          <cell r="D1677">
            <v>14555955</v>
          </cell>
          <cell r="E1677" t="str">
            <v>물푸기(터널공)</v>
          </cell>
          <cell r="G1677" t="str">
            <v>식</v>
          </cell>
          <cell r="I1677">
            <v>0</v>
          </cell>
        </row>
        <row r="1678">
          <cell r="A1678" t="str">
            <v>D03806</v>
          </cell>
          <cell r="B1678">
            <v>2</v>
          </cell>
          <cell r="C1678" t="str">
            <v>g</v>
          </cell>
          <cell r="D1678">
            <v>14555971</v>
          </cell>
          <cell r="E1678" t="str">
            <v>폐수처리시설</v>
          </cell>
          <cell r="G1678" t="str">
            <v>개소</v>
          </cell>
          <cell r="I1678">
            <v>0</v>
          </cell>
        </row>
        <row r="1679">
          <cell r="A1679" t="str">
            <v>D03807</v>
          </cell>
          <cell r="B1679">
            <v>4</v>
          </cell>
          <cell r="C1679" t="str">
            <v>h</v>
          </cell>
          <cell r="D1679">
            <v>14555977</v>
          </cell>
          <cell r="E1679" t="str">
            <v>차음방진시설</v>
          </cell>
          <cell r="G1679" t="str">
            <v>개소</v>
          </cell>
          <cell r="I1679">
            <v>0</v>
          </cell>
        </row>
        <row r="1680">
          <cell r="A1680" t="str">
            <v>D03855</v>
          </cell>
          <cell r="B1680">
            <v>3</v>
          </cell>
          <cell r="C1680" t="str">
            <v>i</v>
          </cell>
          <cell r="D1680">
            <v>14555983</v>
          </cell>
          <cell r="E1680" t="str">
            <v>선진수평시추조사</v>
          </cell>
          <cell r="G1680" t="str">
            <v>공</v>
          </cell>
          <cell r="I1680">
            <v>0</v>
          </cell>
        </row>
        <row r="1681">
          <cell r="A1681" t="str">
            <v>E3</v>
          </cell>
          <cell r="B1681">
            <v>0</v>
          </cell>
          <cell r="C1681" t="str">
            <v>합계</v>
          </cell>
          <cell r="D1681">
            <v>14555985</v>
          </cell>
          <cell r="I1681">
            <v>0</v>
          </cell>
        </row>
        <row r="1682">
          <cell r="A1682" t="str">
            <v>T3</v>
          </cell>
          <cell r="B1682">
            <v>1687</v>
          </cell>
          <cell r="C1682" t="str">
            <v>4.10</v>
          </cell>
          <cell r="D1682">
            <v>14555986</v>
          </cell>
          <cell r="E1682" t="str">
            <v>계      측</v>
          </cell>
          <cell r="I1682">
            <v>0</v>
          </cell>
        </row>
        <row r="1683">
          <cell r="A1683" t="str">
            <v>D00777</v>
          </cell>
          <cell r="B1683">
            <v>264</v>
          </cell>
          <cell r="C1683" t="str">
            <v>a</v>
          </cell>
          <cell r="D1683">
            <v>14555987</v>
          </cell>
          <cell r="E1683" t="str">
            <v>내공변위 측정용기기</v>
          </cell>
          <cell r="F1683" t="str">
            <v>설치</v>
          </cell>
          <cell r="G1683" t="str">
            <v>SET</v>
          </cell>
          <cell r="I1683">
            <v>0</v>
          </cell>
        </row>
        <row r="1684">
          <cell r="A1684" t="str">
            <v>D01040</v>
          </cell>
          <cell r="B1684">
            <v>12</v>
          </cell>
          <cell r="C1684" t="str">
            <v>b</v>
          </cell>
          <cell r="D1684">
            <v>14556003</v>
          </cell>
          <cell r="E1684" t="str">
            <v>지중변위측정기기설치</v>
          </cell>
          <cell r="G1684" t="str">
            <v>SET</v>
          </cell>
          <cell r="I1684">
            <v>0</v>
          </cell>
        </row>
        <row r="1685">
          <cell r="A1685" t="str">
            <v>D00779</v>
          </cell>
          <cell r="B1685">
            <v>44</v>
          </cell>
          <cell r="C1685" t="str">
            <v>c</v>
          </cell>
          <cell r="D1685">
            <v>14556011</v>
          </cell>
          <cell r="E1685" t="str">
            <v>천단침하 측정용기기</v>
          </cell>
          <cell r="F1685" t="str">
            <v>설치</v>
          </cell>
          <cell r="G1685" t="str">
            <v>SET</v>
          </cell>
          <cell r="I1685">
            <v>0</v>
          </cell>
        </row>
        <row r="1686">
          <cell r="A1686" t="str">
            <v>D00780</v>
          </cell>
          <cell r="B1686">
            <v>12</v>
          </cell>
          <cell r="C1686" t="str">
            <v>d</v>
          </cell>
          <cell r="D1686">
            <v>14556015</v>
          </cell>
          <cell r="E1686" t="str">
            <v>숏크리트응력 측정용</v>
          </cell>
          <cell r="F1686" t="str">
            <v>기기설치</v>
          </cell>
          <cell r="G1686" t="str">
            <v>SET</v>
          </cell>
          <cell r="I1686">
            <v>0</v>
          </cell>
        </row>
        <row r="1687">
          <cell r="A1687" t="str">
            <v>D00781</v>
          </cell>
          <cell r="B1687">
            <v>12</v>
          </cell>
          <cell r="C1687" t="str">
            <v>e</v>
          </cell>
          <cell r="D1687">
            <v>14556017</v>
          </cell>
          <cell r="E1687" t="str">
            <v>ROCK BOLT 축력측정용</v>
          </cell>
          <cell r="F1687" t="str">
            <v>기기설치</v>
          </cell>
          <cell r="G1687" t="str">
            <v>SET</v>
          </cell>
          <cell r="I1687">
            <v>0</v>
          </cell>
        </row>
        <row r="1688">
          <cell r="A1688" t="str">
            <v>E3</v>
          </cell>
          <cell r="B1688">
            <v>0</v>
          </cell>
          <cell r="C1688" t="str">
            <v>합계</v>
          </cell>
          <cell r="D1688">
            <v>14556051</v>
          </cell>
          <cell r="I1688">
            <v>0</v>
          </cell>
        </row>
        <row r="1689">
          <cell r="A1689" t="str">
            <v>T3</v>
          </cell>
          <cell r="B1689">
            <v>1717</v>
          </cell>
          <cell r="C1689" t="str">
            <v>4.11</v>
          </cell>
          <cell r="D1689">
            <v>14556067</v>
          </cell>
          <cell r="E1689" t="str">
            <v>개 착 터 널</v>
          </cell>
          <cell r="I1689">
            <v>0</v>
          </cell>
        </row>
        <row r="1690">
          <cell r="A1690" t="str">
            <v>D01202</v>
          </cell>
          <cell r="B1690">
            <v>1368</v>
          </cell>
          <cell r="C1690" t="str">
            <v>a</v>
          </cell>
          <cell r="D1690">
            <v>14556083</v>
          </cell>
          <cell r="E1690" t="str">
            <v>암면고르기</v>
          </cell>
          <cell r="F1690" t="str">
            <v>(발파암)</v>
          </cell>
          <cell r="G1690" t="str">
            <v>㎡</v>
          </cell>
          <cell r="I1690">
            <v>0</v>
          </cell>
        </row>
        <row r="1691">
          <cell r="A1691" t="str">
            <v>D00306</v>
          </cell>
          <cell r="B1691">
            <v>3388</v>
          </cell>
          <cell r="C1691" t="str">
            <v>b</v>
          </cell>
          <cell r="D1691">
            <v>14556115</v>
          </cell>
          <cell r="E1691" t="str">
            <v>원형거푸집</v>
          </cell>
          <cell r="F1691" t="str">
            <v>(3 회 0∼7 m)</v>
          </cell>
          <cell r="G1691" t="str">
            <v>㎡</v>
          </cell>
          <cell r="I1691">
            <v>0</v>
          </cell>
        </row>
        <row r="1692">
          <cell r="A1692" t="str">
            <v>D00323</v>
          </cell>
          <cell r="B1692">
            <v>1769</v>
          </cell>
          <cell r="C1692" t="str">
            <v>c</v>
          </cell>
          <cell r="D1692">
            <v>14556131</v>
          </cell>
          <cell r="E1692" t="str">
            <v>강관비계</v>
          </cell>
          <cell r="F1692" t="str">
            <v>(0∼30 M)</v>
          </cell>
          <cell r="G1692" t="str">
            <v>㎡</v>
          </cell>
          <cell r="I1692">
            <v>0</v>
          </cell>
        </row>
        <row r="1693">
          <cell r="A1693" t="str">
            <v>T2</v>
          </cell>
          <cell r="B1693">
            <v>1697</v>
          </cell>
          <cell r="C1693" t="str">
            <v>d</v>
          </cell>
          <cell r="D1693">
            <v>14556135</v>
          </cell>
          <cell r="E1693" t="str">
            <v>철근가공조립</v>
          </cell>
          <cell r="I1693">
            <v>0</v>
          </cell>
        </row>
        <row r="1694">
          <cell r="A1694" t="str">
            <v>D00270</v>
          </cell>
          <cell r="B1694">
            <v>0.27100000000000002</v>
          </cell>
          <cell r="C1694" t="str">
            <v>-1</v>
          </cell>
          <cell r="D1694">
            <v>14556139</v>
          </cell>
          <cell r="E1694" t="str">
            <v>철근가공조립</v>
          </cell>
          <cell r="F1694" t="str">
            <v>(간 단)</v>
          </cell>
          <cell r="G1694" t="str">
            <v>Ton</v>
          </cell>
          <cell r="I1694">
            <v>0</v>
          </cell>
        </row>
        <row r="1695">
          <cell r="A1695" t="str">
            <v>D00272</v>
          </cell>
          <cell r="B1695">
            <v>365.94400000000002</v>
          </cell>
          <cell r="C1695" t="str">
            <v>-2</v>
          </cell>
          <cell r="D1695">
            <v>14556143</v>
          </cell>
          <cell r="E1695" t="str">
            <v>철근가공조립</v>
          </cell>
          <cell r="F1695" t="str">
            <v>(복 잡)</v>
          </cell>
          <cell r="G1695" t="str">
            <v>Ton</v>
          </cell>
          <cell r="I1695">
            <v>0</v>
          </cell>
        </row>
        <row r="1696">
          <cell r="A1696" t="str">
            <v>D00588</v>
          </cell>
          <cell r="B1696">
            <v>2453</v>
          </cell>
          <cell r="C1696" t="str">
            <v>-3</v>
          </cell>
          <cell r="D1696">
            <v>14556145</v>
          </cell>
          <cell r="E1696" t="str">
            <v>스페이서 설치</v>
          </cell>
          <cell r="F1696" t="str">
            <v>(슬라브및기초용)</v>
          </cell>
          <cell r="G1696" t="str">
            <v>㎡</v>
          </cell>
          <cell r="I1696">
            <v>0</v>
          </cell>
        </row>
        <row r="1697">
          <cell r="A1697" t="str">
            <v>D00696</v>
          </cell>
          <cell r="B1697">
            <v>2089</v>
          </cell>
          <cell r="C1697" t="str">
            <v>-4</v>
          </cell>
          <cell r="D1697">
            <v>14556146</v>
          </cell>
          <cell r="E1697" t="str">
            <v>부상 방지철선</v>
          </cell>
          <cell r="F1697" t="str">
            <v>(# 6)</v>
          </cell>
          <cell r="G1697" t="str">
            <v>M</v>
          </cell>
          <cell r="I1697">
            <v>0</v>
          </cell>
        </row>
        <row r="1698">
          <cell r="A1698" t="str">
            <v>E2</v>
          </cell>
          <cell r="B1698">
            <v>0</v>
          </cell>
          <cell r="C1698" t="str">
            <v>계</v>
          </cell>
          <cell r="D1698">
            <v>14556147</v>
          </cell>
          <cell r="I1698">
            <v>0</v>
          </cell>
        </row>
        <row r="1699">
          <cell r="A1699" t="str">
            <v>T2</v>
          </cell>
          <cell r="B1699">
            <v>1701</v>
          </cell>
          <cell r="C1699" t="str">
            <v>e</v>
          </cell>
          <cell r="D1699">
            <v>14556211</v>
          </cell>
          <cell r="E1699" t="str">
            <v>콘크리트타설</v>
          </cell>
          <cell r="I1699">
            <v>0</v>
          </cell>
        </row>
        <row r="1700">
          <cell r="A1700" t="str">
            <v>D00234</v>
          </cell>
          <cell r="B1700">
            <v>310</v>
          </cell>
          <cell r="C1700" t="str">
            <v>-1</v>
          </cell>
          <cell r="D1700">
            <v>14556243</v>
          </cell>
          <cell r="E1700" t="str">
            <v>콘크리트타설</v>
          </cell>
          <cell r="F1700" t="str">
            <v>(무근 VIB 포함)</v>
          </cell>
          <cell r="G1700" t="str">
            <v>㎥</v>
          </cell>
          <cell r="I1700">
            <v>0</v>
          </cell>
        </row>
        <row r="1701">
          <cell r="A1701" t="str">
            <v>D00237</v>
          </cell>
          <cell r="B1701">
            <v>2609</v>
          </cell>
          <cell r="C1701" t="str">
            <v>-2</v>
          </cell>
          <cell r="D1701">
            <v>14556275</v>
          </cell>
          <cell r="E1701" t="str">
            <v>콘크리트타설</v>
          </cell>
          <cell r="F1701" t="str">
            <v>(철근 펌프카)</v>
          </cell>
          <cell r="G1701" t="str">
            <v>㎥</v>
          </cell>
          <cell r="I1701">
            <v>0</v>
          </cell>
        </row>
        <row r="1702">
          <cell r="A1702" t="str">
            <v>E2</v>
          </cell>
          <cell r="B1702">
            <v>0</v>
          </cell>
          <cell r="C1702" t="str">
            <v>계</v>
          </cell>
          <cell r="D1702">
            <v>14556307</v>
          </cell>
          <cell r="I1702">
            <v>0</v>
          </cell>
        </row>
        <row r="1703">
          <cell r="A1703" t="str">
            <v>T2</v>
          </cell>
          <cell r="B1703">
            <v>1707</v>
          </cell>
          <cell r="C1703" t="str">
            <v>f</v>
          </cell>
          <cell r="D1703">
            <v>14556339</v>
          </cell>
          <cell r="E1703" t="str">
            <v>파이프설치</v>
          </cell>
          <cell r="I1703">
            <v>0</v>
          </cell>
        </row>
        <row r="1704">
          <cell r="A1704" t="str">
            <v>D00341</v>
          </cell>
          <cell r="B1704">
            <v>28</v>
          </cell>
          <cell r="C1704" t="str">
            <v>-1</v>
          </cell>
          <cell r="D1704">
            <v>14556371</v>
          </cell>
          <cell r="E1704" t="str">
            <v>PVC PIPE 설치</v>
          </cell>
          <cell r="F1704" t="str">
            <v>(D=100 m/m)</v>
          </cell>
          <cell r="G1704" t="str">
            <v>M</v>
          </cell>
          <cell r="I1704">
            <v>0</v>
          </cell>
        </row>
        <row r="1705">
          <cell r="A1705" t="str">
            <v>D00342</v>
          </cell>
          <cell r="B1705">
            <v>495</v>
          </cell>
          <cell r="C1705" t="str">
            <v>-2</v>
          </cell>
          <cell r="D1705">
            <v>14556387</v>
          </cell>
          <cell r="E1705" t="str">
            <v>PVC PIPE 설치</v>
          </cell>
          <cell r="F1705" t="str">
            <v>(D=150 m/m)</v>
          </cell>
          <cell r="G1705" t="str">
            <v>M</v>
          </cell>
          <cell r="I1705">
            <v>0</v>
          </cell>
        </row>
        <row r="1706">
          <cell r="A1706" t="str">
            <v>D01197</v>
          </cell>
          <cell r="B1706">
            <v>216</v>
          </cell>
          <cell r="C1706" t="str">
            <v>-3</v>
          </cell>
          <cell r="D1706">
            <v>14556389</v>
          </cell>
          <cell r="E1706" t="str">
            <v>유공관 부설</v>
          </cell>
          <cell r="F1706" t="str">
            <v>(T.H.P D=200)</v>
          </cell>
          <cell r="G1706" t="str">
            <v>M</v>
          </cell>
          <cell r="I1706">
            <v>0</v>
          </cell>
        </row>
        <row r="1707">
          <cell r="A1707" t="str">
            <v>D01222</v>
          </cell>
          <cell r="B1707">
            <v>216</v>
          </cell>
          <cell r="C1707" t="str">
            <v>-4</v>
          </cell>
          <cell r="D1707">
            <v>14556390</v>
          </cell>
          <cell r="E1707" t="str">
            <v>유공관 부설</v>
          </cell>
          <cell r="F1707" t="str">
            <v>(T.H.P D=250)</v>
          </cell>
          <cell r="G1707" t="str">
            <v>M</v>
          </cell>
          <cell r="I1707">
            <v>0</v>
          </cell>
        </row>
        <row r="1708">
          <cell r="A1708" t="str">
            <v>E2</v>
          </cell>
          <cell r="B1708">
            <v>0</v>
          </cell>
          <cell r="C1708" t="str">
            <v>계</v>
          </cell>
          <cell r="D1708">
            <v>14556391</v>
          </cell>
          <cell r="I1708">
            <v>0</v>
          </cell>
        </row>
        <row r="1709">
          <cell r="A1709" t="str">
            <v>T2</v>
          </cell>
          <cell r="B1709">
            <v>1713</v>
          </cell>
          <cell r="C1709" t="str">
            <v>g</v>
          </cell>
          <cell r="D1709">
            <v>14556393</v>
          </cell>
          <cell r="E1709" t="str">
            <v>방 수 공</v>
          </cell>
          <cell r="I1709">
            <v>0</v>
          </cell>
        </row>
        <row r="1710">
          <cell r="A1710" t="str">
            <v>D01031</v>
          </cell>
          <cell r="B1710">
            <v>2158</v>
          </cell>
          <cell r="C1710" t="str">
            <v>-1</v>
          </cell>
          <cell r="D1710">
            <v>14556401</v>
          </cell>
          <cell r="E1710" t="str">
            <v>보호몰탈</v>
          </cell>
          <cell r="F1710" t="str">
            <v>(T=5 m/m)</v>
          </cell>
          <cell r="G1710" t="str">
            <v>㎡</v>
          </cell>
          <cell r="I1710">
            <v>0</v>
          </cell>
        </row>
        <row r="1711">
          <cell r="A1711" t="str">
            <v>D01027</v>
          </cell>
          <cell r="B1711">
            <v>2368</v>
          </cell>
          <cell r="C1711" t="str">
            <v>-2</v>
          </cell>
          <cell r="D1711">
            <v>14556402</v>
          </cell>
          <cell r="E1711" t="str">
            <v>쉬이트방수</v>
          </cell>
          <cell r="F1711" t="str">
            <v>수직부(T=3.0 m/m)</v>
          </cell>
          <cell r="G1711" t="str">
            <v>㎡</v>
          </cell>
          <cell r="I1711">
            <v>0</v>
          </cell>
        </row>
        <row r="1712">
          <cell r="A1712" t="str">
            <v>D00419</v>
          </cell>
          <cell r="B1712">
            <v>5420</v>
          </cell>
          <cell r="C1712" t="str">
            <v>-3</v>
          </cell>
          <cell r="D1712">
            <v>14556403</v>
          </cell>
          <cell r="E1712" t="str">
            <v>부직포설치</v>
          </cell>
          <cell r="F1712" t="str">
            <v>(2.0 T/M)</v>
          </cell>
          <cell r="G1712" t="str">
            <v>㎡</v>
          </cell>
          <cell r="I1712">
            <v>0</v>
          </cell>
        </row>
        <row r="1713">
          <cell r="A1713" t="str">
            <v>D01032</v>
          </cell>
          <cell r="B1713">
            <v>2158</v>
          </cell>
          <cell r="C1713" t="str">
            <v>-4</v>
          </cell>
          <cell r="D1713">
            <v>14556467</v>
          </cell>
          <cell r="E1713" t="str">
            <v>벽돌쌓기</v>
          </cell>
          <cell r="F1713" t="str">
            <v>(0.5 B)</v>
          </cell>
          <cell r="G1713" t="str">
            <v>㎡</v>
          </cell>
          <cell r="I1713">
            <v>0</v>
          </cell>
        </row>
        <row r="1714">
          <cell r="A1714" t="str">
            <v>E2</v>
          </cell>
          <cell r="B1714">
            <v>0</v>
          </cell>
          <cell r="C1714" t="str">
            <v>계</v>
          </cell>
          <cell r="D1714">
            <v>14556483</v>
          </cell>
          <cell r="I1714">
            <v>0</v>
          </cell>
        </row>
        <row r="1715">
          <cell r="A1715" t="str">
            <v>D00170</v>
          </cell>
          <cell r="B1715">
            <v>206</v>
          </cell>
          <cell r="C1715" t="str">
            <v>h</v>
          </cell>
          <cell r="D1715">
            <v>14556499</v>
          </cell>
          <cell r="E1715" t="str">
            <v>뒷채움잡석</v>
          </cell>
          <cell r="F1715" t="str">
            <v>(현장암유용)</v>
          </cell>
          <cell r="G1715" t="str">
            <v>㎥</v>
          </cell>
          <cell r="I1715">
            <v>0</v>
          </cell>
        </row>
        <row r="1716">
          <cell r="A1716" t="str">
            <v>D00561</v>
          </cell>
          <cell r="B1716">
            <v>50</v>
          </cell>
          <cell r="C1716" t="str">
            <v>i</v>
          </cell>
          <cell r="D1716">
            <v>14556515</v>
          </cell>
          <cell r="E1716" t="str">
            <v>신축이음</v>
          </cell>
          <cell r="F1716" t="str">
            <v>터널(NATM-개착터널)</v>
          </cell>
          <cell r="G1716" t="str">
            <v>M</v>
          </cell>
          <cell r="I1716">
            <v>0</v>
          </cell>
        </row>
        <row r="1717">
          <cell r="A1717" t="str">
            <v>D00537</v>
          </cell>
          <cell r="B1717">
            <v>116</v>
          </cell>
          <cell r="C1717" t="str">
            <v>j</v>
          </cell>
          <cell r="D1717">
            <v>14556517</v>
          </cell>
          <cell r="E1717" t="str">
            <v>슬래브양생</v>
          </cell>
          <cell r="F1717" t="str">
            <v>(양생제)</v>
          </cell>
          <cell r="G1717" t="str">
            <v>㎡</v>
          </cell>
          <cell r="I1717">
            <v>0</v>
          </cell>
        </row>
        <row r="1718">
          <cell r="A1718" t="str">
            <v>E3</v>
          </cell>
          <cell r="B1718">
            <v>0</v>
          </cell>
          <cell r="C1718" t="str">
            <v>합계</v>
          </cell>
          <cell r="D1718">
            <v>14556521</v>
          </cell>
          <cell r="I1718">
            <v>0</v>
          </cell>
        </row>
        <row r="1719">
          <cell r="A1719" t="str">
            <v>T3</v>
          </cell>
          <cell r="B1719">
            <v>1726</v>
          </cell>
          <cell r="C1719" t="str">
            <v>4.12</v>
          </cell>
          <cell r="D1719">
            <v>14556522</v>
          </cell>
          <cell r="E1719" t="str">
            <v>조 경 공</v>
          </cell>
          <cell r="I1719">
            <v>0</v>
          </cell>
        </row>
        <row r="1720">
          <cell r="A1720" t="str">
            <v>D03790</v>
          </cell>
          <cell r="B1720">
            <v>180</v>
          </cell>
          <cell r="C1720" t="str">
            <v>a</v>
          </cell>
          <cell r="D1720">
            <v>14556650</v>
          </cell>
          <cell r="E1720" t="str">
            <v>담쟁이덩쿨</v>
          </cell>
          <cell r="F1720" t="str">
            <v>(L=0.4)</v>
          </cell>
          <cell r="G1720" t="str">
            <v>주</v>
          </cell>
          <cell r="I1720">
            <v>0</v>
          </cell>
        </row>
        <row r="1721">
          <cell r="A1721" t="str">
            <v>D03791</v>
          </cell>
          <cell r="B1721">
            <v>10</v>
          </cell>
          <cell r="C1721" t="str">
            <v>b</v>
          </cell>
          <cell r="D1721">
            <v>14556651</v>
          </cell>
          <cell r="E1721" t="str">
            <v>느티나무</v>
          </cell>
          <cell r="F1721" t="str">
            <v>(H0.3xR5)</v>
          </cell>
          <cell r="G1721" t="str">
            <v>주</v>
          </cell>
          <cell r="I1721">
            <v>0</v>
          </cell>
        </row>
        <row r="1722">
          <cell r="A1722" t="str">
            <v>D03792</v>
          </cell>
          <cell r="B1722">
            <v>324</v>
          </cell>
          <cell r="C1722" t="str">
            <v>c</v>
          </cell>
          <cell r="D1722">
            <v>14556715</v>
          </cell>
          <cell r="E1722" t="str">
            <v>진 달 래</v>
          </cell>
          <cell r="F1722" t="str">
            <v>(H0.4xW0.4)</v>
          </cell>
          <cell r="G1722" t="str">
            <v>주</v>
          </cell>
          <cell r="I1722">
            <v>0</v>
          </cell>
        </row>
        <row r="1723">
          <cell r="A1723" t="str">
            <v>D03793</v>
          </cell>
          <cell r="B1723">
            <v>216</v>
          </cell>
          <cell r="C1723" t="str">
            <v>d</v>
          </cell>
          <cell r="D1723">
            <v>14556747</v>
          </cell>
          <cell r="E1723" t="str">
            <v>철    쭉</v>
          </cell>
          <cell r="F1723" t="str">
            <v>(H0.4xW0.4)</v>
          </cell>
          <cell r="G1723" t="str">
            <v>주</v>
          </cell>
          <cell r="I1723">
            <v>0</v>
          </cell>
        </row>
        <row r="1724">
          <cell r="A1724" t="str">
            <v>D03794</v>
          </cell>
          <cell r="B1724">
            <v>42</v>
          </cell>
          <cell r="C1724" t="str">
            <v>e</v>
          </cell>
          <cell r="D1724">
            <v>14556763</v>
          </cell>
          <cell r="E1724" t="str">
            <v>잣 나 무</v>
          </cell>
          <cell r="F1724" t="str">
            <v>(H2.0xR4)</v>
          </cell>
          <cell r="G1724" t="str">
            <v>주</v>
          </cell>
          <cell r="I1724">
            <v>0</v>
          </cell>
        </row>
        <row r="1725">
          <cell r="A1725" t="str">
            <v>D03795</v>
          </cell>
          <cell r="B1725">
            <v>24</v>
          </cell>
          <cell r="C1725" t="str">
            <v>f</v>
          </cell>
          <cell r="D1725">
            <v>14556771</v>
          </cell>
          <cell r="E1725" t="str">
            <v>왕벗나무</v>
          </cell>
          <cell r="F1725" t="str">
            <v>(H2.0xR4)</v>
          </cell>
          <cell r="G1725" t="str">
            <v>주</v>
          </cell>
          <cell r="I1725">
            <v>0</v>
          </cell>
        </row>
        <row r="1726">
          <cell r="A1726" t="str">
            <v>D03796</v>
          </cell>
          <cell r="B1726">
            <v>18</v>
          </cell>
          <cell r="C1726" t="str">
            <v>g</v>
          </cell>
          <cell r="D1726">
            <v>14556775</v>
          </cell>
          <cell r="E1726" t="str">
            <v>청 단 풍</v>
          </cell>
          <cell r="F1726" t="str">
            <v>(H2.0xR4)</v>
          </cell>
          <cell r="G1726" t="str">
            <v>주</v>
          </cell>
          <cell r="I1726">
            <v>0</v>
          </cell>
        </row>
        <row r="1727">
          <cell r="A1727" t="str">
            <v>E3</v>
          </cell>
          <cell r="B1727">
            <v>0</v>
          </cell>
          <cell r="C1727" t="str">
            <v>합계</v>
          </cell>
          <cell r="D1727">
            <v>14556777</v>
          </cell>
          <cell r="I1727">
            <v>0</v>
          </cell>
        </row>
        <row r="1728">
          <cell r="A1728" t="str">
            <v>T3</v>
          </cell>
          <cell r="B1728">
            <v>1731</v>
          </cell>
          <cell r="C1728" t="str">
            <v>4.13</v>
          </cell>
          <cell r="D1728">
            <v>14556905</v>
          </cell>
          <cell r="E1728" t="str">
            <v>녹 생 토</v>
          </cell>
          <cell r="I1728">
            <v>0</v>
          </cell>
        </row>
        <row r="1729">
          <cell r="A1729" t="str">
            <v>D00774</v>
          </cell>
          <cell r="B1729">
            <v>1179</v>
          </cell>
          <cell r="C1729" t="str">
            <v>a</v>
          </cell>
          <cell r="D1729">
            <v>14556906</v>
          </cell>
          <cell r="E1729" t="str">
            <v>암절개면보호식재공</v>
          </cell>
          <cell r="F1729" t="str">
            <v>(T= 5 Cm)</v>
          </cell>
          <cell r="G1729" t="str">
            <v>㎡</v>
          </cell>
          <cell r="I1729">
            <v>0</v>
          </cell>
        </row>
        <row r="1730">
          <cell r="A1730" t="str">
            <v>D00766</v>
          </cell>
          <cell r="B1730">
            <v>2127</v>
          </cell>
          <cell r="C1730" t="str">
            <v>b</v>
          </cell>
          <cell r="D1730">
            <v>14556907</v>
          </cell>
          <cell r="E1730" t="str">
            <v>암절개면보호식제공</v>
          </cell>
          <cell r="F1730" t="str">
            <v>(T=10 Cm)</v>
          </cell>
          <cell r="G1730" t="str">
            <v>㎡</v>
          </cell>
          <cell r="I1730">
            <v>0</v>
          </cell>
        </row>
        <row r="1731">
          <cell r="A1731" t="str">
            <v>D00767</v>
          </cell>
          <cell r="B1731">
            <v>2658</v>
          </cell>
          <cell r="C1731" t="str">
            <v>c</v>
          </cell>
          <cell r="D1731">
            <v>14556971</v>
          </cell>
          <cell r="E1731" t="str">
            <v>암절개면보호식재공</v>
          </cell>
          <cell r="F1731" t="str">
            <v>(T=15 Cm)</v>
          </cell>
          <cell r="G1731" t="str">
            <v>㎡</v>
          </cell>
          <cell r="I1731">
            <v>0</v>
          </cell>
        </row>
        <row r="1732">
          <cell r="A1732" t="str">
            <v>E3</v>
          </cell>
          <cell r="B1732">
            <v>0</v>
          </cell>
          <cell r="C1732" t="str">
            <v>합계</v>
          </cell>
          <cell r="D1732">
            <v>14557003</v>
          </cell>
          <cell r="I1732">
            <v>0</v>
          </cell>
        </row>
        <row r="1733">
          <cell r="A1733" t="str">
            <v>T3</v>
          </cell>
          <cell r="B1733">
            <v>1736</v>
          </cell>
          <cell r="C1733" t="str">
            <v>4.14</v>
          </cell>
          <cell r="D1733">
            <v>14557005</v>
          </cell>
          <cell r="E1733" t="str">
            <v>동상방지층</v>
          </cell>
          <cell r="I1733">
            <v>0</v>
          </cell>
        </row>
        <row r="1734">
          <cell r="A1734" t="str">
            <v>D03744</v>
          </cell>
          <cell r="B1734">
            <v>2323</v>
          </cell>
          <cell r="C1734" t="str">
            <v>a</v>
          </cell>
          <cell r="D1734">
            <v>14557069</v>
          </cell>
          <cell r="E1734" t="str">
            <v>동상방지층생산</v>
          </cell>
          <cell r="F1734" t="str">
            <v>(현장암유용)</v>
          </cell>
          <cell r="G1734" t="str">
            <v>㎥</v>
          </cell>
          <cell r="I1734">
            <v>0</v>
          </cell>
        </row>
        <row r="1735">
          <cell r="A1735" t="str">
            <v>D00823</v>
          </cell>
          <cell r="B1735">
            <v>1076</v>
          </cell>
          <cell r="C1735" t="str">
            <v>b</v>
          </cell>
          <cell r="D1735">
            <v>14557101</v>
          </cell>
          <cell r="E1735" t="str">
            <v>동상방지층</v>
          </cell>
          <cell r="F1735" t="str">
            <v>(포설및다짐 T=15 Cm)</v>
          </cell>
          <cell r="G1735" t="str">
            <v>㎥</v>
          </cell>
          <cell r="I1735">
            <v>0</v>
          </cell>
        </row>
        <row r="1736">
          <cell r="A1736" t="str">
            <v>D00824</v>
          </cell>
          <cell r="B1736">
            <v>733</v>
          </cell>
          <cell r="C1736" t="str">
            <v>c</v>
          </cell>
          <cell r="D1736">
            <v>14557117</v>
          </cell>
          <cell r="E1736" t="str">
            <v>동상방지층</v>
          </cell>
          <cell r="F1736" t="str">
            <v>(포설및다짐 T=35 Cm)</v>
          </cell>
          <cell r="G1736" t="str">
            <v>㎥</v>
          </cell>
          <cell r="I1736">
            <v>0</v>
          </cell>
        </row>
        <row r="1737">
          <cell r="A1737" t="str">
            <v>E3</v>
          </cell>
          <cell r="B1737">
            <v>0</v>
          </cell>
          <cell r="C1737" t="str">
            <v>합계</v>
          </cell>
          <cell r="D1737">
            <v>14557125</v>
          </cell>
          <cell r="I1737">
            <v>0</v>
          </cell>
        </row>
        <row r="1738">
          <cell r="A1738" t="str">
            <v>T3</v>
          </cell>
          <cell r="B1738">
            <v>1740</v>
          </cell>
          <cell r="C1738" t="str">
            <v>4.15</v>
          </cell>
          <cell r="D1738">
            <v>14557257</v>
          </cell>
          <cell r="E1738" t="str">
            <v>린콘크리트기층</v>
          </cell>
          <cell r="F1738" t="str">
            <v>(T=15 Cm)</v>
          </cell>
          <cell r="I1738">
            <v>0</v>
          </cell>
        </row>
        <row r="1739">
          <cell r="A1739" t="str">
            <v>D03760</v>
          </cell>
          <cell r="B1739">
            <v>1092</v>
          </cell>
          <cell r="C1739" t="str">
            <v>a</v>
          </cell>
          <cell r="D1739">
            <v>14557259</v>
          </cell>
          <cell r="E1739" t="str">
            <v>린콘크리트기층</v>
          </cell>
          <cell r="F1739" t="str">
            <v>(포설및다짐 T=15 Cm)</v>
          </cell>
          <cell r="G1739" t="str">
            <v>㎥</v>
          </cell>
          <cell r="I1739">
            <v>0</v>
          </cell>
        </row>
        <row r="1740">
          <cell r="A1740" t="str">
            <v>D03768</v>
          </cell>
          <cell r="B1740">
            <v>13</v>
          </cell>
          <cell r="C1740" t="str">
            <v>b</v>
          </cell>
          <cell r="D1740">
            <v>14557260</v>
          </cell>
          <cell r="E1740" t="str">
            <v>인력포설</v>
          </cell>
          <cell r="F1740" t="str">
            <v>(T=15 Cm)</v>
          </cell>
          <cell r="G1740" t="str">
            <v>㎥</v>
          </cell>
          <cell r="I1740">
            <v>0</v>
          </cell>
        </row>
        <row r="1741">
          <cell r="A1741" t="str">
            <v>E3</v>
          </cell>
          <cell r="B1741">
            <v>0</v>
          </cell>
          <cell r="C1741" t="str">
            <v>합계</v>
          </cell>
          <cell r="D1741">
            <v>14557261</v>
          </cell>
          <cell r="I1741">
            <v>0</v>
          </cell>
        </row>
        <row r="1742">
          <cell r="A1742" t="str">
            <v>T3</v>
          </cell>
          <cell r="B1742">
            <v>1744</v>
          </cell>
          <cell r="C1742" t="str">
            <v>4.16</v>
          </cell>
          <cell r="D1742">
            <v>14557325</v>
          </cell>
          <cell r="E1742" t="str">
            <v>콘크리트포설</v>
          </cell>
          <cell r="F1742" t="str">
            <v>(T=30 Cm)</v>
          </cell>
          <cell r="I1742">
            <v>0</v>
          </cell>
        </row>
        <row r="1743">
          <cell r="A1743" t="str">
            <v>D03764</v>
          </cell>
          <cell r="B1743">
            <v>2185</v>
          </cell>
          <cell r="C1743" t="str">
            <v>a</v>
          </cell>
          <cell r="D1743">
            <v>14557357</v>
          </cell>
          <cell r="E1743" t="str">
            <v>콘크리트포장</v>
          </cell>
          <cell r="F1743" t="str">
            <v>(2차로동시기계포설)</v>
          </cell>
          <cell r="G1743" t="str">
            <v>㎥</v>
          </cell>
          <cell r="I1743">
            <v>0</v>
          </cell>
        </row>
        <row r="1744">
          <cell r="A1744" t="str">
            <v>D03766</v>
          </cell>
          <cell r="B1744">
            <v>17</v>
          </cell>
          <cell r="C1744" t="str">
            <v>b</v>
          </cell>
          <cell r="D1744">
            <v>14557373</v>
          </cell>
          <cell r="E1744" t="str">
            <v>인력포설</v>
          </cell>
          <cell r="F1744" t="str">
            <v>(T=30 Cm)</v>
          </cell>
          <cell r="G1744" t="str">
            <v>㎥</v>
          </cell>
          <cell r="I1744">
            <v>0</v>
          </cell>
        </row>
        <row r="1745">
          <cell r="A1745" t="str">
            <v>E3</v>
          </cell>
          <cell r="B1745">
            <v>0</v>
          </cell>
          <cell r="C1745" t="str">
            <v>합계</v>
          </cell>
          <cell r="D1745">
            <v>14557381</v>
          </cell>
          <cell r="I1745">
            <v>0</v>
          </cell>
        </row>
        <row r="1746">
          <cell r="A1746" t="str">
            <v>D00270</v>
          </cell>
          <cell r="B1746">
            <v>1.659</v>
          </cell>
          <cell r="C1746" t="str">
            <v>4.17</v>
          </cell>
          <cell r="D1746">
            <v>14557385</v>
          </cell>
          <cell r="E1746" t="str">
            <v>철근설치공</v>
          </cell>
          <cell r="F1746" t="str">
            <v>철근가공조립(간 단)</v>
          </cell>
          <cell r="G1746" t="str">
            <v>Ton</v>
          </cell>
          <cell r="I1746">
            <v>0</v>
          </cell>
        </row>
        <row r="1747">
          <cell r="A1747" t="str">
            <v>D00761</v>
          </cell>
          <cell r="B1747">
            <v>7372</v>
          </cell>
          <cell r="C1747" t="str">
            <v>4.18</v>
          </cell>
          <cell r="D1747">
            <v>14557387</v>
          </cell>
          <cell r="E1747" t="str">
            <v>비닐깔기</v>
          </cell>
          <cell r="G1747" t="str">
            <v>㎡</v>
          </cell>
          <cell r="I1747">
            <v>0</v>
          </cell>
        </row>
        <row r="1748">
          <cell r="A1748" t="str">
            <v>D00280</v>
          </cell>
          <cell r="B1748">
            <v>9</v>
          </cell>
          <cell r="C1748" t="str">
            <v>4.19</v>
          </cell>
          <cell r="D1748">
            <v>14557388</v>
          </cell>
          <cell r="E1748" t="str">
            <v>합판거푸집</v>
          </cell>
          <cell r="F1748" t="str">
            <v>(4 회)</v>
          </cell>
          <cell r="G1748" t="str">
            <v>㎡</v>
          </cell>
          <cell r="I1748">
            <v>0</v>
          </cell>
        </row>
        <row r="1749">
          <cell r="A1749" t="str">
            <v>T3</v>
          </cell>
          <cell r="B1749">
            <v>1755</v>
          </cell>
          <cell r="C1749" t="str">
            <v>4.20</v>
          </cell>
          <cell r="D1749">
            <v>14557389</v>
          </cell>
          <cell r="E1749" t="str">
            <v>줄눈설치공</v>
          </cell>
          <cell r="I1749">
            <v>0</v>
          </cell>
        </row>
        <row r="1750">
          <cell r="A1750" t="str">
            <v>D03769</v>
          </cell>
          <cell r="B1750">
            <v>998</v>
          </cell>
          <cell r="C1750" t="str">
            <v>a</v>
          </cell>
          <cell r="D1750">
            <v>14557485</v>
          </cell>
          <cell r="E1750" t="str">
            <v>세로줄눈(형식.1-1)</v>
          </cell>
          <cell r="F1750" t="str">
            <v>(본선2차로동시포설)</v>
          </cell>
          <cell r="G1750" t="str">
            <v>M</v>
          </cell>
          <cell r="I1750">
            <v>0</v>
          </cell>
        </row>
        <row r="1751">
          <cell r="A1751" t="str">
            <v>D03773</v>
          </cell>
          <cell r="B1751">
            <v>1211</v>
          </cell>
          <cell r="C1751" t="str">
            <v>b</v>
          </cell>
          <cell r="D1751">
            <v>14557501</v>
          </cell>
          <cell r="E1751" t="str">
            <v>가로줄눈(형식.2-1,2)</v>
          </cell>
          <cell r="F1751" t="str">
            <v>(본선2차로용)</v>
          </cell>
          <cell r="G1751" t="str">
            <v>M</v>
          </cell>
          <cell r="I1751">
            <v>0</v>
          </cell>
        </row>
        <row r="1752">
          <cell r="A1752" t="str">
            <v>T1</v>
          </cell>
          <cell r="B1752">
            <v>1754</v>
          </cell>
          <cell r="C1752" t="str">
            <v>c</v>
          </cell>
          <cell r="D1752">
            <v>14557509</v>
          </cell>
          <cell r="E1752" t="str">
            <v>팽창줄눈</v>
          </cell>
          <cell r="I1752">
            <v>0</v>
          </cell>
        </row>
        <row r="1753">
          <cell r="A1753" t="str">
            <v>D03779</v>
          </cell>
          <cell r="B1753">
            <v>18</v>
          </cell>
          <cell r="C1753" t="str">
            <v>-1</v>
          </cell>
          <cell r="D1753">
            <v>14557511</v>
          </cell>
          <cell r="E1753" t="str">
            <v>팽창줄눈(형식.3-1)</v>
          </cell>
          <cell r="F1753" t="str">
            <v>(본선2차로용)</v>
          </cell>
          <cell r="G1753" t="str">
            <v>M</v>
          </cell>
          <cell r="I1753">
            <v>0</v>
          </cell>
        </row>
        <row r="1754">
          <cell r="A1754" t="str">
            <v>D03849</v>
          </cell>
          <cell r="B1754">
            <v>29</v>
          </cell>
          <cell r="C1754" t="str">
            <v>-2</v>
          </cell>
          <cell r="D1754">
            <v>14557512</v>
          </cell>
          <cell r="E1754" t="str">
            <v>팽창줄눈(형식3-6,7)</v>
          </cell>
          <cell r="F1754" t="str">
            <v>(아스콘 접속부)</v>
          </cell>
          <cell r="G1754" t="str">
            <v>M</v>
          </cell>
          <cell r="I1754">
            <v>0</v>
          </cell>
        </row>
        <row r="1755">
          <cell r="A1755" t="str">
            <v>E1</v>
          </cell>
          <cell r="B1755">
            <v>0</v>
          </cell>
          <cell r="C1755" t="str">
            <v>소계</v>
          </cell>
          <cell r="D1755">
            <v>14557513</v>
          </cell>
          <cell r="I1755">
            <v>0</v>
          </cell>
        </row>
        <row r="1756">
          <cell r="A1756" t="str">
            <v>E3</v>
          </cell>
          <cell r="B1756">
            <v>0</v>
          </cell>
          <cell r="C1756" t="str">
            <v>합계</v>
          </cell>
          <cell r="D1756">
            <v>14557641</v>
          </cell>
          <cell r="I1756">
            <v>0</v>
          </cell>
        </row>
        <row r="1757">
          <cell r="A1757" t="str">
            <v>D03783</v>
          </cell>
          <cell r="B1757">
            <v>1</v>
          </cell>
          <cell r="C1757" t="str">
            <v>4.21</v>
          </cell>
          <cell r="D1757">
            <v>14557643</v>
          </cell>
          <cell r="E1757" t="str">
            <v>콘크리트포장면연마</v>
          </cell>
          <cell r="G1757" t="str">
            <v>식</v>
          </cell>
          <cell r="I1757">
            <v>0</v>
          </cell>
        </row>
        <row r="1758">
          <cell r="A1758" t="str">
            <v>E4</v>
          </cell>
          <cell r="B1758">
            <v>0</v>
          </cell>
          <cell r="C1758" t="str">
            <v>총계</v>
          </cell>
          <cell r="D1758">
            <v>14557645</v>
          </cell>
          <cell r="I1758">
            <v>0</v>
          </cell>
        </row>
        <row r="1759">
          <cell r="A1759" t="str">
            <v>T4</v>
          </cell>
          <cell r="B1759">
            <v>1793</v>
          </cell>
          <cell r="C1759" t="str">
            <v>5.</v>
          </cell>
          <cell r="D1759">
            <v>14572138</v>
          </cell>
          <cell r="E1759" t="str">
            <v>포    장    공</v>
          </cell>
          <cell r="I1759">
            <v>0</v>
          </cell>
        </row>
        <row r="1760">
          <cell r="A1760" t="str">
            <v>T3</v>
          </cell>
          <cell r="B1760">
            <v>1763</v>
          </cell>
          <cell r="C1760" t="str">
            <v>5.01</v>
          </cell>
          <cell r="D1760">
            <v>14572755</v>
          </cell>
          <cell r="E1760" t="str">
            <v>생산및운반</v>
          </cell>
          <cell r="I1760">
            <v>0</v>
          </cell>
        </row>
        <row r="1761">
          <cell r="A1761" t="str">
            <v>D00854</v>
          </cell>
          <cell r="B1761">
            <v>1543</v>
          </cell>
          <cell r="C1761" t="str">
            <v>a</v>
          </cell>
          <cell r="D1761">
            <v>14573064</v>
          </cell>
          <cell r="E1761" t="str">
            <v>속채움잡석</v>
          </cell>
          <cell r="F1761" t="str">
            <v>(현장암유용)</v>
          </cell>
          <cell r="G1761" t="str">
            <v>㎥</v>
          </cell>
          <cell r="I1761">
            <v>0</v>
          </cell>
        </row>
        <row r="1762">
          <cell r="A1762" t="str">
            <v>D03744</v>
          </cell>
          <cell r="B1762">
            <v>74810</v>
          </cell>
          <cell r="C1762" t="str">
            <v>b</v>
          </cell>
          <cell r="D1762">
            <v>14573218</v>
          </cell>
          <cell r="E1762" t="str">
            <v>동상방지층생산</v>
          </cell>
          <cell r="F1762" t="str">
            <v>(현장암유용)</v>
          </cell>
          <cell r="G1762" t="str">
            <v>㎥</v>
          </cell>
          <cell r="I1762">
            <v>0</v>
          </cell>
        </row>
        <row r="1763">
          <cell r="A1763" t="str">
            <v>D03742</v>
          </cell>
          <cell r="B1763">
            <v>83878</v>
          </cell>
          <cell r="C1763" t="str">
            <v>c</v>
          </cell>
          <cell r="D1763">
            <v>14573295</v>
          </cell>
          <cell r="E1763" t="str">
            <v>보조기층생산</v>
          </cell>
          <cell r="F1763" t="str">
            <v>(현장암유용)</v>
          </cell>
          <cell r="G1763" t="str">
            <v>㎥</v>
          </cell>
          <cell r="I1763">
            <v>0</v>
          </cell>
        </row>
        <row r="1764">
          <cell r="A1764" t="str">
            <v>E3</v>
          </cell>
          <cell r="B1764">
            <v>0</v>
          </cell>
          <cell r="C1764" t="str">
            <v>합계</v>
          </cell>
          <cell r="D1764">
            <v>14573334</v>
          </cell>
          <cell r="I1764">
            <v>0</v>
          </cell>
        </row>
        <row r="1765">
          <cell r="A1765" t="str">
            <v>T3</v>
          </cell>
          <cell r="B1765">
            <v>1767</v>
          </cell>
          <cell r="C1765" t="str">
            <v>5.02</v>
          </cell>
          <cell r="D1765">
            <v>14573372</v>
          </cell>
          <cell r="E1765" t="str">
            <v>동상방지층</v>
          </cell>
          <cell r="I1765">
            <v>0</v>
          </cell>
        </row>
        <row r="1766">
          <cell r="A1766" t="str">
            <v>D00794</v>
          </cell>
          <cell r="B1766">
            <v>57554</v>
          </cell>
          <cell r="C1766" t="str">
            <v>a</v>
          </cell>
          <cell r="D1766">
            <v>14574998</v>
          </cell>
          <cell r="E1766" t="str">
            <v>동상방지층</v>
          </cell>
          <cell r="F1766" t="str">
            <v>(포설및다짐 T=25 Cm)</v>
          </cell>
          <cell r="G1766" t="str">
            <v>㎥</v>
          </cell>
          <cell r="I1766">
            <v>0</v>
          </cell>
        </row>
        <row r="1767">
          <cell r="A1767" t="str">
            <v>D00796</v>
          </cell>
          <cell r="B1767">
            <v>711</v>
          </cell>
          <cell r="C1767" t="str">
            <v>b</v>
          </cell>
          <cell r="D1767">
            <v>14575122</v>
          </cell>
          <cell r="E1767" t="str">
            <v>동상방지층</v>
          </cell>
          <cell r="F1767" t="str">
            <v>(포설및다짐 T=40 Cm)</v>
          </cell>
          <cell r="G1767" t="str">
            <v>㎥</v>
          </cell>
          <cell r="I1767">
            <v>0</v>
          </cell>
        </row>
        <row r="1768">
          <cell r="A1768" t="str">
            <v>E3</v>
          </cell>
          <cell r="B1768">
            <v>0</v>
          </cell>
          <cell r="C1768" t="str">
            <v>합계</v>
          </cell>
          <cell r="D1768">
            <v>14575246</v>
          </cell>
          <cell r="I1768">
            <v>0</v>
          </cell>
        </row>
        <row r="1769">
          <cell r="A1769" t="str">
            <v>T3</v>
          </cell>
          <cell r="B1769">
            <v>1772</v>
          </cell>
          <cell r="C1769" t="str">
            <v>5.03</v>
          </cell>
          <cell r="D1769">
            <v>14575374</v>
          </cell>
          <cell r="E1769" t="str">
            <v>보조기층</v>
          </cell>
          <cell r="I1769">
            <v>0</v>
          </cell>
        </row>
        <row r="1770">
          <cell r="A1770" t="str">
            <v>D00799</v>
          </cell>
          <cell r="B1770">
            <v>57737</v>
          </cell>
          <cell r="C1770" t="str">
            <v>a</v>
          </cell>
          <cell r="D1770">
            <v>14575854</v>
          </cell>
          <cell r="E1770" t="str">
            <v>보조기층</v>
          </cell>
          <cell r="F1770" t="str">
            <v>(포설및다짐 T=25 Cm)</v>
          </cell>
          <cell r="G1770" t="str">
            <v>㎥</v>
          </cell>
          <cell r="I1770">
            <v>0</v>
          </cell>
        </row>
        <row r="1771">
          <cell r="A1771" t="str">
            <v>D00798</v>
          </cell>
          <cell r="B1771">
            <v>7561</v>
          </cell>
          <cell r="C1771" t="str">
            <v>b</v>
          </cell>
          <cell r="D1771">
            <v>14576014</v>
          </cell>
          <cell r="E1771" t="str">
            <v>보조기층</v>
          </cell>
          <cell r="F1771" t="str">
            <v>(포설및다짐 T=20 Cm)</v>
          </cell>
          <cell r="G1771" t="str">
            <v>㎥</v>
          </cell>
          <cell r="I1771">
            <v>0</v>
          </cell>
        </row>
        <row r="1772">
          <cell r="A1772" t="str">
            <v>D00821</v>
          </cell>
          <cell r="B1772">
            <v>28</v>
          </cell>
          <cell r="C1772" t="str">
            <v>c</v>
          </cell>
          <cell r="D1772">
            <v>14576066</v>
          </cell>
          <cell r="E1772" t="str">
            <v>노 견 토</v>
          </cell>
          <cell r="F1772" t="str">
            <v>(포설및다짐)</v>
          </cell>
          <cell r="G1772" t="str">
            <v>㎥</v>
          </cell>
          <cell r="I1772">
            <v>0</v>
          </cell>
        </row>
        <row r="1773">
          <cell r="A1773" t="str">
            <v>E3</v>
          </cell>
          <cell r="B1773">
            <v>0</v>
          </cell>
          <cell r="C1773" t="str">
            <v>합계</v>
          </cell>
          <cell r="D1773">
            <v>14576222</v>
          </cell>
          <cell r="I1773">
            <v>0</v>
          </cell>
        </row>
        <row r="1774">
          <cell r="A1774" t="str">
            <v>D00805</v>
          </cell>
          <cell r="B1774">
            <v>1989</v>
          </cell>
          <cell r="C1774" t="str">
            <v>5.04</v>
          </cell>
          <cell r="D1774">
            <v>14576270</v>
          </cell>
          <cell r="E1774" t="str">
            <v>프라임코팅</v>
          </cell>
          <cell r="F1774" t="str">
            <v>(MC-1,75 L/a)</v>
          </cell>
          <cell r="G1774" t="str">
            <v>ａ</v>
          </cell>
          <cell r="I1774">
            <v>0</v>
          </cell>
        </row>
        <row r="1775">
          <cell r="A1775" t="str">
            <v>T3</v>
          </cell>
          <cell r="B1775">
            <v>1778</v>
          </cell>
          <cell r="C1775" t="str">
            <v>5.05</v>
          </cell>
          <cell r="D1775">
            <v>14576308</v>
          </cell>
          <cell r="E1775" t="str">
            <v>아스콘기층</v>
          </cell>
          <cell r="I1775">
            <v>0</v>
          </cell>
        </row>
        <row r="1776">
          <cell r="A1776" t="str">
            <v>D00811</v>
          </cell>
          <cell r="B1776">
            <v>2101</v>
          </cell>
          <cell r="C1776" t="str">
            <v>a</v>
          </cell>
          <cell r="D1776">
            <v>14576579</v>
          </cell>
          <cell r="E1776" t="str">
            <v>아스콘기층</v>
          </cell>
          <cell r="F1776" t="str">
            <v>(포설및다짐 T=19 Cm)</v>
          </cell>
          <cell r="G1776" t="str">
            <v>ａ</v>
          </cell>
          <cell r="I1776">
            <v>0</v>
          </cell>
        </row>
        <row r="1777">
          <cell r="A1777" t="str">
            <v>D00809</v>
          </cell>
          <cell r="B1777">
            <v>13</v>
          </cell>
          <cell r="C1777" t="str">
            <v>b</v>
          </cell>
          <cell r="D1777">
            <v>14576714</v>
          </cell>
          <cell r="E1777" t="str">
            <v>아스콘기층</v>
          </cell>
          <cell r="F1777" t="str">
            <v>(포설및다짐 T=10 Cm)</v>
          </cell>
          <cell r="G1777" t="str">
            <v>ａ</v>
          </cell>
          <cell r="I1777">
            <v>0</v>
          </cell>
        </row>
        <row r="1778">
          <cell r="A1778" t="str">
            <v>D00812</v>
          </cell>
          <cell r="B1778">
            <v>661</v>
          </cell>
          <cell r="C1778" t="str">
            <v>c</v>
          </cell>
          <cell r="D1778">
            <v>14576782</v>
          </cell>
          <cell r="E1778" t="str">
            <v>레벨링코스</v>
          </cell>
          <cell r="F1778" t="str">
            <v>(기층재)</v>
          </cell>
          <cell r="G1778" t="str">
            <v>Ton</v>
          </cell>
          <cell r="I1778">
            <v>0</v>
          </cell>
        </row>
        <row r="1779">
          <cell r="A1779" t="str">
            <v>E3</v>
          </cell>
          <cell r="B1779">
            <v>0</v>
          </cell>
          <cell r="C1779" t="str">
            <v>합계</v>
          </cell>
          <cell r="D1779">
            <v>14576816</v>
          </cell>
          <cell r="I1779">
            <v>0</v>
          </cell>
        </row>
        <row r="1780">
          <cell r="A1780" t="str">
            <v>D01257</v>
          </cell>
          <cell r="B1780">
            <v>2150</v>
          </cell>
          <cell r="C1780" t="str">
            <v>5.06</v>
          </cell>
          <cell r="D1780">
            <v>14576849</v>
          </cell>
          <cell r="E1780" t="str">
            <v>아스콘중간층</v>
          </cell>
          <cell r="F1780" t="str">
            <v>(포설다짐 T=6 Cm)</v>
          </cell>
          <cell r="G1780" t="str">
            <v>a</v>
          </cell>
          <cell r="I1780">
            <v>0</v>
          </cell>
        </row>
        <row r="1781">
          <cell r="A1781" t="str">
            <v>D00813</v>
          </cell>
          <cell r="B1781">
            <v>5634</v>
          </cell>
          <cell r="C1781" t="str">
            <v>5.07</v>
          </cell>
          <cell r="D1781">
            <v>14577025</v>
          </cell>
          <cell r="E1781" t="str">
            <v>택 코 팅</v>
          </cell>
          <cell r="F1781" t="str">
            <v>(RSC-4,30 L/a)</v>
          </cell>
          <cell r="G1781" t="str">
            <v>ａ</v>
          </cell>
          <cell r="I1781">
            <v>0</v>
          </cell>
        </row>
        <row r="1782">
          <cell r="A1782" t="str">
            <v>T3</v>
          </cell>
          <cell r="B1782">
            <v>1785</v>
          </cell>
          <cell r="C1782" t="str">
            <v>5.08</v>
          </cell>
          <cell r="D1782">
            <v>14577200</v>
          </cell>
          <cell r="E1782" t="str">
            <v>아스콘표층</v>
          </cell>
          <cell r="I1782">
            <v>0</v>
          </cell>
        </row>
        <row r="1783">
          <cell r="A1783" t="str">
            <v>D00815</v>
          </cell>
          <cell r="B1783">
            <v>123</v>
          </cell>
          <cell r="C1783" t="str">
            <v>a</v>
          </cell>
          <cell r="D1783">
            <v>14577550</v>
          </cell>
          <cell r="E1783" t="str">
            <v>아스콘표층</v>
          </cell>
          <cell r="F1783" t="str">
            <v>(포설다짐 T=8 Cm)</v>
          </cell>
          <cell r="G1783" t="str">
            <v>ａ</v>
          </cell>
          <cell r="I1783">
            <v>0</v>
          </cell>
        </row>
        <row r="1784">
          <cell r="A1784" t="str">
            <v>D00816</v>
          </cell>
          <cell r="B1784">
            <v>2158</v>
          </cell>
          <cell r="C1784" t="str">
            <v>b</v>
          </cell>
          <cell r="D1784">
            <v>14577834</v>
          </cell>
          <cell r="E1784" t="str">
            <v>아스콘표층</v>
          </cell>
          <cell r="F1784" t="str">
            <v>(포설다짐 T=5 Cm)</v>
          </cell>
          <cell r="G1784" t="str">
            <v>ａ</v>
          </cell>
          <cell r="I1784">
            <v>0</v>
          </cell>
        </row>
        <row r="1785">
          <cell r="A1785" t="str">
            <v>D00762</v>
          </cell>
          <cell r="B1785">
            <v>772</v>
          </cell>
          <cell r="C1785" t="str">
            <v>c</v>
          </cell>
          <cell r="D1785">
            <v>14577905</v>
          </cell>
          <cell r="E1785" t="str">
            <v>레벨링코스</v>
          </cell>
          <cell r="F1785" t="str">
            <v>(표층재)</v>
          </cell>
          <cell r="G1785" t="str">
            <v>Ton</v>
          </cell>
          <cell r="I1785">
            <v>0</v>
          </cell>
        </row>
        <row r="1786">
          <cell r="A1786" t="str">
            <v>E3</v>
          </cell>
          <cell r="B1786">
            <v>0</v>
          </cell>
          <cell r="C1786" t="str">
            <v>합계</v>
          </cell>
          <cell r="D1786">
            <v>14577976</v>
          </cell>
          <cell r="I1786">
            <v>0</v>
          </cell>
        </row>
        <row r="1787">
          <cell r="A1787" t="str">
            <v>T3</v>
          </cell>
          <cell r="B1787">
            <v>1792</v>
          </cell>
          <cell r="C1787" t="str">
            <v>5.09</v>
          </cell>
          <cell r="D1787">
            <v>14578047</v>
          </cell>
          <cell r="E1787" t="str">
            <v>부체도로</v>
          </cell>
          <cell r="I1787">
            <v>0</v>
          </cell>
        </row>
        <row r="1788">
          <cell r="A1788" t="str">
            <v>D00838</v>
          </cell>
          <cell r="B1788">
            <v>23021</v>
          </cell>
          <cell r="C1788" t="str">
            <v>a</v>
          </cell>
          <cell r="D1788">
            <v>14578794</v>
          </cell>
          <cell r="E1788" t="str">
            <v>콘크리트포장</v>
          </cell>
          <cell r="F1788" t="str">
            <v>(인력포설 T=20 Cm)</v>
          </cell>
          <cell r="G1788" t="str">
            <v>㎡</v>
          </cell>
          <cell r="I1788">
            <v>0</v>
          </cell>
        </row>
        <row r="1789">
          <cell r="A1789" t="str">
            <v>D00843</v>
          </cell>
          <cell r="B1789">
            <v>921</v>
          </cell>
          <cell r="C1789" t="str">
            <v>b</v>
          </cell>
          <cell r="D1789">
            <v>14578981</v>
          </cell>
          <cell r="E1789" t="str">
            <v>줄눈설치</v>
          </cell>
          <cell r="F1789" t="str">
            <v>(판재 T=10 m/m)</v>
          </cell>
          <cell r="G1789" t="str">
            <v>M</v>
          </cell>
          <cell r="I1789">
            <v>0</v>
          </cell>
        </row>
        <row r="1790">
          <cell r="A1790" t="str">
            <v>D00280</v>
          </cell>
          <cell r="B1790">
            <v>1471</v>
          </cell>
          <cell r="C1790" t="str">
            <v>c</v>
          </cell>
          <cell r="D1790">
            <v>14579167</v>
          </cell>
          <cell r="E1790" t="str">
            <v>합판거푸집</v>
          </cell>
          <cell r="F1790" t="str">
            <v>(4 회)</v>
          </cell>
          <cell r="G1790" t="str">
            <v>㎡</v>
          </cell>
          <cell r="I1790">
            <v>0</v>
          </cell>
        </row>
        <row r="1791">
          <cell r="A1791" t="str">
            <v>D00761</v>
          </cell>
          <cell r="B1791">
            <v>23021</v>
          </cell>
          <cell r="C1791" t="str">
            <v>d</v>
          </cell>
          <cell r="D1791">
            <v>14579354</v>
          </cell>
          <cell r="E1791" t="str">
            <v>비닐깔기</v>
          </cell>
          <cell r="G1791" t="str">
            <v>㎡</v>
          </cell>
          <cell r="I1791">
            <v>0</v>
          </cell>
        </row>
        <row r="1792">
          <cell r="A1792" t="str">
            <v>D00858</v>
          </cell>
          <cell r="B1792">
            <v>23021</v>
          </cell>
          <cell r="C1792" t="str">
            <v>e</v>
          </cell>
          <cell r="D1792">
            <v>14579447</v>
          </cell>
          <cell r="E1792" t="str">
            <v>와이어메쉬</v>
          </cell>
          <cell r="F1792" t="str">
            <v>(#8-150x150)</v>
          </cell>
          <cell r="G1792" t="str">
            <v>㎡</v>
          </cell>
          <cell r="I1792">
            <v>0</v>
          </cell>
        </row>
        <row r="1793">
          <cell r="A1793" t="str">
            <v>E3</v>
          </cell>
          <cell r="B1793">
            <v>0</v>
          </cell>
          <cell r="C1793" t="str">
            <v>합계</v>
          </cell>
          <cell r="D1793">
            <v>14579459</v>
          </cell>
          <cell r="I1793">
            <v>0</v>
          </cell>
        </row>
        <row r="1794">
          <cell r="A1794" t="str">
            <v>E4</v>
          </cell>
          <cell r="B1794">
            <v>0</v>
          </cell>
          <cell r="C1794" t="str">
            <v>총계</v>
          </cell>
          <cell r="D1794">
            <v>14579540</v>
          </cell>
          <cell r="I1794">
            <v>0</v>
          </cell>
        </row>
        <row r="1795">
          <cell r="A1795" t="str">
            <v>T4</v>
          </cell>
          <cell r="B1795">
            <v>1862</v>
          </cell>
          <cell r="C1795" t="str">
            <v>6.</v>
          </cell>
          <cell r="D1795">
            <v>14582591</v>
          </cell>
          <cell r="E1795" t="str">
            <v>교통안전시설공</v>
          </cell>
          <cell r="I1795">
            <v>0</v>
          </cell>
        </row>
        <row r="1796">
          <cell r="A1796" t="str">
            <v>T3</v>
          </cell>
          <cell r="B1796">
            <v>1805</v>
          </cell>
          <cell r="C1796" t="str">
            <v>6.01</v>
          </cell>
          <cell r="D1796">
            <v>14582628</v>
          </cell>
          <cell r="E1796" t="str">
            <v>교통 표지판</v>
          </cell>
          <cell r="I1796">
            <v>0</v>
          </cell>
        </row>
        <row r="1797">
          <cell r="A1797" t="str">
            <v>D00870</v>
          </cell>
          <cell r="B1797">
            <v>32</v>
          </cell>
          <cell r="C1797" t="str">
            <v>a</v>
          </cell>
          <cell r="D1797">
            <v>14582701</v>
          </cell>
          <cell r="E1797" t="str">
            <v>삼각표지판</v>
          </cell>
          <cell r="F1797" t="str">
            <v>(120 Cm)</v>
          </cell>
          <cell r="G1797" t="str">
            <v>EA</v>
          </cell>
          <cell r="I1797">
            <v>0</v>
          </cell>
        </row>
        <row r="1798">
          <cell r="A1798" t="str">
            <v>T2</v>
          </cell>
          <cell r="B1798">
            <v>1800</v>
          </cell>
          <cell r="C1798" t="str">
            <v>b</v>
          </cell>
          <cell r="D1798">
            <v>14582765</v>
          </cell>
          <cell r="E1798" t="str">
            <v>원형표지판</v>
          </cell>
          <cell r="I1798">
            <v>0</v>
          </cell>
        </row>
        <row r="1799">
          <cell r="A1799" t="str">
            <v>D00871</v>
          </cell>
          <cell r="B1799">
            <v>12</v>
          </cell>
          <cell r="C1799" t="str">
            <v>-1</v>
          </cell>
          <cell r="D1799">
            <v>14582829</v>
          </cell>
          <cell r="E1799" t="str">
            <v>원형표지판</v>
          </cell>
          <cell r="F1799" t="str">
            <v>(Φ 90 Cm)</v>
          </cell>
          <cell r="G1799" t="str">
            <v>EA</v>
          </cell>
          <cell r="I1799">
            <v>0</v>
          </cell>
        </row>
        <row r="1800">
          <cell r="A1800" t="str">
            <v>D00872</v>
          </cell>
          <cell r="B1800">
            <v>29</v>
          </cell>
          <cell r="C1800" t="str">
            <v>-2</v>
          </cell>
          <cell r="D1800">
            <v>14582881</v>
          </cell>
          <cell r="E1800" t="str">
            <v>원형표지판</v>
          </cell>
          <cell r="F1800" t="str">
            <v>(Φ90 Cm, 부착식)</v>
          </cell>
          <cell r="G1800" t="str">
            <v>EA</v>
          </cell>
          <cell r="I1800">
            <v>0</v>
          </cell>
        </row>
        <row r="1801">
          <cell r="A1801" t="str">
            <v>E2</v>
          </cell>
          <cell r="B1801">
            <v>0</v>
          </cell>
          <cell r="C1801" t="str">
            <v>계</v>
          </cell>
          <cell r="D1801">
            <v>14582907</v>
          </cell>
          <cell r="I1801">
            <v>0</v>
          </cell>
        </row>
        <row r="1802">
          <cell r="A1802" t="str">
            <v>T2</v>
          </cell>
          <cell r="B1802">
            <v>1804</v>
          </cell>
          <cell r="C1802" t="str">
            <v>c</v>
          </cell>
          <cell r="D1802">
            <v>14582920</v>
          </cell>
          <cell r="E1802" t="str">
            <v>이중표지판</v>
          </cell>
          <cell r="I1802">
            <v>0</v>
          </cell>
        </row>
        <row r="1803">
          <cell r="A1803" t="str">
            <v>D00881</v>
          </cell>
          <cell r="B1803">
            <v>11</v>
          </cell>
          <cell r="C1803" t="str">
            <v>-1</v>
          </cell>
          <cell r="D1803">
            <v>14582927</v>
          </cell>
          <cell r="E1803" t="str">
            <v>이중표지판(삼각)</v>
          </cell>
          <cell r="F1803" t="str">
            <v>120x103.9x2 EA</v>
          </cell>
          <cell r="G1803" t="str">
            <v>EA</v>
          </cell>
          <cell r="I1803">
            <v>0</v>
          </cell>
        </row>
        <row r="1804">
          <cell r="A1804" t="str">
            <v>D00925</v>
          </cell>
          <cell r="B1804">
            <v>12</v>
          </cell>
          <cell r="C1804" t="str">
            <v>-2</v>
          </cell>
          <cell r="D1804">
            <v>14582933</v>
          </cell>
          <cell r="E1804" t="str">
            <v>이중표지판(반사판400</v>
          </cell>
          <cell r="F1804" t="str">
            <v>x400+소분리대600x300</v>
          </cell>
          <cell r="G1804" t="str">
            <v>EA</v>
          </cell>
          <cell r="I1804">
            <v>0</v>
          </cell>
        </row>
        <row r="1805">
          <cell r="A1805" t="str">
            <v>E2</v>
          </cell>
          <cell r="B1805">
            <v>0</v>
          </cell>
          <cell r="C1805" t="str">
            <v>계</v>
          </cell>
          <cell r="D1805">
            <v>14582997</v>
          </cell>
          <cell r="I1805">
            <v>0</v>
          </cell>
        </row>
        <row r="1806">
          <cell r="A1806" t="str">
            <v>E3</v>
          </cell>
          <cell r="B1806">
            <v>0</v>
          </cell>
          <cell r="C1806" t="str">
            <v>합계</v>
          </cell>
          <cell r="D1806">
            <v>14583013</v>
          </cell>
          <cell r="I1806">
            <v>0</v>
          </cell>
        </row>
        <row r="1807">
          <cell r="A1807" t="str">
            <v>T3</v>
          </cell>
          <cell r="B1807">
            <v>1816</v>
          </cell>
          <cell r="C1807" t="str">
            <v>6.02</v>
          </cell>
          <cell r="D1807">
            <v>14583029</v>
          </cell>
          <cell r="E1807" t="str">
            <v>안내표지판</v>
          </cell>
          <cell r="I1807">
            <v>0</v>
          </cell>
        </row>
        <row r="1808">
          <cell r="A1808" t="str">
            <v>D00880</v>
          </cell>
          <cell r="B1808">
            <v>7</v>
          </cell>
          <cell r="C1808" t="str">
            <v>a</v>
          </cell>
          <cell r="D1808">
            <v>14583045</v>
          </cell>
          <cell r="E1808" t="str">
            <v>2 방향예고표지판</v>
          </cell>
          <cell r="F1808" t="str">
            <v>(403-3)</v>
          </cell>
          <cell r="G1808" t="str">
            <v>EA</v>
          </cell>
          <cell r="I1808">
            <v>0</v>
          </cell>
        </row>
        <row r="1809">
          <cell r="A1809" t="str">
            <v>D00876</v>
          </cell>
          <cell r="B1809">
            <v>10</v>
          </cell>
          <cell r="C1809" t="str">
            <v>b</v>
          </cell>
          <cell r="D1809">
            <v>14583053</v>
          </cell>
          <cell r="E1809" t="str">
            <v>2 방향 표지판</v>
          </cell>
          <cell r="F1809" t="str">
            <v>(403-4)</v>
          </cell>
          <cell r="G1809" t="str">
            <v>EA</v>
          </cell>
          <cell r="I1809">
            <v>0</v>
          </cell>
        </row>
        <row r="1810">
          <cell r="A1810" t="str">
            <v>D00878</v>
          </cell>
          <cell r="B1810">
            <v>13</v>
          </cell>
          <cell r="C1810" t="str">
            <v>c</v>
          </cell>
          <cell r="D1810">
            <v>14583057</v>
          </cell>
          <cell r="E1810" t="str">
            <v>3 방향예고표지판</v>
          </cell>
          <cell r="F1810" t="str">
            <v>(403-1)</v>
          </cell>
          <cell r="G1810" t="str">
            <v>EA</v>
          </cell>
          <cell r="I1810">
            <v>0</v>
          </cell>
        </row>
        <row r="1811">
          <cell r="A1811" t="str">
            <v>D00875</v>
          </cell>
          <cell r="B1811">
            <v>11</v>
          </cell>
          <cell r="C1811" t="str">
            <v>d</v>
          </cell>
          <cell r="D1811">
            <v>14583059</v>
          </cell>
          <cell r="E1811" t="str">
            <v>3 방향표지판</v>
          </cell>
          <cell r="F1811" t="str">
            <v>(403-2)</v>
          </cell>
          <cell r="G1811" t="str">
            <v>EA</v>
          </cell>
          <cell r="I1811">
            <v>0</v>
          </cell>
        </row>
        <row r="1812">
          <cell r="A1812" t="str">
            <v>D00877</v>
          </cell>
          <cell r="B1812">
            <v>6</v>
          </cell>
          <cell r="C1812" t="str">
            <v>e</v>
          </cell>
          <cell r="D1812">
            <v>14583060</v>
          </cell>
          <cell r="E1812" t="str">
            <v>2 지명방향표지판</v>
          </cell>
          <cell r="F1812" t="str">
            <v>(403-8)</v>
          </cell>
          <cell r="G1812" t="str">
            <v>EA</v>
          </cell>
          <cell r="I1812">
            <v>0</v>
          </cell>
        </row>
        <row r="1813">
          <cell r="A1813" t="str">
            <v>D03786</v>
          </cell>
          <cell r="B1813">
            <v>7</v>
          </cell>
          <cell r="C1813" t="str">
            <v>f</v>
          </cell>
          <cell r="D1813">
            <v>14583321</v>
          </cell>
          <cell r="E1813" t="str">
            <v>단일노선표지</v>
          </cell>
          <cell r="F1813" t="str">
            <v>(404-1)</v>
          </cell>
          <cell r="G1813" t="str">
            <v>EA</v>
          </cell>
          <cell r="I1813">
            <v>0</v>
          </cell>
        </row>
        <row r="1814">
          <cell r="A1814" t="str">
            <v>D00891</v>
          </cell>
          <cell r="B1814">
            <v>5</v>
          </cell>
          <cell r="C1814" t="str">
            <v>g</v>
          </cell>
          <cell r="D1814">
            <v>14583842</v>
          </cell>
          <cell r="E1814" t="str">
            <v>면계표지판</v>
          </cell>
          <cell r="F1814" t="str">
            <v>(401-1)</v>
          </cell>
          <cell r="G1814" t="str">
            <v>EA</v>
          </cell>
          <cell r="I1814">
            <v>0</v>
          </cell>
        </row>
        <row r="1815">
          <cell r="A1815" t="str">
            <v>D03785</v>
          </cell>
          <cell r="B1815">
            <v>4</v>
          </cell>
          <cell r="C1815" t="str">
            <v>h</v>
          </cell>
          <cell r="D1815">
            <v>14583972</v>
          </cell>
          <cell r="E1815" t="str">
            <v>분기점표지</v>
          </cell>
          <cell r="F1815" t="str">
            <v>(426)</v>
          </cell>
          <cell r="G1815" t="str">
            <v>EA</v>
          </cell>
          <cell r="I1815">
            <v>0</v>
          </cell>
        </row>
        <row r="1816">
          <cell r="A1816" t="str">
            <v>D00882</v>
          </cell>
          <cell r="B1816">
            <v>2</v>
          </cell>
          <cell r="C1816" t="str">
            <v>i</v>
          </cell>
          <cell r="D1816">
            <v>14584037</v>
          </cell>
          <cell r="E1816" t="str">
            <v>터널표지</v>
          </cell>
          <cell r="F1816" t="str">
            <v>(427-3)</v>
          </cell>
          <cell r="G1816" t="str">
            <v>EA</v>
          </cell>
          <cell r="I1816">
            <v>0</v>
          </cell>
        </row>
        <row r="1817">
          <cell r="A1817" t="str">
            <v>E3</v>
          </cell>
          <cell r="B1817">
            <v>0</v>
          </cell>
          <cell r="C1817" t="str">
            <v>합계</v>
          </cell>
          <cell r="D1817">
            <v>14584102</v>
          </cell>
          <cell r="I1817">
            <v>0</v>
          </cell>
        </row>
        <row r="1818">
          <cell r="A1818" t="str">
            <v>T3</v>
          </cell>
          <cell r="B1818">
            <v>1828</v>
          </cell>
          <cell r="C1818" t="str">
            <v>6.03</v>
          </cell>
          <cell r="D1818">
            <v>14584172</v>
          </cell>
          <cell r="E1818" t="str">
            <v>시선유도표지</v>
          </cell>
          <cell r="I1818">
            <v>0</v>
          </cell>
        </row>
        <row r="1819">
          <cell r="A1819" t="str">
            <v>T2</v>
          </cell>
          <cell r="B1819">
            <v>1823</v>
          </cell>
          <cell r="C1819" t="str">
            <v>a</v>
          </cell>
          <cell r="D1819">
            <v>14584207</v>
          </cell>
          <cell r="E1819" t="str">
            <v>데리네이터</v>
          </cell>
          <cell r="I1819">
            <v>0</v>
          </cell>
        </row>
        <row r="1820">
          <cell r="A1820" t="str">
            <v>D01298</v>
          </cell>
          <cell r="B1820">
            <v>203</v>
          </cell>
          <cell r="C1820" t="str">
            <v>-1</v>
          </cell>
          <cell r="D1820">
            <v>14584224</v>
          </cell>
          <cell r="E1820" t="str">
            <v>데리네이터</v>
          </cell>
          <cell r="F1820" t="str">
            <v>(중앙분리대용)</v>
          </cell>
          <cell r="G1820" t="str">
            <v>EA</v>
          </cell>
          <cell r="I1820">
            <v>0</v>
          </cell>
        </row>
        <row r="1821">
          <cell r="A1821" t="str">
            <v>D00899</v>
          </cell>
          <cell r="B1821">
            <v>263</v>
          </cell>
          <cell r="C1821" t="str">
            <v>-2</v>
          </cell>
          <cell r="D1821">
            <v>14584233</v>
          </cell>
          <cell r="E1821" t="str">
            <v>데리네이터</v>
          </cell>
          <cell r="F1821" t="str">
            <v>(가드레일용)</v>
          </cell>
          <cell r="G1821" t="str">
            <v>EA</v>
          </cell>
          <cell r="I1821">
            <v>0</v>
          </cell>
        </row>
        <row r="1822">
          <cell r="A1822" t="str">
            <v>D00898</v>
          </cell>
          <cell r="B1822">
            <v>101</v>
          </cell>
          <cell r="C1822" t="str">
            <v>-3</v>
          </cell>
          <cell r="D1822">
            <v>14584239</v>
          </cell>
          <cell r="E1822" t="str">
            <v>데리네이터</v>
          </cell>
          <cell r="F1822" t="str">
            <v>(옹벽용)</v>
          </cell>
          <cell r="G1822" t="str">
            <v>EA</v>
          </cell>
          <cell r="I1822">
            <v>0</v>
          </cell>
        </row>
        <row r="1823">
          <cell r="A1823" t="str">
            <v>D00897</v>
          </cell>
          <cell r="B1823">
            <v>29</v>
          </cell>
          <cell r="C1823" t="str">
            <v>-4</v>
          </cell>
          <cell r="D1823">
            <v>14584240</v>
          </cell>
          <cell r="E1823" t="str">
            <v>데리네이터</v>
          </cell>
          <cell r="F1823" t="str">
            <v>(토공용)</v>
          </cell>
          <cell r="G1823" t="str">
            <v>EA</v>
          </cell>
          <cell r="I1823">
            <v>0</v>
          </cell>
        </row>
        <row r="1824">
          <cell r="A1824" t="str">
            <v>E2</v>
          </cell>
          <cell r="B1824">
            <v>0</v>
          </cell>
          <cell r="C1824" t="str">
            <v>계</v>
          </cell>
          <cell r="D1824">
            <v>14584241</v>
          </cell>
          <cell r="I1824">
            <v>0</v>
          </cell>
        </row>
        <row r="1825">
          <cell r="A1825" t="str">
            <v>D01278</v>
          </cell>
          <cell r="B1825">
            <v>2678</v>
          </cell>
          <cell r="C1825" t="str">
            <v>b</v>
          </cell>
          <cell r="D1825">
            <v>14584305</v>
          </cell>
          <cell r="E1825" t="str">
            <v>도로표지병</v>
          </cell>
          <cell r="F1825" t="str">
            <v>(100x100x20)</v>
          </cell>
          <cell r="G1825" t="str">
            <v>EA</v>
          </cell>
          <cell r="I1825">
            <v>0</v>
          </cell>
        </row>
        <row r="1826">
          <cell r="A1826" t="str">
            <v>D00894</v>
          </cell>
          <cell r="B1826">
            <v>38</v>
          </cell>
          <cell r="C1826" t="str">
            <v>c</v>
          </cell>
          <cell r="D1826">
            <v>14584337</v>
          </cell>
          <cell r="E1826" t="str">
            <v>갈매기표지판</v>
          </cell>
          <cell r="F1826" t="str">
            <v>(단면 60x30 Cm)</v>
          </cell>
          <cell r="G1826" t="str">
            <v>EA</v>
          </cell>
          <cell r="I1826">
            <v>0</v>
          </cell>
        </row>
        <row r="1827">
          <cell r="A1827" t="str">
            <v>D01156</v>
          </cell>
          <cell r="B1827">
            <v>1</v>
          </cell>
          <cell r="C1827" t="str">
            <v>d</v>
          </cell>
          <cell r="D1827">
            <v>14584345</v>
          </cell>
          <cell r="E1827" t="str">
            <v>태양열경보등</v>
          </cell>
          <cell r="F1827" t="str">
            <v>(Φ125 m/m)</v>
          </cell>
          <cell r="G1827" t="str">
            <v>EA</v>
          </cell>
          <cell r="I1827">
            <v>0</v>
          </cell>
        </row>
        <row r="1828">
          <cell r="A1828" t="str">
            <v>D01155</v>
          </cell>
          <cell r="B1828">
            <v>447</v>
          </cell>
          <cell r="C1828" t="str">
            <v>e</v>
          </cell>
          <cell r="D1828">
            <v>14584353</v>
          </cell>
          <cell r="E1828" t="str">
            <v>차선규제봉</v>
          </cell>
          <cell r="F1828" t="str">
            <v>(Φ80x745x200 m/m)</v>
          </cell>
          <cell r="G1828" t="str">
            <v>EA</v>
          </cell>
          <cell r="I1828">
            <v>0</v>
          </cell>
        </row>
        <row r="1829">
          <cell r="A1829" t="str">
            <v>E3</v>
          </cell>
          <cell r="B1829">
            <v>0</v>
          </cell>
          <cell r="C1829" t="str">
            <v>합계</v>
          </cell>
          <cell r="D1829">
            <v>14584357</v>
          </cell>
          <cell r="I1829">
            <v>0</v>
          </cell>
        </row>
        <row r="1830">
          <cell r="A1830" t="str">
            <v>T3</v>
          </cell>
          <cell r="B1830">
            <v>1834</v>
          </cell>
          <cell r="C1830" t="str">
            <v>6.04</v>
          </cell>
          <cell r="D1830">
            <v>14584361</v>
          </cell>
          <cell r="E1830" t="str">
            <v>차선도색</v>
          </cell>
          <cell r="I1830">
            <v>0</v>
          </cell>
        </row>
        <row r="1831">
          <cell r="A1831" t="str">
            <v>D01237</v>
          </cell>
          <cell r="B1831">
            <v>6446</v>
          </cell>
          <cell r="C1831" t="str">
            <v>a</v>
          </cell>
          <cell r="D1831">
            <v>14584367</v>
          </cell>
          <cell r="E1831" t="str">
            <v>차선도색(융착식)</v>
          </cell>
          <cell r="F1831" t="str">
            <v>백색실선(기계식)</v>
          </cell>
          <cell r="G1831" t="str">
            <v>㎡</v>
          </cell>
          <cell r="I1831">
            <v>0</v>
          </cell>
        </row>
        <row r="1832">
          <cell r="A1832" t="str">
            <v>D01238</v>
          </cell>
          <cell r="B1832">
            <v>3241</v>
          </cell>
          <cell r="C1832" t="str">
            <v>b</v>
          </cell>
          <cell r="D1832">
            <v>14584368</v>
          </cell>
          <cell r="E1832" t="str">
            <v>차선도색(융착식)</v>
          </cell>
          <cell r="F1832" t="str">
            <v>백색파선(기계식)</v>
          </cell>
          <cell r="G1832" t="str">
            <v>㎡</v>
          </cell>
          <cell r="I1832">
            <v>0</v>
          </cell>
        </row>
        <row r="1833">
          <cell r="A1833" t="str">
            <v>D01299</v>
          </cell>
          <cell r="B1833">
            <v>893</v>
          </cell>
          <cell r="C1833" t="str">
            <v>c</v>
          </cell>
          <cell r="D1833">
            <v>14584496</v>
          </cell>
          <cell r="E1833" t="str">
            <v>차선도색</v>
          </cell>
          <cell r="F1833" t="str">
            <v>(노면표지)</v>
          </cell>
          <cell r="G1833" t="str">
            <v>㎡</v>
          </cell>
          <cell r="I1833">
            <v>0</v>
          </cell>
        </row>
        <row r="1834">
          <cell r="A1834" t="str">
            <v>D01105</v>
          </cell>
          <cell r="B1834">
            <v>3360</v>
          </cell>
          <cell r="C1834" t="str">
            <v>d</v>
          </cell>
          <cell r="D1834">
            <v>14584624</v>
          </cell>
          <cell r="E1834" t="str">
            <v>차선도색(융착식)</v>
          </cell>
          <cell r="F1834" t="str">
            <v>황색실선(기계식)</v>
          </cell>
          <cell r="G1834" t="str">
            <v>㎡</v>
          </cell>
          <cell r="I1834">
            <v>0</v>
          </cell>
        </row>
        <row r="1835">
          <cell r="A1835" t="str">
            <v>E3</v>
          </cell>
          <cell r="B1835">
            <v>0</v>
          </cell>
          <cell r="C1835" t="str">
            <v>합계</v>
          </cell>
          <cell r="D1835">
            <v>14584752</v>
          </cell>
          <cell r="I1835">
            <v>0</v>
          </cell>
        </row>
        <row r="1836">
          <cell r="A1836" t="str">
            <v>T3</v>
          </cell>
          <cell r="B1836">
            <v>1845</v>
          </cell>
          <cell r="C1836" t="str">
            <v>6.05</v>
          </cell>
          <cell r="D1836">
            <v>14584880</v>
          </cell>
          <cell r="E1836" t="str">
            <v>가드레일</v>
          </cell>
          <cell r="F1836" t="str">
            <v>노측용(단면)</v>
          </cell>
          <cell r="I1836">
            <v>0</v>
          </cell>
        </row>
        <row r="1837">
          <cell r="A1837" t="str">
            <v>T2</v>
          </cell>
          <cell r="B1837">
            <v>1840</v>
          </cell>
          <cell r="C1837" t="str">
            <v>a</v>
          </cell>
          <cell r="D1837">
            <v>14584977</v>
          </cell>
          <cell r="E1837" t="str">
            <v>단면가드레일</v>
          </cell>
          <cell r="I1837">
            <v>0</v>
          </cell>
        </row>
        <row r="1838">
          <cell r="A1838" t="str">
            <v>D00901</v>
          </cell>
          <cell r="B1838">
            <v>3943</v>
          </cell>
          <cell r="C1838" t="str">
            <v>-1</v>
          </cell>
          <cell r="D1838">
            <v>14585073</v>
          </cell>
          <cell r="E1838" t="str">
            <v>가드레일(단면)</v>
          </cell>
          <cell r="F1838" t="str">
            <v>3.2x460x4330</v>
          </cell>
          <cell r="G1838" t="str">
            <v>경간</v>
          </cell>
          <cell r="I1838">
            <v>0</v>
          </cell>
        </row>
        <row r="1839">
          <cell r="A1839" t="str">
            <v>D03637</v>
          </cell>
          <cell r="B1839">
            <v>110</v>
          </cell>
          <cell r="C1839" t="str">
            <v>-2</v>
          </cell>
          <cell r="D1839">
            <v>14585097</v>
          </cell>
          <cell r="E1839" t="str">
            <v>엔드레일</v>
          </cell>
          <cell r="F1839" t="str">
            <v>(단부레일, 단면)</v>
          </cell>
          <cell r="G1839" t="str">
            <v>EA</v>
          </cell>
          <cell r="I1839">
            <v>0</v>
          </cell>
        </row>
        <row r="1840">
          <cell r="A1840" t="str">
            <v>D00905</v>
          </cell>
          <cell r="B1840">
            <v>15</v>
          </cell>
          <cell r="C1840" t="str">
            <v>-3</v>
          </cell>
          <cell r="D1840">
            <v>14585121</v>
          </cell>
          <cell r="E1840" t="str">
            <v>단부콘크리트</v>
          </cell>
          <cell r="G1840" t="str">
            <v>EA</v>
          </cell>
          <cell r="I1840">
            <v>0</v>
          </cell>
        </row>
        <row r="1841">
          <cell r="A1841" t="str">
            <v>E2</v>
          </cell>
          <cell r="B1841">
            <v>0</v>
          </cell>
          <cell r="C1841" t="str">
            <v>계</v>
          </cell>
          <cell r="D1841">
            <v>14585129</v>
          </cell>
          <cell r="I1841">
            <v>0</v>
          </cell>
        </row>
        <row r="1842">
          <cell r="A1842" t="str">
            <v>T2</v>
          </cell>
          <cell r="B1842">
            <v>1844</v>
          </cell>
          <cell r="C1842" t="str">
            <v>b</v>
          </cell>
          <cell r="D1842">
            <v>14585193</v>
          </cell>
          <cell r="E1842" t="str">
            <v>가드레일</v>
          </cell>
          <cell r="F1842" t="str">
            <v>방호벽부</v>
          </cell>
          <cell r="I1842">
            <v>0</v>
          </cell>
        </row>
        <row r="1843">
          <cell r="A1843" t="str">
            <v>D03939</v>
          </cell>
          <cell r="B1843">
            <v>155</v>
          </cell>
          <cell r="C1843" t="str">
            <v>-1</v>
          </cell>
          <cell r="D1843">
            <v>14585225</v>
          </cell>
          <cell r="E1843" t="str">
            <v>표준레일</v>
          </cell>
          <cell r="F1843" t="str">
            <v>(방호벽부)</v>
          </cell>
          <cell r="G1843" t="str">
            <v>경간</v>
          </cell>
          <cell r="I1843">
            <v>0</v>
          </cell>
        </row>
        <row r="1844">
          <cell r="A1844" t="str">
            <v>D03940</v>
          </cell>
          <cell r="B1844">
            <v>314</v>
          </cell>
          <cell r="C1844" t="str">
            <v>-2</v>
          </cell>
          <cell r="D1844">
            <v>14585241</v>
          </cell>
          <cell r="E1844" t="str">
            <v>레일포스트</v>
          </cell>
          <cell r="F1844" t="str">
            <v>(H=1.085 M)</v>
          </cell>
          <cell r="G1844" t="str">
            <v>EA</v>
          </cell>
          <cell r="I1844">
            <v>0</v>
          </cell>
        </row>
        <row r="1845">
          <cell r="A1845" t="str">
            <v>E2</v>
          </cell>
          <cell r="B1845">
            <v>0</v>
          </cell>
          <cell r="C1845" t="str">
            <v>계</v>
          </cell>
          <cell r="D1845">
            <v>14585249</v>
          </cell>
          <cell r="I1845">
            <v>0</v>
          </cell>
        </row>
        <row r="1846">
          <cell r="A1846" t="str">
            <v>E3</v>
          </cell>
          <cell r="B1846">
            <v>0</v>
          </cell>
          <cell r="C1846" t="str">
            <v>합계</v>
          </cell>
          <cell r="D1846">
            <v>14585253</v>
          </cell>
          <cell r="I1846">
            <v>0</v>
          </cell>
        </row>
        <row r="1847">
          <cell r="A1847" t="str">
            <v>T3</v>
          </cell>
          <cell r="B1847">
            <v>1856</v>
          </cell>
          <cell r="C1847" t="str">
            <v>6.06</v>
          </cell>
          <cell r="D1847">
            <v>14585257</v>
          </cell>
          <cell r="E1847" t="str">
            <v>중앙분리대</v>
          </cell>
          <cell r="F1847" t="str">
            <v>양면가드레일</v>
          </cell>
          <cell r="I1847">
            <v>0</v>
          </cell>
        </row>
        <row r="1848">
          <cell r="A1848" t="str">
            <v>T2</v>
          </cell>
          <cell r="B1848">
            <v>1850</v>
          </cell>
          <cell r="C1848" t="str">
            <v>a</v>
          </cell>
          <cell r="D1848">
            <v>14585262</v>
          </cell>
          <cell r="E1848" t="str">
            <v>토사구간</v>
          </cell>
          <cell r="I1848">
            <v>0</v>
          </cell>
        </row>
        <row r="1849">
          <cell r="A1849" t="str">
            <v>D03635</v>
          </cell>
          <cell r="B1849">
            <v>2760</v>
          </cell>
          <cell r="C1849" t="str">
            <v>-1</v>
          </cell>
          <cell r="D1849">
            <v>14585267</v>
          </cell>
          <cell r="E1849" t="str">
            <v>표준레일</v>
          </cell>
          <cell r="F1849" t="str">
            <v>(3.2x455x4330)</v>
          </cell>
          <cell r="G1849" t="str">
            <v>경간</v>
          </cell>
          <cell r="I1849">
            <v>0</v>
          </cell>
        </row>
        <row r="1850">
          <cell r="A1850" t="str">
            <v>D03638</v>
          </cell>
          <cell r="B1850">
            <v>4</v>
          </cell>
          <cell r="C1850" t="str">
            <v>-2</v>
          </cell>
          <cell r="D1850">
            <v>14585396</v>
          </cell>
          <cell r="E1850" t="str">
            <v>라운드레일</v>
          </cell>
          <cell r="F1850" t="str">
            <v>(3.2x455x965)</v>
          </cell>
          <cell r="G1850" t="str">
            <v>EA</v>
          </cell>
          <cell r="I1850">
            <v>0</v>
          </cell>
        </row>
        <row r="1851">
          <cell r="A1851" t="str">
            <v>E2</v>
          </cell>
          <cell r="B1851">
            <v>0</v>
          </cell>
          <cell r="C1851" t="str">
            <v>계</v>
          </cell>
          <cell r="D1851">
            <v>14585397</v>
          </cell>
          <cell r="I1851">
            <v>0</v>
          </cell>
        </row>
        <row r="1852">
          <cell r="A1852" t="str">
            <v>T2</v>
          </cell>
          <cell r="B1852">
            <v>1854</v>
          </cell>
          <cell r="C1852" t="str">
            <v>b</v>
          </cell>
          <cell r="D1852">
            <v>14585525</v>
          </cell>
          <cell r="E1852" t="str">
            <v>암 구 간</v>
          </cell>
          <cell r="I1852">
            <v>0</v>
          </cell>
        </row>
        <row r="1853">
          <cell r="A1853" t="str">
            <v>D03636</v>
          </cell>
          <cell r="B1853">
            <v>692</v>
          </cell>
          <cell r="C1853" t="str">
            <v>-1</v>
          </cell>
          <cell r="D1853">
            <v>14585654</v>
          </cell>
          <cell r="E1853" t="str">
            <v>표준레일</v>
          </cell>
          <cell r="F1853" t="str">
            <v>(3.2x455x4330)</v>
          </cell>
          <cell r="G1853" t="str">
            <v>경간</v>
          </cell>
          <cell r="I1853">
            <v>0</v>
          </cell>
        </row>
        <row r="1854">
          <cell r="A1854" t="str">
            <v>D00902</v>
          </cell>
          <cell r="B1854">
            <v>1</v>
          </cell>
          <cell r="C1854" t="str">
            <v>-2</v>
          </cell>
          <cell r="D1854">
            <v>14585655</v>
          </cell>
          <cell r="E1854" t="str">
            <v>엔드레일(암구간)</v>
          </cell>
          <cell r="F1854" t="str">
            <v>중앙분리대용</v>
          </cell>
          <cell r="G1854" t="str">
            <v>EA</v>
          </cell>
          <cell r="I1854">
            <v>0</v>
          </cell>
        </row>
        <row r="1855">
          <cell r="A1855" t="str">
            <v>E2</v>
          </cell>
          <cell r="B1855">
            <v>0</v>
          </cell>
          <cell r="C1855" t="str">
            <v>계</v>
          </cell>
          <cell r="D1855">
            <v>14585847</v>
          </cell>
          <cell r="I1855">
            <v>0</v>
          </cell>
        </row>
        <row r="1856">
          <cell r="A1856" t="str">
            <v>D03633</v>
          </cell>
          <cell r="B1856">
            <v>137</v>
          </cell>
          <cell r="C1856" t="str">
            <v>c</v>
          </cell>
          <cell r="D1856">
            <v>14585879</v>
          </cell>
          <cell r="E1856" t="str">
            <v>교량구간</v>
          </cell>
          <cell r="F1856" t="str">
            <v>표준레일</v>
          </cell>
          <cell r="G1856" t="str">
            <v>경간</v>
          </cell>
          <cell r="I1856">
            <v>0</v>
          </cell>
        </row>
        <row r="1857">
          <cell r="A1857" t="str">
            <v>E3</v>
          </cell>
          <cell r="B1857">
            <v>0</v>
          </cell>
          <cell r="C1857" t="str">
            <v>합계</v>
          </cell>
          <cell r="D1857">
            <v>14585909</v>
          </cell>
          <cell r="I1857">
            <v>0</v>
          </cell>
        </row>
        <row r="1858">
          <cell r="A1858" t="str">
            <v>T3</v>
          </cell>
          <cell r="B1858">
            <v>1860</v>
          </cell>
          <cell r="C1858" t="str">
            <v>6.07</v>
          </cell>
          <cell r="D1858">
            <v>14586037</v>
          </cell>
          <cell r="E1858" t="str">
            <v>차 광 망</v>
          </cell>
          <cell r="F1858" t="str">
            <v>프라스틱</v>
          </cell>
          <cell r="I1858">
            <v>0</v>
          </cell>
        </row>
        <row r="1859">
          <cell r="A1859" t="str">
            <v>D01301</v>
          </cell>
          <cell r="B1859">
            <v>1688</v>
          </cell>
          <cell r="C1859" t="str">
            <v>a</v>
          </cell>
          <cell r="D1859">
            <v>14586038</v>
          </cell>
          <cell r="E1859" t="str">
            <v>차광망설치</v>
          </cell>
          <cell r="F1859" t="str">
            <v>(중분대용)</v>
          </cell>
          <cell r="G1859" t="str">
            <v>EA</v>
          </cell>
          <cell r="I1859">
            <v>0</v>
          </cell>
        </row>
        <row r="1860">
          <cell r="A1860" t="str">
            <v>D01302</v>
          </cell>
          <cell r="B1860">
            <v>176</v>
          </cell>
          <cell r="C1860" t="str">
            <v>b</v>
          </cell>
          <cell r="D1860">
            <v>14586039</v>
          </cell>
          <cell r="E1860" t="str">
            <v>차광망설치</v>
          </cell>
          <cell r="F1860" t="str">
            <v>(교 량 용)</v>
          </cell>
          <cell r="G1860" t="str">
            <v>EA</v>
          </cell>
          <cell r="I1860">
            <v>0</v>
          </cell>
        </row>
        <row r="1861">
          <cell r="A1861" t="str">
            <v>E3</v>
          </cell>
          <cell r="B1861">
            <v>0</v>
          </cell>
          <cell r="C1861" t="str">
            <v>합계</v>
          </cell>
          <cell r="D1861">
            <v>14586103</v>
          </cell>
          <cell r="I1861">
            <v>0</v>
          </cell>
        </row>
        <row r="1862">
          <cell r="A1862" t="str">
            <v>D01280</v>
          </cell>
          <cell r="B1862">
            <v>14</v>
          </cell>
          <cell r="C1862" t="str">
            <v>6.08</v>
          </cell>
          <cell r="D1862">
            <v>14586105</v>
          </cell>
          <cell r="E1862" t="str">
            <v>차량충돌충격흡수시설</v>
          </cell>
          <cell r="G1862" t="str">
            <v>EA</v>
          </cell>
          <cell r="I1862">
            <v>0</v>
          </cell>
        </row>
        <row r="1863">
          <cell r="A1863" t="str">
            <v>E4</v>
          </cell>
          <cell r="B1863">
            <v>0</v>
          </cell>
          <cell r="C1863" t="str">
            <v>총계</v>
          </cell>
          <cell r="D1863">
            <v>14586106</v>
          </cell>
          <cell r="I1863">
            <v>0</v>
          </cell>
        </row>
        <row r="1864">
          <cell r="A1864" t="str">
            <v>T4</v>
          </cell>
          <cell r="B1864">
            <v>2072</v>
          </cell>
          <cell r="C1864" t="str">
            <v>7.</v>
          </cell>
          <cell r="D1864">
            <v>14586107</v>
          </cell>
          <cell r="E1864" t="str">
            <v>부   대   공</v>
          </cell>
          <cell r="I1864">
            <v>3097715144</v>
          </cell>
        </row>
        <row r="1865">
          <cell r="A1865" t="str">
            <v>T3</v>
          </cell>
          <cell r="B1865">
            <v>1874</v>
          </cell>
          <cell r="C1865" t="str">
            <v>7.01</v>
          </cell>
          <cell r="D1865">
            <v>14586235</v>
          </cell>
          <cell r="E1865" t="str">
            <v>낙석방지책</v>
          </cell>
          <cell r="I1865">
            <v>0</v>
          </cell>
        </row>
        <row r="1866">
          <cell r="A1866" t="str">
            <v>T2</v>
          </cell>
          <cell r="B1866">
            <v>1868</v>
          </cell>
          <cell r="C1866" t="str">
            <v>a</v>
          </cell>
          <cell r="D1866">
            <v>14586236</v>
          </cell>
          <cell r="E1866" t="str">
            <v>낙석방지책</v>
          </cell>
          <cell r="I1866">
            <v>0</v>
          </cell>
        </row>
        <row r="1867">
          <cell r="A1867" t="str">
            <v>D00908</v>
          </cell>
          <cell r="B1867">
            <v>63</v>
          </cell>
          <cell r="C1867" t="str">
            <v>-1</v>
          </cell>
          <cell r="D1867">
            <v>14586237</v>
          </cell>
          <cell r="E1867" t="str">
            <v>낙석방지책(표준구간)</v>
          </cell>
          <cell r="F1867" t="str">
            <v>H=2.5 m</v>
          </cell>
          <cell r="G1867" t="str">
            <v>경간</v>
          </cell>
          <cell r="I1867">
            <v>0</v>
          </cell>
        </row>
        <row r="1868">
          <cell r="A1868" t="str">
            <v>D00852</v>
          </cell>
          <cell r="B1868">
            <v>2</v>
          </cell>
          <cell r="C1868" t="str">
            <v>-2</v>
          </cell>
          <cell r="D1868">
            <v>14586367</v>
          </cell>
          <cell r="E1868" t="str">
            <v>낙석방지책(단부)</v>
          </cell>
          <cell r="G1868" t="str">
            <v>개소</v>
          </cell>
          <cell r="I1868">
            <v>0</v>
          </cell>
        </row>
        <row r="1869">
          <cell r="A1869" t="str">
            <v>E2</v>
          </cell>
          <cell r="B1869">
            <v>0</v>
          </cell>
          <cell r="C1869" t="str">
            <v>계</v>
          </cell>
          <cell r="D1869">
            <v>14586431</v>
          </cell>
          <cell r="I1869">
            <v>0</v>
          </cell>
        </row>
        <row r="1870">
          <cell r="A1870" t="str">
            <v>T2</v>
          </cell>
          <cell r="B1870">
            <v>1872</v>
          </cell>
          <cell r="C1870" t="str">
            <v>b</v>
          </cell>
          <cell r="D1870">
            <v>14586447</v>
          </cell>
          <cell r="E1870" t="str">
            <v>기    초</v>
          </cell>
          <cell r="I1870">
            <v>0</v>
          </cell>
        </row>
        <row r="1871">
          <cell r="A1871" t="str">
            <v>D00909</v>
          </cell>
          <cell r="B1871">
            <v>63</v>
          </cell>
          <cell r="C1871" t="str">
            <v>-1</v>
          </cell>
          <cell r="D1871">
            <v>14586455</v>
          </cell>
          <cell r="E1871" t="str">
            <v>표준구간</v>
          </cell>
          <cell r="G1871" t="str">
            <v>EA</v>
          </cell>
          <cell r="I1871">
            <v>0</v>
          </cell>
        </row>
        <row r="1872">
          <cell r="A1872" t="str">
            <v>D01300</v>
          </cell>
          <cell r="B1872">
            <v>2</v>
          </cell>
          <cell r="C1872" t="str">
            <v>-2</v>
          </cell>
          <cell r="D1872">
            <v>14586459</v>
          </cell>
          <cell r="E1872" t="str">
            <v>단    부</v>
          </cell>
          <cell r="G1872" t="str">
            <v>EA</v>
          </cell>
          <cell r="I1872">
            <v>0</v>
          </cell>
        </row>
        <row r="1873">
          <cell r="A1873" t="str">
            <v>E2</v>
          </cell>
          <cell r="B1873">
            <v>0</v>
          </cell>
          <cell r="C1873" t="str">
            <v>계</v>
          </cell>
          <cell r="D1873">
            <v>14586461</v>
          </cell>
          <cell r="I1873">
            <v>0</v>
          </cell>
        </row>
        <row r="1874">
          <cell r="A1874" t="str">
            <v>D00892</v>
          </cell>
          <cell r="B1874">
            <v>4725</v>
          </cell>
          <cell r="C1874" t="str">
            <v>c</v>
          </cell>
          <cell r="D1874">
            <v>14586462</v>
          </cell>
          <cell r="E1874" t="str">
            <v>낙석 방지망</v>
          </cell>
          <cell r="G1874" t="str">
            <v>㎡</v>
          </cell>
          <cell r="I1874">
            <v>0</v>
          </cell>
        </row>
        <row r="1875">
          <cell r="A1875" t="str">
            <v>E3</v>
          </cell>
          <cell r="B1875">
            <v>0</v>
          </cell>
          <cell r="C1875" t="str">
            <v>합계</v>
          </cell>
          <cell r="D1875">
            <v>14586463</v>
          </cell>
          <cell r="I1875">
            <v>0</v>
          </cell>
        </row>
        <row r="1876">
          <cell r="A1876" t="str">
            <v>T3</v>
          </cell>
          <cell r="B1876">
            <v>1910</v>
          </cell>
          <cell r="C1876" t="str">
            <v>7.02</v>
          </cell>
          <cell r="D1876">
            <v>14586847</v>
          </cell>
          <cell r="E1876" t="str">
            <v>방 음 벽</v>
          </cell>
          <cell r="I1876">
            <v>0</v>
          </cell>
        </row>
        <row r="1877">
          <cell r="A1877" t="str">
            <v>T2</v>
          </cell>
          <cell r="B1877">
            <v>1895</v>
          </cell>
          <cell r="C1877" t="str">
            <v>a</v>
          </cell>
          <cell r="D1877">
            <v>14586855</v>
          </cell>
          <cell r="E1877" t="str">
            <v>방음벽 설치</v>
          </cell>
          <cell r="I1877">
            <v>0</v>
          </cell>
        </row>
        <row r="1878">
          <cell r="A1878" t="str">
            <v>D00921</v>
          </cell>
          <cell r="B1878">
            <v>1874</v>
          </cell>
          <cell r="C1878" t="str">
            <v>-1</v>
          </cell>
          <cell r="D1878">
            <v>14586863</v>
          </cell>
          <cell r="E1878" t="str">
            <v>방음벽설치(토공용)</v>
          </cell>
          <cell r="F1878" t="str">
            <v>(흡음형,H=3.0 M)</v>
          </cell>
          <cell r="G1878" t="str">
            <v>M</v>
          </cell>
          <cell r="I1878">
            <v>0</v>
          </cell>
        </row>
        <row r="1879">
          <cell r="A1879" t="str">
            <v>D03866</v>
          </cell>
          <cell r="B1879">
            <v>90</v>
          </cell>
          <cell r="C1879" t="str">
            <v>-2</v>
          </cell>
          <cell r="D1879">
            <v>14586864</v>
          </cell>
          <cell r="E1879" t="str">
            <v>방음벽설치(교량용)</v>
          </cell>
          <cell r="F1879" t="str">
            <v>(흡음형,H=3.0 M)</v>
          </cell>
          <cell r="G1879" t="str">
            <v>M</v>
          </cell>
          <cell r="I1879">
            <v>0</v>
          </cell>
        </row>
        <row r="1880">
          <cell r="A1880" t="str">
            <v>T1</v>
          </cell>
          <cell r="B1880">
            <v>1882</v>
          </cell>
          <cell r="C1880" t="str">
            <v>-3</v>
          </cell>
          <cell r="D1880">
            <v>14586961</v>
          </cell>
          <cell r="E1880" t="str">
            <v>콘크리트타설</v>
          </cell>
          <cell r="I1880">
            <v>0</v>
          </cell>
        </row>
        <row r="1881">
          <cell r="A1881" t="str">
            <v>D00237</v>
          </cell>
          <cell r="B1881">
            <v>4535</v>
          </cell>
          <cell r="C1881" t="str">
            <v>-3-1</v>
          </cell>
          <cell r="D1881">
            <v>14586977</v>
          </cell>
          <cell r="E1881" t="str">
            <v>콘크리트타설</v>
          </cell>
          <cell r="F1881" t="str">
            <v>(철근 펌프카)</v>
          </cell>
          <cell r="G1881" t="str">
            <v>㎥</v>
          </cell>
          <cell r="I1881">
            <v>0</v>
          </cell>
        </row>
        <row r="1882">
          <cell r="A1882" t="str">
            <v>D00231</v>
          </cell>
          <cell r="B1882">
            <v>505</v>
          </cell>
          <cell r="C1882" t="str">
            <v>-3-2</v>
          </cell>
          <cell r="D1882">
            <v>14586985</v>
          </cell>
          <cell r="E1882" t="str">
            <v>콘크리트타설</v>
          </cell>
          <cell r="F1882" t="str">
            <v>(무근 VIB 제외)</v>
          </cell>
          <cell r="G1882" t="str">
            <v>㎥</v>
          </cell>
          <cell r="I1882">
            <v>0</v>
          </cell>
        </row>
        <row r="1883">
          <cell r="A1883" t="str">
            <v>E1</v>
          </cell>
          <cell r="B1883">
            <v>0</v>
          </cell>
          <cell r="C1883" t="str">
            <v>소계</v>
          </cell>
          <cell r="D1883">
            <v>14586989</v>
          </cell>
          <cell r="I1883">
            <v>0</v>
          </cell>
        </row>
        <row r="1884">
          <cell r="A1884" t="str">
            <v>T1</v>
          </cell>
          <cell r="B1884">
            <v>1886</v>
          </cell>
          <cell r="C1884" t="str">
            <v>-4</v>
          </cell>
          <cell r="D1884">
            <v>14586991</v>
          </cell>
          <cell r="E1884" t="str">
            <v>거 푸 집</v>
          </cell>
          <cell r="I1884">
            <v>0</v>
          </cell>
        </row>
        <row r="1885">
          <cell r="A1885" t="str">
            <v>D00276</v>
          </cell>
          <cell r="B1885">
            <v>11468</v>
          </cell>
          <cell r="C1885" t="str">
            <v>-4-1</v>
          </cell>
          <cell r="D1885">
            <v>14586992</v>
          </cell>
          <cell r="E1885" t="str">
            <v>측    벽</v>
          </cell>
          <cell r="F1885" t="str">
            <v>합판 3 회</v>
          </cell>
          <cell r="G1885" t="str">
            <v>㎡</v>
          </cell>
          <cell r="I1885">
            <v>0</v>
          </cell>
        </row>
        <row r="1886">
          <cell r="A1886" t="str">
            <v>D00276</v>
          </cell>
          <cell r="B1886">
            <v>38</v>
          </cell>
          <cell r="C1886" t="str">
            <v>-4-2</v>
          </cell>
          <cell r="D1886">
            <v>14586993</v>
          </cell>
          <cell r="E1886" t="str">
            <v>시 종 점</v>
          </cell>
          <cell r="F1886" t="str">
            <v>합판 3 회</v>
          </cell>
          <cell r="G1886" t="str">
            <v>㎡</v>
          </cell>
          <cell r="I1886">
            <v>0</v>
          </cell>
        </row>
        <row r="1887">
          <cell r="A1887" t="str">
            <v>E1</v>
          </cell>
          <cell r="B1887">
            <v>0</v>
          </cell>
          <cell r="C1887" t="str">
            <v>소계</v>
          </cell>
          <cell r="D1887">
            <v>14587057</v>
          </cell>
          <cell r="I1887">
            <v>0</v>
          </cell>
        </row>
        <row r="1888">
          <cell r="A1888" t="str">
            <v>D00323</v>
          </cell>
          <cell r="B1888">
            <v>3748</v>
          </cell>
          <cell r="C1888" t="str">
            <v>-5</v>
          </cell>
          <cell r="D1888">
            <v>14587089</v>
          </cell>
          <cell r="E1888" t="str">
            <v>강관비계</v>
          </cell>
          <cell r="F1888" t="str">
            <v>(0∼30 M)</v>
          </cell>
          <cell r="G1888" t="str">
            <v>㎡</v>
          </cell>
          <cell r="I1888">
            <v>0</v>
          </cell>
        </row>
        <row r="1889">
          <cell r="A1889" t="str">
            <v>D00761</v>
          </cell>
          <cell r="B1889">
            <v>2061</v>
          </cell>
          <cell r="C1889" t="str">
            <v>-6</v>
          </cell>
          <cell r="D1889">
            <v>14587105</v>
          </cell>
          <cell r="E1889" t="str">
            <v>비닐깔기</v>
          </cell>
          <cell r="G1889" t="str">
            <v>㎡</v>
          </cell>
          <cell r="I1889">
            <v>0</v>
          </cell>
        </row>
        <row r="1890">
          <cell r="A1890" t="str">
            <v>D01293</v>
          </cell>
          <cell r="B1890">
            <v>281</v>
          </cell>
          <cell r="C1890" t="str">
            <v>-7</v>
          </cell>
          <cell r="D1890">
            <v>14587113</v>
          </cell>
          <cell r="E1890" t="str">
            <v>신축이음</v>
          </cell>
          <cell r="F1890" t="str">
            <v>(스치로폴 T=10 m/m)</v>
          </cell>
          <cell r="G1890" t="str">
            <v>㎡</v>
          </cell>
          <cell r="I1890">
            <v>0</v>
          </cell>
        </row>
        <row r="1891">
          <cell r="A1891" t="str">
            <v>D00887</v>
          </cell>
          <cell r="B1891">
            <v>768</v>
          </cell>
          <cell r="C1891" t="str">
            <v>-8</v>
          </cell>
          <cell r="D1891">
            <v>14587117</v>
          </cell>
          <cell r="E1891" t="str">
            <v>수축줄눈</v>
          </cell>
          <cell r="F1891" t="str">
            <v>(30x38)</v>
          </cell>
          <cell r="G1891" t="str">
            <v>㎡</v>
          </cell>
          <cell r="I1891">
            <v>0</v>
          </cell>
        </row>
        <row r="1892">
          <cell r="A1892" t="str">
            <v>D00340</v>
          </cell>
          <cell r="B1892">
            <v>1405</v>
          </cell>
          <cell r="C1892" t="str">
            <v>-9</v>
          </cell>
          <cell r="D1892">
            <v>14587119</v>
          </cell>
          <cell r="E1892" t="str">
            <v>PVC PIPE 설치</v>
          </cell>
          <cell r="F1892" t="str">
            <v>(D= 50 m/m)</v>
          </cell>
          <cell r="G1892" t="str">
            <v>M</v>
          </cell>
          <cell r="I1892">
            <v>0</v>
          </cell>
        </row>
        <row r="1893">
          <cell r="A1893" t="str">
            <v>D00271</v>
          </cell>
          <cell r="B1893">
            <v>252.99</v>
          </cell>
          <cell r="C1893" t="str">
            <v>-10</v>
          </cell>
          <cell r="D1893">
            <v>14587120</v>
          </cell>
          <cell r="E1893" t="str">
            <v>철근가공조립</v>
          </cell>
          <cell r="F1893" t="str">
            <v>(보 통)</v>
          </cell>
          <cell r="G1893" t="str">
            <v>Ton</v>
          </cell>
          <cell r="I1893">
            <v>0</v>
          </cell>
        </row>
        <row r="1894">
          <cell r="A1894" t="str">
            <v>D00168</v>
          </cell>
          <cell r="B1894">
            <v>1630</v>
          </cell>
          <cell r="C1894" t="str">
            <v>-11</v>
          </cell>
          <cell r="D1894">
            <v>14587121</v>
          </cell>
          <cell r="E1894" t="str">
            <v>기초잡석깔기</v>
          </cell>
          <cell r="F1894" t="str">
            <v>(현장암 유용)</v>
          </cell>
          <cell r="G1894" t="str">
            <v>㎥</v>
          </cell>
          <cell r="I1894">
            <v>0</v>
          </cell>
        </row>
        <row r="1895">
          <cell r="A1895" t="str">
            <v>D00160</v>
          </cell>
          <cell r="B1895">
            <v>155</v>
          </cell>
          <cell r="C1895" t="str">
            <v>-12</v>
          </cell>
          <cell r="D1895">
            <v>14587185</v>
          </cell>
          <cell r="E1895" t="str">
            <v>되메우기및다짐</v>
          </cell>
          <cell r="F1895" t="str">
            <v>(인력30%+백호우70%)</v>
          </cell>
          <cell r="G1895" t="str">
            <v>㎥</v>
          </cell>
          <cell r="I1895">
            <v>0</v>
          </cell>
        </row>
        <row r="1896">
          <cell r="A1896" t="str">
            <v>E2</v>
          </cell>
          <cell r="B1896">
            <v>0</v>
          </cell>
          <cell r="C1896" t="str">
            <v>계</v>
          </cell>
          <cell r="D1896">
            <v>14587217</v>
          </cell>
          <cell r="I1896">
            <v>0</v>
          </cell>
        </row>
        <row r="1897">
          <cell r="A1897" t="str">
            <v>T2</v>
          </cell>
          <cell r="B1897">
            <v>1900</v>
          </cell>
          <cell r="C1897" t="str">
            <v>b</v>
          </cell>
          <cell r="D1897">
            <v>14587249</v>
          </cell>
          <cell r="E1897" t="str">
            <v>가설방음벽</v>
          </cell>
          <cell r="I1897">
            <v>0</v>
          </cell>
        </row>
        <row r="1898">
          <cell r="A1898" t="str">
            <v>D00944</v>
          </cell>
          <cell r="B1898">
            <v>220</v>
          </cell>
          <cell r="C1898" t="str">
            <v>-1</v>
          </cell>
          <cell r="D1898">
            <v>14587378</v>
          </cell>
          <cell r="E1898" t="str">
            <v>가설방음벽(H:2.0MxW:</v>
          </cell>
          <cell r="F1898" t="str">
            <v>2.0M)+방진망 2.0M</v>
          </cell>
          <cell r="G1898" t="str">
            <v>M</v>
          </cell>
          <cell r="I1898">
            <v>0</v>
          </cell>
        </row>
        <row r="1899">
          <cell r="A1899" t="str">
            <v>D00945</v>
          </cell>
          <cell r="B1899">
            <v>580</v>
          </cell>
          <cell r="C1899" t="str">
            <v>-2</v>
          </cell>
          <cell r="D1899">
            <v>14587379</v>
          </cell>
          <cell r="E1899" t="str">
            <v>가설방음벽(H:3.0MxW:</v>
          </cell>
          <cell r="F1899" t="str">
            <v>2.0M)+방진망 2.0M</v>
          </cell>
          <cell r="G1899" t="str">
            <v>M</v>
          </cell>
          <cell r="I1899">
            <v>0</v>
          </cell>
        </row>
        <row r="1900">
          <cell r="A1900" t="str">
            <v>D00946</v>
          </cell>
          <cell r="B1900">
            <v>985</v>
          </cell>
          <cell r="C1900" t="str">
            <v>-3</v>
          </cell>
          <cell r="D1900">
            <v>14587443</v>
          </cell>
          <cell r="E1900" t="str">
            <v>가설방음벽(H:4.0MxW:</v>
          </cell>
          <cell r="F1900" t="str">
            <v>2.0M)+방진망 2.0M</v>
          </cell>
          <cell r="G1900" t="str">
            <v>M</v>
          </cell>
          <cell r="I1900">
            <v>0</v>
          </cell>
        </row>
        <row r="1901">
          <cell r="A1901" t="str">
            <v>E2</v>
          </cell>
          <cell r="B1901">
            <v>0</v>
          </cell>
          <cell r="C1901" t="str">
            <v>계</v>
          </cell>
          <cell r="D1901">
            <v>14587475</v>
          </cell>
          <cell r="I1901">
            <v>0</v>
          </cell>
        </row>
        <row r="1902">
          <cell r="A1902" t="str">
            <v>D00947</v>
          </cell>
          <cell r="B1902">
            <v>205</v>
          </cell>
          <cell r="C1902" t="str">
            <v>c</v>
          </cell>
          <cell r="D1902">
            <v>14587491</v>
          </cell>
          <cell r="E1902" t="str">
            <v>방진망 설치</v>
          </cell>
          <cell r="F1902" t="str">
            <v>(H:4.0MxW:2.0M)</v>
          </cell>
          <cell r="G1902" t="str">
            <v>M</v>
          </cell>
          <cell r="I1902">
            <v>0</v>
          </cell>
        </row>
        <row r="1903">
          <cell r="A1903" t="str">
            <v>T2</v>
          </cell>
          <cell r="B1903">
            <v>1909</v>
          </cell>
          <cell r="C1903" t="str">
            <v>d</v>
          </cell>
          <cell r="D1903">
            <v>14587495</v>
          </cell>
          <cell r="E1903" t="str">
            <v>차폐시설</v>
          </cell>
          <cell r="F1903" t="str">
            <v>(가림판휀스)</v>
          </cell>
          <cell r="I1903">
            <v>0</v>
          </cell>
        </row>
        <row r="1904">
          <cell r="A1904" t="str">
            <v>D00096</v>
          </cell>
          <cell r="B1904">
            <v>37</v>
          </cell>
          <cell r="C1904" t="str">
            <v>-1</v>
          </cell>
          <cell r="D1904">
            <v>14587497</v>
          </cell>
          <cell r="E1904" t="str">
            <v>구조물터파기</v>
          </cell>
          <cell r="F1904" t="str">
            <v>(육상토사 0∼2 M)</v>
          </cell>
          <cell r="G1904" t="str">
            <v>㎥</v>
          </cell>
          <cell r="I1904">
            <v>0</v>
          </cell>
        </row>
        <row r="1905">
          <cell r="A1905" t="str">
            <v>D00160</v>
          </cell>
          <cell r="B1905">
            <v>34</v>
          </cell>
          <cell r="C1905" t="str">
            <v>-2</v>
          </cell>
          <cell r="D1905">
            <v>14587498</v>
          </cell>
          <cell r="E1905" t="str">
            <v>되메우기및다짐</v>
          </cell>
          <cell r="F1905" t="str">
            <v>(인력30%+백호우70%)</v>
          </cell>
          <cell r="G1905" t="str">
            <v>㎥</v>
          </cell>
          <cell r="I1905">
            <v>0</v>
          </cell>
        </row>
        <row r="1906">
          <cell r="A1906" t="str">
            <v>D00231</v>
          </cell>
          <cell r="B1906">
            <v>3</v>
          </cell>
          <cell r="C1906" t="str">
            <v>-3</v>
          </cell>
          <cell r="D1906">
            <v>14587499</v>
          </cell>
          <cell r="E1906" t="str">
            <v>콘크리트타설</v>
          </cell>
          <cell r="F1906" t="str">
            <v>(무근 VIB 제외)</v>
          </cell>
          <cell r="G1906" t="str">
            <v>㎥</v>
          </cell>
          <cell r="I1906">
            <v>0</v>
          </cell>
        </row>
        <row r="1907">
          <cell r="A1907" t="str">
            <v>D00282</v>
          </cell>
          <cell r="B1907">
            <v>30</v>
          </cell>
          <cell r="C1907" t="str">
            <v>-4</v>
          </cell>
          <cell r="D1907">
            <v>14587563</v>
          </cell>
          <cell r="E1907" t="str">
            <v>합판거푸집</v>
          </cell>
          <cell r="F1907" t="str">
            <v>(6 회)</v>
          </cell>
          <cell r="G1907" t="str">
            <v>㎡</v>
          </cell>
          <cell r="I1907">
            <v>0</v>
          </cell>
        </row>
        <row r="1908">
          <cell r="A1908" t="str">
            <v>D01204</v>
          </cell>
          <cell r="B1908">
            <v>3</v>
          </cell>
          <cell r="C1908" t="str">
            <v>-5</v>
          </cell>
          <cell r="D1908">
            <v>14587595</v>
          </cell>
          <cell r="E1908" t="str">
            <v>잔토처리</v>
          </cell>
          <cell r="F1908" t="str">
            <v>(인 력)</v>
          </cell>
          <cell r="G1908" t="str">
            <v>㎥</v>
          </cell>
          <cell r="I1908">
            <v>0</v>
          </cell>
        </row>
        <row r="1909">
          <cell r="A1909" t="str">
            <v>D03799</v>
          </cell>
          <cell r="B1909">
            <v>60</v>
          </cell>
          <cell r="C1909" t="str">
            <v>-6</v>
          </cell>
          <cell r="D1909">
            <v>14587627</v>
          </cell>
          <cell r="E1909" t="str">
            <v>차폐시설</v>
          </cell>
          <cell r="F1909" t="str">
            <v>(가림판휀스)</v>
          </cell>
          <cell r="G1909" t="str">
            <v>M</v>
          </cell>
          <cell r="I1909">
            <v>0</v>
          </cell>
        </row>
        <row r="1910">
          <cell r="A1910" t="str">
            <v>E2</v>
          </cell>
          <cell r="B1910">
            <v>0</v>
          </cell>
          <cell r="C1910" t="str">
            <v>계</v>
          </cell>
          <cell r="D1910">
            <v>14587631</v>
          </cell>
          <cell r="I1910">
            <v>0</v>
          </cell>
        </row>
        <row r="1911">
          <cell r="A1911" t="str">
            <v>E3</v>
          </cell>
          <cell r="B1911">
            <v>0</v>
          </cell>
          <cell r="C1911" t="str">
            <v>합계</v>
          </cell>
          <cell r="D1911">
            <v>14587635</v>
          </cell>
          <cell r="I1911">
            <v>0</v>
          </cell>
        </row>
        <row r="1912">
          <cell r="A1912" t="str">
            <v>D01218</v>
          </cell>
          <cell r="B1912">
            <v>10</v>
          </cell>
          <cell r="C1912" t="str">
            <v>7.03</v>
          </cell>
          <cell r="D1912">
            <v>14587639</v>
          </cell>
          <cell r="E1912" t="str">
            <v>세륜시설</v>
          </cell>
          <cell r="F1912" t="str">
            <v>(간이식)</v>
          </cell>
          <cell r="G1912" t="str">
            <v>개소</v>
          </cell>
          <cell r="I1912">
            <v>0</v>
          </cell>
        </row>
        <row r="1913">
          <cell r="A1913" t="str">
            <v>D01103</v>
          </cell>
          <cell r="B1913">
            <v>21</v>
          </cell>
          <cell r="C1913" t="str">
            <v>7.04</v>
          </cell>
          <cell r="D1913">
            <v>14587641</v>
          </cell>
          <cell r="E1913" t="str">
            <v>침사지</v>
          </cell>
          <cell r="F1913" t="str">
            <v>(3.9x1.3)</v>
          </cell>
          <cell r="G1913" t="str">
            <v>개소</v>
          </cell>
          <cell r="I1913">
            <v>0</v>
          </cell>
        </row>
        <row r="1914">
          <cell r="A1914" t="str">
            <v>T3</v>
          </cell>
          <cell r="B1914">
            <v>1920</v>
          </cell>
          <cell r="C1914" t="str">
            <v>7.05</v>
          </cell>
          <cell r="D1914">
            <v>14587773</v>
          </cell>
          <cell r="E1914" t="str">
            <v>절토부 점검로</v>
          </cell>
          <cell r="I1914">
            <v>0</v>
          </cell>
        </row>
        <row r="1915">
          <cell r="A1915" t="str">
            <v>T2</v>
          </cell>
          <cell r="B1915">
            <v>1918</v>
          </cell>
          <cell r="C1915" t="str">
            <v>a</v>
          </cell>
          <cell r="D1915">
            <v>14587775</v>
          </cell>
          <cell r="E1915" t="str">
            <v>점검용사다리</v>
          </cell>
          <cell r="I1915">
            <v>0</v>
          </cell>
        </row>
        <row r="1916">
          <cell r="A1916" t="str">
            <v>D01303</v>
          </cell>
          <cell r="B1916">
            <v>15</v>
          </cell>
          <cell r="C1916" t="str">
            <v>-1</v>
          </cell>
          <cell r="D1916">
            <v>14587839</v>
          </cell>
          <cell r="E1916" t="str">
            <v>절토부점검로</v>
          </cell>
          <cell r="F1916" t="str">
            <v>(토사구간)</v>
          </cell>
          <cell r="G1916" t="str">
            <v>M</v>
          </cell>
          <cell r="I1916">
            <v>0</v>
          </cell>
        </row>
        <row r="1917">
          <cell r="A1917" t="str">
            <v>D01273</v>
          </cell>
          <cell r="B1917">
            <v>36</v>
          </cell>
          <cell r="C1917" t="str">
            <v>-2</v>
          </cell>
          <cell r="D1917">
            <v>14587871</v>
          </cell>
          <cell r="E1917" t="str">
            <v>절토부점검로</v>
          </cell>
          <cell r="F1917" t="str">
            <v>(리핑암구간)</v>
          </cell>
          <cell r="G1917" t="str">
            <v>M</v>
          </cell>
          <cell r="I1917">
            <v>0</v>
          </cell>
        </row>
        <row r="1918">
          <cell r="A1918" t="str">
            <v>D01274</v>
          </cell>
          <cell r="B1918">
            <v>64</v>
          </cell>
          <cell r="C1918" t="str">
            <v>-3</v>
          </cell>
          <cell r="D1918">
            <v>14587883</v>
          </cell>
          <cell r="E1918" t="str">
            <v>절토부점검로</v>
          </cell>
          <cell r="F1918" t="str">
            <v>(발파암구간 1:0.5)</v>
          </cell>
          <cell r="G1918" t="str">
            <v>M</v>
          </cell>
          <cell r="I1918">
            <v>0</v>
          </cell>
        </row>
        <row r="1919">
          <cell r="A1919" t="str">
            <v>E2</v>
          </cell>
          <cell r="B1919">
            <v>0</v>
          </cell>
          <cell r="C1919" t="str">
            <v>계</v>
          </cell>
          <cell r="D1919">
            <v>14587895</v>
          </cell>
          <cell r="I1919">
            <v>0</v>
          </cell>
        </row>
        <row r="1920">
          <cell r="A1920" t="str">
            <v>D01275</v>
          </cell>
          <cell r="B1920">
            <v>7</v>
          </cell>
          <cell r="C1920" t="str">
            <v>b</v>
          </cell>
          <cell r="D1920">
            <v>14587899</v>
          </cell>
          <cell r="E1920" t="str">
            <v>절토부점검로</v>
          </cell>
          <cell r="F1920" t="str">
            <v>(소단부)</v>
          </cell>
          <cell r="G1920" t="str">
            <v>EA</v>
          </cell>
          <cell r="I1920">
            <v>0</v>
          </cell>
        </row>
        <row r="1921">
          <cell r="A1921" t="str">
            <v>E3</v>
          </cell>
          <cell r="B1921">
            <v>0</v>
          </cell>
          <cell r="C1921" t="str">
            <v>합계</v>
          </cell>
          <cell r="D1921">
            <v>14587901</v>
          </cell>
          <cell r="I1921">
            <v>0</v>
          </cell>
        </row>
        <row r="1922">
          <cell r="A1922" t="str">
            <v>T3</v>
          </cell>
          <cell r="B1922">
            <v>1947</v>
          </cell>
          <cell r="C1922" t="str">
            <v>7.06</v>
          </cell>
          <cell r="D1922">
            <v>14588271</v>
          </cell>
          <cell r="E1922" t="str">
            <v>가 도 공</v>
          </cell>
          <cell r="I1922">
            <v>0</v>
          </cell>
        </row>
        <row r="1923">
          <cell r="A1923" t="str">
            <v>T2</v>
          </cell>
          <cell r="B1923">
            <v>1925</v>
          </cell>
          <cell r="C1923" t="str">
            <v>a</v>
          </cell>
          <cell r="D1923">
            <v>14588274</v>
          </cell>
          <cell r="E1923" t="str">
            <v>아스콘표층</v>
          </cell>
          <cell r="I1923">
            <v>0</v>
          </cell>
        </row>
        <row r="1924">
          <cell r="A1924" t="str">
            <v>M00056</v>
          </cell>
          <cell r="B1924">
            <v>789</v>
          </cell>
          <cell r="C1924" t="str">
            <v>-1</v>
          </cell>
          <cell r="D1924">
            <v>14588276</v>
          </cell>
          <cell r="E1924" t="str">
            <v>아 스 콘</v>
          </cell>
          <cell r="F1924" t="str">
            <v>표층용</v>
          </cell>
          <cell r="G1924" t="str">
            <v>TON</v>
          </cell>
          <cell r="I1924">
            <v>0</v>
          </cell>
        </row>
        <row r="1925">
          <cell r="A1925" t="str">
            <v>D00816</v>
          </cell>
          <cell r="B1925">
            <v>66</v>
          </cell>
          <cell r="C1925" t="str">
            <v>-2</v>
          </cell>
          <cell r="D1925">
            <v>14588277</v>
          </cell>
          <cell r="E1925" t="str">
            <v>아스콘표층</v>
          </cell>
          <cell r="F1925" t="str">
            <v>(포설다짐 T=5 Cm)</v>
          </cell>
          <cell r="G1925" t="str">
            <v>ａ</v>
          </cell>
          <cell r="I1925">
            <v>0</v>
          </cell>
        </row>
        <row r="1926">
          <cell r="A1926" t="str">
            <v>E2</v>
          </cell>
          <cell r="B1926">
            <v>0</v>
          </cell>
          <cell r="C1926" t="str">
            <v>계</v>
          </cell>
          <cell r="D1926">
            <v>14588278</v>
          </cell>
          <cell r="I1926">
            <v>0</v>
          </cell>
        </row>
        <row r="1927">
          <cell r="A1927" t="str">
            <v>D00814</v>
          </cell>
          <cell r="B1927">
            <v>102</v>
          </cell>
          <cell r="C1927" t="str">
            <v>b</v>
          </cell>
          <cell r="D1927">
            <v>14588406</v>
          </cell>
          <cell r="E1927" t="str">
            <v>택 코 팅</v>
          </cell>
          <cell r="F1927" t="str">
            <v>(RSC-4 20 L/a)</v>
          </cell>
          <cell r="G1927" t="str">
            <v>ａ</v>
          </cell>
          <cell r="I1927">
            <v>0</v>
          </cell>
        </row>
        <row r="1928">
          <cell r="A1928" t="str">
            <v>T2</v>
          </cell>
          <cell r="B1928">
            <v>1930</v>
          </cell>
          <cell r="C1928" t="str">
            <v>c</v>
          </cell>
          <cell r="D1928">
            <v>14588534</v>
          </cell>
          <cell r="E1928" t="str">
            <v>아스콘기층</v>
          </cell>
          <cell r="I1928">
            <v>0</v>
          </cell>
        </row>
        <row r="1929">
          <cell r="A1929" t="str">
            <v>M00059</v>
          </cell>
          <cell r="B1929">
            <v>1634</v>
          </cell>
          <cell r="C1929" t="str">
            <v>-1</v>
          </cell>
          <cell r="D1929">
            <v>14588535</v>
          </cell>
          <cell r="E1929" t="str">
            <v>아 스 콘</v>
          </cell>
          <cell r="F1929" t="str">
            <v>기층용</v>
          </cell>
          <cell r="G1929" t="str">
            <v>TON</v>
          </cell>
          <cell r="I1929">
            <v>0</v>
          </cell>
        </row>
        <row r="1930">
          <cell r="A1930" t="str">
            <v>D00809</v>
          </cell>
          <cell r="B1930">
            <v>68</v>
          </cell>
          <cell r="C1930" t="str">
            <v>-2</v>
          </cell>
          <cell r="D1930">
            <v>14588599</v>
          </cell>
          <cell r="E1930" t="str">
            <v>아스콘기층</v>
          </cell>
          <cell r="F1930" t="str">
            <v>(포설및다짐 T=10 Cm)</v>
          </cell>
          <cell r="G1930" t="str">
            <v>ａ</v>
          </cell>
          <cell r="I1930">
            <v>0</v>
          </cell>
        </row>
        <row r="1931">
          <cell r="A1931" t="str">
            <v>E2</v>
          </cell>
          <cell r="B1931">
            <v>0</v>
          </cell>
          <cell r="C1931" t="str">
            <v>계</v>
          </cell>
          <cell r="D1931">
            <v>14588631</v>
          </cell>
          <cell r="I1931">
            <v>0</v>
          </cell>
        </row>
        <row r="1932">
          <cell r="A1932" t="str">
            <v>D00805</v>
          </cell>
          <cell r="B1932">
            <v>69</v>
          </cell>
          <cell r="C1932" t="str">
            <v>d</v>
          </cell>
          <cell r="D1932">
            <v>14588662</v>
          </cell>
          <cell r="E1932" t="str">
            <v>프라임코팅</v>
          </cell>
          <cell r="F1932" t="str">
            <v>(MC-1,75 L/a)</v>
          </cell>
          <cell r="G1932" t="str">
            <v>ａ</v>
          </cell>
          <cell r="I1932">
            <v>0</v>
          </cell>
        </row>
        <row r="1933">
          <cell r="A1933" t="str">
            <v>T2</v>
          </cell>
          <cell r="B1933">
            <v>1935</v>
          </cell>
          <cell r="C1933" t="str">
            <v>e</v>
          </cell>
          <cell r="D1933">
            <v>14588663</v>
          </cell>
          <cell r="E1933" t="str">
            <v>보조기층</v>
          </cell>
          <cell r="I1933">
            <v>0</v>
          </cell>
        </row>
        <row r="1934">
          <cell r="A1934" t="str">
            <v>D03742</v>
          </cell>
          <cell r="B1934">
            <v>1847</v>
          </cell>
          <cell r="C1934" t="str">
            <v>-1</v>
          </cell>
          <cell r="D1934">
            <v>14588679</v>
          </cell>
          <cell r="E1934" t="str">
            <v>보조기층생산</v>
          </cell>
          <cell r="F1934" t="str">
            <v>(현장암유용)</v>
          </cell>
          <cell r="G1934" t="str">
            <v>㎥</v>
          </cell>
          <cell r="I1934">
            <v>0</v>
          </cell>
        </row>
        <row r="1935">
          <cell r="A1935" t="str">
            <v>D00798</v>
          </cell>
          <cell r="B1935">
            <v>1438</v>
          </cell>
          <cell r="C1935" t="str">
            <v>-2</v>
          </cell>
          <cell r="D1935">
            <v>14588687</v>
          </cell>
          <cell r="E1935" t="str">
            <v>보조기층</v>
          </cell>
          <cell r="F1935" t="str">
            <v>(포설및다짐 T=20 Cm)</v>
          </cell>
          <cell r="G1935" t="str">
            <v>㎥</v>
          </cell>
          <cell r="I1935">
            <v>0</v>
          </cell>
        </row>
        <row r="1936">
          <cell r="A1936" t="str">
            <v>E2</v>
          </cell>
          <cell r="B1936">
            <v>0</v>
          </cell>
          <cell r="C1936" t="str">
            <v>계</v>
          </cell>
          <cell r="D1936">
            <v>14588691</v>
          </cell>
          <cell r="I1936">
            <v>0</v>
          </cell>
        </row>
        <row r="1937">
          <cell r="A1937" t="str">
            <v>T2</v>
          </cell>
          <cell r="B1937">
            <v>1940</v>
          </cell>
          <cell r="C1937" t="str">
            <v>f</v>
          </cell>
          <cell r="D1937">
            <v>14588692</v>
          </cell>
          <cell r="E1937" t="str">
            <v>차선도색</v>
          </cell>
          <cell r="I1937">
            <v>0</v>
          </cell>
        </row>
        <row r="1938">
          <cell r="A1938" t="str">
            <v>D01152</v>
          </cell>
          <cell r="B1938">
            <v>239</v>
          </cell>
          <cell r="C1938" t="str">
            <v>-1</v>
          </cell>
          <cell r="D1938">
            <v>14588693</v>
          </cell>
          <cell r="E1938" t="str">
            <v>가도차선도색(상온형)</v>
          </cell>
          <cell r="F1938" t="str">
            <v>(백색실선)</v>
          </cell>
          <cell r="G1938" t="str">
            <v>㎡</v>
          </cell>
          <cell r="I1938">
            <v>0</v>
          </cell>
        </row>
        <row r="1939">
          <cell r="A1939" t="str">
            <v>D00869</v>
          </cell>
          <cell r="B1939">
            <v>414</v>
          </cell>
          <cell r="C1939" t="str">
            <v>-2</v>
          </cell>
          <cell r="D1939">
            <v>14588694</v>
          </cell>
          <cell r="E1939" t="str">
            <v>가도차선도색(상온형)</v>
          </cell>
          <cell r="F1939" t="str">
            <v>(백색파선)</v>
          </cell>
          <cell r="G1939" t="str">
            <v>㎡</v>
          </cell>
          <cell r="I1939">
            <v>0</v>
          </cell>
        </row>
        <row r="1940">
          <cell r="A1940" t="str">
            <v>D01151</v>
          </cell>
          <cell r="B1940">
            <v>252</v>
          </cell>
          <cell r="C1940" t="str">
            <v>-3</v>
          </cell>
          <cell r="D1940">
            <v>14588695</v>
          </cell>
          <cell r="E1940" t="str">
            <v>가도차선도색(상온형)</v>
          </cell>
          <cell r="F1940" t="str">
            <v>(황색실선)</v>
          </cell>
          <cell r="G1940" t="str">
            <v>㎡</v>
          </cell>
          <cell r="I1940">
            <v>0</v>
          </cell>
        </row>
        <row r="1941">
          <cell r="A1941" t="str">
            <v>E2</v>
          </cell>
          <cell r="B1941">
            <v>0</v>
          </cell>
          <cell r="C1941" t="str">
            <v>계</v>
          </cell>
          <cell r="D1941">
            <v>14588759</v>
          </cell>
          <cell r="I1941">
            <v>0</v>
          </cell>
        </row>
        <row r="1942">
          <cell r="A1942" t="str">
            <v>T2</v>
          </cell>
          <cell r="B1942">
            <v>1945</v>
          </cell>
          <cell r="C1942" t="str">
            <v>g</v>
          </cell>
          <cell r="D1942">
            <v>14588823</v>
          </cell>
          <cell r="E1942" t="str">
            <v>아스팔트</v>
          </cell>
          <cell r="I1942">
            <v>0</v>
          </cell>
        </row>
        <row r="1943">
          <cell r="A1943" t="str">
            <v>D00964</v>
          </cell>
          <cell r="B1943">
            <v>36</v>
          </cell>
          <cell r="C1943" t="str">
            <v>-1</v>
          </cell>
          <cell r="D1943">
            <v>14588855</v>
          </cell>
          <cell r="E1943" t="str">
            <v>아스팔트운반</v>
          </cell>
          <cell r="F1943" t="str">
            <v>(RSC-4, MC-1)</v>
          </cell>
          <cell r="G1943" t="str">
            <v>D/M</v>
          </cell>
          <cell r="I1943">
            <v>0</v>
          </cell>
        </row>
        <row r="1944">
          <cell r="A1944" t="str">
            <v>M00052</v>
          </cell>
          <cell r="B1944">
            <v>26</v>
          </cell>
          <cell r="C1944" t="str">
            <v>-2</v>
          </cell>
          <cell r="D1944">
            <v>14588887</v>
          </cell>
          <cell r="E1944" t="str">
            <v>아스팔트</v>
          </cell>
          <cell r="F1944" t="str">
            <v>MC-1</v>
          </cell>
          <cell r="G1944" t="str">
            <v>D/M</v>
          </cell>
          <cell r="I1944">
            <v>0</v>
          </cell>
        </row>
        <row r="1945">
          <cell r="A1945" t="str">
            <v>M00055</v>
          </cell>
          <cell r="B1945">
            <v>10</v>
          </cell>
          <cell r="C1945" t="str">
            <v>-3</v>
          </cell>
          <cell r="D1945">
            <v>14588895</v>
          </cell>
          <cell r="E1945" t="str">
            <v>아스팔트</v>
          </cell>
          <cell r="F1945" t="str">
            <v>RSC-4</v>
          </cell>
          <cell r="G1945" t="str">
            <v>D/M</v>
          </cell>
          <cell r="I1945">
            <v>0</v>
          </cell>
        </row>
        <row r="1946">
          <cell r="A1946" t="str">
            <v>E2</v>
          </cell>
          <cell r="B1946">
            <v>0</v>
          </cell>
          <cell r="C1946" t="str">
            <v>계</v>
          </cell>
          <cell r="D1946">
            <v>14588903</v>
          </cell>
          <cell r="I1946">
            <v>0</v>
          </cell>
        </row>
        <row r="1947">
          <cell r="A1947" t="str">
            <v>D00384</v>
          </cell>
          <cell r="B1947">
            <v>30</v>
          </cell>
          <cell r="C1947" t="str">
            <v>h</v>
          </cell>
          <cell r="D1947">
            <v>14588906</v>
          </cell>
          <cell r="E1947" t="str">
            <v>가배수관</v>
          </cell>
          <cell r="F1947" t="str">
            <v>(D=1000 m/m)</v>
          </cell>
          <cell r="G1947" t="str">
            <v>M</v>
          </cell>
          <cell r="I1947">
            <v>0</v>
          </cell>
        </row>
        <row r="1948">
          <cell r="A1948" t="str">
            <v>E3</v>
          </cell>
          <cell r="B1948">
            <v>0</v>
          </cell>
          <cell r="C1948" t="str">
            <v>합계</v>
          </cell>
          <cell r="D1948">
            <v>14588915</v>
          </cell>
          <cell r="I1948">
            <v>0</v>
          </cell>
        </row>
        <row r="1949">
          <cell r="A1949" t="str">
            <v>D01154</v>
          </cell>
          <cell r="B1949">
            <v>330</v>
          </cell>
          <cell r="C1949" t="str">
            <v>7.07</v>
          </cell>
          <cell r="D1949">
            <v>14588917</v>
          </cell>
          <cell r="E1949" t="str">
            <v>암파쇄방호시설</v>
          </cell>
          <cell r="G1949" t="str">
            <v>M</v>
          </cell>
          <cell r="I1949">
            <v>0</v>
          </cell>
        </row>
        <row r="1950">
          <cell r="A1950" t="str">
            <v>T3</v>
          </cell>
          <cell r="B1950">
            <v>1952</v>
          </cell>
          <cell r="C1950" t="str">
            <v>7.08</v>
          </cell>
          <cell r="D1950">
            <v>14588918</v>
          </cell>
          <cell r="E1950" t="str">
            <v>가로수이식</v>
          </cell>
          <cell r="I1950">
            <v>0</v>
          </cell>
        </row>
        <row r="1951">
          <cell r="A1951" t="str">
            <v>D00019</v>
          </cell>
          <cell r="B1951">
            <v>129</v>
          </cell>
          <cell r="C1951" t="str">
            <v>a</v>
          </cell>
          <cell r="D1951">
            <v>14589046</v>
          </cell>
          <cell r="E1951" t="str">
            <v>가로수이식</v>
          </cell>
          <cell r="F1951" t="str">
            <v>(소나무)</v>
          </cell>
          <cell r="G1951" t="str">
            <v>주</v>
          </cell>
          <cell r="I1951">
            <v>0</v>
          </cell>
        </row>
        <row r="1952">
          <cell r="A1952" t="str">
            <v>D03865</v>
          </cell>
          <cell r="B1952">
            <v>66</v>
          </cell>
          <cell r="C1952" t="str">
            <v>b</v>
          </cell>
          <cell r="D1952">
            <v>14589111</v>
          </cell>
          <cell r="E1952" t="str">
            <v>가로수이식</v>
          </cell>
          <cell r="F1952" t="str">
            <v>(참나무)</v>
          </cell>
          <cell r="G1952" t="str">
            <v>주</v>
          </cell>
          <cell r="I1952">
            <v>0</v>
          </cell>
        </row>
        <row r="1953">
          <cell r="A1953" t="str">
            <v>E3</v>
          </cell>
          <cell r="B1953">
            <v>0</v>
          </cell>
          <cell r="C1953" t="str">
            <v>합계</v>
          </cell>
          <cell r="D1953">
            <v>14589143</v>
          </cell>
          <cell r="I1953">
            <v>0</v>
          </cell>
        </row>
        <row r="1954">
          <cell r="A1954" t="str">
            <v>D00778</v>
          </cell>
          <cell r="B1954">
            <v>1845</v>
          </cell>
          <cell r="C1954" t="str">
            <v>7.09</v>
          </cell>
          <cell r="D1954">
            <v>14589175</v>
          </cell>
          <cell r="E1954" t="str">
            <v>지장가옥철거</v>
          </cell>
          <cell r="G1954" t="str">
            <v>㎥</v>
          </cell>
          <cell r="I1954">
            <v>0</v>
          </cell>
        </row>
        <row r="1955">
          <cell r="A1955" t="str">
            <v>D01336</v>
          </cell>
          <cell r="B1955">
            <v>1845</v>
          </cell>
          <cell r="C1955" t="str">
            <v>7.10</v>
          </cell>
          <cell r="D1955">
            <v>14589303</v>
          </cell>
          <cell r="E1955" t="str">
            <v>폐기물처리비</v>
          </cell>
          <cell r="G1955" t="str">
            <v>㎥</v>
          </cell>
          <cell r="I1955">
            <v>0</v>
          </cell>
        </row>
        <row r="1956">
          <cell r="A1956" t="str">
            <v>D03938</v>
          </cell>
          <cell r="B1956">
            <v>1</v>
          </cell>
          <cell r="C1956" t="str">
            <v>7.11</v>
          </cell>
          <cell r="D1956">
            <v>14589431</v>
          </cell>
          <cell r="E1956" t="str">
            <v>기존도로유지관리.</v>
          </cell>
          <cell r="G1956" t="str">
            <v>P.S</v>
          </cell>
          <cell r="H1956">
            <v>3000000000</v>
          </cell>
          <cell r="I1956">
            <v>3000000000</v>
          </cell>
        </row>
        <row r="1957">
          <cell r="A1957" t="str">
            <v>D01337</v>
          </cell>
          <cell r="B1957">
            <v>258</v>
          </cell>
          <cell r="C1957" t="str">
            <v>7.12</v>
          </cell>
          <cell r="D1957">
            <v>14589437</v>
          </cell>
          <cell r="E1957" t="str">
            <v>접도구역경계표주</v>
          </cell>
          <cell r="G1957" t="str">
            <v>EA</v>
          </cell>
          <cell r="I1957">
            <v>0</v>
          </cell>
        </row>
        <row r="1958">
          <cell r="A1958" t="str">
            <v>D00874</v>
          </cell>
          <cell r="B1958">
            <v>2</v>
          </cell>
          <cell r="C1958" t="str">
            <v>7.13</v>
          </cell>
          <cell r="D1958">
            <v>14589566</v>
          </cell>
          <cell r="E1958" t="str">
            <v>준공표지석</v>
          </cell>
          <cell r="G1958" t="str">
            <v>EA</v>
          </cell>
          <cell r="I1958">
            <v>0</v>
          </cell>
        </row>
        <row r="1959">
          <cell r="A1959" t="str">
            <v>D03945</v>
          </cell>
          <cell r="B1959">
            <v>1</v>
          </cell>
          <cell r="C1959" t="str">
            <v>7.14</v>
          </cell>
          <cell r="D1959">
            <v>14589694</v>
          </cell>
          <cell r="E1959" t="str">
            <v>가설사무실.</v>
          </cell>
          <cell r="G1959" t="str">
            <v>식</v>
          </cell>
          <cell r="I1959">
            <v>0</v>
          </cell>
        </row>
        <row r="1960">
          <cell r="A1960" t="str">
            <v>D00956</v>
          </cell>
          <cell r="B1960">
            <v>1</v>
          </cell>
          <cell r="C1960" t="str">
            <v>7.15</v>
          </cell>
          <cell r="D1960">
            <v>14591401</v>
          </cell>
          <cell r="E1960" t="str">
            <v>시 험 비</v>
          </cell>
          <cell r="G1960" t="str">
            <v>식</v>
          </cell>
          <cell r="I1960">
            <v>0</v>
          </cell>
        </row>
        <row r="1961">
          <cell r="A1961" t="str">
            <v>D00886</v>
          </cell>
          <cell r="B1961">
            <v>60</v>
          </cell>
          <cell r="C1961" t="str">
            <v>7.16</v>
          </cell>
          <cell r="D1961">
            <v>14591433</v>
          </cell>
          <cell r="E1961" t="str">
            <v>품질관리차량비</v>
          </cell>
          <cell r="G1961" t="str">
            <v>개월</v>
          </cell>
          <cell r="I1961">
            <v>0</v>
          </cell>
        </row>
        <row r="1962">
          <cell r="A1962" t="str">
            <v>D01339</v>
          </cell>
          <cell r="B1962">
            <v>8.68</v>
          </cell>
          <cell r="C1962" t="str">
            <v>7.17</v>
          </cell>
          <cell r="D1962">
            <v>14591462</v>
          </cell>
          <cell r="E1962" t="str">
            <v>시공측량비</v>
          </cell>
          <cell r="G1962" t="str">
            <v>Km</v>
          </cell>
          <cell r="I1962">
            <v>0</v>
          </cell>
        </row>
        <row r="1963">
          <cell r="A1963" t="str">
            <v>D01340</v>
          </cell>
          <cell r="B1963">
            <v>1</v>
          </cell>
          <cell r="C1963" t="str">
            <v>7.18</v>
          </cell>
          <cell r="D1963">
            <v>14591465</v>
          </cell>
          <cell r="E1963" t="str">
            <v>안전시설비</v>
          </cell>
          <cell r="F1963" t="str">
            <v>(공사중 안전시설)</v>
          </cell>
          <cell r="G1963" t="str">
            <v>P.S</v>
          </cell>
          <cell r="H1963">
            <v>97715144</v>
          </cell>
          <cell r="I1963">
            <v>97715144</v>
          </cell>
        </row>
        <row r="1964">
          <cell r="A1964" t="str">
            <v>D00955</v>
          </cell>
          <cell r="B1964">
            <v>1</v>
          </cell>
          <cell r="C1964" t="str">
            <v>7.19</v>
          </cell>
          <cell r="D1964">
            <v>14591503</v>
          </cell>
          <cell r="E1964" t="str">
            <v>중기운반비</v>
          </cell>
          <cell r="G1964" t="str">
            <v>식</v>
          </cell>
          <cell r="I1964">
            <v>0</v>
          </cell>
        </row>
        <row r="1965">
          <cell r="A1965" t="str">
            <v>D00918</v>
          </cell>
          <cell r="B1965">
            <v>1</v>
          </cell>
          <cell r="C1965" t="str">
            <v>7.20</v>
          </cell>
          <cell r="D1965">
            <v>14591517</v>
          </cell>
          <cell r="E1965" t="str">
            <v>확인보링비</v>
          </cell>
          <cell r="G1965" t="str">
            <v>식</v>
          </cell>
          <cell r="I1965">
            <v>0</v>
          </cell>
        </row>
        <row r="1966">
          <cell r="A1966" t="str">
            <v>T3</v>
          </cell>
          <cell r="B1966">
            <v>1969</v>
          </cell>
          <cell r="C1966" t="str">
            <v>7.21</v>
          </cell>
          <cell r="D1966">
            <v>14591521</v>
          </cell>
          <cell r="E1966" t="str">
            <v>자재운반비</v>
          </cell>
          <cell r="I1966">
            <v>0</v>
          </cell>
        </row>
        <row r="1967">
          <cell r="A1967" t="str">
            <v>D00960</v>
          </cell>
          <cell r="B1967">
            <v>7344.2539999999999</v>
          </cell>
          <cell r="C1967" t="str">
            <v>a</v>
          </cell>
          <cell r="D1967">
            <v>14591523</v>
          </cell>
          <cell r="E1967" t="str">
            <v>철근운반</v>
          </cell>
          <cell r="G1967" t="str">
            <v>Ton</v>
          </cell>
          <cell r="I1967">
            <v>0</v>
          </cell>
        </row>
        <row r="1968">
          <cell r="A1968" t="str">
            <v>D00958</v>
          </cell>
          <cell r="B1968">
            <v>85313</v>
          </cell>
          <cell r="C1968" t="str">
            <v>b</v>
          </cell>
          <cell r="D1968">
            <v>14591525</v>
          </cell>
          <cell r="E1968" t="str">
            <v>시멘트운반</v>
          </cell>
          <cell r="F1968" t="str">
            <v>(40 Kg/ⓐ)</v>
          </cell>
          <cell r="G1968" t="str">
            <v>대</v>
          </cell>
          <cell r="I1968">
            <v>0</v>
          </cell>
        </row>
        <row r="1969">
          <cell r="A1969" t="str">
            <v>D00964</v>
          </cell>
          <cell r="B1969">
            <v>1638</v>
          </cell>
          <cell r="C1969" t="str">
            <v>c</v>
          </cell>
          <cell r="D1969">
            <v>14603662</v>
          </cell>
          <cell r="E1969" t="str">
            <v>아스팔트운반</v>
          </cell>
          <cell r="F1969" t="str">
            <v>(RSC-4, MC-1)</v>
          </cell>
          <cell r="G1969" t="str">
            <v>D/M</v>
          </cell>
          <cell r="I1969">
            <v>0</v>
          </cell>
        </row>
        <row r="1970">
          <cell r="A1970" t="str">
            <v>E3</v>
          </cell>
          <cell r="B1970">
            <v>0</v>
          </cell>
          <cell r="C1970" t="str">
            <v>합계</v>
          </cell>
          <cell r="D1970">
            <v>14609731</v>
          </cell>
          <cell r="I1970">
            <v>0</v>
          </cell>
        </row>
        <row r="1971">
          <cell r="A1971" t="str">
            <v>T3</v>
          </cell>
          <cell r="B1971">
            <v>1974</v>
          </cell>
          <cell r="C1971" t="str">
            <v>7.22</v>
          </cell>
          <cell r="D1971">
            <v>14610869</v>
          </cell>
          <cell r="E1971" t="str">
            <v>크랏샤설치및해체</v>
          </cell>
          <cell r="I1971">
            <v>0</v>
          </cell>
        </row>
        <row r="1972">
          <cell r="A1972" t="str">
            <v>D00937</v>
          </cell>
          <cell r="B1972">
            <v>1</v>
          </cell>
          <cell r="C1972" t="str">
            <v>a</v>
          </cell>
          <cell r="D1972">
            <v>14612007</v>
          </cell>
          <cell r="E1972" t="str">
            <v>크랏샤 설치및해체</v>
          </cell>
          <cell r="F1972" t="str">
            <v>이동식(150 Ton)</v>
          </cell>
          <cell r="G1972" t="str">
            <v>식</v>
          </cell>
          <cell r="I1972">
            <v>0</v>
          </cell>
        </row>
        <row r="1973">
          <cell r="A1973" t="str">
            <v>D01218</v>
          </cell>
          <cell r="B1973">
            <v>1</v>
          </cell>
          <cell r="C1973" t="str">
            <v>b</v>
          </cell>
          <cell r="D1973">
            <v>14612386</v>
          </cell>
          <cell r="E1973" t="str">
            <v>세륜시설</v>
          </cell>
          <cell r="F1973" t="str">
            <v>(간이식)</v>
          </cell>
          <cell r="G1973" t="str">
            <v>개소</v>
          </cell>
          <cell r="I1973">
            <v>0</v>
          </cell>
        </row>
        <row r="1974">
          <cell r="A1974" t="str">
            <v>D00944</v>
          </cell>
          <cell r="B1974">
            <v>142</v>
          </cell>
          <cell r="C1974" t="str">
            <v>c</v>
          </cell>
          <cell r="D1974">
            <v>14612576</v>
          </cell>
          <cell r="E1974" t="str">
            <v>가설방음벽(H:2.0MxW:</v>
          </cell>
          <cell r="F1974" t="str">
            <v>2.0M)+방진망 2.0M</v>
          </cell>
          <cell r="G1974" t="str">
            <v>M</v>
          </cell>
          <cell r="I1974">
            <v>0</v>
          </cell>
        </row>
        <row r="1975">
          <cell r="A1975" t="str">
            <v>E3</v>
          </cell>
          <cell r="B1975">
            <v>0</v>
          </cell>
          <cell r="C1975" t="str">
            <v>합계</v>
          </cell>
          <cell r="D1975">
            <v>14612671</v>
          </cell>
          <cell r="I1975">
            <v>0</v>
          </cell>
        </row>
        <row r="1976">
          <cell r="A1976" t="str">
            <v>T3</v>
          </cell>
          <cell r="B1976">
            <v>2034</v>
          </cell>
          <cell r="C1976" t="str">
            <v>7.23</v>
          </cell>
          <cell r="D1976">
            <v>14612765</v>
          </cell>
          <cell r="E1976" t="str">
            <v>자 재 대</v>
          </cell>
          <cell r="I1976">
            <v>0</v>
          </cell>
        </row>
        <row r="1977">
          <cell r="A1977" t="str">
            <v>T2</v>
          </cell>
          <cell r="B1977">
            <v>1990</v>
          </cell>
          <cell r="C1977" t="str">
            <v>a</v>
          </cell>
          <cell r="D1977">
            <v>14614282</v>
          </cell>
          <cell r="E1977" t="str">
            <v>레 미 콘</v>
          </cell>
          <cell r="I1977">
            <v>0</v>
          </cell>
        </row>
        <row r="1978">
          <cell r="A1978" t="str">
            <v>M00062</v>
          </cell>
          <cell r="B1978">
            <v>11518</v>
          </cell>
          <cell r="C1978" t="str">
            <v>-1</v>
          </cell>
          <cell r="D1978">
            <v>14615610</v>
          </cell>
          <cell r="E1978" t="str">
            <v>레 미 콘</v>
          </cell>
          <cell r="F1978" t="str">
            <v>25-270-15</v>
          </cell>
          <cell r="G1978" t="str">
            <v>㎥</v>
          </cell>
          <cell r="I1978">
            <v>0</v>
          </cell>
        </row>
        <row r="1979">
          <cell r="A1979" t="str">
            <v>M00061</v>
          </cell>
          <cell r="B1979">
            <v>29</v>
          </cell>
          <cell r="C1979" t="str">
            <v>-2</v>
          </cell>
          <cell r="D1979">
            <v>14615658</v>
          </cell>
          <cell r="E1979" t="str">
            <v>레 미 콘</v>
          </cell>
          <cell r="F1979" t="str">
            <v>25-270-8</v>
          </cell>
          <cell r="G1979" t="str">
            <v>㎥</v>
          </cell>
          <cell r="I1979">
            <v>0</v>
          </cell>
        </row>
        <row r="1980">
          <cell r="A1980" t="str">
            <v>M00063</v>
          </cell>
          <cell r="B1980">
            <v>37126</v>
          </cell>
          <cell r="C1980" t="str">
            <v>-3</v>
          </cell>
          <cell r="D1980">
            <v>14615705</v>
          </cell>
          <cell r="E1980" t="str">
            <v>레 미 콘</v>
          </cell>
          <cell r="F1980" t="str">
            <v>25-240-15</v>
          </cell>
          <cell r="G1980" t="str">
            <v>㎥</v>
          </cell>
          <cell r="I1980">
            <v>0</v>
          </cell>
        </row>
        <row r="1981">
          <cell r="A1981" t="str">
            <v>M00067</v>
          </cell>
          <cell r="B1981">
            <v>2291</v>
          </cell>
          <cell r="C1981" t="str">
            <v>-4</v>
          </cell>
          <cell r="D1981">
            <v>14615717</v>
          </cell>
          <cell r="E1981" t="str">
            <v>레 미 콘</v>
          </cell>
          <cell r="F1981" t="str">
            <v>25-240-5</v>
          </cell>
          <cell r="G1981" t="str">
            <v>㎥</v>
          </cell>
          <cell r="I1981">
            <v>0</v>
          </cell>
        </row>
        <row r="1982">
          <cell r="A1982" t="str">
            <v>M00068</v>
          </cell>
          <cell r="B1982">
            <v>1526</v>
          </cell>
          <cell r="C1982" t="str">
            <v>-5</v>
          </cell>
          <cell r="D1982">
            <v>14615752</v>
          </cell>
          <cell r="E1982" t="str">
            <v>레 미 콘</v>
          </cell>
          <cell r="F1982" t="str">
            <v>25-210-15</v>
          </cell>
          <cell r="G1982" t="str">
            <v>㎥</v>
          </cell>
          <cell r="I1982">
            <v>0</v>
          </cell>
        </row>
        <row r="1983">
          <cell r="A1983" t="str">
            <v>M00069</v>
          </cell>
          <cell r="B1983">
            <v>12124</v>
          </cell>
          <cell r="C1983" t="str">
            <v>-6</v>
          </cell>
          <cell r="D1983">
            <v>14615764</v>
          </cell>
          <cell r="E1983" t="str">
            <v>레 미 콘</v>
          </cell>
          <cell r="F1983" t="str">
            <v>25-210-8</v>
          </cell>
          <cell r="G1983" t="str">
            <v>㎥</v>
          </cell>
          <cell r="I1983">
            <v>0</v>
          </cell>
        </row>
        <row r="1984">
          <cell r="A1984" t="str">
            <v>M02778</v>
          </cell>
          <cell r="B1984">
            <v>1150</v>
          </cell>
          <cell r="C1984" t="str">
            <v>-7</v>
          </cell>
          <cell r="D1984">
            <v>14615770</v>
          </cell>
          <cell r="E1984" t="str">
            <v>레 미 콘</v>
          </cell>
          <cell r="F1984" t="str">
            <v>25-180-5</v>
          </cell>
          <cell r="G1984" t="str">
            <v>㎥</v>
          </cell>
          <cell r="I1984">
            <v>0</v>
          </cell>
        </row>
        <row r="1985">
          <cell r="A1985" t="str">
            <v>M00070</v>
          </cell>
          <cell r="B1985">
            <v>4650</v>
          </cell>
          <cell r="C1985" t="str">
            <v>-8</v>
          </cell>
          <cell r="D1985">
            <v>14615776</v>
          </cell>
          <cell r="E1985" t="str">
            <v>레 미 콘</v>
          </cell>
          <cell r="F1985" t="str">
            <v>25-180-15</v>
          </cell>
          <cell r="G1985" t="str">
            <v>㎥</v>
          </cell>
          <cell r="I1985">
            <v>0</v>
          </cell>
        </row>
        <row r="1986">
          <cell r="A1986" t="str">
            <v>M00080</v>
          </cell>
          <cell r="B1986">
            <v>9427</v>
          </cell>
          <cell r="C1986" t="str">
            <v>-9</v>
          </cell>
          <cell r="D1986">
            <v>14615797</v>
          </cell>
          <cell r="E1986" t="str">
            <v>레 미 콘</v>
          </cell>
          <cell r="F1986" t="str">
            <v>25-180-8</v>
          </cell>
          <cell r="G1986" t="str">
            <v>㎥</v>
          </cell>
          <cell r="I1986">
            <v>0</v>
          </cell>
        </row>
        <row r="1987">
          <cell r="A1987" t="str">
            <v>M00079</v>
          </cell>
          <cell r="B1987">
            <v>1197</v>
          </cell>
          <cell r="C1987" t="str">
            <v>-10</v>
          </cell>
          <cell r="D1987">
            <v>14615798</v>
          </cell>
          <cell r="E1987" t="str">
            <v>레 미 콘</v>
          </cell>
          <cell r="F1987" t="str">
            <v>25-160-15</v>
          </cell>
          <cell r="G1987" t="str">
            <v>㎥</v>
          </cell>
          <cell r="I1987">
            <v>0</v>
          </cell>
        </row>
        <row r="1988">
          <cell r="A1988" t="str">
            <v>M00078</v>
          </cell>
          <cell r="B1988">
            <v>1599</v>
          </cell>
          <cell r="C1988" t="str">
            <v>-11</v>
          </cell>
          <cell r="D1988">
            <v>14615926</v>
          </cell>
          <cell r="E1988" t="str">
            <v>레 미 콘</v>
          </cell>
          <cell r="F1988" t="str">
            <v>25-160-8</v>
          </cell>
          <cell r="G1988" t="str">
            <v>㎥</v>
          </cell>
          <cell r="I1988">
            <v>0</v>
          </cell>
        </row>
        <row r="1989">
          <cell r="A1989" t="str">
            <v>M00075</v>
          </cell>
          <cell r="B1989">
            <v>395</v>
          </cell>
          <cell r="C1989" t="str">
            <v>-12</v>
          </cell>
          <cell r="D1989">
            <v>14615927</v>
          </cell>
          <cell r="E1989" t="str">
            <v>레 미 콘</v>
          </cell>
          <cell r="F1989" t="str">
            <v>40-210-8</v>
          </cell>
          <cell r="G1989" t="str">
            <v>㎥</v>
          </cell>
          <cell r="I1989">
            <v>0</v>
          </cell>
        </row>
        <row r="1990">
          <cell r="A1990" t="str">
            <v>M01073</v>
          </cell>
          <cell r="B1990">
            <v>1963</v>
          </cell>
          <cell r="C1990" t="str">
            <v>-13</v>
          </cell>
          <cell r="D1990">
            <v>14615991</v>
          </cell>
          <cell r="E1990" t="str">
            <v>레 미 콘</v>
          </cell>
          <cell r="F1990" t="str">
            <v>19-400-15</v>
          </cell>
          <cell r="G1990" t="str">
            <v>㎥</v>
          </cell>
          <cell r="I1990">
            <v>0</v>
          </cell>
        </row>
        <row r="1991">
          <cell r="A1991" t="str">
            <v>E2</v>
          </cell>
          <cell r="B1991">
            <v>0</v>
          </cell>
          <cell r="C1991" t="str">
            <v>계</v>
          </cell>
          <cell r="D1991">
            <v>14616055</v>
          </cell>
          <cell r="I1991">
            <v>0</v>
          </cell>
        </row>
        <row r="1992">
          <cell r="A1992" t="str">
            <v>M00083</v>
          </cell>
          <cell r="B1992">
            <v>85313</v>
          </cell>
          <cell r="C1992" t="str">
            <v>b</v>
          </cell>
          <cell r="D1992">
            <v>14616119</v>
          </cell>
          <cell r="E1992" t="str">
            <v>시 멘 트</v>
          </cell>
          <cell r="F1992" t="str">
            <v>40 Kg/ⓐ</v>
          </cell>
          <cell r="G1992" t="str">
            <v>대</v>
          </cell>
          <cell r="I1992">
            <v>0</v>
          </cell>
        </row>
        <row r="1993">
          <cell r="A1993" t="str">
            <v>T2</v>
          </cell>
          <cell r="B1993">
            <v>2011</v>
          </cell>
          <cell r="C1993" t="str">
            <v>c</v>
          </cell>
          <cell r="D1993">
            <v>14616151</v>
          </cell>
          <cell r="E1993" t="str">
            <v>철  근</v>
          </cell>
          <cell r="I1993">
            <v>0</v>
          </cell>
        </row>
        <row r="1994">
          <cell r="A1994" t="str">
            <v>T1</v>
          </cell>
          <cell r="B1994">
            <v>2000</v>
          </cell>
          <cell r="C1994" t="str">
            <v>-1</v>
          </cell>
          <cell r="D1994">
            <v>14616167</v>
          </cell>
          <cell r="E1994" t="str">
            <v>철근(SD40)</v>
          </cell>
          <cell r="I1994">
            <v>0</v>
          </cell>
        </row>
        <row r="1995">
          <cell r="A1995" t="str">
            <v>M00101</v>
          </cell>
          <cell r="B1995">
            <v>445.03300000000002</v>
          </cell>
          <cell r="D1995">
            <v>14616173</v>
          </cell>
          <cell r="E1995" t="str">
            <v>철근(SD40A)</v>
          </cell>
          <cell r="F1995" t="str">
            <v>D=29m/m</v>
          </cell>
          <cell r="G1995" t="str">
            <v>TON</v>
          </cell>
          <cell r="I1995">
            <v>0</v>
          </cell>
        </row>
        <row r="1996">
          <cell r="A1996" t="str">
            <v>M00100</v>
          </cell>
          <cell r="B1996">
            <v>284.92200000000003</v>
          </cell>
          <cell r="D1996">
            <v>14616175</v>
          </cell>
          <cell r="E1996" t="str">
            <v>철근(SD40A)</v>
          </cell>
          <cell r="F1996" t="str">
            <v>D=25m/m</v>
          </cell>
          <cell r="G1996" t="str">
            <v>TON</v>
          </cell>
          <cell r="I1996">
            <v>0</v>
          </cell>
        </row>
        <row r="1997">
          <cell r="A1997" t="str">
            <v>M00099</v>
          </cell>
          <cell r="B1997">
            <v>442.52699999999999</v>
          </cell>
          <cell r="D1997">
            <v>14616179</v>
          </cell>
          <cell r="E1997" t="str">
            <v>철근(SD40A)</v>
          </cell>
          <cell r="F1997" t="str">
            <v>D=22m/m</v>
          </cell>
          <cell r="G1997" t="str">
            <v>TON</v>
          </cell>
          <cell r="I1997">
            <v>0</v>
          </cell>
        </row>
        <row r="1998">
          <cell r="A1998" t="str">
            <v>M00098</v>
          </cell>
          <cell r="B1998">
            <v>413.56200000000001</v>
          </cell>
          <cell r="D1998">
            <v>14616181</v>
          </cell>
          <cell r="E1998" t="str">
            <v>철근(SD40A)</v>
          </cell>
          <cell r="F1998" t="str">
            <v>D=19m/m</v>
          </cell>
          <cell r="G1998" t="str">
            <v>TON</v>
          </cell>
          <cell r="I1998">
            <v>0</v>
          </cell>
        </row>
        <row r="1999">
          <cell r="A1999" t="str">
            <v>M00097</v>
          </cell>
          <cell r="B1999">
            <v>732.17399999999998</v>
          </cell>
          <cell r="D1999">
            <v>14616182</v>
          </cell>
          <cell r="E1999" t="str">
            <v>철근(SD40A)</v>
          </cell>
          <cell r="F1999" t="str">
            <v>D=16m/m</v>
          </cell>
          <cell r="G1999" t="str">
            <v>TON</v>
          </cell>
          <cell r="I1999">
            <v>0</v>
          </cell>
        </row>
        <row r="2000">
          <cell r="A2000" t="str">
            <v>M00096</v>
          </cell>
          <cell r="B2000">
            <v>99.533000000000001</v>
          </cell>
          <cell r="D2000">
            <v>14616183</v>
          </cell>
          <cell r="E2000" t="str">
            <v>철근(SD40A)</v>
          </cell>
          <cell r="F2000" t="str">
            <v>D=13m/m</v>
          </cell>
          <cell r="G2000" t="str">
            <v>TON</v>
          </cell>
          <cell r="I2000">
            <v>0</v>
          </cell>
        </row>
        <row r="2001">
          <cell r="A2001" t="str">
            <v>E1</v>
          </cell>
          <cell r="B2001">
            <v>0</v>
          </cell>
          <cell r="C2001" t="str">
            <v>소계</v>
          </cell>
          <cell r="D2001">
            <v>14616215</v>
          </cell>
          <cell r="I2001">
            <v>0</v>
          </cell>
        </row>
        <row r="2002">
          <cell r="A2002" t="str">
            <v>T1</v>
          </cell>
          <cell r="B2002">
            <v>2010</v>
          </cell>
          <cell r="C2002" t="str">
            <v>-2</v>
          </cell>
          <cell r="D2002">
            <v>14616247</v>
          </cell>
          <cell r="E2002" t="str">
            <v>철근(SD30)</v>
          </cell>
          <cell r="I2002">
            <v>0</v>
          </cell>
        </row>
        <row r="2003">
          <cell r="A2003" t="str">
            <v>M00094</v>
          </cell>
          <cell r="B2003">
            <v>378.55099999999999</v>
          </cell>
          <cell r="D2003">
            <v>14616279</v>
          </cell>
          <cell r="E2003" t="str">
            <v>철근(SD30A)</v>
          </cell>
          <cell r="F2003" t="str">
            <v>D=32m/m</v>
          </cell>
          <cell r="G2003" t="str">
            <v>TON</v>
          </cell>
          <cell r="I2003">
            <v>0</v>
          </cell>
        </row>
        <row r="2004">
          <cell r="A2004" t="str">
            <v>M00093</v>
          </cell>
          <cell r="B2004">
            <v>384.72199999999998</v>
          </cell>
          <cell r="D2004">
            <v>14616295</v>
          </cell>
          <cell r="E2004" t="str">
            <v>철근(SD30A)</v>
          </cell>
          <cell r="F2004" t="str">
            <v>D=29m/m</v>
          </cell>
          <cell r="G2004" t="str">
            <v>TON</v>
          </cell>
          <cell r="I2004">
            <v>0</v>
          </cell>
        </row>
        <row r="2005">
          <cell r="A2005" t="str">
            <v>M00092</v>
          </cell>
          <cell r="B2005">
            <v>610.17700000000002</v>
          </cell>
          <cell r="D2005">
            <v>14616303</v>
          </cell>
          <cell r="E2005" t="str">
            <v>철근(SD30A)</v>
          </cell>
          <cell r="F2005" t="str">
            <v>D=25m/m</v>
          </cell>
          <cell r="G2005" t="str">
            <v>TON</v>
          </cell>
          <cell r="I2005">
            <v>0</v>
          </cell>
        </row>
        <row r="2006">
          <cell r="A2006" t="str">
            <v>M00091</v>
          </cell>
          <cell r="B2006">
            <v>694.68799999999999</v>
          </cell>
          <cell r="D2006">
            <v>14616307</v>
          </cell>
          <cell r="E2006" t="str">
            <v>철근(SD30A)</v>
          </cell>
          <cell r="F2006" t="str">
            <v>D=22m/m</v>
          </cell>
          <cell r="G2006" t="str">
            <v>TON</v>
          </cell>
          <cell r="I2006">
            <v>0</v>
          </cell>
        </row>
        <row r="2007">
          <cell r="A2007" t="str">
            <v>M00090</v>
          </cell>
          <cell r="B2007">
            <v>794.56799999999998</v>
          </cell>
          <cell r="D2007">
            <v>14616309</v>
          </cell>
          <cell r="E2007" t="str">
            <v>철근(SD30A)</v>
          </cell>
          <cell r="F2007" t="str">
            <v>D=19m/m</v>
          </cell>
          <cell r="G2007" t="str">
            <v>TON</v>
          </cell>
          <cell r="I2007">
            <v>0</v>
          </cell>
        </row>
        <row r="2008">
          <cell r="A2008" t="str">
            <v>M00089</v>
          </cell>
          <cell r="B2008">
            <v>1391.3989999999999</v>
          </cell>
          <cell r="D2008">
            <v>14616310</v>
          </cell>
          <cell r="E2008" t="str">
            <v>철근(SD30A)</v>
          </cell>
          <cell r="F2008" t="str">
            <v>D=16m/m</v>
          </cell>
          <cell r="G2008" t="str">
            <v>TON</v>
          </cell>
          <cell r="I2008">
            <v>0</v>
          </cell>
        </row>
        <row r="2009">
          <cell r="A2009" t="str">
            <v>M00088</v>
          </cell>
          <cell r="B2009">
            <v>632.44399999999996</v>
          </cell>
          <cell r="D2009">
            <v>14616311</v>
          </cell>
          <cell r="E2009" t="str">
            <v>철근(SD30A)</v>
          </cell>
          <cell r="F2009" t="str">
            <v>D=13m/m</v>
          </cell>
          <cell r="G2009" t="str">
            <v>TON</v>
          </cell>
          <cell r="I2009">
            <v>0</v>
          </cell>
        </row>
        <row r="2010">
          <cell r="A2010" t="str">
            <v>M00087</v>
          </cell>
          <cell r="B2010">
            <v>39.954000000000001</v>
          </cell>
          <cell r="D2010">
            <v>14616375</v>
          </cell>
          <cell r="E2010" t="str">
            <v>철근(SD30A)</v>
          </cell>
          <cell r="F2010" t="str">
            <v>D=10m/m</v>
          </cell>
          <cell r="G2010" t="str">
            <v>TON</v>
          </cell>
          <cell r="I2010">
            <v>0</v>
          </cell>
        </row>
        <row r="2011">
          <cell r="A2011" t="str">
            <v>E1</v>
          </cell>
          <cell r="B2011">
            <v>0</v>
          </cell>
          <cell r="C2011" t="str">
            <v>소계</v>
          </cell>
          <cell r="D2011">
            <v>14616391</v>
          </cell>
          <cell r="I2011">
            <v>0</v>
          </cell>
        </row>
        <row r="2012">
          <cell r="A2012" t="str">
            <v>E2</v>
          </cell>
          <cell r="B2012">
            <v>0</v>
          </cell>
          <cell r="C2012" t="str">
            <v>계</v>
          </cell>
          <cell r="D2012">
            <v>14616407</v>
          </cell>
          <cell r="I2012">
            <v>0</v>
          </cell>
        </row>
        <row r="2013">
          <cell r="A2013" t="str">
            <v>T2</v>
          </cell>
          <cell r="B2013">
            <v>2015</v>
          </cell>
          <cell r="C2013" t="str">
            <v>d</v>
          </cell>
          <cell r="D2013">
            <v>14616415</v>
          </cell>
          <cell r="E2013" t="str">
            <v>아스팔트</v>
          </cell>
          <cell r="I2013">
            <v>0</v>
          </cell>
        </row>
        <row r="2014">
          <cell r="A2014" t="str">
            <v>M00055</v>
          </cell>
          <cell r="B2014">
            <v>870</v>
          </cell>
          <cell r="C2014" t="str">
            <v>-1</v>
          </cell>
          <cell r="D2014">
            <v>14616419</v>
          </cell>
          <cell r="E2014" t="str">
            <v>아스팔트</v>
          </cell>
          <cell r="F2014" t="str">
            <v>RSC-4</v>
          </cell>
          <cell r="G2014" t="str">
            <v>D/M</v>
          </cell>
          <cell r="I2014">
            <v>0</v>
          </cell>
        </row>
        <row r="2015">
          <cell r="A2015" t="str">
            <v>M00052</v>
          </cell>
          <cell r="B2015">
            <v>768</v>
          </cell>
          <cell r="C2015" t="str">
            <v>-2</v>
          </cell>
          <cell r="D2015">
            <v>14616421</v>
          </cell>
          <cell r="E2015" t="str">
            <v>아스팔트</v>
          </cell>
          <cell r="F2015" t="str">
            <v>MC-1</v>
          </cell>
          <cell r="G2015" t="str">
            <v>D/M</v>
          </cell>
          <cell r="I2015">
            <v>0</v>
          </cell>
        </row>
        <row r="2016">
          <cell r="A2016" t="str">
            <v>E2</v>
          </cell>
          <cell r="B2016">
            <v>0</v>
          </cell>
          <cell r="C2016" t="str">
            <v>계</v>
          </cell>
          <cell r="D2016">
            <v>14616422</v>
          </cell>
          <cell r="I2016">
            <v>0</v>
          </cell>
        </row>
        <row r="2017">
          <cell r="A2017" t="str">
            <v>T2</v>
          </cell>
          <cell r="B2017">
            <v>2022</v>
          </cell>
          <cell r="C2017" t="str">
            <v>e</v>
          </cell>
          <cell r="D2017">
            <v>14616423</v>
          </cell>
          <cell r="E2017" t="str">
            <v>흄   관</v>
          </cell>
          <cell r="I2017">
            <v>0</v>
          </cell>
        </row>
        <row r="2018">
          <cell r="A2018" t="str">
            <v>M00314</v>
          </cell>
          <cell r="B2018">
            <v>394</v>
          </cell>
          <cell r="C2018" t="str">
            <v>-1</v>
          </cell>
          <cell r="D2018">
            <v>14616455</v>
          </cell>
          <cell r="E2018" t="str">
            <v>흄   관</v>
          </cell>
          <cell r="F2018" t="str">
            <v>D= 450 m/m</v>
          </cell>
          <cell r="G2018" t="str">
            <v>본</v>
          </cell>
          <cell r="I2018">
            <v>0</v>
          </cell>
        </row>
        <row r="2019">
          <cell r="A2019" t="str">
            <v>M00316</v>
          </cell>
          <cell r="B2019">
            <v>460</v>
          </cell>
          <cell r="C2019" t="str">
            <v>-2</v>
          </cell>
          <cell r="D2019">
            <v>14616487</v>
          </cell>
          <cell r="E2019" t="str">
            <v>흄   관</v>
          </cell>
          <cell r="F2019" t="str">
            <v>D= 600 m/m</v>
          </cell>
          <cell r="G2019" t="str">
            <v>본</v>
          </cell>
          <cell r="I2019">
            <v>0</v>
          </cell>
        </row>
        <row r="2020">
          <cell r="A2020" t="str">
            <v>M00318</v>
          </cell>
          <cell r="B2020">
            <v>492</v>
          </cell>
          <cell r="C2020" t="str">
            <v>-3</v>
          </cell>
          <cell r="D2020">
            <v>14616519</v>
          </cell>
          <cell r="E2020" t="str">
            <v>흄   관</v>
          </cell>
          <cell r="F2020" t="str">
            <v>D= 800 m/m</v>
          </cell>
          <cell r="G2020" t="str">
            <v>본</v>
          </cell>
          <cell r="I2020">
            <v>0</v>
          </cell>
        </row>
        <row r="2021">
          <cell r="A2021" t="str">
            <v>M00320</v>
          </cell>
          <cell r="B2021">
            <v>92</v>
          </cell>
          <cell r="C2021" t="str">
            <v>-4</v>
          </cell>
          <cell r="D2021">
            <v>14616535</v>
          </cell>
          <cell r="E2021" t="str">
            <v>흄   관</v>
          </cell>
          <cell r="F2021" t="str">
            <v>D=1000 m/m</v>
          </cell>
          <cell r="G2021" t="str">
            <v>본</v>
          </cell>
          <cell r="I2021">
            <v>0</v>
          </cell>
        </row>
        <row r="2022">
          <cell r="A2022" t="str">
            <v>M00322</v>
          </cell>
          <cell r="B2022">
            <v>44</v>
          </cell>
          <cell r="C2022" t="str">
            <v>-5</v>
          </cell>
          <cell r="D2022">
            <v>14616539</v>
          </cell>
          <cell r="E2022" t="str">
            <v>흄   관</v>
          </cell>
          <cell r="F2022" t="str">
            <v>D=1200 m/m</v>
          </cell>
          <cell r="G2022" t="str">
            <v>본</v>
          </cell>
          <cell r="I2022">
            <v>0</v>
          </cell>
        </row>
        <row r="2023">
          <cell r="A2023" t="str">
            <v>E2</v>
          </cell>
          <cell r="B2023">
            <v>0</v>
          </cell>
          <cell r="C2023" t="str">
            <v>계</v>
          </cell>
          <cell r="D2023">
            <v>14616543</v>
          </cell>
          <cell r="I2023">
            <v>0</v>
          </cell>
        </row>
        <row r="2024">
          <cell r="A2024" t="str">
            <v>T2</v>
          </cell>
          <cell r="B2024">
            <v>2028</v>
          </cell>
          <cell r="C2024" t="str">
            <v>f</v>
          </cell>
          <cell r="D2024">
            <v>14616545</v>
          </cell>
          <cell r="E2024" t="str">
            <v>진동전압철근콘크리트</v>
          </cell>
          <cell r="F2024" t="str">
            <v>관(V.R관)</v>
          </cell>
          <cell r="I2024">
            <v>0</v>
          </cell>
        </row>
        <row r="2025">
          <cell r="A2025" t="str">
            <v>M00301</v>
          </cell>
          <cell r="B2025">
            <v>185</v>
          </cell>
          <cell r="C2025" t="str">
            <v>-1</v>
          </cell>
          <cell r="D2025">
            <v>14616546</v>
          </cell>
          <cell r="E2025" t="str">
            <v>진동및전압관</v>
          </cell>
          <cell r="F2025" t="str">
            <v>D= 600 m/m</v>
          </cell>
          <cell r="G2025" t="str">
            <v>본</v>
          </cell>
          <cell r="I2025">
            <v>0</v>
          </cell>
        </row>
        <row r="2026">
          <cell r="A2026" t="str">
            <v>M00303</v>
          </cell>
          <cell r="B2026">
            <v>449</v>
          </cell>
          <cell r="C2026" t="str">
            <v>-2</v>
          </cell>
          <cell r="D2026">
            <v>14616547</v>
          </cell>
          <cell r="E2026" t="str">
            <v>진동및전압관</v>
          </cell>
          <cell r="F2026" t="str">
            <v>D= 800 m/m</v>
          </cell>
          <cell r="G2026" t="str">
            <v>본</v>
          </cell>
          <cell r="I2026">
            <v>0</v>
          </cell>
        </row>
        <row r="2027">
          <cell r="A2027" t="str">
            <v>M00305</v>
          </cell>
          <cell r="B2027">
            <v>136</v>
          </cell>
          <cell r="C2027" t="str">
            <v>-3</v>
          </cell>
          <cell r="D2027">
            <v>14616611</v>
          </cell>
          <cell r="E2027" t="str">
            <v>진동및전압관</v>
          </cell>
          <cell r="F2027" t="str">
            <v>D=1000 m/m</v>
          </cell>
          <cell r="G2027" t="str">
            <v>본</v>
          </cell>
          <cell r="I2027">
            <v>0</v>
          </cell>
        </row>
        <row r="2028">
          <cell r="A2028" t="str">
            <v>M00307</v>
          </cell>
          <cell r="B2028">
            <v>228</v>
          </cell>
          <cell r="C2028" t="str">
            <v>-4</v>
          </cell>
          <cell r="D2028">
            <v>14616643</v>
          </cell>
          <cell r="E2028" t="str">
            <v>진동및전압관</v>
          </cell>
          <cell r="F2028" t="str">
            <v>D=1200 m/m</v>
          </cell>
          <cell r="G2028" t="str">
            <v>본</v>
          </cell>
          <cell r="I2028">
            <v>0</v>
          </cell>
        </row>
        <row r="2029">
          <cell r="A2029" t="str">
            <v>E2</v>
          </cell>
          <cell r="B2029">
            <v>0</v>
          </cell>
          <cell r="C2029" t="str">
            <v>계</v>
          </cell>
          <cell r="D2029">
            <v>14616659</v>
          </cell>
          <cell r="I2029">
            <v>0</v>
          </cell>
        </row>
        <row r="2030">
          <cell r="A2030" t="str">
            <v>T2</v>
          </cell>
          <cell r="B2030">
            <v>2033</v>
          </cell>
          <cell r="C2030" t="str">
            <v>g</v>
          </cell>
          <cell r="D2030">
            <v>14616675</v>
          </cell>
          <cell r="E2030" t="str">
            <v>아 스 콘</v>
          </cell>
          <cell r="I2030">
            <v>0</v>
          </cell>
        </row>
        <row r="2031">
          <cell r="A2031" t="str">
            <v>M00056</v>
          </cell>
          <cell r="B2031">
            <v>28916</v>
          </cell>
          <cell r="C2031" t="str">
            <v>-1</v>
          </cell>
          <cell r="D2031">
            <v>14616677</v>
          </cell>
          <cell r="E2031" t="str">
            <v>아 스 콘</v>
          </cell>
          <cell r="F2031" t="str">
            <v>표층용</v>
          </cell>
          <cell r="G2031" t="str">
            <v>TON</v>
          </cell>
          <cell r="I2031">
            <v>0</v>
          </cell>
        </row>
        <row r="2032">
          <cell r="A2032" t="str">
            <v>M00059</v>
          </cell>
          <cell r="B2032">
            <v>97232</v>
          </cell>
          <cell r="C2032" t="str">
            <v>-2</v>
          </cell>
          <cell r="D2032">
            <v>14616678</v>
          </cell>
          <cell r="E2032" t="str">
            <v>아 스 콘</v>
          </cell>
          <cell r="F2032" t="str">
            <v>기층용</v>
          </cell>
          <cell r="G2032" t="str">
            <v>TON</v>
          </cell>
          <cell r="I2032">
            <v>0</v>
          </cell>
        </row>
        <row r="2033">
          <cell r="A2033" t="str">
            <v>M00058</v>
          </cell>
          <cell r="B2033">
            <v>31103</v>
          </cell>
          <cell r="C2033" t="str">
            <v>-3</v>
          </cell>
          <cell r="D2033">
            <v>14616679</v>
          </cell>
          <cell r="E2033" t="str">
            <v>아 스 콘</v>
          </cell>
          <cell r="F2033" t="str">
            <v>중간층용</v>
          </cell>
          <cell r="G2033" t="str">
            <v>TON</v>
          </cell>
          <cell r="I2033">
            <v>0</v>
          </cell>
        </row>
        <row r="2034">
          <cell r="A2034" t="str">
            <v>E2</v>
          </cell>
          <cell r="B2034">
            <v>0</v>
          </cell>
          <cell r="C2034" t="str">
            <v>계</v>
          </cell>
          <cell r="D2034">
            <v>14616743</v>
          </cell>
          <cell r="I2034">
            <v>0</v>
          </cell>
        </row>
        <row r="2035">
          <cell r="A2035" t="str">
            <v>E3</v>
          </cell>
          <cell r="B2035">
            <v>0</v>
          </cell>
          <cell r="C2035" t="str">
            <v>합계</v>
          </cell>
          <cell r="D2035">
            <v>14616807</v>
          </cell>
          <cell r="I2035">
            <v>0</v>
          </cell>
        </row>
        <row r="2036">
          <cell r="A2036" t="str">
            <v>M00751</v>
          </cell>
          <cell r="B2036">
            <v>220.328</v>
          </cell>
          <cell r="C2036" t="str">
            <v>7.24</v>
          </cell>
          <cell r="D2036">
            <v>14616815</v>
          </cell>
          <cell r="E2036" t="str">
            <v>공 제 대</v>
          </cell>
          <cell r="F2036" t="str">
            <v>고  철</v>
          </cell>
          <cell r="G2036" t="str">
            <v>TON</v>
          </cell>
          <cell r="I2036">
            <v>0</v>
          </cell>
        </row>
        <row r="2037">
          <cell r="A2037" t="str">
            <v>T3</v>
          </cell>
          <cell r="B2037">
            <v>2058</v>
          </cell>
          <cell r="C2037" t="str">
            <v>7.25</v>
          </cell>
          <cell r="D2037">
            <v>14616880</v>
          </cell>
          <cell r="E2037" t="str">
            <v>전기공사</v>
          </cell>
          <cell r="I2037">
            <v>0</v>
          </cell>
        </row>
        <row r="2038">
          <cell r="A2038" t="str">
            <v>T2</v>
          </cell>
          <cell r="B2038">
            <v>2043</v>
          </cell>
          <cell r="C2038" t="str">
            <v>a</v>
          </cell>
          <cell r="D2038">
            <v>14616912</v>
          </cell>
          <cell r="E2038" t="str">
            <v>터널전기공사</v>
          </cell>
          <cell r="I2038">
            <v>0</v>
          </cell>
        </row>
        <row r="2039">
          <cell r="A2039" t="str">
            <v>D03876</v>
          </cell>
          <cell r="B2039">
            <v>1</v>
          </cell>
          <cell r="C2039" t="str">
            <v>-1</v>
          </cell>
          <cell r="D2039">
            <v>14616928</v>
          </cell>
          <cell r="E2039" t="str">
            <v>터널 전기공사</v>
          </cell>
          <cell r="F2039" t="str">
            <v>(변전실 전기공사)</v>
          </cell>
          <cell r="G2039" t="str">
            <v>식</v>
          </cell>
          <cell r="I2039">
            <v>0</v>
          </cell>
        </row>
        <row r="2040">
          <cell r="A2040" t="str">
            <v>D03883</v>
          </cell>
          <cell r="B2040">
            <v>1</v>
          </cell>
          <cell r="C2040" t="str">
            <v>-2</v>
          </cell>
          <cell r="D2040">
            <v>14616936</v>
          </cell>
          <cell r="E2040" t="str">
            <v>터널 전기공사</v>
          </cell>
          <cell r="F2040" t="str">
            <v>(조명 설비공사)</v>
          </cell>
          <cell r="G2040" t="str">
            <v>식</v>
          </cell>
          <cell r="I2040">
            <v>0</v>
          </cell>
        </row>
        <row r="2041">
          <cell r="A2041" t="str">
            <v>D03884</v>
          </cell>
          <cell r="B2041">
            <v>1</v>
          </cell>
          <cell r="C2041" t="str">
            <v>-3</v>
          </cell>
          <cell r="D2041">
            <v>14616940</v>
          </cell>
          <cell r="E2041" t="str">
            <v>터널 전기공사</v>
          </cell>
          <cell r="F2041" t="str">
            <v>(소방 설비공사)</v>
          </cell>
          <cell r="G2041" t="str">
            <v>식</v>
          </cell>
          <cell r="I2041">
            <v>0</v>
          </cell>
        </row>
        <row r="2042">
          <cell r="A2042" t="str">
            <v>D03885</v>
          </cell>
          <cell r="B2042">
            <v>1</v>
          </cell>
          <cell r="C2042" t="str">
            <v>-4</v>
          </cell>
          <cell r="D2042">
            <v>14616942</v>
          </cell>
          <cell r="E2042" t="str">
            <v>터널 전기공사</v>
          </cell>
          <cell r="F2042" t="str">
            <v>(무선통신및지하재해)</v>
          </cell>
          <cell r="G2042" t="str">
            <v>식</v>
          </cell>
          <cell r="I2042">
            <v>0</v>
          </cell>
        </row>
        <row r="2043">
          <cell r="A2043" t="str">
            <v>D03886</v>
          </cell>
          <cell r="B2043">
            <v>1</v>
          </cell>
          <cell r="C2043" t="str">
            <v>-5</v>
          </cell>
          <cell r="D2043">
            <v>14616943</v>
          </cell>
          <cell r="E2043" t="str">
            <v>가로등설치공사</v>
          </cell>
          <cell r="G2043" t="str">
            <v>식</v>
          </cell>
          <cell r="I2043">
            <v>0</v>
          </cell>
        </row>
        <row r="2044">
          <cell r="A2044" t="str">
            <v>E2</v>
          </cell>
          <cell r="B2044">
            <v>0</v>
          </cell>
          <cell r="C2044" t="str">
            <v>계</v>
          </cell>
          <cell r="D2044">
            <v>14617071</v>
          </cell>
          <cell r="I2044">
            <v>0</v>
          </cell>
        </row>
        <row r="2045">
          <cell r="A2045" t="str">
            <v>T2</v>
          </cell>
          <cell r="B2045">
            <v>2048</v>
          </cell>
          <cell r="C2045" t="str">
            <v>b</v>
          </cell>
          <cell r="D2045">
            <v>14617072</v>
          </cell>
          <cell r="E2045" t="str">
            <v>강교전기공사</v>
          </cell>
          <cell r="I2045">
            <v>0</v>
          </cell>
        </row>
        <row r="2046">
          <cell r="A2046" t="str">
            <v>D03873</v>
          </cell>
          <cell r="B2046">
            <v>1</v>
          </cell>
          <cell r="C2046" t="str">
            <v>-1</v>
          </cell>
          <cell r="D2046">
            <v>14617136</v>
          </cell>
          <cell r="E2046" t="str">
            <v>강교 전기공사</v>
          </cell>
          <cell r="F2046" t="str">
            <v>(간선설비공사)</v>
          </cell>
          <cell r="G2046" t="str">
            <v>식</v>
          </cell>
          <cell r="I2046">
            <v>0</v>
          </cell>
        </row>
        <row r="2047">
          <cell r="A2047" t="str">
            <v>D03874</v>
          </cell>
          <cell r="B2047">
            <v>1</v>
          </cell>
          <cell r="C2047" t="str">
            <v>-2</v>
          </cell>
          <cell r="D2047">
            <v>14617168</v>
          </cell>
          <cell r="E2047" t="str">
            <v>강교 전기공사</v>
          </cell>
          <cell r="F2047" t="str">
            <v>(전열설비공사)</v>
          </cell>
          <cell r="G2047" t="str">
            <v>식</v>
          </cell>
          <cell r="I2047">
            <v>0</v>
          </cell>
        </row>
        <row r="2048">
          <cell r="A2048" t="str">
            <v>D03875</v>
          </cell>
          <cell r="B2048">
            <v>1</v>
          </cell>
          <cell r="C2048" t="str">
            <v>-3</v>
          </cell>
          <cell r="D2048">
            <v>14617184</v>
          </cell>
          <cell r="E2048" t="str">
            <v>강교 전기공사</v>
          </cell>
          <cell r="F2048" t="str">
            <v>(전등설비공사)</v>
          </cell>
          <cell r="G2048" t="str">
            <v>식</v>
          </cell>
          <cell r="I2048">
            <v>0</v>
          </cell>
        </row>
        <row r="2049">
          <cell r="A2049" t="str">
            <v>E2</v>
          </cell>
          <cell r="B2049">
            <v>0</v>
          </cell>
          <cell r="C2049" t="str">
            <v>계</v>
          </cell>
          <cell r="D2049">
            <v>14617192</v>
          </cell>
          <cell r="I2049">
            <v>0</v>
          </cell>
        </row>
        <row r="2050">
          <cell r="A2050" t="str">
            <v>T2</v>
          </cell>
          <cell r="B2050">
            <v>2052</v>
          </cell>
          <cell r="C2050" t="str">
            <v>c</v>
          </cell>
          <cell r="D2050">
            <v>14617196</v>
          </cell>
          <cell r="E2050" t="str">
            <v>지하차도전기공사</v>
          </cell>
          <cell r="I2050">
            <v>0</v>
          </cell>
        </row>
        <row r="2051">
          <cell r="A2051" t="str">
            <v>D03887</v>
          </cell>
          <cell r="B2051">
            <v>1</v>
          </cell>
          <cell r="C2051" t="str">
            <v>-1</v>
          </cell>
          <cell r="D2051">
            <v>14617198</v>
          </cell>
          <cell r="E2051" t="str">
            <v>지하차도 전기공사</v>
          </cell>
          <cell r="F2051" t="str">
            <v>(장성 지하차도)</v>
          </cell>
          <cell r="G2051" t="str">
            <v>식</v>
          </cell>
          <cell r="I2051">
            <v>0</v>
          </cell>
        </row>
        <row r="2052">
          <cell r="A2052" t="str">
            <v>D03888</v>
          </cell>
          <cell r="B2052">
            <v>1</v>
          </cell>
          <cell r="C2052" t="str">
            <v>-2</v>
          </cell>
          <cell r="D2052">
            <v>14617199</v>
          </cell>
          <cell r="E2052" t="str">
            <v>지하차도 전기공사</v>
          </cell>
          <cell r="F2052" t="str">
            <v>(옥암 지하차도)</v>
          </cell>
          <cell r="G2052" t="str">
            <v>식</v>
          </cell>
          <cell r="I2052">
            <v>0</v>
          </cell>
        </row>
        <row r="2053">
          <cell r="A2053" t="str">
            <v>E2</v>
          </cell>
          <cell r="B2053">
            <v>0</v>
          </cell>
          <cell r="C2053" t="str">
            <v>계</v>
          </cell>
          <cell r="D2053">
            <v>14617200</v>
          </cell>
          <cell r="I2053">
            <v>0</v>
          </cell>
        </row>
        <row r="2054">
          <cell r="A2054" t="str">
            <v>T2</v>
          </cell>
          <cell r="B2054">
            <v>2057</v>
          </cell>
          <cell r="C2054" t="str">
            <v>d</v>
          </cell>
          <cell r="D2054">
            <v>14617216</v>
          </cell>
          <cell r="E2054" t="str">
            <v>교통신호등</v>
          </cell>
          <cell r="I2054">
            <v>0</v>
          </cell>
        </row>
        <row r="2055">
          <cell r="A2055" t="str">
            <v>D00859</v>
          </cell>
          <cell r="B2055">
            <v>1</v>
          </cell>
          <cell r="C2055" t="str">
            <v>-1</v>
          </cell>
          <cell r="D2055">
            <v>14617232</v>
          </cell>
          <cell r="E2055" t="str">
            <v>교통신호기</v>
          </cell>
          <cell r="F2055" t="str">
            <v>(고암교차로)</v>
          </cell>
          <cell r="G2055" t="str">
            <v>EA</v>
          </cell>
          <cell r="I2055">
            <v>0</v>
          </cell>
        </row>
        <row r="2056">
          <cell r="A2056" t="str">
            <v>D00860</v>
          </cell>
          <cell r="B2056">
            <v>1</v>
          </cell>
          <cell r="C2056" t="str">
            <v>-2</v>
          </cell>
          <cell r="D2056">
            <v>14617248</v>
          </cell>
          <cell r="E2056" t="str">
            <v>교통신호기</v>
          </cell>
          <cell r="F2056" t="str">
            <v>(영암교차로)</v>
          </cell>
          <cell r="G2056" t="str">
            <v>EA</v>
          </cell>
          <cell r="I2056">
            <v>0</v>
          </cell>
        </row>
        <row r="2057">
          <cell r="A2057" t="str">
            <v>D00863</v>
          </cell>
          <cell r="B2057">
            <v>1</v>
          </cell>
          <cell r="C2057" t="str">
            <v>-3</v>
          </cell>
          <cell r="D2057">
            <v>14617256</v>
          </cell>
          <cell r="E2057" t="str">
            <v>교통신호기</v>
          </cell>
          <cell r="F2057" t="str">
            <v>(마온교차로)</v>
          </cell>
          <cell r="G2057" t="str">
            <v>EA</v>
          </cell>
          <cell r="I2057">
            <v>0</v>
          </cell>
        </row>
        <row r="2058">
          <cell r="A2058" t="str">
            <v>E2</v>
          </cell>
          <cell r="B2058">
            <v>0</v>
          </cell>
          <cell r="C2058" t="str">
            <v>계</v>
          </cell>
          <cell r="D2058">
            <v>14617260</v>
          </cell>
          <cell r="I2058">
            <v>0</v>
          </cell>
        </row>
        <row r="2059">
          <cell r="A2059" t="str">
            <v>E3</v>
          </cell>
          <cell r="B2059">
            <v>0</v>
          </cell>
          <cell r="C2059" t="str">
            <v>합계</v>
          </cell>
          <cell r="D2059">
            <v>14617264</v>
          </cell>
          <cell r="I2059">
            <v>0</v>
          </cell>
        </row>
        <row r="2060">
          <cell r="A2060" t="str">
            <v>T3</v>
          </cell>
          <cell r="B2060">
            <v>2071</v>
          </cell>
          <cell r="C2060" t="str">
            <v>7.26</v>
          </cell>
          <cell r="D2060">
            <v>14617296</v>
          </cell>
          <cell r="E2060" t="str">
            <v>건축공사</v>
          </cell>
          <cell r="I2060">
            <v>0</v>
          </cell>
        </row>
        <row r="2061">
          <cell r="A2061" t="str">
            <v>D03926</v>
          </cell>
          <cell r="B2061">
            <v>1</v>
          </cell>
          <cell r="C2061" t="str">
            <v>a</v>
          </cell>
          <cell r="D2061">
            <v>14617312</v>
          </cell>
          <cell r="E2061" t="str">
            <v>건축공사</v>
          </cell>
          <cell r="F2061" t="str">
            <v>(가설공사)</v>
          </cell>
          <cell r="G2061" t="str">
            <v>식</v>
          </cell>
          <cell r="I2061">
            <v>0</v>
          </cell>
        </row>
        <row r="2062">
          <cell r="A2062" t="str">
            <v>D03928</v>
          </cell>
          <cell r="B2062">
            <v>1</v>
          </cell>
          <cell r="C2062" t="str">
            <v>b</v>
          </cell>
          <cell r="D2062">
            <v>14617320</v>
          </cell>
          <cell r="E2062" t="str">
            <v>건축공사</v>
          </cell>
          <cell r="F2062" t="str">
            <v>(철근콘크리트공사)</v>
          </cell>
          <cell r="G2062" t="str">
            <v>식</v>
          </cell>
          <cell r="I2062">
            <v>0</v>
          </cell>
        </row>
        <row r="2063">
          <cell r="A2063" t="str">
            <v>D03929</v>
          </cell>
          <cell r="B2063">
            <v>1</v>
          </cell>
          <cell r="C2063" t="str">
            <v>c</v>
          </cell>
          <cell r="D2063">
            <v>14617324</v>
          </cell>
          <cell r="E2063" t="str">
            <v>건축공사</v>
          </cell>
          <cell r="F2063" t="str">
            <v>(조적공사)</v>
          </cell>
          <cell r="G2063" t="str">
            <v>식</v>
          </cell>
          <cell r="I2063">
            <v>0</v>
          </cell>
        </row>
        <row r="2064">
          <cell r="A2064" t="str">
            <v>D03930</v>
          </cell>
          <cell r="B2064">
            <v>1</v>
          </cell>
          <cell r="C2064" t="str">
            <v>d</v>
          </cell>
          <cell r="D2064">
            <v>14617326</v>
          </cell>
          <cell r="E2064" t="str">
            <v>건축공사</v>
          </cell>
          <cell r="F2064" t="str">
            <v>(방수및미장공사)</v>
          </cell>
          <cell r="G2064" t="str">
            <v>식</v>
          </cell>
          <cell r="I2064">
            <v>0</v>
          </cell>
        </row>
        <row r="2065">
          <cell r="A2065" t="str">
            <v>D03931</v>
          </cell>
          <cell r="B2065">
            <v>1</v>
          </cell>
          <cell r="C2065" t="str">
            <v>e</v>
          </cell>
          <cell r="D2065">
            <v>14617327</v>
          </cell>
          <cell r="E2065" t="str">
            <v>건축공사</v>
          </cell>
          <cell r="F2065" t="str">
            <v>(창호공사)</v>
          </cell>
          <cell r="G2065" t="str">
            <v>식</v>
          </cell>
          <cell r="I2065">
            <v>0</v>
          </cell>
        </row>
        <row r="2066">
          <cell r="A2066" t="str">
            <v>D03932</v>
          </cell>
          <cell r="B2066">
            <v>1</v>
          </cell>
          <cell r="C2066" t="str">
            <v>f</v>
          </cell>
          <cell r="D2066">
            <v>14617328</v>
          </cell>
          <cell r="E2066" t="str">
            <v>건축공사</v>
          </cell>
          <cell r="F2066" t="str">
            <v>(도장공사)</v>
          </cell>
          <cell r="G2066" t="str">
            <v>식</v>
          </cell>
          <cell r="I2066">
            <v>0</v>
          </cell>
        </row>
        <row r="2067">
          <cell r="A2067" t="str">
            <v>D03933</v>
          </cell>
          <cell r="B2067">
            <v>1</v>
          </cell>
          <cell r="C2067" t="str">
            <v>g</v>
          </cell>
          <cell r="D2067">
            <v>14617392</v>
          </cell>
          <cell r="E2067" t="str">
            <v>건축공사</v>
          </cell>
          <cell r="F2067" t="str">
            <v>(수장공사및잡공사)</v>
          </cell>
          <cell r="G2067" t="str">
            <v>식</v>
          </cell>
          <cell r="I2067">
            <v>0</v>
          </cell>
        </row>
        <row r="2068">
          <cell r="A2068" t="str">
            <v>T2</v>
          </cell>
          <cell r="B2068">
            <v>2070</v>
          </cell>
          <cell r="C2068" t="str">
            <v>h</v>
          </cell>
          <cell r="D2068">
            <v>14617424</v>
          </cell>
          <cell r="E2068" t="str">
            <v>자 재 대</v>
          </cell>
          <cell r="I2068">
            <v>0</v>
          </cell>
        </row>
        <row r="2069">
          <cell r="A2069" t="str">
            <v>D00958</v>
          </cell>
          <cell r="B2069">
            <v>294</v>
          </cell>
          <cell r="C2069" t="str">
            <v>-1</v>
          </cell>
          <cell r="D2069">
            <v>14617440</v>
          </cell>
          <cell r="E2069" t="str">
            <v>시멘트운반</v>
          </cell>
          <cell r="F2069" t="str">
            <v>(40 Kg/ⓐ)</v>
          </cell>
          <cell r="G2069" t="str">
            <v>대</v>
          </cell>
          <cell r="I2069">
            <v>0</v>
          </cell>
        </row>
        <row r="2070">
          <cell r="A2070" t="str">
            <v>M00083</v>
          </cell>
          <cell r="B2070">
            <v>294</v>
          </cell>
          <cell r="C2070" t="str">
            <v>-2</v>
          </cell>
          <cell r="D2070">
            <v>14617448</v>
          </cell>
          <cell r="E2070" t="str">
            <v>시 멘 트</v>
          </cell>
          <cell r="F2070" t="str">
            <v>40 Kg/ⓐ</v>
          </cell>
          <cell r="G2070" t="str">
            <v>대</v>
          </cell>
          <cell r="I2070">
            <v>0</v>
          </cell>
        </row>
        <row r="2071">
          <cell r="A2071" t="str">
            <v>E2</v>
          </cell>
          <cell r="B2071">
            <v>0</v>
          </cell>
          <cell r="C2071" t="str">
            <v>계</v>
          </cell>
          <cell r="D2071">
            <v>14617452</v>
          </cell>
          <cell r="I2071">
            <v>0</v>
          </cell>
        </row>
        <row r="2072">
          <cell r="A2072" t="str">
            <v>E3</v>
          </cell>
          <cell r="B2072">
            <v>0</v>
          </cell>
          <cell r="C2072" t="str">
            <v>합계</v>
          </cell>
          <cell r="D2072">
            <v>14617454</v>
          </cell>
          <cell r="I2072">
            <v>0</v>
          </cell>
        </row>
        <row r="2073">
          <cell r="A2073" t="str">
            <v>E4</v>
          </cell>
          <cell r="B2073">
            <v>3097715144</v>
          </cell>
          <cell r="C2073" t="str">
            <v>총계</v>
          </cell>
          <cell r="D2073">
            <v>14617456</v>
          </cell>
          <cell r="I2073">
            <v>3097715144</v>
          </cell>
        </row>
        <row r="2074">
          <cell r="A2074" t="str">
            <v>E5</v>
          </cell>
          <cell r="B2074">
            <v>3097715144</v>
          </cell>
          <cell r="C2074" t="str">
            <v>총합계</v>
          </cell>
          <cell r="D2074">
            <v>14617584</v>
          </cell>
          <cell r="I2074">
            <v>3097715144</v>
          </cell>
        </row>
        <row r="2075">
          <cell r="A2075" t="str">
            <v>K1</v>
          </cell>
          <cell r="B2075">
            <v>1</v>
          </cell>
          <cell r="D2075">
            <v>14617712</v>
          </cell>
          <cell r="E2075" t="str">
            <v>간접 노무비</v>
          </cell>
          <cell r="G2075" t="str">
            <v>식</v>
          </cell>
          <cell r="I2075">
            <v>0</v>
          </cell>
        </row>
        <row r="2076">
          <cell r="A2076" t="str">
            <v>K2</v>
          </cell>
          <cell r="B2076">
            <v>1</v>
          </cell>
          <cell r="D2076">
            <v>14617840</v>
          </cell>
          <cell r="E2076" t="str">
            <v>산재 보험료</v>
          </cell>
          <cell r="G2076" t="str">
            <v>식</v>
          </cell>
          <cell r="I2076">
            <v>0</v>
          </cell>
        </row>
        <row r="2077">
          <cell r="A2077" t="str">
            <v>K3</v>
          </cell>
          <cell r="B2077">
            <v>1</v>
          </cell>
          <cell r="D2077">
            <v>14617968</v>
          </cell>
          <cell r="E2077" t="str">
            <v>안전 관리비</v>
          </cell>
          <cell r="G2077" t="str">
            <v>식</v>
          </cell>
          <cell r="I2077">
            <v>0</v>
          </cell>
        </row>
        <row r="2078">
          <cell r="A2078" t="str">
            <v>K4</v>
          </cell>
          <cell r="B2078">
            <v>1</v>
          </cell>
          <cell r="D2078">
            <v>14618096</v>
          </cell>
          <cell r="E2078" t="str">
            <v>기타   경비</v>
          </cell>
          <cell r="G2078" t="str">
            <v>식</v>
          </cell>
          <cell r="I2078">
            <v>0</v>
          </cell>
        </row>
        <row r="2079">
          <cell r="A2079" t="str">
            <v>K5</v>
          </cell>
          <cell r="B2079">
            <v>1</v>
          </cell>
          <cell r="D2079">
            <v>14618224</v>
          </cell>
          <cell r="E2079" t="str">
            <v>일반 관리비</v>
          </cell>
          <cell r="G2079" t="str">
            <v>식</v>
          </cell>
          <cell r="I2079">
            <v>0</v>
          </cell>
        </row>
        <row r="2080">
          <cell r="A2080" t="str">
            <v>K6</v>
          </cell>
          <cell r="B2080">
            <v>1</v>
          </cell>
          <cell r="D2080">
            <v>14618352</v>
          </cell>
          <cell r="E2080" t="str">
            <v>이       윤</v>
          </cell>
          <cell r="G2080" t="str">
            <v>식</v>
          </cell>
          <cell r="I2080">
            <v>0</v>
          </cell>
        </row>
        <row r="2081">
          <cell r="A2081" t="str">
            <v>K7</v>
          </cell>
          <cell r="B2081">
            <v>1</v>
          </cell>
          <cell r="D2081">
            <v>14618480</v>
          </cell>
          <cell r="E2081" t="str">
            <v>도로대장작성비</v>
          </cell>
          <cell r="G2081" t="str">
            <v>식</v>
          </cell>
          <cell r="I2081">
            <v>0</v>
          </cell>
        </row>
        <row r="2082">
          <cell r="A2082" t="str">
            <v>K8</v>
          </cell>
          <cell r="B2082">
            <v>1</v>
          </cell>
          <cell r="D2082">
            <v>14618608</v>
          </cell>
          <cell r="E2082" t="str">
            <v>준공도서작성비</v>
          </cell>
          <cell r="G2082" t="str">
            <v>식</v>
          </cell>
          <cell r="I2082">
            <v>0</v>
          </cell>
        </row>
        <row r="2083">
          <cell r="A2083" t="str">
            <v>K9</v>
          </cell>
          <cell r="B2083">
            <v>1</v>
          </cell>
          <cell r="D2083">
            <v>14618736</v>
          </cell>
          <cell r="E2083" t="str">
            <v>사후환경영향조사</v>
          </cell>
          <cell r="G2083" t="str">
            <v>P.S</v>
          </cell>
          <cell r="H2083">
            <v>150000000</v>
          </cell>
          <cell r="I2083">
            <v>150000000</v>
          </cell>
        </row>
        <row r="2084">
          <cell r="A2084" t="str">
            <v>K10</v>
          </cell>
          <cell r="B2084">
            <v>1</v>
          </cell>
          <cell r="D2084">
            <v>14618864</v>
          </cell>
          <cell r="E2084" t="str">
            <v>안전점검비</v>
          </cell>
          <cell r="G2084" t="str">
            <v>P.S</v>
          </cell>
          <cell r="H2084">
            <v>15865961</v>
          </cell>
          <cell r="I2084">
            <v>15865961</v>
          </cell>
        </row>
        <row r="2085">
          <cell r="A2085" t="str">
            <v>K11</v>
          </cell>
          <cell r="B2085">
            <v>1</v>
          </cell>
          <cell r="D2085">
            <v>14618992</v>
          </cell>
          <cell r="E2085" t="str">
            <v>고용보험료</v>
          </cell>
          <cell r="G2085" t="str">
            <v>식</v>
          </cell>
          <cell r="I2085">
            <v>0</v>
          </cell>
        </row>
        <row r="2086">
          <cell r="A2086" t="str">
            <v>K12</v>
          </cell>
          <cell r="B2086">
            <v>1</v>
          </cell>
          <cell r="D2086">
            <v>14619120</v>
          </cell>
          <cell r="E2086" t="str">
            <v>퇴직공제부금비</v>
          </cell>
          <cell r="G2086" t="str">
            <v>식</v>
          </cell>
          <cell r="I2086">
            <v>0</v>
          </cell>
        </row>
        <row r="2087">
          <cell r="A2087" t="str">
            <v>K13</v>
          </cell>
          <cell r="B2087">
            <v>1</v>
          </cell>
          <cell r="D2087">
            <v>14619248</v>
          </cell>
          <cell r="E2087" t="str">
            <v>공사손해보험료</v>
          </cell>
          <cell r="G2087" t="str">
            <v>식</v>
          </cell>
          <cell r="I2087">
            <v>0</v>
          </cell>
        </row>
        <row r="2088">
          <cell r="A2088" t="str">
            <v>K14</v>
          </cell>
          <cell r="B2088">
            <v>1</v>
          </cell>
          <cell r="D2088">
            <v>14619376</v>
          </cell>
          <cell r="E2088" t="str">
            <v>기술사용료</v>
          </cell>
          <cell r="G2088" t="str">
            <v>식</v>
          </cell>
          <cell r="I2088">
            <v>0</v>
          </cell>
        </row>
        <row r="2089">
          <cell r="A2089" t="str">
            <v>K15</v>
          </cell>
          <cell r="B2089">
            <v>1</v>
          </cell>
          <cell r="D2089">
            <v>14619504</v>
          </cell>
          <cell r="E2089" t="str">
            <v>폐기물위탁수수료</v>
          </cell>
          <cell r="G2089" t="str">
            <v>식</v>
          </cell>
          <cell r="I2089">
            <v>0</v>
          </cell>
        </row>
        <row r="2090">
          <cell r="A2090" t="str">
            <v>K16</v>
          </cell>
          <cell r="B2090">
            <v>1</v>
          </cell>
          <cell r="D2090">
            <v>14619632</v>
          </cell>
          <cell r="E2090" t="str">
            <v>부가 가치세</v>
          </cell>
          <cell r="G2090" t="str">
            <v>식</v>
          </cell>
          <cell r="I2090">
            <v>0</v>
          </cell>
        </row>
        <row r="2091">
          <cell r="A2091" t="str">
            <v>K17</v>
          </cell>
          <cell r="B2091">
            <v>1</v>
          </cell>
          <cell r="D2091">
            <v>14619760</v>
          </cell>
          <cell r="E2091" t="str">
            <v>한전수탁비</v>
          </cell>
          <cell r="G2091" t="str">
            <v>식</v>
          </cell>
          <cell r="I2091">
            <v>0</v>
          </cell>
        </row>
      </sheetData>
      <sheetData sheetId="2" refreshError="1"/>
      <sheetData sheetId="3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가설건물"/>
      <sheetName val="시추조사비"/>
      <sheetName val="측량조사수량산출근거"/>
      <sheetName val="측량수량집계"/>
      <sheetName val="가도공"/>
      <sheetName val="precast"/>
      <sheetName val="감독차량비"/>
      <sheetName val="시험비(선정)"/>
      <sheetName val="시험비(관리)"/>
      <sheetName val="교통관리비"/>
      <sheetName val="가도표지판"/>
      <sheetName val="BID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실행철강하도"/>
      <sheetName val="가도공"/>
      <sheetName val="철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날개벽"/>
      <sheetName val="B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철집"/>
      <sheetName val="가도공"/>
    </sheetNames>
    <sheetDataSet>
      <sheetData sheetId="0"/>
      <sheetData sheetId="1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철집"/>
      <sheetName val="산출기준자료"/>
      <sheetName val="INPUT"/>
      <sheetName val="실행철강하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산출내역서집계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축제공총괄표"/>
      <sheetName val="축제공집계표"/>
      <sheetName val="호안집계표"/>
      <sheetName val="배수통관총괄표"/>
      <sheetName val="배수문집"/>
      <sheetName val="부체집"/>
      <sheetName val="#REF"/>
      <sheetName val="일위대가표"/>
      <sheetName val="가도공"/>
      <sheetName val="8.설치품셈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"/>
      <sheetName val="개요"/>
      <sheetName val="군남내역서"/>
      <sheetName val="군남일위"/>
      <sheetName val="군남계산서"/>
      <sheetName val="일반시방서"/>
      <sheetName val="기술시방서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군남내역서"/>
      <sheetName val="우수받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군남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평가데이터"/>
      <sheetName val="군남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구천"/>
    </sheetNames>
    <sheetDataSet>
      <sheetData sheetId="0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원가계산"/>
      <sheetName val="1-내역"/>
      <sheetName val="착정개발"/>
      <sheetName val="1-이용시설내역"/>
      <sheetName val="소형장옥"/>
      <sheetName val="장옥"/>
      <sheetName val="전기공사 (2)"/>
      <sheetName val="모터펌프"/>
      <sheetName val="전기공사"/>
      <sheetName val="일위대가"/>
      <sheetName val="ㅌ"/>
      <sheetName val="구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구천"/>
      <sheetName val="DATE"/>
      <sheetName val="2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사내역작성"/>
      <sheetName val="기본자료입력"/>
      <sheetName val="기성실행현황"/>
      <sheetName val="설계예산서"/>
      <sheetName val="도급내역서"/>
      <sheetName val="실행내역서"/>
      <sheetName val="도급실행대비표"/>
      <sheetName val="견적대비표"/>
      <sheetName val="견적품의서"/>
      <sheetName val="내역서표지"/>
      <sheetName val="원가계산서"/>
      <sheetName val="공사예정공정표"/>
      <sheetName val="변경내역서"/>
      <sheetName val="변경실행내역서"/>
      <sheetName val="공사원가계산서"/>
      <sheetName val="원도급자변경설계서"/>
      <sheetName val="하도급비교내역서"/>
      <sheetName val="하도급비교내역서표지"/>
      <sheetName val="하도급비교변경내역서"/>
      <sheetName val="변경설명서"/>
      <sheetName val="변경설계서갑지"/>
      <sheetName val="변경증감(물량)대비표"/>
      <sheetName val="변경증감(금액)대비표"/>
      <sheetName val="변경설계서표지"/>
      <sheetName val="변경내역서간지"/>
      <sheetName val="기성내역서표지"/>
      <sheetName val="기성부분내역서1"/>
      <sheetName val="기성부분내역서2"/>
      <sheetName val="기성부분내역서3"/>
      <sheetName val="기성부분내역서4"/>
      <sheetName val="기성부분내역서5"/>
      <sheetName val="실행기성내역서1"/>
      <sheetName val="실행기성내역서2"/>
      <sheetName val="실행기성내역서3"/>
      <sheetName val="실행기성내역서4"/>
      <sheetName val="실행기성내역서5"/>
      <sheetName val="실행률기성내역서1"/>
      <sheetName val="실행률기성내역서2"/>
      <sheetName val="실행률기성내역서3"/>
      <sheetName val="실행률기성내역서4"/>
      <sheetName val="실행률기성내역서5"/>
      <sheetName val="파일의이용"/>
      <sheetName val="구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>
        <row r="2">
          <cell r="O2" t="str">
            <v>원도급</v>
          </cell>
          <cell r="P2" t="str">
            <v>강구조물공사</v>
          </cell>
        </row>
        <row r="3">
          <cell r="O3" t="str">
            <v>하도급</v>
          </cell>
          <cell r="P3" t="str">
            <v>건축물조립공사</v>
          </cell>
        </row>
        <row r="4">
          <cell r="P4" t="str">
            <v>도장공사</v>
          </cell>
        </row>
        <row r="5">
          <cell r="P5" t="str">
            <v>미장방수공사</v>
          </cell>
        </row>
        <row r="6">
          <cell r="P6" t="str">
            <v>보링그라우팅공사</v>
          </cell>
        </row>
        <row r="7">
          <cell r="P7" t="str">
            <v>비계공사</v>
          </cell>
        </row>
        <row r="8">
          <cell r="P8" t="str">
            <v>상하수도공사</v>
          </cell>
        </row>
        <row r="9">
          <cell r="P9" t="str">
            <v>석공사</v>
          </cell>
        </row>
        <row r="10">
          <cell r="P10" t="str">
            <v>수중공사</v>
          </cell>
        </row>
        <row r="11">
          <cell r="P11" t="str">
            <v>승강기공사</v>
          </cell>
        </row>
        <row r="12">
          <cell r="P12" t="str">
            <v>시설물유지공사</v>
          </cell>
        </row>
        <row r="13">
          <cell r="P13" t="str">
            <v>실내건축공사</v>
          </cell>
        </row>
        <row r="14">
          <cell r="P14" t="str">
            <v>온실공사</v>
          </cell>
        </row>
        <row r="15">
          <cell r="P15" t="str">
            <v>조경시설물공사</v>
          </cell>
        </row>
        <row r="16">
          <cell r="P16" t="str">
            <v>조경식재공사</v>
          </cell>
        </row>
        <row r="17">
          <cell r="P17" t="str">
            <v>조적공사</v>
          </cell>
        </row>
        <row r="18">
          <cell r="P18" t="str">
            <v>지붕공사</v>
          </cell>
        </row>
        <row r="19">
          <cell r="P19" t="str">
            <v>창호공사</v>
          </cell>
        </row>
        <row r="20">
          <cell r="P20" t="str">
            <v>철도궤도공사</v>
          </cell>
        </row>
        <row r="21">
          <cell r="P21" t="str">
            <v>철물공사</v>
          </cell>
        </row>
        <row r="22">
          <cell r="P22" t="str">
            <v>철근콘크리트공사</v>
          </cell>
        </row>
        <row r="23">
          <cell r="P23" t="str">
            <v>토공사</v>
          </cell>
        </row>
        <row r="24">
          <cell r="P24" t="str">
            <v>포장공사</v>
          </cell>
        </row>
      </sheetData>
      <sheetData sheetId="42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파일의이용"/>
      <sheetName val="구천"/>
      <sheetName val="터파기및재료"/>
      <sheetName val="데이타"/>
      <sheetName val="식재인부"/>
      <sheetName val="양수장내역"/>
      <sheetName val="양수장"/>
      <sheetName val="자재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"/>
      <sheetName val="지구별"/>
      <sheetName val="이용총괄표"/>
      <sheetName val="이용내역서"/>
      <sheetName val="양수장"/>
      <sheetName val="관로공사"/>
      <sheetName val="토목일위대가"/>
      <sheetName val="터파기물량"/>
      <sheetName val="양수장내역"/>
      <sheetName val="모터"/>
      <sheetName val="전기공사"/>
      <sheetName val="단가자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양수장내역"/>
      <sheetName val="양수장"/>
      <sheetName val="2000년1차"/>
      <sheetName val="노임"/>
      <sheetName val="DATE"/>
      <sheetName val="INPUT"/>
      <sheetName val="산출내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총총"/>
      <sheetName val="Sheet1"/>
      <sheetName val="Sheet2"/>
      <sheetName val="Sheet3"/>
      <sheetName val="#REF"/>
      <sheetName val="파일의이용"/>
    </sheet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수목데이타 "/>
      <sheetName val="노무"/>
      <sheetName val="파일의이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단가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토공"/>
      <sheetName val="철콘"/>
      <sheetName val="성보g"/>
      <sheetName val="성보(토공)"/>
      <sheetName val="성보(철콘)"/>
      <sheetName val="각서"/>
      <sheetName val="하도급사항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목차"/>
      <sheetName val="설계설명"/>
      <sheetName val="갑지"/>
      <sheetName val="공정표"/>
      <sheetName val="제경비산출"/>
      <sheetName val="공사비"/>
      <sheetName val="자재집계"/>
      <sheetName val="총재료집계"/>
      <sheetName val="취입보"/>
      <sheetName val="옹벽"/>
      <sheetName val="보토적"/>
      <sheetName val="물막이"/>
      <sheetName val="구조물푸기"/>
      <sheetName val="설계계산"/>
      <sheetName val="참고자료"/>
      <sheetName val="부대공사"/>
      <sheetName val="중기대수"/>
      <sheetName val="단가목차"/>
      <sheetName val="노임단가"/>
      <sheetName val="자재단가"/>
      <sheetName val="건설기계단가"/>
      <sheetName val="시간목록"/>
      <sheetName val="시간당사용료"/>
      <sheetName val="단가목록"/>
      <sheetName val="단가산출"/>
      <sheetName val="운반단가"/>
      <sheetName val="운반자료"/>
      <sheetName val="조건적용"/>
      <sheetName val="간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ABUT수량-A1"/>
      <sheetName val="노무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일위목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직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원가계산서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목차"/>
      <sheetName val="개요"/>
      <sheetName val="공정표"/>
      <sheetName val="총괄갑지"/>
      <sheetName val="갑지"/>
      <sheetName val="제경비산출"/>
      <sheetName val="공사비"/>
      <sheetName val="자재집계"/>
      <sheetName val="집수정"/>
      <sheetName val="암거토적"/>
      <sheetName val="관로토적"/>
      <sheetName val="암거계산"/>
      <sheetName val="물막이"/>
      <sheetName val="물푸기"/>
      <sheetName val="양수장집계"/>
      <sheetName val="양수장재료"/>
      <sheetName val="부대공사"/>
      <sheetName val="중기대수"/>
      <sheetName val="단가목차"/>
      <sheetName val="노임단가"/>
      <sheetName val="자재단가"/>
      <sheetName val="건설기계단가"/>
      <sheetName val="시간목록"/>
      <sheetName val="시간당사용료"/>
      <sheetName val="단가목록"/>
      <sheetName val="단가산출"/>
      <sheetName val="운반단가"/>
      <sheetName val="운반자료"/>
      <sheetName val="조건적용"/>
      <sheetName val="간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교대(A1-A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반공사"/>
      <sheetName val="별표1-1"/>
      <sheetName val="신인도"/>
      <sheetName val="별표1-2"/>
      <sheetName val="별표1-3"/>
      <sheetName val="별표1-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A간지"/>
      <sheetName val="A집계"/>
      <sheetName val="A관자재계"/>
      <sheetName val="A관로"/>
      <sheetName val="A토공계"/>
      <sheetName val="A관로토공"/>
      <sheetName val="A평균H"/>
      <sheetName val="A맨홀계"/>
      <sheetName val="A맨홀"/>
      <sheetName val="A맨홀H"/>
      <sheetName val="A연결관"/>
      <sheetName val="A연결토공"/>
      <sheetName val="A연결조서"/>
      <sheetName val="A터파기단위"/>
      <sheetName val="배수관공(IC)"/>
      <sheetName val="배수관수량집계(1)"/>
      <sheetName val="배수관수량집계(2)"/>
      <sheetName val="횡배수관공수량집계"/>
      <sheetName val="횡배수관연장조서"/>
      <sheetName val="제작관수량집계"/>
      <sheetName val="토피별RC관현황"/>
      <sheetName val="보강흄관수량집계"/>
      <sheetName val="토피별보강흄관현황"/>
      <sheetName val="흄관수량집계"/>
      <sheetName val="토피별흄관현황"/>
      <sheetName val="종배수관수량집계"/>
      <sheetName val="종배수관현황"/>
      <sheetName val="배수날개면벽수량집계"/>
      <sheetName val="날개벽수량(RC관)"/>
      <sheetName val="날개벽수량(보강흄관)"/>
      <sheetName val="날개벽수량(흄관)"/>
      <sheetName val="면벽수량"/>
      <sheetName val="집수정수량집계(1)"/>
      <sheetName val="집수정수량집계(2)"/>
      <sheetName val="흙쌓기부집수정"/>
      <sheetName val="땅깍기부집수정(1)"/>
      <sheetName val="땅깍기부집수정(2)"/>
      <sheetName val="땅깍기부집수정(3)"/>
      <sheetName val="집수정현황"/>
      <sheetName val="C.배수관공"/>
      <sheetName val="가배수관"/>
      <sheetName val="2.10횡배수관"/>
      <sheetName val="전체현황"/>
      <sheetName val="평균터파기"/>
      <sheetName val="RC관집계"/>
      <sheetName val="RC관현황"/>
      <sheetName val="보강집계"/>
      <sheetName val="보강현황"/>
      <sheetName val="흄관집계"/>
      <sheetName val="흄관현황"/>
      <sheetName val="종배수관집계"/>
      <sheetName val="종배수관단위"/>
      <sheetName val="2.12기존배수관세척"/>
      <sheetName val="2.13날개벽및면벽"/>
      <sheetName val="RC관날개벽"/>
      <sheetName val="보강날개벽"/>
      <sheetName val="흄관날개벽"/>
      <sheetName val="면벽수량집계"/>
      <sheetName val="2.14집수정"/>
      <sheetName val="성토부집수정집계"/>
      <sheetName val="절토부집수정집계"/>
      <sheetName val="집수정부분합"/>
      <sheetName val="Sheet13"/>
      <sheetName val="날개벽유동집계표"/>
      <sheetName val="유입방지턱수량"/>
      <sheetName val="유입방지턱표지"/>
      <sheetName val="유입방지턱단위수량"/>
      <sheetName val="xxxxxx"/>
      <sheetName val="배수관공집계"/>
      <sheetName val="횡집계"/>
      <sheetName val="배수관집계표"/>
      <sheetName val="횡배수관현황"/>
      <sheetName val="날개면벽집계"/>
      <sheetName val="날개벽"/>
      <sheetName val="단위수량"/>
      <sheetName val="평균터파기고"/>
      <sheetName val="평균터파기1"/>
      <sheetName val="H"/>
      <sheetName val="깍기공"/>
      <sheetName val="배수관로집계"/>
      <sheetName val="배수관로수량현황"/>
      <sheetName val="배수관로수량집계"/>
      <sheetName val="배수관로수량집계L-8,9,11"/>
      <sheetName val="제목"/>
      <sheetName val="자재"/>
      <sheetName val="집계표"/>
      <sheetName val="관로토공"/>
      <sheetName val="제수변실토공"/>
      <sheetName val="공기변실토공"/>
      <sheetName val="펌프실토공"/>
      <sheetName val="제수변실"/>
      <sheetName val="공기변실"/>
      <sheetName val="제수변보호통"/>
      <sheetName val="지상식소화전"/>
      <sheetName val="펌프실"/>
      <sheetName val="수량양식"/>
      <sheetName val="갑지"/>
      <sheetName val="목차"/>
      <sheetName val="변경사유서간지"/>
      <sheetName val="변경사유서"/>
      <sheetName val="공사비집계표간지"/>
      <sheetName val="공사비집계표"/>
      <sheetName val="공사비증감내역서간지"/>
      <sheetName val="공사비증감내역서"/>
      <sheetName val="수량산출서간지"/>
      <sheetName val="상림1교간지"/>
      <sheetName val="상림1교수량집계표"/>
      <sheetName val="상림1교(교대A1)당초"/>
      <sheetName val="상림1교(교대A1)변경"/>
      <sheetName val="횡단면도"/>
      <sheetName val="사진대지"/>
      <sheetName val="상림1A1"/>
      <sheetName val="암거간지1"/>
      <sheetName val="총괄집계"/>
      <sheetName val="구체집계표"/>
      <sheetName val="암거간지2"/>
      <sheetName val="암거간지3"/>
      <sheetName val="암거간지5"/>
      <sheetName val="구체집계2.0x2.0(0-3)"/>
      <sheetName val="구체2.0X2.0(0-3)"/>
      <sheetName val="구체집계2.0x2.0(3-5)"/>
      <sheetName val="구체2.0x2.0(3-5)"/>
      <sheetName val="구체집계2.0x2.0(5-7)"/>
      <sheetName val="구체2.0x2.0(5-7)"/>
      <sheetName val="구체집계2.0x2.0(7-10)"/>
      <sheetName val="구체2.0x2.0(7-10)"/>
      <sheetName val="암거간지2@"/>
      <sheetName val="구체집계2@2.5x2.5"/>
      <sheetName val="구체2@2.5x2.5"/>
      <sheetName val="암거간지"/>
      <sheetName val="구체집계3.0x2.0(0-3)"/>
      <sheetName val="구체3.0x2.0(0-3)"/>
      <sheetName val="구체집계3.0x2.0(6-8)"/>
      <sheetName val="구체3.0x2.0(6-8)"/>
      <sheetName val=""/>
      <sheetName val="암거간지8"/>
      <sheetName val="구체집계3.5x3.5(8-10)"/>
      <sheetName val="구체3.5x3.5(8-10)"/>
      <sheetName val="암거간지10"/>
      <sheetName val="구체집계4.5x4.5(2-3)"/>
      <sheetName val="구체4.5x4.5(2-3)"/>
      <sheetName val="구체집계4.5x4.5(4-5)"/>
      <sheetName val="구체4.5x4.5(4-5)"/>
      <sheetName val="암거현황"/>
      <sheetName val="터파기"/>
      <sheetName val="구체2.5x2.0(6-8)"/>
      <sheetName val="구체3.5x3.5-8-10"/>
      <sheetName val="암거간지4"/>
      <sheetName val="암거간지7"/>
      <sheetName val="원가계산서(년도별)"/>
      <sheetName val="집계표(도급)"/>
      <sheetName val="내역서(도급)"/>
      <sheetName val="6월호"/>
      <sheetName val="증감총괄"/>
      <sheetName val="내역"/>
      <sheetName val="잡비"/>
      <sheetName val="증감"/>
      <sheetName val="표지(하천명)"/>
      <sheetName val="총괄자재"/>
      <sheetName val="표지"/>
      <sheetName val="제목(집계)"/>
      <sheetName val="주요"/>
      <sheetName val="주요자재"/>
      <sheetName val="제목 (토공)"/>
      <sheetName val="토공집계표"/>
      <sheetName val="토공수량(좌안)"/>
      <sheetName val="토적표좌안"/>
      <sheetName val="규준틀및경계말목 (좌안)"/>
      <sheetName val="제목(호안)"/>
      <sheetName val="호안공집계"/>
      <sheetName val="전석집계"/>
      <sheetName val="전석수량(좌1)"/>
      <sheetName val="전석면적(좌1)"/>
      <sheetName val="u형측구 집계표"/>
      <sheetName val="1지구u형측구"/>
      <sheetName val="2지구u형측구 "/>
      <sheetName val="AA3000"/>
      <sheetName val="AA3100"/>
      <sheetName val="비계"/>
      <sheetName val="AA3200"/>
      <sheetName val="동바리"/>
      <sheetName val="AA3300"/>
      <sheetName val="특수거푸집"/>
      <sheetName val="AA3400"/>
      <sheetName val="지급자재명세서(1)"/>
      <sheetName val="지급자재명세서(2)"/>
      <sheetName val="지급자재명세서(3)"/>
      <sheetName val="철근"/>
      <sheetName val="시멘트및콘크리트"/>
      <sheetName val="골재"/>
      <sheetName val="아스콘및코팅재집계표"/>
      <sheetName val="골재집계"/>
      <sheetName val="타공종이월수량"/>
      <sheetName val="타공종이기수량"/>
      <sheetName val="측구공수량집계표"/>
      <sheetName val="맹암거수량집계표"/>
      <sheetName val="배수관수량집계표"/>
      <sheetName val="배수관공총괄수량집계표"/>
      <sheetName val="절성경계보강공현황및집계 "/>
      <sheetName val="집수정공수량집계표"/>
      <sheetName val="암거공토공수량집계표"/>
      <sheetName val="암거공일반수량집계표"/>
      <sheetName val="암거공철근집계표"/>
      <sheetName val="강판집계표"/>
      <sheetName val="수로보호공현황및집계"/>
      <sheetName val="도수로집계표"/>
      <sheetName val="U형개거집계표"/>
      <sheetName val="침전조집계표"/>
      <sheetName val="석축집계표"/>
      <sheetName val="수량산출"/>
      <sheetName val="CB"/>
      <sheetName val="일위대가(가설)"/>
      <sheetName val="신일위"/>
      <sheetName val="변일위"/>
      <sheetName val="재집"/>
      <sheetName val="종평"/>
      <sheetName val="토집"/>
      <sheetName val="담장"/>
      <sheetName val="조경"/>
      <sheetName val="옹집"/>
      <sheetName val="옹벽수량"/>
      <sheetName val="간지"/>
      <sheetName val="파형강판 총수량집계표"/>
      <sheetName val="통로"/>
      <sheetName val="철근수량 집계표"/>
      <sheetName val="기타공표지"/>
      <sheetName val="기타공유동수량집계"/>
      <sheetName val="a,수로보호공"/>
      <sheetName val="수로보호공집계"/>
      <sheetName val="수로보호공현황(형식1~3)"/>
      <sheetName val="수로보호공현황(형식-4)"/>
      <sheetName val="수로보호공현황(형식-5)"/>
      <sheetName val="b.수로이설"/>
      <sheetName val="c.돌붙임후면배수표지"/>
      <sheetName val="d.기존배수관폐쇄표지"/>
      <sheetName val="e.기존BOX폐쇄표지"/>
      <sheetName val="f기존배수관세척"/>
      <sheetName val="g계단"/>
      <sheetName val="j.제작집수정표지"/>
      <sheetName val="제작집수정유동집"/>
      <sheetName val="제작집수정집계"/>
      <sheetName val="제작집수정현황"/>
      <sheetName val="제작집수정수량(1)"/>
      <sheetName val="제작집수정수량(2)"/>
      <sheetName val="k. 문비"/>
      <sheetName val="문비수량집계"/>
      <sheetName val="문비현황"/>
      <sheetName val="문비단위수량"/>
      <sheetName val="Module1"/>
      <sheetName val="역T형옹벽(3.0)"/>
      <sheetName val="C.간지"/>
      <sheetName val="배수관공집계표"/>
      <sheetName val="2.10간지"/>
      <sheetName val="횡배수관집계표(현장)"/>
      <sheetName val="횡배수관현황(현장)"/>
      <sheetName val="평균터파기(현장)"/>
      <sheetName val="횡배수산근(현장)"/>
      <sheetName val="2.11간지"/>
      <sheetName val="종배수관및흄관집계표"/>
      <sheetName val="종배수관수량"/>
      <sheetName val="흄관수집계"/>
      <sheetName val="흄관평균터파기"/>
      <sheetName val="흄관산출(0+725)"/>
      <sheetName val="2.13간지"/>
      <sheetName val="날개벽및면벽집계표"/>
      <sheetName val="날개벽수량집계표"/>
      <sheetName val="날개벽단위수량"/>
      <sheetName val="2.14간지"/>
      <sheetName val="콘크리트집수정수량집계"/>
      <sheetName val="땅깍기부집수정집계"/>
      <sheetName val="DATE"/>
      <sheetName val="직노"/>
      <sheetName val="일반공사"/>
      <sheetName val="Baby일위대가"/>
      <sheetName val="내역서"/>
      <sheetName val="토공(우물통,기타) "/>
      <sheetName val="시멘트,모래"/>
      <sheetName val="배수관공수량집계"/>
      <sheetName val="면벽단위"/>
      <sheetName val="흄관단위"/>
      <sheetName val="흄관토공수량"/>
      <sheetName val="흄관설치현황"/>
      <sheetName val="저"/>
      <sheetName val="말뚝지지력산정"/>
      <sheetName val="노임단가"/>
      <sheetName val="중기일위대가"/>
      <sheetName val="을지"/>
      <sheetName val="1+214(수로)"/>
      <sheetName val="1+185(통로)"/>
      <sheetName val="구체,날개,보강철근수량"/>
      <sheetName val="난간및차수벽철근량"/>
      <sheetName val="접속저판"/>
      <sheetName val="INPUT"/>
      <sheetName val="총괄갑 "/>
      <sheetName val="정화조동내역"/>
      <sheetName val="J형측구단위수량"/>
      <sheetName val="위치조서"/>
      <sheetName val="8.PILE  (돌출)"/>
      <sheetName val="BOQ"/>
      <sheetName val="전신환매도율"/>
      <sheetName val="금액내역서"/>
      <sheetName val="수량-가로등"/>
      <sheetName val="45,46"/>
      <sheetName val="일위대가표"/>
      <sheetName val="일위대가"/>
      <sheetName val="포장공"/>
      <sheetName val="교각1"/>
      <sheetName val="만수배관단가"/>
      <sheetName val="FRP배관단가(만수)"/>
      <sheetName val="골재산출"/>
      <sheetName val="Macro1"/>
      <sheetName val="공사비증감"/>
      <sheetName val="원형1호맨홀토공수량"/>
      <sheetName val="견적서"/>
      <sheetName val="터파기및재료"/>
      <sheetName val="단면가정"/>
      <sheetName val="99총공사내역서"/>
      <sheetName val="BOQ(전체)"/>
      <sheetName val="2"/>
      <sheetName val="96보완계획7.12"/>
      <sheetName val="준검 내역서"/>
      <sheetName val="교대(A1)"/>
      <sheetName val="하도금액분계"/>
      <sheetName val="2000년1차"/>
      <sheetName val="건축공사실행"/>
      <sheetName val="날개벽(시점좌측)"/>
      <sheetName val="산출서"/>
      <sheetName val="보도포장산출"/>
      <sheetName val="물가시세"/>
      <sheetName val="토목"/>
      <sheetName val="개비온집계"/>
      <sheetName val="개비온 단위"/>
      <sheetName val="공사개요"/>
      <sheetName val="기본사항"/>
      <sheetName val="실행철강하도"/>
      <sheetName val="표층포설및다짐"/>
      <sheetName val="철근계"/>
      <sheetName val="7.PILE  (돌출)"/>
      <sheetName val="BID"/>
      <sheetName val="인사자료총집계"/>
      <sheetName val="TOTAL_BOQ"/>
      <sheetName val="데리네이타현황"/>
      <sheetName val="A LINE"/>
      <sheetName val="연결관암거"/>
      <sheetName val="기초단가"/>
      <sheetName val="내역(설계)"/>
      <sheetName val="1차설계변경내역"/>
      <sheetName val="내역(원안-대안)"/>
      <sheetName val="200"/>
      <sheetName val="관급"/>
      <sheetName val="COPING"/>
      <sheetName val="단가조사"/>
      <sheetName val="부대내역"/>
      <sheetName val="MAIN_TABLE"/>
      <sheetName val="남양시작동자105노65기1.3화1.2"/>
      <sheetName val="수량산출서"/>
      <sheetName val="5.공종별예산내역서"/>
      <sheetName val="철거산출근거"/>
      <sheetName val="가도공"/>
      <sheetName val="J直材4"/>
      <sheetName val="매매"/>
      <sheetName val="차액보증"/>
      <sheetName val="보차도경계석"/>
      <sheetName val="슬래브(유곡)"/>
      <sheetName val="도급내역"/>
      <sheetName val="기타#9"/>
      <sheetName val="지수"/>
      <sheetName val="guard(mac)"/>
      <sheetName val="ABUT수량-A1"/>
      <sheetName val="6PILE  (돌출)"/>
      <sheetName val="7기초"/>
      <sheetName val="덕전리"/>
      <sheetName val="내역서(삼호)"/>
      <sheetName val="단가산출"/>
      <sheetName val="U-TYPE(1)"/>
      <sheetName val="접도구역경계표주현황"/>
      <sheetName val="포장수량산출"/>
      <sheetName val="토공총괄집계표"/>
      <sheetName val="제목(수량)"/>
      <sheetName val="수량총괄집계"/>
      <sheetName val="DATA2000"/>
      <sheetName val="#REF"/>
      <sheetName val="우배수"/>
      <sheetName val="단위중량"/>
      <sheetName val="단가산출서"/>
      <sheetName val="단가 "/>
      <sheetName val="노임"/>
      <sheetName val="고정보수량집계"/>
      <sheetName val="진주방향"/>
      <sheetName val="웅진교-S2"/>
      <sheetName val="도급-집계"/>
      <sheetName val="가로등내역서"/>
      <sheetName val="소비자가"/>
      <sheetName val="품셈TABLE"/>
      <sheetName val="E총"/>
      <sheetName val="구조물공"/>
      <sheetName val="배수공"/>
      <sheetName val="부대공"/>
      <sheetName val="토공"/>
      <sheetName val="70%"/>
      <sheetName val="집수정공수량집勄표"/>
      <sheetName val="암거공일반수량집계呜"/>
      <sheetName val="수로보호공현황갏집계"/>
      <sheetName val="배수관로수량집Ⳅ"/>
      <sheetName val="변경사유서간줮"/>
      <sheetName val="롴벽단위"/>
      <sheetName val="흀관토공수량"/>
      <sheetName val="FRP배관단가(㧌수)"/>
      <sheetName val="노무비"/>
      <sheetName val="현금"/>
      <sheetName val="총괄내역서"/>
      <sheetName val="데이타"/>
      <sheetName val="식재인부"/>
      <sheetName val="1차증가원가계산"/>
      <sheetName val="국도접속 차도부수량"/>
      <sheetName val="변수값"/>
      <sheetName val="중기상차"/>
      <sheetName val="AS복구"/>
      <sheetName val="중기터파기"/>
      <sheetName val="단가"/>
      <sheetName val="내역(2000년)"/>
      <sheetName val="VXXXXXX"/>
      <sheetName val="표지-내역서 (2)"/>
      <sheetName val="연건보고현황"/>
      <sheetName val="공사비증(-)감대비표"/>
      <sheetName val="원가계산서(1공구)-전기"/>
      <sheetName val="원가계산서(1공구)-소방"/>
      <sheetName val="중총괄표(1공구)"/>
      <sheetName val="소총괄표(1공구)"/>
      <sheetName val="내역서(1공구)"/>
      <sheetName val="변경개요"/>
      <sheetName val="지급자재 단가비교"/>
      <sheetName val="표지-일위대가"/>
      <sheetName val="합산자재"/>
      <sheetName val="일목"/>
      <sheetName val="일위대가(통신)"/>
      <sheetName val="일위"/>
      <sheetName val="원격(노무)"/>
      <sheetName val="원격(자재)"/>
      <sheetName val="일위(원격)"/>
      <sheetName val="원격(노임)"/>
      <sheetName val="옵션"/>
      <sheetName val="감독차량비"/>
      <sheetName val="가로등주설치(9M)"/>
      <sheetName val="가로등주설치(10~12M)"/>
      <sheetName val="보안등설치(5~7M)"/>
      <sheetName val="터널등기구지지금구노무비"/>
      <sheetName val="기계화터파기"/>
      <sheetName val="한전인입공사비(1공구)"/>
      <sheetName val="한전공사비(대전-당진)"/>
      <sheetName val="기초입력 DATA"/>
      <sheetName val="49-119"/>
      <sheetName val="3.하중산정4.양수압5.지지력"/>
      <sheetName val="제경비"/>
      <sheetName val="관급자재"/>
      <sheetName val="용산1(해보)"/>
      <sheetName val="재정비직인"/>
      <sheetName val="재정비내역"/>
      <sheetName val="지적고시내역"/>
      <sheetName val="DANGA"/>
      <sheetName val="기본자료"/>
      <sheetName val="집1"/>
      <sheetName val="마산방향"/>
      <sheetName val="마산방향철근집계"/>
      <sheetName val="수자재단위당"/>
      <sheetName val="공비대비"/>
      <sheetName val="Sheet1 (2)"/>
      <sheetName val="절취및터파기"/>
      <sheetName val="쌍송교"/>
      <sheetName val="구조     ."/>
      <sheetName val="우수받이재료집계표"/>
      <sheetName val="원가계산서"/>
      <sheetName val="부대시설"/>
      <sheetName val="Apt내역"/>
      <sheetName val="기기리스트"/>
      <sheetName val="1,2,3,4,5단위수량"/>
      <sheetName val="97 사업추정(WEKI)"/>
      <sheetName val="VXXXXX"/>
      <sheetName val="2공구산출내역"/>
      <sheetName val="Sheet15"/>
      <sheetName val="주형"/>
      <sheetName val="현장"/>
      <sheetName val="6호기"/>
      <sheetName val="(포장)BOQ-실적공사"/>
      <sheetName val="TIE-IN"/>
      <sheetName val="맨홀"/>
      <sheetName val="교각토공"/>
      <sheetName val="고창방향"/>
      <sheetName val="(A)내역서"/>
      <sheetName val="C_배수관공"/>
      <sheetName val="2_10횡배수관"/>
      <sheetName val="2_12기존배수관세척"/>
      <sheetName val="2_13날개벽및면벽"/>
      <sheetName val="2_14집수정"/>
      <sheetName val="구체집계2_0x2_0(0-3)"/>
      <sheetName val="구체2_0X2_0(0-3)"/>
      <sheetName val="구체집계2_0x2_0(3-5)"/>
      <sheetName val="구체2_0x2_0(3-5)"/>
      <sheetName val="구체집계2_0x2_0(5-7)"/>
      <sheetName val="구체2_0x2_0(5-7)"/>
      <sheetName val="구체집계2_0x2_0(7-10)"/>
      <sheetName val="구체2_0x2_0(7-10)"/>
      <sheetName val="구체집계2@2_5x2_5"/>
    </sheetNames>
    <definedNames>
      <definedName name="매크로11"/>
      <definedName name="매크로4" sheetId="4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 refreshError="1"/>
      <sheetData sheetId="254" refreshError="1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/>
      <sheetData sheetId="294"/>
      <sheetData sheetId="295"/>
      <sheetData sheetId="296"/>
      <sheetData sheetId="297" refreshError="1"/>
      <sheetData sheetId="298" refreshError="1"/>
      <sheetData sheetId="299" refreshError="1"/>
      <sheetData sheetId="300" refreshError="1"/>
      <sheetData sheetId="301"/>
      <sheetData sheetId="302" refreshError="1"/>
      <sheetData sheetId="303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  <sheetData sheetId="366" refreshError="1"/>
      <sheetData sheetId="367" refreshError="1"/>
      <sheetData sheetId="368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/>
      <sheetData sheetId="380" refreshError="1"/>
      <sheetData sheetId="381"/>
      <sheetData sheetId="382"/>
      <sheetData sheetId="383"/>
      <sheetData sheetId="384"/>
      <sheetData sheetId="385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/>
      <sheetData sheetId="472"/>
      <sheetData sheetId="473"/>
      <sheetData sheetId="474" refreshError="1"/>
      <sheetData sheetId="475"/>
      <sheetData sheetId="476"/>
      <sheetData sheetId="477"/>
      <sheetData sheetId="478" refreshError="1"/>
      <sheetData sheetId="479"/>
      <sheetData sheetId="480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3수량"/>
      <sheetName val="일반공사"/>
      <sheetName val="Baby일위대가"/>
      <sheetName val="역보기계"/>
      <sheetName val="2공구산출내역"/>
      <sheetName val="일위"/>
      <sheetName val="적현로"/>
      <sheetName val="노무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 (2)"/>
      <sheetName val="일반공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준공검사"/>
      <sheetName val="원가계산"/>
      <sheetName val="표지"/>
      <sheetName val="총괄표"/>
      <sheetName val="설계내역서"/>
      <sheetName val="제경비계산서"/>
      <sheetName val="횡배수관1"/>
      <sheetName val="횡배수관"/>
      <sheetName val="Sheet2"/>
      <sheetName val="자재집계"/>
      <sheetName val="포장"/>
      <sheetName val="측구"/>
      <sheetName val="교량확장"/>
      <sheetName val="옹벽"/>
      <sheetName val="박스"/>
      <sheetName val="날개벽"/>
      <sheetName val="평면도"/>
      <sheetName val="위치조서"/>
      <sheetName val="위치도"/>
    </sheetNames>
    <sheetDataSet>
      <sheetData sheetId="0"/>
      <sheetData sheetId="1"/>
      <sheetData sheetId="2">
        <row r="7">
          <cell r="T7" t="str">
            <v>변경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표지"/>
      <sheetName val="내역"/>
      <sheetName val="4.2유효폭의 계산"/>
      <sheetName val="시점교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4.2유효폭의 계산"/>
      <sheetName val="내역"/>
      <sheetName val="표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(순흥)"/>
      <sheetName val="전체 총괄"/>
      <sheetName val="주요자재 총 합계"/>
      <sheetName val="주요자재 운반"/>
      <sheetName val="RTU반 총괄"/>
      <sheetName val="공사비명세서(순흥)"/>
      <sheetName val="1.중앙"/>
      <sheetName val="1.순흥지"/>
      <sheetName val="1.순흥산근(제조)"/>
      <sheetName val="2.1호용수간선"/>
      <sheetName val="2.1호용수산근(제조)"/>
      <sheetName val="3.지동간선"/>
      <sheetName val="3.지동산근(제조)"/>
      <sheetName val="4.석교간선"/>
      <sheetName val="4.석교산근(제조)"/>
      <sheetName val="5.순흥3지선"/>
      <sheetName val="5.순흥3산근(제조))"/>
      <sheetName val="6.순흥5지선"/>
      <sheetName val="6.순흥5산근(제조)"/>
      <sheetName val="7.순흥6지선"/>
      <sheetName val="7.순흥6산근(제조)"/>
      <sheetName val="8.순흥7지선"/>
      <sheetName val="8.순흥7산근(제조)"/>
      <sheetName val="9.순흥1호"/>
      <sheetName val="9.순흥1호산근(제조)"/>
      <sheetName val="10.순흥2호"/>
      <sheetName val="10.순흥2호산근(제조)"/>
      <sheetName val="11.순흥3호"/>
      <sheetName val="11.순흥3호산근(제조)"/>
      <sheetName val="12.석교간선1호방수문"/>
      <sheetName val="12.석교1호방산근(제조)"/>
      <sheetName val="13.지동간선1호방수문"/>
      <sheetName val="13.지동1호방산근(제조)"/>
      <sheetName val="14.단산지"/>
      <sheetName val="14.단산지산근(제조)"/>
      <sheetName val="15.단산1호용수"/>
      <sheetName val="15.단산1호산근(제조)"/>
      <sheetName val="16.단산2호용수"/>
      <sheetName val="16.단산2호산근(제조)"/>
      <sheetName val="17.취입보"/>
      <sheetName val="17.취입산근(제조)"/>
      <sheetName val="18.단산1호방수"/>
      <sheetName val="18.단산1호2호방수산근(제조)"/>
      <sheetName val="19.단산2호방수"/>
      <sheetName val="19.단산2호방수산근(제조)"/>
      <sheetName val="20.2-2지선"/>
      <sheetName val="20.2-2지선산근(제조)"/>
      <sheetName val="21.2-3지선"/>
      <sheetName val="21.2-3지선산근(제조)"/>
      <sheetName val="22.단산지유말공"/>
      <sheetName val="22.단산유말공산근(제조)"/>
      <sheetName val="III.수위계"/>
      <sheetName val="IV.SPARE"/>
      <sheetName val="표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터파기및재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고"/>
      <sheetName val="BID"/>
      <sheetName val="내역서"/>
    </sheetNames>
    <sheetDataSet>
      <sheetData sheetId="0" refreshError="1"/>
      <sheetData sheetId="1">
        <row r="1">
          <cell r="A1" t="str">
            <v>BDCODE</v>
          </cell>
          <cell r="B1" t="str">
            <v>QTY</v>
          </cell>
          <cell r="C1" t="str">
            <v>ITNUM</v>
          </cell>
          <cell r="D1" t="str">
            <v>SORTCODE</v>
          </cell>
          <cell r="E1" t="str">
            <v>F_DESC</v>
          </cell>
          <cell r="F1" t="str">
            <v>F_SIZE</v>
          </cell>
          <cell r="G1" t="str">
            <v>F_UNIT</v>
          </cell>
          <cell r="H1" t="str">
            <v>T_UPRICE</v>
          </cell>
          <cell r="I1" t="str">
            <v>T_AMOUNT</v>
          </cell>
        </row>
        <row r="2">
          <cell r="A2" t="str">
            <v>T5</v>
          </cell>
          <cell r="B2">
            <v>2073</v>
          </cell>
          <cell r="C2" t="str">
            <v>I</v>
          </cell>
          <cell r="D2">
            <v>1184</v>
          </cell>
          <cell r="E2" t="str">
            <v>직 접 공 사 비</v>
          </cell>
          <cell r="I2">
            <v>3097715144</v>
          </cell>
        </row>
        <row r="3">
          <cell r="A3" t="str">
            <v>T4</v>
          </cell>
          <cell r="B3">
            <v>87</v>
          </cell>
          <cell r="C3" t="str">
            <v>1.</v>
          </cell>
          <cell r="D3">
            <v>2368</v>
          </cell>
          <cell r="E3" t="str">
            <v>토          공</v>
          </cell>
          <cell r="I3">
            <v>0</v>
          </cell>
        </row>
        <row r="4">
          <cell r="A4" t="str">
            <v>T2</v>
          </cell>
          <cell r="B4">
            <v>21</v>
          </cell>
          <cell r="C4" t="str">
            <v>1.01</v>
          </cell>
          <cell r="D4">
            <v>3104</v>
          </cell>
          <cell r="E4" t="str">
            <v>기존구조물철거공</v>
          </cell>
          <cell r="I4">
            <v>0</v>
          </cell>
        </row>
        <row r="5">
          <cell r="A5" t="str">
            <v>T1</v>
          </cell>
          <cell r="B5">
            <v>7</v>
          </cell>
          <cell r="C5" t="str">
            <v>a</v>
          </cell>
          <cell r="D5">
            <v>3228</v>
          </cell>
          <cell r="E5" t="str">
            <v>무근콘크리트깨기</v>
          </cell>
          <cell r="I5">
            <v>0</v>
          </cell>
        </row>
        <row r="6">
          <cell r="A6" t="str">
            <v>D00003</v>
          </cell>
          <cell r="B6">
            <v>68</v>
          </cell>
          <cell r="C6" t="str">
            <v>-1</v>
          </cell>
          <cell r="D6">
            <v>3600</v>
          </cell>
          <cell r="E6" t="str">
            <v>무근콘크리트깨기</v>
          </cell>
          <cell r="F6" t="str">
            <v>(30 Cm 이상)</v>
          </cell>
          <cell r="G6" t="str">
            <v>㎥</v>
          </cell>
          <cell r="I6">
            <v>0</v>
          </cell>
        </row>
        <row r="7">
          <cell r="A7" t="str">
            <v>D00002</v>
          </cell>
          <cell r="B7">
            <v>405</v>
          </cell>
          <cell r="C7" t="str">
            <v>-2</v>
          </cell>
          <cell r="D7">
            <v>3728</v>
          </cell>
          <cell r="E7" t="str">
            <v>무근콘크리트깨기</v>
          </cell>
          <cell r="F7" t="str">
            <v>(30 Cm 미만)</v>
          </cell>
          <cell r="G7" t="str">
            <v>㎥</v>
          </cell>
          <cell r="I7">
            <v>0</v>
          </cell>
        </row>
        <row r="8">
          <cell r="A8" t="str">
            <v>E1</v>
          </cell>
          <cell r="B8">
            <v>0</v>
          </cell>
          <cell r="C8" t="str">
            <v>소계</v>
          </cell>
          <cell r="D8">
            <v>3912</v>
          </cell>
          <cell r="I8">
            <v>0</v>
          </cell>
        </row>
        <row r="9">
          <cell r="A9" t="str">
            <v>T1</v>
          </cell>
          <cell r="B9">
            <v>11</v>
          </cell>
          <cell r="C9" t="str">
            <v>b</v>
          </cell>
          <cell r="D9">
            <v>4004</v>
          </cell>
          <cell r="E9" t="str">
            <v>철근콘크리트깨기</v>
          </cell>
          <cell r="I9">
            <v>0</v>
          </cell>
        </row>
        <row r="10">
          <cell r="A10" t="str">
            <v>D00006</v>
          </cell>
          <cell r="B10">
            <v>14</v>
          </cell>
          <cell r="C10" t="str">
            <v>-1</v>
          </cell>
          <cell r="D10">
            <v>4096</v>
          </cell>
          <cell r="E10" t="str">
            <v>철근콘크리트깨기</v>
          </cell>
          <cell r="F10" t="str">
            <v>(30 Cm 이상)</v>
          </cell>
          <cell r="G10" t="str">
            <v>㎥</v>
          </cell>
          <cell r="I10">
            <v>0</v>
          </cell>
        </row>
        <row r="11">
          <cell r="A11" t="str">
            <v>D00005</v>
          </cell>
          <cell r="B11">
            <v>1</v>
          </cell>
          <cell r="C11" t="str">
            <v>-2</v>
          </cell>
          <cell r="D11">
            <v>4128</v>
          </cell>
          <cell r="E11" t="str">
            <v>철근콘크리트깨기</v>
          </cell>
          <cell r="F11" t="str">
            <v>(30 Cm 미만)</v>
          </cell>
          <cell r="G11" t="str">
            <v>㎥</v>
          </cell>
          <cell r="I11">
            <v>0</v>
          </cell>
        </row>
        <row r="12">
          <cell r="A12" t="str">
            <v>E1</v>
          </cell>
          <cell r="B12">
            <v>0</v>
          </cell>
          <cell r="C12" t="str">
            <v>소계</v>
          </cell>
          <cell r="D12">
            <v>4160</v>
          </cell>
          <cell r="I12">
            <v>0</v>
          </cell>
        </row>
        <row r="13">
          <cell r="A13" t="str">
            <v>D00013</v>
          </cell>
          <cell r="B13">
            <v>96</v>
          </cell>
          <cell r="C13" t="str">
            <v>c</v>
          </cell>
          <cell r="D13">
            <v>4168</v>
          </cell>
          <cell r="E13" t="str">
            <v>석축헐기</v>
          </cell>
          <cell r="G13" t="str">
            <v>㎡</v>
          </cell>
          <cell r="I13">
            <v>0</v>
          </cell>
        </row>
        <row r="14">
          <cell r="A14" t="str">
            <v>T1</v>
          </cell>
          <cell r="B14">
            <v>16</v>
          </cell>
          <cell r="C14" t="str">
            <v>d</v>
          </cell>
          <cell r="D14">
            <v>4176</v>
          </cell>
          <cell r="E14" t="str">
            <v>기존포장깨기</v>
          </cell>
          <cell r="I14">
            <v>0</v>
          </cell>
        </row>
        <row r="15">
          <cell r="A15" t="str">
            <v>D00007</v>
          </cell>
          <cell r="B15">
            <v>268</v>
          </cell>
          <cell r="C15" t="str">
            <v>-1</v>
          </cell>
          <cell r="D15">
            <v>4304</v>
          </cell>
          <cell r="E15" t="str">
            <v>콘크리트포장깨기</v>
          </cell>
          <cell r="F15" t="str">
            <v>(기 계)</v>
          </cell>
          <cell r="G15" t="str">
            <v>㎥</v>
          </cell>
          <cell r="I15">
            <v>0</v>
          </cell>
        </row>
        <row r="16">
          <cell r="A16" t="str">
            <v>D00009</v>
          </cell>
          <cell r="B16">
            <v>1316</v>
          </cell>
          <cell r="C16" t="str">
            <v>-2</v>
          </cell>
          <cell r="D16">
            <v>4312</v>
          </cell>
          <cell r="E16" t="str">
            <v>아스팔트포장깨기</v>
          </cell>
          <cell r="F16" t="str">
            <v>(기 계)</v>
          </cell>
          <cell r="G16" t="str">
            <v>㎥</v>
          </cell>
          <cell r="I16">
            <v>0</v>
          </cell>
        </row>
        <row r="17">
          <cell r="A17" t="str">
            <v>E1</v>
          </cell>
          <cell r="B17">
            <v>0</v>
          </cell>
          <cell r="C17" t="str">
            <v>소계</v>
          </cell>
          <cell r="D17">
            <v>4319</v>
          </cell>
          <cell r="I17">
            <v>0</v>
          </cell>
        </row>
        <row r="18">
          <cell r="A18" t="str">
            <v>T1</v>
          </cell>
          <cell r="B18">
            <v>20</v>
          </cell>
          <cell r="C18" t="str">
            <v>e</v>
          </cell>
          <cell r="D18">
            <v>4927</v>
          </cell>
          <cell r="E18" t="str">
            <v>기계절단</v>
          </cell>
          <cell r="I18">
            <v>0</v>
          </cell>
        </row>
        <row r="19">
          <cell r="A19" t="str">
            <v>D00011</v>
          </cell>
          <cell r="B19">
            <v>38</v>
          </cell>
          <cell r="C19" t="str">
            <v>-1</v>
          </cell>
          <cell r="D19">
            <v>4968</v>
          </cell>
          <cell r="E19" t="str">
            <v>콘크리트절단</v>
          </cell>
          <cell r="F19" t="str">
            <v>(기 계)</v>
          </cell>
          <cell r="G19" t="str">
            <v>M</v>
          </cell>
          <cell r="I19">
            <v>0</v>
          </cell>
        </row>
        <row r="20">
          <cell r="A20" t="str">
            <v>D00012</v>
          </cell>
          <cell r="B20">
            <v>1358</v>
          </cell>
          <cell r="C20" t="str">
            <v>-2</v>
          </cell>
          <cell r="D20">
            <v>5096</v>
          </cell>
          <cell r="E20" t="str">
            <v>아스콘절단</v>
          </cell>
          <cell r="F20" t="str">
            <v>(기 계)</v>
          </cell>
          <cell r="G20" t="str">
            <v>M</v>
          </cell>
          <cell r="I20">
            <v>0</v>
          </cell>
        </row>
        <row r="21">
          <cell r="A21" t="str">
            <v>E1</v>
          </cell>
          <cell r="B21">
            <v>0</v>
          </cell>
          <cell r="C21" t="str">
            <v>소계</v>
          </cell>
          <cell r="D21">
            <v>5436</v>
          </cell>
          <cell r="I21">
            <v>0</v>
          </cell>
        </row>
        <row r="22">
          <cell r="A22" t="str">
            <v>E2</v>
          </cell>
          <cell r="B22">
            <v>0</v>
          </cell>
          <cell r="C22" t="str">
            <v>계</v>
          </cell>
          <cell r="D22">
            <v>5856</v>
          </cell>
          <cell r="I22">
            <v>0</v>
          </cell>
        </row>
        <row r="23">
          <cell r="A23" t="str">
            <v>D00161</v>
          </cell>
          <cell r="B23">
            <v>1452</v>
          </cell>
          <cell r="C23" t="str">
            <v>1.02</v>
          </cell>
          <cell r="D23">
            <v>5896</v>
          </cell>
          <cell r="E23" t="str">
            <v>토사다이크 축조공</v>
          </cell>
          <cell r="G23" t="str">
            <v>㎥</v>
          </cell>
          <cell r="I23">
            <v>0</v>
          </cell>
        </row>
        <row r="24">
          <cell r="A24" t="str">
            <v>T2</v>
          </cell>
          <cell r="B24">
            <v>26</v>
          </cell>
          <cell r="C24" t="str">
            <v>1.03</v>
          </cell>
          <cell r="D24">
            <v>5936</v>
          </cell>
          <cell r="E24" t="str">
            <v>표토제거</v>
          </cell>
          <cell r="I24">
            <v>0</v>
          </cell>
        </row>
        <row r="25">
          <cell r="A25" t="str">
            <v>D00016</v>
          </cell>
          <cell r="B25">
            <v>52754</v>
          </cell>
          <cell r="C25" t="str">
            <v>a</v>
          </cell>
          <cell r="D25">
            <v>6016</v>
          </cell>
          <cell r="E25" t="str">
            <v>표토제거</v>
          </cell>
          <cell r="F25" t="str">
            <v>(답 구 간)</v>
          </cell>
          <cell r="G25" t="str">
            <v>㎡</v>
          </cell>
          <cell r="I25">
            <v>0</v>
          </cell>
        </row>
        <row r="26">
          <cell r="A26" t="str">
            <v>D00017</v>
          </cell>
          <cell r="B26">
            <v>54039</v>
          </cell>
          <cell r="C26" t="str">
            <v>b</v>
          </cell>
          <cell r="D26">
            <v>6144</v>
          </cell>
          <cell r="E26" t="str">
            <v>표토제거</v>
          </cell>
          <cell r="F26" t="str">
            <v>(답외구간)</v>
          </cell>
          <cell r="G26" t="str">
            <v>㎡</v>
          </cell>
          <cell r="I26">
            <v>0</v>
          </cell>
        </row>
        <row r="27">
          <cell r="A27" t="str">
            <v>E2</v>
          </cell>
          <cell r="B27">
            <v>0</v>
          </cell>
          <cell r="C27" t="str">
            <v>계</v>
          </cell>
          <cell r="D27">
            <v>6272</v>
          </cell>
          <cell r="I27">
            <v>0</v>
          </cell>
        </row>
        <row r="28">
          <cell r="A28" t="str">
            <v>D00018</v>
          </cell>
          <cell r="B28">
            <v>172967</v>
          </cell>
          <cell r="C28" t="str">
            <v>1.04</v>
          </cell>
          <cell r="D28">
            <v>6400</v>
          </cell>
          <cell r="E28" t="str">
            <v>벌개제근</v>
          </cell>
          <cell r="G28" t="str">
            <v>㎡</v>
          </cell>
          <cell r="I28">
            <v>0</v>
          </cell>
        </row>
        <row r="29">
          <cell r="A29" t="str">
            <v>T2</v>
          </cell>
          <cell r="B29">
            <v>36</v>
          </cell>
          <cell r="C29" t="str">
            <v>1.05</v>
          </cell>
          <cell r="D29">
            <v>6528</v>
          </cell>
          <cell r="E29" t="str">
            <v>깍  기  공</v>
          </cell>
          <cell r="I29">
            <v>0</v>
          </cell>
        </row>
        <row r="30">
          <cell r="A30" t="str">
            <v>D00022</v>
          </cell>
          <cell r="B30">
            <v>397643</v>
          </cell>
          <cell r="C30" t="str">
            <v>a</v>
          </cell>
          <cell r="D30">
            <v>6752</v>
          </cell>
          <cell r="E30" t="str">
            <v>토  사깎기</v>
          </cell>
          <cell r="F30" t="str">
            <v>(불도쟈 32 Ton)</v>
          </cell>
          <cell r="G30" t="str">
            <v>㎥</v>
          </cell>
          <cell r="I30">
            <v>0</v>
          </cell>
        </row>
        <row r="31">
          <cell r="A31" t="str">
            <v>D00024</v>
          </cell>
          <cell r="B31">
            <v>510465</v>
          </cell>
          <cell r="C31" t="str">
            <v>b</v>
          </cell>
          <cell r="D31">
            <v>6976</v>
          </cell>
          <cell r="E31" t="str">
            <v>리핑암깍기</v>
          </cell>
          <cell r="F31" t="str">
            <v>(리퍼도쟈 32 Ton)</v>
          </cell>
          <cell r="G31" t="str">
            <v>㎥</v>
          </cell>
          <cell r="I31">
            <v>0</v>
          </cell>
        </row>
        <row r="32">
          <cell r="A32" t="str">
            <v>T1</v>
          </cell>
          <cell r="B32">
            <v>35</v>
          </cell>
          <cell r="C32" t="str">
            <v>c</v>
          </cell>
          <cell r="D32">
            <v>7040</v>
          </cell>
          <cell r="E32" t="str">
            <v>발파암깍기</v>
          </cell>
          <cell r="I32">
            <v>0</v>
          </cell>
        </row>
        <row r="33">
          <cell r="A33" t="str">
            <v>D01225</v>
          </cell>
          <cell r="B33">
            <v>41672</v>
          </cell>
          <cell r="C33" t="str">
            <v>-1</v>
          </cell>
          <cell r="D33">
            <v>7072</v>
          </cell>
          <cell r="E33" t="str">
            <v>발파암깍기</v>
          </cell>
          <cell r="F33" t="str">
            <v>(미진동발파)</v>
          </cell>
          <cell r="G33" t="str">
            <v>㎥</v>
          </cell>
          <cell r="I33">
            <v>0</v>
          </cell>
        </row>
        <row r="34">
          <cell r="A34" t="str">
            <v>D00033</v>
          </cell>
          <cell r="B34">
            <v>76716</v>
          </cell>
          <cell r="C34" t="str">
            <v>-2</v>
          </cell>
          <cell r="D34">
            <v>7154</v>
          </cell>
          <cell r="E34" t="str">
            <v>발파암깍기</v>
          </cell>
          <cell r="F34" t="str">
            <v>(백호우+브레이카)</v>
          </cell>
          <cell r="G34" t="str">
            <v>㎥</v>
          </cell>
          <cell r="I34">
            <v>0</v>
          </cell>
        </row>
        <row r="35">
          <cell r="A35" t="str">
            <v>D00034</v>
          </cell>
          <cell r="B35">
            <v>439959</v>
          </cell>
          <cell r="C35" t="str">
            <v>-3</v>
          </cell>
          <cell r="D35">
            <v>7159</v>
          </cell>
          <cell r="E35" t="str">
            <v>발파암깍기</v>
          </cell>
          <cell r="F35" t="str">
            <v>(크로울러드릴)</v>
          </cell>
          <cell r="G35" t="str">
            <v>㎥</v>
          </cell>
          <cell r="I35">
            <v>0</v>
          </cell>
        </row>
        <row r="36">
          <cell r="A36" t="str">
            <v>E1</v>
          </cell>
          <cell r="B36">
            <v>0</v>
          </cell>
          <cell r="C36" t="str">
            <v>소계</v>
          </cell>
          <cell r="D36">
            <v>7163</v>
          </cell>
          <cell r="I36">
            <v>0</v>
          </cell>
        </row>
        <row r="37">
          <cell r="A37" t="str">
            <v>E2</v>
          </cell>
          <cell r="B37">
            <v>0</v>
          </cell>
          <cell r="C37" t="str">
            <v>계</v>
          </cell>
          <cell r="D37">
            <v>7168</v>
          </cell>
          <cell r="I37">
            <v>0</v>
          </cell>
        </row>
        <row r="38">
          <cell r="A38" t="str">
            <v>T2</v>
          </cell>
          <cell r="B38">
            <v>54</v>
          </cell>
          <cell r="C38" t="str">
            <v>1.06</v>
          </cell>
          <cell r="D38">
            <v>8728</v>
          </cell>
          <cell r="E38" t="str">
            <v>운 반 공</v>
          </cell>
          <cell r="I38">
            <v>0</v>
          </cell>
        </row>
        <row r="39">
          <cell r="A39" t="str">
            <v>T1</v>
          </cell>
          <cell r="B39">
            <v>42</v>
          </cell>
          <cell r="C39" t="str">
            <v>a</v>
          </cell>
          <cell r="D39">
            <v>8760</v>
          </cell>
          <cell r="E39" t="str">
            <v>토    사</v>
          </cell>
          <cell r="I39">
            <v>0</v>
          </cell>
        </row>
        <row r="40">
          <cell r="A40" t="str">
            <v>W00002</v>
          </cell>
          <cell r="B40">
            <v>30672</v>
          </cell>
          <cell r="C40" t="str">
            <v>-1</v>
          </cell>
          <cell r="D40">
            <v>8776</v>
          </cell>
          <cell r="E40" t="str">
            <v>무대운반</v>
          </cell>
          <cell r="G40" t="str">
            <v>㎥</v>
          </cell>
          <cell r="I40">
            <v>0</v>
          </cell>
        </row>
        <row r="41">
          <cell r="A41" t="str">
            <v>D00045</v>
          </cell>
          <cell r="B41">
            <v>3228</v>
          </cell>
          <cell r="C41" t="str">
            <v>-2</v>
          </cell>
          <cell r="D41">
            <v>8783</v>
          </cell>
          <cell r="E41" t="str">
            <v>도쟈운반</v>
          </cell>
          <cell r="F41" t="str">
            <v>L=45.0 m</v>
          </cell>
          <cell r="G41" t="str">
            <v>㎥</v>
          </cell>
          <cell r="I41">
            <v>0</v>
          </cell>
        </row>
        <row r="42">
          <cell r="A42" t="str">
            <v>D00052</v>
          </cell>
          <cell r="B42">
            <v>80189</v>
          </cell>
          <cell r="C42" t="str">
            <v>-3</v>
          </cell>
          <cell r="D42">
            <v>8787</v>
          </cell>
          <cell r="E42" t="str">
            <v>덤프운반</v>
          </cell>
          <cell r="F42" t="str">
            <v>L=2.2 Km</v>
          </cell>
          <cell r="G42" t="str">
            <v>㎥</v>
          </cell>
          <cell r="I42">
            <v>0</v>
          </cell>
        </row>
        <row r="43">
          <cell r="A43" t="str">
            <v>E1</v>
          </cell>
          <cell r="B43">
            <v>0</v>
          </cell>
          <cell r="C43" t="str">
            <v>소계</v>
          </cell>
          <cell r="D43">
            <v>8790</v>
          </cell>
          <cell r="I43">
            <v>0</v>
          </cell>
        </row>
        <row r="44">
          <cell r="A44" t="str">
            <v>T1</v>
          </cell>
          <cell r="B44">
            <v>47</v>
          </cell>
          <cell r="C44" t="str">
            <v>b</v>
          </cell>
          <cell r="D44">
            <v>8792</v>
          </cell>
          <cell r="E44" t="str">
            <v>리 핑 암</v>
          </cell>
          <cell r="I44">
            <v>0</v>
          </cell>
        </row>
        <row r="45">
          <cell r="A45" t="str">
            <v>W00003</v>
          </cell>
          <cell r="B45">
            <v>72394</v>
          </cell>
          <cell r="C45" t="str">
            <v>-1</v>
          </cell>
          <cell r="D45">
            <v>8888</v>
          </cell>
          <cell r="E45" t="str">
            <v>무대운반</v>
          </cell>
          <cell r="G45" t="str">
            <v>㎥</v>
          </cell>
          <cell r="I45">
            <v>0</v>
          </cell>
        </row>
        <row r="46">
          <cell r="A46" t="str">
            <v>D00046</v>
          </cell>
          <cell r="B46">
            <v>17195</v>
          </cell>
          <cell r="C46" t="str">
            <v>-2</v>
          </cell>
          <cell r="D46">
            <v>8984</v>
          </cell>
          <cell r="E46" t="str">
            <v>도쟈운반</v>
          </cell>
          <cell r="F46" t="str">
            <v>L=45.0 m</v>
          </cell>
          <cell r="G46" t="str">
            <v>㎥</v>
          </cell>
          <cell r="I46">
            <v>0</v>
          </cell>
        </row>
        <row r="47">
          <cell r="A47" t="str">
            <v>D00053</v>
          </cell>
          <cell r="B47">
            <v>548671</v>
          </cell>
          <cell r="C47" t="str">
            <v>-3</v>
          </cell>
          <cell r="D47">
            <v>9112</v>
          </cell>
          <cell r="E47" t="str">
            <v>덤프운반</v>
          </cell>
          <cell r="F47" t="str">
            <v>L=2.9 Km</v>
          </cell>
          <cell r="G47" t="str">
            <v>㎥</v>
          </cell>
          <cell r="I47">
            <v>0</v>
          </cell>
        </row>
        <row r="48">
          <cell r="A48" t="str">
            <v>E1</v>
          </cell>
          <cell r="B48">
            <v>0</v>
          </cell>
          <cell r="C48" t="str">
            <v>소계</v>
          </cell>
          <cell r="D48">
            <v>9208</v>
          </cell>
          <cell r="I48">
            <v>0</v>
          </cell>
        </row>
        <row r="49">
          <cell r="A49" t="str">
            <v>T1</v>
          </cell>
          <cell r="B49">
            <v>52</v>
          </cell>
          <cell r="C49" t="str">
            <v>c</v>
          </cell>
          <cell r="D49">
            <v>9224</v>
          </cell>
          <cell r="E49" t="str">
            <v>발 파 암</v>
          </cell>
          <cell r="I49">
            <v>0</v>
          </cell>
        </row>
        <row r="50">
          <cell r="A50" t="str">
            <v>W00004</v>
          </cell>
          <cell r="B50">
            <v>65011</v>
          </cell>
          <cell r="C50" t="str">
            <v>-1</v>
          </cell>
          <cell r="D50">
            <v>9280</v>
          </cell>
          <cell r="E50" t="str">
            <v>무대운반</v>
          </cell>
          <cell r="G50" t="str">
            <v>㎥</v>
          </cell>
          <cell r="I50">
            <v>0</v>
          </cell>
        </row>
        <row r="51">
          <cell r="A51" t="str">
            <v>D00047</v>
          </cell>
          <cell r="B51">
            <v>10117</v>
          </cell>
          <cell r="C51" t="str">
            <v>-2</v>
          </cell>
          <cell r="D51">
            <v>9350</v>
          </cell>
          <cell r="E51" t="str">
            <v>도쟈운반</v>
          </cell>
          <cell r="F51" t="str">
            <v>L=47.0 m</v>
          </cell>
          <cell r="G51" t="str">
            <v>㎥</v>
          </cell>
          <cell r="I51">
            <v>0</v>
          </cell>
        </row>
        <row r="52">
          <cell r="A52" t="str">
            <v>D00054</v>
          </cell>
          <cell r="B52">
            <v>568110</v>
          </cell>
          <cell r="C52" t="str">
            <v>-3</v>
          </cell>
          <cell r="D52">
            <v>9420</v>
          </cell>
          <cell r="E52" t="str">
            <v>덤프운반</v>
          </cell>
          <cell r="F52" t="str">
            <v>L=3.2 Km</v>
          </cell>
          <cell r="G52" t="str">
            <v>㎥</v>
          </cell>
          <cell r="I52">
            <v>0</v>
          </cell>
        </row>
        <row r="53">
          <cell r="A53" t="str">
            <v>E1</v>
          </cell>
          <cell r="B53">
            <v>0</v>
          </cell>
          <cell r="C53" t="str">
            <v>소계</v>
          </cell>
          <cell r="D53">
            <v>9448</v>
          </cell>
          <cell r="I53">
            <v>0</v>
          </cell>
        </row>
        <row r="54">
          <cell r="A54" t="str">
            <v>D00065</v>
          </cell>
          <cell r="B54">
            <v>71547</v>
          </cell>
          <cell r="C54" t="str">
            <v>d</v>
          </cell>
          <cell r="D54">
            <v>11323</v>
          </cell>
          <cell r="E54" t="str">
            <v>사토운반</v>
          </cell>
          <cell r="F54" t="str">
            <v>(토  사)</v>
          </cell>
          <cell r="G54" t="str">
            <v>㎥</v>
          </cell>
          <cell r="I54">
            <v>0</v>
          </cell>
        </row>
        <row r="55">
          <cell r="A55" t="str">
            <v>E2</v>
          </cell>
          <cell r="B55">
            <v>0</v>
          </cell>
          <cell r="C55" t="str">
            <v>계</v>
          </cell>
          <cell r="D55">
            <v>11448</v>
          </cell>
          <cell r="I55">
            <v>0</v>
          </cell>
        </row>
        <row r="56">
          <cell r="A56" t="str">
            <v>T2</v>
          </cell>
          <cell r="B56">
            <v>59</v>
          </cell>
          <cell r="C56" t="str">
            <v>1.07</v>
          </cell>
          <cell r="D56">
            <v>11672</v>
          </cell>
          <cell r="E56" t="str">
            <v>흙 쌓 기</v>
          </cell>
          <cell r="I56">
            <v>0</v>
          </cell>
        </row>
        <row r="57">
          <cell r="A57" t="str">
            <v>D00038</v>
          </cell>
          <cell r="B57">
            <v>159342</v>
          </cell>
          <cell r="C57" t="str">
            <v>a</v>
          </cell>
          <cell r="D57">
            <v>11800</v>
          </cell>
          <cell r="E57" t="str">
            <v>노상다짐</v>
          </cell>
          <cell r="G57" t="str">
            <v>㎥</v>
          </cell>
          <cell r="I57">
            <v>0</v>
          </cell>
        </row>
        <row r="58">
          <cell r="A58" t="str">
            <v>D00037</v>
          </cell>
          <cell r="B58">
            <v>1388650</v>
          </cell>
          <cell r="C58" t="str">
            <v>b</v>
          </cell>
          <cell r="D58">
            <v>11928</v>
          </cell>
          <cell r="E58" t="str">
            <v>노체다짐</v>
          </cell>
          <cell r="G58" t="str">
            <v>㎥</v>
          </cell>
          <cell r="I58">
            <v>0</v>
          </cell>
        </row>
        <row r="59">
          <cell r="A59" t="str">
            <v>D00039</v>
          </cell>
          <cell r="B59">
            <v>7582</v>
          </cell>
          <cell r="C59" t="str">
            <v>c</v>
          </cell>
          <cell r="D59">
            <v>12536</v>
          </cell>
          <cell r="E59" t="str">
            <v>녹 지 대</v>
          </cell>
          <cell r="G59" t="str">
            <v>㎥</v>
          </cell>
          <cell r="I59">
            <v>0</v>
          </cell>
        </row>
        <row r="60">
          <cell r="A60" t="str">
            <v>E2</v>
          </cell>
          <cell r="B60">
            <v>0</v>
          </cell>
          <cell r="C60" t="str">
            <v>계</v>
          </cell>
          <cell r="D60">
            <v>12712</v>
          </cell>
          <cell r="I60">
            <v>0</v>
          </cell>
        </row>
        <row r="61">
          <cell r="A61" t="str">
            <v>D00021</v>
          </cell>
          <cell r="B61">
            <v>42910</v>
          </cell>
          <cell r="C61" t="str">
            <v>1.08</v>
          </cell>
          <cell r="D61">
            <v>12928</v>
          </cell>
          <cell r="E61" t="str">
            <v>노상준비공</v>
          </cell>
          <cell r="F61" t="str">
            <v>(절 토 부)</v>
          </cell>
          <cell r="G61" t="str">
            <v>㎡</v>
          </cell>
          <cell r="I61">
            <v>0</v>
          </cell>
        </row>
        <row r="62">
          <cell r="A62" t="str">
            <v>T2</v>
          </cell>
          <cell r="B62">
            <v>75</v>
          </cell>
          <cell r="C62" t="str">
            <v>1.09</v>
          </cell>
          <cell r="D62">
            <v>13144</v>
          </cell>
          <cell r="E62" t="str">
            <v>법면 보호공</v>
          </cell>
          <cell r="I62">
            <v>0</v>
          </cell>
        </row>
        <row r="63">
          <cell r="A63" t="str">
            <v>D01235</v>
          </cell>
          <cell r="B63">
            <v>169210</v>
          </cell>
          <cell r="C63" t="str">
            <v>a</v>
          </cell>
          <cell r="D63">
            <v>13156</v>
          </cell>
          <cell r="E63" t="str">
            <v>거적덮기</v>
          </cell>
          <cell r="G63" t="str">
            <v>㎡</v>
          </cell>
          <cell r="I63">
            <v>0</v>
          </cell>
        </row>
        <row r="64">
          <cell r="A64" t="str">
            <v>D01172</v>
          </cell>
          <cell r="B64">
            <v>75390</v>
          </cell>
          <cell r="C64" t="str">
            <v>b</v>
          </cell>
          <cell r="D64">
            <v>13162</v>
          </cell>
          <cell r="E64" t="str">
            <v>NET-잔디</v>
          </cell>
          <cell r="G64" t="str">
            <v>㎡</v>
          </cell>
          <cell r="I64">
            <v>0</v>
          </cell>
        </row>
        <row r="65">
          <cell r="A65" t="str">
            <v>D00766</v>
          </cell>
          <cell r="B65">
            <v>39806</v>
          </cell>
          <cell r="C65" t="str">
            <v>c</v>
          </cell>
          <cell r="D65">
            <v>13166</v>
          </cell>
          <cell r="E65" t="str">
            <v>암절개면보호식제공</v>
          </cell>
          <cell r="F65" t="str">
            <v>(T=10 Cm)</v>
          </cell>
          <cell r="G65" t="str">
            <v>㎡</v>
          </cell>
          <cell r="I65">
            <v>0</v>
          </cell>
        </row>
        <row r="66">
          <cell r="A66" t="str">
            <v>D00071</v>
          </cell>
          <cell r="B66">
            <v>15663</v>
          </cell>
          <cell r="C66" t="str">
            <v>d</v>
          </cell>
          <cell r="D66">
            <v>13295</v>
          </cell>
          <cell r="E66" t="str">
            <v>녹지대떼</v>
          </cell>
          <cell r="G66" t="str">
            <v>㎡</v>
          </cell>
          <cell r="I66">
            <v>0</v>
          </cell>
        </row>
        <row r="67">
          <cell r="A67" t="str">
            <v>T1</v>
          </cell>
          <cell r="B67">
            <v>69</v>
          </cell>
          <cell r="C67" t="str">
            <v>e</v>
          </cell>
          <cell r="D67">
            <v>13296</v>
          </cell>
          <cell r="E67" t="str">
            <v>법면고르기</v>
          </cell>
          <cell r="I67">
            <v>0</v>
          </cell>
        </row>
        <row r="68">
          <cell r="A68" t="str">
            <v>D00077</v>
          </cell>
          <cell r="B68">
            <v>35985</v>
          </cell>
          <cell r="C68" t="str">
            <v>-1</v>
          </cell>
          <cell r="D68">
            <v>13360</v>
          </cell>
          <cell r="E68" t="str">
            <v>법면고르기</v>
          </cell>
          <cell r="F68" t="str">
            <v>(리핑암)</v>
          </cell>
          <cell r="G68" t="str">
            <v>㎡</v>
          </cell>
          <cell r="I68">
            <v>0</v>
          </cell>
        </row>
        <row r="69">
          <cell r="A69" t="str">
            <v>D00078</v>
          </cell>
          <cell r="B69">
            <v>36954</v>
          </cell>
          <cell r="C69" t="str">
            <v>-2</v>
          </cell>
          <cell r="D69">
            <v>13392</v>
          </cell>
          <cell r="E69" t="str">
            <v>법면고르기</v>
          </cell>
          <cell r="F69" t="str">
            <v>(발파암)</v>
          </cell>
          <cell r="G69" t="str">
            <v>㎡</v>
          </cell>
          <cell r="I69">
            <v>0</v>
          </cell>
        </row>
        <row r="70">
          <cell r="A70" t="str">
            <v>E1</v>
          </cell>
          <cell r="B70">
            <v>0</v>
          </cell>
          <cell r="C70" t="str">
            <v>소계</v>
          </cell>
          <cell r="D70">
            <v>13408</v>
          </cell>
          <cell r="I70">
            <v>0</v>
          </cell>
        </row>
        <row r="71">
          <cell r="A71" t="str">
            <v>T1</v>
          </cell>
          <cell r="B71">
            <v>74</v>
          </cell>
          <cell r="C71" t="str">
            <v>f</v>
          </cell>
          <cell r="D71">
            <v>13424</v>
          </cell>
          <cell r="E71" t="str">
            <v>공사중법면보호</v>
          </cell>
          <cell r="I71">
            <v>0</v>
          </cell>
        </row>
        <row r="72">
          <cell r="A72" t="str">
            <v>D00074</v>
          </cell>
          <cell r="B72">
            <v>173014</v>
          </cell>
          <cell r="C72" t="str">
            <v>-1</v>
          </cell>
          <cell r="D72">
            <v>13456</v>
          </cell>
          <cell r="E72" t="str">
            <v>법면다짐</v>
          </cell>
          <cell r="F72" t="str">
            <v>(성토부)</v>
          </cell>
          <cell r="G72" t="str">
            <v>㎡</v>
          </cell>
          <cell r="I72">
            <v>0</v>
          </cell>
        </row>
        <row r="73">
          <cell r="A73" t="str">
            <v>D01255</v>
          </cell>
          <cell r="B73">
            <v>68403</v>
          </cell>
          <cell r="C73" t="str">
            <v>-2</v>
          </cell>
          <cell r="D73">
            <v>13488</v>
          </cell>
          <cell r="E73" t="str">
            <v>법면보호망</v>
          </cell>
          <cell r="G73" t="str">
            <v>㎡</v>
          </cell>
          <cell r="I73">
            <v>0</v>
          </cell>
        </row>
        <row r="74">
          <cell r="A74" t="str">
            <v>D01256</v>
          </cell>
          <cell r="B74">
            <v>2438</v>
          </cell>
          <cell r="C74" t="str">
            <v>-3</v>
          </cell>
          <cell r="D74">
            <v>13520</v>
          </cell>
          <cell r="E74" t="str">
            <v>가도수로</v>
          </cell>
          <cell r="G74" t="str">
            <v>㎡</v>
          </cell>
          <cell r="I74">
            <v>0</v>
          </cell>
        </row>
        <row r="75">
          <cell r="A75" t="str">
            <v>E1</v>
          </cell>
          <cell r="B75">
            <v>0</v>
          </cell>
          <cell r="C75" t="str">
            <v>소계</v>
          </cell>
          <cell r="D75">
            <v>13536</v>
          </cell>
          <cell r="I75">
            <v>0</v>
          </cell>
        </row>
        <row r="76">
          <cell r="A76" t="str">
            <v>E2</v>
          </cell>
          <cell r="B76">
            <v>0</v>
          </cell>
          <cell r="C76" t="str">
            <v>계</v>
          </cell>
          <cell r="D76">
            <v>14287</v>
          </cell>
          <cell r="I76">
            <v>0</v>
          </cell>
        </row>
        <row r="77">
          <cell r="A77" t="str">
            <v>D00087</v>
          </cell>
          <cell r="B77">
            <v>12206</v>
          </cell>
          <cell r="C77" t="str">
            <v>1.10</v>
          </cell>
          <cell r="D77">
            <v>14868</v>
          </cell>
          <cell r="E77" t="str">
            <v>층 따 기</v>
          </cell>
          <cell r="F77" t="str">
            <v>(도쟈 19 Ton)</v>
          </cell>
          <cell r="G77" t="str">
            <v>㎥</v>
          </cell>
          <cell r="I77">
            <v>0</v>
          </cell>
        </row>
        <row r="78">
          <cell r="A78" t="str">
            <v>T2</v>
          </cell>
          <cell r="B78">
            <v>82</v>
          </cell>
          <cell r="C78" t="str">
            <v>1.11</v>
          </cell>
          <cell r="D78">
            <v>15158</v>
          </cell>
          <cell r="E78" t="str">
            <v>연약지반처리</v>
          </cell>
          <cell r="I78">
            <v>0</v>
          </cell>
        </row>
        <row r="79">
          <cell r="A79" t="str">
            <v>D00073</v>
          </cell>
          <cell r="B79">
            <v>17700</v>
          </cell>
          <cell r="C79" t="str">
            <v>a</v>
          </cell>
          <cell r="D79">
            <v>15303</v>
          </cell>
          <cell r="E79" t="str">
            <v>P.P  MAT</v>
          </cell>
          <cell r="F79" t="str">
            <v>(5.0 T/M)</v>
          </cell>
          <cell r="G79" t="str">
            <v>㎡</v>
          </cell>
          <cell r="I79">
            <v>0</v>
          </cell>
        </row>
        <row r="80">
          <cell r="A80" t="str">
            <v>D00072</v>
          </cell>
          <cell r="B80">
            <v>7618</v>
          </cell>
          <cell r="C80" t="str">
            <v>b</v>
          </cell>
          <cell r="D80">
            <v>15376</v>
          </cell>
          <cell r="E80" t="str">
            <v>SAND MAT</v>
          </cell>
          <cell r="F80" t="str">
            <v>(T=0.5 M)</v>
          </cell>
          <cell r="G80" t="str">
            <v>㎥</v>
          </cell>
          <cell r="I80">
            <v>0</v>
          </cell>
        </row>
        <row r="81">
          <cell r="A81" t="str">
            <v>D00081</v>
          </cell>
          <cell r="B81">
            <v>21</v>
          </cell>
          <cell r="C81" t="str">
            <v>c</v>
          </cell>
          <cell r="D81">
            <v>15412</v>
          </cell>
          <cell r="E81" t="str">
            <v>침 하 판</v>
          </cell>
          <cell r="G81" t="str">
            <v>EA</v>
          </cell>
          <cell r="I81">
            <v>0</v>
          </cell>
        </row>
        <row r="82">
          <cell r="A82" t="str">
            <v>D00089</v>
          </cell>
          <cell r="B82">
            <v>904</v>
          </cell>
          <cell r="C82" t="str">
            <v>d</v>
          </cell>
          <cell r="D82">
            <v>15421</v>
          </cell>
          <cell r="E82" t="str">
            <v>계측관리</v>
          </cell>
          <cell r="F82" t="str">
            <v>(지표침하판)</v>
          </cell>
          <cell r="G82" t="str">
            <v>회</v>
          </cell>
          <cell r="I82">
            <v>0</v>
          </cell>
        </row>
        <row r="83">
          <cell r="A83" t="str">
            <v>E2</v>
          </cell>
          <cell r="B83">
            <v>0</v>
          </cell>
          <cell r="C83" t="str">
            <v>계</v>
          </cell>
          <cell r="D83">
            <v>15430</v>
          </cell>
          <cell r="I83">
            <v>0</v>
          </cell>
        </row>
        <row r="84">
          <cell r="A84" t="str">
            <v>T2</v>
          </cell>
          <cell r="B84">
            <v>86</v>
          </cell>
          <cell r="C84" t="str">
            <v>1.12</v>
          </cell>
          <cell r="D84">
            <v>15448</v>
          </cell>
          <cell r="E84" t="str">
            <v>토공규준틀</v>
          </cell>
          <cell r="I84">
            <v>0</v>
          </cell>
        </row>
        <row r="85">
          <cell r="A85" t="str">
            <v>D00088</v>
          </cell>
          <cell r="B85">
            <v>820</v>
          </cell>
          <cell r="C85" t="str">
            <v>a</v>
          </cell>
          <cell r="D85">
            <v>15736</v>
          </cell>
          <cell r="E85" t="str">
            <v>토공규준틀</v>
          </cell>
          <cell r="F85" t="str">
            <v>(비탈면)</v>
          </cell>
          <cell r="G85" t="str">
            <v>EA</v>
          </cell>
          <cell r="I85">
            <v>0</v>
          </cell>
        </row>
        <row r="86">
          <cell r="A86" t="str">
            <v>D03844</v>
          </cell>
          <cell r="B86">
            <v>82</v>
          </cell>
          <cell r="C86" t="str">
            <v>b</v>
          </cell>
          <cell r="D86">
            <v>15880</v>
          </cell>
          <cell r="E86" t="str">
            <v>토공규준틀</v>
          </cell>
          <cell r="F86" t="str">
            <v>(수  평)</v>
          </cell>
          <cell r="G86" t="str">
            <v>EA</v>
          </cell>
          <cell r="I86">
            <v>0</v>
          </cell>
        </row>
        <row r="87">
          <cell r="A87" t="str">
            <v>E2</v>
          </cell>
          <cell r="B87">
            <v>0</v>
          </cell>
          <cell r="C87" t="str">
            <v>계</v>
          </cell>
          <cell r="D87">
            <v>15952</v>
          </cell>
          <cell r="I87">
            <v>0</v>
          </cell>
        </row>
        <row r="88">
          <cell r="A88" t="str">
            <v>E4</v>
          </cell>
          <cell r="B88">
            <v>0</v>
          </cell>
          <cell r="C88" t="str">
            <v>총계</v>
          </cell>
          <cell r="D88">
            <v>16024</v>
          </cell>
          <cell r="I88">
            <v>0</v>
          </cell>
        </row>
        <row r="89">
          <cell r="A89" t="str">
            <v>T4</v>
          </cell>
          <cell r="B89">
            <v>337</v>
          </cell>
          <cell r="C89" t="str">
            <v>2.</v>
          </cell>
          <cell r="D89">
            <v>16600</v>
          </cell>
          <cell r="E89" t="str">
            <v>배    수    공</v>
          </cell>
          <cell r="I89">
            <v>0</v>
          </cell>
        </row>
        <row r="90">
          <cell r="A90" t="str">
            <v>T3</v>
          </cell>
          <cell r="B90">
            <v>119</v>
          </cell>
          <cell r="C90" t="str">
            <v>2.A</v>
          </cell>
          <cell r="D90">
            <v>16708</v>
          </cell>
          <cell r="E90" t="str">
            <v>토          공</v>
          </cell>
          <cell r="I90">
            <v>0</v>
          </cell>
        </row>
        <row r="91">
          <cell r="A91" t="str">
            <v>T2</v>
          </cell>
          <cell r="B91">
            <v>94</v>
          </cell>
          <cell r="C91" t="str">
            <v>2.01</v>
          </cell>
          <cell r="D91">
            <v>17238</v>
          </cell>
          <cell r="E91" t="str">
            <v>측구터파기</v>
          </cell>
          <cell r="I91">
            <v>0</v>
          </cell>
        </row>
        <row r="92">
          <cell r="A92" t="str">
            <v>D00092</v>
          </cell>
          <cell r="B92">
            <v>20203</v>
          </cell>
          <cell r="C92" t="str">
            <v>a</v>
          </cell>
          <cell r="D92">
            <v>17503</v>
          </cell>
          <cell r="E92" t="str">
            <v>측구터파기</v>
          </cell>
          <cell r="F92" t="str">
            <v>(토  사)</v>
          </cell>
          <cell r="G92" t="str">
            <v>㎥</v>
          </cell>
          <cell r="I92">
            <v>0</v>
          </cell>
        </row>
        <row r="93">
          <cell r="A93" t="str">
            <v>D00093</v>
          </cell>
          <cell r="B93">
            <v>378</v>
          </cell>
          <cell r="C93" t="str">
            <v>b</v>
          </cell>
          <cell r="D93">
            <v>17636</v>
          </cell>
          <cell r="E93" t="str">
            <v>측구터파기</v>
          </cell>
          <cell r="F93" t="str">
            <v>(리핑암)</v>
          </cell>
          <cell r="G93" t="str">
            <v>㎥</v>
          </cell>
          <cell r="I93">
            <v>0</v>
          </cell>
        </row>
        <row r="94">
          <cell r="A94" t="str">
            <v>D00094</v>
          </cell>
          <cell r="B94">
            <v>677</v>
          </cell>
          <cell r="C94" t="str">
            <v>c</v>
          </cell>
          <cell r="D94">
            <v>17702</v>
          </cell>
          <cell r="E94" t="str">
            <v>측구터파기</v>
          </cell>
          <cell r="F94" t="str">
            <v>(발파암)</v>
          </cell>
          <cell r="G94" t="str">
            <v>㎥</v>
          </cell>
          <cell r="I94">
            <v>0</v>
          </cell>
        </row>
        <row r="95">
          <cell r="A95" t="str">
            <v>E2</v>
          </cell>
          <cell r="B95">
            <v>0</v>
          </cell>
          <cell r="C95" t="str">
            <v>계</v>
          </cell>
          <cell r="D95">
            <v>17735</v>
          </cell>
          <cell r="I95">
            <v>0</v>
          </cell>
        </row>
        <row r="96">
          <cell r="A96" t="str">
            <v>T2</v>
          </cell>
          <cell r="B96">
            <v>115</v>
          </cell>
          <cell r="C96" t="str">
            <v>2.02</v>
          </cell>
          <cell r="D96">
            <v>17752</v>
          </cell>
          <cell r="E96" t="str">
            <v>구조물터파기</v>
          </cell>
          <cell r="I96">
            <v>0</v>
          </cell>
        </row>
        <row r="97">
          <cell r="A97" t="str">
            <v>T1</v>
          </cell>
          <cell r="B97">
            <v>104</v>
          </cell>
          <cell r="C97" t="str">
            <v>a</v>
          </cell>
          <cell r="D97">
            <v>17816</v>
          </cell>
          <cell r="E97" t="str">
            <v>구조물터파기</v>
          </cell>
          <cell r="F97" t="str">
            <v>토  사</v>
          </cell>
          <cell r="I97">
            <v>0</v>
          </cell>
        </row>
        <row r="98">
          <cell r="A98" t="str">
            <v>D00124</v>
          </cell>
          <cell r="B98">
            <v>18909</v>
          </cell>
          <cell r="C98" t="str">
            <v>-1</v>
          </cell>
          <cell r="D98">
            <v>17848</v>
          </cell>
          <cell r="E98" t="str">
            <v>구조물터파기</v>
          </cell>
          <cell r="F98" t="str">
            <v>(육상토사 0∼1 M)</v>
          </cell>
          <cell r="G98" t="str">
            <v>㎥</v>
          </cell>
          <cell r="I98">
            <v>0</v>
          </cell>
        </row>
        <row r="99">
          <cell r="A99" t="str">
            <v>D00125</v>
          </cell>
          <cell r="B99">
            <v>5745</v>
          </cell>
          <cell r="C99" t="str">
            <v>-2</v>
          </cell>
          <cell r="D99">
            <v>17876</v>
          </cell>
          <cell r="E99" t="str">
            <v>구조물터파기</v>
          </cell>
          <cell r="F99" t="str">
            <v>(육상토사 1∼2 M)</v>
          </cell>
          <cell r="G99" t="str">
            <v>㎥</v>
          </cell>
          <cell r="I99">
            <v>0</v>
          </cell>
        </row>
        <row r="100">
          <cell r="A100" t="str">
            <v>D00126</v>
          </cell>
          <cell r="B100">
            <v>1477</v>
          </cell>
          <cell r="C100" t="str">
            <v>-3</v>
          </cell>
          <cell r="D100">
            <v>17890</v>
          </cell>
          <cell r="E100" t="str">
            <v>구조물터파기</v>
          </cell>
          <cell r="F100" t="str">
            <v>(육상토사 2∼3 M)</v>
          </cell>
          <cell r="G100" t="str">
            <v>㎥</v>
          </cell>
          <cell r="I100">
            <v>0</v>
          </cell>
        </row>
        <row r="101">
          <cell r="A101" t="str">
            <v>D00127</v>
          </cell>
          <cell r="B101">
            <v>449</v>
          </cell>
          <cell r="C101" t="str">
            <v>-4</v>
          </cell>
          <cell r="D101">
            <v>17897</v>
          </cell>
          <cell r="E101" t="str">
            <v>구조물터파기</v>
          </cell>
          <cell r="F101" t="str">
            <v>(육상토사 3∼4 M)</v>
          </cell>
          <cell r="G101" t="str">
            <v>㎥</v>
          </cell>
          <cell r="I101">
            <v>0</v>
          </cell>
        </row>
        <row r="102">
          <cell r="A102" t="str">
            <v>D00128</v>
          </cell>
          <cell r="B102">
            <v>343</v>
          </cell>
          <cell r="C102" t="str">
            <v>-5</v>
          </cell>
          <cell r="D102">
            <v>17901</v>
          </cell>
          <cell r="E102" t="str">
            <v>구조물터파기</v>
          </cell>
          <cell r="F102" t="str">
            <v>(육상토사 4∼5 M)</v>
          </cell>
          <cell r="G102" t="str">
            <v>㎥</v>
          </cell>
          <cell r="I102">
            <v>0</v>
          </cell>
        </row>
        <row r="103">
          <cell r="A103" t="str">
            <v>D00129</v>
          </cell>
          <cell r="B103">
            <v>237</v>
          </cell>
          <cell r="C103" t="str">
            <v>-6</v>
          </cell>
          <cell r="D103">
            <v>17903</v>
          </cell>
          <cell r="E103" t="str">
            <v>구조물터파기</v>
          </cell>
          <cell r="F103" t="str">
            <v>(육상토사 5∼6 M)</v>
          </cell>
          <cell r="G103" t="str">
            <v>㎥</v>
          </cell>
          <cell r="I103">
            <v>0</v>
          </cell>
        </row>
        <row r="104">
          <cell r="A104" t="str">
            <v>D00132</v>
          </cell>
          <cell r="B104">
            <v>56</v>
          </cell>
          <cell r="C104" t="str">
            <v>-7</v>
          </cell>
          <cell r="D104">
            <v>17904</v>
          </cell>
          <cell r="E104" t="str">
            <v>구조물터파기</v>
          </cell>
          <cell r="F104" t="str">
            <v>(육상토사 6∼7 M)</v>
          </cell>
          <cell r="G104" t="str">
            <v>㎥</v>
          </cell>
          <cell r="I104">
            <v>0</v>
          </cell>
        </row>
        <row r="105">
          <cell r="A105" t="str">
            <v>E1</v>
          </cell>
          <cell r="B105">
            <v>0</v>
          </cell>
          <cell r="C105" t="str">
            <v>소계</v>
          </cell>
          <cell r="D105">
            <v>18032</v>
          </cell>
          <cell r="I105">
            <v>0</v>
          </cell>
        </row>
        <row r="106">
          <cell r="A106" t="str">
            <v>T1</v>
          </cell>
          <cell r="B106">
            <v>108</v>
          </cell>
          <cell r="C106" t="str">
            <v>b</v>
          </cell>
          <cell r="D106">
            <v>18035</v>
          </cell>
          <cell r="E106" t="str">
            <v>구조물터파기</v>
          </cell>
          <cell r="F106" t="str">
            <v>리핑암</v>
          </cell>
          <cell r="I106">
            <v>0</v>
          </cell>
        </row>
        <row r="107">
          <cell r="A107" t="str">
            <v>D00133</v>
          </cell>
          <cell r="B107">
            <v>1227</v>
          </cell>
          <cell r="C107" t="str">
            <v>-1</v>
          </cell>
          <cell r="D107">
            <v>18038</v>
          </cell>
          <cell r="E107" t="str">
            <v>구조물터파기</v>
          </cell>
          <cell r="F107" t="str">
            <v>(육상리핑암 0∼1 M)</v>
          </cell>
          <cell r="G107" t="str">
            <v>㎥</v>
          </cell>
          <cell r="I107">
            <v>0</v>
          </cell>
        </row>
        <row r="108">
          <cell r="A108" t="str">
            <v>D00134</v>
          </cell>
          <cell r="B108">
            <v>1</v>
          </cell>
          <cell r="C108" t="str">
            <v>-2</v>
          </cell>
          <cell r="D108">
            <v>18071</v>
          </cell>
          <cell r="E108" t="str">
            <v>구조물터파기</v>
          </cell>
          <cell r="F108" t="str">
            <v>(육상리핑암 1∼2 M)</v>
          </cell>
          <cell r="G108" t="str">
            <v>㎥</v>
          </cell>
          <cell r="I108">
            <v>0</v>
          </cell>
        </row>
        <row r="109">
          <cell r="A109" t="str">
            <v>E1</v>
          </cell>
          <cell r="B109">
            <v>0</v>
          </cell>
          <cell r="C109" t="str">
            <v>소계</v>
          </cell>
          <cell r="D109">
            <v>18088</v>
          </cell>
          <cell r="I109">
            <v>0</v>
          </cell>
        </row>
        <row r="110">
          <cell r="A110" t="str">
            <v>T1</v>
          </cell>
          <cell r="B110">
            <v>114</v>
          </cell>
          <cell r="C110" t="str">
            <v>c</v>
          </cell>
          <cell r="D110">
            <v>18104</v>
          </cell>
          <cell r="E110" t="str">
            <v>구조물터파기</v>
          </cell>
          <cell r="F110" t="str">
            <v>발파암</v>
          </cell>
          <cell r="I110">
            <v>0</v>
          </cell>
        </row>
        <row r="111">
          <cell r="A111" t="str">
            <v>D00135</v>
          </cell>
          <cell r="B111">
            <v>2915</v>
          </cell>
          <cell r="C111" t="str">
            <v>-1</v>
          </cell>
          <cell r="D111">
            <v>18168</v>
          </cell>
          <cell r="E111" t="str">
            <v>구조물터파기</v>
          </cell>
          <cell r="F111" t="str">
            <v>(육상발파암 0∼1 M)</v>
          </cell>
          <cell r="G111" t="str">
            <v>㎥</v>
          </cell>
          <cell r="I111">
            <v>0</v>
          </cell>
        </row>
        <row r="112">
          <cell r="A112" t="str">
            <v>D00136</v>
          </cell>
          <cell r="B112">
            <v>2362</v>
          </cell>
          <cell r="C112" t="str">
            <v>-2</v>
          </cell>
          <cell r="D112">
            <v>18204</v>
          </cell>
          <cell r="E112" t="str">
            <v>구조물터파기</v>
          </cell>
          <cell r="F112" t="str">
            <v>(육상발파암 1∼2 M)</v>
          </cell>
          <cell r="G112" t="str">
            <v>㎥</v>
          </cell>
          <cell r="I112">
            <v>0</v>
          </cell>
        </row>
        <row r="113">
          <cell r="A113" t="str">
            <v>D03810</v>
          </cell>
          <cell r="B113">
            <v>200</v>
          </cell>
          <cell r="C113" t="str">
            <v>-3</v>
          </cell>
          <cell r="D113">
            <v>18452</v>
          </cell>
          <cell r="E113" t="str">
            <v>구조물터파기</v>
          </cell>
          <cell r="F113" t="str">
            <v>(육상발파암 2∼3 M)</v>
          </cell>
          <cell r="G113" t="str">
            <v>㎥</v>
          </cell>
          <cell r="I113">
            <v>0</v>
          </cell>
        </row>
        <row r="114">
          <cell r="A114" t="str">
            <v>D03811</v>
          </cell>
          <cell r="B114">
            <v>66</v>
          </cell>
          <cell r="C114" t="str">
            <v>-4</v>
          </cell>
          <cell r="D114">
            <v>18576</v>
          </cell>
          <cell r="E114" t="str">
            <v>구조물터파기</v>
          </cell>
          <cell r="F114" t="str">
            <v>(육상발파암 3∼4 M)</v>
          </cell>
          <cell r="G114" t="str">
            <v>㎥</v>
          </cell>
          <cell r="I114">
            <v>0</v>
          </cell>
        </row>
        <row r="115">
          <cell r="A115" t="str">
            <v>E1</v>
          </cell>
          <cell r="B115">
            <v>0</v>
          </cell>
          <cell r="C115" t="str">
            <v>소계</v>
          </cell>
          <cell r="D115">
            <v>18700</v>
          </cell>
          <cell r="I115">
            <v>0</v>
          </cell>
        </row>
        <row r="116">
          <cell r="A116" t="str">
            <v>E2</v>
          </cell>
          <cell r="B116">
            <v>0</v>
          </cell>
          <cell r="C116" t="str">
            <v>계</v>
          </cell>
          <cell r="D116">
            <v>19195</v>
          </cell>
          <cell r="I116">
            <v>0</v>
          </cell>
        </row>
        <row r="117">
          <cell r="A117" t="str">
            <v>D00156</v>
          </cell>
          <cell r="B117">
            <v>43324</v>
          </cell>
          <cell r="C117" t="str">
            <v>2.03</v>
          </cell>
          <cell r="D117">
            <v>19245</v>
          </cell>
          <cell r="E117" t="str">
            <v>되메우기및다짐</v>
          </cell>
          <cell r="F117" t="str">
            <v>(인력50%+백호우50%)</v>
          </cell>
          <cell r="G117" t="str">
            <v>㎥</v>
          </cell>
          <cell r="I117">
            <v>0</v>
          </cell>
        </row>
        <row r="118">
          <cell r="A118" t="str">
            <v>D01204</v>
          </cell>
          <cell r="B118">
            <v>2871</v>
          </cell>
          <cell r="C118" t="str">
            <v>2.04</v>
          </cell>
          <cell r="D118">
            <v>19286</v>
          </cell>
          <cell r="E118" t="str">
            <v>잔토처리</v>
          </cell>
          <cell r="F118" t="str">
            <v>(인 력)</v>
          </cell>
          <cell r="G118" t="str">
            <v>㎥</v>
          </cell>
          <cell r="I118">
            <v>0</v>
          </cell>
        </row>
        <row r="119">
          <cell r="A119" t="str">
            <v>D00166</v>
          </cell>
          <cell r="B119">
            <v>1453</v>
          </cell>
          <cell r="C119" t="str">
            <v>2.05</v>
          </cell>
          <cell r="D119">
            <v>19326</v>
          </cell>
          <cell r="E119" t="str">
            <v>측구뚝쌓기</v>
          </cell>
          <cell r="F119" t="str">
            <v>(인 력)</v>
          </cell>
          <cell r="G119" t="str">
            <v>㎡</v>
          </cell>
          <cell r="I119">
            <v>0</v>
          </cell>
        </row>
        <row r="120">
          <cell r="A120" t="str">
            <v>E3</v>
          </cell>
          <cell r="B120">
            <v>0</v>
          </cell>
          <cell r="C120" t="str">
            <v>합계</v>
          </cell>
          <cell r="D120">
            <v>19406</v>
          </cell>
          <cell r="I120">
            <v>0</v>
          </cell>
        </row>
        <row r="121">
          <cell r="A121" t="str">
            <v>T3</v>
          </cell>
          <cell r="B121">
            <v>149</v>
          </cell>
          <cell r="C121" t="str">
            <v>2.B</v>
          </cell>
          <cell r="D121">
            <v>19414</v>
          </cell>
          <cell r="E121" t="str">
            <v>측    구    공</v>
          </cell>
          <cell r="I121">
            <v>0</v>
          </cell>
        </row>
        <row r="122">
          <cell r="A122" t="str">
            <v>T2</v>
          </cell>
          <cell r="B122">
            <v>127</v>
          </cell>
          <cell r="C122" t="str">
            <v>2.06</v>
          </cell>
          <cell r="D122">
            <v>19435</v>
          </cell>
          <cell r="E122" t="str">
            <v>L 형측구</v>
          </cell>
          <cell r="I122">
            <v>0</v>
          </cell>
        </row>
        <row r="123">
          <cell r="A123" t="str">
            <v>D00358</v>
          </cell>
          <cell r="B123">
            <v>2037</v>
          </cell>
          <cell r="C123" t="str">
            <v>a</v>
          </cell>
          <cell r="D123">
            <v>19471</v>
          </cell>
          <cell r="E123" t="str">
            <v>L 형측구</v>
          </cell>
          <cell r="F123" t="str">
            <v>(형식-1, H=0.515m)</v>
          </cell>
          <cell r="G123" t="str">
            <v>M</v>
          </cell>
          <cell r="I123">
            <v>0</v>
          </cell>
        </row>
        <row r="124">
          <cell r="A124" t="str">
            <v>D00359</v>
          </cell>
          <cell r="B124">
            <v>1974</v>
          </cell>
          <cell r="C124" t="str">
            <v>b</v>
          </cell>
          <cell r="D124">
            <v>19479</v>
          </cell>
          <cell r="E124" t="str">
            <v>L 형측구</v>
          </cell>
          <cell r="F124" t="str">
            <v>(형식-2, H=1.282m)</v>
          </cell>
          <cell r="G124" t="str">
            <v>M</v>
          </cell>
          <cell r="I124">
            <v>0</v>
          </cell>
        </row>
        <row r="125">
          <cell r="A125" t="str">
            <v>D00361</v>
          </cell>
          <cell r="B125">
            <v>1861</v>
          </cell>
          <cell r="C125" t="str">
            <v>c</v>
          </cell>
          <cell r="D125">
            <v>19481</v>
          </cell>
          <cell r="E125" t="str">
            <v>L 형측구</v>
          </cell>
          <cell r="F125" t="str">
            <v>(형식-3, H=2.215 M)</v>
          </cell>
          <cell r="G125" t="str">
            <v>M</v>
          </cell>
          <cell r="I125">
            <v>0</v>
          </cell>
        </row>
        <row r="126">
          <cell r="A126" t="str">
            <v>D01250</v>
          </cell>
          <cell r="B126">
            <v>4088</v>
          </cell>
          <cell r="C126" t="str">
            <v>d</v>
          </cell>
          <cell r="D126">
            <v>19483</v>
          </cell>
          <cell r="E126" t="str">
            <v>L 형측구</v>
          </cell>
          <cell r="F126" t="str">
            <v>(형식-4, H=0.35 m)</v>
          </cell>
          <cell r="G126" t="str">
            <v>M</v>
          </cell>
          <cell r="I126">
            <v>0</v>
          </cell>
        </row>
        <row r="127">
          <cell r="A127" t="str">
            <v>D00653</v>
          </cell>
          <cell r="B127">
            <v>20173</v>
          </cell>
          <cell r="C127" t="str">
            <v>e</v>
          </cell>
          <cell r="D127">
            <v>19485</v>
          </cell>
          <cell r="E127" t="str">
            <v>L 형측구</v>
          </cell>
          <cell r="F127" t="str">
            <v>(성토부, H=0.40 m)</v>
          </cell>
          <cell r="G127" t="str">
            <v>M</v>
          </cell>
          <cell r="I127">
            <v>0</v>
          </cell>
        </row>
        <row r="128">
          <cell r="A128" t="str">
            <v>E2</v>
          </cell>
          <cell r="B128">
            <v>0</v>
          </cell>
          <cell r="C128" t="str">
            <v>계</v>
          </cell>
          <cell r="D128">
            <v>19487</v>
          </cell>
          <cell r="I128">
            <v>0</v>
          </cell>
        </row>
        <row r="129">
          <cell r="A129" t="str">
            <v>T2</v>
          </cell>
          <cell r="B129">
            <v>133</v>
          </cell>
          <cell r="C129" t="str">
            <v>2.07</v>
          </cell>
          <cell r="D129">
            <v>19615</v>
          </cell>
          <cell r="E129" t="str">
            <v>U 형측구</v>
          </cell>
          <cell r="I129">
            <v>0</v>
          </cell>
        </row>
        <row r="130">
          <cell r="A130" t="str">
            <v>D00369</v>
          </cell>
          <cell r="B130">
            <v>5806</v>
          </cell>
          <cell r="C130" t="str">
            <v>a</v>
          </cell>
          <cell r="D130">
            <v>19647</v>
          </cell>
          <cell r="E130" t="str">
            <v>V 형측구</v>
          </cell>
          <cell r="F130" t="str">
            <v>(H=0.6 m)</v>
          </cell>
          <cell r="G130" t="str">
            <v>M</v>
          </cell>
          <cell r="I130">
            <v>0</v>
          </cell>
        </row>
        <row r="131">
          <cell r="A131" t="str">
            <v>D01178</v>
          </cell>
          <cell r="B131">
            <v>1120</v>
          </cell>
          <cell r="C131" t="str">
            <v>b</v>
          </cell>
          <cell r="D131">
            <v>19679</v>
          </cell>
          <cell r="E131" t="str">
            <v>U 형측구</v>
          </cell>
          <cell r="F131" t="str">
            <v>(형식-1)</v>
          </cell>
          <cell r="G131" t="str">
            <v>M</v>
          </cell>
          <cell r="I131">
            <v>0</v>
          </cell>
        </row>
        <row r="132">
          <cell r="A132" t="str">
            <v>D01179</v>
          </cell>
          <cell r="B132">
            <v>570</v>
          </cell>
          <cell r="C132" t="str">
            <v>c</v>
          </cell>
          <cell r="D132">
            <v>19711</v>
          </cell>
          <cell r="E132" t="str">
            <v>U 형측구</v>
          </cell>
          <cell r="F132" t="str">
            <v>(형식-2)</v>
          </cell>
          <cell r="G132" t="str">
            <v>M</v>
          </cell>
          <cell r="I132">
            <v>0</v>
          </cell>
        </row>
        <row r="133">
          <cell r="A133" t="str">
            <v>D01252</v>
          </cell>
          <cell r="B133">
            <v>116</v>
          </cell>
          <cell r="C133" t="str">
            <v>d</v>
          </cell>
          <cell r="D133">
            <v>19727</v>
          </cell>
          <cell r="E133" t="str">
            <v>U 형측구</v>
          </cell>
          <cell r="F133" t="str">
            <v>(형식-3)</v>
          </cell>
          <cell r="G133" t="str">
            <v>M</v>
          </cell>
          <cell r="I133">
            <v>0</v>
          </cell>
        </row>
        <row r="134">
          <cell r="A134" t="str">
            <v>E2</v>
          </cell>
          <cell r="B134">
            <v>0</v>
          </cell>
          <cell r="C134" t="str">
            <v>계</v>
          </cell>
          <cell r="D134">
            <v>19735</v>
          </cell>
          <cell r="I134">
            <v>0</v>
          </cell>
        </row>
        <row r="135">
          <cell r="A135" t="str">
            <v>T2</v>
          </cell>
          <cell r="B135">
            <v>140</v>
          </cell>
          <cell r="C135" t="str">
            <v>2.08</v>
          </cell>
          <cell r="D135">
            <v>19739</v>
          </cell>
          <cell r="E135" t="str">
            <v>버 팀 보</v>
          </cell>
          <cell r="I135">
            <v>0</v>
          </cell>
        </row>
        <row r="136">
          <cell r="A136" t="str">
            <v>D00237</v>
          </cell>
          <cell r="B136">
            <v>22</v>
          </cell>
          <cell r="C136" t="str">
            <v>a</v>
          </cell>
          <cell r="D136">
            <v>19741</v>
          </cell>
          <cell r="E136" t="str">
            <v>콘크리트타설</v>
          </cell>
          <cell r="F136" t="str">
            <v>(철근 펌프카)</v>
          </cell>
          <cell r="G136" t="str">
            <v>㎥</v>
          </cell>
          <cell r="I136">
            <v>0</v>
          </cell>
        </row>
        <row r="137">
          <cell r="A137" t="str">
            <v>D00276</v>
          </cell>
          <cell r="B137">
            <v>155</v>
          </cell>
          <cell r="C137" t="str">
            <v>b</v>
          </cell>
          <cell r="D137">
            <v>19742</v>
          </cell>
          <cell r="E137" t="str">
            <v>합판거푸집</v>
          </cell>
          <cell r="F137" t="str">
            <v>(3 회)</v>
          </cell>
          <cell r="G137" t="str">
            <v>㎡</v>
          </cell>
          <cell r="I137">
            <v>0</v>
          </cell>
        </row>
        <row r="138">
          <cell r="A138" t="str">
            <v>D00327</v>
          </cell>
          <cell r="B138">
            <v>122</v>
          </cell>
          <cell r="C138" t="str">
            <v>c</v>
          </cell>
          <cell r="D138">
            <v>19743</v>
          </cell>
          <cell r="E138" t="str">
            <v>동바리공</v>
          </cell>
          <cell r="F138" t="str">
            <v>(목재 4 회)</v>
          </cell>
          <cell r="G138" t="str">
            <v>공㎥</v>
          </cell>
          <cell r="I138">
            <v>0</v>
          </cell>
        </row>
        <row r="139">
          <cell r="A139" t="str">
            <v>D00270</v>
          </cell>
          <cell r="B139">
            <v>4.024</v>
          </cell>
          <cell r="C139" t="str">
            <v>d</v>
          </cell>
          <cell r="D139">
            <v>19807</v>
          </cell>
          <cell r="E139" t="str">
            <v>철근가공조립</v>
          </cell>
          <cell r="F139" t="str">
            <v>(간 단)</v>
          </cell>
          <cell r="G139" t="str">
            <v>Ton</v>
          </cell>
          <cell r="I139">
            <v>0</v>
          </cell>
        </row>
        <row r="140">
          <cell r="A140" t="str">
            <v>D00588</v>
          </cell>
          <cell r="B140">
            <v>111</v>
          </cell>
          <cell r="C140" t="str">
            <v>e</v>
          </cell>
          <cell r="D140">
            <v>19839</v>
          </cell>
          <cell r="E140" t="str">
            <v>스페이서 설치</v>
          </cell>
          <cell r="F140" t="str">
            <v>(슬라브및기초용)</v>
          </cell>
          <cell r="G140" t="str">
            <v>㎡</v>
          </cell>
          <cell r="I140">
            <v>0</v>
          </cell>
        </row>
        <row r="141">
          <cell r="A141" t="str">
            <v>E2</v>
          </cell>
          <cell r="B141">
            <v>0</v>
          </cell>
          <cell r="C141" t="str">
            <v>계</v>
          </cell>
          <cell r="D141">
            <v>19871</v>
          </cell>
          <cell r="I141">
            <v>0</v>
          </cell>
        </row>
        <row r="142">
          <cell r="A142" t="str">
            <v>D00360</v>
          </cell>
          <cell r="B142">
            <v>2050</v>
          </cell>
          <cell r="C142" t="str">
            <v>2.09</v>
          </cell>
          <cell r="D142">
            <v>19935</v>
          </cell>
          <cell r="E142" t="str">
            <v>산마루측구</v>
          </cell>
          <cell r="F142" t="str">
            <v>(H=0.65 M)</v>
          </cell>
          <cell r="G142" t="str">
            <v>M</v>
          </cell>
          <cell r="I142">
            <v>0</v>
          </cell>
        </row>
        <row r="143">
          <cell r="A143" t="str">
            <v>D01216</v>
          </cell>
          <cell r="B143">
            <v>1181</v>
          </cell>
          <cell r="C143" t="str">
            <v>2.10</v>
          </cell>
          <cell r="D143">
            <v>20031</v>
          </cell>
          <cell r="E143" t="str">
            <v>소단부측구</v>
          </cell>
          <cell r="G143" t="str">
            <v>M</v>
          </cell>
          <cell r="I143">
            <v>0</v>
          </cell>
        </row>
        <row r="144">
          <cell r="A144" t="str">
            <v>D03801</v>
          </cell>
          <cell r="B144">
            <v>1040</v>
          </cell>
          <cell r="C144" t="str">
            <v>2.11</v>
          </cell>
          <cell r="D144">
            <v>21889</v>
          </cell>
          <cell r="E144" t="str">
            <v>녹지대측구</v>
          </cell>
          <cell r="G144" t="str">
            <v>M</v>
          </cell>
          <cell r="I144">
            <v>0</v>
          </cell>
        </row>
        <row r="145">
          <cell r="A145" t="str">
            <v>T2</v>
          </cell>
          <cell r="B145">
            <v>148</v>
          </cell>
          <cell r="C145" t="str">
            <v>2.12</v>
          </cell>
          <cell r="D145">
            <v>23746</v>
          </cell>
          <cell r="E145" t="str">
            <v>맹  암  거</v>
          </cell>
          <cell r="I145">
            <v>0</v>
          </cell>
        </row>
        <row r="146">
          <cell r="A146" t="str">
            <v>D00356</v>
          </cell>
          <cell r="B146">
            <v>1367</v>
          </cell>
          <cell r="C146" t="str">
            <v>a</v>
          </cell>
          <cell r="D146">
            <v>24314</v>
          </cell>
          <cell r="E146" t="str">
            <v>맹암거설치</v>
          </cell>
          <cell r="F146" t="str">
            <v>(형식-1, 토사구간)</v>
          </cell>
          <cell r="G146" t="str">
            <v>M</v>
          </cell>
          <cell r="I146">
            <v>0</v>
          </cell>
        </row>
        <row r="147">
          <cell r="A147" t="str">
            <v>D00357</v>
          </cell>
          <cell r="B147">
            <v>4394</v>
          </cell>
          <cell r="C147" t="str">
            <v>b</v>
          </cell>
          <cell r="D147">
            <v>24614</v>
          </cell>
          <cell r="E147" t="str">
            <v>맹암거설치</v>
          </cell>
          <cell r="F147" t="str">
            <v>(형식-2, 암구간)</v>
          </cell>
          <cell r="G147" t="str">
            <v>M</v>
          </cell>
          <cell r="I147">
            <v>0</v>
          </cell>
        </row>
        <row r="148">
          <cell r="A148" t="str">
            <v>D00362</v>
          </cell>
          <cell r="B148">
            <v>619</v>
          </cell>
          <cell r="C148" t="str">
            <v>c</v>
          </cell>
          <cell r="D148">
            <v>25068</v>
          </cell>
          <cell r="E148" t="str">
            <v>맹암거설치</v>
          </cell>
          <cell r="F148" t="str">
            <v>(형식-3, 절성경계부)</v>
          </cell>
          <cell r="G148" t="str">
            <v>M</v>
          </cell>
          <cell r="I148">
            <v>0</v>
          </cell>
        </row>
        <row r="149">
          <cell r="A149" t="str">
            <v>E2</v>
          </cell>
          <cell r="B149">
            <v>0</v>
          </cell>
          <cell r="C149" t="str">
            <v>계</v>
          </cell>
          <cell r="D149">
            <v>26130</v>
          </cell>
          <cell r="I149">
            <v>0</v>
          </cell>
        </row>
        <row r="150">
          <cell r="A150" t="str">
            <v>E3</v>
          </cell>
          <cell r="B150">
            <v>0</v>
          </cell>
          <cell r="C150" t="str">
            <v>합계</v>
          </cell>
          <cell r="D150">
            <v>26278</v>
          </cell>
          <cell r="I150">
            <v>0</v>
          </cell>
        </row>
        <row r="151">
          <cell r="A151" t="str">
            <v>T3</v>
          </cell>
          <cell r="B151">
            <v>209</v>
          </cell>
          <cell r="C151" t="str">
            <v>2.C</v>
          </cell>
          <cell r="D151">
            <v>26425</v>
          </cell>
          <cell r="E151" t="str">
            <v>배  수  관  공</v>
          </cell>
          <cell r="I151">
            <v>0</v>
          </cell>
        </row>
        <row r="152">
          <cell r="A152" t="str">
            <v>T2</v>
          </cell>
          <cell r="B152">
            <v>173</v>
          </cell>
          <cell r="C152" t="str">
            <v>2.13</v>
          </cell>
          <cell r="D152">
            <v>26426</v>
          </cell>
          <cell r="E152" t="str">
            <v>횡배수관부설</v>
          </cell>
          <cell r="F152" t="str">
            <v>V.R 관</v>
          </cell>
          <cell r="I152">
            <v>0</v>
          </cell>
        </row>
        <row r="153">
          <cell r="A153" t="str">
            <v>T1</v>
          </cell>
          <cell r="B153">
            <v>157</v>
          </cell>
          <cell r="C153" t="str">
            <v>a</v>
          </cell>
          <cell r="D153">
            <v>26447</v>
          </cell>
          <cell r="E153" t="str">
            <v>V.R 관부설</v>
          </cell>
          <cell r="F153" t="str">
            <v>일반부</v>
          </cell>
          <cell r="I153">
            <v>0</v>
          </cell>
        </row>
        <row r="154">
          <cell r="A154" t="str">
            <v>D00367</v>
          </cell>
          <cell r="B154">
            <v>450</v>
          </cell>
          <cell r="C154" t="str">
            <v>-1</v>
          </cell>
          <cell r="D154">
            <v>26458</v>
          </cell>
          <cell r="E154" t="str">
            <v>횡배수관부설</v>
          </cell>
          <cell r="F154" t="str">
            <v>(D= 600m/m)일반구간</v>
          </cell>
          <cell r="G154" t="str">
            <v>M</v>
          </cell>
          <cell r="I154">
            <v>0</v>
          </cell>
        </row>
        <row r="155">
          <cell r="A155" t="str">
            <v>D00368</v>
          </cell>
          <cell r="B155">
            <v>340</v>
          </cell>
          <cell r="C155" t="str">
            <v>-2</v>
          </cell>
          <cell r="D155">
            <v>26463</v>
          </cell>
          <cell r="E155" t="str">
            <v>횡배수관부설</v>
          </cell>
          <cell r="F155" t="str">
            <v>(D= 800m/m)일반구간</v>
          </cell>
          <cell r="G155" t="str">
            <v>M</v>
          </cell>
          <cell r="I155">
            <v>0</v>
          </cell>
        </row>
        <row r="156">
          <cell r="A156" t="str">
            <v>D00370</v>
          </cell>
          <cell r="B156">
            <v>105</v>
          </cell>
          <cell r="C156" t="str">
            <v>-3</v>
          </cell>
          <cell r="D156">
            <v>26466</v>
          </cell>
          <cell r="E156" t="str">
            <v>횡배수관부설</v>
          </cell>
          <cell r="F156" t="str">
            <v>(D=1000m/m)일반구간</v>
          </cell>
          <cell r="G156" t="str">
            <v>M</v>
          </cell>
          <cell r="I156">
            <v>0</v>
          </cell>
        </row>
        <row r="157">
          <cell r="A157" t="str">
            <v>D00372</v>
          </cell>
          <cell r="B157">
            <v>121</v>
          </cell>
          <cell r="C157" t="str">
            <v>-4</v>
          </cell>
          <cell r="D157">
            <v>26467</v>
          </cell>
          <cell r="E157" t="str">
            <v>횡배수관부설</v>
          </cell>
          <cell r="F157" t="str">
            <v>(D=1200 m/m)일반구간</v>
          </cell>
          <cell r="G157" t="str">
            <v>M</v>
          </cell>
          <cell r="I157">
            <v>0</v>
          </cell>
        </row>
        <row r="158">
          <cell r="A158" t="str">
            <v>E1</v>
          </cell>
          <cell r="B158">
            <v>0</v>
          </cell>
          <cell r="C158" t="str">
            <v>소계</v>
          </cell>
          <cell r="D158">
            <v>26468</v>
          </cell>
          <cell r="I158">
            <v>0</v>
          </cell>
        </row>
        <row r="159">
          <cell r="A159" t="str">
            <v>T1</v>
          </cell>
          <cell r="B159">
            <v>162</v>
          </cell>
          <cell r="C159" t="str">
            <v>b</v>
          </cell>
          <cell r="D159">
            <v>26532</v>
          </cell>
          <cell r="E159" t="str">
            <v>V.R 관부설</v>
          </cell>
          <cell r="F159" t="str">
            <v>보강부</v>
          </cell>
          <cell r="I159">
            <v>0</v>
          </cell>
        </row>
        <row r="160">
          <cell r="A160" t="str">
            <v>D01258</v>
          </cell>
          <cell r="B160">
            <v>751</v>
          </cell>
          <cell r="C160" t="str">
            <v>-1</v>
          </cell>
          <cell r="D160">
            <v>26945</v>
          </cell>
          <cell r="E160" t="str">
            <v>횡배수관부설</v>
          </cell>
          <cell r="F160" t="str">
            <v>(D= 800m/m)보강구간</v>
          </cell>
          <cell r="G160" t="str">
            <v>M</v>
          </cell>
          <cell r="I160">
            <v>0</v>
          </cell>
        </row>
        <row r="161">
          <cell r="A161" t="str">
            <v>D01261</v>
          </cell>
          <cell r="B161">
            <v>226</v>
          </cell>
          <cell r="C161" t="str">
            <v>-2</v>
          </cell>
          <cell r="D161">
            <v>27160</v>
          </cell>
          <cell r="E161" t="str">
            <v>횡배수관부설</v>
          </cell>
          <cell r="F161" t="str">
            <v>(D=1000m/m)보강구간</v>
          </cell>
          <cell r="G161" t="str">
            <v>M</v>
          </cell>
          <cell r="I161">
            <v>0</v>
          </cell>
        </row>
        <row r="162">
          <cell r="A162" t="str">
            <v>D01264</v>
          </cell>
          <cell r="B162">
            <v>434</v>
          </cell>
          <cell r="C162" t="str">
            <v>-3</v>
          </cell>
          <cell r="D162">
            <v>27213</v>
          </cell>
          <cell r="E162" t="str">
            <v>횡배수관부설</v>
          </cell>
          <cell r="F162" t="str">
            <v>(D=1200m/m)보강구간</v>
          </cell>
          <cell r="G162" t="str">
            <v>M</v>
          </cell>
          <cell r="I162">
            <v>0</v>
          </cell>
        </row>
        <row r="163">
          <cell r="A163" t="str">
            <v>E1</v>
          </cell>
          <cell r="B163">
            <v>0</v>
          </cell>
          <cell r="C163" t="str">
            <v>소계</v>
          </cell>
          <cell r="D163">
            <v>27239</v>
          </cell>
          <cell r="I163">
            <v>0</v>
          </cell>
        </row>
        <row r="164">
          <cell r="A164" t="str">
            <v>T1</v>
          </cell>
          <cell r="B164">
            <v>166</v>
          </cell>
          <cell r="C164" t="str">
            <v>c</v>
          </cell>
          <cell r="D164">
            <v>27366</v>
          </cell>
          <cell r="E164" t="str">
            <v>날 개 벽</v>
          </cell>
          <cell r="I164">
            <v>0</v>
          </cell>
        </row>
        <row r="165">
          <cell r="A165" t="str">
            <v>D00285</v>
          </cell>
          <cell r="B165">
            <v>1092</v>
          </cell>
          <cell r="C165" t="str">
            <v>-1</v>
          </cell>
          <cell r="D165">
            <v>27890</v>
          </cell>
          <cell r="E165" t="str">
            <v>합판거푸집</v>
          </cell>
          <cell r="F165" t="str">
            <v>(소형 3 회)</v>
          </cell>
          <cell r="G165" t="str">
            <v>㎡</v>
          </cell>
          <cell r="I165">
            <v>0</v>
          </cell>
        </row>
        <row r="166">
          <cell r="A166" t="str">
            <v>D00236</v>
          </cell>
          <cell r="B166">
            <v>217</v>
          </cell>
          <cell r="C166" t="str">
            <v>-2</v>
          </cell>
          <cell r="D166">
            <v>27946</v>
          </cell>
          <cell r="E166" t="str">
            <v>콘크리트타설</v>
          </cell>
          <cell r="F166" t="str">
            <v>(소형 VIB 포함)</v>
          </cell>
          <cell r="G166" t="str">
            <v>㎥</v>
          </cell>
          <cell r="I166">
            <v>0</v>
          </cell>
        </row>
        <row r="167">
          <cell r="A167" t="str">
            <v>E1</v>
          </cell>
          <cell r="B167">
            <v>0</v>
          </cell>
          <cell r="C167" t="str">
            <v>소계</v>
          </cell>
          <cell r="D167">
            <v>28135</v>
          </cell>
          <cell r="I167">
            <v>0</v>
          </cell>
        </row>
        <row r="168">
          <cell r="A168" t="str">
            <v>D00385</v>
          </cell>
          <cell r="B168">
            <v>59</v>
          </cell>
          <cell r="C168" t="str">
            <v>d</v>
          </cell>
          <cell r="D168">
            <v>28229</v>
          </cell>
          <cell r="E168" t="str">
            <v>횡배수관</v>
          </cell>
          <cell r="F168" t="str">
            <v>(파형관, D=1200 m/m)</v>
          </cell>
          <cell r="G168" t="str">
            <v>M</v>
          </cell>
          <cell r="I168">
            <v>0</v>
          </cell>
        </row>
        <row r="169">
          <cell r="A169" t="str">
            <v>T1</v>
          </cell>
          <cell r="B169">
            <v>171</v>
          </cell>
          <cell r="C169" t="str">
            <v>e</v>
          </cell>
          <cell r="D169">
            <v>28276</v>
          </cell>
          <cell r="E169" t="str">
            <v>수로보호공</v>
          </cell>
          <cell r="I169">
            <v>0</v>
          </cell>
        </row>
        <row r="170">
          <cell r="A170" t="str">
            <v>D00282</v>
          </cell>
          <cell r="B170">
            <v>7</v>
          </cell>
          <cell r="C170" t="str">
            <v>-1</v>
          </cell>
          <cell r="D170">
            <v>28300</v>
          </cell>
          <cell r="E170" t="str">
            <v>합판거푸집</v>
          </cell>
          <cell r="F170" t="str">
            <v>(6 회)</v>
          </cell>
          <cell r="G170" t="str">
            <v>㎡</v>
          </cell>
          <cell r="I170">
            <v>0</v>
          </cell>
        </row>
        <row r="171">
          <cell r="A171" t="str">
            <v>D00231</v>
          </cell>
          <cell r="B171">
            <v>7</v>
          </cell>
          <cell r="C171" t="str">
            <v>-2</v>
          </cell>
          <cell r="D171">
            <v>28312</v>
          </cell>
          <cell r="E171" t="str">
            <v>콘크리트타설</v>
          </cell>
          <cell r="F171" t="str">
            <v>(무근 VIB 제외)</v>
          </cell>
          <cell r="G171" t="str">
            <v>㎥</v>
          </cell>
          <cell r="I171">
            <v>0</v>
          </cell>
        </row>
        <row r="172">
          <cell r="A172" t="str">
            <v>E1</v>
          </cell>
          <cell r="B172">
            <v>0</v>
          </cell>
          <cell r="C172" t="str">
            <v>소계</v>
          </cell>
          <cell r="D172">
            <v>28318</v>
          </cell>
          <cell r="I172">
            <v>0</v>
          </cell>
        </row>
        <row r="173">
          <cell r="A173" t="str">
            <v>D00270</v>
          </cell>
          <cell r="B173">
            <v>4.62</v>
          </cell>
          <cell r="C173" t="str">
            <v>f</v>
          </cell>
          <cell r="D173">
            <v>28321</v>
          </cell>
          <cell r="E173" t="str">
            <v>철근가공조립</v>
          </cell>
          <cell r="F173" t="str">
            <v>(간 단)</v>
          </cell>
          <cell r="G173" t="str">
            <v>Ton</v>
          </cell>
          <cell r="I173">
            <v>0</v>
          </cell>
        </row>
        <row r="174">
          <cell r="A174" t="str">
            <v>E2</v>
          </cell>
          <cell r="B174">
            <v>0</v>
          </cell>
          <cell r="C174" t="str">
            <v>계</v>
          </cell>
          <cell r="D174">
            <v>28323</v>
          </cell>
          <cell r="I174">
            <v>0</v>
          </cell>
        </row>
        <row r="175">
          <cell r="A175" t="str">
            <v>T2</v>
          </cell>
          <cell r="B175">
            <v>191</v>
          </cell>
          <cell r="C175" t="str">
            <v>2.14</v>
          </cell>
          <cell r="D175">
            <v>28634</v>
          </cell>
          <cell r="E175" t="str">
            <v>종배수관부설</v>
          </cell>
          <cell r="F175" t="str">
            <v>흄 관</v>
          </cell>
          <cell r="I175">
            <v>0</v>
          </cell>
        </row>
        <row r="176">
          <cell r="A176" t="str">
            <v>T1</v>
          </cell>
          <cell r="B176">
            <v>181</v>
          </cell>
          <cell r="C176" t="str">
            <v>a</v>
          </cell>
          <cell r="D176">
            <v>28710</v>
          </cell>
          <cell r="E176" t="str">
            <v>종배수관부설</v>
          </cell>
          <cell r="I176">
            <v>0</v>
          </cell>
        </row>
        <row r="177">
          <cell r="A177" t="str">
            <v>D01185</v>
          </cell>
          <cell r="B177">
            <v>958</v>
          </cell>
          <cell r="C177" t="str">
            <v>-1</v>
          </cell>
          <cell r="D177">
            <v>28786</v>
          </cell>
          <cell r="E177" t="str">
            <v>종배수관부설</v>
          </cell>
          <cell r="F177" t="str">
            <v>(D= 450 m/m)</v>
          </cell>
          <cell r="G177" t="str">
            <v>M</v>
          </cell>
          <cell r="I177">
            <v>0</v>
          </cell>
        </row>
        <row r="178">
          <cell r="A178" t="str">
            <v>D01186</v>
          </cell>
          <cell r="B178">
            <v>1118</v>
          </cell>
          <cell r="C178" t="str">
            <v>-2</v>
          </cell>
          <cell r="D178">
            <v>28855</v>
          </cell>
          <cell r="E178" t="str">
            <v>종배수관부설</v>
          </cell>
          <cell r="F178" t="str">
            <v>(D= 600 m/m)</v>
          </cell>
          <cell r="G178" t="str">
            <v>M</v>
          </cell>
          <cell r="I178">
            <v>0</v>
          </cell>
        </row>
        <row r="179">
          <cell r="A179" t="str">
            <v>D01187</v>
          </cell>
          <cell r="B179">
            <v>1195</v>
          </cell>
          <cell r="C179" t="str">
            <v>-3</v>
          </cell>
          <cell r="D179">
            <v>28878</v>
          </cell>
          <cell r="E179" t="str">
            <v>종배수관부설</v>
          </cell>
          <cell r="F179" t="str">
            <v>(D= 800 m/m)</v>
          </cell>
          <cell r="G179" t="str">
            <v>M</v>
          </cell>
          <cell r="I179">
            <v>0</v>
          </cell>
        </row>
        <row r="180">
          <cell r="A180" t="str">
            <v>D01188</v>
          </cell>
          <cell r="B180">
            <v>210</v>
          </cell>
          <cell r="C180" t="str">
            <v>-4</v>
          </cell>
          <cell r="D180">
            <v>28890</v>
          </cell>
          <cell r="E180" t="str">
            <v>종배수관부설</v>
          </cell>
          <cell r="F180" t="str">
            <v>(D=1000 m/m)</v>
          </cell>
          <cell r="G180" t="str">
            <v>M</v>
          </cell>
          <cell r="I180">
            <v>0</v>
          </cell>
        </row>
        <row r="181">
          <cell r="A181" t="str">
            <v>D01184</v>
          </cell>
          <cell r="B181">
            <v>108</v>
          </cell>
          <cell r="C181" t="str">
            <v>-5</v>
          </cell>
          <cell r="D181">
            <v>28913</v>
          </cell>
          <cell r="E181" t="str">
            <v>종배수관부설</v>
          </cell>
          <cell r="F181" t="str">
            <v>(D=1200 m/m)</v>
          </cell>
          <cell r="G181" t="str">
            <v>M</v>
          </cell>
          <cell r="I181">
            <v>0</v>
          </cell>
        </row>
        <row r="182">
          <cell r="A182" t="str">
            <v>E1</v>
          </cell>
          <cell r="B182">
            <v>0</v>
          </cell>
          <cell r="C182" t="str">
            <v>소계</v>
          </cell>
          <cell r="D182">
            <v>28924</v>
          </cell>
          <cell r="I182">
            <v>0</v>
          </cell>
        </row>
        <row r="183">
          <cell r="A183" t="str">
            <v>T1</v>
          </cell>
          <cell r="B183">
            <v>185</v>
          </cell>
          <cell r="C183" t="str">
            <v>b</v>
          </cell>
          <cell r="D183">
            <v>31024</v>
          </cell>
          <cell r="E183" t="str">
            <v>종배수관면벽</v>
          </cell>
          <cell r="I183">
            <v>0</v>
          </cell>
        </row>
        <row r="184">
          <cell r="A184" t="str">
            <v>D00286</v>
          </cell>
          <cell r="B184">
            <v>764</v>
          </cell>
          <cell r="C184" t="str">
            <v>-1</v>
          </cell>
          <cell r="D184">
            <v>31152</v>
          </cell>
          <cell r="E184" t="str">
            <v>합판거푸집</v>
          </cell>
          <cell r="F184" t="str">
            <v>(소형 4 회)</v>
          </cell>
          <cell r="G184" t="str">
            <v>㎡</v>
          </cell>
          <cell r="I184">
            <v>0</v>
          </cell>
        </row>
        <row r="185">
          <cell r="A185" t="str">
            <v>D00233</v>
          </cell>
          <cell r="B185">
            <v>54</v>
          </cell>
          <cell r="C185" t="str">
            <v>-2</v>
          </cell>
          <cell r="D185">
            <v>31244</v>
          </cell>
          <cell r="E185" t="str">
            <v>콘크리트타설</v>
          </cell>
          <cell r="F185" t="str">
            <v>(소형 VIB 제외)</v>
          </cell>
          <cell r="G185" t="str">
            <v>㎥</v>
          </cell>
          <cell r="I185">
            <v>0</v>
          </cell>
        </row>
        <row r="186">
          <cell r="A186" t="str">
            <v>E1</v>
          </cell>
          <cell r="B186">
            <v>0</v>
          </cell>
          <cell r="C186" t="str">
            <v>소계</v>
          </cell>
          <cell r="D186">
            <v>32986</v>
          </cell>
          <cell r="I186">
            <v>0</v>
          </cell>
        </row>
        <row r="187">
          <cell r="A187" t="str">
            <v>T1</v>
          </cell>
          <cell r="B187">
            <v>190</v>
          </cell>
          <cell r="C187" t="str">
            <v>c</v>
          </cell>
          <cell r="D187">
            <v>33586</v>
          </cell>
          <cell r="E187" t="str">
            <v>초    비</v>
          </cell>
          <cell r="I187">
            <v>0</v>
          </cell>
        </row>
        <row r="188">
          <cell r="A188" t="str">
            <v>D03831</v>
          </cell>
          <cell r="B188">
            <v>1</v>
          </cell>
          <cell r="C188" t="str">
            <v>-1</v>
          </cell>
          <cell r="D188">
            <v>33886</v>
          </cell>
          <cell r="E188" t="str">
            <v>초    비</v>
          </cell>
          <cell r="F188" t="str">
            <v>(Φ 800 m/m)</v>
          </cell>
          <cell r="G188" t="str">
            <v>EA</v>
          </cell>
          <cell r="I188">
            <v>0</v>
          </cell>
        </row>
        <row r="189">
          <cell r="A189" t="str">
            <v>D03832</v>
          </cell>
          <cell r="B189">
            <v>2</v>
          </cell>
          <cell r="C189" t="str">
            <v>-2</v>
          </cell>
          <cell r="D189">
            <v>34036</v>
          </cell>
          <cell r="E189" t="str">
            <v>초    비</v>
          </cell>
          <cell r="F189" t="str">
            <v>(Φ1000 m/m)</v>
          </cell>
          <cell r="G189" t="str">
            <v>EA</v>
          </cell>
          <cell r="I189">
            <v>0</v>
          </cell>
        </row>
        <row r="190">
          <cell r="A190" t="str">
            <v>D03833</v>
          </cell>
          <cell r="B190">
            <v>4</v>
          </cell>
          <cell r="C190" t="str">
            <v>-3</v>
          </cell>
          <cell r="D190">
            <v>34111</v>
          </cell>
          <cell r="E190" t="str">
            <v>초    비</v>
          </cell>
          <cell r="F190" t="str">
            <v>(Φ1200 m/m)</v>
          </cell>
          <cell r="G190" t="str">
            <v>EA</v>
          </cell>
          <cell r="I190">
            <v>0</v>
          </cell>
        </row>
        <row r="191">
          <cell r="A191" t="str">
            <v>E1</v>
          </cell>
          <cell r="B191">
            <v>0</v>
          </cell>
          <cell r="C191" t="str">
            <v>소계</v>
          </cell>
          <cell r="D191">
            <v>34149</v>
          </cell>
          <cell r="I191">
            <v>0</v>
          </cell>
        </row>
        <row r="192">
          <cell r="A192" t="str">
            <v>E2</v>
          </cell>
          <cell r="B192">
            <v>0</v>
          </cell>
          <cell r="C192" t="str">
            <v>계</v>
          </cell>
          <cell r="D192">
            <v>34168</v>
          </cell>
          <cell r="I192">
            <v>0</v>
          </cell>
        </row>
        <row r="193">
          <cell r="A193" t="str">
            <v>T2</v>
          </cell>
          <cell r="B193">
            <v>207</v>
          </cell>
          <cell r="C193" t="str">
            <v>2.15</v>
          </cell>
          <cell r="D193">
            <v>34186</v>
          </cell>
          <cell r="E193" t="str">
            <v>집 수 정</v>
          </cell>
          <cell r="I193">
            <v>0</v>
          </cell>
        </row>
        <row r="194">
          <cell r="A194" t="str">
            <v>T1</v>
          </cell>
          <cell r="B194">
            <v>197</v>
          </cell>
          <cell r="C194" t="str">
            <v>a</v>
          </cell>
          <cell r="D194">
            <v>34218</v>
          </cell>
          <cell r="E194" t="str">
            <v>콘크리트타설</v>
          </cell>
          <cell r="I194">
            <v>0</v>
          </cell>
        </row>
        <row r="195">
          <cell r="A195" t="str">
            <v>D00235</v>
          </cell>
          <cell r="B195">
            <v>17</v>
          </cell>
          <cell r="C195" t="str">
            <v>-1</v>
          </cell>
          <cell r="D195">
            <v>34250</v>
          </cell>
          <cell r="E195" t="str">
            <v>콘크리트타설</v>
          </cell>
          <cell r="F195" t="str">
            <v>(철근 VIB 포함)</v>
          </cell>
          <cell r="G195" t="str">
            <v>㎥</v>
          </cell>
          <cell r="I195">
            <v>0</v>
          </cell>
        </row>
        <row r="196">
          <cell r="A196" t="str">
            <v>D00234</v>
          </cell>
          <cell r="B196">
            <v>116</v>
          </cell>
          <cell r="C196" t="str">
            <v>-2</v>
          </cell>
          <cell r="D196">
            <v>34386</v>
          </cell>
          <cell r="E196" t="str">
            <v>콘크리트타설</v>
          </cell>
          <cell r="F196" t="str">
            <v>(무근 VIB 포함)</v>
          </cell>
          <cell r="G196" t="str">
            <v>㎥</v>
          </cell>
          <cell r="I196">
            <v>0</v>
          </cell>
        </row>
        <row r="197">
          <cell r="A197" t="str">
            <v>D00231</v>
          </cell>
          <cell r="B197">
            <v>157</v>
          </cell>
          <cell r="C197" t="str">
            <v>-3</v>
          </cell>
          <cell r="D197">
            <v>34422</v>
          </cell>
          <cell r="E197" t="str">
            <v>콘크리트타설</v>
          </cell>
          <cell r="F197" t="str">
            <v>(무근 VIB 제외)</v>
          </cell>
          <cell r="G197" t="str">
            <v>㎥</v>
          </cell>
          <cell r="I197">
            <v>0</v>
          </cell>
        </row>
        <row r="198">
          <cell r="A198" t="str">
            <v>E1</v>
          </cell>
          <cell r="B198">
            <v>0</v>
          </cell>
          <cell r="C198" t="str">
            <v>소계</v>
          </cell>
          <cell r="D198">
            <v>34440</v>
          </cell>
          <cell r="I198">
            <v>0</v>
          </cell>
        </row>
        <row r="199">
          <cell r="A199" t="str">
            <v>D00280</v>
          </cell>
          <cell r="B199">
            <v>2621</v>
          </cell>
          <cell r="C199" t="str">
            <v>b</v>
          </cell>
          <cell r="D199">
            <v>34456</v>
          </cell>
          <cell r="E199" t="str">
            <v>합판거푸집</v>
          </cell>
          <cell r="F199" t="str">
            <v>(4 회)</v>
          </cell>
          <cell r="G199" t="str">
            <v>㎡</v>
          </cell>
          <cell r="I199">
            <v>0</v>
          </cell>
        </row>
        <row r="200">
          <cell r="A200" t="str">
            <v>D00271</v>
          </cell>
          <cell r="B200">
            <v>3.5649999999999999</v>
          </cell>
          <cell r="C200" t="str">
            <v>c</v>
          </cell>
          <cell r="D200">
            <v>34522</v>
          </cell>
          <cell r="E200" t="str">
            <v>철근가공조립</v>
          </cell>
          <cell r="F200" t="str">
            <v>(보 통)</v>
          </cell>
          <cell r="G200" t="str">
            <v>Ton</v>
          </cell>
          <cell r="I200">
            <v>0</v>
          </cell>
        </row>
        <row r="201">
          <cell r="A201" t="str">
            <v>T1</v>
          </cell>
          <cell r="B201">
            <v>205</v>
          </cell>
          <cell r="C201" t="str">
            <v>d</v>
          </cell>
          <cell r="D201">
            <v>35014</v>
          </cell>
          <cell r="E201" t="str">
            <v>집수정뚜껑</v>
          </cell>
          <cell r="I201">
            <v>0</v>
          </cell>
        </row>
        <row r="202">
          <cell r="A202" t="str">
            <v>D00418</v>
          </cell>
          <cell r="B202">
            <v>33</v>
          </cell>
          <cell r="C202" t="str">
            <v>-1</v>
          </cell>
          <cell r="D202">
            <v>35078</v>
          </cell>
          <cell r="E202" t="str">
            <v>스틸그레이팅</v>
          </cell>
          <cell r="F202" t="str">
            <v>(1200x1400x75)</v>
          </cell>
          <cell r="G202" t="str">
            <v>EA</v>
          </cell>
          <cell r="I202">
            <v>0</v>
          </cell>
        </row>
        <row r="203">
          <cell r="A203" t="str">
            <v>D00414</v>
          </cell>
          <cell r="B203">
            <v>47</v>
          </cell>
          <cell r="C203" t="str">
            <v>-2</v>
          </cell>
          <cell r="D203">
            <v>35126</v>
          </cell>
          <cell r="E203" t="str">
            <v>스틸그레이팅</v>
          </cell>
          <cell r="F203" t="str">
            <v>(1200x700x75)</v>
          </cell>
          <cell r="G203" t="str">
            <v>EA</v>
          </cell>
          <cell r="I203">
            <v>0</v>
          </cell>
        </row>
        <row r="204">
          <cell r="A204" t="str">
            <v>D00364</v>
          </cell>
          <cell r="B204">
            <v>3</v>
          </cell>
          <cell r="C204" t="str">
            <v>-3</v>
          </cell>
          <cell r="D204">
            <v>35134</v>
          </cell>
          <cell r="E204" t="str">
            <v>스틸그레이팅</v>
          </cell>
          <cell r="F204" t="str">
            <v>(500x600x50)</v>
          </cell>
          <cell r="G204" t="str">
            <v>EA</v>
          </cell>
          <cell r="I204">
            <v>0</v>
          </cell>
        </row>
        <row r="205">
          <cell r="A205" t="str">
            <v>D00365</v>
          </cell>
          <cell r="B205">
            <v>2</v>
          </cell>
          <cell r="C205" t="str">
            <v>-4</v>
          </cell>
          <cell r="D205">
            <v>35136</v>
          </cell>
          <cell r="E205" t="str">
            <v>스틸그레이팅</v>
          </cell>
          <cell r="F205" t="str">
            <v>(1130x830x50)</v>
          </cell>
          <cell r="G205" t="str">
            <v>EA</v>
          </cell>
          <cell r="I205">
            <v>0</v>
          </cell>
        </row>
        <row r="206">
          <cell r="A206" t="str">
            <v>E1</v>
          </cell>
          <cell r="B206">
            <v>0</v>
          </cell>
          <cell r="C206" t="str">
            <v>소계</v>
          </cell>
          <cell r="D206">
            <v>35138</v>
          </cell>
          <cell r="I206">
            <v>0</v>
          </cell>
        </row>
        <row r="207">
          <cell r="A207" t="str">
            <v>D00333</v>
          </cell>
          <cell r="B207">
            <v>9</v>
          </cell>
          <cell r="C207" t="str">
            <v>e</v>
          </cell>
          <cell r="D207">
            <v>35185</v>
          </cell>
          <cell r="E207" t="str">
            <v>강관동바리</v>
          </cell>
          <cell r="F207" t="str">
            <v>(암거용)</v>
          </cell>
          <cell r="G207" t="str">
            <v>공㎥</v>
          </cell>
          <cell r="I207">
            <v>0</v>
          </cell>
        </row>
        <row r="208">
          <cell r="A208" t="str">
            <v>E2</v>
          </cell>
          <cell r="B208">
            <v>0</v>
          </cell>
          <cell r="C208" t="str">
            <v>계</v>
          </cell>
          <cell r="D208">
            <v>35232</v>
          </cell>
          <cell r="I208">
            <v>0</v>
          </cell>
        </row>
        <row r="209">
          <cell r="A209" t="str">
            <v>D01307</v>
          </cell>
          <cell r="B209">
            <v>2</v>
          </cell>
          <cell r="C209" t="str">
            <v>2.16</v>
          </cell>
          <cell r="D209">
            <v>35250</v>
          </cell>
          <cell r="E209" t="str">
            <v>원심력수로관</v>
          </cell>
          <cell r="F209" t="str">
            <v>(Φ 250)</v>
          </cell>
          <cell r="G209" t="str">
            <v>EA</v>
          </cell>
          <cell r="I209">
            <v>0</v>
          </cell>
        </row>
        <row r="210">
          <cell r="A210" t="str">
            <v>E3</v>
          </cell>
          <cell r="B210">
            <v>0</v>
          </cell>
          <cell r="C210" t="str">
            <v>합계</v>
          </cell>
          <cell r="D210">
            <v>35267</v>
          </cell>
          <cell r="I210">
            <v>0</v>
          </cell>
        </row>
        <row r="211">
          <cell r="A211" t="str">
            <v>T3</v>
          </cell>
          <cell r="B211">
            <v>248</v>
          </cell>
          <cell r="C211" t="str">
            <v>2.D</v>
          </cell>
          <cell r="D211">
            <v>35302</v>
          </cell>
          <cell r="E211" t="str">
            <v>암    거    공</v>
          </cell>
          <cell r="I211">
            <v>0</v>
          </cell>
        </row>
        <row r="212">
          <cell r="A212" t="str">
            <v>T2</v>
          </cell>
          <cell r="B212">
            <v>247</v>
          </cell>
          <cell r="C212" t="str">
            <v>2.17</v>
          </cell>
          <cell r="D212">
            <v>35372</v>
          </cell>
          <cell r="E212" t="str">
            <v>암  거  공</v>
          </cell>
          <cell r="I212">
            <v>0</v>
          </cell>
        </row>
        <row r="213">
          <cell r="A213" t="str">
            <v>D00170</v>
          </cell>
          <cell r="B213">
            <v>6200</v>
          </cell>
          <cell r="C213" t="str">
            <v>a</v>
          </cell>
          <cell r="D213">
            <v>35500</v>
          </cell>
          <cell r="E213" t="str">
            <v>뒷채움잡석</v>
          </cell>
          <cell r="F213" t="str">
            <v>(현장암유용)</v>
          </cell>
          <cell r="G213" t="str">
            <v>㎥</v>
          </cell>
          <cell r="I213">
            <v>0</v>
          </cell>
        </row>
        <row r="214">
          <cell r="A214" t="str">
            <v>T1</v>
          </cell>
          <cell r="B214">
            <v>218</v>
          </cell>
          <cell r="C214" t="str">
            <v>b</v>
          </cell>
          <cell r="D214">
            <v>35636</v>
          </cell>
          <cell r="E214" t="str">
            <v>합판거푸집</v>
          </cell>
          <cell r="I214">
            <v>0</v>
          </cell>
        </row>
        <row r="215">
          <cell r="A215" t="str">
            <v>D00276</v>
          </cell>
          <cell r="B215">
            <v>11669</v>
          </cell>
          <cell r="C215" t="str">
            <v>-1</v>
          </cell>
          <cell r="D215">
            <v>35687</v>
          </cell>
          <cell r="E215" t="str">
            <v>합판거푸집</v>
          </cell>
          <cell r="F215" t="str">
            <v>(3 회)</v>
          </cell>
          <cell r="G215" t="str">
            <v>㎡</v>
          </cell>
          <cell r="I215">
            <v>0</v>
          </cell>
        </row>
        <row r="216">
          <cell r="A216" t="str">
            <v>D00280</v>
          </cell>
          <cell r="B216">
            <v>718</v>
          </cell>
          <cell r="C216" t="str">
            <v>-2</v>
          </cell>
          <cell r="D216">
            <v>35815</v>
          </cell>
          <cell r="E216" t="str">
            <v>합판거푸집</v>
          </cell>
          <cell r="F216" t="str">
            <v>(4 회)</v>
          </cell>
          <cell r="G216" t="str">
            <v>㎡</v>
          </cell>
          <cell r="I216">
            <v>0</v>
          </cell>
        </row>
        <row r="217">
          <cell r="A217" t="str">
            <v>D00282</v>
          </cell>
          <cell r="B217">
            <v>249</v>
          </cell>
          <cell r="C217" t="str">
            <v>-3</v>
          </cell>
          <cell r="D217">
            <v>35871</v>
          </cell>
          <cell r="E217" t="str">
            <v>합판거푸집</v>
          </cell>
          <cell r="F217" t="str">
            <v>(6 회)</v>
          </cell>
          <cell r="G217" t="str">
            <v>㎡</v>
          </cell>
          <cell r="I217">
            <v>0</v>
          </cell>
        </row>
        <row r="218">
          <cell r="A218" t="str">
            <v>D00265</v>
          </cell>
          <cell r="B218">
            <v>3784</v>
          </cell>
          <cell r="C218" t="str">
            <v>-4</v>
          </cell>
          <cell r="D218">
            <v>35927</v>
          </cell>
          <cell r="E218" t="str">
            <v>문양거푸집(합판4회+</v>
          </cell>
          <cell r="F218" t="str">
            <v>문양스치로폴(0∼7M)</v>
          </cell>
          <cell r="G218" t="str">
            <v>㎡</v>
          </cell>
          <cell r="I218">
            <v>0</v>
          </cell>
        </row>
        <row r="219">
          <cell r="A219" t="str">
            <v>E1</v>
          </cell>
          <cell r="B219">
            <v>0</v>
          </cell>
          <cell r="C219" t="str">
            <v>소계</v>
          </cell>
          <cell r="D219">
            <v>36082</v>
          </cell>
          <cell r="I219">
            <v>0</v>
          </cell>
        </row>
        <row r="220">
          <cell r="A220" t="str">
            <v>T1</v>
          </cell>
          <cell r="B220">
            <v>223</v>
          </cell>
          <cell r="C220" t="str">
            <v>c</v>
          </cell>
          <cell r="D220">
            <v>36194</v>
          </cell>
          <cell r="E220" t="str">
            <v>콘크리트타설</v>
          </cell>
          <cell r="I220">
            <v>0</v>
          </cell>
        </row>
        <row r="221">
          <cell r="A221" t="str">
            <v>D00237</v>
          </cell>
          <cell r="B221">
            <v>6816</v>
          </cell>
          <cell r="C221" t="str">
            <v>-1</v>
          </cell>
          <cell r="D221">
            <v>36306</v>
          </cell>
          <cell r="E221" t="str">
            <v>콘크리트타설</v>
          </cell>
          <cell r="F221" t="str">
            <v>(철근 펌프카)</v>
          </cell>
          <cell r="G221" t="str">
            <v>㎥</v>
          </cell>
          <cell r="I221">
            <v>0</v>
          </cell>
        </row>
        <row r="222">
          <cell r="A222" t="str">
            <v>D00235</v>
          </cell>
          <cell r="B222">
            <v>231</v>
          </cell>
          <cell r="C222" t="str">
            <v>-2</v>
          </cell>
          <cell r="D222">
            <v>36322</v>
          </cell>
          <cell r="E222" t="str">
            <v>콘크리트타설</v>
          </cell>
          <cell r="F222" t="str">
            <v>(철근 VIB 포함)</v>
          </cell>
          <cell r="G222" t="str">
            <v>㎥</v>
          </cell>
          <cell r="I222">
            <v>0</v>
          </cell>
        </row>
        <row r="223">
          <cell r="A223" t="str">
            <v>D00231</v>
          </cell>
          <cell r="B223">
            <v>578</v>
          </cell>
          <cell r="C223" t="str">
            <v>-3</v>
          </cell>
          <cell r="D223">
            <v>36338</v>
          </cell>
          <cell r="E223" t="str">
            <v>콘크리트타설</v>
          </cell>
          <cell r="F223" t="str">
            <v>(무근 VIB 제외)</v>
          </cell>
          <cell r="G223" t="str">
            <v>㎥</v>
          </cell>
          <cell r="I223">
            <v>0</v>
          </cell>
        </row>
        <row r="224">
          <cell r="A224" t="str">
            <v>E1</v>
          </cell>
          <cell r="B224">
            <v>0</v>
          </cell>
          <cell r="C224" t="str">
            <v>소계</v>
          </cell>
          <cell r="D224">
            <v>36729</v>
          </cell>
          <cell r="I224">
            <v>0</v>
          </cell>
        </row>
        <row r="225">
          <cell r="A225" t="str">
            <v>T1</v>
          </cell>
          <cell r="B225">
            <v>227</v>
          </cell>
          <cell r="C225" t="str">
            <v>d</v>
          </cell>
          <cell r="D225">
            <v>37304</v>
          </cell>
          <cell r="E225" t="str">
            <v>철근가공조립</v>
          </cell>
          <cell r="I225">
            <v>0</v>
          </cell>
        </row>
        <row r="226">
          <cell r="A226" t="str">
            <v>D00271</v>
          </cell>
          <cell r="B226">
            <v>109.827</v>
          </cell>
          <cell r="C226" t="str">
            <v>-1</v>
          </cell>
          <cell r="D226">
            <v>37381</v>
          </cell>
          <cell r="E226" t="str">
            <v>철근가공조립</v>
          </cell>
          <cell r="F226" t="str">
            <v>(보 통)</v>
          </cell>
          <cell r="G226" t="str">
            <v>Ton</v>
          </cell>
          <cell r="I226">
            <v>0</v>
          </cell>
        </row>
        <row r="227">
          <cell r="A227" t="str">
            <v>D00272</v>
          </cell>
          <cell r="B227">
            <v>1017.096</v>
          </cell>
          <cell r="C227" t="str">
            <v>-2</v>
          </cell>
          <cell r="D227">
            <v>37472</v>
          </cell>
          <cell r="E227" t="str">
            <v>철근가공조립</v>
          </cell>
          <cell r="F227" t="str">
            <v>(복 잡)</v>
          </cell>
          <cell r="G227" t="str">
            <v>Ton</v>
          </cell>
          <cell r="I227">
            <v>0</v>
          </cell>
        </row>
        <row r="228">
          <cell r="A228" t="str">
            <v>E1</v>
          </cell>
          <cell r="B228">
            <v>0</v>
          </cell>
          <cell r="C228" t="str">
            <v>소계</v>
          </cell>
          <cell r="D228">
            <v>37536</v>
          </cell>
          <cell r="I228">
            <v>0</v>
          </cell>
        </row>
        <row r="229">
          <cell r="A229" t="str">
            <v>D00323</v>
          </cell>
          <cell r="B229">
            <v>5648</v>
          </cell>
          <cell r="C229" t="str">
            <v>e</v>
          </cell>
          <cell r="D229">
            <v>37664</v>
          </cell>
          <cell r="E229" t="str">
            <v>강관비계</v>
          </cell>
          <cell r="F229" t="str">
            <v>(0∼30 M)</v>
          </cell>
          <cell r="G229" t="str">
            <v>㎡</v>
          </cell>
          <cell r="I229">
            <v>0</v>
          </cell>
        </row>
        <row r="230">
          <cell r="A230" t="str">
            <v>D00333</v>
          </cell>
          <cell r="B230">
            <v>8212</v>
          </cell>
          <cell r="C230" t="str">
            <v>f</v>
          </cell>
          <cell r="D230">
            <v>37712</v>
          </cell>
          <cell r="E230" t="str">
            <v>강관동바리</v>
          </cell>
          <cell r="F230" t="str">
            <v>(암거용)</v>
          </cell>
          <cell r="G230" t="str">
            <v>공㎥</v>
          </cell>
          <cell r="I230">
            <v>0</v>
          </cell>
        </row>
        <row r="231">
          <cell r="A231" t="str">
            <v>D00514</v>
          </cell>
          <cell r="B231">
            <v>975</v>
          </cell>
          <cell r="C231" t="str">
            <v>g</v>
          </cell>
          <cell r="D231">
            <v>37716</v>
          </cell>
          <cell r="E231" t="str">
            <v>수평보강재(암거용)</v>
          </cell>
          <cell r="F231" t="str">
            <v>강관동바리</v>
          </cell>
          <cell r="G231" t="str">
            <v>㎡</v>
          </cell>
          <cell r="I231">
            <v>0</v>
          </cell>
        </row>
        <row r="232">
          <cell r="A232" t="str">
            <v>D00563</v>
          </cell>
          <cell r="B232">
            <v>3708</v>
          </cell>
          <cell r="C232" t="str">
            <v>h</v>
          </cell>
          <cell r="D232">
            <v>37726</v>
          </cell>
          <cell r="E232" t="str">
            <v>아스팔트 방수</v>
          </cell>
          <cell r="F232" t="str">
            <v>(2 회)</v>
          </cell>
          <cell r="G232" t="str">
            <v>㎡</v>
          </cell>
          <cell r="I232">
            <v>0</v>
          </cell>
        </row>
        <row r="233">
          <cell r="A233" t="str">
            <v>D00340</v>
          </cell>
          <cell r="B233">
            <v>405</v>
          </cell>
          <cell r="C233" t="str">
            <v>i</v>
          </cell>
          <cell r="D233">
            <v>37727</v>
          </cell>
          <cell r="E233" t="str">
            <v>PVC PIPE 설치</v>
          </cell>
          <cell r="F233" t="str">
            <v>(D= 50 m/m)</v>
          </cell>
          <cell r="G233" t="str">
            <v>M</v>
          </cell>
          <cell r="I233">
            <v>0</v>
          </cell>
        </row>
        <row r="234">
          <cell r="A234" t="str">
            <v>D00339</v>
          </cell>
          <cell r="B234">
            <v>413</v>
          </cell>
          <cell r="C234" t="str">
            <v>j</v>
          </cell>
          <cell r="D234">
            <v>37728</v>
          </cell>
          <cell r="E234" t="str">
            <v>지수판설치</v>
          </cell>
          <cell r="F234" t="str">
            <v>(200x5 m/m)</v>
          </cell>
          <cell r="G234" t="str">
            <v>M</v>
          </cell>
          <cell r="I234">
            <v>0</v>
          </cell>
        </row>
        <row r="235">
          <cell r="A235" t="str">
            <v>D00532</v>
          </cell>
          <cell r="B235">
            <v>285</v>
          </cell>
          <cell r="C235" t="str">
            <v>k</v>
          </cell>
          <cell r="D235">
            <v>37792</v>
          </cell>
          <cell r="E235" t="str">
            <v>스치로폴설치</v>
          </cell>
          <cell r="F235" t="str">
            <v>(T=20 m/m)</v>
          </cell>
          <cell r="G235" t="str">
            <v>㎡</v>
          </cell>
          <cell r="I235">
            <v>0</v>
          </cell>
        </row>
        <row r="236">
          <cell r="A236" t="str">
            <v>D00846</v>
          </cell>
          <cell r="B236">
            <v>549</v>
          </cell>
          <cell r="C236" t="str">
            <v>l</v>
          </cell>
          <cell r="D236">
            <v>37920</v>
          </cell>
          <cell r="E236" t="str">
            <v>폴리우레탄실란트채움</v>
          </cell>
          <cell r="F236" t="str">
            <v>(25x20)</v>
          </cell>
          <cell r="G236" t="str">
            <v>M</v>
          </cell>
          <cell r="I236">
            <v>0</v>
          </cell>
        </row>
        <row r="237">
          <cell r="A237" t="str">
            <v>D00588</v>
          </cell>
          <cell r="B237">
            <v>18925</v>
          </cell>
          <cell r="C237" t="str">
            <v>m</v>
          </cell>
          <cell r="D237">
            <v>39328</v>
          </cell>
          <cell r="E237" t="str">
            <v>스페이서 설치</v>
          </cell>
          <cell r="F237" t="str">
            <v>(슬라브및기초용)</v>
          </cell>
          <cell r="G237" t="str">
            <v>㎡</v>
          </cell>
          <cell r="I237">
            <v>0</v>
          </cell>
        </row>
        <row r="238">
          <cell r="A238" t="str">
            <v>D00419</v>
          </cell>
          <cell r="B238">
            <v>226</v>
          </cell>
          <cell r="C238" t="str">
            <v>n</v>
          </cell>
          <cell r="D238">
            <v>39456</v>
          </cell>
          <cell r="E238" t="str">
            <v>부직포설치</v>
          </cell>
          <cell r="F238" t="str">
            <v>(2.0 T/M)</v>
          </cell>
          <cell r="G238" t="str">
            <v>㎡</v>
          </cell>
          <cell r="I238">
            <v>0</v>
          </cell>
        </row>
        <row r="239">
          <cell r="A239" t="str">
            <v>D00566</v>
          </cell>
          <cell r="B239">
            <v>194</v>
          </cell>
          <cell r="C239" t="str">
            <v>o</v>
          </cell>
          <cell r="D239">
            <v>39472</v>
          </cell>
          <cell r="E239" t="str">
            <v>타르페이퍼 설치</v>
          </cell>
          <cell r="F239" t="str">
            <v>(5 겹)</v>
          </cell>
          <cell r="G239" t="str">
            <v>㎡</v>
          </cell>
          <cell r="I239">
            <v>0</v>
          </cell>
        </row>
        <row r="240">
          <cell r="A240" t="str">
            <v>D00540</v>
          </cell>
          <cell r="B240">
            <v>290</v>
          </cell>
          <cell r="C240" t="str">
            <v>p</v>
          </cell>
          <cell r="D240">
            <v>39480</v>
          </cell>
          <cell r="E240" t="str">
            <v>경질고무판</v>
          </cell>
          <cell r="F240" t="str">
            <v>(150x150)</v>
          </cell>
          <cell r="G240" t="str">
            <v>EA</v>
          </cell>
          <cell r="I240">
            <v>0</v>
          </cell>
        </row>
        <row r="241">
          <cell r="A241" t="str">
            <v>D01067</v>
          </cell>
          <cell r="B241">
            <v>290</v>
          </cell>
          <cell r="C241" t="str">
            <v>q</v>
          </cell>
          <cell r="D241">
            <v>39484</v>
          </cell>
          <cell r="E241" t="str">
            <v>다웰바 설치</v>
          </cell>
          <cell r="F241" t="str">
            <v>(D=25 m/m, L=500)</v>
          </cell>
          <cell r="G241" t="str">
            <v>EA</v>
          </cell>
          <cell r="I241">
            <v>0</v>
          </cell>
        </row>
        <row r="242">
          <cell r="A242" t="str">
            <v>D01190</v>
          </cell>
          <cell r="B242">
            <v>87</v>
          </cell>
          <cell r="C242" t="str">
            <v>r</v>
          </cell>
          <cell r="D242">
            <v>41169</v>
          </cell>
          <cell r="E242" t="str">
            <v>다웰-켑 설치</v>
          </cell>
          <cell r="F242" t="str">
            <v>(Φ60 m/m)</v>
          </cell>
          <cell r="G242" t="str">
            <v>M</v>
          </cell>
          <cell r="I242">
            <v>0</v>
          </cell>
        </row>
        <row r="243">
          <cell r="A243" t="str">
            <v>T1</v>
          </cell>
          <cell r="B243">
            <v>246</v>
          </cell>
          <cell r="C243" t="str">
            <v>s</v>
          </cell>
          <cell r="D243">
            <v>42433</v>
          </cell>
          <cell r="E243" t="str">
            <v>신축이음</v>
          </cell>
          <cell r="I243">
            <v>0</v>
          </cell>
        </row>
        <row r="244">
          <cell r="A244" t="str">
            <v>D00565</v>
          </cell>
          <cell r="B244">
            <v>1158</v>
          </cell>
          <cell r="C244" t="str">
            <v>-1</v>
          </cell>
          <cell r="D244">
            <v>42644</v>
          </cell>
          <cell r="E244" t="str">
            <v>다웰바 설치</v>
          </cell>
          <cell r="F244" t="str">
            <v>(D=25 m/m, L=1000)</v>
          </cell>
          <cell r="G244" t="str">
            <v>EA</v>
          </cell>
          <cell r="I244">
            <v>0</v>
          </cell>
        </row>
        <row r="245">
          <cell r="A245" t="str">
            <v>D01189</v>
          </cell>
          <cell r="B245">
            <v>579</v>
          </cell>
          <cell r="C245" t="str">
            <v>-2</v>
          </cell>
          <cell r="D245">
            <v>42749</v>
          </cell>
          <cell r="E245" t="str">
            <v>다웰-캡 설치</v>
          </cell>
          <cell r="F245" t="str">
            <v>(Φ30 m/m)</v>
          </cell>
          <cell r="G245" t="str">
            <v>M</v>
          </cell>
          <cell r="I245">
            <v>0</v>
          </cell>
        </row>
        <row r="246">
          <cell r="A246" t="str">
            <v>D00817</v>
          </cell>
          <cell r="B246">
            <v>0.63600000000000001</v>
          </cell>
          <cell r="C246" t="str">
            <v>-3</v>
          </cell>
          <cell r="D246">
            <v>42802</v>
          </cell>
          <cell r="E246" t="str">
            <v>아스팔트 채움</v>
          </cell>
          <cell r="F246" t="str">
            <v>(브론아스팔트)</v>
          </cell>
          <cell r="G246" t="str">
            <v>㎥</v>
          </cell>
          <cell r="I246">
            <v>0</v>
          </cell>
        </row>
        <row r="247">
          <cell r="A247" t="str">
            <v>E1</v>
          </cell>
          <cell r="B247">
            <v>0</v>
          </cell>
          <cell r="C247" t="str">
            <v>소계</v>
          </cell>
          <cell r="D247">
            <v>42854</v>
          </cell>
          <cell r="I247">
            <v>0</v>
          </cell>
        </row>
        <row r="248">
          <cell r="A248" t="str">
            <v>E2</v>
          </cell>
          <cell r="B248">
            <v>0</v>
          </cell>
          <cell r="C248" t="str">
            <v>계</v>
          </cell>
          <cell r="D248">
            <v>43554</v>
          </cell>
          <cell r="I248">
            <v>0</v>
          </cell>
        </row>
        <row r="249">
          <cell r="A249" t="str">
            <v>E3</v>
          </cell>
          <cell r="B249">
            <v>0</v>
          </cell>
          <cell r="C249" t="str">
            <v>합계</v>
          </cell>
          <cell r="D249">
            <v>44253</v>
          </cell>
          <cell r="I249">
            <v>0</v>
          </cell>
        </row>
        <row r="250">
          <cell r="A250" t="str">
            <v>T3</v>
          </cell>
          <cell r="B250">
            <v>336</v>
          </cell>
          <cell r="C250" t="str">
            <v>2.E</v>
          </cell>
          <cell r="D250">
            <v>44953</v>
          </cell>
          <cell r="E250" t="str">
            <v>기    타    공</v>
          </cell>
          <cell r="I250">
            <v>0</v>
          </cell>
        </row>
        <row r="251">
          <cell r="A251" t="str">
            <v>T2</v>
          </cell>
          <cell r="B251">
            <v>257</v>
          </cell>
          <cell r="C251" t="str">
            <v>2.18</v>
          </cell>
          <cell r="D251">
            <v>45303</v>
          </cell>
          <cell r="E251" t="str">
            <v>도수로공</v>
          </cell>
          <cell r="I251">
            <v>0</v>
          </cell>
        </row>
        <row r="252">
          <cell r="A252" t="str">
            <v>T1</v>
          </cell>
          <cell r="B252">
            <v>254</v>
          </cell>
          <cell r="C252" t="str">
            <v>a</v>
          </cell>
          <cell r="D252">
            <v>45431</v>
          </cell>
          <cell r="E252" t="str">
            <v>콘크리트타설</v>
          </cell>
          <cell r="I252">
            <v>0</v>
          </cell>
        </row>
        <row r="253">
          <cell r="A253" t="str">
            <v>D00235</v>
          </cell>
          <cell r="B253">
            <v>664</v>
          </cell>
          <cell r="C253" t="str">
            <v>-1</v>
          </cell>
          <cell r="D253">
            <v>45675</v>
          </cell>
          <cell r="E253" t="str">
            <v>콘크리트타설</v>
          </cell>
          <cell r="F253" t="str">
            <v>(철근 VIB 포함)</v>
          </cell>
          <cell r="G253" t="str">
            <v>㎥</v>
          </cell>
          <cell r="I253">
            <v>0</v>
          </cell>
        </row>
        <row r="254">
          <cell r="A254" t="str">
            <v>D00231</v>
          </cell>
          <cell r="B254">
            <v>143</v>
          </cell>
          <cell r="C254" t="str">
            <v>-2</v>
          </cell>
          <cell r="D254">
            <v>45798</v>
          </cell>
          <cell r="E254" t="str">
            <v>콘크리트타설</v>
          </cell>
          <cell r="F254" t="str">
            <v>(무근 VIB 제외)</v>
          </cell>
          <cell r="G254" t="str">
            <v>㎥</v>
          </cell>
          <cell r="I254">
            <v>0</v>
          </cell>
        </row>
        <row r="255">
          <cell r="A255" t="str">
            <v>E1</v>
          </cell>
          <cell r="B255">
            <v>0</v>
          </cell>
          <cell r="C255" t="str">
            <v>소계</v>
          </cell>
          <cell r="D255">
            <v>45852</v>
          </cell>
          <cell r="I255">
            <v>0</v>
          </cell>
        </row>
        <row r="256">
          <cell r="A256" t="str">
            <v>D00280</v>
          </cell>
          <cell r="B256">
            <v>5837</v>
          </cell>
          <cell r="C256" t="str">
            <v>b</v>
          </cell>
          <cell r="D256">
            <v>45905</v>
          </cell>
          <cell r="E256" t="str">
            <v>합판거푸집</v>
          </cell>
          <cell r="F256" t="str">
            <v>(4 회)</v>
          </cell>
          <cell r="G256" t="str">
            <v>㎡</v>
          </cell>
          <cell r="I256">
            <v>0</v>
          </cell>
        </row>
        <row r="257">
          <cell r="A257" t="str">
            <v>D00270</v>
          </cell>
          <cell r="B257">
            <v>33.005000000000003</v>
          </cell>
          <cell r="C257" t="str">
            <v>c</v>
          </cell>
          <cell r="D257">
            <v>46042</v>
          </cell>
          <cell r="E257" t="str">
            <v>철근가공조립</v>
          </cell>
          <cell r="F257" t="str">
            <v>(간 단)</v>
          </cell>
          <cell r="G257" t="str">
            <v>Ton</v>
          </cell>
          <cell r="I257">
            <v>0</v>
          </cell>
        </row>
        <row r="258">
          <cell r="A258" t="str">
            <v>E2</v>
          </cell>
          <cell r="B258">
            <v>0</v>
          </cell>
          <cell r="C258" t="str">
            <v>계</v>
          </cell>
          <cell r="D258">
            <v>46268</v>
          </cell>
          <cell r="I258">
            <v>0</v>
          </cell>
        </row>
        <row r="259">
          <cell r="A259" t="str">
            <v>T2</v>
          </cell>
          <cell r="B259">
            <v>281</v>
          </cell>
          <cell r="C259" t="str">
            <v>2.19</v>
          </cell>
          <cell r="D259">
            <v>46617</v>
          </cell>
          <cell r="E259" t="str">
            <v>역 T형 옹벽</v>
          </cell>
          <cell r="I259">
            <v>0</v>
          </cell>
        </row>
        <row r="260">
          <cell r="A260" t="str">
            <v>T1</v>
          </cell>
          <cell r="B260">
            <v>262</v>
          </cell>
          <cell r="C260" t="str">
            <v>a</v>
          </cell>
          <cell r="D260">
            <v>46862</v>
          </cell>
          <cell r="E260" t="str">
            <v>콘크리트타설</v>
          </cell>
          <cell r="I260">
            <v>0</v>
          </cell>
        </row>
        <row r="261">
          <cell r="A261" t="str">
            <v>D00237</v>
          </cell>
          <cell r="B261">
            <v>205</v>
          </cell>
          <cell r="C261" t="str">
            <v>-1</v>
          </cell>
          <cell r="D261">
            <v>47106</v>
          </cell>
          <cell r="E261" t="str">
            <v>콘크리트타설</v>
          </cell>
          <cell r="F261" t="str">
            <v>(철근 펌프카)</v>
          </cell>
          <cell r="G261" t="str">
            <v>㎥</v>
          </cell>
          <cell r="I261">
            <v>0</v>
          </cell>
        </row>
        <row r="262">
          <cell r="A262" t="str">
            <v>D00231</v>
          </cell>
          <cell r="B262">
            <v>18</v>
          </cell>
          <cell r="C262" t="str">
            <v>-2</v>
          </cell>
          <cell r="D262">
            <v>47229</v>
          </cell>
          <cell r="E262" t="str">
            <v>콘크리트타설</v>
          </cell>
          <cell r="F262" t="str">
            <v>(무근 VIB 제외)</v>
          </cell>
          <cell r="G262" t="str">
            <v>㎥</v>
          </cell>
          <cell r="I262">
            <v>0</v>
          </cell>
        </row>
        <row r="263">
          <cell r="A263" t="str">
            <v>E1</v>
          </cell>
          <cell r="B263">
            <v>0</v>
          </cell>
          <cell r="C263" t="str">
            <v>소계</v>
          </cell>
          <cell r="D263">
            <v>47283</v>
          </cell>
          <cell r="I263">
            <v>0</v>
          </cell>
        </row>
        <row r="264">
          <cell r="A264" t="str">
            <v>T1</v>
          </cell>
          <cell r="B264">
            <v>268</v>
          </cell>
          <cell r="C264" t="str">
            <v>b</v>
          </cell>
          <cell r="D264">
            <v>47336</v>
          </cell>
          <cell r="E264" t="str">
            <v>거 푸 집</v>
          </cell>
          <cell r="I264">
            <v>0</v>
          </cell>
        </row>
        <row r="265">
          <cell r="A265" t="str">
            <v>D00276</v>
          </cell>
          <cell r="B265">
            <v>192</v>
          </cell>
          <cell r="C265" t="str">
            <v>-1</v>
          </cell>
          <cell r="D265">
            <v>47405</v>
          </cell>
          <cell r="E265" t="str">
            <v>합판거푸집</v>
          </cell>
          <cell r="F265" t="str">
            <v>(3 회)</v>
          </cell>
          <cell r="G265" t="str">
            <v>㎡</v>
          </cell>
          <cell r="I265">
            <v>0</v>
          </cell>
        </row>
        <row r="266">
          <cell r="A266" t="str">
            <v>D00280</v>
          </cell>
          <cell r="B266">
            <v>97</v>
          </cell>
          <cell r="C266" t="str">
            <v>-2</v>
          </cell>
          <cell r="D266">
            <v>47439</v>
          </cell>
          <cell r="E266" t="str">
            <v>합판거푸집</v>
          </cell>
          <cell r="F266" t="str">
            <v>(4 회)</v>
          </cell>
          <cell r="G266" t="str">
            <v>㎡</v>
          </cell>
          <cell r="I266">
            <v>0</v>
          </cell>
        </row>
        <row r="267">
          <cell r="A267" t="str">
            <v>D00282</v>
          </cell>
          <cell r="B267">
            <v>8</v>
          </cell>
          <cell r="C267" t="str">
            <v>-3</v>
          </cell>
          <cell r="D267">
            <v>47456</v>
          </cell>
          <cell r="E267" t="str">
            <v>합판거푸집</v>
          </cell>
          <cell r="F267" t="str">
            <v>(6 회)</v>
          </cell>
          <cell r="G267" t="str">
            <v>㎡</v>
          </cell>
          <cell r="I267">
            <v>0</v>
          </cell>
        </row>
        <row r="268">
          <cell r="A268" t="str">
            <v>D00265</v>
          </cell>
          <cell r="B268">
            <v>204</v>
          </cell>
          <cell r="C268" t="str">
            <v>-4</v>
          </cell>
          <cell r="D268">
            <v>47461</v>
          </cell>
          <cell r="E268" t="str">
            <v>문양거푸집(합판4회+</v>
          </cell>
          <cell r="F268" t="str">
            <v>문양스치로폴(0∼7M)</v>
          </cell>
          <cell r="G268" t="str">
            <v>㎡</v>
          </cell>
          <cell r="I268">
            <v>0</v>
          </cell>
        </row>
        <row r="269">
          <cell r="A269" t="str">
            <v>E1</v>
          </cell>
          <cell r="B269">
            <v>0</v>
          </cell>
          <cell r="C269" t="str">
            <v>소계</v>
          </cell>
          <cell r="D269">
            <v>47465</v>
          </cell>
          <cell r="I269">
            <v>0</v>
          </cell>
        </row>
        <row r="270">
          <cell r="A270" t="str">
            <v>D00323</v>
          </cell>
          <cell r="B270">
            <v>368</v>
          </cell>
          <cell r="C270" t="str">
            <v>c</v>
          </cell>
          <cell r="D270">
            <v>47601</v>
          </cell>
          <cell r="E270" t="str">
            <v>강관비계</v>
          </cell>
          <cell r="F270" t="str">
            <v>(0∼30 M)</v>
          </cell>
          <cell r="G270" t="str">
            <v>㎡</v>
          </cell>
          <cell r="I270">
            <v>0</v>
          </cell>
        </row>
        <row r="271">
          <cell r="A271" t="str">
            <v>D01191</v>
          </cell>
          <cell r="B271">
            <v>42</v>
          </cell>
          <cell r="C271" t="str">
            <v>d</v>
          </cell>
          <cell r="D271">
            <v>47714</v>
          </cell>
          <cell r="E271" t="str">
            <v>PVC PIPE 설치</v>
          </cell>
          <cell r="F271" t="str">
            <v>(Φ65 m/m)</v>
          </cell>
          <cell r="G271" t="str">
            <v>M</v>
          </cell>
          <cell r="I271">
            <v>0</v>
          </cell>
        </row>
        <row r="272">
          <cell r="A272" t="str">
            <v>D00170</v>
          </cell>
          <cell r="B272">
            <v>507</v>
          </cell>
          <cell r="C272" t="str">
            <v>e</v>
          </cell>
          <cell r="D272">
            <v>47771</v>
          </cell>
          <cell r="E272" t="str">
            <v>뒷채움잡석</v>
          </cell>
          <cell r="F272" t="str">
            <v>(현장암유용)</v>
          </cell>
          <cell r="G272" t="str">
            <v>㎥</v>
          </cell>
          <cell r="I272">
            <v>0</v>
          </cell>
        </row>
        <row r="273">
          <cell r="A273" t="str">
            <v>D00419</v>
          </cell>
          <cell r="B273">
            <v>204</v>
          </cell>
          <cell r="C273" t="str">
            <v>f</v>
          </cell>
          <cell r="D273">
            <v>47799</v>
          </cell>
          <cell r="E273" t="str">
            <v>부직포설치</v>
          </cell>
          <cell r="F273" t="str">
            <v>(2.0 T/M)</v>
          </cell>
          <cell r="G273" t="str">
            <v>㎡</v>
          </cell>
          <cell r="I273">
            <v>0</v>
          </cell>
        </row>
        <row r="274">
          <cell r="A274" t="str">
            <v>D00846</v>
          </cell>
          <cell r="B274">
            <v>18</v>
          </cell>
          <cell r="C274" t="str">
            <v>g</v>
          </cell>
          <cell r="D274">
            <v>47813</v>
          </cell>
          <cell r="E274" t="str">
            <v>폴리우레탄실란트채움</v>
          </cell>
          <cell r="F274" t="str">
            <v>(25x20)</v>
          </cell>
          <cell r="G274" t="str">
            <v>M</v>
          </cell>
          <cell r="I274">
            <v>0</v>
          </cell>
        </row>
        <row r="275">
          <cell r="A275" t="str">
            <v>D03817</v>
          </cell>
          <cell r="B275">
            <v>6</v>
          </cell>
          <cell r="C275" t="str">
            <v>h</v>
          </cell>
          <cell r="D275">
            <v>47820</v>
          </cell>
          <cell r="E275" t="str">
            <v>ELASTIC FILLER</v>
          </cell>
          <cell r="F275" t="str">
            <v>(T=20 m/m)</v>
          </cell>
          <cell r="G275" t="str">
            <v>㎡</v>
          </cell>
          <cell r="I275">
            <v>0</v>
          </cell>
        </row>
        <row r="276">
          <cell r="A276" t="str">
            <v>D00588</v>
          </cell>
          <cell r="B276">
            <v>584</v>
          </cell>
          <cell r="C276" t="str">
            <v>i</v>
          </cell>
          <cell r="D276">
            <v>48716</v>
          </cell>
          <cell r="E276" t="str">
            <v>스페이서 설치</v>
          </cell>
          <cell r="F276" t="str">
            <v>(슬라브및기초용)</v>
          </cell>
          <cell r="G276" t="str">
            <v>㎡</v>
          </cell>
          <cell r="I276">
            <v>0</v>
          </cell>
        </row>
        <row r="277">
          <cell r="A277" t="str">
            <v>D03800</v>
          </cell>
          <cell r="B277">
            <v>31</v>
          </cell>
          <cell r="C277" t="str">
            <v>j</v>
          </cell>
          <cell r="D277">
            <v>48816</v>
          </cell>
          <cell r="E277" t="str">
            <v>수축줄눈</v>
          </cell>
          <cell r="F277" t="str">
            <v>(면목 60x30)</v>
          </cell>
          <cell r="G277" t="str">
            <v>M</v>
          </cell>
          <cell r="I277">
            <v>0</v>
          </cell>
        </row>
        <row r="278">
          <cell r="A278" t="str">
            <v>D00271</v>
          </cell>
          <cell r="B278">
            <v>16.233000000000001</v>
          </cell>
          <cell r="C278" t="str">
            <v>k</v>
          </cell>
          <cell r="D278">
            <v>48937</v>
          </cell>
          <cell r="E278" t="str">
            <v>철근가공조립</v>
          </cell>
          <cell r="F278" t="str">
            <v>(보 통)</v>
          </cell>
          <cell r="G278" t="str">
            <v>Ton</v>
          </cell>
          <cell r="I278">
            <v>0</v>
          </cell>
        </row>
        <row r="279">
          <cell r="A279" t="str">
            <v>D00417</v>
          </cell>
          <cell r="B279">
            <v>22</v>
          </cell>
          <cell r="C279" t="str">
            <v>l</v>
          </cell>
          <cell r="D279">
            <v>48997</v>
          </cell>
          <cell r="E279" t="str">
            <v>다웰바 설치</v>
          </cell>
          <cell r="F279" t="str">
            <v>D32 m/m L=800 m/m</v>
          </cell>
          <cell r="G279" t="str">
            <v>EA</v>
          </cell>
          <cell r="I279">
            <v>0</v>
          </cell>
        </row>
        <row r="280">
          <cell r="A280" t="str">
            <v>D00415</v>
          </cell>
          <cell r="B280">
            <v>22</v>
          </cell>
          <cell r="C280" t="str">
            <v>m</v>
          </cell>
          <cell r="D280">
            <v>49027</v>
          </cell>
          <cell r="E280" t="str">
            <v>다웰바-켑설치</v>
          </cell>
          <cell r="F280" t="str">
            <v>(D=30 m/m, L=400)</v>
          </cell>
          <cell r="G280" t="str">
            <v>EA</v>
          </cell>
          <cell r="I280">
            <v>0</v>
          </cell>
        </row>
        <row r="281">
          <cell r="A281" t="str">
            <v>D00817</v>
          </cell>
          <cell r="B281">
            <v>8.0000000000000002E-3</v>
          </cell>
          <cell r="C281" t="str">
            <v>n</v>
          </cell>
          <cell r="D281">
            <v>49042</v>
          </cell>
          <cell r="E281" t="str">
            <v>아스팔트 채움</v>
          </cell>
          <cell r="F281" t="str">
            <v>(브론아스팔트)</v>
          </cell>
          <cell r="G281" t="str">
            <v>㎥</v>
          </cell>
          <cell r="I281">
            <v>0</v>
          </cell>
        </row>
        <row r="282">
          <cell r="A282" t="str">
            <v>E2</v>
          </cell>
          <cell r="B282">
            <v>0</v>
          </cell>
          <cell r="C282" t="str">
            <v>계</v>
          </cell>
          <cell r="D282">
            <v>49057</v>
          </cell>
          <cell r="I282">
            <v>0</v>
          </cell>
        </row>
        <row r="283">
          <cell r="A283" t="str">
            <v>T2</v>
          </cell>
          <cell r="B283">
            <v>295</v>
          </cell>
          <cell r="C283" t="str">
            <v>2.20</v>
          </cell>
          <cell r="D283">
            <v>49532</v>
          </cell>
          <cell r="E283" t="str">
            <v>보강벽옹벽</v>
          </cell>
          <cell r="I283">
            <v>0</v>
          </cell>
        </row>
        <row r="284">
          <cell r="A284" t="str">
            <v>T1</v>
          </cell>
          <cell r="B284">
            <v>286</v>
          </cell>
          <cell r="C284" t="str">
            <v>a</v>
          </cell>
          <cell r="D284">
            <v>49710</v>
          </cell>
          <cell r="E284" t="str">
            <v>잡석부설</v>
          </cell>
          <cell r="I284">
            <v>0</v>
          </cell>
        </row>
        <row r="285">
          <cell r="A285" t="str">
            <v>D00168</v>
          </cell>
          <cell r="B285">
            <v>64</v>
          </cell>
          <cell r="C285" t="str">
            <v>-1</v>
          </cell>
          <cell r="D285">
            <v>49888</v>
          </cell>
          <cell r="E285" t="str">
            <v>기초잡석깔기</v>
          </cell>
          <cell r="F285" t="str">
            <v>(현장암 유용)</v>
          </cell>
          <cell r="G285" t="str">
            <v>㎥</v>
          </cell>
          <cell r="I285">
            <v>0</v>
          </cell>
        </row>
        <row r="286">
          <cell r="A286" t="str">
            <v>D03890</v>
          </cell>
          <cell r="B286">
            <v>1137</v>
          </cell>
          <cell r="C286" t="str">
            <v>-2</v>
          </cell>
          <cell r="D286">
            <v>50066</v>
          </cell>
          <cell r="E286" t="str">
            <v>속채움잡석</v>
          </cell>
          <cell r="F286" t="str">
            <v>(부설및다짐)</v>
          </cell>
          <cell r="G286" t="str">
            <v>㎥</v>
          </cell>
          <cell r="I286">
            <v>0</v>
          </cell>
        </row>
        <row r="287">
          <cell r="A287" t="str">
            <v>E1</v>
          </cell>
          <cell r="B287">
            <v>0</v>
          </cell>
          <cell r="C287" t="str">
            <v>소계</v>
          </cell>
          <cell r="D287">
            <v>50541</v>
          </cell>
          <cell r="I287">
            <v>0</v>
          </cell>
        </row>
        <row r="288">
          <cell r="A288" t="str">
            <v>D03835</v>
          </cell>
          <cell r="B288">
            <v>3065</v>
          </cell>
          <cell r="C288" t="str">
            <v>b</v>
          </cell>
          <cell r="D288">
            <v>50571</v>
          </cell>
          <cell r="E288" t="str">
            <v>블  럭</v>
          </cell>
          <cell r="F288" t="str">
            <v>(일반형)</v>
          </cell>
          <cell r="G288" t="str">
            <v>㎡</v>
          </cell>
          <cell r="I288">
            <v>0</v>
          </cell>
        </row>
        <row r="289">
          <cell r="A289" t="str">
            <v>T1</v>
          </cell>
          <cell r="B289">
            <v>292</v>
          </cell>
          <cell r="C289" t="str">
            <v>c</v>
          </cell>
          <cell r="D289">
            <v>50600</v>
          </cell>
          <cell r="E289" t="str">
            <v>그리드</v>
          </cell>
          <cell r="I289">
            <v>0</v>
          </cell>
        </row>
        <row r="290">
          <cell r="A290" t="str">
            <v>W00065</v>
          </cell>
          <cell r="B290">
            <v>4056</v>
          </cell>
          <cell r="C290" t="str">
            <v>-1</v>
          </cell>
          <cell r="D290">
            <v>50630</v>
          </cell>
          <cell r="E290" t="str">
            <v>그리드</v>
          </cell>
          <cell r="F290" t="str">
            <v>TYPE-1(45KN/M)</v>
          </cell>
          <cell r="G290" t="str">
            <v>㎡</v>
          </cell>
          <cell r="I290">
            <v>0</v>
          </cell>
        </row>
        <row r="291">
          <cell r="A291" t="str">
            <v>W00066</v>
          </cell>
          <cell r="B291">
            <v>12168</v>
          </cell>
          <cell r="C291" t="str">
            <v>-2</v>
          </cell>
          <cell r="D291">
            <v>50634</v>
          </cell>
          <cell r="E291" t="str">
            <v>그리드</v>
          </cell>
          <cell r="F291" t="str">
            <v>TYPE-2(60KN/M)</v>
          </cell>
          <cell r="G291" t="str">
            <v>㎡</v>
          </cell>
          <cell r="I291">
            <v>0</v>
          </cell>
        </row>
        <row r="292">
          <cell r="A292" t="str">
            <v>W00067</v>
          </cell>
          <cell r="B292">
            <v>5368</v>
          </cell>
          <cell r="C292" t="str">
            <v>-3</v>
          </cell>
          <cell r="D292">
            <v>50636</v>
          </cell>
          <cell r="E292" t="str">
            <v>그리드</v>
          </cell>
          <cell r="F292" t="str">
            <v>TYPE-3(90KN/M)</v>
          </cell>
          <cell r="G292" t="str">
            <v>㎡</v>
          </cell>
          <cell r="I292">
            <v>0</v>
          </cell>
        </row>
        <row r="293">
          <cell r="A293" t="str">
            <v>E1</v>
          </cell>
          <cell r="B293">
            <v>0</v>
          </cell>
          <cell r="C293" t="str">
            <v>소계</v>
          </cell>
          <cell r="D293">
            <v>50645</v>
          </cell>
          <cell r="I293">
            <v>0</v>
          </cell>
        </row>
        <row r="294">
          <cell r="A294" t="str">
            <v>W00068</v>
          </cell>
          <cell r="B294">
            <v>3064</v>
          </cell>
          <cell r="C294" t="str">
            <v>d</v>
          </cell>
          <cell r="D294">
            <v>50652</v>
          </cell>
          <cell r="E294" t="str">
            <v>블럭운반</v>
          </cell>
          <cell r="F294" t="str">
            <v>일반형</v>
          </cell>
          <cell r="G294" t="str">
            <v>㎡</v>
          </cell>
          <cell r="I294">
            <v>0</v>
          </cell>
        </row>
        <row r="295">
          <cell r="A295" t="str">
            <v>D00419</v>
          </cell>
          <cell r="B295">
            <v>10245</v>
          </cell>
          <cell r="C295" t="str">
            <v>e</v>
          </cell>
          <cell r="D295">
            <v>50656</v>
          </cell>
          <cell r="E295" t="str">
            <v>부직포설치</v>
          </cell>
          <cell r="F295" t="str">
            <v>(2.0 T/M)</v>
          </cell>
          <cell r="G295" t="str">
            <v>㎡</v>
          </cell>
          <cell r="I295">
            <v>0</v>
          </cell>
        </row>
        <row r="296">
          <cell r="A296" t="str">
            <v>E2</v>
          </cell>
          <cell r="B296">
            <v>0</v>
          </cell>
          <cell r="C296" t="str">
            <v>계</v>
          </cell>
          <cell r="D296">
            <v>50974</v>
          </cell>
          <cell r="I296">
            <v>0</v>
          </cell>
        </row>
        <row r="297">
          <cell r="A297" t="str">
            <v>T2</v>
          </cell>
          <cell r="B297">
            <v>312</v>
          </cell>
          <cell r="C297" t="str">
            <v>2.21</v>
          </cell>
          <cell r="D297">
            <v>50979</v>
          </cell>
          <cell r="E297" t="str">
            <v>파라펫및연석</v>
          </cell>
          <cell r="I297">
            <v>0</v>
          </cell>
        </row>
        <row r="298">
          <cell r="A298" t="str">
            <v>T1</v>
          </cell>
          <cell r="B298">
            <v>301</v>
          </cell>
          <cell r="C298" t="str">
            <v>a</v>
          </cell>
          <cell r="D298">
            <v>51107</v>
          </cell>
          <cell r="E298" t="str">
            <v>콘크리트타설</v>
          </cell>
          <cell r="I298">
            <v>0</v>
          </cell>
        </row>
        <row r="299">
          <cell r="A299" t="str">
            <v>D00237</v>
          </cell>
          <cell r="B299">
            <v>1010</v>
          </cell>
          <cell r="C299" t="str">
            <v>-1</v>
          </cell>
          <cell r="D299">
            <v>51219</v>
          </cell>
          <cell r="E299" t="str">
            <v>콘크리트타설</v>
          </cell>
          <cell r="F299" t="str">
            <v>(철근 펌프카)</v>
          </cell>
          <cell r="G299" t="str">
            <v>㎥</v>
          </cell>
          <cell r="I299">
            <v>0</v>
          </cell>
        </row>
        <row r="300">
          <cell r="A300" t="str">
            <v>D00234</v>
          </cell>
          <cell r="B300">
            <v>235</v>
          </cell>
          <cell r="C300" t="str">
            <v>-2</v>
          </cell>
          <cell r="D300">
            <v>51235</v>
          </cell>
          <cell r="E300" t="str">
            <v>콘크리트타설</v>
          </cell>
          <cell r="F300" t="str">
            <v>(무근 VIB 포함)</v>
          </cell>
          <cell r="G300" t="str">
            <v>㎥</v>
          </cell>
          <cell r="I300">
            <v>0</v>
          </cell>
        </row>
        <row r="301">
          <cell r="A301" t="str">
            <v>D00231</v>
          </cell>
          <cell r="B301">
            <v>108</v>
          </cell>
          <cell r="C301" t="str">
            <v>-3</v>
          </cell>
          <cell r="D301">
            <v>51251</v>
          </cell>
          <cell r="E301" t="str">
            <v>콘크리트타설</v>
          </cell>
          <cell r="F301" t="str">
            <v>(무근 VIB 제외)</v>
          </cell>
          <cell r="G301" t="str">
            <v>㎥</v>
          </cell>
          <cell r="I301">
            <v>0</v>
          </cell>
        </row>
        <row r="302">
          <cell r="A302" t="str">
            <v>E1</v>
          </cell>
          <cell r="B302">
            <v>0</v>
          </cell>
          <cell r="C302" t="str">
            <v>소계</v>
          </cell>
          <cell r="D302">
            <v>51642</v>
          </cell>
          <cell r="I302">
            <v>0</v>
          </cell>
        </row>
        <row r="303">
          <cell r="A303" t="str">
            <v>T1</v>
          </cell>
          <cell r="B303">
            <v>305</v>
          </cell>
          <cell r="C303" t="str">
            <v>b</v>
          </cell>
          <cell r="D303">
            <v>51906</v>
          </cell>
          <cell r="E303" t="str">
            <v>거 푸 집</v>
          </cell>
          <cell r="I303">
            <v>0</v>
          </cell>
        </row>
        <row r="304">
          <cell r="A304" t="str">
            <v>D00265</v>
          </cell>
          <cell r="B304">
            <v>1267</v>
          </cell>
          <cell r="C304" t="str">
            <v>-1</v>
          </cell>
          <cell r="D304">
            <v>51957</v>
          </cell>
          <cell r="E304" t="str">
            <v>문양거푸집(합판4회+</v>
          </cell>
          <cell r="F304" t="str">
            <v>문양스치로폴(0∼7M)</v>
          </cell>
          <cell r="G304" t="str">
            <v>㎡</v>
          </cell>
          <cell r="I304">
            <v>0</v>
          </cell>
        </row>
        <row r="305">
          <cell r="A305" t="str">
            <v>D00280</v>
          </cell>
          <cell r="B305">
            <v>2699</v>
          </cell>
          <cell r="C305" t="str">
            <v>-2</v>
          </cell>
          <cell r="D305">
            <v>52085</v>
          </cell>
          <cell r="E305" t="str">
            <v>합판거푸집</v>
          </cell>
          <cell r="F305" t="str">
            <v>(4 회)</v>
          </cell>
          <cell r="G305" t="str">
            <v>㎡</v>
          </cell>
          <cell r="I305">
            <v>0</v>
          </cell>
        </row>
        <row r="306">
          <cell r="A306" t="str">
            <v>E1</v>
          </cell>
          <cell r="B306">
            <v>0</v>
          </cell>
          <cell r="C306" t="str">
            <v>소계</v>
          </cell>
          <cell r="D306">
            <v>52352</v>
          </cell>
          <cell r="I306">
            <v>0</v>
          </cell>
        </row>
        <row r="307">
          <cell r="A307" t="str">
            <v>D00853</v>
          </cell>
          <cell r="B307">
            <v>90</v>
          </cell>
          <cell r="C307" t="str">
            <v>c</v>
          </cell>
          <cell r="D307">
            <v>52464</v>
          </cell>
          <cell r="E307" t="str">
            <v>신축이음</v>
          </cell>
          <cell r="F307" t="str">
            <v>스치로폴(T=10 m/m)</v>
          </cell>
          <cell r="G307" t="str">
            <v>㎡</v>
          </cell>
          <cell r="I307">
            <v>0</v>
          </cell>
        </row>
        <row r="308">
          <cell r="A308" t="str">
            <v>D03800</v>
          </cell>
          <cell r="B308">
            <v>596</v>
          </cell>
          <cell r="C308" t="str">
            <v>d</v>
          </cell>
          <cell r="D308">
            <v>52576</v>
          </cell>
          <cell r="E308" t="str">
            <v>수축줄눈</v>
          </cell>
          <cell r="F308" t="str">
            <v>(면목 60x30)</v>
          </cell>
          <cell r="G308" t="str">
            <v>M</v>
          </cell>
          <cell r="I308">
            <v>0</v>
          </cell>
        </row>
        <row r="309">
          <cell r="A309" t="str">
            <v>D00323</v>
          </cell>
          <cell r="B309">
            <v>3875</v>
          </cell>
          <cell r="C309" t="str">
            <v>e</v>
          </cell>
          <cell r="D309">
            <v>52592</v>
          </cell>
          <cell r="E309" t="str">
            <v>강관비계</v>
          </cell>
          <cell r="F309" t="str">
            <v>(0∼30 M)</v>
          </cell>
          <cell r="G309" t="str">
            <v>㎡</v>
          </cell>
          <cell r="I309">
            <v>0</v>
          </cell>
        </row>
        <row r="310">
          <cell r="A310" t="str">
            <v>D00588</v>
          </cell>
          <cell r="B310">
            <v>4567</v>
          </cell>
          <cell r="C310" t="str">
            <v>f</v>
          </cell>
          <cell r="D310">
            <v>55598</v>
          </cell>
          <cell r="E310" t="str">
            <v>스페이서 설치</v>
          </cell>
          <cell r="F310" t="str">
            <v>(슬라브및기초용)</v>
          </cell>
          <cell r="G310" t="str">
            <v>㎡</v>
          </cell>
          <cell r="I310">
            <v>0</v>
          </cell>
        </row>
        <row r="311">
          <cell r="A311" t="str">
            <v>D00270</v>
          </cell>
          <cell r="B311">
            <v>88.667000000000002</v>
          </cell>
          <cell r="C311" t="str">
            <v>g</v>
          </cell>
          <cell r="D311">
            <v>55726</v>
          </cell>
          <cell r="E311" t="str">
            <v>철근가공조립</v>
          </cell>
          <cell r="F311" t="str">
            <v>(간 단)</v>
          </cell>
          <cell r="G311" t="str">
            <v>Ton</v>
          </cell>
          <cell r="I311">
            <v>0</v>
          </cell>
        </row>
        <row r="312">
          <cell r="A312" t="str">
            <v>D00353</v>
          </cell>
          <cell r="B312">
            <v>151</v>
          </cell>
          <cell r="C312" t="str">
            <v>h</v>
          </cell>
          <cell r="D312">
            <v>55742</v>
          </cell>
          <cell r="E312" t="str">
            <v>지수판설치</v>
          </cell>
          <cell r="F312" t="str">
            <v>(150x5 m/m)</v>
          </cell>
          <cell r="G312" t="str">
            <v>M</v>
          </cell>
          <cell r="I312">
            <v>0</v>
          </cell>
        </row>
        <row r="313">
          <cell r="A313" t="str">
            <v>E2</v>
          </cell>
          <cell r="B313">
            <v>0</v>
          </cell>
          <cell r="C313" t="str">
            <v>계</v>
          </cell>
          <cell r="D313">
            <v>59124</v>
          </cell>
          <cell r="I313">
            <v>0</v>
          </cell>
        </row>
        <row r="314">
          <cell r="A314" t="str">
            <v>D00592</v>
          </cell>
          <cell r="B314">
            <v>715</v>
          </cell>
          <cell r="C314" t="str">
            <v>2.22</v>
          </cell>
          <cell r="D314">
            <v>59127</v>
          </cell>
          <cell r="E314" t="str">
            <v>돌망태(타원형)</v>
          </cell>
          <cell r="F314" t="str">
            <v>Φ45 Cm</v>
          </cell>
          <cell r="G314" t="str">
            <v>㎡</v>
          </cell>
          <cell r="I314">
            <v>0</v>
          </cell>
        </row>
        <row r="315">
          <cell r="A315" t="str">
            <v>T2</v>
          </cell>
          <cell r="B315">
            <v>335</v>
          </cell>
          <cell r="C315" t="str">
            <v>2.23</v>
          </cell>
          <cell r="D315">
            <v>59128</v>
          </cell>
          <cell r="E315" t="str">
            <v>분 수 문</v>
          </cell>
          <cell r="I315">
            <v>0</v>
          </cell>
        </row>
        <row r="316">
          <cell r="A316" t="str">
            <v>T1</v>
          </cell>
          <cell r="B316">
            <v>320</v>
          </cell>
          <cell r="C316" t="str">
            <v>a</v>
          </cell>
          <cell r="D316">
            <v>59256</v>
          </cell>
          <cell r="E316" t="str">
            <v>콘크리트타설</v>
          </cell>
          <cell r="I316">
            <v>0</v>
          </cell>
        </row>
        <row r="317">
          <cell r="A317" t="str">
            <v>D00237</v>
          </cell>
          <cell r="B317">
            <v>8</v>
          </cell>
          <cell r="C317" t="str">
            <v>-1</v>
          </cell>
          <cell r="D317">
            <v>59368</v>
          </cell>
          <cell r="E317" t="str">
            <v>콘크리트타설</v>
          </cell>
          <cell r="F317" t="str">
            <v>(철근 펌프카)</v>
          </cell>
          <cell r="G317" t="str">
            <v>㎥</v>
          </cell>
          <cell r="I317">
            <v>0</v>
          </cell>
        </row>
        <row r="318">
          <cell r="A318" t="str">
            <v>D00238</v>
          </cell>
          <cell r="B318">
            <v>5</v>
          </cell>
          <cell r="C318" t="str">
            <v>-2</v>
          </cell>
          <cell r="D318">
            <v>59384</v>
          </cell>
          <cell r="E318" t="str">
            <v>콘크리트타설</v>
          </cell>
          <cell r="F318" t="str">
            <v>(무근 펌프카)</v>
          </cell>
          <cell r="G318" t="str">
            <v>㎥</v>
          </cell>
          <cell r="I318">
            <v>0</v>
          </cell>
        </row>
        <row r="319">
          <cell r="A319" t="str">
            <v>D00232</v>
          </cell>
          <cell r="B319">
            <v>7</v>
          </cell>
          <cell r="C319" t="str">
            <v>-3</v>
          </cell>
          <cell r="D319">
            <v>59400</v>
          </cell>
          <cell r="E319" t="str">
            <v>콘크리트타설</v>
          </cell>
          <cell r="F319" t="str">
            <v>(철근 VIB 제외)</v>
          </cell>
          <cell r="G319" t="str">
            <v>㎥</v>
          </cell>
          <cell r="I319">
            <v>0</v>
          </cell>
        </row>
        <row r="320">
          <cell r="A320" t="str">
            <v>D00231</v>
          </cell>
          <cell r="B320">
            <v>2</v>
          </cell>
          <cell r="C320" t="str">
            <v>-4</v>
          </cell>
          <cell r="D320">
            <v>59596</v>
          </cell>
          <cell r="E320" t="str">
            <v>콘크리트타설</v>
          </cell>
          <cell r="F320" t="str">
            <v>(무근 VIB 제외)</v>
          </cell>
          <cell r="G320" t="str">
            <v>㎥</v>
          </cell>
          <cell r="I320">
            <v>0</v>
          </cell>
        </row>
        <row r="321">
          <cell r="A321" t="str">
            <v>E1</v>
          </cell>
          <cell r="B321">
            <v>0</v>
          </cell>
          <cell r="C321" t="str">
            <v>소계</v>
          </cell>
          <cell r="D321">
            <v>59791</v>
          </cell>
          <cell r="I321">
            <v>0</v>
          </cell>
        </row>
        <row r="322">
          <cell r="A322" t="str">
            <v>T1</v>
          </cell>
          <cell r="B322">
            <v>325</v>
          </cell>
          <cell r="C322" t="str">
            <v>b</v>
          </cell>
          <cell r="D322">
            <v>59919</v>
          </cell>
          <cell r="E322" t="str">
            <v>거 푸 집</v>
          </cell>
          <cell r="I322">
            <v>0</v>
          </cell>
        </row>
        <row r="323">
          <cell r="A323" t="str">
            <v>D00276</v>
          </cell>
          <cell r="B323">
            <v>44</v>
          </cell>
          <cell r="C323" t="str">
            <v>-1</v>
          </cell>
          <cell r="D323">
            <v>59988</v>
          </cell>
          <cell r="E323" t="str">
            <v>합판거푸집</v>
          </cell>
          <cell r="F323" t="str">
            <v>(3 회)</v>
          </cell>
          <cell r="G323" t="str">
            <v>㎡</v>
          </cell>
          <cell r="I323">
            <v>0</v>
          </cell>
        </row>
        <row r="324">
          <cell r="A324" t="str">
            <v>D00280</v>
          </cell>
          <cell r="B324">
            <v>62</v>
          </cell>
          <cell r="C324" t="str">
            <v>-2</v>
          </cell>
          <cell r="D324">
            <v>60022</v>
          </cell>
          <cell r="E324" t="str">
            <v>합판거푸집</v>
          </cell>
          <cell r="F324" t="str">
            <v>(4 회)</v>
          </cell>
          <cell r="G324" t="str">
            <v>㎡</v>
          </cell>
          <cell r="I324">
            <v>0</v>
          </cell>
        </row>
        <row r="325">
          <cell r="A325" t="str">
            <v>D00282</v>
          </cell>
          <cell r="B325">
            <v>2</v>
          </cell>
          <cell r="C325" t="str">
            <v>-3</v>
          </cell>
          <cell r="D325">
            <v>60039</v>
          </cell>
          <cell r="E325" t="str">
            <v>합판거푸집</v>
          </cell>
          <cell r="F325" t="str">
            <v>(6 회)</v>
          </cell>
          <cell r="G325" t="str">
            <v>㎡</v>
          </cell>
          <cell r="I325">
            <v>0</v>
          </cell>
        </row>
        <row r="326">
          <cell r="A326" t="str">
            <v>E1</v>
          </cell>
          <cell r="B326">
            <v>0</v>
          </cell>
          <cell r="C326" t="str">
            <v>소계</v>
          </cell>
          <cell r="D326">
            <v>60048</v>
          </cell>
          <cell r="I326">
            <v>0</v>
          </cell>
        </row>
        <row r="327">
          <cell r="A327" t="str">
            <v>D00323</v>
          </cell>
          <cell r="B327">
            <v>42</v>
          </cell>
          <cell r="C327" t="str">
            <v>c</v>
          </cell>
          <cell r="D327">
            <v>60049</v>
          </cell>
          <cell r="E327" t="str">
            <v>강관비계</v>
          </cell>
          <cell r="F327" t="str">
            <v>(0∼30 M)</v>
          </cell>
          <cell r="G327" t="str">
            <v>㎡</v>
          </cell>
          <cell r="I327">
            <v>0</v>
          </cell>
        </row>
        <row r="328">
          <cell r="A328" t="str">
            <v>D00588</v>
          </cell>
          <cell r="B328">
            <v>41</v>
          </cell>
          <cell r="C328" t="str">
            <v>d</v>
          </cell>
          <cell r="D328">
            <v>60945</v>
          </cell>
          <cell r="E328" t="str">
            <v>스페이서 설치</v>
          </cell>
          <cell r="F328" t="str">
            <v>(슬라브및기초용)</v>
          </cell>
          <cell r="G328" t="str">
            <v>㎡</v>
          </cell>
          <cell r="I328">
            <v>0</v>
          </cell>
        </row>
        <row r="329">
          <cell r="A329" t="str">
            <v>D00333</v>
          </cell>
          <cell r="B329">
            <v>15</v>
          </cell>
          <cell r="C329" t="str">
            <v>e</v>
          </cell>
          <cell r="D329">
            <v>61105</v>
          </cell>
          <cell r="E329" t="str">
            <v>강관동바리</v>
          </cell>
          <cell r="F329" t="str">
            <v>(암거용)</v>
          </cell>
          <cell r="G329" t="str">
            <v>공㎥</v>
          </cell>
          <cell r="I329">
            <v>0</v>
          </cell>
        </row>
        <row r="330">
          <cell r="A330" t="str">
            <v>D03889</v>
          </cell>
          <cell r="B330">
            <v>4.3999999999999997E-2</v>
          </cell>
          <cell r="C330" t="str">
            <v>f</v>
          </cell>
          <cell r="D330">
            <v>61137</v>
          </cell>
          <cell r="E330" t="str">
            <v>분수문 난간</v>
          </cell>
          <cell r="G330" t="str">
            <v>Ton</v>
          </cell>
          <cell r="I330">
            <v>0</v>
          </cell>
        </row>
        <row r="331">
          <cell r="A331" t="str">
            <v>D00271</v>
          </cell>
          <cell r="B331">
            <v>1.8380000000000001</v>
          </cell>
          <cell r="C331" t="str">
            <v>g</v>
          </cell>
          <cell r="D331">
            <v>61145</v>
          </cell>
          <cell r="E331" t="str">
            <v>철근가공조립</v>
          </cell>
          <cell r="F331" t="str">
            <v>(보 통)</v>
          </cell>
          <cell r="G331" t="str">
            <v>Ton</v>
          </cell>
          <cell r="I331">
            <v>0</v>
          </cell>
        </row>
        <row r="332">
          <cell r="A332" t="str">
            <v>D03836</v>
          </cell>
          <cell r="B332">
            <v>1</v>
          </cell>
          <cell r="C332" t="str">
            <v>h</v>
          </cell>
          <cell r="D332">
            <v>61149</v>
          </cell>
          <cell r="E332" t="str">
            <v>작업용계단</v>
          </cell>
          <cell r="G332" t="str">
            <v>EA</v>
          </cell>
          <cell r="I332">
            <v>0</v>
          </cell>
        </row>
        <row r="333">
          <cell r="A333" t="str">
            <v>D00347</v>
          </cell>
          <cell r="B333">
            <v>4</v>
          </cell>
          <cell r="C333" t="str">
            <v>i</v>
          </cell>
          <cell r="D333">
            <v>61151</v>
          </cell>
          <cell r="E333" t="str">
            <v>조합페인트</v>
          </cell>
          <cell r="F333" t="str">
            <v>(철재면 2 회)</v>
          </cell>
          <cell r="G333" t="str">
            <v>㎡</v>
          </cell>
          <cell r="I333">
            <v>0</v>
          </cell>
        </row>
        <row r="334">
          <cell r="A334" t="str">
            <v>D00410</v>
          </cell>
          <cell r="B334">
            <v>4</v>
          </cell>
          <cell r="C334" t="str">
            <v>j</v>
          </cell>
          <cell r="D334">
            <v>61153</v>
          </cell>
          <cell r="E334" t="str">
            <v>문비</v>
          </cell>
          <cell r="G334" t="str">
            <v>EA</v>
          </cell>
          <cell r="I334">
            <v>0</v>
          </cell>
        </row>
        <row r="335">
          <cell r="A335" t="str">
            <v>D03837</v>
          </cell>
          <cell r="B335">
            <v>1</v>
          </cell>
          <cell r="C335" t="str">
            <v>h</v>
          </cell>
          <cell r="D335">
            <v>61161</v>
          </cell>
          <cell r="E335" t="str">
            <v>권 양 기</v>
          </cell>
          <cell r="F335" t="str">
            <v>(2.5 Ton)</v>
          </cell>
          <cell r="G335" t="str">
            <v>EA</v>
          </cell>
          <cell r="I335">
            <v>0</v>
          </cell>
        </row>
        <row r="336">
          <cell r="A336" t="str">
            <v>E2</v>
          </cell>
          <cell r="B336">
            <v>0</v>
          </cell>
          <cell r="C336" t="str">
            <v>계</v>
          </cell>
          <cell r="D336">
            <v>61165</v>
          </cell>
          <cell r="I336">
            <v>0</v>
          </cell>
        </row>
        <row r="337">
          <cell r="A337" t="str">
            <v>E3</v>
          </cell>
          <cell r="B337">
            <v>0</v>
          </cell>
          <cell r="C337" t="str">
            <v>합계</v>
          </cell>
          <cell r="D337">
            <v>61169</v>
          </cell>
          <cell r="I337">
            <v>0</v>
          </cell>
        </row>
        <row r="338">
          <cell r="A338" t="str">
            <v>E4</v>
          </cell>
          <cell r="B338">
            <v>0</v>
          </cell>
          <cell r="C338" t="str">
            <v>총계</v>
          </cell>
          <cell r="D338">
            <v>61179</v>
          </cell>
          <cell r="I338">
            <v>0</v>
          </cell>
        </row>
        <row r="339">
          <cell r="A339" t="str">
            <v>T4</v>
          </cell>
          <cell r="B339">
            <v>1497</v>
          </cell>
          <cell r="C339" t="str">
            <v>3.</v>
          </cell>
          <cell r="D339">
            <v>61198</v>
          </cell>
          <cell r="E339" t="str">
            <v>구  조  물  공</v>
          </cell>
          <cell r="I339">
            <v>0</v>
          </cell>
        </row>
        <row r="340">
          <cell r="A340" t="str">
            <v>T3</v>
          </cell>
          <cell r="B340">
            <v>389</v>
          </cell>
          <cell r="C340" t="str">
            <v>3.A</v>
          </cell>
          <cell r="D340">
            <v>61262</v>
          </cell>
          <cell r="E340" t="str">
            <v>옥 암 지하차도</v>
          </cell>
          <cell r="I340">
            <v>0</v>
          </cell>
        </row>
        <row r="341">
          <cell r="A341" t="str">
            <v>T2</v>
          </cell>
          <cell r="B341">
            <v>351</v>
          </cell>
          <cell r="C341" t="str">
            <v>3.01</v>
          </cell>
          <cell r="D341">
            <v>214559</v>
          </cell>
          <cell r="E341" t="str">
            <v>토          공</v>
          </cell>
          <cell r="I341">
            <v>0</v>
          </cell>
        </row>
        <row r="342">
          <cell r="A342" t="str">
            <v>D00135</v>
          </cell>
          <cell r="B342">
            <v>1190</v>
          </cell>
          <cell r="C342" t="str">
            <v>a</v>
          </cell>
          <cell r="D342">
            <v>367856</v>
          </cell>
          <cell r="E342" t="str">
            <v>구조물터파기</v>
          </cell>
          <cell r="F342" t="str">
            <v>(육상발파암 0∼1 M)</v>
          </cell>
          <cell r="G342" t="str">
            <v>㎥</v>
          </cell>
          <cell r="I342">
            <v>0</v>
          </cell>
        </row>
        <row r="343">
          <cell r="A343" t="str">
            <v>D00136</v>
          </cell>
          <cell r="B343">
            <v>1113</v>
          </cell>
          <cell r="C343" t="str">
            <v>b</v>
          </cell>
          <cell r="D343">
            <v>368011</v>
          </cell>
          <cell r="E343" t="str">
            <v>구조물터파기</v>
          </cell>
          <cell r="F343" t="str">
            <v>(육상발파암 1∼2 M)</v>
          </cell>
          <cell r="G343" t="str">
            <v>㎥</v>
          </cell>
          <cell r="I343">
            <v>0</v>
          </cell>
        </row>
        <row r="344">
          <cell r="A344" t="str">
            <v>D03810</v>
          </cell>
          <cell r="B344">
            <v>1037</v>
          </cell>
          <cell r="C344" t="str">
            <v>c</v>
          </cell>
          <cell r="D344">
            <v>368204</v>
          </cell>
          <cell r="E344" t="str">
            <v>구조물터파기</v>
          </cell>
          <cell r="F344" t="str">
            <v>(육상발파암 2∼3 M)</v>
          </cell>
          <cell r="G344" t="str">
            <v>㎥</v>
          </cell>
          <cell r="I344">
            <v>0</v>
          </cell>
        </row>
        <row r="345">
          <cell r="A345" t="str">
            <v>D03811</v>
          </cell>
          <cell r="B345">
            <v>960</v>
          </cell>
          <cell r="C345" t="str">
            <v>d</v>
          </cell>
          <cell r="D345">
            <v>368285</v>
          </cell>
          <cell r="E345" t="str">
            <v>구조물터파기</v>
          </cell>
          <cell r="F345" t="str">
            <v>(육상발파암 3∼4 M)</v>
          </cell>
          <cell r="G345" t="str">
            <v>㎥</v>
          </cell>
          <cell r="I345">
            <v>0</v>
          </cell>
        </row>
        <row r="346">
          <cell r="A346" t="str">
            <v>D03812</v>
          </cell>
          <cell r="B346">
            <v>884</v>
          </cell>
          <cell r="C346" t="str">
            <v>e</v>
          </cell>
          <cell r="D346">
            <v>368407</v>
          </cell>
          <cell r="E346" t="str">
            <v>구조물터파기</v>
          </cell>
          <cell r="F346" t="str">
            <v>(육상발파암 4∼5 M)</v>
          </cell>
          <cell r="G346" t="str">
            <v>㎥</v>
          </cell>
          <cell r="I346">
            <v>0</v>
          </cell>
        </row>
        <row r="347">
          <cell r="A347" t="str">
            <v>D03813</v>
          </cell>
          <cell r="B347">
            <v>807</v>
          </cell>
          <cell r="C347" t="str">
            <v>f</v>
          </cell>
          <cell r="D347">
            <v>368468</v>
          </cell>
          <cell r="E347" t="str">
            <v>구조물터파기</v>
          </cell>
          <cell r="F347" t="str">
            <v>(육상발파암 5∼6 M)</v>
          </cell>
          <cell r="G347" t="str">
            <v>㎥</v>
          </cell>
          <cell r="I347">
            <v>0</v>
          </cell>
        </row>
        <row r="348">
          <cell r="A348" t="str">
            <v>D03814</v>
          </cell>
          <cell r="B348">
            <v>731</v>
          </cell>
          <cell r="C348" t="str">
            <v>g</v>
          </cell>
          <cell r="D348">
            <v>368498</v>
          </cell>
          <cell r="E348" t="str">
            <v>구조물터파기</v>
          </cell>
          <cell r="F348" t="str">
            <v>(육상발파암 6∼7 M)</v>
          </cell>
          <cell r="G348" t="str">
            <v>㎥</v>
          </cell>
          <cell r="I348">
            <v>0</v>
          </cell>
        </row>
        <row r="349">
          <cell r="A349" t="str">
            <v>D03815</v>
          </cell>
          <cell r="B349">
            <v>654</v>
          </cell>
          <cell r="C349" t="str">
            <v>h</v>
          </cell>
          <cell r="D349">
            <v>368513</v>
          </cell>
          <cell r="E349" t="str">
            <v>구조물터파기</v>
          </cell>
          <cell r="F349" t="str">
            <v>(육상발파암 7∼8 M)</v>
          </cell>
          <cell r="G349" t="str">
            <v>㎥</v>
          </cell>
          <cell r="I349">
            <v>0</v>
          </cell>
        </row>
        <row r="350">
          <cell r="A350" t="str">
            <v>D00037</v>
          </cell>
          <cell r="B350">
            <v>1023</v>
          </cell>
          <cell r="C350" t="str">
            <v>i</v>
          </cell>
          <cell r="D350">
            <v>368528</v>
          </cell>
          <cell r="E350" t="str">
            <v>되메우기</v>
          </cell>
          <cell r="F350" t="str">
            <v>(노 체)</v>
          </cell>
          <cell r="G350" t="str">
            <v>㎥</v>
          </cell>
          <cell r="I350">
            <v>0</v>
          </cell>
        </row>
        <row r="351">
          <cell r="A351" t="str">
            <v>D00170</v>
          </cell>
          <cell r="B351">
            <v>2160</v>
          </cell>
          <cell r="C351" t="str">
            <v>j</v>
          </cell>
          <cell r="D351">
            <v>368648</v>
          </cell>
          <cell r="E351" t="str">
            <v>뒷채움잡석</v>
          </cell>
          <cell r="F351" t="str">
            <v>(현장암유용)</v>
          </cell>
          <cell r="G351" t="str">
            <v>㎥</v>
          </cell>
          <cell r="I351">
            <v>0</v>
          </cell>
        </row>
        <row r="352">
          <cell r="A352" t="str">
            <v>E2</v>
          </cell>
          <cell r="B352">
            <v>0</v>
          </cell>
          <cell r="C352" t="str">
            <v>계</v>
          </cell>
          <cell r="D352">
            <v>368768</v>
          </cell>
          <cell r="I352">
            <v>0</v>
          </cell>
        </row>
        <row r="353">
          <cell r="A353" t="str">
            <v>T2</v>
          </cell>
          <cell r="B353">
            <v>357</v>
          </cell>
          <cell r="C353" t="str">
            <v>3.02</v>
          </cell>
          <cell r="D353">
            <v>369127</v>
          </cell>
          <cell r="E353" t="str">
            <v>거 푸 집</v>
          </cell>
          <cell r="I353">
            <v>0</v>
          </cell>
        </row>
        <row r="354">
          <cell r="A354" t="str">
            <v>D00276</v>
          </cell>
          <cell r="B354">
            <v>1862</v>
          </cell>
          <cell r="C354" t="str">
            <v>a</v>
          </cell>
          <cell r="D354">
            <v>369128</v>
          </cell>
          <cell r="E354" t="str">
            <v>합판거푸집</v>
          </cell>
          <cell r="F354" t="str">
            <v>(3 회)</v>
          </cell>
          <cell r="G354" t="str">
            <v>㎡</v>
          </cell>
          <cell r="I354">
            <v>0</v>
          </cell>
        </row>
        <row r="355">
          <cell r="A355" t="str">
            <v>D00280</v>
          </cell>
          <cell r="B355">
            <v>125</v>
          </cell>
          <cell r="C355" t="str">
            <v>b</v>
          </cell>
          <cell r="D355">
            <v>369192</v>
          </cell>
          <cell r="E355" t="str">
            <v>합판거푸집</v>
          </cell>
          <cell r="F355" t="str">
            <v>(4 회)</v>
          </cell>
          <cell r="G355" t="str">
            <v>㎡</v>
          </cell>
          <cell r="I355">
            <v>0</v>
          </cell>
        </row>
        <row r="356">
          <cell r="A356" t="str">
            <v>D00282</v>
          </cell>
          <cell r="B356">
            <v>29</v>
          </cell>
          <cell r="C356" t="str">
            <v>c</v>
          </cell>
          <cell r="D356">
            <v>369224</v>
          </cell>
          <cell r="E356" t="str">
            <v>합판거푸집</v>
          </cell>
          <cell r="F356" t="str">
            <v>(6 회)</v>
          </cell>
          <cell r="G356" t="str">
            <v>㎡</v>
          </cell>
          <cell r="I356">
            <v>0</v>
          </cell>
        </row>
        <row r="357">
          <cell r="A357" t="str">
            <v>D00265</v>
          </cell>
          <cell r="B357">
            <v>152</v>
          </cell>
          <cell r="C357" t="str">
            <v>d</v>
          </cell>
          <cell r="D357">
            <v>369232</v>
          </cell>
          <cell r="E357" t="str">
            <v>문양거푸집(합판4회+</v>
          </cell>
          <cell r="F357" t="str">
            <v>문양스치로폴(0∼7M)</v>
          </cell>
          <cell r="G357" t="str">
            <v>㎡</v>
          </cell>
          <cell r="I357">
            <v>0</v>
          </cell>
        </row>
        <row r="358">
          <cell r="A358" t="str">
            <v>E2</v>
          </cell>
          <cell r="B358">
            <v>0</v>
          </cell>
          <cell r="C358" t="str">
            <v>계</v>
          </cell>
          <cell r="D358">
            <v>369240</v>
          </cell>
          <cell r="I358">
            <v>0</v>
          </cell>
        </row>
        <row r="359">
          <cell r="A359" t="str">
            <v>D00323</v>
          </cell>
          <cell r="B359">
            <v>774</v>
          </cell>
          <cell r="C359" t="str">
            <v>3.03</v>
          </cell>
          <cell r="D359">
            <v>369241</v>
          </cell>
          <cell r="E359" t="str">
            <v>강관비계</v>
          </cell>
          <cell r="F359" t="str">
            <v>(0∼30 M)</v>
          </cell>
          <cell r="G359" t="str">
            <v>㎡</v>
          </cell>
          <cell r="I359">
            <v>0</v>
          </cell>
        </row>
        <row r="360">
          <cell r="A360" t="str">
            <v>D00334</v>
          </cell>
          <cell r="B360">
            <v>2514</v>
          </cell>
          <cell r="C360" t="str">
            <v>3.04</v>
          </cell>
          <cell r="D360">
            <v>369361</v>
          </cell>
          <cell r="E360" t="str">
            <v>강관동바리</v>
          </cell>
          <cell r="F360" t="str">
            <v>(교량용)</v>
          </cell>
          <cell r="G360" t="str">
            <v>공㎥</v>
          </cell>
          <cell r="I360">
            <v>0</v>
          </cell>
        </row>
        <row r="361">
          <cell r="A361" t="str">
            <v>T2</v>
          </cell>
          <cell r="B361">
            <v>363</v>
          </cell>
          <cell r="C361" t="str">
            <v>3.05</v>
          </cell>
          <cell r="D361">
            <v>369489</v>
          </cell>
          <cell r="E361" t="str">
            <v>철근가공조립</v>
          </cell>
          <cell r="I361">
            <v>0</v>
          </cell>
        </row>
        <row r="362">
          <cell r="A362" t="str">
            <v>D00271</v>
          </cell>
          <cell r="B362">
            <v>59.024999999999999</v>
          </cell>
          <cell r="C362" t="str">
            <v>a</v>
          </cell>
          <cell r="D362">
            <v>369617</v>
          </cell>
          <cell r="E362" t="str">
            <v>철근가공조립</v>
          </cell>
          <cell r="F362" t="str">
            <v>(보 통)</v>
          </cell>
          <cell r="G362" t="str">
            <v>Ton</v>
          </cell>
          <cell r="I362">
            <v>0</v>
          </cell>
        </row>
        <row r="363">
          <cell r="A363" t="str">
            <v>D00272</v>
          </cell>
          <cell r="B363">
            <v>330.56799999999998</v>
          </cell>
          <cell r="C363" t="str">
            <v>b</v>
          </cell>
          <cell r="D363">
            <v>369621</v>
          </cell>
          <cell r="E363" t="str">
            <v>철근가공조립</v>
          </cell>
          <cell r="F363" t="str">
            <v>(복 잡)</v>
          </cell>
          <cell r="G363" t="str">
            <v>Ton</v>
          </cell>
          <cell r="I363">
            <v>0</v>
          </cell>
        </row>
        <row r="364">
          <cell r="A364" t="str">
            <v>E2</v>
          </cell>
          <cell r="B364">
            <v>0</v>
          </cell>
          <cell r="C364" t="str">
            <v>계</v>
          </cell>
          <cell r="D364">
            <v>369624</v>
          </cell>
          <cell r="I364">
            <v>0</v>
          </cell>
        </row>
        <row r="365">
          <cell r="A365" t="str">
            <v>T2</v>
          </cell>
          <cell r="B365">
            <v>367</v>
          </cell>
          <cell r="C365" t="str">
            <v>3.06</v>
          </cell>
          <cell r="D365">
            <v>369625</v>
          </cell>
          <cell r="E365" t="str">
            <v>콘크리트타설</v>
          </cell>
          <cell r="I365">
            <v>0</v>
          </cell>
        </row>
        <row r="366">
          <cell r="A366" t="str">
            <v>D00237</v>
          </cell>
          <cell r="B366">
            <v>1730</v>
          </cell>
          <cell r="C366" t="str">
            <v>a</v>
          </cell>
          <cell r="D366">
            <v>369689</v>
          </cell>
          <cell r="E366" t="str">
            <v>콘크리트타설</v>
          </cell>
          <cell r="F366" t="str">
            <v>(철근 펌프카)</v>
          </cell>
          <cell r="G366" t="str">
            <v>㎥</v>
          </cell>
          <cell r="I366">
            <v>0</v>
          </cell>
        </row>
        <row r="367">
          <cell r="A367" t="str">
            <v>D00231</v>
          </cell>
          <cell r="B367">
            <v>108</v>
          </cell>
          <cell r="C367" t="str">
            <v>b</v>
          </cell>
          <cell r="D367">
            <v>369721</v>
          </cell>
          <cell r="E367" t="str">
            <v>콘크리트타설</v>
          </cell>
          <cell r="F367" t="str">
            <v>(무근 VIB 제외)</v>
          </cell>
          <cell r="G367" t="str">
            <v>㎥</v>
          </cell>
          <cell r="I367">
            <v>0</v>
          </cell>
        </row>
        <row r="368">
          <cell r="A368" t="str">
            <v>E2</v>
          </cell>
          <cell r="B368">
            <v>0</v>
          </cell>
          <cell r="C368" t="str">
            <v>계</v>
          </cell>
          <cell r="D368">
            <v>369753</v>
          </cell>
          <cell r="I368">
            <v>0</v>
          </cell>
        </row>
        <row r="369">
          <cell r="A369" t="str">
            <v>D03746</v>
          </cell>
          <cell r="B369">
            <v>423</v>
          </cell>
          <cell r="C369" t="str">
            <v>3.07</v>
          </cell>
          <cell r="D369">
            <v>369761</v>
          </cell>
          <cell r="E369" t="str">
            <v>타일붙이기</v>
          </cell>
          <cell r="F369" t="str">
            <v>(90x190x11)</v>
          </cell>
          <cell r="G369" t="str">
            <v>㎡</v>
          </cell>
          <cell r="I369">
            <v>0</v>
          </cell>
        </row>
        <row r="370">
          <cell r="A370" t="str">
            <v>D01034</v>
          </cell>
          <cell r="B370">
            <v>423</v>
          </cell>
          <cell r="C370" t="str">
            <v>3.08</v>
          </cell>
          <cell r="D370">
            <v>369765</v>
          </cell>
          <cell r="E370" t="str">
            <v>바탕고르기</v>
          </cell>
          <cell r="F370" t="str">
            <v>T=24 m/m</v>
          </cell>
          <cell r="G370" t="str">
            <v>㎡</v>
          </cell>
          <cell r="I370">
            <v>0</v>
          </cell>
        </row>
        <row r="371">
          <cell r="A371" t="str">
            <v>D00563</v>
          </cell>
          <cell r="B371">
            <v>1224</v>
          </cell>
          <cell r="C371" t="str">
            <v>3.09</v>
          </cell>
          <cell r="D371">
            <v>369767</v>
          </cell>
          <cell r="E371" t="str">
            <v>아스팔트 방수</v>
          </cell>
          <cell r="F371" t="str">
            <v>(2 회)</v>
          </cell>
          <cell r="G371" t="str">
            <v>㎡</v>
          </cell>
          <cell r="I371">
            <v>0</v>
          </cell>
        </row>
        <row r="372">
          <cell r="A372" t="str">
            <v>D03816</v>
          </cell>
          <cell r="B372">
            <v>29</v>
          </cell>
          <cell r="C372" t="str">
            <v>3.10</v>
          </cell>
          <cell r="D372">
            <v>369768</v>
          </cell>
          <cell r="E372" t="str">
            <v>시공이음면정리</v>
          </cell>
          <cell r="G372" t="str">
            <v>㎡</v>
          </cell>
          <cell r="I372">
            <v>0</v>
          </cell>
        </row>
        <row r="373">
          <cell r="A373" t="str">
            <v>D00587</v>
          </cell>
          <cell r="B373">
            <v>37</v>
          </cell>
          <cell r="C373" t="str">
            <v>3.11</v>
          </cell>
          <cell r="D373">
            <v>369896</v>
          </cell>
          <cell r="E373" t="str">
            <v>신축이음</v>
          </cell>
          <cell r="F373" t="str">
            <v>(지하차도)</v>
          </cell>
          <cell r="G373" t="str">
            <v>M</v>
          </cell>
          <cell r="I373">
            <v>0</v>
          </cell>
        </row>
        <row r="374">
          <cell r="A374" t="str">
            <v>D03748</v>
          </cell>
          <cell r="B374">
            <v>56</v>
          </cell>
          <cell r="C374" t="str">
            <v>3.12</v>
          </cell>
          <cell r="D374">
            <v>369992</v>
          </cell>
          <cell r="E374" t="str">
            <v>수축줄눈</v>
          </cell>
          <cell r="F374" t="str">
            <v>(지하차도)</v>
          </cell>
          <cell r="G374" t="str">
            <v>M</v>
          </cell>
          <cell r="I374">
            <v>0</v>
          </cell>
        </row>
        <row r="375">
          <cell r="A375" t="str">
            <v>D03817</v>
          </cell>
          <cell r="B375">
            <v>47</v>
          </cell>
          <cell r="C375" t="str">
            <v>3.13</v>
          </cell>
          <cell r="D375">
            <v>370040</v>
          </cell>
          <cell r="E375" t="str">
            <v>ELASTIC FILLER</v>
          </cell>
          <cell r="F375" t="str">
            <v>(T=20 m/m)</v>
          </cell>
          <cell r="G375" t="str">
            <v>㎡</v>
          </cell>
          <cell r="I375">
            <v>0</v>
          </cell>
        </row>
        <row r="376">
          <cell r="A376" t="str">
            <v>T2</v>
          </cell>
          <cell r="B376">
            <v>378</v>
          </cell>
          <cell r="C376" t="str">
            <v>3.14</v>
          </cell>
          <cell r="D376">
            <v>370365</v>
          </cell>
          <cell r="E376" t="str">
            <v>스페이서 설치</v>
          </cell>
          <cell r="I376">
            <v>0</v>
          </cell>
        </row>
        <row r="377">
          <cell r="A377" t="str">
            <v>D00588</v>
          </cell>
          <cell r="B377">
            <v>1095</v>
          </cell>
          <cell r="C377" t="str">
            <v>a</v>
          </cell>
          <cell r="D377">
            <v>370493</v>
          </cell>
          <cell r="E377" t="str">
            <v>스페이서 설치</v>
          </cell>
          <cell r="F377" t="str">
            <v>(슬라브및기초용)</v>
          </cell>
          <cell r="G377" t="str">
            <v>㎡</v>
          </cell>
          <cell r="I377">
            <v>0</v>
          </cell>
        </row>
        <row r="378">
          <cell r="A378" t="str">
            <v>D01070</v>
          </cell>
          <cell r="B378">
            <v>640</v>
          </cell>
          <cell r="C378" t="str">
            <v>b</v>
          </cell>
          <cell r="D378">
            <v>370501</v>
          </cell>
          <cell r="E378" t="str">
            <v>스페이서 설치</v>
          </cell>
          <cell r="F378" t="str">
            <v>(벽체용)</v>
          </cell>
          <cell r="G378" t="str">
            <v>㎡</v>
          </cell>
          <cell r="I378">
            <v>0</v>
          </cell>
        </row>
        <row r="379">
          <cell r="A379" t="str">
            <v>E2</v>
          </cell>
          <cell r="B379">
            <v>0</v>
          </cell>
          <cell r="C379" t="str">
            <v>계</v>
          </cell>
          <cell r="D379">
            <v>370505</v>
          </cell>
          <cell r="I379">
            <v>0</v>
          </cell>
        </row>
        <row r="380">
          <cell r="A380" t="str">
            <v>D03818</v>
          </cell>
          <cell r="B380">
            <v>46</v>
          </cell>
          <cell r="C380" t="str">
            <v>3.15</v>
          </cell>
          <cell r="D380">
            <v>370830</v>
          </cell>
          <cell r="E380" t="str">
            <v>스틸그레이팅</v>
          </cell>
          <cell r="F380" t="str">
            <v>(995x350x44)</v>
          </cell>
          <cell r="G380" t="str">
            <v>M</v>
          </cell>
          <cell r="I380">
            <v>0</v>
          </cell>
        </row>
        <row r="381">
          <cell r="A381" t="str">
            <v>D00846</v>
          </cell>
          <cell r="B381">
            <v>33</v>
          </cell>
          <cell r="C381" t="str">
            <v>3.16</v>
          </cell>
          <cell r="D381">
            <v>370894</v>
          </cell>
          <cell r="E381" t="str">
            <v>폴리우레탄실란트채움</v>
          </cell>
          <cell r="F381" t="str">
            <v>(25x20)</v>
          </cell>
          <cell r="G381" t="str">
            <v>M</v>
          </cell>
          <cell r="I381">
            <v>0</v>
          </cell>
        </row>
        <row r="382">
          <cell r="A382" t="str">
            <v>D03843</v>
          </cell>
          <cell r="B382">
            <v>1.605</v>
          </cell>
          <cell r="C382" t="str">
            <v>3.17</v>
          </cell>
          <cell r="D382">
            <v>370926</v>
          </cell>
          <cell r="E382" t="str">
            <v>철근망 설치</v>
          </cell>
          <cell r="F382" t="str">
            <v>(D=13 m/m)</v>
          </cell>
          <cell r="G382" t="str">
            <v>Ton</v>
          </cell>
          <cell r="I382">
            <v>0</v>
          </cell>
        </row>
        <row r="383">
          <cell r="A383" t="str">
            <v>D01191</v>
          </cell>
          <cell r="B383">
            <v>8</v>
          </cell>
          <cell r="C383" t="str">
            <v>3.18</v>
          </cell>
          <cell r="D383">
            <v>370958</v>
          </cell>
          <cell r="E383" t="str">
            <v>PVC PIPE 설치</v>
          </cell>
          <cell r="F383" t="str">
            <v>(Φ65 m/m)</v>
          </cell>
          <cell r="G383" t="str">
            <v>M</v>
          </cell>
          <cell r="I383">
            <v>0</v>
          </cell>
        </row>
        <row r="384">
          <cell r="A384" t="str">
            <v>D00539</v>
          </cell>
          <cell r="B384">
            <v>455</v>
          </cell>
          <cell r="C384" t="str">
            <v>3.19</v>
          </cell>
          <cell r="D384">
            <v>524996</v>
          </cell>
          <cell r="E384" t="str">
            <v>면고르기</v>
          </cell>
          <cell r="G384" t="str">
            <v>㎡</v>
          </cell>
          <cell r="I384">
            <v>0</v>
          </cell>
        </row>
        <row r="385">
          <cell r="A385" t="str">
            <v>D00537</v>
          </cell>
          <cell r="B385">
            <v>553</v>
          </cell>
          <cell r="C385" t="str">
            <v>3.20</v>
          </cell>
          <cell r="D385">
            <v>602015</v>
          </cell>
          <cell r="E385" t="str">
            <v>슬래브양생</v>
          </cell>
          <cell r="F385" t="str">
            <v>(양생제)</v>
          </cell>
          <cell r="G385" t="str">
            <v>㎡</v>
          </cell>
          <cell r="I385">
            <v>0</v>
          </cell>
        </row>
        <row r="386">
          <cell r="A386" t="str">
            <v>D03856</v>
          </cell>
          <cell r="B386">
            <v>137</v>
          </cell>
          <cell r="C386" t="str">
            <v>3.21</v>
          </cell>
          <cell r="D386">
            <v>650153</v>
          </cell>
          <cell r="E386" t="str">
            <v>맹암거설치</v>
          </cell>
          <cell r="F386" t="str">
            <v>(D=200 m/m)</v>
          </cell>
          <cell r="G386" t="str">
            <v>M</v>
          </cell>
          <cell r="I386">
            <v>0</v>
          </cell>
        </row>
        <row r="387">
          <cell r="A387" t="str">
            <v>D00419</v>
          </cell>
          <cell r="B387">
            <v>113</v>
          </cell>
          <cell r="C387" t="str">
            <v>3.22</v>
          </cell>
          <cell r="D387">
            <v>669407</v>
          </cell>
          <cell r="E387" t="str">
            <v>부직포설치</v>
          </cell>
          <cell r="F387" t="str">
            <v>(2.0 T/M)</v>
          </cell>
          <cell r="G387" t="str">
            <v>㎡</v>
          </cell>
          <cell r="I387">
            <v>0</v>
          </cell>
        </row>
        <row r="388">
          <cell r="A388" t="str">
            <v>D03871</v>
          </cell>
          <cell r="B388">
            <v>4</v>
          </cell>
          <cell r="C388" t="str">
            <v>3.23</v>
          </cell>
          <cell r="D388">
            <v>674221</v>
          </cell>
          <cell r="E388" t="str">
            <v>평판재하시험</v>
          </cell>
          <cell r="G388" t="str">
            <v>개소</v>
          </cell>
          <cell r="I388">
            <v>0</v>
          </cell>
        </row>
        <row r="389">
          <cell r="A389" t="str">
            <v>D03747</v>
          </cell>
          <cell r="B389">
            <v>27</v>
          </cell>
          <cell r="C389" t="str">
            <v>3.24</v>
          </cell>
          <cell r="D389">
            <v>676628</v>
          </cell>
          <cell r="E389" t="str">
            <v>워터스톱</v>
          </cell>
          <cell r="F389" t="str">
            <v>(20x25)</v>
          </cell>
          <cell r="G389" t="str">
            <v>M</v>
          </cell>
          <cell r="I389">
            <v>0</v>
          </cell>
        </row>
        <row r="390">
          <cell r="A390" t="str">
            <v>E3</v>
          </cell>
          <cell r="B390">
            <v>0</v>
          </cell>
          <cell r="C390" t="str">
            <v>합계</v>
          </cell>
          <cell r="D390">
            <v>679034</v>
          </cell>
          <cell r="I390">
            <v>0</v>
          </cell>
        </row>
        <row r="391">
          <cell r="A391" t="str">
            <v>T3</v>
          </cell>
          <cell r="B391">
            <v>477</v>
          </cell>
          <cell r="C391" t="str">
            <v>3.B</v>
          </cell>
          <cell r="D391">
            <v>679418</v>
          </cell>
          <cell r="E391" t="str">
            <v>옥  암  육  교</v>
          </cell>
          <cell r="F391" t="str">
            <v>P.S.C BEAM</v>
          </cell>
          <cell r="I391">
            <v>0</v>
          </cell>
        </row>
        <row r="392">
          <cell r="A392" t="str">
            <v>T2</v>
          </cell>
          <cell r="B392">
            <v>398</v>
          </cell>
          <cell r="C392" t="str">
            <v>3.01</v>
          </cell>
          <cell r="D392">
            <v>679546</v>
          </cell>
          <cell r="E392" t="str">
            <v>토          공</v>
          </cell>
          <cell r="I392">
            <v>0</v>
          </cell>
        </row>
        <row r="393">
          <cell r="A393" t="str">
            <v>D00096</v>
          </cell>
          <cell r="B393">
            <v>982</v>
          </cell>
          <cell r="C393" t="str">
            <v>a</v>
          </cell>
          <cell r="D393">
            <v>832843</v>
          </cell>
          <cell r="E393" t="str">
            <v>구조물터파기</v>
          </cell>
          <cell r="F393" t="str">
            <v>(육상토사 0∼2 M)</v>
          </cell>
          <cell r="G393" t="str">
            <v>㎥</v>
          </cell>
          <cell r="I393">
            <v>0</v>
          </cell>
        </row>
        <row r="394">
          <cell r="A394" t="str">
            <v>D00097</v>
          </cell>
          <cell r="B394">
            <v>520</v>
          </cell>
          <cell r="C394" t="str">
            <v>b</v>
          </cell>
          <cell r="D394">
            <v>833179</v>
          </cell>
          <cell r="E394" t="str">
            <v>구조물터파기</v>
          </cell>
          <cell r="F394" t="str">
            <v>(육상토사 2∼4 M)</v>
          </cell>
          <cell r="G394" t="str">
            <v>㎥</v>
          </cell>
          <cell r="I394">
            <v>0</v>
          </cell>
        </row>
        <row r="395">
          <cell r="A395" t="str">
            <v>D03858</v>
          </cell>
          <cell r="B395">
            <v>44</v>
          </cell>
          <cell r="C395" t="str">
            <v>c</v>
          </cell>
          <cell r="D395">
            <v>833347</v>
          </cell>
          <cell r="E395" t="str">
            <v>구조물터파기</v>
          </cell>
          <cell r="F395" t="str">
            <v>(육상풍화암 4∼5 M)</v>
          </cell>
          <cell r="G395" t="str">
            <v>㎥</v>
          </cell>
          <cell r="I395">
            <v>0</v>
          </cell>
        </row>
        <row r="396">
          <cell r="A396" t="str">
            <v>D00022</v>
          </cell>
          <cell r="B396">
            <v>4284</v>
          </cell>
          <cell r="C396" t="str">
            <v>d</v>
          </cell>
          <cell r="D396">
            <v>833431</v>
          </cell>
          <cell r="E396" t="str">
            <v>토  사깎기</v>
          </cell>
          <cell r="F396" t="str">
            <v>(불도쟈 32 Ton)</v>
          </cell>
          <cell r="G396" t="str">
            <v>㎥</v>
          </cell>
          <cell r="I396">
            <v>0</v>
          </cell>
        </row>
        <row r="397">
          <cell r="A397" t="str">
            <v>D00160</v>
          </cell>
          <cell r="B397">
            <v>5217</v>
          </cell>
          <cell r="C397" t="str">
            <v>e</v>
          </cell>
          <cell r="D397">
            <v>833515</v>
          </cell>
          <cell r="E397" t="str">
            <v>되메우기및다짐</v>
          </cell>
          <cell r="F397" t="str">
            <v>(인력30%+백호우70%)</v>
          </cell>
          <cell r="G397" t="str">
            <v>㎥</v>
          </cell>
          <cell r="I397">
            <v>0</v>
          </cell>
        </row>
        <row r="398">
          <cell r="A398" t="str">
            <v>D00170</v>
          </cell>
          <cell r="B398">
            <v>513</v>
          </cell>
          <cell r="C398" t="str">
            <v>f</v>
          </cell>
          <cell r="D398">
            <v>833635</v>
          </cell>
          <cell r="E398" t="str">
            <v>뒷채움잡석</v>
          </cell>
          <cell r="F398" t="str">
            <v>(현장암유용)</v>
          </cell>
          <cell r="G398" t="str">
            <v>㎥</v>
          </cell>
          <cell r="I398">
            <v>0</v>
          </cell>
        </row>
        <row r="399">
          <cell r="A399" t="str">
            <v>E2</v>
          </cell>
          <cell r="B399">
            <v>0</v>
          </cell>
          <cell r="C399" t="str">
            <v>계</v>
          </cell>
          <cell r="D399">
            <v>833755</v>
          </cell>
          <cell r="I399">
            <v>0</v>
          </cell>
        </row>
        <row r="400">
          <cell r="A400" t="str">
            <v>T2</v>
          </cell>
          <cell r="B400">
            <v>404</v>
          </cell>
          <cell r="C400" t="str">
            <v>3.02</v>
          </cell>
          <cell r="D400">
            <v>834541</v>
          </cell>
          <cell r="E400" t="str">
            <v>거 푸 집</v>
          </cell>
          <cell r="I400">
            <v>0</v>
          </cell>
        </row>
        <row r="401">
          <cell r="A401" t="str">
            <v>D00276</v>
          </cell>
          <cell r="B401">
            <v>546</v>
          </cell>
          <cell r="C401" t="str">
            <v>a</v>
          </cell>
          <cell r="D401">
            <v>834542</v>
          </cell>
          <cell r="E401" t="str">
            <v>합판거푸집</v>
          </cell>
          <cell r="F401" t="str">
            <v>(3 회)</v>
          </cell>
          <cell r="G401" t="str">
            <v>㎡</v>
          </cell>
          <cell r="I401">
            <v>0</v>
          </cell>
        </row>
        <row r="402">
          <cell r="A402" t="str">
            <v>D00280</v>
          </cell>
          <cell r="B402">
            <v>104</v>
          </cell>
          <cell r="C402" t="str">
            <v>b</v>
          </cell>
          <cell r="D402">
            <v>834606</v>
          </cell>
          <cell r="E402" t="str">
            <v>합판거푸집</v>
          </cell>
          <cell r="F402" t="str">
            <v>(4 회)</v>
          </cell>
          <cell r="G402" t="str">
            <v>㎡</v>
          </cell>
          <cell r="I402">
            <v>0</v>
          </cell>
        </row>
        <row r="403">
          <cell r="A403" t="str">
            <v>D00282</v>
          </cell>
          <cell r="B403">
            <v>87</v>
          </cell>
          <cell r="C403" t="str">
            <v>c</v>
          </cell>
          <cell r="D403">
            <v>834638</v>
          </cell>
          <cell r="E403" t="str">
            <v>합판거푸집</v>
          </cell>
          <cell r="F403" t="str">
            <v>(6 회)</v>
          </cell>
          <cell r="G403" t="str">
            <v>㎡</v>
          </cell>
          <cell r="I403">
            <v>0</v>
          </cell>
        </row>
        <row r="404">
          <cell r="A404" t="str">
            <v>D00265</v>
          </cell>
          <cell r="B404">
            <v>227</v>
          </cell>
          <cell r="C404" t="str">
            <v>d</v>
          </cell>
          <cell r="D404">
            <v>834646</v>
          </cell>
          <cell r="E404" t="str">
            <v>문양거푸집(합판4회+</v>
          </cell>
          <cell r="F404" t="str">
            <v>문양스치로폴(0∼7M)</v>
          </cell>
          <cell r="G404" t="str">
            <v>㎡</v>
          </cell>
          <cell r="I404">
            <v>0</v>
          </cell>
        </row>
        <row r="405">
          <cell r="A405" t="str">
            <v>E2</v>
          </cell>
          <cell r="B405">
            <v>0</v>
          </cell>
          <cell r="C405" t="str">
            <v>계</v>
          </cell>
          <cell r="D405">
            <v>834654</v>
          </cell>
          <cell r="I405">
            <v>0</v>
          </cell>
        </row>
        <row r="406">
          <cell r="A406" t="str">
            <v>D00323</v>
          </cell>
          <cell r="B406">
            <v>655</v>
          </cell>
          <cell r="C406" t="str">
            <v>3.03</v>
          </cell>
          <cell r="D406">
            <v>834655</v>
          </cell>
          <cell r="E406" t="str">
            <v>강관비계</v>
          </cell>
          <cell r="F406" t="str">
            <v>(0∼30 M)</v>
          </cell>
          <cell r="G406" t="str">
            <v>㎡</v>
          </cell>
          <cell r="I406">
            <v>0</v>
          </cell>
        </row>
        <row r="407">
          <cell r="A407" t="str">
            <v>T2</v>
          </cell>
          <cell r="B407">
            <v>410</v>
          </cell>
          <cell r="C407" t="str">
            <v>3.04</v>
          </cell>
          <cell r="D407">
            <v>834719</v>
          </cell>
          <cell r="E407" t="str">
            <v>동 바 리</v>
          </cell>
          <cell r="I407">
            <v>0</v>
          </cell>
        </row>
        <row r="408">
          <cell r="A408" t="str">
            <v>D00327</v>
          </cell>
          <cell r="B408">
            <v>346</v>
          </cell>
          <cell r="C408" t="str">
            <v>a</v>
          </cell>
          <cell r="D408">
            <v>834747</v>
          </cell>
          <cell r="E408" t="str">
            <v>동바리공</v>
          </cell>
          <cell r="F408" t="str">
            <v>(목재 4 회)</v>
          </cell>
          <cell r="G408" t="str">
            <v>공㎥</v>
          </cell>
          <cell r="I408">
            <v>0</v>
          </cell>
        </row>
        <row r="409">
          <cell r="A409" t="str">
            <v>D00334</v>
          </cell>
          <cell r="B409">
            <v>138</v>
          </cell>
          <cell r="C409" t="str">
            <v>b</v>
          </cell>
          <cell r="D409">
            <v>834775</v>
          </cell>
          <cell r="E409" t="str">
            <v>강관동바리</v>
          </cell>
          <cell r="F409" t="str">
            <v>(교량용)</v>
          </cell>
          <cell r="G409" t="str">
            <v>공㎥</v>
          </cell>
          <cell r="I409">
            <v>0</v>
          </cell>
        </row>
        <row r="410">
          <cell r="A410" t="str">
            <v>D01129</v>
          </cell>
          <cell r="B410">
            <v>34</v>
          </cell>
          <cell r="C410" t="str">
            <v>c</v>
          </cell>
          <cell r="D410">
            <v>834779</v>
          </cell>
          <cell r="E410" t="str">
            <v>수평보강재(교량용)</v>
          </cell>
          <cell r="F410" t="str">
            <v>(강관동바리)</v>
          </cell>
          <cell r="G410" t="str">
            <v>㎡</v>
          </cell>
          <cell r="I410">
            <v>0</v>
          </cell>
        </row>
        <row r="411">
          <cell r="A411" t="str">
            <v>E2</v>
          </cell>
          <cell r="B411">
            <v>0</v>
          </cell>
          <cell r="C411" t="str">
            <v>계</v>
          </cell>
          <cell r="D411">
            <v>834781</v>
          </cell>
          <cell r="I411">
            <v>0</v>
          </cell>
        </row>
        <row r="412">
          <cell r="A412" t="str">
            <v>T2</v>
          </cell>
          <cell r="B412">
            <v>414</v>
          </cell>
          <cell r="C412" t="str">
            <v>3.05</v>
          </cell>
          <cell r="D412">
            <v>834903</v>
          </cell>
          <cell r="E412" t="str">
            <v>철근가공조립</v>
          </cell>
          <cell r="I412">
            <v>0</v>
          </cell>
        </row>
        <row r="413">
          <cell r="A413" t="str">
            <v>D00271</v>
          </cell>
          <cell r="B413">
            <v>6.6219999999999999</v>
          </cell>
          <cell r="C413" t="str">
            <v>a</v>
          </cell>
          <cell r="D413">
            <v>834905</v>
          </cell>
          <cell r="E413" t="str">
            <v>철근가공조립</v>
          </cell>
          <cell r="F413" t="str">
            <v>(보 통)</v>
          </cell>
          <cell r="G413" t="str">
            <v>Ton</v>
          </cell>
          <cell r="I413">
            <v>0</v>
          </cell>
        </row>
        <row r="414">
          <cell r="A414" t="str">
            <v>D00272</v>
          </cell>
          <cell r="B414">
            <v>75.465000000000003</v>
          </cell>
          <cell r="C414" t="str">
            <v>b</v>
          </cell>
          <cell r="D414">
            <v>834907</v>
          </cell>
          <cell r="E414" t="str">
            <v>철근가공조립</v>
          </cell>
          <cell r="F414" t="str">
            <v>(복 잡)</v>
          </cell>
          <cell r="G414" t="str">
            <v>Ton</v>
          </cell>
          <cell r="I414">
            <v>0</v>
          </cell>
        </row>
        <row r="415">
          <cell r="A415" t="str">
            <v>E2</v>
          </cell>
          <cell r="B415">
            <v>0</v>
          </cell>
          <cell r="C415" t="str">
            <v>계</v>
          </cell>
          <cell r="D415">
            <v>834910</v>
          </cell>
          <cell r="I415">
            <v>0</v>
          </cell>
        </row>
        <row r="416">
          <cell r="A416" t="str">
            <v>T2</v>
          </cell>
          <cell r="B416">
            <v>419</v>
          </cell>
          <cell r="C416" t="str">
            <v>3.06</v>
          </cell>
          <cell r="D416">
            <v>834911</v>
          </cell>
          <cell r="E416" t="str">
            <v>콘크리트타설</v>
          </cell>
          <cell r="I416">
            <v>0</v>
          </cell>
        </row>
        <row r="417">
          <cell r="A417" t="str">
            <v>D00237</v>
          </cell>
          <cell r="B417">
            <v>572</v>
          </cell>
          <cell r="C417" t="str">
            <v>a</v>
          </cell>
          <cell r="D417">
            <v>834975</v>
          </cell>
          <cell r="E417" t="str">
            <v>콘크리트타설</v>
          </cell>
          <cell r="F417" t="str">
            <v>(철근 펌프카)</v>
          </cell>
          <cell r="G417" t="str">
            <v>㎥</v>
          </cell>
          <cell r="I417">
            <v>0</v>
          </cell>
        </row>
        <row r="418">
          <cell r="A418" t="str">
            <v>D00238</v>
          </cell>
          <cell r="B418">
            <v>183</v>
          </cell>
          <cell r="C418" t="str">
            <v>b</v>
          </cell>
          <cell r="D418">
            <v>834991</v>
          </cell>
          <cell r="E418" t="str">
            <v>콘크리트타설</v>
          </cell>
          <cell r="F418" t="str">
            <v>(무근 펌프카)</v>
          </cell>
          <cell r="G418" t="str">
            <v>㎥</v>
          </cell>
          <cell r="I418">
            <v>0</v>
          </cell>
        </row>
        <row r="419">
          <cell r="A419" t="str">
            <v>D00231</v>
          </cell>
          <cell r="B419">
            <v>9</v>
          </cell>
          <cell r="C419" t="str">
            <v>c</v>
          </cell>
          <cell r="D419">
            <v>835007</v>
          </cell>
          <cell r="E419" t="str">
            <v>콘크리트타설</v>
          </cell>
          <cell r="F419" t="str">
            <v>(무근 VIB 제외)</v>
          </cell>
          <cell r="G419" t="str">
            <v>㎥</v>
          </cell>
          <cell r="I419">
            <v>0</v>
          </cell>
        </row>
        <row r="420">
          <cell r="A420" t="str">
            <v>E2</v>
          </cell>
          <cell r="B420">
            <v>0</v>
          </cell>
          <cell r="C420" t="str">
            <v>계</v>
          </cell>
          <cell r="D420">
            <v>835039</v>
          </cell>
          <cell r="I420">
            <v>0</v>
          </cell>
        </row>
        <row r="421">
          <cell r="A421" t="str">
            <v>T2</v>
          </cell>
          <cell r="B421">
            <v>423</v>
          </cell>
          <cell r="C421" t="str">
            <v>3.07</v>
          </cell>
          <cell r="D421">
            <v>835047</v>
          </cell>
          <cell r="E421" t="str">
            <v>표 면 처 리</v>
          </cell>
          <cell r="I421">
            <v>0</v>
          </cell>
        </row>
        <row r="422">
          <cell r="A422" t="str">
            <v>D00537</v>
          </cell>
          <cell r="B422">
            <v>267</v>
          </cell>
          <cell r="C422" t="str">
            <v>a</v>
          </cell>
          <cell r="D422">
            <v>835051</v>
          </cell>
          <cell r="E422" t="str">
            <v>슬래브양생</v>
          </cell>
          <cell r="F422" t="str">
            <v>(양생제)</v>
          </cell>
          <cell r="G422" t="str">
            <v>㎡</v>
          </cell>
          <cell r="I422">
            <v>0</v>
          </cell>
        </row>
        <row r="423">
          <cell r="A423" t="str">
            <v>D00539</v>
          </cell>
          <cell r="B423">
            <v>240</v>
          </cell>
          <cell r="C423" t="str">
            <v>b</v>
          </cell>
          <cell r="D423">
            <v>835053</v>
          </cell>
          <cell r="E423" t="str">
            <v>슬래브면고르기</v>
          </cell>
          <cell r="F423" t="str">
            <v>(데크 피니샤)</v>
          </cell>
          <cell r="G423" t="str">
            <v>㎡</v>
          </cell>
          <cell r="I423">
            <v>0</v>
          </cell>
        </row>
        <row r="424">
          <cell r="A424" t="str">
            <v>E2</v>
          </cell>
          <cell r="B424">
            <v>0</v>
          </cell>
          <cell r="C424" t="str">
            <v>계</v>
          </cell>
          <cell r="D424">
            <v>835054</v>
          </cell>
          <cell r="I424">
            <v>0</v>
          </cell>
        </row>
        <row r="425">
          <cell r="A425" t="str">
            <v>T2</v>
          </cell>
          <cell r="B425">
            <v>429</v>
          </cell>
          <cell r="C425" t="str">
            <v>3.08</v>
          </cell>
          <cell r="D425">
            <v>835182</v>
          </cell>
          <cell r="E425" t="str">
            <v>교좌장치</v>
          </cell>
          <cell r="I425">
            <v>0</v>
          </cell>
        </row>
        <row r="426">
          <cell r="A426" t="str">
            <v>D00545</v>
          </cell>
          <cell r="B426">
            <v>1</v>
          </cell>
          <cell r="C426" t="str">
            <v>a</v>
          </cell>
          <cell r="D426">
            <v>835278</v>
          </cell>
          <cell r="E426" t="str">
            <v>교좌장치</v>
          </cell>
          <cell r="F426" t="str">
            <v>(고정단 135 Ton)</v>
          </cell>
          <cell r="G426" t="str">
            <v>EA</v>
          </cell>
          <cell r="I426">
            <v>0</v>
          </cell>
        </row>
        <row r="427">
          <cell r="A427" t="str">
            <v>D00549</v>
          </cell>
          <cell r="B427">
            <v>3</v>
          </cell>
          <cell r="C427" t="str">
            <v>b</v>
          </cell>
          <cell r="D427">
            <v>835326</v>
          </cell>
          <cell r="E427" t="str">
            <v>교좌장치</v>
          </cell>
          <cell r="F427" t="str">
            <v>(횡방향가동단135Ton)</v>
          </cell>
          <cell r="G427" t="str">
            <v>EA</v>
          </cell>
          <cell r="I427">
            <v>0</v>
          </cell>
        </row>
        <row r="428">
          <cell r="A428" t="str">
            <v>D00548</v>
          </cell>
          <cell r="B428">
            <v>1</v>
          </cell>
          <cell r="C428" t="str">
            <v>c</v>
          </cell>
          <cell r="D428">
            <v>835350</v>
          </cell>
          <cell r="E428" t="str">
            <v>교좌장치</v>
          </cell>
          <cell r="F428" t="str">
            <v>(종방향가동단135Ton)</v>
          </cell>
          <cell r="G428" t="str">
            <v>EA</v>
          </cell>
          <cell r="I428">
            <v>0</v>
          </cell>
        </row>
        <row r="429">
          <cell r="A429" t="str">
            <v>D00547</v>
          </cell>
          <cell r="B429">
            <v>3</v>
          </cell>
          <cell r="C429" t="str">
            <v>d</v>
          </cell>
          <cell r="D429">
            <v>835362</v>
          </cell>
          <cell r="E429" t="str">
            <v>교좌장치</v>
          </cell>
          <cell r="F429" t="str">
            <v>(양방향가동단135Ton)</v>
          </cell>
          <cell r="G429" t="str">
            <v>EA</v>
          </cell>
          <cell r="I429">
            <v>0</v>
          </cell>
        </row>
        <row r="430">
          <cell r="A430" t="str">
            <v>E2</v>
          </cell>
          <cell r="B430">
            <v>0</v>
          </cell>
          <cell r="C430" t="str">
            <v>계</v>
          </cell>
          <cell r="D430">
            <v>835368</v>
          </cell>
          <cell r="I430">
            <v>0</v>
          </cell>
        </row>
        <row r="431">
          <cell r="A431" t="str">
            <v>T2</v>
          </cell>
          <cell r="B431">
            <v>434</v>
          </cell>
          <cell r="C431" t="str">
            <v>3.09</v>
          </cell>
          <cell r="D431">
            <v>835496</v>
          </cell>
          <cell r="E431" t="str">
            <v>P.S.C BEAM</v>
          </cell>
          <cell r="I431">
            <v>0</v>
          </cell>
        </row>
        <row r="432">
          <cell r="A432" t="str">
            <v>D00619</v>
          </cell>
          <cell r="B432">
            <v>4</v>
          </cell>
          <cell r="C432" t="str">
            <v>a</v>
          </cell>
          <cell r="D432">
            <v>835560</v>
          </cell>
          <cell r="E432" t="str">
            <v>P.S.C BEAM 제작</v>
          </cell>
          <cell r="F432" t="str">
            <v>(L=30 M)</v>
          </cell>
          <cell r="G432" t="str">
            <v>본</v>
          </cell>
          <cell r="I432">
            <v>0</v>
          </cell>
        </row>
        <row r="433">
          <cell r="A433" t="str">
            <v>D00606</v>
          </cell>
          <cell r="B433">
            <v>4</v>
          </cell>
          <cell r="C433" t="str">
            <v>b</v>
          </cell>
          <cell r="D433">
            <v>835624</v>
          </cell>
          <cell r="E433" t="str">
            <v>P.S.C 빔 운반및설치</v>
          </cell>
          <cell r="F433" t="str">
            <v>(L=30 M)</v>
          </cell>
          <cell r="G433" t="str">
            <v>EA</v>
          </cell>
          <cell r="I433">
            <v>0</v>
          </cell>
        </row>
        <row r="434">
          <cell r="A434" t="str">
            <v>D01130</v>
          </cell>
          <cell r="B434">
            <v>4</v>
          </cell>
          <cell r="C434" t="str">
            <v>c</v>
          </cell>
          <cell r="D434">
            <v>835688</v>
          </cell>
          <cell r="E434" t="str">
            <v>P.S.C빔 전도방지시설</v>
          </cell>
          <cell r="G434" t="str">
            <v>본</v>
          </cell>
          <cell r="I434">
            <v>0</v>
          </cell>
        </row>
        <row r="435">
          <cell r="A435" t="str">
            <v>E2</v>
          </cell>
          <cell r="B435">
            <v>0</v>
          </cell>
          <cell r="C435" t="str">
            <v>계</v>
          </cell>
          <cell r="D435">
            <v>835720</v>
          </cell>
          <cell r="I435">
            <v>0</v>
          </cell>
        </row>
        <row r="436">
          <cell r="A436" t="str">
            <v>T2</v>
          </cell>
          <cell r="B436">
            <v>438</v>
          </cell>
          <cell r="C436" t="str">
            <v>3.10</v>
          </cell>
          <cell r="D436">
            <v>835784</v>
          </cell>
          <cell r="E436" t="str">
            <v>신축이음장치</v>
          </cell>
          <cell r="I436">
            <v>0</v>
          </cell>
        </row>
        <row r="437">
          <cell r="A437" t="str">
            <v>D03819</v>
          </cell>
          <cell r="B437">
            <v>8</v>
          </cell>
          <cell r="C437" t="str">
            <v>a</v>
          </cell>
          <cell r="D437">
            <v>835800</v>
          </cell>
          <cell r="E437" t="str">
            <v>신축이음장치</v>
          </cell>
          <cell r="F437" t="str">
            <v>(Rail-No 80)</v>
          </cell>
          <cell r="G437" t="str">
            <v>M</v>
          </cell>
          <cell r="I437">
            <v>0</v>
          </cell>
        </row>
        <row r="438">
          <cell r="A438" t="str">
            <v>D01313</v>
          </cell>
          <cell r="B438">
            <v>8</v>
          </cell>
          <cell r="C438" t="str">
            <v>b</v>
          </cell>
          <cell r="D438">
            <v>835816</v>
          </cell>
          <cell r="E438" t="str">
            <v>신축이음장치</v>
          </cell>
          <cell r="F438" t="str">
            <v>(Rail-No100)</v>
          </cell>
          <cell r="G438" t="str">
            <v>M</v>
          </cell>
          <cell r="I438">
            <v>0</v>
          </cell>
        </row>
        <row r="439">
          <cell r="A439" t="str">
            <v>E2</v>
          </cell>
          <cell r="B439">
            <v>0</v>
          </cell>
          <cell r="C439" t="str">
            <v>계</v>
          </cell>
          <cell r="D439">
            <v>835848</v>
          </cell>
          <cell r="I439">
            <v>0</v>
          </cell>
        </row>
        <row r="440">
          <cell r="A440" t="str">
            <v>D00535</v>
          </cell>
          <cell r="B440">
            <v>240</v>
          </cell>
          <cell r="C440" t="str">
            <v>3.11</v>
          </cell>
          <cell r="D440">
            <v>835976</v>
          </cell>
          <cell r="E440" t="str">
            <v>교면방수</v>
          </cell>
          <cell r="F440" t="str">
            <v>(도막식)</v>
          </cell>
          <cell r="G440" t="str">
            <v>㎡</v>
          </cell>
          <cell r="I440">
            <v>0</v>
          </cell>
        </row>
        <row r="441">
          <cell r="A441" t="str">
            <v>T2</v>
          </cell>
          <cell r="B441">
            <v>445</v>
          </cell>
          <cell r="C441" t="str">
            <v>3.12</v>
          </cell>
          <cell r="D441">
            <v>836040</v>
          </cell>
          <cell r="E441" t="str">
            <v>접속슬래브 접합공</v>
          </cell>
          <cell r="I441">
            <v>0</v>
          </cell>
        </row>
        <row r="442">
          <cell r="A442" t="str">
            <v>D01067</v>
          </cell>
          <cell r="B442">
            <v>36</v>
          </cell>
          <cell r="C442" t="str">
            <v>a</v>
          </cell>
          <cell r="D442">
            <v>836072</v>
          </cell>
          <cell r="E442" t="str">
            <v>다웰바 설치</v>
          </cell>
          <cell r="F442" t="str">
            <v>(D=25 m/m, L=500)</v>
          </cell>
          <cell r="G442" t="str">
            <v>EA</v>
          </cell>
          <cell r="I442">
            <v>0</v>
          </cell>
        </row>
        <row r="443">
          <cell r="A443" t="str">
            <v>D01190</v>
          </cell>
          <cell r="B443">
            <v>10</v>
          </cell>
          <cell r="C443" t="str">
            <v>b</v>
          </cell>
          <cell r="D443">
            <v>836104</v>
          </cell>
          <cell r="E443" t="str">
            <v>다웰-켑 설치</v>
          </cell>
          <cell r="F443" t="str">
            <v>(Φ60 m/m)</v>
          </cell>
          <cell r="G443" t="str">
            <v>M</v>
          </cell>
          <cell r="I443">
            <v>0</v>
          </cell>
        </row>
        <row r="444">
          <cell r="A444" t="str">
            <v>D00540</v>
          </cell>
          <cell r="B444">
            <v>36</v>
          </cell>
          <cell r="C444" t="str">
            <v>c</v>
          </cell>
          <cell r="D444">
            <v>836106</v>
          </cell>
          <cell r="E444" t="str">
            <v>경질고무판</v>
          </cell>
          <cell r="F444" t="str">
            <v>(150x150)</v>
          </cell>
          <cell r="G444" t="str">
            <v>EA</v>
          </cell>
          <cell r="I444">
            <v>0</v>
          </cell>
        </row>
        <row r="445">
          <cell r="A445" t="str">
            <v>D00566</v>
          </cell>
          <cell r="B445">
            <v>6</v>
          </cell>
          <cell r="C445" t="str">
            <v>d</v>
          </cell>
          <cell r="D445">
            <v>836107</v>
          </cell>
          <cell r="E445" t="str">
            <v>타르페이퍼 설치</v>
          </cell>
          <cell r="F445" t="str">
            <v>(5 겹)</v>
          </cell>
          <cell r="G445" t="str">
            <v>㎡</v>
          </cell>
          <cell r="I445">
            <v>0</v>
          </cell>
        </row>
        <row r="446">
          <cell r="A446" t="str">
            <v>E2</v>
          </cell>
          <cell r="B446">
            <v>0</v>
          </cell>
          <cell r="C446" t="str">
            <v>계</v>
          </cell>
          <cell r="D446">
            <v>836139</v>
          </cell>
          <cell r="I446">
            <v>0</v>
          </cell>
        </row>
        <row r="447">
          <cell r="A447" t="str">
            <v>T2</v>
          </cell>
          <cell r="B447">
            <v>449</v>
          </cell>
          <cell r="C447" t="str">
            <v>3.13</v>
          </cell>
          <cell r="D447">
            <v>836172</v>
          </cell>
          <cell r="E447" t="str">
            <v>무수축 콘크리트</v>
          </cell>
          <cell r="I447">
            <v>0</v>
          </cell>
        </row>
        <row r="448">
          <cell r="A448" t="str">
            <v>D00567</v>
          </cell>
          <cell r="B448">
            <v>0.377</v>
          </cell>
          <cell r="C448" t="str">
            <v>a</v>
          </cell>
          <cell r="D448">
            <v>836188</v>
          </cell>
          <cell r="E448" t="str">
            <v>무수축몰탈</v>
          </cell>
          <cell r="F448" t="str">
            <v>(1:1)</v>
          </cell>
          <cell r="G448" t="str">
            <v>㎥</v>
          </cell>
          <cell r="I448">
            <v>0</v>
          </cell>
        </row>
        <row r="449">
          <cell r="A449" t="str">
            <v>D00568</v>
          </cell>
          <cell r="B449">
            <v>3.04</v>
          </cell>
          <cell r="C449" t="str">
            <v>b</v>
          </cell>
          <cell r="D449">
            <v>836196</v>
          </cell>
          <cell r="E449" t="str">
            <v>무수축콘크리트</v>
          </cell>
          <cell r="G449" t="str">
            <v>㎥</v>
          </cell>
          <cell r="I449">
            <v>0</v>
          </cell>
        </row>
        <row r="450">
          <cell r="A450" t="str">
            <v>E2</v>
          </cell>
          <cell r="B450">
            <v>0</v>
          </cell>
          <cell r="C450" t="str">
            <v>계</v>
          </cell>
          <cell r="D450">
            <v>836200</v>
          </cell>
          <cell r="I450">
            <v>0</v>
          </cell>
        </row>
        <row r="451">
          <cell r="A451" t="str">
            <v>T2</v>
          </cell>
          <cell r="B451">
            <v>453</v>
          </cell>
          <cell r="C451" t="str">
            <v>3.14</v>
          </cell>
          <cell r="D451">
            <v>836202</v>
          </cell>
          <cell r="E451" t="str">
            <v>스치로폴 설치</v>
          </cell>
          <cell r="I451">
            <v>0</v>
          </cell>
        </row>
        <row r="452">
          <cell r="A452" t="str">
            <v>D00853</v>
          </cell>
          <cell r="B452">
            <v>3</v>
          </cell>
          <cell r="C452" t="str">
            <v>a</v>
          </cell>
          <cell r="D452">
            <v>836460</v>
          </cell>
          <cell r="E452" t="str">
            <v>스치로폴설치</v>
          </cell>
          <cell r="F452" t="str">
            <v>(T=10 m/m)</v>
          </cell>
          <cell r="G452" t="str">
            <v>㎡</v>
          </cell>
          <cell r="I452">
            <v>0</v>
          </cell>
        </row>
        <row r="453">
          <cell r="A453" t="str">
            <v>D00532</v>
          </cell>
          <cell r="B453">
            <v>15</v>
          </cell>
          <cell r="C453" t="str">
            <v>b</v>
          </cell>
          <cell r="D453">
            <v>836588</v>
          </cell>
          <cell r="E453" t="str">
            <v>스치로폴설치</v>
          </cell>
          <cell r="F453" t="str">
            <v>(T=20 m/m)</v>
          </cell>
          <cell r="G453" t="str">
            <v>㎡</v>
          </cell>
          <cell r="I453">
            <v>0</v>
          </cell>
        </row>
        <row r="454">
          <cell r="A454" t="str">
            <v>E2</v>
          </cell>
          <cell r="B454">
            <v>0</v>
          </cell>
          <cell r="C454" t="str">
            <v>계</v>
          </cell>
          <cell r="D454">
            <v>836589</v>
          </cell>
          <cell r="I454">
            <v>0</v>
          </cell>
        </row>
        <row r="455">
          <cell r="A455" t="str">
            <v>T2</v>
          </cell>
          <cell r="B455">
            <v>459</v>
          </cell>
          <cell r="C455" t="str">
            <v>3.15</v>
          </cell>
          <cell r="D455">
            <v>836716</v>
          </cell>
          <cell r="E455" t="str">
            <v>배수시설</v>
          </cell>
          <cell r="I455">
            <v>0</v>
          </cell>
        </row>
        <row r="456">
          <cell r="A456" t="str">
            <v>D00572</v>
          </cell>
          <cell r="B456">
            <v>4</v>
          </cell>
          <cell r="C456" t="str">
            <v>a</v>
          </cell>
          <cell r="D456">
            <v>836717</v>
          </cell>
          <cell r="E456" t="str">
            <v>집 수 구</v>
          </cell>
          <cell r="G456" t="str">
            <v>EA</v>
          </cell>
          <cell r="I456">
            <v>0</v>
          </cell>
        </row>
        <row r="457">
          <cell r="A457" t="str">
            <v>D00573</v>
          </cell>
          <cell r="B457">
            <v>17</v>
          </cell>
          <cell r="C457" t="str">
            <v>b</v>
          </cell>
          <cell r="D457">
            <v>836718</v>
          </cell>
          <cell r="E457" t="str">
            <v>배 수 구</v>
          </cell>
          <cell r="F457" t="str">
            <v>(스테인레스관)</v>
          </cell>
          <cell r="G457" t="str">
            <v>M</v>
          </cell>
          <cell r="I457">
            <v>0</v>
          </cell>
        </row>
        <row r="458">
          <cell r="A458" t="str">
            <v>D00574</v>
          </cell>
          <cell r="B458">
            <v>10</v>
          </cell>
          <cell r="C458" t="str">
            <v>c</v>
          </cell>
          <cell r="D458">
            <v>836782</v>
          </cell>
          <cell r="E458" t="str">
            <v>부착시설(A)</v>
          </cell>
          <cell r="G458" t="str">
            <v>EA</v>
          </cell>
          <cell r="I458">
            <v>0</v>
          </cell>
        </row>
        <row r="459">
          <cell r="A459" t="str">
            <v>D00577</v>
          </cell>
          <cell r="B459">
            <v>15</v>
          </cell>
          <cell r="C459" t="str">
            <v>d</v>
          </cell>
          <cell r="D459">
            <v>836814</v>
          </cell>
          <cell r="E459" t="str">
            <v>도 수 로</v>
          </cell>
          <cell r="G459" t="str">
            <v>M</v>
          </cell>
          <cell r="I459">
            <v>0</v>
          </cell>
        </row>
        <row r="460">
          <cell r="A460" t="str">
            <v>E2</v>
          </cell>
          <cell r="B460">
            <v>0</v>
          </cell>
          <cell r="C460" t="str">
            <v>계</v>
          </cell>
          <cell r="D460">
            <v>836830</v>
          </cell>
          <cell r="I460">
            <v>0</v>
          </cell>
        </row>
        <row r="461">
          <cell r="A461" t="str">
            <v>T2</v>
          </cell>
          <cell r="B461">
            <v>463</v>
          </cell>
          <cell r="C461" t="str">
            <v>3.16</v>
          </cell>
          <cell r="D461">
            <v>836846</v>
          </cell>
          <cell r="E461" t="str">
            <v>스페이서설치</v>
          </cell>
          <cell r="I461">
            <v>0</v>
          </cell>
        </row>
        <row r="462">
          <cell r="A462" t="str">
            <v>D00588</v>
          </cell>
          <cell r="B462">
            <v>488</v>
          </cell>
          <cell r="C462" t="str">
            <v>a</v>
          </cell>
          <cell r="D462">
            <v>836862</v>
          </cell>
          <cell r="E462" t="str">
            <v>스페이서 설치</v>
          </cell>
          <cell r="F462" t="str">
            <v>(슬라브및기초용)</v>
          </cell>
          <cell r="G462" t="str">
            <v>㎡</v>
          </cell>
          <cell r="I462">
            <v>0</v>
          </cell>
        </row>
        <row r="463">
          <cell r="A463" t="str">
            <v>D01070</v>
          </cell>
          <cell r="B463">
            <v>110</v>
          </cell>
          <cell r="C463" t="str">
            <v>b</v>
          </cell>
          <cell r="D463">
            <v>836870</v>
          </cell>
          <cell r="E463" t="str">
            <v>스페이서 설치</v>
          </cell>
          <cell r="F463" t="str">
            <v>(벽체용)</v>
          </cell>
          <cell r="G463" t="str">
            <v>㎡</v>
          </cell>
          <cell r="I463">
            <v>0</v>
          </cell>
        </row>
        <row r="464">
          <cell r="A464" t="str">
            <v>E2</v>
          </cell>
          <cell r="B464">
            <v>0</v>
          </cell>
          <cell r="C464" t="str">
            <v>계</v>
          </cell>
          <cell r="D464">
            <v>836874</v>
          </cell>
          <cell r="I464">
            <v>0</v>
          </cell>
        </row>
        <row r="465">
          <cell r="A465" t="str">
            <v>T2</v>
          </cell>
          <cell r="B465">
            <v>468</v>
          </cell>
          <cell r="C465" t="str">
            <v>3.17</v>
          </cell>
          <cell r="D465">
            <v>836892</v>
          </cell>
          <cell r="E465" t="str">
            <v>교명판 설명판</v>
          </cell>
          <cell r="I465">
            <v>0</v>
          </cell>
        </row>
        <row r="466">
          <cell r="A466" t="str">
            <v>D00581</v>
          </cell>
          <cell r="B466">
            <v>4</v>
          </cell>
          <cell r="C466" t="str">
            <v>a</v>
          </cell>
          <cell r="D466">
            <v>836893</v>
          </cell>
          <cell r="E466" t="str">
            <v>교 명 주</v>
          </cell>
          <cell r="F466" t="str">
            <v>(소형,화강석)</v>
          </cell>
          <cell r="G466" t="str">
            <v>기</v>
          </cell>
          <cell r="I466">
            <v>0</v>
          </cell>
        </row>
        <row r="467">
          <cell r="A467" t="str">
            <v>D00583</v>
          </cell>
          <cell r="B467">
            <v>2</v>
          </cell>
          <cell r="C467" t="str">
            <v>b</v>
          </cell>
          <cell r="D467">
            <v>836894</v>
          </cell>
          <cell r="E467" t="str">
            <v>교 명 판(황동주물)</v>
          </cell>
          <cell r="F467" t="str">
            <v>(450x200x10)</v>
          </cell>
          <cell r="G467" t="str">
            <v>EA</v>
          </cell>
          <cell r="I467">
            <v>0</v>
          </cell>
        </row>
        <row r="468">
          <cell r="A468" t="str">
            <v>D00584</v>
          </cell>
          <cell r="B468">
            <v>2</v>
          </cell>
          <cell r="C468" t="str">
            <v>c</v>
          </cell>
          <cell r="D468">
            <v>836958</v>
          </cell>
          <cell r="E468" t="str">
            <v>설 명 판(황동주물)</v>
          </cell>
          <cell r="F468" t="str">
            <v>(500x300x10)</v>
          </cell>
          <cell r="G468" t="str">
            <v>EA</v>
          </cell>
          <cell r="I468">
            <v>0</v>
          </cell>
        </row>
        <row r="469">
          <cell r="A469" t="str">
            <v>E2</v>
          </cell>
          <cell r="B469">
            <v>0</v>
          </cell>
          <cell r="C469" t="str">
            <v>계</v>
          </cell>
          <cell r="D469">
            <v>836990</v>
          </cell>
          <cell r="I469">
            <v>0</v>
          </cell>
        </row>
        <row r="470">
          <cell r="A470" t="str">
            <v>D00594</v>
          </cell>
          <cell r="B470">
            <v>1</v>
          </cell>
          <cell r="C470" t="str">
            <v>3.18</v>
          </cell>
          <cell r="D470">
            <v>836998</v>
          </cell>
          <cell r="E470" t="str">
            <v>측량기준점 설치</v>
          </cell>
          <cell r="F470" t="str">
            <v>(황동주물)</v>
          </cell>
          <cell r="G470" t="str">
            <v>EA</v>
          </cell>
          <cell r="I470">
            <v>0</v>
          </cell>
        </row>
        <row r="471">
          <cell r="A471" t="str">
            <v>D01224</v>
          </cell>
          <cell r="B471">
            <v>21</v>
          </cell>
          <cell r="C471" t="str">
            <v>3.19</v>
          </cell>
          <cell r="D471">
            <v>837426</v>
          </cell>
          <cell r="E471" t="str">
            <v>폴리우레탄실란트채움</v>
          </cell>
          <cell r="F471" t="str">
            <v>(25x10)</v>
          </cell>
          <cell r="G471" t="str">
            <v>M</v>
          </cell>
          <cell r="I471">
            <v>0</v>
          </cell>
        </row>
        <row r="472">
          <cell r="A472" t="str">
            <v>D01308</v>
          </cell>
          <cell r="B472">
            <v>111</v>
          </cell>
          <cell r="C472" t="str">
            <v>3.20</v>
          </cell>
          <cell r="D472">
            <v>837438</v>
          </cell>
          <cell r="E472" t="str">
            <v>강섬유보강재</v>
          </cell>
          <cell r="F472" t="str">
            <v>(900 g/㎥)</v>
          </cell>
          <cell r="G472" t="str">
            <v>㎥</v>
          </cell>
          <cell r="I472">
            <v>0</v>
          </cell>
        </row>
        <row r="473">
          <cell r="A473" t="str">
            <v>D01309</v>
          </cell>
          <cell r="B473">
            <v>16</v>
          </cell>
          <cell r="C473" t="str">
            <v>3.21</v>
          </cell>
          <cell r="D473">
            <v>837934</v>
          </cell>
          <cell r="E473" t="str">
            <v>모래주머니</v>
          </cell>
          <cell r="G473" t="str">
            <v>EA</v>
          </cell>
          <cell r="I473">
            <v>0</v>
          </cell>
        </row>
        <row r="474">
          <cell r="A474" t="str">
            <v>D00911</v>
          </cell>
          <cell r="B474">
            <v>82</v>
          </cell>
          <cell r="C474" t="str">
            <v>3.22</v>
          </cell>
          <cell r="D474">
            <v>990931</v>
          </cell>
          <cell r="E474" t="str">
            <v>방 호 벽</v>
          </cell>
          <cell r="F474" t="str">
            <v>(육교용)</v>
          </cell>
          <cell r="G474" t="str">
            <v>M</v>
          </cell>
          <cell r="I474">
            <v>0</v>
          </cell>
        </row>
        <row r="475">
          <cell r="A475" t="str">
            <v>D00791</v>
          </cell>
          <cell r="B475">
            <v>8</v>
          </cell>
          <cell r="C475" t="str">
            <v>3.23</v>
          </cell>
          <cell r="D475">
            <v>1067429</v>
          </cell>
          <cell r="E475" t="str">
            <v>교좌장치표지판</v>
          </cell>
          <cell r="G475" t="str">
            <v>EA</v>
          </cell>
          <cell r="I475">
            <v>0</v>
          </cell>
        </row>
        <row r="476">
          <cell r="A476" t="str">
            <v>D00817</v>
          </cell>
          <cell r="B476">
            <v>3.5999999999999997E-2</v>
          </cell>
          <cell r="C476" t="str">
            <v>3.24</v>
          </cell>
          <cell r="D476">
            <v>1105678</v>
          </cell>
          <cell r="E476" t="str">
            <v>아스팔트 채움</v>
          </cell>
          <cell r="F476" t="str">
            <v>(브론아스팔트)</v>
          </cell>
          <cell r="G476" t="str">
            <v>㎥</v>
          </cell>
          <cell r="I476">
            <v>0</v>
          </cell>
        </row>
        <row r="477">
          <cell r="A477" t="str">
            <v>D03871</v>
          </cell>
          <cell r="B477">
            <v>6</v>
          </cell>
          <cell r="C477" t="str">
            <v>3.25</v>
          </cell>
          <cell r="D477">
            <v>1124803</v>
          </cell>
          <cell r="E477" t="str">
            <v>평판재하시험</v>
          </cell>
          <cell r="G477" t="str">
            <v>개소</v>
          </cell>
          <cell r="I477">
            <v>0</v>
          </cell>
        </row>
        <row r="478">
          <cell r="A478" t="str">
            <v>E3</v>
          </cell>
          <cell r="B478">
            <v>0</v>
          </cell>
          <cell r="C478" t="str">
            <v>합계</v>
          </cell>
          <cell r="D478">
            <v>1143927</v>
          </cell>
          <cell r="I478">
            <v>0</v>
          </cell>
        </row>
        <row r="479">
          <cell r="A479" t="str">
            <v>T3</v>
          </cell>
          <cell r="B479">
            <v>588</v>
          </cell>
          <cell r="C479" t="str">
            <v>3.C</v>
          </cell>
          <cell r="D479">
            <v>1144055</v>
          </cell>
          <cell r="E479" t="str">
            <v>마    온    교</v>
          </cell>
          <cell r="F479" t="str">
            <v>PRE-FLEX BEAM</v>
          </cell>
          <cell r="I479">
            <v>0</v>
          </cell>
        </row>
        <row r="480">
          <cell r="A480" t="str">
            <v>T2</v>
          </cell>
          <cell r="B480">
            <v>488</v>
          </cell>
          <cell r="C480" t="str">
            <v>3.01</v>
          </cell>
          <cell r="D480">
            <v>1144183</v>
          </cell>
          <cell r="E480" t="str">
            <v>토          공</v>
          </cell>
          <cell r="I480">
            <v>0</v>
          </cell>
        </row>
        <row r="481">
          <cell r="A481" t="str">
            <v>D00096</v>
          </cell>
          <cell r="B481">
            <v>656</v>
          </cell>
          <cell r="C481" t="str">
            <v>a</v>
          </cell>
          <cell r="D481">
            <v>1297480</v>
          </cell>
          <cell r="E481" t="str">
            <v>구조물터파기</v>
          </cell>
          <cell r="F481" t="str">
            <v>(육상토사 0∼2 M)</v>
          </cell>
          <cell r="G481" t="str">
            <v>㎥</v>
          </cell>
          <cell r="I481">
            <v>0</v>
          </cell>
        </row>
        <row r="482">
          <cell r="A482" t="str">
            <v>D00097</v>
          </cell>
          <cell r="B482">
            <v>178</v>
          </cell>
          <cell r="C482" t="str">
            <v>b</v>
          </cell>
          <cell r="D482">
            <v>1297816</v>
          </cell>
          <cell r="E482" t="str">
            <v>구조물터파기</v>
          </cell>
          <cell r="F482" t="str">
            <v>(육상토사 2∼4 M)</v>
          </cell>
          <cell r="G482" t="str">
            <v>㎥</v>
          </cell>
          <cell r="I482">
            <v>0</v>
          </cell>
        </row>
        <row r="483">
          <cell r="A483" t="str">
            <v>D00121</v>
          </cell>
          <cell r="B483">
            <v>285</v>
          </cell>
          <cell r="C483" t="str">
            <v>c</v>
          </cell>
          <cell r="D483">
            <v>1297900</v>
          </cell>
          <cell r="E483" t="str">
            <v>구조물터파기</v>
          </cell>
          <cell r="F483" t="str">
            <v>(육상풍화암 0∼1 M)</v>
          </cell>
          <cell r="G483" t="str">
            <v>㎥</v>
          </cell>
          <cell r="I483">
            <v>0</v>
          </cell>
        </row>
        <row r="484">
          <cell r="A484" t="str">
            <v>D00130</v>
          </cell>
          <cell r="B484">
            <v>317</v>
          </cell>
          <cell r="C484" t="str">
            <v>d</v>
          </cell>
          <cell r="D484">
            <v>1297984</v>
          </cell>
          <cell r="E484" t="str">
            <v>구조물터파기</v>
          </cell>
          <cell r="F484" t="str">
            <v>(육상풍화암 1∼2 M)</v>
          </cell>
          <cell r="G484" t="str">
            <v>㎥</v>
          </cell>
          <cell r="I484">
            <v>0</v>
          </cell>
        </row>
        <row r="485">
          <cell r="A485" t="str">
            <v>D00131</v>
          </cell>
          <cell r="B485">
            <v>38</v>
          </cell>
          <cell r="C485" t="str">
            <v>e</v>
          </cell>
          <cell r="D485">
            <v>1298068</v>
          </cell>
          <cell r="E485" t="str">
            <v>구조물터파기</v>
          </cell>
          <cell r="F485" t="str">
            <v>(육상풍화암 2∼3 M)</v>
          </cell>
          <cell r="G485" t="str">
            <v>㎥</v>
          </cell>
          <cell r="I485">
            <v>0</v>
          </cell>
        </row>
        <row r="486">
          <cell r="A486" t="str">
            <v>D03820</v>
          </cell>
          <cell r="B486">
            <v>84</v>
          </cell>
          <cell r="C486" t="str">
            <v>f</v>
          </cell>
          <cell r="D486">
            <v>1298110</v>
          </cell>
          <cell r="E486" t="str">
            <v>구조물터파기</v>
          </cell>
          <cell r="F486" t="str">
            <v>(육상풍화암 3∼4 M)</v>
          </cell>
          <cell r="G486" t="str">
            <v>㎥</v>
          </cell>
          <cell r="I486">
            <v>0</v>
          </cell>
        </row>
        <row r="487">
          <cell r="A487" t="str">
            <v>D00160</v>
          </cell>
          <cell r="B487">
            <v>1127</v>
          </cell>
          <cell r="C487" t="str">
            <v>g</v>
          </cell>
          <cell r="D487">
            <v>1298152</v>
          </cell>
          <cell r="E487" t="str">
            <v>되메우기및다짐</v>
          </cell>
          <cell r="F487" t="str">
            <v>(인력30%+백호우70%)</v>
          </cell>
          <cell r="G487" t="str">
            <v>㎥</v>
          </cell>
          <cell r="I487">
            <v>0</v>
          </cell>
        </row>
        <row r="488">
          <cell r="A488" t="str">
            <v>D00170</v>
          </cell>
          <cell r="B488">
            <v>1014</v>
          </cell>
          <cell r="C488" t="str">
            <v>h</v>
          </cell>
          <cell r="D488">
            <v>1298272</v>
          </cell>
          <cell r="E488" t="str">
            <v>뒷채움잡석</v>
          </cell>
          <cell r="F488" t="str">
            <v>(현장암유용)</v>
          </cell>
          <cell r="G488" t="str">
            <v>㎥</v>
          </cell>
          <cell r="I488">
            <v>0</v>
          </cell>
        </row>
        <row r="489">
          <cell r="A489" t="str">
            <v>E2</v>
          </cell>
          <cell r="B489">
            <v>0</v>
          </cell>
          <cell r="C489" t="str">
            <v>계</v>
          </cell>
          <cell r="D489">
            <v>1298392</v>
          </cell>
          <cell r="I489">
            <v>0</v>
          </cell>
        </row>
        <row r="490">
          <cell r="A490" t="str">
            <v>T2</v>
          </cell>
          <cell r="B490">
            <v>497</v>
          </cell>
          <cell r="C490" t="str">
            <v>3.02</v>
          </cell>
          <cell r="D490">
            <v>1298785</v>
          </cell>
          <cell r="E490" t="str">
            <v>강관파일공</v>
          </cell>
          <cell r="I490">
            <v>0</v>
          </cell>
        </row>
        <row r="491">
          <cell r="A491" t="str">
            <v>D00504</v>
          </cell>
          <cell r="B491">
            <v>480</v>
          </cell>
          <cell r="C491" t="str">
            <v>a</v>
          </cell>
          <cell r="D491">
            <v>1298913</v>
          </cell>
          <cell r="E491" t="str">
            <v>강관파일구입</v>
          </cell>
          <cell r="F491" t="str">
            <v>(Φ508.0m/mx9t)</v>
          </cell>
          <cell r="G491" t="str">
            <v>M</v>
          </cell>
          <cell r="I491">
            <v>0</v>
          </cell>
        </row>
        <row r="492">
          <cell r="A492" t="str">
            <v>D00512</v>
          </cell>
          <cell r="B492">
            <v>464</v>
          </cell>
          <cell r="C492" t="str">
            <v>b</v>
          </cell>
          <cell r="D492">
            <v>1298942</v>
          </cell>
          <cell r="E492" t="str">
            <v>강관파일항타(직항)</v>
          </cell>
          <cell r="F492" t="str">
            <v>Φ508(15 m 이하)</v>
          </cell>
          <cell r="G492" t="str">
            <v>M</v>
          </cell>
          <cell r="I492">
            <v>0</v>
          </cell>
        </row>
        <row r="493">
          <cell r="A493" t="str">
            <v>D03821</v>
          </cell>
          <cell r="B493">
            <v>300</v>
          </cell>
          <cell r="C493" t="str">
            <v>c</v>
          </cell>
          <cell r="D493">
            <v>1298945</v>
          </cell>
          <cell r="E493" t="str">
            <v>토사천공</v>
          </cell>
          <cell r="G493" t="str">
            <v>M</v>
          </cell>
          <cell r="I493">
            <v>0</v>
          </cell>
        </row>
        <row r="494">
          <cell r="A494" t="str">
            <v>D03822</v>
          </cell>
          <cell r="B494">
            <v>160</v>
          </cell>
          <cell r="C494" t="str">
            <v>d</v>
          </cell>
          <cell r="D494">
            <v>1298948</v>
          </cell>
          <cell r="E494" t="str">
            <v>풍화암천공</v>
          </cell>
          <cell r="G494" t="str">
            <v>M</v>
          </cell>
          <cell r="I494">
            <v>0</v>
          </cell>
        </row>
        <row r="495">
          <cell r="A495" t="str">
            <v>D00516</v>
          </cell>
          <cell r="B495">
            <v>80</v>
          </cell>
          <cell r="C495" t="str">
            <v>e</v>
          </cell>
          <cell r="D495">
            <v>1298953</v>
          </cell>
          <cell r="E495" t="str">
            <v>두부및선단보강</v>
          </cell>
          <cell r="F495" t="str">
            <v>(Φ508.0 m/m)천공</v>
          </cell>
          <cell r="G495" t="str">
            <v>EA</v>
          </cell>
          <cell r="I495">
            <v>0</v>
          </cell>
        </row>
        <row r="496">
          <cell r="A496" t="str">
            <v>D03829</v>
          </cell>
          <cell r="B496">
            <v>106</v>
          </cell>
          <cell r="C496" t="str">
            <v>f</v>
          </cell>
          <cell r="D496">
            <v>1298962</v>
          </cell>
          <cell r="E496" t="str">
            <v>주면고정액</v>
          </cell>
          <cell r="G496" t="str">
            <v>㎥</v>
          </cell>
          <cell r="I496">
            <v>0</v>
          </cell>
        </row>
        <row r="497">
          <cell r="A497" t="str">
            <v>D03830</v>
          </cell>
          <cell r="B497">
            <v>23</v>
          </cell>
          <cell r="C497" t="str">
            <v>g</v>
          </cell>
          <cell r="D497">
            <v>1298966</v>
          </cell>
          <cell r="E497" t="str">
            <v>선단고정액</v>
          </cell>
          <cell r="G497" t="str">
            <v>㎥</v>
          </cell>
          <cell r="I497">
            <v>0</v>
          </cell>
        </row>
        <row r="498">
          <cell r="A498" t="str">
            <v>E2</v>
          </cell>
          <cell r="B498">
            <v>0</v>
          </cell>
          <cell r="C498" t="str">
            <v>계</v>
          </cell>
          <cell r="D498">
            <v>1298970</v>
          </cell>
          <cell r="I498">
            <v>0</v>
          </cell>
        </row>
        <row r="499">
          <cell r="A499" t="str">
            <v>T2</v>
          </cell>
          <cell r="B499">
            <v>507</v>
          </cell>
          <cell r="C499" t="str">
            <v>3.03</v>
          </cell>
          <cell r="D499">
            <v>1299363</v>
          </cell>
          <cell r="E499" t="str">
            <v>거 푸 집</v>
          </cell>
          <cell r="I499">
            <v>0</v>
          </cell>
        </row>
        <row r="500">
          <cell r="A500" t="str">
            <v>D00276</v>
          </cell>
          <cell r="B500">
            <v>3452</v>
          </cell>
          <cell r="C500" t="str">
            <v>a</v>
          </cell>
          <cell r="D500">
            <v>1299364</v>
          </cell>
          <cell r="E500" t="str">
            <v>합판거푸집</v>
          </cell>
          <cell r="F500" t="str">
            <v>(3 회)</v>
          </cell>
          <cell r="G500" t="str">
            <v>㎡</v>
          </cell>
          <cell r="I500">
            <v>0</v>
          </cell>
        </row>
        <row r="501">
          <cell r="A501" t="str">
            <v>D00277</v>
          </cell>
          <cell r="B501">
            <v>306</v>
          </cell>
          <cell r="C501" t="str">
            <v>b</v>
          </cell>
          <cell r="D501">
            <v>1299428</v>
          </cell>
          <cell r="E501" t="str">
            <v>합판거푸집</v>
          </cell>
          <cell r="F501" t="str">
            <v>(3 회 7∼10 m)</v>
          </cell>
          <cell r="G501" t="str">
            <v>㎡</v>
          </cell>
          <cell r="I501">
            <v>0</v>
          </cell>
        </row>
        <row r="502">
          <cell r="A502" t="str">
            <v>D00280</v>
          </cell>
          <cell r="B502">
            <v>323</v>
          </cell>
          <cell r="C502" t="str">
            <v>c</v>
          </cell>
          <cell r="D502">
            <v>1299460</v>
          </cell>
          <cell r="E502" t="str">
            <v>합판거푸집</v>
          </cell>
          <cell r="F502" t="str">
            <v>(4 회)</v>
          </cell>
          <cell r="G502" t="str">
            <v>㎡</v>
          </cell>
          <cell r="I502">
            <v>0</v>
          </cell>
        </row>
        <row r="503">
          <cell r="A503" t="str">
            <v>D00282</v>
          </cell>
          <cell r="B503">
            <v>26</v>
          </cell>
          <cell r="C503" t="str">
            <v>d</v>
          </cell>
          <cell r="D503">
            <v>1299464</v>
          </cell>
          <cell r="E503" t="str">
            <v>합판거푸집</v>
          </cell>
          <cell r="F503" t="str">
            <v>(6 회)</v>
          </cell>
          <cell r="G503" t="str">
            <v>㎡</v>
          </cell>
          <cell r="I503">
            <v>0</v>
          </cell>
        </row>
        <row r="504">
          <cell r="A504" t="str">
            <v>D00265</v>
          </cell>
          <cell r="B504">
            <v>481</v>
          </cell>
          <cell r="C504" t="str">
            <v>e</v>
          </cell>
          <cell r="D504">
            <v>1299468</v>
          </cell>
          <cell r="E504" t="str">
            <v>문양거푸집(합판4회+</v>
          </cell>
          <cell r="F504" t="str">
            <v>문양스치로폴(0∼7M)</v>
          </cell>
          <cell r="G504" t="str">
            <v>㎡</v>
          </cell>
          <cell r="I504">
            <v>0</v>
          </cell>
        </row>
        <row r="505">
          <cell r="A505" t="str">
            <v>D01111</v>
          </cell>
          <cell r="B505">
            <v>50</v>
          </cell>
          <cell r="C505" t="str">
            <v>f</v>
          </cell>
          <cell r="D505">
            <v>1299472</v>
          </cell>
          <cell r="E505" t="str">
            <v>문양거푸집(합판4회+</v>
          </cell>
          <cell r="F505" t="str">
            <v>문양스치로폴(7∼10M)</v>
          </cell>
          <cell r="G505" t="str">
            <v>㎡</v>
          </cell>
          <cell r="I505">
            <v>0</v>
          </cell>
        </row>
        <row r="506">
          <cell r="A506" t="str">
            <v>D00306</v>
          </cell>
          <cell r="B506">
            <v>158</v>
          </cell>
          <cell r="C506" t="str">
            <v>g</v>
          </cell>
          <cell r="D506">
            <v>1299475</v>
          </cell>
          <cell r="E506" t="str">
            <v>원형거푸집</v>
          </cell>
          <cell r="F506" t="str">
            <v>(3 회 0∼7 m)</v>
          </cell>
          <cell r="G506" t="str">
            <v>㎡</v>
          </cell>
          <cell r="I506">
            <v>0</v>
          </cell>
        </row>
        <row r="507">
          <cell r="A507" t="str">
            <v>D00307</v>
          </cell>
          <cell r="B507">
            <v>13</v>
          </cell>
          <cell r="C507" t="str">
            <v>h</v>
          </cell>
          <cell r="D507">
            <v>1299476</v>
          </cell>
          <cell r="E507" t="str">
            <v>원형거푸집</v>
          </cell>
          <cell r="F507" t="str">
            <v>(3 회 7∼10 m)</v>
          </cell>
          <cell r="G507" t="str">
            <v>㎡</v>
          </cell>
          <cell r="I507">
            <v>0</v>
          </cell>
        </row>
        <row r="508">
          <cell r="A508" t="str">
            <v>E2</v>
          </cell>
          <cell r="B508">
            <v>0</v>
          </cell>
          <cell r="C508" t="str">
            <v>계</v>
          </cell>
          <cell r="D508">
            <v>1299604</v>
          </cell>
          <cell r="I508">
            <v>0</v>
          </cell>
        </row>
        <row r="509">
          <cell r="A509" t="str">
            <v>D00323</v>
          </cell>
          <cell r="B509">
            <v>1507</v>
          </cell>
          <cell r="C509" t="str">
            <v>3.04</v>
          </cell>
          <cell r="D509">
            <v>1299605</v>
          </cell>
          <cell r="E509" t="str">
            <v>강관비계</v>
          </cell>
          <cell r="F509" t="str">
            <v>(0∼30 M)</v>
          </cell>
          <cell r="G509" t="str">
            <v>㎡</v>
          </cell>
          <cell r="I509">
            <v>0</v>
          </cell>
        </row>
        <row r="510">
          <cell r="A510" t="str">
            <v>T2</v>
          </cell>
          <cell r="B510">
            <v>513</v>
          </cell>
          <cell r="C510" t="str">
            <v>3.05</v>
          </cell>
          <cell r="D510">
            <v>1299669</v>
          </cell>
          <cell r="E510" t="str">
            <v>동 바 리</v>
          </cell>
          <cell r="I510">
            <v>0</v>
          </cell>
        </row>
        <row r="511">
          <cell r="A511" t="str">
            <v>D00327</v>
          </cell>
          <cell r="B511">
            <v>1407</v>
          </cell>
          <cell r="C511" t="str">
            <v>a</v>
          </cell>
          <cell r="D511">
            <v>1299701</v>
          </cell>
          <cell r="E511" t="str">
            <v>동바리공</v>
          </cell>
          <cell r="F511" t="str">
            <v>(목재 4 회)</v>
          </cell>
          <cell r="G511" t="str">
            <v>공㎥</v>
          </cell>
          <cell r="I511">
            <v>0</v>
          </cell>
        </row>
        <row r="512">
          <cell r="A512" t="str">
            <v>D00334</v>
          </cell>
          <cell r="B512">
            <v>568</v>
          </cell>
          <cell r="C512" t="str">
            <v>b</v>
          </cell>
          <cell r="D512">
            <v>1299725</v>
          </cell>
          <cell r="E512" t="str">
            <v>강관동바리</v>
          </cell>
          <cell r="F512" t="str">
            <v>(교량용)</v>
          </cell>
          <cell r="G512" t="str">
            <v>공㎥</v>
          </cell>
          <cell r="I512">
            <v>0</v>
          </cell>
        </row>
        <row r="513">
          <cell r="A513" t="str">
            <v>D01129</v>
          </cell>
          <cell r="B513">
            <v>147</v>
          </cell>
          <cell r="C513" t="str">
            <v>c</v>
          </cell>
          <cell r="D513">
            <v>1299729</v>
          </cell>
          <cell r="E513" t="str">
            <v>수평보강재(교량용)</v>
          </cell>
          <cell r="F513" t="str">
            <v>(강관동바리)</v>
          </cell>
          <cell r="G513" t="str">
            <v>㎡</v>
          </cell>
          <cell r="I513">
            <v>0</v>
          </cell>
        </row>
        <row r="514">
          <cell r="A514" t="str">
            <v>E2</v>
          </cell>
          <cell r="B514">
            <v>0</v>
          </cell>
          <cell r="C514" t="str">
            <v>계</v>
          </cell>
          <cell r="D514">
            <v>1299731</v>
          </cell>
          <cell r="I514">
            <v>0</v>
          </cell>
        </row>
        <row r="515">
          <cell r="A515" t="str">
            <v>T2</v>
          </cell>
          <cell r="B515">
            <v>517</v>
          </cell>
          <cell r="C515" t="str">
            <v>3.06</v>
          </cell>
          <cell r="D515">
            <v>1299853</v>
          </cell>
          <cell r="E515" t="str">
            <v>철근가공조립</v>
          </cell>
          <cell r="I515">
            <v>0</v>
          </cell>
        </row>
        <row r="516">
          <cell r="A516" t="str">
            <v>D00271</v>
          </cell>
          <cell r="B516">
            <v>19.16</v>
          </cell>
          <cell r="C516" t="str">
            <v>a</v>
          </cell>
          <cell r="D516">
            <v>1299855</v>
          </cell>
          <cell r="E516" t="str">
            <v>철근가공조립</v>
          </cell>
          <cell r="F516" t="str">
            <v>(보 통)</v>
          </cell>
          <cell r="G516" t="str">
            <v>Ton</v>
          </cell>
          <cell r="I516">
            <v>0</v>
          </cell>
        </row>
        <row r="517">
          <cell r="A517" t="str">
            <v>D00272</v>
          </cell>
          <cell r="B517">
            <v>399.48</v>
          </cell>
          <cell r="C517" t="str">
            <v>b</v>
          </cell>
          <cell r="D517">
            <v>1299857</v>
          </cell>
          <cell r="E517" t="str">
            <v>철근가공조립</v>
          </cell>
          <cell r="F517" t="str">
            <v>(복 잡)</v>
          </cell>
          <cell r="G517" t="str">
            <v>Ton</v>
          </cell>
          <cell r="I517">
            <v>0</v>
          </cell>
        </row>
        <row r="518">
          <cell r="A518" t="str">
            <v>E2</v>
          </cell>
          <cell r="B518">
            <v>0</v>
          </cell>
          <cell r="C518" t="str">
            <v>계</v>
          </cell>
          <cell r="D518">
            <v>1299860</v>
          </cell>
          <cell r="I518">
            <v>0</v>
          </cell>
        </row>
        <row r="519">
          <cell r="A519" t="str">
            <v>T2</v>
          </cell>
          <cell r="B519">
            <v>521</v>
          </cell>
          <cell r="C519" t="str">
            <v>3.07</v>
          </cell>
          <cell r="D519">
            <v>1299861</v>
          </cell>
          <cell r="E519" t="str">
            <v>콘크리트타설</v>
          </cell>
          <cell r="I519">
            <v>0</v>
          </cell>
        </row>
        <row r="520">
          <cell r="A520" t="str">
            <v>D00237</v>
          </cell>
          <cell r="B520">
            <v>2352</v>
          </cell>
          <cell r="C520" t="str">
            <v>a</v>
          </cell>
          <cell r="D520">
            <v>1299925</v>
          </cell>
          <cell r="E520" t="str">
            <v>콘크리트타설</v>
          </cell>
          <cell r="F520" t="str">
            <v>(철근 펌프카)</v>
          </cell>
          <cell r="G520" t="str">
            <v>㎥</v>
          </cell>
          <cell r="I520">
            <v>0</v>
          </cell>
        </row>
        <row r="521">
          <cell r="A521" t="str">
            <v>D00231</v>
          </cell>
          <cell r="B521">
            <v>69</v>
          </cell>
          <cell r="C521" t="str">
            <v>b</v>
          </cell>
          <cell r="D521">
            <v>1299957</v>
          </cell>
          <cell r="E521" t="str">
            <v>콘크리트타설</v>
          </cell>
          <cell r="F521" t="str">
            <v>(무근 VIB 제외)</v>
          </cell>
          <cell r="G521" t="str">
            <v>㎥</v>
          </cell>
          <cell r="I521">
            <v>0</v>
          </cell>
        </row>
        <row r="522">
          <cell r="A522" t="str">
            <v>E2</v>
          </cell>
          <cell r="B522">
            <v>0</v>
          </cell>
          <cell r="C522" t="str">
            <v>계</v>
          </cell>
          <cell r="D522">
            <v>1299989</v>
          </cell>
          <cell r="I522">
            <v>0</v>
          </cell>
        </row>
        <row r="523">
          <cell r="A523" t="str">
            <v>T2</v>
          </cell>
          <cell r="B523">
            <v>525</v>
          </cell>
          <cell r="C523" t="str">
            <v>3.08</v>
          </cell>
          <cell r="D523">
            <v>1299997</v>
          </cell>
          <cell r="E523" t="str">
            <v>표 면 처 리</v>
          </cell>
          <cell r="I523">
            <v>0</v>
          </cell>
        </row>
        <row r="524">
          <cell r="A524" t="str">
            <v>D00537</v>
          </cell>
          <cell r="B524">
            <v>1671</v>
          </cell>
          <cell r="C524" t="str">
            <v>a</v>
          </cell>
          <cell r="D524">
            <v>1300001</v>
          </cell>
          <cell r="E524" t="str">
            <v>슬래브양생</v>
          </cell>
          <cell r="F524" t="str">
            <v>(양생제)</v>
          </cell>
          <cell r="G524" t="str">
            <v>㎡</v>
          </cell>
          <cell r="I524">
            <v>0</v>
          </cell>
        </row>
        <row r="525">
          <cell r="A525" t="str">
            <v>D00539</v>
          </cell>
          <cell r="B525">
            <v>1521</v>
          </cell>
          <cell r="C525" t="str">
            <v>b</v>
          </cell>
          <cell r="D525">
            <v>1300003</v>
          </cell>
          <cell r="E525" t="str">
            <v>슬래브면고르기</v>
          </cell>
          <cell r="F525" t="str">
            <v>(데크 피니샤)</v>
          </cell>
          <cell r="G525" t="str">
            <v>㎡</v>
          </cell>
          <cell r="I525">
            <v>0</v>
          </cell>
        </row>
        <row r="526">
          <cell r="A526" t="str">
            <v>E2</v>
          </cell>
          <cell r="B526">
            <v>0</v>
          </cell>
          <cell r="C526" t="str">
            <v>계</v>
          </cell>
          <cell r="D526">
            <v>1300004</v>
          </cell>
          <cell r="I526">
            <v>0</v>
          </cell>
        </row>
        <row r="527">
          <cell r="A527" t="str">
            <v>T2</v>
          </cell>
          <cell r="B527">
            <v>531</v>
          </cell>
          <cell r="C527" t="str">
            <v>3.09</v>
          </cell>
          <cell r="D527">
            <v>1300132</v>
          </cell>
          <cell r="E527" t="str">
            <v>교좌장치</v>
          </cell>
          <cell r="I527">
            <v>0</v>
          </cell>
        </row>
        <row r="528">
          <cell r="A528" t="str">
            <v>D00541</v>
          </cell>
          <cell r="B528">
            <v>18</v>
          </cell>
          <cell r="C528" t="str">
            <v>a</v>
          </cell>
          <cell r="D528">
            <v>1300228</v>
          </cell>
          <cell r="E528" t="str">
            <v>교좌장치</v>
          </cell>
          <cell r="F528" t="str">
            <v>(양방향 175 Ton)</v>
          </cell>
          <cell r="G528" t="str">
            <v>EA</v>
          </cell>
          <cell r="I528">
            <v>0</v>
          </cell>
        </row>
        <row r="529">
          <cell r="A529" t="str">
            <v>D00542</v>
          </cell>
          <cell r="B529">
            <v>6</v>
          </cell>
          <cell r="C529" t="str">
            <v>b</v>
          </cell>
          <cell r="D529">
            <v>1300276</v>
          </cell>
          <cell r="E529" t="str">
            <v>교좌장치</v>
          </cell>
          <cell r="F529" t="str">
            <v>(횡방향가동단175Ton)</v>
          </cell>
          <cell r="G529" t="str">
            <v>EA</v>
          </cell>
          <cell r="I529">
            <v>0</v>
          </cell>
        </row>
        <row r="530">
          <cell r="A530" t="str">
            <v>D00543</v>
          </cell>
          <cell r="B530">
            <v>6</v>
          </cell>
          <cell r="C530" t="str">
            <v>c</v>
          </cell>
          <cell r="D530">
            <v>1300300</v>
          </cell>
          <cell r="E530" t="str">
            <v>교좌장치</v>
          </cell>
          <cell r="F530" t="str">
            <v>(교축방향 175 Ton)</v>
          </cell>
          <cell r="G530" t="str">
            <v>EA</v>
          </cell>
          <cell r="I530">
            <v>0</v>
          </cell>
        </row>
        <row r="531">
          <cell r="A531" t="str">
            <v>D00544</v>
          </cell>
          <cell r="B531">
            <v>2</v>
          </cell>
          <cell r="C531" t="str">
            <v>d</v>
          </cell>
          <cell r="D531">
            <v>1300312</v>
          </cell>
          <cell r="E531" t="str">
            <v>교좌장치</v>
          </cell>
          <cell r="F531" t="str">
            <v>(고정단 175 Ton)</v>
          </cell>
          <cell r="G531" t="str">
            <v>EA</v>
          </cell>
          <cell r="I531">
            <v>0</v>
          </cell>
        </row>
        <row r="532">
          <cell r="A532" t="str">
            <v>E2</v>
          </cell>
          <cell r="B532">
            <v>0</v>
          </cell>
          <cell r="C532" t="str">
            <v>계</v>
          </cell>
          <cell r="D532">
            <v>1300318</v>
          </cell>
          <cell r="I532">
            <v>0</v>
          </cell>
        </row>
        <row r="533">
          <cell r="A533" t="str">
            <v>T2</v>
          </cell>
          <cell r="B533">
            <v>536</v>
          </cell>
          <cell r="C533" t="str">
            <v>3.10</v>
          </cell>
          <cell r="D533">
            <v>1300446</v>
          </cell>
          <cell r="E533" t="str">
            <v>PRE-FLEX BEAM</v>
          </cell>
          <cell r="I533">
            <v>0</v>
          </cell>
        </row>
        <row r="534">
          <cell r="A534" t="str">
            <v>W00085</v>
          </cell>
          <cell r="B534">
            <v>8</v>
          </cell>
          <cell r="C534" t="str">
            <v>a</v>
          </cell>
          <cell r="D534">
            <v>1300510</v>
          </cell>
          <cell r="E534" t="str">
            <v>PRE-FLEX BEAM</v>
          </cell>
          <cell r="F534" t="str">
            <v>마온교(내측)</v>
          </cell>
          <cell r="G534" t="str">
            <v>본</v>
          </cell>
          <cell r="I534">
            <v>0</v>
          </cell>
        </row>
        <row r="535">
          <cell r="A535" t="str">
            <v>W00084</v>
          </cell>
          <cell r="B535">
            <v>8</v>
          </cell>
          <cell r="C535" t="str">
            <v>b</v>
          </cell>
          <cell r="D535">
            <v>1300542</v>
          </cell>
          <cell r="E535" t="str">
            <v>PRE-FLEX BEAM</v>
          </cell>
          <cell r="F535" t="str">
            <v>마온교(외측)</v>
          </cell>
          <cell r="G535" t="str">
            <v>본</v>
          </cell>
          <cell r="I535">
            <v>0</v>
          </cell>
        </row>
        <row r="536">
          <cell r="A536" t="str">
            <v>D00627</v>
          </cell>
          <cell r="B536">
            <v>1</v>
          </cell>
          <cell r="C536" t="str">
            <v>c</v>
          </cell>
          <cell r="D536">
            <v>1300574</v>
          </cell>
          <cell r="E536" t="str">
            <v>PRE-FLEX BEAM</v>
          </cell>
          <cell r="F536" t="str">
            <v>(전도방지시설)</v>
          </cell>
          <cell r="G536" t="str">
            <v>식</v>
          </cell>
          <cell r="I536">
            <v>0</v>
          </cell>
        </row>
        <row r="537">
          <cell r="A537" t="str">
            <v>E2</v>
          </cell>
          <cell r="B537">
            <v>0</v>
          </cell>
          <cell r="C537" t="str">
            <v>계</v>
          </cell>
          <cell r="D537">
            <v>1300670</v>
          </cell>
          <cell r="I537">
            <v>0</v>
          </cell>
        </row>
        <row r="538">
          <cell r="A538" t="str">
            <v>D01313</v>
          </cell>
          <cell r="B538">
            <v>39</v>
          </cell>
          <cell r="C538" t="str">
            <v>3.11</v>
          </cell>
          <cell r="D538">
            <v>1300766</v>
          </cell>
          <cell r="E538" t="str">
            <v>신축이음장치</v>
          </cell>
          <cell r="F538" t="str">
            <v>(Rail-No100)</v>
          </cell>
          <cell r="G538" t="str">
            <v>M</v>
          </cell>
          <cell r="I538">
            <v>0</v>
          </cell>
        </row>
        <row r="539">
          <cell r="A539" t="str">
            <v>D00535</v>
          </cell>
          <cell r="B539">
            <v>1521</v>
          </cell>
          <cell r="C539" t="str">
            <v>3.12</v>
          </cell>
          <cell r="D539">
            <v>1300926</v>
          </cell>
          <cell r="E539" t="str">
            <v>교면방수</v>
          </cell>
          <cell r="F539" t="str">
            <v>(도막식)</v>
          </cell>
          <cell r="G539" t="str">
            <v>㎡</v>
          </cell>
          <cell r="I539">
            <v>0</v>
          </cell>
        </row>
        <row r="540">
          <cell r="A540" t="str">
            <v>T2</v>
          </cell>
          <cell r="B540">
            <v>544</v>
          </cell>
          <cell r="C540" t="str">
            <v>3.13</v>
          </cell>
          <cell r="D540">
            <v>1300990</v>
          </cell>
          <cell r="E540" t="str">
            <v>접속슬래브 접합공</v>
          </cell>
          <cell r="I540">
            <v>0</v>
          </cell>
        </row>
        <row r="541">
          <cell r="A541" t="str">
            <v>D01067</v>
          </cell>
          <cell r="B541">
            <v>98</v>
          </cell>
          <cell r="C541" t="str">
            <v>a</v>
          </cell>
          <cell r="D541">
            <v>1301022</v>
          </cell>
          <cell r="E541" t="str">
            <v>다웰바 설치</v>
          </cell>
          <cell r="F541" t="str">
            <v>(D=25 m/m, L=500)</v>
          </cell>
          <cell r="G541" t="str">
            <v>EA</v>
          </cell>
          <cell r="I541">
            <v>0</v>
          </cell>
        </row>
        <row r="542">
          <cell r="A542" t="str">
            <v>D01190</v>
          </cell>
          <cell r="B542">
            <v>29</v>
          </cell>
          <cell r="C542" t="str">
            <v>b</v>
          </cell>
          <cell r="D542">
            <v>1301054</v>
          </cell>
          <cell r="E542" t="str">
            <v>다웰-켑 설치</v>
          </cell>
          <cell r="F542" t="str">
            <v>(Φ60 m/m)</v>
          </cell>
          <cell r="G542" t="str">
            <v>M</v>
          </cell>
          <cell r="I542">
            <v>0</v>
          </cell>
        </row>
        <row r="543">
          <cell r="A543" t="str">
            <v>D00540</v>
          </cell>
          <cell r="B543">
            <v>98</v>
          </cell>
          <cell r="C543" t="str">
            <v>c</v>
          </cell>
          <cell r="D543">
            <v>1301056</v>
          </cell>
          <cell r="E543" t="str">
            <v>경질고무판</v>
          </cell>
          <cell r="F543" t="str">
            <v>(150x150)</v>
          </cell>
          <cell r="G543" t="str">
            <v>EA</v>
          </cell>
          <cell r="I543">
            <v>0</v>
          </cell>
        </row>
        <row r="544">
          <cell r="A544" t="str">
            <v>D00566</v>
          </cell>
          <cell r="B544">
            <v>16</v>
          </cell>
          <cell r="C544" t="str">
            <v>d</v>
          </cell>
          <cell r="D544">
            <v>1301057</v>
          </cell>
          <cell r="E544" t="str">
            <v>타르페이퍼 설치</v>
          </cell>
          <cell r="F544" t="str">
            <v>(5 겹)</v>
          </cell>
          <cell r="G544" t="str">
            <v>㎡</v>
          </cell>
          <cell r="I544">
            <v>0</v>
          </cell>
        </row>
        <row r="545">
          <cell r="A545" t="str">
            <v>E2</v>
          </cell>
          <cell r="B545">
            <v>0</v>
          </cell>
          <cell r="C545" t="str">
            <v>계</v>
          </cell>
          <cell r="D545">
            <v>1301089</v>
          </cell>
          <cell r="I545">
            <v>0</v>
          </cell>
        </row>
        <row r="546">
          <cell r="A546" t="str">
            <v>T2</v>
          </cell>
          <cell r="B546">
            <v>548</v>
          </cell>
          <cell r="C546" t="str">
            <v>3.14</v>
          </cell>
          <cell r="D546">
            <v>1301122</v>
          </cell>
          <cell r="E546" t="str">
            <v>무수축 콘크리트</v>
          </cell>
          <cell r="I546">
            <v>0</v>
          </cell>
        </row>
        <row r="547">
          <cell r="A547" t="str">
            <v>D00567</v>
          </cell>
          <cell r="B547">
            <v>2.39</v>
          </cell>
          <cell r="C547" t="str">
            <v>a</v>
          </cell>
          <cell r="D547">
            <v>1301138</v>
          </cell>
          <cell r="E547" t="str">
            <v>무수축몰탈</v>
          </cell>
          <cell r="F547" t="str">
            <v>(1:1)</v>
          </cell>
          <cell r="G547" t="str">
            <v>㎥</v>
          </cell>
          <cell r="I547">
            <v>0</v>
          </cell>
        </row>
        <row r="548">
          <cell r="A548" t="str">
            <v>D00568</v>
          </cell>
          <cell r="B548">
            <v>7.48</v>
          </cell>
          <cell r="C548" t="str">
            <v>b</v>
          </cell>
          <cell r="D548">
            <v>1301146</v>
          </cell>
          <cell r="E548" t="str">
            <v>무수축콘크리트</v>
          </cell>
          <cell r="G548" t="str">
            <v>㎥</v>
          </cell>
          <cell r="I548">
            <v>0</v>
          </cell>
        </row>
        <row r="549">
          <cell r="A549" t="str">
            <v>E2</v>
          </cell>
          <cell r="B549">
            <v>0</v>
          </cell>
          <cell r="C549" t="str">
            <v>계</v>
          </cell>
          <cell r="D549">
            <v>1301150</v>
          </cell>
          <cell r="I549">
            <v>0</v>
          </cell>
        </row>
        <row r="550">
          <cell r="A550" t="str">
            <v>T2</v>
          </cell>
          <cell r="B550">
            <v>552</v>
          </cell>
          <cell r="C550" t="str">
            <v>3.15</v>
          </cell>
          <cell r="D550">
            <v>1301407</v>
          </cell>
          <cell r="E550" t="str">
            <v>스치로폴설치</v>
          </cell>
          <cell r="I550">
            <v>0</v>
          </cell>
        </row>
        <row r="551">
          <cell r="A551" t="str">
            <v>D00853</v>
          </cell>
          <cell r="B551">
            <v>6</v>
          </cell>
          <cell r="C551" t="str">
            <v>a</v>
          </cell>
          <cell r="D551">
            <v>1301536</v>
          </cell>
          <cell r="E551" t="str">
            <v>스치로폴설치</v>
          </cell>
          <cell r="F551" t="str">
            <v>(T=10 m/m)</v>
          </cell>
          <cell r="G551" t="str">
            <v>㎡</v>
          </cell>
          <cell r="I551">
            <v>0</v>
          </cell>
        </row>
        <row r="552">
          <cell r="A552" t="str">
            <v>D00532</v>
          </cell>
          <cell r="B552">
            <v>75</v>
          </cell>
          <cell r="C552" t="str">
            <v>b</v>
          </cell>
          <cell r="D552">
            <v>1301664</v>
          </cell>
          <cell r="E552" t="str">
            <v>스치로폴설치</v>
          </cell>
          <cell r="F552" t="str">
            <v>(T=20 m/m)</v>
          </cell>
          <cell r="G552" t="str">
            <v>㎡</v>
          </cell>
          <cell r="I552">
            <v>0</v>
          </cell>
        </row>
        <row r="553">
          <cell r="A553" t="str">
            <v>E2</v>
          </cell>
          <cell r="B553">
            <v>0</v>
          </cell>
          <cell r="C553" t="str">
            <v>계</v>
          </cell>
          <cell r="D553">
            <v>1301923</v>
          </cell>
          <cell r="I553">
            <v>0</v>
          </cell>
        </row>
        <row r="554">
          <cell r="A554" t="str">
            <v>T2</v>
          </cell>
          <cell r="B554">
            <v>560</v>
          </cell>
          <cell r="C554" t="str">
            <v>3.16</v>
          </cell>
          <cell r="D554">
            <v>1302181</v>
          </cell>
          <cell r="E554" t="str">
            <v>배수시설</v>
          </cell>
          <cell r="I554">
            <v>0</v>
          </cell>
        </row>
        <row r="555">
          <cell r="A555" t="str">
            <v>D00572</v>
          </cell>
          <cell r="B555">
            <v>8</v>
          </cell>
          <cell r="C555" t="str">
            <v>a</v>
          </cell>
          <cell r="D555">
            <v>1302182</v>
          </cell>
          <cell r="E555" t="str">
            <v>집 수 구</v>
          </cell>
          <cell r="G555" t="str">
            <v>EA</v>
          </cell>
          <cell r="I555">
            <v>0</v>
          </cell>
        </row>
        <row r="556">
          <cell r="A556" t="str">
            <v>D00573</v>
          </cell>
          <cell r="B556">
            <v>65</v>
          </cell>
          <cell r="C556" t="str">
            <v>b</v>
          </cell>
          <cell r="D556">
            <v>1302183</v>
          </cell>
          <cell r="E556" t="str">
            <v>배 수 구</v>
          </cell>
          <cell r="F556" t="str">
            <v>(스테인레스관)</v>
          </cell>
          <cell r="G556" t="str">
            <v>M</v>
          </cell>
          <cell r="I556">
            <v>0</v>
          </cell>
        </row>
        <row r="557">
          <cell r="A557" t="str">
            <v>D00574</v>
          </cell>
          <cell r="B557">
            <v>56</v>
          </cell>
          <cell r="C557" t="str">
            <v>c</v>
          </cell>
          <cell r="D557">
            <v>1302247</v>
          </cell>
          <cell r="E557" t="str">
            <v>부착시설(A)</v>
          </cell>
          <cell r="G557" t="str">
            <v>EA</v>
          </cell>
          <cell r="I557">
            <v>0</v>
          </cell>
        </row>
        <row r="558">
          <cell r="A558" t="str">
            <v>D03868</v>
          </cell>
          <cell r="B558">
            <v>6</v>
          </cell>
          <cell r="C558" t="str">
            <v>d</v>
          </cell>
          <cell r="D558">
            <v>1302279</v>
          </cell>
          <cell r="E558" t="str">
            <v>부착시설(D)</v>
          </cell>
          <cell r="G558" t="str">
            <v>EA</v>
          </cell>
          <cell r="I558">
            <v>0</v>
          </cell>
        </row>
        <row r="559">
          <cell r="A559" t="str">
            <v>D03867</v>
          </cell>
          <cell r="B559">
            <v>8</v>
          </cell>
          <cell r="C559" t="str">
            <v>e</v>
          </cell>
          <cell r="D559">
            <v>1302295</v>
          </cell>
          <cell r="E559" t="str">
            <v>집 수 정</v>
          </cell>
          <cell r="G559" t="str">
            <v>EA</v>
          </cell>
          <cell r="I559">
            <v>0</v>
          </cell>
        </row>
        <row r="560">
          <cell r="A560" t="str">
            <v>D03937</v>
          </cell>
          <cell r="B560">
            <v>4</v>
          </cell>
          <cell r="C560" t="str">
            <v>f</v>
          </cell>
          <cell r="D560">
            <v>1302299</v>
          </cell>
          <cell r="E560" t="str">
            <v>접속 T형관</v>
          </cell>
          <cell r="G560" t="str">
            <v>EA</v>
          </cell>
          <cell r="I560">
            <v>0</v>
          </cell>
        </row>
        <row r="561">
          <cell r="A561" t="str">
            <v>E2</v>
          </cell>
          <cell r="B561">
            <v>0</v>
          </cell>
          <cell r="C561" t="str">
            <v>계</v>
          </cell>
          <cell r="D561">
            <v>1302303</v>
          </cell>
          <cell r="I561">
            <v>0</v>
          </cell>
        </row>
        <row r="562">
          <cell r="A562" t="str">
            <v>T2</v>
          </cell>
          <cell r="B562">
            <v>564</v>
          </cell>
          <cell r="C562" t="str">
            <v>3.17</v>
          </cell>
          <cell r="D562">
            <v>1302311</v>
          </cell>
          <cell r="E562" t="str">
            <v>스페이서설치</v>
          </cell>
          <cell r="I562">
            <v>0</v>
          </cell>
        </row>
        <row r="563">
          <cell r="A563" t="str">
            <v>D00588</v>
          </cell>
          <cell r="B563">
            <v>2346</v>
          </cell>
          <cell r="C563" t="str">
            <v>a</v>
          </cell>
          <cell r="D563">
            <v>1302327</v>
          </cell>
          <cell r="E563" t="str">
            <v>스페이서 설치</v>
          </cell>
          <cell r="F563" t="str">
            <v>(슬라브및기초용)</v>
          </cell>
          <cell r="G563" t="str">
            <v>㎡</v>
          </cell>
          <cell r="I563">
            <v>0</v>
          </cell>
        </row>
        <row r="564">
          <cell r="A564" t="str">
            <v>D01070</v>
          </cell>
          <cell r="B564">
            <v>301</v>
          </cell>
          <cell r="C564" t="str">
            <v>b</v>
          </cell>
          <cell r="D564">
            <v>1302335</v>
          </cell>
          <cell r="E564" t="str">
            <v>스페이서 설치</v>
          </cell>
          <cell r="F564" t="str">
            <v>(벽체용)</v>
          </cell>
          <cell r="G564" t="str">
            <v>㎡</v>
          </cell>
          <cell r="I564">
            <v>0</v>
          </cell>
        </row>
        <row r="565">
          <cell r="A565" t="str">
            <v>E2</v>
          </cell>
          <cell r="B565">
            <v>0</v>
          </cell>
          <cell r="C565" t="str">
            <v>계</v>
          </cell>
          <cell r="D565">
            <v>1302339</v>
          </cell>
          <cell r="I565">
            <v>0</v>
          </cell>
        </row>
        <row r="566">
          <cell r="A566" t="str">
            <v>T2</v>
          </cell>
          <cell r="B566">
            <v>569</v>
          </cell>
          <cell r="C566" t="str">
            <v>3.18</v>
          </cell>
          <cell r="D566">
            <v>1302357</v>
          </cell>
          <cell r="E566" t="str">
            <v>교명판 설명판</v>
          </cell>
          <cell r="I566">
            <v>0</v>
          </cell>
        </row>
        <row r="567">
          <cell r="A567" t="str">
            <v>D00581</v>
          </cell>
          <cell r="B567">
            <v>4</v>
          </cell>
          <cell r="C567" t="str">
            <v>a</v>
          </cell>
          <cell r="D567">
            <v>1302358</v>
          </cell>
          <cell r="E567" t="str">
            <v>교 명 주</v>
          </cell>
          <cell r="F567" t="str">
            <v>(소형,화강석)</v>
          </cell>
          <cell r="G567" t="str">
            <v>기</v>
          </cell>
          <cell r="I567">
            <v>0</v>
          </cell>
        </row>
        <row r="568">
          <cell r="A568" t="str">
            <v>D00583</v>
          </cell>
          <cell r="B568">
            <v>2</v>
          </cell>
          <cell r="C568" t="str">
            <v>b</v>
          </cell>
          <cell r="D568">
            <v>1302359</v>
          </cell>
          <cell r="E568" t="str">
            <v>교 명 판(황동주물)</v>
          </cell>
          <cell r="F568" t="str">
            <v>(450x200x10)</v>
          </cell>
          <cell r="G568" t="str">
            <v>EA</v>
          </cell>
          <cell r="I568">
            <v>0</v>
          </cell>
        </row>
        <row r="569">
          <cell r="A569" t="str">
            <v>D00584</v>
          </cell>
          <cell r="B569">
            <v>2</v>
          </cell>
          <cell r="C569" t="str">
            <v>c</v>
          </cell>
          <cell r="D569">
            <v>1302423</v>
          </cell>
          <cell r="E569" t="str">
            <v>설 명 판(황동주물)</v>
          </cell>
          <cell r="F569" t="str">
            <v>(500x300x10)</v>
          </cell>
          <cell r="G569" t="str">
            <v>EA</v>
          </cell>
          <cell r="I569">
            <v>0</v>
          </cell>
        </row>
        <row r="570">
          <cell r="A570" t="str">
            <v>E2</v>
          </cell>
          <cell r="B570">
            <v>0</v>
          </cell>
          <cell r="C570" t="str">
            <v>계</v>
          </cell>
          <cell r="D570">
            <v>1302455</v>
          </cell>
          <cell r="I570">
            <v>0</v>
          </cell>
        </row>
        <row r="571">
          <cell r="A571" t="str">
            <v>D00594</v>
          </cell>
          <cell r="B571">
            <v>2</v>
          </cell>
          <cell r="C571" t="str">
            <v>3.19</v>
          </cell>
          <cell r="D571">
            <v>1302463</v>
          </cell>
          <cell r="E571" t="str">
            <v>측량기준점 설치</v>
          </cell>
          <cell r="F571" t="str">
            <v>(황동주물)</v>
          </cell>
          <cell r="G571" t="str">
            <v>EA</v>
          </cell>
          <cell r="I571">
            <v>0</v>
          </cell>
        </row>
        <row r="572">
          <cell r="A572" t="str">
            <v>T2</v>
          </cell>
          <cell r="B572">
            <v>574</v>
          </cell>
          <cell r="C572" t="str">
            <v>3.20</v>
          </cell>
          <cell r="D572">
            <v>1302591</v>
          </cell>
          <cell r="E572" t="str">
            <v>충 진 재</v>
          </cell>
          <cell r="I572">
            <v>0</v>
          </cell>
        </row>
        <row r="573">
          <cell r="A573" t="str">
            <v>D00846</v>
          </cell>
          <cell r="B573">
            <v>80</v>
          </cell>
          <cell r="C573" t="str">
            <v>a</v>
          </cell>
          <cell r="D573">
            <v>1302659</v>
          </cell>
          <cell r="E573" t="str">
            <v>폴리우레탄실란트채움</v>
          </cell>
          <cell r="F573" t="str">
            <v>(25x20)</v>
          </cell>
          <cell r="G573" t="str">
            <v>M</v>
          </cell>
          <cell r="I573">
            <v>0</v>
          </cell>
        </row>
        <row r="574">
          <cell r="A574" t="str">
            <v>D01224</v>
          </cell>
          <cell r="B574">
            <v>47</v>
          </cell>
          <cell r="C574" t="str">
            <v>b</v>
          </cell>
          <cell r="D574">
            <v>1302663</v>
          </cell>
          <cell r="E574" t="str">
            <v>폴리우레탄실란트채움</v>
          </cell>
          <cell r="F574" t="str">
            <v>(25x10)</v>
          </cell>
          <cell r="G574" t="str">
            <v>M</v>
          </cell>
          <cell r="I574">
            <v>0</v>
          </cell>
        </row>
        <row r="575">
          <cell r="A575" t="str">
            <v>E2</v>
          </cell>
          <cell r="B575">
            <v>0</v>
          </cell>
          <cell r="C575" t="str">
            <v>계</v>
          </cell>
          <cell r="D575">
            <v>1302665</v>
          </cell>
          <cell r="I575">
            <v>0</v>
          </cell>
        </row>
        <row r="576">
          <cell r="A576" t="str">
            <v>D01308</v>
          </cell>
          <cell r="B576">
            <v>853</v>
          </cell>
          <cell r="C576" t="str">
            <v>3.21</v>
          </cell>
          <cell r="D576">
            <v>1303105</v>
          </cell>
          <cell r="E576" t="str">
            <v>강섬유보강재</v>
          </cell>
          <cell r="F576" t="str">
            <v>(900 g/㎥)</v>
          </cell>
          <cell r="G576" t="str">
            <v>㎥</v>
          </cell>
          <cell r="I576">
            <v>0</v>
          </cell>
        </row>
        <row r="577">
          <cell r="A577" t="str">
            <v>D03817</v>
          </cell>
          <cell r="B577">
            <v>45</v>
          </cell>
          <cell r="C577" t="str">
            <v>3.22</v>
          </cell>
          <cell r="D577">
            <v>1303601</v>
          </cell>
          <cell r="E577" t="str">
            <v>ELASTIC FILLER</v>
          </cell>
          <cell r="F577" t="str">
            <v>(T=20 m/m)</v>
          </cell>
          <cell r="G577" t="str">
            <v>㎡</v>
          </cell>
          <cell r="I577">
            <v>0</v>
          </cell>
        </row>
        <row r="578">
          <cell r="A578" t="str">
            <v>D00911</v>
          </cell>
          <cell r="B578">
            <v>173</v>
          </cell>
          <cell r="C578" t="str">
            <v>3.23</v>
          </cell>
          <cell r="D578">
            <v>1456598</v>
          </cell>
          <cell r="E578" t="str">
            <v>방 호 벽</v>
          </cell>
          <cell r="F578" t="str">
            <v>(육교용)</v>
          </cell>
          <cell r="G578" t="str">
            <v>M</v>
          </cell>
          <cell r="I578">
            <v>0</v>
          </cell>
        </row>
        <row r="579">
          <cell r="A579" t="str">
            <v>D00791</v>
          </cell>
          <cell r="B579">
            <v>32</v>
          </cell>
          <cell r="C579" t="str">
            <v>3.24</v>
          </cell>
          <cell r="D579">
            <v>1533096</v>
          </cell>
          <cell r="E579" t="str">
            <v>교좌장치표지판</v>
          </cell>
          <cell r="G579" t="str">
            <v>EA</v>
          </cell>
          <cell r="I579">
            <v>0</v>
          </cell>
        </row>
        <row r="580">
          <cell r="A580" t="str">
            <v>D00817</v>
          </cell>
          <cell r="B580">
            <v>9.8000000000000004E-2</v>
          </cell>
          <cell r="C580" t="str">
            <v>3.25</v>
          </cell>
          <cell r="D580">
            <v>1571345</v>
          </cell>
          <cell r="E580" t="str">
            <v>아스팔트 채움</v>
          </cell>
          <cell r="F580" t="str">
            <v>(브론아스팔트)</v>
          </cell>
          <cell r="G580" t="str">
            <v>㎥</v>
          </cell>
          <cell r="I580">
            <v>0</v>
          </cell>
        </row>
        <row r="581">
          <cell r="A581" t="str">
            <v>D00593</v>
          </cell>
          <cell r="B581">
            <v>1035</v>
          </cell>
          <cell r="C581" t="str">
            <v>3.26</v>
          </cell>
          <cell r="D581">
            <v>1590470</v>
          </cell>
          <cell r="E581" t="str">
            <v>낙하물방지망</v>
          </cell>
          <cell r="G581" t="str">
            <v>㎡</v>
          </cell>
          <cell r="I581">
            <v>0</v>
          </cell>
        </row>
        <row r="582">
          <cell r="A582" t="str">
            <v>D01064</v>
          </cell>
          <cell r="B582">
            <v>80</v>
          </cell>
          <cell r="C582" t="str">
            <v>3.27</v>
          </cell>
          <cell r="D582">
            <v>1600032</v>
          </cell>
          <cell r="E582" t="str">
            <v>중앙분리대</v>
          </cell>
          <cell r="G582" t="str">
            <v>M</v>
          </cell>
          <cell r="I582">
            <v>0</v>
          </cell>
        </row>
        <row r="583">
          <cell r="A583" t="str">
            <v>D03859</v>
          </cell>
          <cell r="B583">
            <v>1</v>
          </cell>
          <cell r="C583" t="str">
            <v>3.28</v>
          </cell>
          <cell r="D583">
            <v>1604813</v>
          </cell>
          <cell r="E583" t="str">
            <v>천공장비조립및해체</v>
          </cell>
          <cell r="G583" t="str">
            <v>회</v>
          </cell>
          <cell r="I583">
            <v>0</v>
          </cell>
        </row>
        <row r="584">
          <cell r="A584" t="str">
            <v>T2</v>
          </cell>
          <cell r="B584">
            <v>586</v>
          </cell>
          <cell r="C584" t="str">
            <v>3.29</v>
          </cell>
          <cell r="D584">
            <v>1607204</v>
          </cell>
          <cell r="E584" t="str">
            <v>파일재하시험</v>
          </cell>
          <cell r="I584">
            <v>0</v>
          </cell>
        </row>
        <row r="585">
          <cell r="A585" t="str">
            <v>D03869</v>
          </cell>
          <cell r="B585">
            <v>1</v>
          </cell>
          <cell r="C585" t="str">
            <v>a</v>
          </cell>
          <cell r="D585">
            <v>1608399</v>
          </cell>
          <cell r="E585" t="str">
            <v>파일재하시험</v>
          </cell>
          <cell r="F585" t="str">
            <v>(정재하시험)</v>
          </cell>
          <cell r="G585" t="str">
            <v>개소</v>
          </cell>
          <cell r="I585">
            <v>0</v>
          </cell>
        </row>
        <row r="586">
          <cell r="A586" t="str">
            <v>D03870</v>
          </cell>
          <cell r="B586">
            <v>1</v>
          </cell>
          <cell r="C586" t="str">
            <v>b</v>
          </cell>
          <cell r="D586">
            <v>1608997</v>
          </cell>
          <cell r="E586" t="str">
            <v>파일재하시험</v>
          </cell>
          <cell r="F586" t="str">
            <v>(동재하시험)</v>
          </cell>
          <cell r="G586" t="str">
            <v>개소</v>
          </cell>
          <cell r="I586">
            <v>0</v>
          </cell>
        </row>
        <row r="587">
          <cell r="A587" t="str">
            <v>E2</v>
          </cell>
          <cell r="B587">
            <v>0</v>
          </cell>
          <cell r="C587" t="str">
            <v>계</v>
          </cell>
          <cell r="D587">
            <v>1609328</v>
          </cell>
          <cell r="I587">
            <v>0</v>
          </cell>
        </row>
        <row r="588">
          <cell r="A588" t="str">
            <v>D03871</v>
          </cell>
          <cell r="B588">
            <v>10</v>
          </cell>
          <cell r="C588" t="str">
            <v>3.30</v>
          </cell>
          <cell r="D588">
            <v>1609658</v>
          </cell>
          <cell r="E588" t="str">
            <v>평판재하시험</v>
          </cell>
          <cell r="G588" t="str">
            <v>개소</v>
          </cell>
          <cell r="I588">
            <v>0</v>
          </cell>
        </row>
        <row r="589">
          <cell r="A589" t="str">
            <v>E3</v>
          </cell>
          <cell r="B589">
            <v>0</v>
          </cell>
          <cell r="C589" t="str">
            <v>합계</v>
          </cell>
          <cell r="D589">
            <v>1609690</v>
          </cell>
          <cell r="I589">
            <v>0</v>
          </cell>
        </row>
        <row r="590">
          <cell r="A590" t="str">
            <v>T3</v>
          </cell>
          <cell r="B590">
            <v>705</v>
          </cell>
          <cell r="C590" t="str">
            <v>3.D</v>
          </cell>
          <cell r="D590">
            <v>1609722</v>
          </cell>
          <cell r="E590" t="str">
            <v>학  계   1  교</v>
          </cell>
          <cell r="F590" t="str">
            <v>P.S.C BEAM</v>
          </cell>
          <cell r="I590">
            <v>0</v>
          </cell>
        </row>
        <row r="591">
          <cell r="A591" t="str">
            <v>T2</v>
          </cell>
          <cell r="B591">
            <v>597</v>
          </cell>
          <cell r="C591" t="str">
            <v>3.01</v>
          </cell>
          <cell r="D591">
            <v>1609850</v>
          </cell>
          <cell r="E591" t="str">
            <v>토          공</v>
          </cell>
          <cell r="I591">
            <v>0</v>
          </cell>
        </row>
        <row r="592">
          <cell r="A592" t="str">
            <v>D00096</v>
          </cell>
          <cell r="B592">
            <v>3022</v>
          </cell>
          <cell r="C592" t="str">
            <v>a</v>
          </cell>
          <cell r="D592">
            <v>1763147</v>
          </cell>
          <cell r="E592" t="str">
            <v>구조물터파기</v>
          </cell>
          <cell r="F592" t="str">
            <v>(육상토사 0∼2 M)</v>
          </cell>
          <cell r="G592" t="str">
            <v>㎥</v>
          </cell>
          <cell r="I592">
            <v>0</v>
          </cell>
        </row>
        <row r="593">
          <cell r="A593" t="str">
            <v>D00097</v>
          </cell>
          <cell r="B593">
            <v>373</v>
          </cell>
          <cell r="C593" t="str">
            <v>b</v>
          </cell>
          <cell r="D593">
            <v>1763483</v>
          </cell>
          <cell r="E593" t="str">
            <v>구조물터파기</v>
          </cell>
          <cell r="F593" t="str">
            <v>(육상토사 2∼4 M)</v>
          </cell>
          <cell r="G593" t="str">
            <v>㎥</v>
          </cell>
          <cell r="I593">
            <v>0</v>
          </cell>
        </row>
        <row r="594">
          <cell r="A594" t="str">
            <v>D00160</v>
          </cell>
          <cell r="B594">
            <v>2927</v>
          </cell>
          <cell r="C594" t="str">
            <v>c</v>
          </cell>
          <cell r="D594">
            <v>1763819</v>
          </cell>
          <cell r="E594" t="str">
            <v>되메우기및다짐</v>
          </cell>
          <cell r="F594" t="str">
            <v>(인력30%+백호우70%)</v>
          </cell>
          <cell r="G594" t="str">
            <v>㎥</v>
          </cell>
          <cell r="I594">
            <v>0</v>
          </cell>
        </row>
        <row r="595">
          <cell r="A595" t="str">
            <v>D00170</v>
          </cell>
          <cell r="B595">
            <v>1175</v>
          </cell>
          <cell r="C595" t="str">
            <v>d</v>
          </cell>
          <cell r="D595">
            <v>1763939</v>
          </cell>
          <cell r="E595" t="str">
            <v>뒷채움잡석</v>
          </cell>
          <cell r="F595" t="str">
            <v>(현장암유용)</v>
          </cell>
          <cell r="G595" t="str">
            <v>㎥</v>
          </cell>
          <cell r="I595">
            <v>0</v>
          </cell>
        </row>
        <row r="596">
          <cell r="A596" t="str">
            <v>D00038</v>
          </cell>
          <cell r="B596">
            <v>1659</v>
          </cell>
          <cell r="C596" t="str">
            <v>e</v>
          </cell>
          <cell r="D596">
            <v>1763999</v>
          </cell>
          <cell r="E596" t="str">
            <v>토사치환</v>
          </cell>
          <cell r="F596" t="str">
            <v>노상다짐</v>
          </cell>
          <cell r="G596" t="str">
            <v>㎥</v>
          </cell>
          <cell r="I596">
            <v>0</v>
          </cell>
        </row>
        <row r="597">
          <cell r="A597" t="str">
            <v>D00150</v>
          </cell>
          <cell r="B597">
            <v>3045</v>
          </cell>
          <cell r="C597" t="str">
            <v>f</v>
          </cell>
          <cell r="D597">
            <v>1764029</v>
          </cell>
          <cell r="E597" t="str">
            <v>교대앞성토</v>
          </cell>
          <cell r="G597" t="str">
            <v>㎥</v>
          </cell>
          <cell r="I597">
            <v>0</v>
          </cell>
        </row>
        <row r="598">
          <cell r="A598" t="str">
            <v>E2</v>
          </cell>
          <cell r="B598">
            <v>0</v>
          </cell>
          <cell r="C598" t="str">
            <v>계</v>
          </cell>
          <cell r="D598">
            <v>1764059</v>
          </cell>
          <cell r="I598">
            <v>0</v>
          </cell>
        </row>
        <row r="599">
          <cell r="A599" t="str">
            <v>T2</v>
          </cell>
          <cell r="B599">
            <v>609</v>
          </cell>
          <cell r="C599" t="str">
            <v>3.02</v>
          </cell>
          <cell r="D599">
            <v>1764187</v>
          </cell>
          <cell r="E599" t="str">
            <v>강관파일공</v>
          </cell>
          <cell r="I599">
            <v>0</v>
          </cell>
        </row>
        <row r="600">
          <cell r="A600" t="str">
            <v>D00504</v>
          </cell>
          <cell r="B600">
            <v>3724</v>
          </cell>
          <cell r="C600" t="str">
            <v>a</v>
          </cell>
          <cell r="D600">
            <v>1764315</v>
          </cell>
          <cell r="E600" t="str">
            <v>강관파일구입</v>
          </cell>
          <cell r="F600" t="str">
            <v>(Φ508.0m/mx9t)</v>
          </cell>
          <cell r="G600" t="str">
            <v>M</v>
          </cell>
          <cell r="I600">
            <v>0</v>
          </cell>
        </row>
        <row r="601">
          <cell r="A601" t="str">
            <v>D00506</v>
          </cell>
          <cell r="B601">
            <v>2248</v>
          </cell>
          <cell r="C601" t="str">
            <v>b</v>
          </cell>
          <cell r="D601">
            <v>1764344</v>
          </cell>
          <cell r="E601" t="str">
            <v>강관파일항타(직항)</v>
          </cell>
          <cell r="F601" t="str">
            <v>Φ508(15 m 이상)</v>
          </cell>
          <cell r="G601" t="str">
            <v>M</v>
          </cell>
          <cell r="I601">
            <v>0</v>
          </cell>
        </row>
        <row r="602">
          <cell r="A602" t="str">
            <v>D00512</v>
          </cell>
          <cell r="B602">
            <v>1420</v>
          </cell>
          <cell r="C602" t="str">
            <v>c</v>
          </cell>
          <cell r="D602">
            <v>1764346</v>
          </cell>
          <cell r="E602" t="str">
            <v>강관파일항타(직항)</v>
          </cell>
          <cell r="F602" t="str">
            <v>Φ508(15 m 이하)</v>
          </cell>
          <cell r="G602" t="str">
            <v>M</v>
          </cell>
          <cell r="I602">
            <v>0</v>
          </cell>
        </row>
        <row r="603">
          <cell r="A603" t="str">
            <v>D03821</v>
          </cell>
          <cell r="B603">
            <v>3190</v>
          </cell>
          <cell r="C603" t="str">
            <v>d</v>
          </cell>
          <cell r="D603">
            <v>1764347</v>
          </cell>
          <cell r="E603" t="str">
            <v>토사천공</v>
          </cell>
          <cell r="G603" t="str">
            <v>M</v>
          </cell>
          <cell r="I603">
            <v>0</v>
          </cell>
        </row>
        <row r="604">
          <cell r="A604" t="str">
            <v>D03822</v>
          </cell>
          <cell r="B604">
            <v>465</v>
          </cell>
          <cell r="C604" t="str">
            <v>e</v>
          </cell>
          <cell r="D604">
            <v>1764350</v>
          </cell>
          <cell r="E604" t="str">
            <v>풍화암천공</v>
          </cell>
          <cell r="G604" t="str">
            <v>M</v>
          </cell>
          <cell r="I604">
            <v>0</v>
          </cell>
        </row>
        <row r="605">
          <cell r="A605" t="str">
            <v>D00516</v>
          </cell>
          <cell r="B605">
            <v>272</v>
          </cell>
          <cell r="C605" t="str">
            <v>f</v>
          </cell>
          <cell r="D605">
            <v>1764355</v>
          </cell>
          <cell r="E605" t="str">
            <v>두부및선단보강</v>
          </cell>
          <cell r="F605" t="str">
            <v>(Φ508.0 m/m)천공</v>
          </cell>
          <cell r="G605" t="str">
            <v>EA</v>
          </cell>
          <cell r="I605">
            <v>0</v>
          </cell>
        </row>
        <row r="606">
          <cell r="A606" t="str">
            <v>D03829</v>
          </cell>
          <cell r="B606">
            <v>972</v>
          </cell>
          <cell r="C606" t="str">
            <v>g</v>
          </cell>
          <cell r="D606">
            <v>1764364</v>
          </cell>
          <cell r="E606" t="str">
            <v>주면고정액</v>
          </cell>
          <cell r="G606" t="str">
            <v>㎥</v>
          </cell>
          <cell r="I606">
            <v>0</v>
          </cell>
        </row>
        <row r="607">
          <cell r="A607" t="str">
            <v>D03830</v>
          </cell>
          <cell r="B607">
            <v>79</v>
          </cell>
          <cell r="C607" t="str">
            <v>h</v>
          </cell>
          <cell r="D607">
            <v>1764368</v>
          </cell>
          <cell r="E607" t="str">
            <v>선단고정액</v>
          </cell>
          <cell r="G607" t="str">
            <v>㎥</v>
          </cell>
          <cell r="I607">
            <v>0</v>
          </cell>
        </row>
        <row r="608">
          <cell r="A608" t="str">
            <v>D00515</v>
          </cell>
          <cell r="B608">
            <v>136</v>
          </cell>
          <cell r="C608" t="str">
            <v>i</v>
          </cell>
          <cell r="D608">
            <v>1764370</v>
          </cell>
          <cell r="E608" t="str">
            <v>강관파일이음</v>
          </cell>
          <cell r="F608" t="str">
            <v>(Φ508.0 m/m)</v>
          </cell>
          <cell r="G608" t="str">
            <v>EA</v>
          </cell>
          <cell r="I608">
            <v>0</v>
          </cell>
        </row>
        <row r="609">
          <cell r="A609" t="str">
            <v>D01282</v>
          </cell>
          <cell r="B609">
            <v>48</v>
          </cell>
          <cell r="C609" t="str">
            <v>j</v>
          </cell>
          <cell r="D609">
            <v>1764371</v>
          </cell>
          <cell r="E609" t="str">
            <v>방사선투과검사(RT)</v>
          </cell>
          <cell r="F609" t="str">
            <v>(3 1/3x12 ")</v>
          </cell>
          <cell r="G609" t="str">
            <v>매</v>
          </cell>
          <cell r="I609">
            <v>0</v>
          </cell>
        </row>
        <row r="610">
          <cell r="A610" t="str">
            <v>E2</v>
          </cell>
          <cell r="B610">
            <v>0</v>
          </cell>
          <cell r="C610" t="str">
            <v>계</v>
          </cell>
          <cell r="D610">
            <v>1764372</v>
          </cell>
          <cell r="I610">
            <v>0</v>
          </cell>
        </row>
        <row r="611">
          <cell r="A611" t="str">
            <v>T2</v>
          </cell>
          <cell r="B611">
            <v>619</v>
          </cell>
          <cell r="C611" t="str">
            <v>3.03</v>
          </cell>
          <cell r="D611">
            <v>1765158</v>
          </cell>
          <cell r="E611" t="str">
            <v>거 푸 집</v>
          </cell>
          <cell r="I611">
            <v>0</v>
          </cell>
        </row>
        <row r="612">
          <cell r="A612" t="str">
            <v>D00276</v>
          </cell>
          <cell r="B612">
            <v>2604</v>
          </cell>
          <cell r="C612" t="str">
            <v>a</v>
          </cell>
          <cell r="D612">
            <v>1765159</v>
          </cell>
          <cell r="E612" t="str">
            <v>합판거푸집</v>
          </cell>
          <cell r="F612" t="str">
            <v>(3 회)</v>
          </cell>
          <cell r="G612" t="str">
            <v>㎡</v>
          </cell>
          <cell r="I612">
            <v>0</v>
          </cell>
        </row>
        <row r="613">
          <cell r="A613" t="str">
            <v>D00277</v>
          </cell>
          <cell r="B613">
            <v>386</v>
          </cell>
          <cell r="C613" t="str">
            <v>b</v>
          </cell>
          <cell r="D613">
            <v>1765207</v>
          </cell>
          <cell r="E613" t="str">
            <v>합판거푸집</v>
          </cell>
          <cell r="F613" t="str">
            <v>(3 회 7∼10 m)</v>
          </cell>
          <cell r="G613" t="str">
            <v>㎡</v>
          </cell>
          <cell r="I613">
            <v>0</v>
          </cell>
        </row>
        <row r="614">
          <cell r="A614" t="str">
            <v>D00280</v>
          </cell>
          <cell r="B614">
            <v>458</v>
          </cell>
          <cell r="C614" t="str">
            <v>c</v>
          </cell>
          <cell r="D614">
            <v>1765223</v>
          </cell>
          <cell r="E614" t="str">
            <v>합판거푸집</v>
          </cell>
          <cell r="F614" t="str">
            <v>(4 회)</v>
          </cell>
          <cell r="G614" t="str">
            <v>㎡</v>
          </cell>
          <cell r="I614">
            <v>0</v>
          </cell>
        </row>
        <row r="615">
          <cell r="A615" t="str">
            <v>D00282</v>
          </cell>
          <cell r="B615">
            <v>35</v>
          </cell>
          <cell r="C615" t="str">
            <v>d</v>
          </cell>
          <cell r="D615">
            <v>1765255</v>
          </cell>
          <cell r="E615" t="str">
            <v>합판거푸집</v>
          </cell>
          <cell r="F615" t="str">
            <v>(6 회)</v>
          </cell>
          <cell r="G615" t="str">
            <v>㎡</v>
          </cell>
          <cell r="I615">
            <v>0</v>
          </cell>
        </row>
        <row r="616">
          <cell r="A616" t="str">
            <v>D00265</v>
          </cell>
          <cell r="B616">
            <v>385</v>
          </cell>
          <cell r="C616" t="str">
            <v>e</v>
          </cell>
          <cell r="D616">
            <v>1765263</v>
          </cell>
          <cell r="E616" t="str">
            <v>문양거푸집(합판4회+</v>
          </cell>
          <cell r="F616" t="str">
            <v>문양스치로폴(0∼7M)</v>
          </cell>
          <cell r="G616" t="str">
            <v>㎡</v>
          </cell>
          <cell r="I616">
            <v>0</v>
          </cell>
        </row>
        <row r="617">
          <cell r="A617" t="str">
            <v>D01111</v>
          </cell>
          <cell r="B617">
            <v>23</v>
          </cell>
          <cell r="C617" t="str">
            <v>f</v>
          </cell>
          <cell r="D617">
            <v>1765267</v>
          </cell>
          <cell r="E617" t="str">
            <v>문양거푸집(합판4회+</v>
          </cell>
          <cell r="F617" t="str">
            <v>문양스치로폴(7∼10M)</v>
          </cell>
          <cell r="G617" t="str">
            <v>㎡</v>
          </cell>
          <cell r="I617">
            <v>0</v>
          </cell>
        </row>
        <row r="618">
          <cell r="A618" t="str">
            <v>D00306</v>
          </cell>
          <cell r="B618">
            <v>316</v>
          </cell>
          <cell r="C618" t="str">
            <v>g</v>
          </cell>
          <cell r="D618">
            <v>1765269</v>
          </cell>
          <cell r="E618" t="str">
            <v>원형거푸집</v>
          </cell>
          <cell r="F618" t="str">
            <v>(3 회 0∼7 m)</v>
          </cell>
          <cell r="G618" t="str">
            <v>㎡</v>
          </cell>
          <cell r="I618">
            <v>0</v>
          </cell>
        </row>
        <row r="619">
          <cell r="A619" t="str">
            <v>D00307</v>
          </cell>
          <cell r="B619">
            <v>27</v>
          </cell>
          <cell r="C619" t="str">
            <v>h</v>
          </cell>
          <cell r="D619">
            <v>1765270</v>
          </cell>
          <cell r="E619" t="str">
            <v>원형거푸집</v>
          </cell>
          <cell r="F619" t="str">
            <v>(3 회 7∼10 m)</v>
          </cell>
          <cell r="G619" t="str">
            <v>㎡</v>
          </cell>
          <cell r="I619">
            <v>0</v>
          </cell>
        </row>
        <row r="620">
          <cell r="A620" t="str">
            <v>E2</v>
          </cell>
          <cell r="B620">
            <v>0</v>
          </cell>
          <cell r="C620" t="str">
            <v>계</v>
          </cell>
          <cell r="D620">
            <v>1765271</v>
          </cell>
          <cell r="I620">
            <v>0</v>
          </cell>
        </row>
        <row r="621">
          <cell r="A621" t="str">
            <v>D00323</v>
          </cell>
          <cell r="B621">
            <v>2046</v>
          </cell>
          <cell r="C621" t="str">
            <v>3.04</v>
          </cell>
          <cell r="D621">
            <v>1765272</v>
          </cell>
          <cell r="E621" t="str">
            <v>강관비계</v>
          </cell>
          <cell r="F621" t="str">
            <v>(0∼30 M)</v>
          </cell>
          <cell r="G621" t="str">
            <v>㎡</v>
          </cell>
          <cell r="I621">
            <v>0</v>
          </cell>
        </row>
        <row r="622">
          <cell r="A622" t="str">
            <v>T2</v>
          </cell>
          <cell r="B622">
            <v>625</v>
          </cell>
          <cell r="C622" t="str">
            <v>3.05</v>
          </cell>
          <cell r="D622">
            <v>1765336</v>
          </cell>
          <cell r="E622" t="str">
            <v>동 바 리</v>
          </cell>
          <cell r="I622">
            <v>0</v>
          </cell>
        </row>
        <row r="623">
          <cell r="A623" t="str">
            <v>D00327</v>
          </cell>
          <cell r="B623">
            <v>2243</v>
          </cell>
          <cell r="C623" t="str">
            <v>a</v>
          </cell>
          <cell r="D623">
            <v>1765368</v>
          </cell>
          <cell r="E623" t="str">
            <v>동바리공</v>
          </cell>
          <cell r="F623" t="str">
            <v>(목재 4 회)</v>
          </cell>
          <cell r="G623" t="str">
            <v>공㎥</v>
          </cell>
          <cell r="I623">
            <v>0</v>
          </cell>
        </row>
        <row r="624">
          <cell r="A624" t="str">
            <v>D00334</v>
          </cell>
          <cell r="B624">
            <v>922</v>
          </cell>
          <cell r="C624" t="str">
            <v>b</v>
          </cell>
          <cell r="D624">
            <v>1765392</v>
          </cell>
          <cell r="E624" t="str">
            <v>강관동바리</v>
          </cell>
          <cell r="F624" t="str">
            <v>(교량용)</v>
          </cell>
          <cell r="G624" t="str">
            <v>공㎥</v>
          </cell>
          <cell r="I624">
            <v>0</v>
          </cell>
        </row>
        <row r="625">
          <cell r="A625" t="str">
            <v>D01129</v>
          </cell>
          <cell r="B625">
            <v>225</v>
          </cell>
          <cell r="C625" t="str">
            <v>c</v>
          </cell>
          <cell r="D625">
            <v>1765396</v>
          </cell>
          <cell r="E625" t="str">
            <v>수평보강재(교량용)</v>
          </cell>
          <cell r="F625" t="str">
            <v>(강관동바리)</v>
          </cell>
          <cell r="G625" t="str">
            <v>㎡</v>
          </cell>
          <cell r="I625">
            <v>0</v>
          </cell>
        </row>
        <row r="626">
          <cell r="A626" t="str">
            <v>E2</v>
          </cell>
          <cell r="B626">
            <v>0</v>
          </cell>
          <cell r="C626" t="str">
            <v>계</v>
          </cell>
          <cell r="D626">
            <v>1765398</v>
          </cell>
          <cell r="I626">
            <v>0</v>
          </cell>
        </row>
        <row r="627">
          <cell r="A627" t="str">
            <v>T2</v>
          </cell>
          <cell r="B627">
            <v>629</v>
          </cell>
          <cell r="C627" t="str">
            <v>3.06</v>
          </cell>
          <cell r="D627">
            <v>1765520</v>
          </cell>
          <cell r="E627" t="str">
            <v>철근가공조립</v>
          </cell>
          <cell r="I627">
            <v>0</v>
          </cell>
        </row>
        <row r="628">
          <cell r="A628" t="str">
            <v>D00271</v>
          </cell>
          <cell r="B628">
            <v>19.492000000000001</v>
          </cell>
          <cell r="C628" t="str">
            <v>a</v>
          </cell>
          <cell r="D628">
            <v>1765522</v>
          </cell>
          <cell r="E628" t="str">
            <v>철근가공조립</v>
          </cell>
          <cell r="F628" t="str">
            <v>(보 통)</v>
          </cell>
          <cell r="G628" t="str">
            <v>Ton</v>
          </cell>
          <cell r="I628">
            <v>0</v>
          </cell>
        </row>
        <row r="629">
          <cell r="A629" t="str">
            <v>D00272</v>
          </cell>
          <cell r="B629">
            <v>418.69099999999997</v>
          </cell>
          <cell r="C629" t="str">
            <v>b</v>
          </cell>
          <cell r="D629">
            <v>1765524</v>
          </cell>
          <cell r="E629" t="str">
            <v>철근가공조립</v>
          </cell>
          <cell r="F629" t="str">
            <v>(복 잡)</v>
          </cell>
          <cell r="G629" t="str">
            <v>Ton</v>
          </cell>
          <cell r="I629">
            <v>0</v>
          </cell>
        </row>
        <row r="630">
          <cell r="A630" t="str">
            <v>E2</v>
          </cell>
          <cell r="B630">
            <v>0</v>
          </cell>
          <cell r="C630" t="str">
            <v>계</v>
          </cell>
          <cell r="D630">
            <v>1765527</v>
          </cell>
          <cell r="I630">
            <v>0</v>
          </cell>
        </row>
        <row r="631">
          <cell r="A631" t="str">
            <v>T2</v>
          </cell>
          <cell r="B631">
            <v>633</v>
          </cell>
          <cell r="C631" t="str">
            <v>3.07</v>
          </cell>
          <cell r="D631">
            <v>1765528</v>
          </cell>
          <cell r="E631" t="str">
            <v>콘크리트타설</v>
          </cell>
          <cell r="I631">
            <v>0</v>
          </cell>
        </row>
        <row r="632">
          <cell r="A632" t="str">
            <v>D00237</v>
          </cell>
          <cell r="B632">
            <v>2584</v>
          </cell>
          <cell r="C632" t="str">
            <v>a</v>
          </cell>
          <cell r="D632">
            <v>1765592</v>
          </cell>
          <cell r="E632" t="str">
            <v>콘크리트타설</v>
          </cell>
          <cell r="F632" t="str">
            <v>(철근 펌프카)</v>
          </cell>
          <cell r="G632" t="str">
            <v>㎥</v>
          </cell>
          <cell r="I632">
            <v>0</v>
          </cell>
        </row>
        <row r="633">
          <cell r="A633" t="str">
            <v>D00231</v>
          </cell>
          <cell r="B633">
            <v>89</v>
          </cell>
          <cell r="C633" t="str">
            <v>b</v>
          </cell>
          <cell r="D633">
            <v>1765624</v>
          </cell>
          <cell r="E633" t="str">
            <v>콘크리트타설</v>
          </cell>
          <cell r="F633" t="str">
            <v>(무근 VIB 제외)</v>
          </cell>
          <cell r="G633" t="str">
            <v>㎥</v>
          </cell>
          <cell r="I633">
            <v>0</v>
          </cell>
        </row>
        <row r="634">
          <cell r="A634" t="str">
            <v>E2</v>
          </cell>
          <cell r="B634">
            <v>0</v>
          </cell>
          <cell r="C634" t="str">
            <v>계</v>
          </cell>
          <cell r="D634">
            <v>1765656</v>
          </cell>
          <cell r="I634">
            <v>0</v>
          </cell>
        </row>
        <row r="635">
          <cell r="A635" t="str">
            <v>T2</v>
          </cell>
          <cell r="B635">
            <v>637</v>
          </cell>
          <cell r="C635" t="str">
            <v>3.08</v>
          </cell>
          <cell r="D635">
            <v>1765664</v>
          </cell>
          <cell r="E635" t="str">
            <v>표 면 처 리</v>
          </cell>
          <cell r="I635">
            <v>0</v>
          </cell>
        </row>
        <row r="636">
          <cell r="A636" t="str">
            <v>D00537</v>
          </cell>
          <cell r="B636">
            <v>1898</v>
          </cell>
          <cell r="C636" t="str">
            <v>a</v>
          </cell>
          <cell r="D636">
            <v>1765668</v>
          </cell>
          <cell r="E636" t="str">
            <v>슬래브양생</v>
          </cell>
          <cell r="F636" t="str">
            <v>(양생제)</v>
          </cell>
          <cell r="G636" t="str">
            <v>㎡</v>
          </cell>
          <cell r="I636">
            <v>0</v>
          </cell>
        </row>
        <row r="637">
          <cell r="A637" t="str">
            <v>D00539</v>
          </cell>
          <cell r="B637">
            <v>1717</v>
          </cell>
          <cell r="C637" t="str">
            <v>b</v>
          </cell>
          <cell r="D637">
            <v>1765670</v>
          </cell>
          <cell r="E637" t="str">
            <v>슬래브면고르기</v>
          </cell>
          <cell r="F637" t="str">
            <v>(데크 피니샤)</v>
          </cell>
          <cell r="G637" t="str">
            <v>㎡</v>
          </cell>
          <cell r="I637">
            <v>0</v>
          </cell>
        </row>
        <row r="638">
          <cell r="A638" t="str">
            <v>E2</v>
          </cell>
          <cell r="B638">
            <v>0</v>
          </cell>
          <cell r="C638" t="str">
            <v>계</v>
          </cell>
          <cell r="D638">
            <v>1765671</v>
          </cell>
          <cell r="I638">
            <v>0</v>
          </cell>
        </row>
        <row r="639">
          <cell r="A639" t="str">
            <v>T2</v>
          </cell>
          <cell r="B639">
            <v>643</v>
          </cell>
          <cell r="C639" t="str">
            <v>3.09</v>
          </cell>
          <cell r="D639">
            <v>1765799</v>
          </cell>
          <cell r="E639" t="str">
            <v>교좌장치</v>
          </cell>
          <cell r="I639">
            <v>0</v>
          </cell>
        </row>
        <row r="640">
          <cell r="A640" t="str">
            <v>D00545</v>
          </cell>
          <cell r="B640">
            <v>2</v>
          </cell>
          <cell r="C640" t="str">
            <v>a</v>
          </cell>
          <cell r="D640">
            <v>1765895</v>
          </cell>
          <cell r="E640" t="str">
            <v>교좌장치</v>
          </cell>
          <cell r="F640" t="str">
            <v>(고정단 135 Ton)</v>
          </cell>
          <cell r="G640" t="str">
            <v>EA</v>
          </cell>
          <cell r="I640">
            <v>0</v>
          </cell>
        </row>
        <row r="641">
          <cell r="A641" t="str">
            <v>D00549</v>
          </cell>
          <cell r="B641">
            <v>8</v>
          </cell>
          <cell r="C641" t="str">
            <v>b</v>
          </cell>
          <cell r="D641">
            <v>1765943</v>
          </cell>
          <cell r="E641" t="str">
            <v>교좌장치</v>
          </cell>
          <cell r="F641" t="str">
            <v>(횡방향가동단135Ton)</v>
          </cell>
          <cell r="G641" t="str">
            <v>EA</v>
          </cell>
          <cell r="I641">
            <v>0</v>
          </cell>
        </row>
        <row r="642">
          <cell r="A642" t="str">
            <v>D00548</v>
          </cell>
          <cell r="B642">
            <v>10</v>
          </cell>
          <cell r="C642" t="str">
            <v>c</v>
          </cell>
          <cell r="D642">
            <v>1765967</v>
          </cell>
          <cell r="E642" t="str">
            <v>교좌장치</v>
          </cell>
          <cell r="F642" t="str">
            <v>(종방향가동단135Ton)</v>
          </cell>
          <cell r="G642" t="str">
            <v>EA</v>
          </cell>
          <cell r="I642">
            <v>0</v>
          </cell>
        </row>
        <row r="643">
          <cell r="A643" t="str">
            <v>D00547</v>
          </cell>
          <cell r="B643">
            <v>40</v>
          </cell>
          <cell r="C643" t="str">
            <v>d</v>
          </cell>
          <cell r="D643">
            <v>1765979</v>
          </cell>
          <cell r="E643" t="str">
            <v>교좌장치</v>
          </cell>
          <cell r="F643" t="str">
            <v>(양방향가동단135Ton)</v>
          </cell>
          <cell r="G643" t="str">
            <v>EA</v>
          </cell>
          <cell r="I643">
            <v>0</v>
          </cell>
        </row>
        <row r="644">
          <cell r="A644" t="str">
            <v>E2</v>
          </cell>
          <cell r="B644">
            <v>0</v>
          </cell>
          <cell r="C644" t="str">
            <v>계</v>
          </cell>
          <cell r="D644">
            <v>1765985</v>
          </cell>
          <cell r="I644">
            <v>0</v>
          </cell>
        </row>
        <row r="645">
          <cell r="A645" t="str">
            <v>T2</v>
          </cell>
          <cell r="B645">
            <v>648</v>
          </cell>
          <cell r="C645" t="str">
            <v>3.10</v>
          </cell>
          <cell r="D645">
            <v>1766113</v>
          </cell>
          <cell r="E645" t="str">
            <v>P.S.C BEAM</v>
          </cell>
          <cell r="I645">
            <v>0</v>
          </cell>
        </row>
        <row r="646">
          <cell r="A646" t="str">
            <v>D00619</v>
          </cell>
          <cell r="B646">
            <v>30</v>
          </cell>
          <cell r="C646" t="str">
            <v>a</v>
          </cell>
          <cell r="D646">
            <v>1766177</v>
          </cell>
          <cell r="E646" t="str">
            <v>P.S.C BEAM 제작</v>
          </cell>
          <cell r="F646" t="str">
            <v>(L=30 M)</v>
          </cell>
          <cell r="G646" t="str">
            <v>본</v>
          </cell>
          <cell r="I646">
            <v>0</v>
          </cell>
        </row>
        <row r="647">
          <cell r="A647" t="str">
            <v>D00606</v>
          </cell>
          <cell r="B647">
            <v>30</v>
          </cell>
          <cell r="C647" t="str">
            <v>b</v>
          </cell>
          <cell r="D647">
            <v>1766241</v>
          </cell>
          <cell r="E647" t="str">
            <v>P.S.C 빔 운반및설치</v>
          </cell>
          <cell r="F647" t="str">
            <v>(L=30 M)</v>
          </cell>
          <cell r="G647" t="str">
            <v>EA</v>
          </cell>
          <cell r="I647">
            <v>0</v>
          </cell>
        </row>
        <row r="648">
          <cell r="A648" t="str">
            <v>D01130</v>
          </cell>
          <cell r="B648">
            <v>30</v>
          </cell>
          <cell r="C648" t="str">
            <v>c</v>
          </cell>
          <cell r="D648">
            <v>1766305</v>
          </cell>
          <cell r="E648" t="str">
            <v>P.S.C빔 전도방지시설</v>
          </cell>
          <cell r="G648" t="str">
            <v>본</v>
          </cell>
          <cell r="I648">
            <v>0</v>
          </cell>
        </row>
        <row r="649">
          <cell r="A649" t="str">
            <v>E2</v>
          </cell>
          <cell r="B649">
            <v>0</v>
          </cell>
          <cell r="C649" t="str">
            <v>계</v>
          </cell>
          <cell r="D649">
            <v>1766337</v>
          </cell>
          <cell r="I649">
            <v>0</v>
          </cell>
        </row>
        <row r="650">
          <cell r="A650" t="str">
            <v>T2</v>
          </cell>
          <cell r="B650">
            <v>652</v>
          </cell>
          <cell r="C650" t="str">
            <v>3.11</v>
          </cell>
          <cell r="D650">
            <v>1766377</v>
          </cell>
          <cell r="E650" t="str">
            <v>신축이음장치</v>
          </cell>
          <cell r="I650">
            <v>0</v>
          </cell>
        </row>
        <row r="651">
          <cell r="A651" t="str">
            <v>D01313</v>
          </cell>
          <cell r="B651">
            <v>22</v>
          </cell>
          <cell r="C651" t="str">
            <v>a</v>
          </cell>
          <cell r="D651">
            <v>1766417</v>
          </cell>
          <cell r="E651" t="str">
            <v>신축이음장치</v>
          </cell>
          <cell r="F651" t="str">
            <v>(Rail-No100)</v>
          </cell>
          <cell r="G651" t="str">
            <v>M</v>
          </cell>
          <cell r="I651">
            <v>0</v>
          </cell>
        </row>
        <row r="652">
          <cell r="A652" t="str">
            <v>D00554</v>
          </cell>
          <cell r="B652">
            <v>22</v>
          </cell>
          <cell r="C652" t="str">
            <v>b</v>
          </cell>
          <cell r="D652">
            <v>1766505</v>
          </cell>
          <cell r="E652" t="str">
            <v>신축이음장치</v>
          </cell>
          <cell r="F652" t="str">
            <v>(Rail-No160)</v>
          </cell>
          <cell r="G652" t="str">
            <v>M</v>
          </cell>
          <cell r="I652">
            <v>0</v>
          </cell>
        </row>
        <row r="653">
          <cell r="A653" t="str">
            <v>E2</v>
          </cell>
          <cell r="B653">
            <v>0</v>
          </cell>
          <cell r="C653" t="str">
            <v>계</v>
          </cell>
          <cell r="D653">
            <v>1766549</v>
          </cell>
          <cell r="I653">
            <v>0</v>
          </cell>
        </row>
        <row r="654">
          <cell r="A654" t="str">
            <v>D00535</v>
          </cell>
          <cell r="B654">
            <v>1717</v>
          </cell>
          <cell r="C654" t="str">
            <v>3.12</v>
          </cell>
          <cell r="D654">
            <v>1766593</v>
          </cell>
          <cell r="E654" t="str">
            <v>교면방수</v>
          </cell>
          <cell r="F654" t="str">
            <v>(도막식)</v>
          </cell>
          <cell r="G654" t="str">
            <v>㎡</v>
          </cell>
          <cell r="I654">
            <v>0</v>
          </cell>
        </row>
        <row r="655">
          <cell r="A655" t="str">
            <v>T2</v>
          </cell>
          <cell r="B655">
            <v>659</v>
          </cell>
          <cell r="C655" t="str">
            <v>3.13</v>
          </cell>
          <cell r="D655">
            <v>1766657</v>
          </cell>
          <cell r="E655" t="str">
            <v>접속슬래브 접합공</v>
          </cell>
          <cell r="I655">
            <v>0</v>
          </cell>
        </row>
        <row r="656">
          <cell r="A656" t="str">
            <v>D01067</v>
          </cell>
          <cell r="B656">
            <v>104</v>
          </cell>
          <cell r="C656" t="str">
            <v>a</v>
          </cell>
          <cell r="D656">
            <v>1766689</v>
          </cell>
          <cell r="E656" t="str">
            <v>다웰바 설치</v>
          </cell>
          <cell r="F656" t="str">
            <v>(D=25 m/m, L=500)</v>
          </cell>
          <cell r="G656" t="str">
            <v>EA</v>
          </cell>
          <cell r="I656">
            <v>0</v>
          </cell>
        </row>
        <row r="657">
          <cell r="A657" t="str">
            <v>D01190</v>
          </cell>
          <cell r="B657">
            <v>31</v>
          </cell>
          <cell r="C657" t="str">
            <v>b</v>
          </cell>
          <cell r="D657">
            <v>1766721</v>
          </cell>
          <cell r="E657" t="str">
            <v>다웰-켑 설치</v>
          </cell>
          <cell r="F657" t="str">
            <v>(Φ60 m/m)</v>
          </cell>
          <cell r="G657" t="str">
            <v>M</v>
          </cell>
          <cell r="I657">
            <v>0</v>
          </cell>
        </row>
        <row r="658">
          <cell r="A658" t="str">
            <v>D00540</v>
          </cell>
          <cell r="B658">
            <v>104</v>
          </cell>
          <cell r="C658" t="str">
            <v>c</v>
          </cell>
          <cell r="D658">
            <v>1766723</v>
          </cell>
          <cell r="E658" t="str">
            <v>경질고무판</v>
          </cell>
          <cell r="F658" t="str">
            <v>(150x150)</v>
          </cell>
          <cell r="G658" t="str">
            <v>EA</v>
          </cell>
          <cell r="I658">
            <v>0</v>
          </cell>
        </row>
        <row r="659">
          <cell r="A659" t="str">
            <v>D00566</v>
          </cell>
          <cell r="B659">
            <v>18</v>
          </cell>
          <cell r="C659" t="str">
            <v>d</v>
          </cell>
          <cell r="D659">
            <v>1766724</v>
          </cell>
          <cell r="E659" t="str">
            <v>타르페이퍼 설치</v>
          </cell>
          <cell r="F659" t="str">
            <v>(5 겹)</v>
          </cell>
          <cell r="G659" t="str">
            <v>㎡</v>
          </cell>
          <cell r="I659">
            <v>0</v>
          </cell>
        </row>
        <row r="660">
          <cell r="A660" t="str">
            <v>E2</v>
          </cell>
          <cell r="B660">
            <v>0</v>
          </cell>
          <cell r="C660" t="str">
            <v>계</v>
          </cell>
          <cell r="D660">
            <v>1766756</v>
          </cell>
          <cell r="I660">
            <v>0</v>
          </cell>
        </row>
        <row r="661">
          <cell r="A661" t="str">
            <v>T2</v>
          </cell>
          <cell r="B661">
            <v>663</v>
          </cell>
          <cell r="C661" t="str">
            <v>3.14</v>
          </cell>
          <cell r="D661">
            <v>1766789</v>
          </cell>
          <cell r="E661" t="str">
            <v>무수축 콘크리트</v>
          </cell>
          <cell r="I661">
            <v>0</v>
          </cell>
        </row>
        <row r="662">
          <cell r="A662" t="str">
            <v>D00567</v>
          </cell>
          <cell r="B662">
            <v>2.8439999999999999</v>
          </cell>
          <cell r="C662" t="str">
            <v>a</v>
          </cell>
          <cell r="D662">
            <v>1766805</v>
          </cell>
          <cell r="E662" t="str">
            <v>무수축몰탈</v>
          </cell>
          <cell r="F662" t="str">
            <v>(1:1)</v>
          </cell>
          <cell r="G662" t="str">
            <v>㎥</v>
          </cell>
          <cell r="I662">
            <v>0</v>
          </cell>
        </row>
        <row r="663">
          <cell r="A663" t="str">
            <v>D00568</v>
          </cell>
          <cell r="B663">
            <v>10.54</v>
          </cell>
          <cell r="C663" t="str">
            <v>b</v>
          </cell>
          <cell r="D663">
            <v>1766813</v>
          </cell>
          <cell r="E663" t="str">
            <v>무수축콘크리트</v>
          </cell>
          <cell r="G663" t="str">
            <v>㎥</v>
          </cell>
          <cell r="I663">
            <v>0</v>
          </cell>
        </row>
        <row r="664">
          <cell r="A664" t="str">
            <v>E2</v>
          </cell>
          <cell r="B664">
            <v>0</v>
          </cell>
          <cell r="C664" t="str">
            <v>계</v>
          </cell>
          <cell r="D664">
            <v>1766817</v>
          </cell>
          <cell r="I664">
            <v>0</v>
          </cell>
        </row>
        <row r="665">
          <cell r="A665" t="str">
            <v>T2</v>
          </cell>
          <cell r="B665">
            <v>667</v>
          </cell>
          <cell r="C665" t="str">
            <v>3.15</v>
          </cell>
          <cell r="D665">
            <v>1766819</v>
          </cell>
          <cell r="E665" t="str">
            <v>스치로폴 설치</v>
          </cell>
          <cell r="I665">
            <v>0</v>
          </cell>
        </row>
        <row r="666">
          <cell r="A666" t="str">
            <v>D00853</v>
          </cell>
          <cell r="B666">
            <v>9</v>
          </cell>
          <cell r="C666" t="str">
            <v>a</v>
          </cell>
          <cell r="D666">
            <v>1767077</v>
          </cell>
          <cell r="E666" t="str">
            <v>스치로폴설치</v>
          </cell>
          <cell r="F666" t="str">
            <v>(T=10 m/m)</v>
          </cell>
          <cell r="G666" t="str">
            <v>㎡</v>
          </cell>
          <cell r="I666">
            <v>0</v>
          </cell>
        </row>
        <row r="667">
          <cell r="A667" t="str">
            <v>D00532</v>
          </cell>
          <cell r="B667">
            <v>83</v>
          </cell>
          <cell r="C667" t="str">
            <v>b</v>
          </cell>
          <cell r="D667">
            <v>1767205</v>
          </cell>
          <cell r="E667" t="str">
            <v>스치로폴설치</v>
          </cell>
          <cell r="F667" t="str">
            <v>(T=20 m/m)</v>
          </cell>
          <cell r="G667" t="str">
            <v>㎡</v>
          </cell>
          <cell r="I667">
            <v>0</v>
          </cell>
        </row>
        <row r="668">
          <cell r="A668" t="str">
            <v>E2</v>
          </cell>
          <cell r="B668">
            <v>0</v>
          </cell>
          <cell r="C668" t="str">
            <v>계</v>
          </cell>
          <cell r="D668">
            <v>1767206</v>
          </cell>
          <cell r="I668">
            <v>0</v>
          </cell>
        </row>
        <row r="669">
          <cell r="A669" t="str">
            <v>T2</v>
          </cell>
          <cell r="B669">
            <v>674</v>
          </cell>
          <cell r="C669" t="str">
            <v>3.16</v>
          </cell>
          <cell r="D669">
            <v>1767333</v>
          </cell>
          <cell r="E669" t="str">
            <v>배수시설</v>
          </cell>
          <cell r="I669">
            <v>0</v>
          </cell>
        </row>
        <row r="670">
          <cell r="A670" t="str">
            <v>D00572</v>
          </cell>
          <cell r="B670">
            <v>8</v>
          </cell>
          <cell r="C670" t="str">
            <v>a</v>
          </cell>
          <cell r="D670">
            <v>1767334</v>
          </cell>
          <cell r="E670" t="str">
            <v>집 수 구</v>
          </cell>
          <cell r="G670" t="str">
            <v>EA</v>
          </cell>
          <cell r="I670">
            <v>0</v>
          </cell>
        </row>
        <row r="671">
          <cell r="A671" t="str">
            <v>D00573</v>
          </cell>
          <cell r="B671">
            <v>36</v>
          </cell>
          <cell r="C671" t="str">
            <v>b</v>
          </cell>
          <cell r="D671">
            <v>1767335</v>
          </cell>
          <cell r="E671" t="str">
            <v>배 수 구</v>
          </cell>
          <cell r="F671" t="str">
            <v>(스테인레스관)</v>
          </cell>
          <cell r="G671" t="str">
            <v>M</v>
          </cell>
          <cell r="I671">
            <v>0</v>
          </cell>
        </row>
        <row r="672">
          <cell r="A672" t="str">
            <v>D00574</v>
          </cell>
          <cell r="B672">
            <v>40</v>
          </cell>
          <cell r="C672" t="str">
            <v>c</v>
          </cell>
          <cell r="D672">
            <v>1767399</v>
          </cell>
          <cell r="E672" t="str">
            <v>부착시설(A)</v>
          </cell>
          <cell r="G672" t="str">
            <v>EA</v>
          </cell>
          <cell r="I672">
            <v>0</v>
          </cell>
        </row>
        <row r="673">
          <cell r="A673" t="str">
            <v>D00577</v>
          </cell>
          <cell r="B673">
            <v>45</v>
          </cell>
          <cell r="C673" t="str">
            <v>d</v>
          </cell>
          <cell r="D673">
            <v>1767431</v>
          </cell>
          <cell r="E673" t="str">
            <v>도 수 로</v>
          </cell>
          <cell r="G673" t="str">
            <v>M</v>
          </cell>
          <cell r="I673">
            <v>0</v>
          </cell>
        </row>
        <row r="674">
          <cell r="A674" t="str">
            <v>D03867</v>
          </cell>
          <cell r="B674">
            <v>4</v>
          </cell>
          <cell r="C674" t="str">
            <v>e</v>
          </cell>
          <cell r="D674">
            <v>1767439</v>
          </cell>
          <cell r="E674" t="str">
            <v>집 수 정</v>
          </cell>
          <cell r="G674" t="str">
            <v>EA</v>
          </cell>
          <cell r="I674">
            <v>0</v>
          </cell>
        </row>
        <row r="675">
          <cell r="A675" t="str">
            <v>E2</v>
          </cell>
          <cell r="B675">
            <v>0</v>
          </cell>
          <cell r="C675" t="str">
            <v>계</v>
          </cell>
          <cell r="D675">
            <v>1767447</v>
          </cell>
          <cell r="I675">
            <v>0</v>
          </cell>
        </row>
        <row r="676">
          <cell r="A676" t="str">
            <v>T2</v>
          </cell>
          <cell r="B676">
            <v>678</v>
          </cell>
          <cell r="C676" t="str">
            <v>3.17</v>
          </cell>
          <cell r="D676">
            <v>1767463</v>
          </cell>
          <cell r="E676" t="str">
            <v>스페이서설치</v>
          </cell>
          <cell r="I676">
            <v>0</v>
          </cell>
        </row>
        <row r="677">
          <cell r="A677" t="str">
            <v>D00588</v>
          </cell>
          <cell r="B677">
            <v>2768</v>
          </cell>
          <cell r="C677" t="str">
            <v>a</v>
          </cell>
          <cell r="D677">
            <v>1767479</v>
          </cell>
          <cell r="E677" t="str">
            <v>스페이서 설치</v>
          </cell>
          <cell r="F677" t="str">
            <v>(슬라브및기초용)</v>
          </cell>
          <cell r="G677" t="str">
            <v>㎡</v>
          </cell>
          <cell r="I677">
            <v>0</v>
          </cell>
        </row>
        <row r="678">
          <cell r="A678" t="str">
            <v>D01070</v>
          </cell>
          <cell r="B678">
            <v>257</v>
          </cell>
          <cell r="C678" t="str">
            <v>b</v>
          </cell>
          <cell r="D678">
            <v>1767487</v>
          </cell>
          <cell r="E678" t="str">
            <v>스페이서 설치</v>
          </cell>
          <cell r="F678" t="str">
            <v>(벽체용)</v>
          </cell>
          <cell r="G678" t="str">
            <v>㎡</v>
          </cell>
          <cell r="I678">
            <v>0</v>
          </cell>
        </row>
        <row r="679">
          <cell r="A679" t="str">
            <v>E2</v>
          </cell>
          <cell r="B679">
            <v>0</v>
          </cell>
          <cell r="C679" t="str">
            <v>계</v>
          </cell>
          <cell r="D679">
            <v>1767491</v>
          </cell>
          <cell r="I679">
            <v>0</v>
          </cell>
        </row>
        <row r="680">
          <cell r="A680" t="str">
            <v>T2</v>
          </cell>
          <cell r="B680">
            <v>683</v>
          </cell>
          <cell r="C680" t="str">
            <v>3.18</v>
          </cell>
          <cell r="D680">
            <v>1767509</v>
          </cell>
          <cell r="E680" t="str">
            <v>교명판 설명판</v>
          </cell>
          <cell r="I680">
            <v>0</v>
          </cell>
        </row>
        <row r="681">
          <cell r="A681" t="str">
            <v>D00581</v>
          </cell>
          <cell r="B681">
            <v>4</v>
          </cell>
          <cell r="C681" t="str">
            <v>a</v>
          </cell>
          <cell r="D681">
            <v>1767510</v>
          </cell>
          <cell r="E681" t="str">
            <v>교 명 주</v>
          </cell>
          <cell r="F681" t="str">
            <v>(소형,화강석)</v>
          </cell>
          <cell r="G681" t="str">
            <v>기</v>
          </cell>
          <cell r="I681">
            <v>0</v>
          </cell>
        </row>
        <row r="682">
          <cell r="A682" t="str">
            <v>D00583</v>
          </cell>
          <cell r="B682">
            <v>2</v>
          </cell>
          <cell r="C682" t="str">
            <v>b</v>
          </cell>
          <cell r="D682">
            <v>1767511</v>
          </cell>
          <cell r="E682" t="str">
            <v>교 명 판(황동주물)</v>
          </cell>
          <cell r="F682" t="str">
            <v>(450x200x10)</v>
          </cell>
          <cell r="G682" t="str">
            <v>EA</v>
          </cell>
          <cell r="I682">
            <v>0</v>
          </cell>
        </row>
        <row r="683">
          <cell r="A683" t="str">
            <v>D00584</v>
          </cell>
          <cell r="B683">
            <v>2</v>
          </cell>
          <cell r="C683" t="str">
            <v>c</v>
          </cell>
          <cell r="D683">
            <v>1767575</v>
          </cell>
          <cell r="E683" t="str">
            <v>설 명 판(황동주물)</v>
          </cell>
          <cell r="F683" t="str">
            <v>(500x300x10)</v>
          </cell>
          <cell r="G683" t="str">
            <v>EA</v>
          </cell>
          <cell r="I683">
            <v>0</v>
          </cell>
        </row>
        <row r="684">
          <cell r="A684" t="str">
            <v>E2</v>
          </cell>
          <cell r="B684">
            <v>0</v>
          </cell>
          <cell r="C684" t="str">
            <v>계</v>
          </cell>
          <cell r="D684">
            <v>1767607</v>
          </cell>
          <cell r="I684">
            <v>0</v>
          </cell>
        </row>
        <row r="685">
          <cell r="A685" t="str">
            <v>D00594</v>
          </cell>
          <cell r="B685">
            <v>2</v>
          </cell>
          <cell r="C685" t="str">
            <v>3.19</v>
          </cell>
          <cell r="D685">
            <v>1767615</v>
          </cell>
          <cell r="E685" t="str">
            <v>측량기준점 설치</v>
          </cell>
          <cell r="F685" t="str">
            <v>(황동주물)</v>
          </cell>
          <cell r="G685" t="str">
            <v>EA</v>
          </cell>
          <cell r="I685">
            <v>0</v>
          </cell>
        </row>
        <row r="686">
          <cell r="A686" t="str">
            <v>T2</v>
          </cell>
          <cell r="B686">
            <v>688</v>
          </cell>
          <cell r="C686" t="str">
            <v>3.20</v>
          </cell>
          <cell r="D686">
            <v>1767743</v>
          </cell>
          <cell r="E686" t="str">
            <v>충 진 재</v>
          </cell>
          <cell r="I686">
            <v>0</v>
          </cell>
        </row>
        <row r="687">
          <cell r="A687" t="str">
            <v>D00846</v>
          </cell>
          <cell r="B687">
            <v>90</v>
          </cell>
          <cell r="C687" t="str">
            <v>a</v>
          </cell>
          <cell r="D687">
            <v>1767811</v>
          </cell>
          <cell r="E687" t="str">
            <v>폴리우레탄실란트채움</v>
          </cell>
          <cell r="F687" t="str">
            <v>(25x20)</v>
          </cell>
          <cell r="G687" t="str">
            <v>M</v>
          </cell>
          <cell r="I687">
            <v>0</v>
          </cell>
        </row>
        <row r="688">
          <cell r="A688" t="str">
            <v>D01224</v>
          </cell>
          <cell r="B688">
            <v>57</v>
          </cell>
          <cell r="C688" t="str">
            <v>b</v>
          </cell>
          <cell r="D688">
            <v>1767815</v>
          </cell>
          <cell r="E688" t="str">
            <v>폴리우레탄실란트채움</v>
          </cell>
          <cell r="F688" t="str">
            <v>(25x10)</v>
          </cell>
          <cell r="G688" t="str">
            <v>M</v>
          </cell>
          <cell r="I688">
            <v>0</v>
          </cell>
        </row>
        <row r="689">
          <cell r="A689" t="str">
            <v>E2</v>
          </cell>
          <cell r="B689">
            <v>0</v>
          </cell>
          <cell r="C689" t="str">
            <v>계</v>
          </cell>
          <cell r="D689">
            <v>1767817</v>
          </cell>
          <cell r="I689">
            <v>0</v>
          </cell>
        </row>
        <row r="690">
          <cell r="A690" t="str">
            <v>D01308</v>
          </cell>
          <cell r="B690">
            <v>775</v>
          </cell>
          <cell r="C690" t="str">
            <v>3.21</v>
          </cell>
          <cell r="D690">
            <v>1768257</v>
          </cell>
          <cell r="E690" t="str">
            <v>강섬유보강재</v>
          </cell>
          <cell r="F690" t="str">
            <v>(900 g/㎥)</v>
          </cell>
          <cell r="G690" t="str">
            <v>㎥</v>
          </cell>
          <cell r="I690">
            <v>0</v>
          </cell>
        </row>
        <row r="691">
          <cell r="A691" t="str">
            <v>D01309</v>
          </cell>
          <cell r="B691">
            <v>40</v>
          </cell>
          <cell r="C691" t="str">
            <v>3.22</v>
          </cell>
          <cell r="D691">
            <v>1768753</v>
          </cell>
          <cell r="E691" t="str">
            <v>모래주머니</v>
          </cell>
          <cell r="G691" t="str">
            <v>EA</v>
          </cell>
          <cell r="I691">
            <v>0</v>
          </cell>
        </row>
        <row r="692">
          <cell r="A692" t="str">
            <v>D00911</v>
          </cell>
          <cell r="B692">
            <v>100</v>
          </cell>
          <cell r="C692" t="str">
            <v>3.23</v>
          </cell>
          <cell r="D692">
            <v>1921750</v>
          </cell>
          <cell r="E692" t="str">
            <v>방 호 벽</v>
          </cell>
          <cell r="F692" t="str">
            <v>(육교용)</v>
          </cell>
          <cell r="G692" t="str">
            <v>M</v>
          </cell>
          <cell r="I692">
            <v>0</v>
          </cell>
        </row>
        <row r="693">
          <cell r="A693" t="str">
            <v>D00791</v>
          </cell>
          <cell r="B693">
            <v>60</v>
          </cell>
          <cell r="C693" t="str">
            <v>3.24</v>
          </cell>
          <cell r="D693">
            <v>1998248</v>
          </cell>
          <cell r="E693" t="str">
            <v>교좌장치표지판</v>
          </cell>
          <cell r="G693" t="str">
            <v>EA</v>
          </cell>
          <cell r="I693">
            <v>0</v>
          </cell>
        </row>
        <row r="694">
          <cell r="A694" t="str">
            <v>D00817</v>
          </cell>
          <cell r="B694">
            <v>0.104</v>
          </cell>
          <cell r="C694" t="str">
            <v>3.25</v>
          </cell>
          <cell r="D694">
            <v>2036497</v>
          </cell>
          <cell r="E694" t="str">
            <v>아스팔트 채움</v>
          </cell>
          <cell r="F694" t="str">
            <v>(브론아스팔트)</v>
          </cell>
          <cell r="G694" t="str">
            <v>㎥</v>
          </cell>
          <cell r="I694">
            <v>0</v>
          </cell>
        </row>
        <row r="695">
          <cell r="A695" t="str">
            <v>D01064</v>
          </cell>
          <cell r="B695">
            <v>90</v>
          </cell>
          <cell r="C695" t="str">
            <v>3.26</v>
          </cell>
          <cell r="D695">
            <v>2055622</v>
          </cell>
          <cell r="E695" t="str">
            <v>중앙분리대</v>
          </cell>
          <cell r="G695" t="str">
            <v>M</v>
          </cell>
          <cell r="I695">
            <v>0</v>
          </cell>
        </row>
        <row r="696">
          <cell r="A696" t="str">
            <v>D03817</v>
          </cell>
          <cell r="B696">
            <v>38</v>
          </cell>
          <cell r="C696" t="str">
            <v>3.27</v>
          </cell>
          <cell r="D696">
            <v>2065184</v>
          </cell>
          <cell r="E696" t="str">
            <v>ELASTIC FILLER</v>
          </cell>
          <cell r="F696" t="str">
            <v>(T=20 m/m)</v>
          </cell>
          <cell r="G696" t="str">
            <v>㎡</v>
          </cell>
          <cell r="I696">
            <v>0</v>
          </cell>
        </row>
        <row r="697">
          <cell r="A697" t="str">
            <v>D01333</v>
          </cell>
          <cell r="B697">
            <v>100</v>
          </cell>
          <cell r="C697" t="str">
            <v>3.28</v>
          </cell>
          <cell r="D697">
            <v>2069965</v>
          </cell>
          <cell r="E697" t="str">
            <v>방음벽 기초</v>
          </cell>
          <cell r="G697" t="str">
            <v>M</v>
          </cell>
          <cell r="I697">
            <v>0</v>
          </cell>
        </row>
        <row r="698">
          <cell r="A698" t="str">
            <v>D00593</v>
          </cell>
          <cell r="B698">
            <v>506</v>
          </cell>
          <cell r="C698" t="str">
            <v>3.29</v>
          </cell>
          <cell r="D698">
            <v>2072356</v>
          </cell>
          <cell r="E698" t="str">
            <v>낙하물방지망</v>
          </cell>
          <cell r="G698" t="str">
            <v>㎡</v>
          </cell>
          <cell r="I698">
            <v>0</v>
          </cell>
        </row>
        <row r="699">
          <cell r="A699" t="str">
            <v>D00434</v>
          </cell>
          <cell r="B699">
            <v>555</v>
          </cell>
          <cell r="C699" t="str">
            <v>3.30</v>
          </cell>
          <cell r="D699">
            <v>2073551</v>
          </cell>
          <cell r="E699" t="str">
            <v>법면보호블럭</v>
          </cell>
          <cell r="F699" t="str">
            <v>(400x400x120)육교용</v>
          </cell>
          <cell r="G699" t="str">
            <v>㎡</v>
          </cell>
          <cell r="I699">
            <v>0</v>
          </cell>
        </row>
        <row r="700">
          <cell r="A700" t="str">
            <v>D00844</v>
          </cell>
          <cell r="B700">
            <v>59</v>
          </cell>
          <cell r="C700" t="str">
            <v>3.31</v>
          </cell>
          <cell r="D700">
            <v>2074149</v>
          </cell>
          <cell r="E700" t="str">
            <v>법면보호블럭</v>
          </cell>
          <cell r="F700" t="str">
            <v>(기초)</v>
          </cell>
          <cell r="G700" t="str">
            <v>M</v>
          </cell>
          <cell r="I700">
            <v>0</v>
          </cell>
        </row>
        <row r="701">
          <cell r="A701" t="str">
            <v>D03859</v>
          </cell>
          <cell r="B701">
            <v>1</v>
          </cell>
          <cell r="C701" t="str">
            <v>3.32</v>
          </cell>
          <cell r="D701">
            <v>2074448</v>
          </cell>
          <cell r="E701" t="str">
            <v>천공장비조립및해체</v>
          </cell>
          <cell r="G701" t="str">
            <v>회</v>
          </cell>
          <cell r="I701">
            <v>0</v>
          </cell>
        </row>
        <row r="702">
          <cell r="A702" t="str">
            <v>T2</v>
          </cell>
          <cell r="B702">
            <v>704</v>
          </cell>
          <cell r="C702" t="str">
            <v>3.33</v>
          </cell>
          <cell r="D702">
            <v>2074597</v>
          </cell>
          <cell r="E702" t="str">
            <v>파일재하시험</v>
          </cell>
          <cell r="I702">
            <v>0</v>
          </cell>
        </row>
        <row r="703">
          <cell r="A703" t="str">
            <v>D03869</v>
          </cell>
          <cell r="B703">
            <v>1</v>
          </cell>
          <cell r="C703" t="str">
            <v>a</v>
          </cell>
          <cell r="D703">
            <v>2074672</v>
          </cell>
          <cell r="E703" t="str">
            <v>파일재하시험</v>
          </cell>
          <cell r="F703" t="str">
            <v>(정재하시험)</v>
          </cell>
          <cell r="G703" t="str">
            <v>개소</v>
          </cell>
          <cell r="I703">
            <v>0</v>
          </cell>
        </row>
        <row r="704">
          <cell r="A704" t="str">
            <v>D03870</v>
          </cell>
          <cell r="B704">
            <v>7</v>
          </cell>
          <cell r="C704" t="str">
            <v>b</v>
          </cell>
          <cell r="D704">
            <v>2074800</v>
          </cell>
          <cell r="E704" t="str">
            <v>파일재하시험</v>
          </cell>
          <cell r="F704" t="str">
            <v>(동재하시험)</v>
          </cell>
          <cell r="G704" t="str">
            <v>개소</v>
          </cell>
          <cell r="I704">
            <v>0</v>
          </cell>
        </row>
        <row r="705">
          <cell r="A705" t="str">
            <v>E2</v>
          </cell>
          <cell r="B705">
            <v>0</v>
          </cell>
          <cell r="C705" t="str">
            <v>계</v>
          </cell>
          <cell r="D705">
            <v>2074901</v>
          </cell>
          <cell r="I705">
            <v>0</v>
          </cell>
        </row>
        <row r="706">
          <cell r="A706" t="str">
            <v>E3</v>
          </cell>
          <cell r="B706">
            <v>0</v>
          </cell>
          <cell r="C706" t="str">
            <v>합계</v>
          </cell>
          <cell r="D706">
            <v>2075002</v>
          </cell>
          <cell r="I706">
            <v>0</v>
          </cell>
        </row>
        <row r="707">
          <cell r="A707" t="str">
            <v>T3</v>
          </cell>
          <cell r="B707">
            <v>802</v>
          </cell>
          <cell r="C707" t="str">
            <v>3.E</v>
          </cell>
          <cell r="D707">
            <v>2075130</v>
          </cell>
          <cell r="E707" t="str">
            <v>학  계   2  교</v>
          </cell>
          <cell r="F707" t="str">
            <v>P.S.C BEAM</v>
          </cell>
          <cell r="I707">
            <v>0</v>
          </cell>
        </row>
        <row r="708">
          <cell r="A708" t="str">
            <v>T2</v>
          </cell>
          <cell r="B708">
            <v>713</v>
          </cell>
          <cell r="C708" t="str">
            <v>3.01</v>
          </cell>
          <cell r="D708">
            <v>2075258</v>
          </cell>
          <cell r="E708" t="str">
            <v>토          공</v>
          </cell>
          <cell r="I708">
            <v>0</v>
          </cell>
        </row>
        <row r="709">
          <cell r="A709" t="str">
            <v>D00096</v>
          </cell>
          <cell r="B709">
            <v>519</v>
          </cell>
          <cell r="C709" t="str">
            <v>a</v>
          </cell>
          <cell r="D709">
            <v>2228555</v>
          </cell>
          <cell r="E709" t="str">
            <v>구조물터파기</v>
          </cell>
          <cell r="F709" t="str">
            <v>(육상토사 0∼2 M)</v>
          </cell>
          <cell r="G709" t="str">
            <v>㎥</v>
          </cell>
          <cell r="I709">
            <v>0</v>
          </cell>
        </row>
        <row r="710">
          <cell r="A710" t="str">
            <v>D00134</v>
          </cell>
          <cell r="B710">
            <v>469</v>
          </cell>
          <cell r="C710" t="str">
            <v>b</v>
          </cell>
          <cell r="D710">
            <v>2228891</v>
          </cell>
          <cell r="E710" t="str">
            <v>구조물터파기</v>
          </cell>
          <cell r="F710" t="str">
            <v>(육상리핑암 1∼2 M)</v>
          </cell>
          <cell r="G710" t="str">
            <v>㎥</v>
          </cell>
          <cell r="I710">
            <v>0</v>
          </cell>
        </row>
        <row r="711">
          <cell r="A711" t="str">
            <v>D00160</v>
          </cell>
          <cell r="B711">
            <v>353</v>
          </cell>
          <cell r="C711" t="str">
            <v>c</v>
          </cell>
          <cell r="D711">
            <v>2229227</v>
          </cell>
          <cell r="E711" t="str">
            <v>되메우기및다짐</v>
          </cell>
          <cell r="F711" t="str">
            <v>(인력30%+백호우70%)</v>
          </cell>
          <cell r="G711" t="str">
            <v>㎥</v>
          </cell>
          <cell r="I711">
            <v>0</v>
          </cell>
        </row>
        <row r="712">
          <cell r="A712" t="str">
            <v>D00170</v>
          </cell>
          <cell r="B712">
            <v>1105</v>
          </cell>
          <cell r="C712" t="str">
            <v>d</v>
          </cell>
          <cell r="D712">
            <v>2229347</v>
          </cell>
          <cell r="E712" t="str">
            <v>뒷채움잡석</v>
          </cell>
          <cell r="F712" t="str">
            <v>(현장암유용)</v>
          </cell>
          <cell r="G712" t="str">
            <v>㎥</v>
          </cell>
          <cell r="I712">
            <v>0</v>
          </cell>
        </row>
        <row r="713">
          <cell r="A713" t="str">
            <v>D00150</v>
          </cell>
          <cell r="B713">
            <v>2297</v>
          </cell>
          <cell r="C713" t="str">
            <v>e</v>
          </cell>
          <cell r="D713">
            <v>2229407</v>
          </cell>
          <cell r="E713" t="str">
            <v>교대앞성토</v>
          </cell>
          <cell r="G713" t="str">
            <v>㎥</v>
          </cell>
          <cell r="I713">
            <v>0</v>
          </cell>
        </row>
        <row r="714">
          <cell r="A714" t="str">
            <v>E2</v>
          </cell>
          <cell r="B714">
            <v>0</v>
          </cell>
          <cell r="C714" t="str">
            <v>계</v>
          </cell>
          <cell r="D714">
            <v>2229467</v>
          </cell>
          <cell r="I714">
            <v>0</v>
          </cell>
        </row>
        <row r="715">
          <cell r="A715" t="str">
            <v>T2</v>
          </cell>
          <cell r="B715">
            <v>721</v>
          </cell>
          <cell r="C715" t="str">
            <v>3.02</v>
          </cell>
          <cell r="D715">
            <v>2230566</v>
          </cell>
          <cell r="E715" t="str">
            <v>거 푸 집</v>
          </cell>
          <cell r="I715">
            <v>0</v>
          </cell>
        </row>
        <row r="716">
          <cell r="A716" t="str">
            <v>D00276</v>
          </cell>
          <cell r="B716">
            <v>1352</v>
          </cell>
          <cell r="C716" t="str">
            <v>a</v>
          </cell>
          <cell r="D716">
            <v>2230567</v>
          </cell>
          <cell r="E716" t="str">
            <v>합판거푸집</v>
          </cell>
          <cell r="F716" t="str">
            <v>(3 회)</v>
          </cell>
          <cell r="G716" t="str">
            <v>㎡</v>
          </cell>
          <cell r="I716">
            <v>0</v>
          </cell>
        </row>
        <row r="717">
          <cell r="A717" t="str">
            <v>D00277</v>
          </cell>
          <cell r="B717">
            <v>225</v>
          </cell>
          <cell r="C717" t="str">
            <v>b</v>
          </cell>
          <cell r="D717">
            <v>2230599</v>
          </cell>
          <cell r="E717" t="str">
            <v>합판거푸집</v>
          </cell>
          <cell r="F717" t="str">
            <v>(3 회 7∼10 m)</v>
          </cell>
          <cell r="G717" t="str">
            <v>㎡</v>
          </cell>
          <cell r="I717">
            <v>0</v>
          </cell>
        </row>
        <row r="718">
          <cell r="A718" t="str">
            <v>D00280</v>
          </cell>
          <cell r="B718">
            <v>254</v>
          </cell>
          <cell r="C718" t="str">
            <v>c</v>
          </cell>
          <cell r="D718">
            <v>2230631</v>
          </cell>
          <cell r="E718" t="str">
            <v>합판거푸집</v>
          </cell>
          <cell r="F718" t="str">
            <v>(4 회)</v>
          </cell>
          <cell r="G718" t="str">
            <v>㎡</v>
          </cell>
          <cell r="I718">
            <v>0</v>
          </cell>
        </row>
        <row r="719">
          <cell r="A719" t="str">
            <v>D00282</v>
          </cell>
          <cell r="B719">
            <v>560</v>
          </cell>
          <cell r="C719" t="str">
            <v>d</v>
          </cell>
          <cell r="D719">
            <v>2230663</v>
          </cell>
          <cell r="E719" t="str">
            <v>합판거푸집</v>
          </cell>
          <cell r="F719" t="str">
            <v>(6 회)</v>
          </cell>
          <cell r="G719" t="str">
            <v>㎡</v>
          </cell>
          <cell r="I719">
            <v>0</v>
          </cell>
        </row>
        <row r="720">
          <cell r="A720" t="str">
            <v>D00265</v>
          </cell>
          <cell r="B720">
            <v>528</v>
          </cell>
          <cell r="C720" t="str">
            <v>e</v>
          </cell>
          <cell r="D720">
            <v>2230671</v>
          </cell>
          <cell r="E720" t="str">
            <v>문양거푸집(합판4회+</v>
          </cell>
          <cell r="F720" t="str">
            <v>문양스치로폴(0∼7M)</v>
          </cell>
          <cell r="G720" t="str">
            <v>㎡</v>
          </cell>
          <cell r="I720">
            <v>0</v>
          </cell>
        </row>
        <row r="721">
          <cell r="A721" t="str">
            <v>D01111</v>
          </cell>
          <cell r="B721">
            <v>35</v>
          </cell>
          <cell r="C721" t="str">
            <v>f</v>
          </cell>
          <cell r="D721">
            <v>2230675</v>
          </cell>
          <cell r="E721" t="str">
            <v>문양거푸집(합판4회+</v>
          </cell>
          <cell r="F721" t="str">
            <v>문양스치로폴(7∼10M)</v>
          </cell>
          <cell r="G721" t="str">
            <v>㎡</v>
          </cell>
          <cell r="I721">
            <v>0</v>
          </cell>
        </row>
        <row r="722">
          <cell r="A722" t="str">
            <v>E2</v>
          </cell>
          <cell r="B722">
            <v>0</v>
          </cell>
          <cell r="C722" t="str">
            <v>계</v>
          </cell>
          <cell r="D722">
            <v>2230679</v>
          </cell>
          <cell r="I722">
            <v>0</v>
          </cell>
        </row>
        <row r="723">
          <cell r="A723" t="str">
            <v>D00323</v>
          </cell>
          <cell r="B723">
            <v>1272</v>
          </cell>
          <cell r="C723" t="str">
            <v>3.03</v>
          </cell>
          <cell r="D723">
            <v>2230680</v>
          </cell>
          <cell r="E723" t="str">
            <v>강관비계</v>
          </cell>
          <cell r="F723" t="str">
            <v>(0∼30 M)</v>
          </cell>
          <cell r="G723" t="str">
            <v>㎡</v>
          </cell>
          <cell r="I723">
            <v>0</v>
          </cell>
        </row>
        <row r="724">
          <cell r="A724" t="str">
            <v>T2</v>
          </cell>
          <cell r="B724">
            <v>727</v>
          </cell>
          <cell r="C724" t="str">
            <v>3.04</v>
          </cell>
          <cell r="D724">
            <v>2230744</v>
          </cell>
          <cell r="E724" t="str">
            <v>동 바 리</v>
          </cell>
          <cell r="I724">
            <v>0</v>
          </cell>
        </row>
        <row r="725">
          <cell r="A725" t="str">
            <v>D00327</v>
          </cell>
          <cell r="B725">
            <v>769</v>
          </cell>
          <cell r="C725" t="str">
            <v>a</v>
          </cell>
          <cell r="D725">
            <v>2230776</v>
          </cell>
          <cell r="E725" t="str">
            <v>동바리공</v>
          </cell>
          <cell r="F725" t="str">
            <v>(목재 4 회)</v>
          </cell>
          <cell r="G725" t="str">
            <v>공㎥</v>
          </cell>
          <cell r="I725">
            <v>0</v>
          </cell>
        </row>
        <row r="726">
          <cell r="A726" t="str">
            <v>D00334</v>
          </cell>
          <cell r="B726">
            <v>284</v>
          </cell>
          <cell r="C726" t="str">
            <v>b</v>
          </cell>
          <cell r="D726">
            <v>2230800</v>
          </cell>
          <cell r="E726" t="str">
            <v>강관동바리</v>
          </cell>
          <cell r="F726" t="str">
            <v>(교량용)</v>
          </cell>
          <cell r="G726" t="str">
            <v>공㎥</v>
          </cell>
          <cell r="I726">
            <v>0</v>
          </cell>
        </row>
        <row r="727">
          <cell r="A727" t="str">
            <v>D01129</v>
          </cell>
          <cell r="B727">
            <v>69</v>
          </cell>
          <cell r="C727" t="str">
            <v>c</v>
          </cell>
          <cell r="D727">
            <v>2230804</v>
          </cell>
          <cell r="E727" t="str">
            <v>수평보강재(교량용)</v>
          </cell>
          <cell r="F727" t="str">
            <v>(강관동바리)</v>
          </cell>
          <cell r="G727" t="str">
            <v>㎡</v>
          </cell>
          <cell r="I727">
            <v>0</v>
          </cell>
        </row>
        <row r="728">
          <cell r="A728" t="str">
            <v>E2</v>
          </cell>
          <cell r="B728">
            <v>0</v>
          </cell>
          <cell r="C728" t="str">
            <v>계</v>
          </cell>
          <cell r="D728">
            <v>2230806</v>
          </cell>
          <cell r="I728">
            <v>0</v>
          </cell>
        </row>
        <row r="729">
          <cell r="A729" t="str">
            <v>T2</v>
          </cell>
          <cell r="B729">
            <v>731</v>
          </cell>
          <cell r="C729" t="str">
            <v>3.05</v>
          </cell>
          <cell r="D729">
            <v>2230928</v>
          </cell>
          <cell r="E729" t="str">
            <v>철근가공조립</v>
          </cell>
          <cell r="I729">
            <v>0</v>
          </cell>
        </row>
        <row r="730">
          <cell r="A730" t="str">
            <v>D00271</v>
          </cell>
          <cell r="B730">
            <v>19.88</v>
          </cell>
          <cell r="C730" t="str">
            <v>a</v>
          </cell>
          <cell r="D730">
            <v>2230930</v>
          </cell>
          <cell r="E730" t="str">
            <v>철근가공조립</v>
          </cell>
          <cell r="F730" t="str">
            <v>(보 통)</v>
          </cell>
          <cell r="G730" t="str">
            <v>Ton</v>
          </cell>
          <cell r="I730">
            <v>0</v>
          </cell>
        </row>
        <row r="731">
          <cell r="A731" t="str">
            <v>D00272</v>
          </cell>
          <cell r="B731">
            <v>240.196</v>
          </cell>
          <cell r="C731" t="str">
            <v>b</v>
          </cell>
          <cell r="D731">
            <v>2230932</v>
          </cell>
          <cell r="E731" t="str">
            <v>철근가공조립</v>
          </cell>
          <cell r="F731" t="str">
            <v>(복 잡)</v>
          </cell>
          <cell r="G731" t="str">
            <v>Ton</v>
          </cell>
          <cell r="I731">
            <v>0</v>
          </cell>
        </row>
        <row r="732">
          <cell r="A732" t="str">
            <v>E2</v>
          </cell>
          <cell r="B732">
            <v>0</v>
          </cell>
          <cell r="C732" t="str">
            <v>계</v>
          </cell>
          <cell r="D732">
            <v>2230935</v>
          </cell>
          <cell r="I732">
            <v>0</v>
          </cell>
        </row>
        <row r="733">
          <cell r="A733" t="str">
            <v>T2</v>
          </cell>
          <cell r="B733">
            <v>736</v>
          </cell>
          <cell r="C733" t="str">
            <v>3.06</v>
          </cell>
          <cell r="D733">
            <v>2230936</v>
          </cell>
          <cell r="E733" t="str">
            <v>콘크리트타설</v>
          </cell>
          <cell r="I733">
            <v>0</v>
          </cell>
        </row>
        <row r="734">
          <cell r="A734" t="str">
            <v>D00237</v>
          </cell>
          <cell r="B734">
            <v>1738</v>
          </cell>
          <cell r="C734" t="str">
            <v>a</v>
          </cell>
          <cell r="D734">
            <v>2231000</v>
          </cell>
          <cell r="E734" t="str">
            <v>콘크리트타설</v>
          </cell>
          <cell r="F734" t="str">
            <v>(철근 펌프카)</v>
          </cell>
          <cell r="G734" t="str">
            <v>㎥</v>
          </cell>
          <cell r="I734">
            <v>0</v>
          </cell>
        </row>
        <row r="735">
          <cell r="A735" t="str">
            <v>D00238</v>
          </cell>
          <cell r="B735">
            <v>1583</v>
          </cell>
          <cell r="C735" t="str">
            <v>b</v>
          </cell>
          <cell r="D735">
            <v>2231016</v>
          </cell>
          <cell r="E735" t="str">
            <v>콘크리트타설</v>
          </cell>
          <cell r="F735" t="str">
            <v>(무근 펌프카)</v>
          </cell>
          <cell r="G735" t="str">
            <v>㎥</v>
          </cell>
          <cell r="I735">
            <v>0</v>
          </cell>
        </row>
        <row r="736">
          <cell r="A736" t="str">
            <v>D00231</v>
          </cell>
          <cell r="B736">
            <v>25</v>
          </cell>
          <cell r="C736" t="str">
            <v>c</v>
          </cell>
          <cell r="D736">
            <v>2231032</v>
          </cell>
          <cell r="E736" t="str">
            <v>콘크리트타설</v>
          </cell>
          <cell r="F736" t="str">
            <v>(무근 VIB 제외)</v>
          </cell>
          <cell r="G736" t="str">
            <v>㎥</v>
          </cell>
          <cell r="I736">
            <v>0</v>
          </cell>
        </row>
        <row r="737">
          <cell r="A737" t="str">
            <v>E2</v>
          </cell>
          <cell r="B737">
            <v>0</v>
          </cell>
          <cell r="C737" t="str">
            <v>계</v>
          </cell>
          <cell r="D737">
            <v>2231064</v>
          </cell>
          <cell r="I737">
            <v>0</v>
          </cell>
        </row>
        <row r="738">
          <cell r="A738" t="str">
            <v>T2</v>
          </cell>
          <cell r="B738">
            <v>740</v>
          </cell>
          <cell r="C738" t="str">
            <v>3.07</v>
          </cell>
          <cell r="D738">
            <v>2231072</v>
          </cell>
          <cell r="E738" t="str">
            <v>표 면 처 리</v>
          </cell>
          <cell r="I738">
            <v>0</v>
          </cell>
        </row>
        <row r="739">
          <cell r="A739" t="str">
            <v>D00537</v>
          </cell>
          <cell r="B739">
            <v>638</v>
          </cell>
          <cell r="C739" t="str">
            <v>a</v>
          </cell>
          <cell r="D739">
            <v>2231076</v>
          </cell>
          <cell r="E739" t="str">
            <v>슬래브양생</v>
          </cell>
          <cell r="F739" t="str">
            <v>(양생제)</v>
          </cell>
          <cell r="G739" t="str">
            <v>㎡</v>
          </cell>
          <cell r="I739">
            <v>0</v>
          </cell>
        </row>
        <row r="740">
          <cell r="A740" t="str">
            <v>D00539</v>
          </cell>
          <cell r="B740">
            <v>577</v>
          </cell>
          <cell r="C740" t="str">
            <v>b</v>
          </cell>
          <cell r="D740">
            <v>2231078</v>
          </cell>
          <cell r="E740" t="str">
            <v>슬래브면고르기</v>
          </cell>
          <cell r="F740" t="str">
            <v>(데크 피니샤)</v>
          </cell>
          <cell r="G740" t="str">
            <v>㎡</v>
          </cell>
          <cell r="I740">
            <v>0</v>
          </cell>
        </row>
        <row r="741">
          <cell r="A741" t="str">
            <v>E2</v>
          </cell>
          <cell r="B741">
            <v>0</v>
          </cell>
          <cell r="C741" t="str">
            <v>계</v>
          </cell>
          <cell r="D741">
            <v>2231079</v>
          </cell>
          <cell r="I741">
            <v>0</v>
          </cell>
        </row>
        <row r="742">
          <cell r="A742" t="str">
            <v>T2</v>
          </cell>
          <cell r="B742">
            <v>746</v>
          </cell>
          <cell r="C742" t="str">
            <v>3.08</v>
          </cell>
          <cell r="D742">
            <v>2231207</v>
          </cell>
          <cell r="E742" t="str">
            <v>교좌장치</v>
          </cell>
          <cell r="I742">
            <v>0</v>
          </cell>
        </row>
        <row r="743">
          <cell r="A743" t="str">
            <v>D00545</v>
          </cell>
          <cell r="B743">
            <v>2</v>
          </cell>
          <cell r="C743" t="str">
            <v>a</v>
          </cell>
          <cell r="D743">
            <v>2231299</v>
          </cell>
          <cell r="E743" t="str">
            <v>교좌장치</v>
          </cell>
          <cell r="F743" t="str">
            <v>(고정단 135 Ton)</v>
          </cell>
          <cell r="G743" t="str">
            <v>EA</v>
          </cell>
          <cell r="I743">
            <v>0</v>
          </cell>
        </row>
        <row r="744">
          <cell r="A744" t="str">
            <v>D00549</v>
          </cell>
          <cell r="B744">
            <v>8</v>
          </cell>
          <cell r="C744" t="str">
            <v>b</v>
          </cell>
          <cell r="D744">
            <v>2231345</v>
          </cell>
          <cell r="E744" t="str">
            <v>교좌장치</v>
          </cell>
          <cell r="F744" t="str">
            <v>(횡방향가동단135Ton)</v>
          </cell>
          <cell r="G744" t="str">
            <v>EA</v>
          </cell>
          <cell r="I744">
            <v>0</v>
          </cell>
        </row>
        <row r="745">
          <cell r="A745" t="str">
            <v>D00548</v>
          </cell>
          <cell r="B745">
            <v>2</v>
          </cell>
          <cell r="C745" t="str">
            <v>c</v>
          </cell>
          <cell r="D745">
            <v>2231390</v>
          </cell>
          <cell r="E745" t="str">
            <v>교좌장치</v>
          </cell>
          <cell r="F745" t="str">
            <v>(종방향가동단135Ton)</v>
          </cell>
          <cell r="G745" t="str">
            <v>EA</v>
          </cell>
          <cell r="I745">
            <v>0</v>
          </cell>
        </row>
        <row r="746">
          <cell r="A746" t="str">
            <v>D00547</v>
          </cell>
          <cell r="B746">
            <v>8</v>
          </cell>
          <cell r="C746" t="str">
            <v>d</v>
          </cell>
          <cell r="D746">
            <v>2231392</v>
          </cell>
          <cell r="E746" t="str">
            <v>교좌장치</v>
          </cell>
          <cell r="F746" t="str">
            <v>(양방향가동단135Ton)</v>
          </cell>
          <cell r="G746" t="str">
            <v>EA</v>
          </cell>
          <cell r="I746">
            <v>0</v>
          </cell>
        </row>
        <row r="747">
          <cell r="A747" t="str">
            <v>E2</v>
          </cell>
          <cell r="B747">
            <v>0</v>
          </cell>
          <cell r="C747" t="str">
            <v>계</v>
          </cell>
          <cell r="D747">
            <v>2231393</v>
          </cell>
          <cell r="I747">
            <v>0</v>
          </cell>
        </row>
        <row r="748">
          <cell r="A748" t="str">
            <v>T2</v>
          </cell>
          <cell r="B748">
            <v>751</v>
          </cell>
          <cell r="C748" t="str">
            <v>3.09</v>
          </cell>
          <cell r="D748">
            <v>2231521</v>
          </cell>
          <cell r="E748" t="str">
            <v>P.S.C BEAM</v>
          </cell>
          <cell r="I748">
            <v>0</v>
          </cell>
        </row>
        <row r="749">
          <cell r="A749" t="str">
            <v>D00619</v>
          </cell>
          <cell r="B749">
            <v>10</v>
          </cell>
          <cell r="C749" t="str">
            <v>a</v>
          </cell>
          <cell r="D749">
            <v>2231585</v>
          </cell>
          <cell r="E749" t="str">
            <v>P.S.C BEAM 제작</v>
          </cell>
          <cell r="F749" t="str">
            <v>(L=30 M)</v>
          </cell>
          <cell r="G749" t="str">
            <v>본</v>
          </cell>
          <cell r="I749">
            <v>0</v>
          </cell>
        </row>
        <row r="750">
          <cell r="A750" t="str">
            <v>D00606</v>
          </cell>
          <cell r="B750">
            <v>10</v>
          </cell>
          <cell r="C750" t="str">
            <v>b</v>
          </cell>
          <cell r="D750">
            <v>2231649</v>
          </cell>
          <cell r="E750" t="str">
            <v>P.S.C 빔 운반및설치</v>
          </cell>
          <cell r="F750" t="str">
            <v>(L=30 M)</v>
          </cell>
          <cell r="G750" t="str">
            <v>EA</v>
          </cell>
          <cell r="I750">
            <v>0</v>
          </cell>
        </row>
        <row r="751">
          <cell r="A751" t="str">
            <v>D01130</v>
          </cell>
          <cell r="B751">
            <v>10</v>
          </cell>
          <cell r="C751" t="str">
            <v>c</v>
          </cell>
          <cell r="D751">
            <v>2231713</v>
          </cell>
          <cell r="E751" t="str">
            <v>P.S.C빔 전도방지시설</v>
          </cell>
          <cell r="G751" t="str">
            <v>본</v>
          </cell>
          <cell r="I751">
            <v>0</v>
          </cell>
        </row>
        <row r="752">
          <cell r="A752" t="str">
            <v>E2</v>
          </cell>
          <cell r="B752">
            <v>0</v>
          </cell>
          <cell r="C752" t="str">
            <v>계</v>
          </cell>
          <cell r="D752">
            <v>2231745</v>
          </cell>
          <cell r="I752">
            <v>0</v>
          </cell>
        </row>
        <row r="753">
          <cell r="A753" t="str">
            <v>T2</v>
          </cell>
          <cell r="B753">
            <v>755</v>
          </cell>
          <cell r="C753" t="str">
            <v>3.10</v>
          </cell>
          <cell r="D753">
            <v>2231809</v>
          </cell>
          <cell r="E753" t="str">
            <v>신축이음장치</v>
          </cell>
          <cell r="I753">
            <v>0</v>
          </cell>
        </row>
        <row r="754">
          <cell r="A754" t="str">
            <v>D03819</v>
          </cell>
          <cell r="B754">
            <v>22</v>
          </cell>
          <cell r="C754" t="str">
            <v>a</v>
          </cell>
          <cell r="D754">
            <v>2231825</v>
          </cell>
          <cell r="E754" t="str">
            <v>신축이음장치</v>
          </cell>
          <cell r="F754" t="str">
            <v>(Rail-No 80)</v>
          </cell>
          <cell r="G754" t="str">
            <v>M</v>
          </cell>
          <cell r="I754">
            <v>0</v>
          </cell>
        </row>
        <row r="755">
          <cell r="A755" t="str">
            <v>D01313</v>
          </cell>
          <cell r="B755">
            <v>22</v>
          </cell>
          <cell r="C755" t="str">
            <v>b</v>
          </cell>
          <cell r="D755">
            <v>2231841</v>
          </cell>
          <cell r="E755" t="str">
            <v>신축이음장치</v>
          </cell>
          <cell r="F755" t="str">
            <v>(Rail-No100)</v>
          </cell>
          <cell r="G755" t="str">
            <v>M</v>
          </cell>
          <cell r="I755">
            <v>0</v>
          </cell>
        </row>
        <row r="756">
          <cell r="A756" t="str">
            <v>E2</v>
          </cell>
          <cell r="B756">
            <v>0</v>
          </cell>
          <cell r="C756" t="str">
            <v>계</v>
          </cell>
          <cell r="D756">
            <v>2231873</v>
          </cell>
          <cell r="I756">
            <v>0</v>
          </cell>
        </row>
        <row r="757">
          <cell r="A757" t="str">
            <v>D00535</v>
          </cell>
          <cell r="B757">
            <v>577</v>
          </cell>
          <cell r="C757" t="str">
            <v>3.11</v>
          </cell>
          <cell r="D757">
            <v>2232001</v>
          </cell>
          <cell r="E757" t="str">
            <v>교면방수</v>
          </cell>
          <cell r="F757" t="str">
            <v>(도막식)</v>
          </cell>
          <cell r="G757" t="str">
            <v>㎡</v>
          </cell>
          <cell r="I757">
            <v>0</v>
          </cell>
        </row>
        <row r="758">
          <cell r="A758" t="str">
            <v>T2</v>
          </cell>
          <cell r="B758">
            <v>762</v>
          </cell>
          <cell r="C758" t="str">
            <v>3.12</v>
          </cell>
          <cell r="D758">
            <v>2232065</v>
          </cell>
          <cell r="E758" t="str">
            <v>접속슬래브 접합공</v>
          </cell>
          <cell r="I758">
            <v>0</v>
          </cell>
        </row>
        <row r="759">
          <cell r="A759" t="str">
            <v>D01067</v>
          </cell>
          <cell r="B759">
            <v>106</v>
          </cell>
          <cell r="C759" t="str">
            <v>a</v>
          </cell>
          <cell r="D759">
            <v>2232097</v>
          </cell>
          <cell r="E759" t="str">
            <v>다웰바 설치</v>
          </cell>
          <cell r="F759" t="str">
            <v>(D=25 m/m, L=500)</v>
          </cell>
          <cell r="G759" t="str">
            <v>EA</v>
          </cell>
          <cell r="I759">
            <v>0</v>
          </cell>
        </row>
        <row r="760">
          <cell r="A760" t="str">
            <v>D01190</v>
          </cell>
          <cell r="B760">
            <v>31</v>
          </cell>
          <cell r="C760" t="str">
            <v>b</v>
          </cell>
          <cell r="D760">
            <v>2232129</v>
          </cell>
          <cell r="E760" t="str">
            <v>다웰-켑 설치</v>
          </cell>
          <cell r="F760" t="str">
            <v>(Φ60 m/m)</v>
          </cell>
          <cell r="G760" t="str">
            <v>M</v>
          </cell>
          <cell r="I760">
            <v>0</v>
          </cell>
        </row>
        <row r="761">
          <cell r="A761" t="str">
            <v>D00540</v>
          </cell>
          <cell r="B761">
            <v>106</v>
          </cell>
          <cell r="C761" t="str">
            <v>c</v>
          </cell>
          <cell r="D761">
            <v>2232131</v>
          </cell>
          <cell r="E761" t="str">
            <v>경질고무판</v>
          </cell>
          <cell r="F761" t="str">
            <v>(150x150)</v>
          </cell>
          <cell r="G761" t="str">
            <v>EA</v>
          </cell>
          <cell r="I761">
            <v>0</v>
          </cell>
        </row>
        <row r="762">
          <cell r="A762" t="str">
            <v>D00566</v>
          </cell>
          <cell r="B762">
            <v>17</v>
          </cell>
          <cell r="C762" t="str">
            <v>d</v>
          </cell>
          <cell r="D762">
            <v>2232132</v>
          </cell>
          <cell r="E762" t="str">
            <v>타르페이퍼 설치</v>
          </cell>
          <cell r="F762" t="str">
            <v>(5 겹)</v>
          </cell>
          <cell r="G762" t="str">
            <v>㎡</v>
          </cell>
          <cell r="I762">
            <v>0</v>
          </cell>
        </row>
        <row r="763">
          <cell r="A763" t="str">
            <v>E2</v>
          </cell>
          <cell r="B763">
            <v>0</v>
          </cell>
          <cell r="C763" t="str">
            <v>계</v>
          </cell>
          <cell r="D763">
            <v>2232164</v>
          </cell>
          <cell r="I763">
            <v>0</v>
          </cell>
        </row>
        <row r="764">
          <cell r="A764" t="str">
            <v>T2</v>
          </cell>
          <cell r="B764">
            <v>766</v>
          </cell>
          <cell r="C764" t="str">
            <v>3.13</v>
          </cell>
          <cell r="D764">
            <v>2232197</v>
          </cell>
          <cell r="E764" t="str">
            <v>무수축 콘크리트</v>
          </cell>
          <cell r="I764">
            <v>0</v>
          </cell>
        </row>
        <row r="765">
          <cell r="A765" t="str">
            <v>D00567</v>
          </cell>
          <cell r="B765">
            <v>0.95</v>
          </cell>
          <cell r="C765" t="str">
            <v>a</v>
          </cell>
          <cell r="D765">
            <v>2232213</v>
          </cell>
          <cell r="E765" t="str">
            <v>무수축몰탈</v>
          </cell>
          <cell r="F765" t="str">
            <v>(1:1)</v>
          </cell>
          <cell r="G765" t="str">
            <v>㎥</v>
          </cell>
          <cell r="I765">
            <v>0</v>
          </cell>
        </row>
        <row r="766">
          <cell r="A766" t="str">
            <v>D00568</v>
          </cell>
          <cell r="B766">
            <v>8.32</v>
          </cell>
          <cell r="C766" t="str">
            <v>b</v>
          </cell>
          <cell r="D766">
            <v>2232221</v>
          </cell>
          <cell r="E766" t="str">
            <v>무수축콘크리트</v>
          </cell>
          <cell r="G766" t="str">
            <v>㎥</v>
          </cell>
          <cell r="I766">
            <v>0</v>
          </cell>
        </row>
        <row r="767">
          <cell r="A767" t="str">
            <v>E2</v>
          </cell>
          <cell r="B767">
            <v>0</v>
          </cell>
          <cell r="C767" t="str">
            <v>계</v>
          </cell>
          <cell r="D767">
            <v>2232225</v>
          </cell>
          <cell r="I767">
            <v>0</v>
          </cell>
        </row>
        <row r="768">
          <cell r="A768" t="str">
            <v>T2</v>
          </cell>
          <cell r="B768">
            <v>770</v>
          </cell>
          <cell r="C768" t="str">
            <v>3.14</v>
          </cell>
          <cell r="D768">
            <v>2232227</v>
          </cell>
          <cell r="E768" t="str">
            <v>스치로폴 설치</v>
          </cell>
          <cell r="I768">
            <v>0</v>
          </cell>
        </row>
        <row r="769">
          <cell r="A769" t="str">
            <v>D00853</v>
          </cell>
          <cell r="B769">
            <v>3</v>
          </cell>
          <cell r="C769" t="str">
            <v>a</v>
          </cell>
          <cell r="D769">
            <v>2232485</v>
          </cell>
          <cell r="E769" t="str">
            <v>스치로폴설치</v>
          </cell>
          <cell r="F769" t="str">
            <v>(T=10 m/m)</v>
          </cell>
          <cell r="G769" t="str">
            <v>㎡</v>
          </cell>
          <cell r="I769">
            <v>0</v>
          </cell>
        </row>
        <row r="770">
          <cell r="A770" t="str">
            <v>D00532</v>
          </cell>
          <cell r="B770">
            <v>49</v>
          </cell>
          <cell r="C770" t="str">
            <v>b</v>
          </cell>
          <cell r="D770">
            <v>2232613</v>
          </cell>
          <cell r="E770" t="str">
            <v>스치로폴설치</v>
          </cell>
          <cell r="F770" t="str">
            <v>(T=20 m/m)</v>
          </cell>
          <cell r="G770" t="str">
            <v>㎡</v>
          </cell>
          <cell r="I770">
            <v>0</v>
          </cell>
        </row>
        <row r="771">
          <cell r="A771" t="str">
            <v>E2</v>
          </cell>
          <cell r="B771">
            <v>0</v>
          </cell>
          <cell r="C771" t="str">
            <v>계</v>
          </cell>
          <cell r="D771">
            <v>2232614</v>
          </cell>
          <cell r="I771">
            <v>0</v>
          </cell>
        </row>
        <row r="772">
          <cell r="A772" t="str">
            <v>T2</v>
          </cell>
          <cell r="B772">
            <v>776</v>
          </cell>
          <cell r="C772" t="str">
            <v>3.15</v>
          </cell>
          <cell r="D772">
            <v>2232741</v>
          </cell>
          <cell r="E772" t="str">
            <v>배수시설</v>
          </cell>
          <cell r="I772">
            <v>0</v>
          </cell>
        </row>
        <row r="773">
          <cell r="A773" t="str">
            <v>D00572</v>
          </cell>
          <cell r="B773">
            <v>4</v>
          </cell>
          <cell r="C773" t="str">
            <v>a</v>
          </cell>
          <cell r="D773">
            <v>2232742</v>
          </cell>
          <cell r="E773" t="str">
            <v>집 수 구</v>
          </cell>
          <cell r="G773" t="str">
            <v>EA</v>
          </cell>
          <cell r="I773">
            <v>0</v>
          </cell>
        </row>
        <row r="774">
          <cell r="A774" t="str">
            <v>D00573</v>
          </cell>
          <cell r="B774">
            <v>20</v>
          </cell>
          <cell r="C774" t="str">
            <v>b</v>
          </cell>
          <cell r="D774">
            <v>2232743</v>
          </cell>
          <cell r="E774" t="str">
            <v>배 수 구</v>
          </cell>
          <cell r="F774" t="str">
            <v>(스테인레스관)</v>
          </cell>
          <cell r="G774" t="str">
            <v>M</v>
          </cell>
          <cell r="I774">
            <v>0</v>
          </cell>
        </row>
        <row r="775">
          <cell r="A775" t="str">
            <v>D00574</v>
          </cell>
          <cell r="B775">
            <v>12</v>
          </cell>
          <cell r="C775" t="str">
            <v>c</v>
          </cell>
          <cell r="D775">
            <v>2232807</v>
          </cell>
          <cell r="E775" t="str">
            <v>부착시설(A)</v>
          </cell>
          <cell r="G775" t="str">
            <v>EA</v>
          </cell>
          <cell r="I775">
            <v>0</v>
          </cell>
        </row>
        <row r="776">
          <cell r="A776" t="str">
            <v>D00577</v>
          </cell>
          <cell r="B776">
            <v>36</v>
          </cell>
          <cell r="C776" t="str">
            <v>d</v>
          </cell>
          <cell r="D776">
            <v>2232839</v>
          </cell>
          <cell r="E776" t="str">
            <v>도 수 로</v>
          </cell>
          <cell r="G776" t="str">
            <v>M</v>
          </cell>
          <cell r="I776">
            <v>0</v>
          </cell>
        </row>
        <row r="777">
          <cell r="A777" t="str">
            <v>E2</v>
          </cell>
          <cell r="B777">
            <v>0</v>
          </cell>
          <cell r="C777" t="str">
            <v>계</v>
          </cell>
          <cell r="D777">
            <v>2232855</v>
          </cell>
          <cell r="I777">
            <v>0</v>
          </cell>
        </row>
        <row r="778">
          <cell r="A778" t="str">
            <v>T2</v>
          </cell>
          <cell r="B778">
            <v>780</v>
          </cell>
          <cell r="C778" t="str">
            <v>3.16</v>
          </cell>
          <cell r="D778">
            <v>2232871</v>
          </cell>
          <cell r="E778" t="str">
            <v>스페이서설치</v>
          </cell>
          <cell r="I778">
            <v>0</v>
          </cell>
        </row>
        <row r="779">
          <cell r="A779" t="str">
            <v>D00588</v>
          </cell>
          <cell r="B779">
            <v>1327</v>
          </cell>
          <cell r="C779" t="str">
            <v>a</v>
          </cell>
          <cell r="D779">
            <v>2232887</v>
          </cell>
          <cell r="E779" t="str">
            <v>스페이서 설치</v>
          </cell>
          <cell r="F779" t="str">
            <v>(슬라브및기초용)</v>
          </cell>
          <cell r="G779" t="str">
            <v>㎡</v>
          </cell>
          <cell r="I779">
            <v>0</v>
          </cell>
        </row>
        <row r="780">
          <cell r="A780" t="str">
            <v>D01070</v>
          </cell>
          <cell r="B780">
            <v>301</v>
          </cell>
          <cell r="C780" t="str">
            <v>b</v>
          </cell>
          <cell r="D780">
            <v>2232895</v>
          </cell>
          <cell r="E780" t="str">
            <v>스페이서 설치</v>
          </cell>
          <cell r="F780" t="str">
            <v>(벽체용)</v>
          </cell>
          <cell r="G780" t="str">
            <v>㎡</v>
          </cell>
          <cell r="I780">
            <v>0</v>
          </cell>
        </row>
        <row r="781">
          <cell r="A781" t="str">
            <v>E2</v>
          </cell>
          <cell r="B781">
            <v>0</v>
          </cell>
          <cell r="C781" t="str">
            <v>계</v>
          </cell>
          <cell r="D781">
            <v>2232899</v>
          </cell>
          <cell r="I781">
            <v>0</v>
          </cell>
        </row>
        <row r="782">
          <cell r="A782" t="str">
            <v>T2</v>
          </cell>
          <cell r="B782">
            <v>785</v>
          </cell>
          <cell r="C782" t="str">
            <v>3.17</v>
          </cell>
          <cell r="D782">
            <v>2232917</v>
          </cell>
          <cell r="E782" t="str">
            <v>교명판 설명판</v>
          </cell>
          <cell r="I782">
            <v>0</v>
          </cell>
        </row>
        <row r="783">
          <cell r="A783" t="str">
            <v>D00581</v>
          </cell>
          <cell r="B783">
            <v>4</v>
          </cell>
          <cell r="C783" t="str">
            <v>a</v>
          </cell>
          <cell r="D783">
            <v>2232918</v>
          </cell>
          <cell r="E783" t="str">
            <v>교 명 주</v>
          </cell>
          <cell r="F783" t="str">
            <v>(소형,화강석)</v>
          </cell>
          <cell r="G783" t="str">
            <v>기</v>
          </cell>
          <cell r="I783">
            <v>0</v>
          </cell>
        </row>
        <row r="784">
          <cell r="A784" t="str">
            <v>D00583</v>
          </cell>
          <cell r="B784">
            <v>2</v>
          </cell>
          <cell r="C784" t="str">
            <v>b</v>
          </cell>
          <cell r="D784">
            <v>2232919</v>
          </cell>
          <cell r="E784" t="str">
            <v>교 명 판(황동주물)</v>
          </cell>
          <cell r="F784" t="str">
            <v>(450x200x10)</v>
          </cell>
          <cell r="G784" t="str">
            <v>EA</v>
          </cell>
          <cell r="I784">
            <v>0</v>
          </cell>
        </row>
        <row r="785">
          <cell r="A785" t="str">
            <v>D00584</v>
          </cell>
          <cell r="B785">
            <v>2</v>
          </cell>
          <cell r="C785" t="str">
            <v>c</v>
          </cell>
          <cell r="D785">
            <v>2232983</v>
          </cell>
          <cell r="E785" t="str">
            <v>설 명 판(황동주물)</v>
          </cell>
          <cell r="F785" t="str">
            <v>(500x300x10)</v>
          </cell>
          <cell r="G785" t="str">
            <v>EA</v>
          </cell>
          <cell r="I785">
            <v>0</v>
          </cell>
        </row>
        <row r="786">
          <cell r="A786" t="str">
            <v>E2</v>
          </cell>
          <cell r="B786">
            <v>0</v>
          </cell>
          <cell r="C786" t="str">
            <v>계</v>
          </cell>
          <cell r="D786">
            <v>2233015</v>
          </cell>
          <cell r="I786">
            <v>0</v>
          </cell>
        </row>
        <row r="787">
          <cell r="A787" t="str">
            <v>D00594</v>
          </cell>
          <cell r="B787">
            <v>1</v>
          </cell>
          <cell r="C787" t="str">
            <v>3.18</v>
          </cell>
          <cell r="D787">
            <v>2233023</v>
          </cell>
          <cell r="E787" t="str">
            <v>측량기준점 설치</v>
          </cell>
          <cell r="F787" t="str">
            <v>(황동주물)</v>
          </cell>
          <cell r="G787" t="str">
            <v>EA</v>
          </cell>
          <cell r="I787">
            <v>0</v>
          </cell>
        </row>
        <row r="788">
          <cell r="A788" t="str">
            <v>T2</v>
          </cell>
          <cell r="B788">
            <v>790</v>
          </cell>
          <cell r="C788" t="str">
            <v>3.19</v>
          </cell>
          <cell r="D788">
            <v>2233151</v>
          </cell>
          <cell r="E788" t="str">
            <v>충 진 재</v>
          </cell>
          <cell r="I788">
            <v>0</v>
          </cell>
        </row>
        <row r="789">
          <cell r="A789" t="str">
            <v>D00846</v>
          </cell>
          <cell r="B789">
            <v>30</v>
          </cell>
          <cell r="C789" t="str">
            <v>a</v>
          </cell>
          <cell r="D789">
            <v>2233219</v>
          </cell>
          <cell r="E789" t="str">
            <v>폴리우레탄실란트채움</v>
          </cell>
          <cell r="F789" t="str">
            <v>(25x20)</v>
          </cell>
          <cell r="G789" t="str">
            <v>M</v>
          </cell>
          <cell r="I789">
            <v>0</v>
          </cell>
        </row>
        <row r="790">
          <cell r="A790" t="str">
            <v>D01224</v>
          </cell>
          <cell r="B790">
            <v>21</v>
          </cell>
          <cell r="C790" t="str">
            <v>b</v>
          </cell>
          <cell r="D790">
            <v>2233223</v>
          </cell>
          <cell r="E790" t="str">
            <v>폴리우레탄실란트채움</v>
          </cell>
          <cell r="F790" t="str">
            <v>(25x10)</v>
          </cell>
          <cell r="G790" t="str">
            <v>M</v>
          </cell>
          <cell r="I790">
            <v>0</v>
          </cell>
        </row>
        <row r="791">
          <cell r="A791" t="str">
            <v>E2</v>
          </cell>
          <cell r="B791">
            <v>0</v>
          </cell>
          <cell r="C791" t="str">
            <v>계</v>
          </cell>
          <cell r="D791">
            <v>2233225</v>
          </cell>
          <cell r="I791">
            <v>0</v>
          </cell>
        </row>
        <row r="792">
          <cell r="A792" t="str">
            <v>D01308</v>
          </cell>
          <cell r="B792">
            <v>253</v>
          </cell>
          <cell r="C792" t="str">
            <v>3.20</v>
          </cell>
          <cell r="D792">
            <v>2233665</v>
          </cell>
          <cell r="E792" t="str">
            <v>강섬유보강재</v>
          </cell>
          <cell r="F792" t="str">
            <v>(900 g/㎥)</v>
          </cell>
          <cell r="G792" t="str">
            <v>㎥</v>
          </cell>
          <cell r="I792">
            <v>0</v>
          </cell>
        </row>
        <row r="793">
          <cell r="A793" t="str">
            <v>D01309</v>
          </cell>
          <cell r="B793">
            <v>40</v>
          </cell>
          <cell r="C793" t="str">
            <v>3.21</v>
          </cell>
          <cell r="D793">
            <v>2234161</v>
          </cell>
          <cell r="E793" t="str">
            <v>모래주머니</v>
          </cell>
          <cell r="G793" t="str">
            <v>EA</v>
          </cell>
          <cell r="I793">
            <v>0</v>
          </cell>
        </row>
        <row r="794">
          <cell r="A794" t="str">
            <v>D00911</v>
          </cell>
          <cell r="B794">
            <v>89</v>
          </cell>
          <cell r="C794" t="str">
            <v>3.22</v>
          </cell>
          <cell r="D794">
            <v>2387158</v>
          </cell>
          <cell r="E794" t="str">
            <v>방 호 벽</v>
          </cell>
          <cell r="F794" t="str">
            <v>(육교용)</v>
          </cell>
          <cell r="G794" t="str">
            <v>M</v>
          </cell>
          <cell r="I794">
            <v>0</v>
          </cell>
        </row>
        <row r="795">
          <cell r="A795" t="str">
            <v>D00791</v>
          </cell>
          <cell r="B795">
            <v>20</v>
          </cell>
          <cell r="C795" t="str">
            <v>3.23</v>
          </cell>
          <cell r="D795">
            <v>2463656</v>
          </cell>
          <cell r="E795" t="str">
            <v>교좌장치표지판</v>
          </cell>
          <cell r="G795" t="str">
            <v>EA</v>
          </cell>
          <cell r="I795">
            <v>0</v>
          </cell>
        </row>
        <row r="796">
          <cell r="A796" t="str">
            <v>D00817</v>
          </cell>
          <cell r="B796">
            <v>0.106</v>
          </cell>
          <cell r="C796" t="str">
            <v>3.24</v>
          </cell>
          <cell r="D796">
            <v>2501905</v>
          </cell>
          <cell r="E796" t="str">
            <v>아스팔트 채움</v>
          </cell>
          <cell r="F796" t="str">
            <v>(브론아스팔트)</v>
          </cell>
          <cell r="G796" t="str">
            <v>㎥</v>
          </cell>
          <cell r="I796">
            <v>0</v>
          </cell>
        </row>
        <row r="797">
          <cell r="A797" t="str">
            <v>D01064</v>
          </cell>
          <cell r="B797">
            <v>30</v>
          </cell>
          <cell r="C797" t="str">
            <v>3.25</v>
          </cell>
          <cell r="D797">
            <v>2521030</v>
          </cell>
          <cell r="E797" t="str">
            <v>중앙분리대</v>
          </cell>
          <cell r="G797" t="str">
            <v>M</v>
          </cell>
          <cell r="I797">
            <v>0</v>
          </cell>
        </row>
        <row r="798">
          <cell r="A798" t="str">
            <v>D03817</v>
          </cell>
          <cell r="B798">
            <v>102</v>
          </cell>
          <cell r="C798" t="str">
            <v>3.26</v>
          </cell>
          <cell r="D798">
            <v>2530592</v>
          </cell>
          <cell r="E798" t="str">
            <v>ELASTIC FILLER</v>
          </cell>
          <cell r="F798" t="str">
            <v>(T=20 m/m)</v>
          </cell>
          <cell r="G798" t="str">
            <v>㎡</v>
          </cell>
          <cell r="I798">
            <v>0</v>
          </cell>
        </row>
        <row r="799">
          <cell r="A799" t="str">
            <v>D00593</v>
          </cell>
          <cell r="B799">
            <v>345</v>
          </cell>
          <cell r="C799" t="str">
            <v>3.27</v>
          </cell>
          <cell r="D799">
            <v>2537764</v>
          </cell>
          <cell r="E799" t="str">
            <v>낙하물방지망</v>
          </cell>
          <cell r="G799" t="str">
            <v>㎡</v>
          </cell>
          <cell r="I799">
            <v>0</v>
          </cell>
        </row>
        <row r="800">
          <cell r="A800" t="str">
            <v>D00847</v>
          </cell>
          <cell r="B800">
            <v>89</v>
          </cell>
          <cell r="C800" t="str">
            <v>3.28</v>
          </cell>
          <cell r="D800">
            <v>2537796</v>
          </cell>
          <cell r="E800" t="str">
            <v>가드휀스설치</v>
          </cell>
          <cell r="G800" t="str">
            <v>M</v>
          </cell>
          <cell r="I800">
            <v>0</v>
          </cell>
        </row>
        <row r="801">
          <cell r="A801" t="str">
            <v>D01305</v>
          </cell>
          <cell r="B801">
            <v>2</v>
          </cell>
          <cell r="C801" t="str">
            <v>3.29</v>
          </cell>
          <cell r="D801">
            <v>2537812</v>
          </cell>
          <cell r="E801" t="str">
            <v>점검용계단</v>
          </cell>
          <cell r="G801" t="str">
            <v>EA</v>
          </cell>
          <cell r="I801">
            <v>0</v>
          </cell>
        </row>
        <row r="802">
          <cell r="A802" t="str">
            <v>D03871</v>
          </cell>
          <cell r="B802">
            <v>10</v>
          </cell>
          <cell r="C802" t="str">
            <v>3.30</v>
          </cell>
          <cell r="D802">
            <v>2537820</v>
          </cell>
          <cell r="E802" t="str">
            <v>평판재하시험</v>
          </cell>
          <cell r="G802" t="str">
            <v>개소</v>
          </cell>
          <cell r="I802">
            <v>0</v>
          </cell>
        </row>
        <row r="803">
          <cell r="A803" t="str">
            <v>E3</v>
          </cell>
          <cell r="B803">
            <v>0</v>
          </cell>
          <cell r="C803" t="str">
            <v>합계</v>
          </cell>
          <cell r="D803">
            <v>2537828</v>
          </cell>
          <cell r="I803">
            <v>0</v>
          </cell>
        </row>
        <row r="804">
          <cell r="A804" t="str">
            <v>T3</v>
          </cell>
          <cell r="B804">
            <v>901</v>
          </cell>
          <cell r="C804" t="str">
            <v>3.F</v>
          </cell>
          <cell r="D804">
            <v>2537892</v>
          </cell>
          <cell r="E804" t="str">
            <v>영    암    교</v>
          </cell>
          <cell r="F804" t="str">
            <v>PRE-FLEX BEAM</v>
          </cell>
          <cell r="I804">
            <v>0</v>
          </cell>
        </row>
        <row r="805">
          <cell r="A805" t="str">
            <v>T2</v>
          </cell>
          <cell r="B805">
            <v>813</v>
          </cell>
          <cell r="C805" t="str">
            <v>3.01</v>
          </cell>
          <cell r="D805">
            <v>2538020</v>
          </cell>
          <cell r="E805" t="str">
            <v>토          공</v>
          </cell>
          <cell r="I805">
            <v>0</v>
          </cell>
        </row>
        <row r="806">
          <cell r="A806" t="str">
            <v>D00096</v>
          </cell>
          <cell r="B806">
            <v>1421</v>
          </cell>
          <cell r="C806" t="str">
            <v>a</v>
          </cell>
          <cell r="D806">
            <v>2691317</v>
          </cell>
          <cell r="E806" t="str">
            <v>구조물터파기</v>
          </cell>
          <cell r="F806" t="str">
            <v>(육상토사 0∼2 M)</v>
          </cell>
          <cell r="G806" t="str">
            <v>㎥</v>
          </cell>
          <cell r="I806">
            <v>0</v>
          </cell>
        </row>
        <row r="807">
          <cell r="A807" t="str">
            <v>D00097</v>
          </cell>
          <cell r="B807">
            <v>548</v>
          </cell>
          <cell r="C807" t="str">
            <v>b</v>
          </cell>
          <cell r="D807">
            <v>2691653</v>
          </cell>
          <cell r="E807" t="str">
            <v>구조물터파기</v>
          </cell>
          <cell r="F807" t="str">
            <v>(육상토사 2∼4 M)</v>
          </cell>
          <cell r="G807" t="str">
            <v>㎥</v>
          </cell>
          <cell r="I807">
            <v>0</v>
          </cell>
        </row>
        <row r="808">
          <cell r="A808" t="str">
            <v>D00131</v>
          </cell>
          <cell r="B808">
            <v>154</v>
          </cell>
          <cell r="C808" t="str">
            <v>c</v>
          </cell>
          <cell r="D808">
            <v>2691821</v>
          </cell>
          <cell r="E808" t="str">
            <v>구조물터파기</v>
          </cell>
          <cell r="F808" t="str">
            <v>(육상풍화암 2∼3 M)</v>
          </cell>
          <cell r="G808" t="str">
            <v>㎥</v>
          </cell>
          <cell r="I808">
            <v>0</v>
          </cell>
        </row>
        <row r="809">
          <cell r="A809" t="str">
            <v>D03858</v>
          </cell>
          <cell r="B809">
            <v>134</v>
          </cell>
          <cell r="C809" t="str">
            <v>d</v>
          </cell>
          <cell r="D809">
            <v>2691905</v>
          </cell>
          <cell r="E809" t="str">
            <v>구조물터파기</v>
          </cell>
          <cell r="F809" t="str">
            <v>(육상풍화암 4∼5 M)</v>
          </cell>
          <cell r="G809" t="str">
            <v>㎥</v>
          </cell>
          <cell r="I809">
            <v>0</v>
          </cell>
        </row>
        <row r="810">
          <cell r="A810" t="str">
            <v>D00160</v>
          </cell>
          <cell r="B810">
            <v>1155</v>
          </cell>
          <cell r="C810" t="str">
            <v>e</v>
          </cell>
          <cell r="D810">
            <v>2691989</v>
          </cell>
          <cell r="E810" t="str">
            <v>되메우기및다짐</v>
          </cell>
          <cell r="F810" t="str">
            <v>(인력30%+백호우70%)</v>
          </cell>
          <cell r="G810" t="str">
            <v>㎥</v>
          </cell>
          <cell r="I810">
            <v>0</v>
          </cell>
        </row>
        <row r="811">
          <cell r="A811" t="str">
            <v>D00170</v>
          </cell>
          <cell r="B811">
            <v>1491</v>
          </cell>
          <cell r="C811" t="str">
            <v>f</v>
          </cell>
          <cell r="D811">
            <v>2692109</v>
          </cell>
          <cell r="E811" t="str">
            <v>뒷채움잡석</v>
          </cell>
          <cell r="F811" t="str">
            <v>(현장암유용)</v>
          </cell>
          <cell r="G811" t="str">
            <v>㎥</v>
          </cell>
          <cell r="I811">
            <v>0</v>
          </cell>
        </row>
        <row r="812">
          <cell r="A812" t="str">
            <v>D00150</v>
          </cell>
          <cell r="B812">
            <v>2672</v>
          </cell>
          <cell r="C812" t="str">
            <v>g</v>
          </cell>
          <cell r="D812">
            <v>2692169</v>
          </cell>
          <cell r="E812" t="str">
            <v>교대앞성토</v>
          </cell>
          <cell r="G812" t="str">
            <v>㎥</v>
          </cell>
          <cell r="I812">
            <v>0</v>
          </cell>
        </row>
        <row r="813">
          <cell r="A813" t="str">
            <v>D01202</v>
          </cell>
          <cell r="B813">
            <v>180</v>
          </cell>
          <cell r="C813" t="str">
            <v>h</v>
          </cell>
          <cell r="D813">
            <v>2692199</v>
          </cell>
          <cell r="E813" t="str">
            <v>암면고르기</v>
          </cell>
          <cell r="F813" t="str">
            <v>(발파암)</v>
          </cell>
          <cell r="G813" t="str">
            <v>㎡</v>
          </cell>
          <cell r="I813">
            <v>0</v>
          </cell>
        </row>
        <row r="814">
          <cell r="A814" t="str">
            <v>E2</v>
          </cell>
          <cell r="B814">
            <v>0</v>
          </cell>
          <cell r="C814" t="str">
            <v>계</v>
          </cell>
          <cell r="D814">
            <v>2692229</v>
          </cell>
          <cell r="I814">
            <v>0</v>
          </cell>
        </row>
        <row r="815">
          <cell r="A815" t="str">
            <v>T2</v>
          </cell>
          <cell r="B815">
            <v>821</v>
          </cell>
          <cell r="C815" t="str">
            <v>3.02</v>
          </cell>
          <cell r="D815">
            <v>2693200</v>
          </cell>
          <cell r="E815" t="str">
            <v>거 푸 집</v>
          </cell>
          <cell r="I815">
            <v>0</v>
          </cell>
        </row>
        <row r="816">
          <cell r="A816" t="str">
            <v>D00276</v>
          </cell>
          <cell r="B816">
            <v>1778</v>
          </cell>
          <cell r="C816" t="str">
            <v>a</v>
          </cell>
          <cell r="D816">
            <v>2693201</v>
          </cell>
          <cell r="E816" t="str">
            <v>합판거푸집</v>
          </cell>
          <cell r="F816" t="str">
            <v>(3 회)</v>
          </cell>
          <cell r="G816" t="str">
            <v>㎡</v>
          </cell>
          <cell r="I816">
            <v>0</v>
          </cell>
        </row>
        <row r="817">
          <cell r="A817" t="str">
            <v>D00277</v>
          </cell>
          <cell r="B817">
            <v>335</v>
          </cell>
          <cell r="C817" t="str">
            <v>b</v>
          </cell>
          <cell r="D817">
            <v>2693265</v>
          </cell>
          <cell r="E817" t="str">
            <v>합판거푸집</v>
          </cell>
          <cell r="F817" t="str">
            <v>(3 회 7∼10 m)</v>
          </cell>
          <cell r="G817" t="str">
            <v>㎡</v>
          </cell>
          <cell r="I817">
            <v>0</v>
          </cell>
        </row>
        <row r="818">
          <cell r="A818" t="str">
            <v>D00280</v>
          </cell>
          <cell r="B818">
            <v>232</v>
          </cell>
          <cell r="C818" t="str">
            <v>c</v>
          </cell>
          <cell r="D818">
            <v>2693297</v>
          </cell>
          <cell r="E818" t="str">
            <v>합판거푸집</v>
          </cell>
          <cell r="F818" t="str">
            <v>(4 회)</v>
          </cell>
          <cell r="G818" t="str">
            <v>㎡</v>
          </cell>
          <cell r="I818">
            <v>0</v>
          </cell>
        </row>
        <row r="819">
          <cell r="A819" t="str">
            <v>D00282</v>
          </cell>
          <cell r="B819">
            <v>189</v>
          </cell>
          <cell r="C819" t="str">
            <v>d</v>
          </cell>
          <cell r="D819">
            <v>2693301</v>
          </cell>
          <cell r="E819" t="str">
            <v>합판거푸집</v>
          </cell>
          <cell r="F819" t="str">
            <v>(6 회)</v>
          </cell>
          <cell r="G819" t="str">
            <v>㎡</v>
          </cell>
          <cell r="I819">
            <v>0</v>
          </cell>
        </row>
        <row r="820">
          <cell r="A820" t="str">
            <v>D00265</v>
          </cell>
          <cell r="B820">
            <v>364</v>
          </cell>
          <cell r="C820" t="str">
            <v>e</v>
          </cell>
          <cell r="D820">
            <v>2693305</v>
          </cell>
          <cell r="E820" t="str">
            <v>문양거푸집(합판4회+</v>
          </cell>
          <cell r="F820" t="str">
            <v>문양스치로폴(0∼7M)</v>
          </cell>
          <cell r="G820" t="str">
            <v>㎡</v>
          </cell>
          <cell r="I820">
            <v>0</v>
          </cell>
        </row>
        <row r="821">
          <cell r="A821" t="str">
            <v>D01111</v>
          </cell>
          <cell r="B821">
            <v>66</v>
          </cell>
          <cell r="C821" t="str">
            <v>f</v>
          </cell>
          <cell r="D821">
            <v>2693309</v>
          </cell>
          <cell r="E821" t="str">
            <v>문양거푸집(합판4회+</v>
          </cell>
          <cell r="F821" t="str">
            <v>문양스치로폴(7∼10M)</v>
          </cell>
          <cell r="G821" t="str">
            <v>㎡</v>
          </cell>
          <cell r="I821">
            <v>0</v>
          </cell>
        </row>
        <row r="822">
          <cell r="A822" t="str">
            <v>E2</v>
          </cell>
          <cell r="B822">
            <v>0</v>
          </cell>
          <cell r="C822" t="str">
            <v>계</v>
          </cell>
          <cell r="D822">
            <v>2693441</v>
          </cell>
          <cell r="I822">
            <v>0</v>
          </cell>
        </row>
        <row r="823">
          <cell r="A823" t="str">
            <v>D00323</v>
          </cell>
          <cell r="B823">
            <v>1227</v>
          </cell>
          <cell r="C823" t="str">
            <v>3.03</v>
          </cell>
          <cell r="D823">
            <v>2693442</v>
          </cell>
          <cell r="E823" t="str">
            <v>강관비계</v>
          </cell>
          <cell r="F823" t="str">
            <v>(0∼30 M)</v>
          </cell>
          <cell r="G823" t="str">
            <v>㎡</v>
          </cell>
          <cell r="I823">
            <v>0</v>
          </cell>
        </row>
        <row r="824">
          <cell r="A824" t="str">
            <v>T2</v>
          </cell>
          <cell r="B824">
            <v>827</v>
          </cell>
          <cell r="C824" t="str">
            <v>3.04</v>
          </cell>
          <cell r="D824">
            <v>2693506</v>
          </cell>
          <cell r="E824" t="str">
            <v>동 바 리</v>
          </cell>
          <cell r="I824">
            <v>0</v>
          </cell>
        </row>
        <row r="825">
          <cell r="A825" t="str">
            <v>D00327</v>
          </cell>
          <cell r="B825">
            <v>702</v>
          </cell>
          <cell r="C825" t="str">
            <v>a</v>
          </cell>
          <cell r="D825">
            <v>2693538</v>
          </cell>
          <cell r="E825" t="str">
            <v>동바리공</v>
          </cell>
          <cell r="F825" t="str">
            <v>(목재 4 회)</v>
          </cell>
          <cell r="G825" t="str">
            <v>공㎥</v>
          </cell>
          <cell r="I825">
            <v>0</v>
          </cell>
        </row>
        <row r="826">
          <cell r="A826" t="str">
            <v>D00334</v>
          </cell>
          <cell r="B826">
            <v>262</v>
          </cell>
          <cell r="C826" t="str">
            <v>b</v>
          </cell>
          <cell r="D826">
            <v>2693562</v>
          </cell>
          <cell r="E826" t="str">
            <v>강관동바리</v>
          </cell>
          <cell r="F826" t="str">
            <v>(교량용)</v>
          </cell>
          <cell r="G826" t="str">
            <v>공㎥</v>
          </cell>
          <cell r="I826">
            <v>0</v>
          </cell>
        </row>
        <row r="827">
          <cell r="A827" t="str">
            <v>D01129</v>
          </cell>
          <cell r="B827">
            <v>79</v>
          </cell>
          <cell r="C827" t="str">
            <v>c</v>
          </cell>
          <cell r="D827">
            <v>2693566</v>
          </cell>
          <cell r="E827" t="str">
            <v>수평보강재(교량용)</v>
          </cell>
          <cell r="F827" t="str">
            <v>(강관동바리)</v>
          </cell>
          <cell r="G827" t="str">
            <v>㎡</v>
          </cell>
          <cell r="I827">
            <v>0</v>
          </cell>
        </row>
        <row r="828">
          <cell r="A828" t="str">
            <v>E2</v>
          </cell>
          <cell r="B828">
            <v>0</v>
          </cell>
          <cell r="C828" t="str">
            <v>계</v>
          </cell>
          <cell r="D828">
            <v>2693568</v>
          </cell>
          <cell r="I828">
            <v>0</v>
          </cell>
        </row>
        <row r="829">
          <cell r="A829" t="str">
            <v>T2</v>
          </cell>
          <cell r="B829">
            <v>831</v>
          </cell>
          <cell r="C829" t="str">
            <v>3.05</v>
          </cell>
          <cell r="D829">
            <v>2693690</v>
          </cell>
          <cell r="E829" t="str">
            <v>철근가공조립</v>
          </cell>
          <cell r="I829">
            <v>0</v>
          </cell>
        </row>
        <row r="830">
          <cell r="A830" t="str">
            <v>D00271</v>
          </cell>
          <cell r="B830">
            <v>16.827999999999999</v>
          </cell>
          <cell r="C830" t="str">
            <v>a</v>
          </cell>
          <cell r="D830">
            <v>2693692</v>
          </cell>
          <cell r="E830" t="str">
            <v>철근가공조립</v>
          </cell>
          <cell r="F830" t="str">
            <v>(보 통)</v>
          </cell>
          <cell r="G830" t="str">
            <v>Ton</v>
          </cell>
          <cell r="I830">
            <v>0</v>
          </cell>
        </row>
        <row r="831">
          <cell r="A831" t="str">
            <v>D00272</v>
          </cell>
          <cell r="B831">
            <v>203.584</v>
          </cell>
          <cell r="C831" t="str">
            <v>b</v>
          </cell>
          <cell r="D831">
            <v>2693694</v>
          </cell>
          <cell r="E831" t="str">
            <v>철근가공조립</v>
          </cell>
          <cell r="F831" t="str">
            <v>(복 잡)</v>
          </cell>
          <cell r="G831" t="str">
            <v>Ton</v>
          </cell>
          <cell r="I831">
            <v>0</v>
          </cell>
        </row>
        <row r="832">
          <cell r="A832" t="str">
            <v>E2</v>
          </cell>
          <cell r="B832">
            <v>0</v>
          </cell>
          <cell r="C832" t="str">
            <v>계</v>
          </cell>
          <cell r="D832">
            <v>2693697</v>
          </cell>
          <cell r="I832">
            <v>0</v>
          </cell>
        </row>
        <row r="833">
          <cell r="A833" t="str">
            <v>T2</v>
          </cell>
          <cell r="B833">
            <v>836</v>
          </cell>
          <cell r="C833" t="str">
            <v>3.06</v>
          </cell>
          <cell r="D833">
            <v>2693698</v>
          </cell>
          <cell r="E833" t="str">
            <v>콘크리트타설</v>
          </cell>
          <cell r="I833">
            <v>0</v>
          </cell>
        </row>
        <row r="834">
          <cell r="A834" t="str">
            <v>D00237</v>
          </cell>
          <cell r="B834">
            <v>1521</v>
          </cell>
          <cell r="C834" t="str">
            <v>a</v>
          </cell>
          <cell r="D834">
            <v>2693762</v>
          </cell>
          <cell r="E834" t="str">
            <v>콘크리트타설</v>
          </cell>
          <cell r="F834" t="str">
            <v>(철근 펌프카)</v>
          </cell>
          <cell r="G834" t="str">
            <v>㎥</v>
          </cell>
          <cell r="I834">
            <v>0</v>
          </cell>
        </row>
        <row r="835">
          <cell r="A835" t="str">
            <v>D00238</v>
          </cell>
          <cell r="B835">
            <v>420</v>
          </cell>
          <cell r="C835" t="str">
            <v>b</v>
          </cell>
          <cell r="D835">
            <v>2693794</v>
          </cell>
          <cell r="E835" t="str">
            <v>콘크리트타설</v>
          </cell>
          <cell r="F835" t="str">
            <v>(무근 펌프카)</v>
          </cell>
          <cell r="G835" t="str">
            <v>㎥</v>
          </cell>
          <cell r="I835">
            <v>0</v>
          </cell>
        </row>
        <row r="836">
          <cell r="A836" t="str">
            <v>D00231</v>
          </cell>
          <cell r="B836">
            <v>90</v>
          </cell>
          <cell r="C836" t="str">
            <v>c</v>
          </cell>
          <cell r="D836">
            <v>2693810</v>
          </cell>
          <cell r="E836" t="str">
            <v>콘크리트타설</v>
          </cell>
          <cell r="F836" t="str">
            <v>(무근 VIB 제외)</v>
          </cell>
          <cell r="G836" t="str">
            <v>㎥</v>
          </cell>
          <cell r="I836">
            <v>0</v>
          </cell>
        </row>
        <row r="837">
          <cell r="A837" t="str">
            <v>E2</v>
          </cell>
          <cell r="B837">
            <v>0</v>
          </cell>
          <cell r="C837" t="str">
            <v>계</v>
          </cell>
          <cell r="D837">
            <v>2693826</v>
          </cell>
          <cell r="I837">
            <v>0</v>
          </cell>
        </row>
        <row r="838">
          <cell r="A838" t="str">
            <v>T2</v>
          </cell>
          <cell r="B838">
            <v>840</v>
          </cell>
          <cell r="C838" t="str">
            <v>3.07</v>
          </cell>
          <cell r="D838">
            <v>2693834</v>
          </cell>
          <cell r="E838" t="str">
            <v>표 면 처 리</v>
          </cell>
          <cell r="I838">
            <v>0</v>
          </cell>
        </row>
        <row r="839">
          <cell r="A839" t="str">
            <v>D00537</v>
          </cell>
          <cell r="B839">
            <v>837</v>
          </cell>
          <cell r="C839" t="str">
            <v>a</v>
          </cell>
          <cell r="D839">
            <v>2693838</v>
          </cell>
          <cell r="E839" t="str">
            <v>슬래브양생</v>
          </cell>
          <cell r="F839" t="str">
            <v>(양생제)</v>
          </cell>
          <cell r="G839" t="str">
            <v>㎡</v>
          </cell>
          <cell r="I839">
            <v>0</v>
          </cell>
        </row>
        <row r="840">
          <cell r="A840" t="str">
            <v>D00539</v>
          </cell>
          <cell r="B840">
            <v>758</v>
          </cell>
          <cell r="C840" t="str">
            <v>b</v>
          </cell>
          <cell r="D840">
            <v>2693840</v>
          </cell>
          <cell r="E840" t="str">
            <v>슬래브면고르기</v>
          </cell>
          <cell r="F840" t="str">
            <v>(데크 피니샤)</v>
          </cell>
          <cell r="G840" t="str">
            <v>㎡</v>
          </cell>
          <cell r="I840">
            <v>0</v>
          </cell>
        </row>
        <row r="841">
          <cell r="A841" t="str">
            <v>E2</v>
          </cell>
          <cell r="B841">
            <v>0</v>
          </cell>
          <cell r="C841" t="str">
            <v>계</v>
          </cell>
          <cell r="D841">
            <v>2693841</v>
          </cell>
          <cell r="I841">
            <v>0</v>
          </cell>
        </row>
        <row r="842">
          <cell r="A842" t="str">
            <v>T2</v>
          </cell>
          <cell r="B842">
            <v>846</v>
          </cell>
          <cell r="C842" t="str">
            <v>3.08</v>
          </cell>
          <cell r="D842">
            <v>2693969</v>
          </cell>
          <cell r="E842" t="str">
            <v>교좌장치</v>
          </cell>
          <cell r="I842">
            <v>0</v>
          </cell>
        </row>
        <row r="843">
          <cell r="A843" t="str">
            <v>D00544</v>
          </cell>
          <cell r="B843">
            <v>2</v>
          </cell>
          <cell r="C843" t="str">
            <v>a</v>
          </cell>
          <cell r="D843">
            <v>2694065</v>
          </cell>
          <cell r="E843" t="str">
            <v>교좌장치</v>
          </cell>
          <cell r="F843" t="str">
            <v>(고정단 175 Ton)</v>
          </cell>
          <cell r="G843" t="str">
            <v>EA</v>
          </cell>
          <cell r="I843">
            <v>0</v>
          </cell>
        </row>
        <row r="844">
          <cell r="A844" t="str">
            <v>D00542</v>
          </cell>
          <cell r="B844">
            <v>6</v>
          </cell>
          <cell r="C844" t="str">
            <v>b</v>
          </cell>
          <cell r="D844">
            <v>2694113</v>
          </cell>
          <cell r="E844" t="str">
            <v>교좌장치</v>
          </cell>
          <cell r="F844" t="str">
            <v>(횡방향가동단175Ton)</v>
          </cell>
          <cell r="G844" t="str">
            <v>EA</v>
          </cell>
          <cell r="I844">
            <v>0</v>
          </cell>
        </row>
        <row r="845">
          <cell r="A845" t="str">
            <v>D00546</v>
          </cell>
          <cell r="B845">
            <v>2</v>
          </cell>
          <cell r="C845" t="str">
            <v>c</v>
          </cell>
          <cell r="D845">
            <v>2694152</v>
          </cell>
          <cell r="E845" t="str">
            <v>교좌장치</v>
          </cell>
          <cell r="F845" t="str">
            <v>(종방향가동단175Ton)</v>
          </cell>
          <cell r="G845" t="str">
            <v>EA</v>
          </cell>
          <cell r="I845">
            <v>0</v>
          </cell>
        </row>
        <row r="846">
          <cell r="A846" t="str">
            <v>D00550</v>
          </cell>
          <cell r="B846">
            <v>6</v>
          </cell>
          <cell r="C846" t="str">
            <v>d</v>
          </cell>
          <cell r="D846">
            <v>2694154</v>
          </cell>
          <cell r="E846" t="str">
            <v>교좌장치</v>
          </cell>
          <cell r="F846" t="str">
            <v>(양방향가동단175Ton)</v>
          </cell>
          <cell r="G846" t="str">
            <v>EA</v>
          </cell>
          <cell r="I846">
            <v>0</v>
          </cell>
        </row>
        <row r="847">
          <cell r="A847" t="str">
            <v>E2</v>
          </cell>
          <cell r="B847">
            <v>0</v>
          </cell>
          <cell r="C847" t="str">
            <v>계</v>
          </cell>
          <cell r="D847">
            <v>2694155</v>
          </cell>
          <cell r="I847">
            <v>0</v>
          </cell>
        </row>
        <row r="848">
          <cell r="A848" t="str">
            <v>T2</v>
          </cell>
          <cell r="B848">
            <v>851</v>
          </cell>
          <cell r="C848" t="str">
            <v>3.09</v>
          </cell>
          <cell r="D848">
            <v>2694283</v>
          </cell>
          <cell r="E848" t="str">
            <v>PRE-FLEX BEAM</v>
          </cell>
          <cell r="I848">
            <v>0</v>
          </cell>
        </row>
        <row r="849">
          <cell r="A849" t="str">
            <v>W00083</v>
          </cell>
          <cell r="B849">
            <v>4</v>
          </cell>
          <cell r="C849" t="str">
            <v>a</v>
          </cell>
          <cell r="D849">
            <v>2694347</v>
          </cell>
          <cell r="E849" t="str">
            <v>PRE-FLEX BEAM</v>
          </cell>
          <cell r="F849" t="str">
            <v>영암교(내측)</v>
          </cell>
          <cell r="G849" t="str">
            <v>본</v>
          </cell>
          <cell r="I849">
            <v>0</v>
          </cell>
        </row>
        <row r="850">
          <cell r="A850" t="str">
            <v>W00082</v>
          </cell>
          <cell r="B850">
            <v>4</v>
          </cell>
          <cell r="C850" t="str">
            <v>b</v>
          </cell>
          <cell r="D850">
            <v>2694379</v>
          </cell>
          <cell r="E850" t="str">
            <v>PRE-FLEX BEAM</v>
          </cell>
          <cell r="F850" t="str">
            <v>영암교(외측)</v>
          </cell>
          <cell r="G850" t="str">
            <v>본</v>
          </cell>
          <cell r="I850">
            <v>0</v>
          </cell>
        </row>
        <row r="851">
          <cell r="A851" t="str">
            <v>D03936</v>
          </cell>
          <cell r="B851">
            <v>1</v>
          </cell>
          <cell r="C851" t="str">
            <v>c</v>
          </cell>
          <cell r="D851">
            <v>2694411</v>
          </cell>
          <cell r="E851" t="str">
            <v>PRE-FLEX BEAM</v>
          </cell>
          <cell r="F851" t="str">
            <v>(전도방지시설).</v>
          </cell>
          <cell r="G851" t="str">
            <v>식</v>
          </cell>
          <cell r="I851">
            <v>0</v>
          </cell>
        </row>
        <row r="852">
          <cell r="A852" t="str">
            <v>E2</v>
          </cell>
          <cell r="B852">
            <v>0</v>
          </cell>
          <cell r="C852" t="str">
            <v>계</v>
          </cell>
          <cell r="D852">
            <v>2694507</v>
          </cell>
          <cell r="I852">
            <v>0</v>
          </cell>
        </row>
        <row r="853">
          <cell r="A853" t="str">
            <v>T2</v>
          </cell>
          <cell r="B853">
            <v>855</v>
          </cell>
          <cell r="C853" t="str">
            <v>3.10</v>
          </cell>
          <cell r="D853">
            <v>2694635</v>
          </cell>
          <cell r="E853" t="str">
            <v>신축이음장치</v>
          </cell>
          <cell r="I853">
            <v>0</v>
          </cell>
        </row>
        <row r="854">
          <cell r="A854" t="str">
            <v>D03819</v>
          </cell>
          <cell r="B854">
            <v>19</v>
          </cell>
          <cell r="C854" t="str">
            <v>a</v>
          </cell>
          <cell r="D854">
            <v>2694651</v>
          </cell>
          <cell r="E854" t="str">
            <v>신축이음장치</v>
          </cell>
          <cell r="F854" t="str">
            <v>(Rail-No 80)</v>
          </cell>
          <cell r="G854" t="str">
            <v>M</v>
          </cell>
          <cell r="I854">
            <v>0</v>
          </cell>
        </row>
        <row r="855">
          <cell r="A855" t="str">
            <v>D01313</v>
          </cell>
          <cell r="B855">
            <v>19</v>
          </cell>
          <cell r="C855" t="str">
            <v>b</v>
          </cell>
          <cell r="D855">
            <v>2694667</v>
          </cell>
          <cell r="E855" t="str">
            <v>신축이음장치</v>
          </cell>
          <cell r="F855" t="str">
            <v>(Rail-No100)</v>
          </cell>
          <cell r="G855" t="str">
            <v>M</v>
          </cell>
          <cell r="I855">
            <v>0</v>
          </cell>
        </row>
        <row r="856">
          <cell r="A856" t="str">
            <v>E2</v>
          </cell>
          <cell r="B856">
            <v>0</v>
          </cell>
          <cell r="C856" t="str">
            <v>계</v>
          </cell>
          <cell r="D856">
            <v>2694699</v>
          </cell>
          <cell r="I856">
            <v>0</v>
          </cell>
        </row>
        <row r="857">
          <cell r="A857" t="str">
            <v>D00535</v>
          </cell>
          <cell r="B857">
            <v>758</v>
          </cell>
          <cell r="C857" t="str">
            <v>3.11</v>
          </cell>
          <cell r="D857">
            <v>2694955</v>
          </cell>
          <cell r="E857" t="str">
            <v>교면방수</v>
          </cell>
          <cell r="F857" t="str">
            <v>(도막식)</v>
          </cell>
          <cell r="G857" t="str">
            <v>㎡</v>
          </cell>
          <cell r="I857">
            <v>0</v>
          </cell>
        </row>
        <row r="858">
          <cell r="A858" t="str">
            <v>T2</v>
          </cell>
          <cell r="B858">
            <v>862</v>
          </cell>
          <cell r="C858" t="str">
            <v>3.12</v>
          </cell>
          <cell r="D858">
            <v>2695019</v>
          </cell>
          <cell r="E858" t="str">
            <v>접속슬래브 접합공</v>
          </cell>
          <cell r="I858">
            <v>0</v>
          </cell>
        </row>
        <row r="859">
          <cell r="A859" t="str">
            <v>D01067</v>
          </cell>
          <cell r="B859">
            <v>96</v>
          </cell>
          <cell r="C859" t="str">
            <v>a</v>
          </cell>
          <cell r="D859">
            <v>2695051</v>
          </cell>
          <cell r="E859" t="str">
            <v>다웰바 설치</v>
          </cell>
          <cell r="F859" t="str">
            <v>(D=25 m/m, L=500)</v>
          </cell>
          <cell r="G859" t="str">
            <v>EA</v>
          </cell>
          <cell r="I859">
            <v>0</v>
          </cell>
        </row>
        <row r="860">
          <cell r="A860" t="str">
            <v>D01190</v>
          </cell>
          <cell r="B860">
            <v>28</v>
          </cell>
          <cell r="C860" t="str">
            <v>b</v>
          </cell>
          <cell r="D860">
            <v>2695083</v>
          </cell>
          <cell r="E860" t="str">
            <v>다웰-켑 설치</v>
          </cell>
          <cell r="F860" t="str">
            <v>(Φ60 m/m)</v>
          </cell>
          <cell r="G860" t="str">
            <v>M</v>
          </cell>
          <cell r="I860">
            <v>0</v>
          </cell>
        </row>
        <row r="861">
          <cell r="A861" t="str">
            <v>D00540</v>
          </cell>
          <cell r="B861">
            <v>96</v>
          </cell>
          <cell r="C861" t="str">
            <v>c</v>
          </cell>
          <cell r="D861">
            <v>2695085</v>
          </cell>
          <cell r="E861" t="str">
            <v>경질고무판</v>
          </cell>
          <cell r="F861" t="str">
            <v>(150x150)</v>
          </cell>
          <cell r="G861" t="str">
            <v>EA</v>
          </cell>
          <cell r="I861">
            <v>0</v>
          </cell>
        </row>
        <row r="862">
          <cell r="A862" t="str">
            <v>D00566</v>
          </cell>
          <cell r="B862">
            <v>15</v>
          </cell>
          <cell r="C862" t="str">
            <v>d</v>
          </cell>
          <cell r="D862">
            <v>2695086</v>
          </cell>
          <cell r="E862" t="str">
            <v>타르페이퍼 설치</v>
          </cell>
          <cell r="F862" t="str">
            <v>(5 겹)</v>
          </cell>
          <cell r="G862" t="str">
            <v>㎡</v>
          </cell>
          <cell r="I862">
            <v>0</v>
          </cell>
        </row>
        <row r="863">
          <cell r="A863" t="str">
            <v>E2</v>
          </cell>
          <cell r="B863">
            <v>0</v>
          </cell>
          <cell r="C863" t="str">
            <v>계</v>
          </cell>
          <cell r="D863">
            <v>2695118</v>
          </cell>
          <cell r="I863">
            <v>0</v>
          </cell>
        </row>
        <row r="864">
          <cell r="A864" t="str">
            <v>T2</v>
          </cell>
          <cell r="B864">
            <v>866</v>
          </cell>
          <cell r="C864" t="str">
            <v>3.13</v>
          </cell>
          <cell r="D864">
            <v>2695151</v>
          </cell>
          <cell r="E864" t="str">
            <v>무수축 콘크리트</v>
          </cell>
          <cell r="I864">
            <v>0</v>
          </cell>
        </row>
        <row r="865">
          <cell r="A865" t="str">
            <v>D00567</v>
          </cell>
          <cell r="B865">
            <v>0.88600000000000001</v>
          </cell>
          <cell r="C865" t="str">
            <v>a</v>
          </cell>
          <cell r="D865">
            <v>2695167</v>
          </cell>
          <cell r="E865" t="str">
            <v>무수축몰탈</v>
          </cell>
          <cell r="F865" t="str">
            <v>(1:1)</v>
          </cell>
          <cell r="G865" t="str">
            <v>㎥</v>
          </cell>
          <cell r="I865">
            <v>0</v>
          </cell>
        </row>
        <row r="866">
          <cell r="A866" t="str">
            <v>D00568</v>
          </cell>
          <cell r="B866">
            <v>7.22</v>
          </cell>
          <cell r="C866" t="str">
            <v>b</v>
          </cell>
          <cell r="D866">
            <v>2695175</v>
          </cell>
          <cell r="E866" t="str">
            <v>무수축콘크리트</v>
          </cell>
          <cell r="G866" t="str">
            <v>㎥</v>
          </cell>
          <cell r="I866">
            <v>0</v>
          </cell>
        </row>
        <row r="867">
          <cell r="A867" t="str">
            <v>E2</v>
          </cell>
          <cell r="B867">
            <v>0</v>
          </cell>
          <cell r="C867" t="str">
            <v>계</v>
          </cell>
          <cell r="D867">
            <v>2695179</v>
          </cell>
          <cell r="I867">
            <v>0</v>
          </cell>
        </row>
        <row r="868">
          <cell r="A868" t="str">
            <v>T2</v>
          </cell>
          <cell r="B868">
            <v>870</v>
          </cell>
          <cell r="C868" t="str">
            <v>3.14</v>
          </cell>
          <cell r="D868">
            <v>2695307</v>
          </cell>
          <cell r="E868" t="str">
            <v>스치로폴 설치</v>
          </cell>
          <cell r="I868">
            <v>0</v>
          </cell>
        </row>
        <row r="869">
          <cell r="A869" t="str">
            <v>D00853</v>
          </cell>
          <cell r="B869">
            <v>3</v>
          </cell>
          <cell r="C869" t="str">
            <v>a</v>
          </cell>
          <cell r="D869">
            <v>2695565</v>
          </cell>
          <cell r="E869" t="str">
            <v>스치로폴설치</v>
          </cell>
          <cell r="F869" t="str">
            <v>(T=10 m/m)</v>
          </cell>
          <cell r="G869" t="str">
            <v>㎡</v>
          </cell>
          <cell r="I869">
            <v>0</v>
          </cell>
        </row>
        <row r="870">
          <cell r="A870" t="str">
            <v>D00532</v>
          </cell>
          <cell r="B870">
            <v>46</v>
          </cell>
          <cell r="C870" t="str">
            <v>b</v>
          </cell>
          <cell r="D870">
            <v>2695693</v>
          </cell>
          <cell r="E870" t="str">
            <v>스치로폴설치</v>
          </cell>
          <cell r="F870" t="str">
            <v>(T=20 m/m)</v>
          </cell>
          <cell r="G870" t="str">
            <v>㎡</v>
          </cell>
          <cell r="I870">
            <v>0</v>
          </cell>
        </row>
        <row r="871">
          <cell r="A871" t="str">
            <v>E2</v>
          </cell>
          <cell r="B871">
            <v>0</v>
          </cell>
          <cell r="C871" t="str">
            <v>계</v>
          </cell>
          <cell r="D871">
            <v>2695694</v>
          </cell>
          <cell r="I871">
            <v>0</v>
          </cell>
        </row>
        <row r="872">
          <cell r="A872" t="str">
            <v>T2</v>
          </cell>
          <cell r="B872">
            <v>876</v>
          </cell>
          <cell r="C872" t="str">
            <v>3.15</v>
          </cell>
          <cell r="D872">
            <v>2696210</v>
          </cell>
          <cell r="E872" t="str">
            <v>배수시설</v>
          </cell>
          <cell r="I872">
            <v>0</v>
          </cell>
        </row>
        <row r="873">
          <cell r="A873" t="str">
            <v>D00572</v>
          </cell>
          <cell r="B873">
            <v>4</v>
          </cell>
          <cell r="C873" t="str">
            <v>a</v>
          </cell>
          <cell r="D873">
            <v>2696211</v>
          </cell>
          <cell r="E873" t="str">
            <v>집 수 구</v>
          </cell>
          <cell r="G873" t="str">
            <v>EA</v>
          </cell>
          <cell r="I873">
            <v>0</v>
          </cell>
        </row>
        <row r="874">
          <cell r="A874" t="str">
            <v>D00573</v>
          </cell>
          <cell r="B874">
            <v>14</v>
          </cell>
          <cell r="C874" t="str">
            <v>b</v>
          </cell>
          <cell r="D874">
            <v>2696212</v>
          </cell>
          <cell r="E874" t="str">
            <v>배 수 구</v>
          </cell>
          <cell r="F874" t="str">
            <v>(스테인레스관)</v>
          </cell>
          <cell r="G874" t="str">
            <v>M</v>
          </cell>
          <cell r="I874">
            <v>0</v>
          </cell>
        </row>
        <row r="875">
          <cell r="A875" t="str">
            <v>D00574</v>
          </cell>
          <cell r="B875">
            <v>8</v>
          </cell>
          <cell r="C875" t="str">
            <v>c</v>
          </cell>
          <cell r="D875">
            <v>2696276</v>
          </cell>
          <cell r="E875" t="str">
            <v>부착시설(A)</v>
          </cell>
          <cell r="G875" t="str">
            <v>EA</v>
          </cell>
          <cell r="I875">
            <v>0</v>
          </cell>
        </row>
        <row r="876">
          <cell r="A876" t="str">
            <v>D00577</v>
          </cell>
          <cell r="B876">
            <v>29</v>
          </cell>
          <cell r="C876" t="str">
            <v>d</v>
          </cell>
          <cell r="D876">
            <v>2696308</v>
          </cell>
          <cell r="E876" t="str">
            <v>도 수 로</v>
          </cell>
          <cell r="G876" t="str">
            <v>M</v>
          </cell>
          <cell r="I876">
            <v>0</v>
          </cell>
        </row>
        <row r="877">
          <cell r="A877" t="str">
            <v>E2</v>
          </cell>
          <cell r="B877">
            <v>0</v>
          </cell>
          <cell r="C877" t="str">
            <v>계</v>
          </cell>
          <cell r="D877">
            <v>2696324</v>
          </cell>
          <cell r="I877">
            <v>0</v>
          </cell>
        </row>
        <row r="878">
          <cell r="A878" t="str">
            <v>T2</v>
          </cell>
          <cell r="B878">
            <v>880</v>
          </cell>
          <cell r="C878" t="str">
            <v>3.16</v>
          </cell>
          <cell r="D878">
            <v>2696340</v>
          </cell>
          <cell r="E878" t="str">
            <v>스페이서설치</v>
          </cell>
          <cell r="I878">
            <v>0</v>
          </cell>
        </row>
        <row r="879">
          <cell r="A879" t="str">
            <v>D00588</v>
          </cell>
          <cell r="B879">
            <v>1368</v>
          </cell>
          <cell r="C879" t="str">
            <v>a</v>
          </cell>
          <cell r="D879">
            <v>2696356</v>
          </cell>
          <cell r="E879" t="str">
            <v>스페이서 설치</v>
          </cell>
          <cell r="F879" t="str">
            <v>(슬라브및기초용)</v>
          </cell>
          <cell r="G879" t="str">
            <v>㎡</v>
          </cell>
          <cell r="I879">
            <v>0</v>
          </cell>
        </row>
        <row r="880">
          <cell r="A880" t="str">
            <v>D01070</v>
          </cell>
          <cell r="B880">
            <v>305</v>
          </cell>
          <cell r="C880" t="str">
            <v>b</v>
          </cell>
          <cell r="D880">
            <v>2696364</v>
          </cell>
          <cell r="E880" t="str">
            <v>스페이서 설치</v>
          </cell>
          <cell r="F880" t="str">
            <v>(벽체용)</v>
          </cell>
          <cell r="G880" t="str">
            <v>㎡</v>
          </cell>
          <cell r="I880">
            <v>0</v>
          </cell>
        </row>
        <row r="881">
          <cell r="A881" t="str">
            <v>E2</v>
          </cell>
          <cell r="B881">
            <v>0</v>
          </cell>
          <cell r="C881" t="str">
            <v>계</v>
          </cell>
          <cell r="D881">
            <v>2696368</v>
          </cell>
          <cell r="I881">
            <v>0</v>
          </cell>
        </row>
        <row r="882">
          <cell r="A882" t="str">
            <v>T2</v>
          </cell>
          <cell r="B882">
            <v>885</v>
          </cell>
          <cell r="C882" t="str">
            <v>3.17</v>
          </cell>
          <cell r="D882">
            <v>2696386</v>
          </cell>
          <cell r="E882" t="str">
            <v>교명판 설명판</v>
          </cell>
          <cell r="I882">
            <v>0</v>
          </cell>
        </row>
        <row r="883">
          <cell r="A883" t="str">
            <v>D00581</v>
          </cell>
          <cell r="B883">
            <v>4</v>
          </cell>
          <cell r="C883" t="str">
            <v>a</v>
          </cell>
          <cell r="D883">
            <v>2696387</v>
          </cell>
          <cell r="E883" t="str">
            <v>교 명 주</v>
          </cell>
          <cell r="F883" t="str">
            <v>(소형,화강석)</v>
          </cell>
          <cell r="G883" t="str">
            <v>기</v>
          </cell>
          <cell r="I883">
            <v>0</v>
          </cell>
        </row>
        <row r="884">
          <cell r="A884" t="str">
            <v>D00583</v>
          </cell>
          <cell r="B884">
            <v>2</v>
          </cell>
          <cell r="C884" t="str">
            <v>b</v>
          </cell>
          <cell r="D884">
            <v>2696388</v>
          </cell>
          <cell r="E884" t="str">
            <v>교 명 판(황동주물)</v>
          </cell>
          <cell r="F884" t="str">
            <v>(450x200x10)</v>
          </cell>
          <cell r="G884" t="str">
            <v>EA</v>
          </cell>
          <cell r="I884">
            <v>0</v>
          </cell>
        </row>
        <row r="885">
          <cell r="A885" t="str">
            <v>D00584</v>
          </cell>
          <cell r="B885">
            <v>2</v>
          </cell>
          <cell r="C885" t="str">
            <v>c</v>
          </cell>
          <cell r="D885">
            <v>2696452</v>
          </cell>
          <cell r="E885" t="str">
            <v>설 명 판(황동주물)</v>
          </cell>
          <cell r="F885" t="str">
            <v>(500x300x10)</v>
          </cell>
          <cell r="G885" t="str">
            <v>EA</v>
          </cell>
          <cell r="I885">
            <v>0</v>
          </cell>
        </row>
        <row r="886">
          <cell r="A886" t="str">
            <v>E2</v>
          </cell>
          <cell r="B886">
            <v>0</v>
          </cell>
          <cell r="C886" t="str">
            <v>계</v>
          </cell>
          <cell r="D886">
            <v>2696484</v>
          </cell>
          <cell r="I886">
            <v>0</v>
          </cell>
        </row>
        <row r="887">
          <cell r="A887" t="str">
            <v>D00594</v>
          </cell>
          <cell r="B887">
            <v>1</v>
          </cell>
          <cell r="C887" t="str">
            <v>3.18</v>
          </cell>
          <cell r="D887">
            <v>2696492</v>
          </cell>
          <cell r="E887" t="str">
            <v>측량기준점 설치</v>
          </cell>
          <cell r="F887" t="str">
            <v>(황동주물)</v>
          </cell>
          <cell r="G887" t="str">
            <v>EA</v>
          </cell>
          <cell r="I887">
            <v>0</v>
          </cell>
        </row>
        <row r="888">
          <cell r="A888" t="str">
            <v>T2</v>
          </cell>
          <cell r="B888">
            <v>890</v>
          </cell>
          <cell r="C888" t="str">
            <v>3.19</v>
          </cell>
          <cell r="D888">
            <v>2696620</v>
          </cell>
          <cell r="E888" t="str">
            <v>충 진 재</v>
          </cell>
          <cell r="I888">
            <v>0</v>
          </cell>
        </row>
        <row r="889">
          <cell r="A889" t="str">
            <v>D00846</v>
          </cell>
          <cell r="B889">
            <v>39</v>
          </cell>
          <cell r="C889" t="str">
            <v>a</v>
          </cell>
          <cell r="D889">
            <v>2696688</v>
          </cell>
          <cell r="E889" t="str">
            <v>폴리우레탄실란트채움</v>
          </cell>
          <cell r="F889" t="str">
            <v>(25x20)</v>
          </cell>
          <cell r="G889" t="str">
            <v>M</v>
          </cell>
          <cell r="I889">
            <v>0</v>
          </cell>
        </row>
        <row r="890">
          <cell r="A890" t="str">
            <v>D01224</v>
          </cell>
          <cell r="B890">
            <v>26</v>
          </cell>
          <cell r="C890" t="str">
            <v>b</v>
          </cell>
          <cell r="D890">
            <v>2696692</v>
          </cell>
          <cell r="E890" t="str">
            <v>폴리우레탄실란트채움</v>
          </cell>
          <cell r="F890" t="str">
            <v>(25x10)</v>
          </cell>
          <cell r="G890" t="str">
            <v>M</v>
          </cell>
          <cell r="I890">
            <v>0</v>
          </cell>
        </row>
        <row r="891">
          <cell r="A891" t="str">
            <v>E2</v>
          </cell>
          <cell r="B891">
            <v>0</v>
          </cell>
          <cell r="C891" t="str">
            <v>계</v>
          </cell>
          <cell r="D891">
            <v>2696694</v>
          </cell>
          <cell r="I891">
            <v>0</v>
          </cell>
        </row>
        <row r="892">
          <cell r="A892" t="str">
            <v>D01308</v>
          </cell>
          <cell r="B892">
            <v>422</v>
          </cell>
          <cell r="C892" t="str">
            <v>3.20</v>
          </cell>
          <cell r="D892">
            <v>2697134</v>
          </cell>
          <cell r="E892" t="str">
            <v>강섬유보강재</v>
          </cell>
          <cell r="F892" t="str">
            <v>(900 g/㎥)</v>
          </cell>
          <cell r="G892" t="str">
            <v>㎥</v>
          </cell>
          <cell r="I892">
            <v>0</v>
          </cell>
        </row>
        <row r="893">
          <cell r="A893" t="str">
            <v>D03817</v>
          </cell>
          <cell r="B893">
            <v>72</v>
          </cell>
          <cell r="C893" t="str">
            <v>3.21</v>
          </cell>
          <cell r="D893">
            <v>2697630</v>
          </cell>
          <cell r="E893" t="str">
            <v>ELASTIC FILLER</v>
          </cell>
          <cell r="F893" t="str">
            <v>(T=20 m/m)</v>
          </cell>
          <cell r="G893" t="str">
            <v>㎡</v>
          </cell>
          <cell r="I893">
            <v>0</v>
          </cell>
        </row>
        <row r="894">
          <cell r="A894" t="str">
            <v>D00911</v>
          </cell>
          <cell r="B894">
            <v>97</v>
          </cell>
          <cell r="C894" t="str">
            <v>3.22</v>
          </cell>
          <cell r="D894">
            <v>2850627</v>
          </cell>
          <cell r="E894" t="str">
            <v>방 호 벽</v>
          </cell>
          <cell r="F894" t="str">
            <v>(육교용)</v>
          </cell>
          <cell r="G894" t="str">
            <v>M</v>
          </cell>
          <cell r="I894">
            <v>0</v>
          </cell>
        </row>
        <row r="895">
          <cell r="A895" t="str">
            <v>D00791</v>
          </cell>
          <cell r="B895">
            <v>16</v>
          </cell>
          <cell r="C895" t="str">
            <v>3.23</v>
          </cell>
          <cell r="D895">
            <v>2927125</v>
          </cell>
          <cell r="E895" t="str">
            <v>교좌장치표지판</v>
          </cell>
          <cell r="G895" t="str">
            <v>EA</v>
          </cell>
          <cell r="I895">
            <v>0</v>
          </cell>
        </row>
        <row r="896">
          <cell r="A896" t="str">
            <v>D00817</v>
          </cell>
          <cell r="B896">
            <v>9.6000000000000002E-2</v>
          </cell>
          <cell r="C896" t="str">
            <v>3.24</v>
          </cell>
          <cell r="D896">
            <v>2965374</v>
          </cell>
          <cell r="E896" t="str">
            <v>아스팔트 채움</v>
          </cell>
          <cell r="F896" t="str">
            <v>(브론아스팔트)</v>
          </cell>
          <cell r="G896" t="str">
            <v>㎥</v>
          </cell>
          <cell r="I896">
            <v>0</v>
          </cell>
        </row>
        <row r="897">
          <cell r="A897" t="str">
            <v>D00593</v>
          </cell>
          <cell r="B897">
            <v>690</v>
          </cell>
          <cell r="C897" t="str">
            <v>3.25</v>
          </cell>
          <cell r="D897">
            <v>2984499</v>
          </cell>
          <cell r="E897" t="str">
            <v>낙하물방지망</v>
          </cell>
          <cell r="G897" t="str">
            <v>㎡</v>
          </cell>
          <cell r="I897">
            <v>0</v>
          </cell>
        </row>
        <row r="898">
          <cell r="A898" t="str">
            <v>D01064</v>
          </cell>
          <cell r="B898">
            <v>39</v>
          </cell>
          <cell r="C898" t="str">
            <v>3.26</v>
          </cell>
          <cell r="D898">
            <v>2994061</v>
          </cell>
          <cell r="E898" t="str">
            <v>중앙분리대</v>
          </cell>
          <cell r="G898" t="str">
            <v>M</v>
          </cell>
          <cell r="I898">
            <v>0</v>
          </cell>
        </row>
        <row r="899">
          <cell r="A899" t="str">
            <v>D00434</v>
          </cell>
          <cell r="B899">
            <v>345</v>
          </cell>
          <cell r="C899" t="str">
            <v>3.27</v>
          </cell>
          <cell r="D899">
            <v>2998842</v>
          </cell>
          <cell r="E899" t="str">
            <v>법면보호블럭</v>
          </cell>
          <cell r="F899" t="str">
            <v>(400x400x120)육교용</v>
          </cell>
          <cell r="G899" t="str">
            <v>㎡</v>
          </cell>
          <cell r="I899">
            <v>0</v>
          </cell>
        </row>
        <row r="900">
          <cell r="A900" t="str">
            <v>D00844</v>
          </cell>
          <cell r="B900">
            <v>49</v>
          </cell>
          <cell r="C900" t="str">
            <v>3.28</v>
          </cell>
          <cell r="D900">
            <v>3001233</v>
          </cell>
          <cell r="E900" t="str">
            <v>법면보호블럭</v>
          </cell>
          <cell r="F900" t="str">
            <v>(기초)</v>
          </cell>
          <cell r="G900" t="str">
            <v>M</v>
          </cell>
          <cell r="I900">
            <v>0</v>
          </cell>
        </row>
        <row r="901">
          <cell r="A901" t="str">
            <v>D03871</v>
          </cell>
          <cell r="B901">
            <v>10</v>
          </cell>
          <cell r="C901" t="str">
            <v>3.29</v>
          </cell>
          <cell r="D901">
            <v>3002428</v>
          </cell>
          <cell r="E901" t="str">
            <v>평판재하시험</v>
          </cell>
          <cell r="G901" t="str">
            <v>개소</v>
          </cell>
          <cell r="I901">
            <v>0</v>
          </cell>
        </row>
        <row r="902">
          <cell r="A902" t="str">
            <v>E3</v>
          </cell>
          <cell r="B902">
            <v>0</v>
          </cell>
          <cell r="C902" t="str">
            <v>합계</v>
          </cell>
          <cell r="D902">
            <v>3003623</v>
          </cell>
          <cell r="I902">
            <v>0</v>
          </cell>
        </row>
        <row r="903">
          <cell r="A903" t="str">
            <v>T3</v>
          </cell>
          <cell r="B903">
            <v>988</v>
          </cell>
          <cell r="C903" t="str">
            <v>3.G</v>
          </cell>
          <cell r="D903">
            <v>3003751</v>
          </cell>
          <cell r="E903" t="str">
            <v>고  암  육  교</v>
          </cell>
          <cell r="F903" t="str">
            <v>P.S.C BEAM</v>
          </cell>
          <cell r="I903">
            <v>0</v>
          </cell>
        </row>
        <row r="904">
          <cell r="A904" t="str">
            <v>T2</v>
          </cell>
          <cell r="B904">
            <v>910</v>
          </cell>
          <cell r="C904" t="str">
            <v>3.01</v>
          </cell>
          <cell r="D904">
            <v>3003879</v>
          </cell>
          <cell r="E904" t="str">
            <v>토          공</v>
          </cell>
          <cell r="I904">
            <v>0</v>
          </cell>
        </row>
        <row r="905">
          <cell r="A905" t="str">
            <v>D00022</v>
          </cell>
          <cell r="B905">
            <v>2839</v>
          </cell>
          <cell r="C905" t="str">
            <v>a</v>
          </cell>
          <cell r="D905">
            <v>3080528</v>
          </cell>
          <cell r="E905" t="str">
            <v>토  사깎기</v>
          </cell>
          <cell r="F905" t="str">
            <v>(불도쟈 32 Ton)</v>
          </cell>
          <cell r="G905" t="str">
            <v>㎥</v>
          </cell>
          <cell r="I905">
            <v>0</v>
          </cell>
        </row>
        <row r="906">
          <cell r="A906" t="str">
            <v>D00096</v>
          </cell>
          <cell r="B906">
            <v>300</v>
          </cell>
          <cell r="C906" t="str">
            <v>b</v>
          </cell>
          <cell r="D906">
            <v>3157176</v>
          </cell>
          <cell r="E906" t="str">
            <v>구조물터파기</v>
          </cell>
          <cell r="F906" t="str">
            <v>(육상토사 0∼2 M)</v>
          </cell>
          <cell r="G906" t="str">
            <v>㎥</v>
          </cell>
          <cell r="I906">
            <v>0</v>
          </cell>
        </row>
        <row r="907">
          <cell r="A907" t="str">
            <v>D00121</v>
          </cell>
          <cell r="B907">
            <v>251</v>
          </cell>
          <cell r="C907" t="str">
            <v>c</v>
          </cell>
          <cell r="D907">
            <v>3157512</v>
          </cell>
          <cell r="E907" t="str">
            <v>구조물터파기</v>
          </cell>
          <cell r="F907" t="str">
            <v>(육상풍화암 0∼1 M)</v>
          </cell>
          <cell r="G907" t="str">
            <v>㎥</v>
          </cell>
          <cell r="I907">
            <v>0</v>
          </cell>
        </row>
        <row r="908">
          <cell r="A908" t="str">
            <v>D00160</v>
          </cell>
          <cell r="B908">
            <v>2638</v>
          </cell>
          <cell r="C908" t="str">
            <v>d</v>
          </cell>
          <cell r="D908">
            <v>3157848</v>
          </cell>
          <cell r="E908" t="str">
            <v>되메우기및다짐</v>
          </cell>
          <cell r="F908" t="str">
            <v>(인력30%+백호우70%)</v>
          </cell>
          <cell r="G908" t="str">
            <v>㎥</v>
          </cell>
          <cell r="I908">
            <v>0</v>
          </cell>
        </row>
        <row r="909">
          <cell r="A909" t="str">
            <v>D00170</v>
          </cell>
          <cell r="B909">
            <v>584</v>
          </cell>
          <cell r="C909" t="str">
            <v>e</v>
          </cell>
          <cell r="D909">
            <v>3157968</v>
          </cell>
          <cell r="E909" t="str">
            <v>뒷채움잡석</v>
          </cell>
          <cell r="F909" t="str">
            <v>(현장암유용)</v>
          </cell>
          <cell r="G909" t="str">
            <v>㎥</v>
          </cell>
          <cell r="I909">
            <v>0</v>
          </cell>
        </row>
        <row r="910">
          <cell r="A910" t="str">
            <v>D01202</v>
          </cell>
          <cell r="B910">
            <v>116</v>
          </cell>
          <cell r="C910" t="str">
            <v>f</v>
          </cell>
          <cell r="D910">
            <v>3158028</v>
          </cell>
          <cell r="E910" t="str">
            <v>암면고르기</v>
          </cell>
          <cell r="F910" t="str">
            <v>(발파암)</v>
          </cell>
          <cell r="G910" t="str">
            <v>㎡</v>
          </cell>
          <cell r="I910">
            <v>0</v>
          </cell>
        </row>
        <row r="911">
          <cell r="A911" t="str">
            <v>E2</v>
          </cell>
          <cell r="B911">
            <v>0</v>
          </cell>
          <cell r="C911" t="str">
            <v>계</v>
          </cell>
          <cell r="D911">
            <v>3158088</v>
          </cell>
          <cell r="I911">
            <v>0</v>
          </cell>
        </row>
        <row r="912">
          <cell r="A912" t="str">
            <v>T2</v>
          </cell>
          <cell r="B912">
            <v>916</v>
          </cell>
          <cell r="C912" t="str">
            <v>3.02</v>
          </cell>
          <cell r="D912">
            <v>3159187</v>
          </cell>
          <cell r="E912" t="str">
            <v>거 푸 집</v>
          </cell>
          <cell r="I912">
            <v>0</v>
          </cell>
        </row>
        <row r="913">
          <cell r="A913" t="str">
            <v>D00276</v>
          </cell>
          <cell r="B913">
            <v>756</v>
          </cell>
          <cell r="C913" t="str">
            <v>a</v>
          </cell>
          <cell r="D913">
            <v>3159188</v>
          </cell>
          <cell r="E913" t="str">
            <v>합판거푸집</v>
          </cell>
          <cell r="F913" t="str">
            <v>(3 회)</v>
          </cell>
          <cell r="G913" t="str">
            <v>㎡</v>
          </cell>
          <cell r="I913">
            <v>0</v>
          </cell>
        </row>
        <row r="914">
          <cell r="A914" t="str">
            <v>D00280</v>
          </cell>
          <cell r="B914">
            <v>100</v>
          </cell>
          <cell r="C914" t="str">
            <v>b</v>
          </cell>
          <cell r="D914">
            <v>3159252</v>
          </cell>
          <cell r="E914" t="str">
            <v>합판거푸집</v>
          </cell>
          <cell r="F914" t="str">
            <v>(4 회)</v>
          </cell>
          <cell r="G914" t="str">
            <v>㎡</v>
          </cell>
          <cell r="I914">
            <v>0</v>
          </cell>
        </row>
        <row r="915">
          <cell r="A915" t="str">
            <v>D00282</v>
          </cell>
          <cell r="B915">
            <v>9</v>
          </cell>
          <cell r="C915" t="str">
            <v>c</v>
          </cell>
          <cell r="D915">
            <v>3159284</v>
          </cell>
          <cell r="E915" t="str">
            <v>합판거푸집</v>
          </cell>
          <cell r="F915" t="str">
            <v>(6 회)</v>
          </cell>
          <cell r="G915" t="str">
            <v>㎡</v>
          </cell>
          <cell r="I915">
            <v>0</v>
          </cell>
        </row>
        <row r="916">
          <cell r="A916" t="str">
            <v>D00265</v>
          </cell>
          <cell r="B916">
            <v>342</v>
          </cell>
          <cell r="C916" t="str">
            <v>d</v>
          </cell>
          <cell r="D916">
            <v>3159292</v>
          </cell>
          <cell r="E916" t="str">
            <v>문양거푸집(합판4회+</v>
          </cell>
          <cell r="F916" t="str">
            <v>문양스치로폴(0∼7M)</v>
          </cell>
          <cell r="G916" t="str">
            <v>㎡</v>
          </cell>
          <cell r="I916">
            <v>0</v>
          </cell>
        </row>
        <row r="917">
          <cell r="A917" t="str">
            <v>E2</v>
          </cell>
          <cell r="B917">
            <v>0</v>
          </cell>
          <cell r="C917" t="str">
            <v>계</v>
          </cell>
          <cell r="D917">
            <v>3159300</v>
          </cell>
          <cell r="I917">
            <v>0</v>
          </cell>
        </row>
        <row r="918">
          <cell r="A918" t="str">
            <v>D00323</v>
          </cell>
          <cell r="B918">
            <v>716</v>
          </cell>
          <cell r="C918" t="str">
            <v>3.03</v>
          </cell>
          <cell r="D918">
            <v>3159301</v>
          </cell>
          <cell r="E918" t="str">
            <v>강관비계</v>
          </cell>
          <cell r="F918" t="str">
            <v>(0∼30 M)</v>
          </cell>
          <cell r="G918" t="str">
            <v>㎡</v>
          </cell>
          <cell r="I918">
            <v>0</v>
          </cell>
        </row>
        <row r="919">
          <cell r="A919" t="str">
            <v>T2</v>
          </cell>
          <cell r="B919">
            <v>922</v>
          </cell>
          <cell r="C919" t="str">
            <v>3.04</v>
          </cell>
          <cell r="D919">
            <v>3159365</v>
          </cell>
          <cell r="E919" t="str">
            <v>동 바 리</v>
          </cell>
          <cell r="I919">
            <v>0</v>
          </cell>
        </row>
        <row r="920">
          <cell r="A920" t="str">
            <v>D00327</v>
          </cell>
          <cell r="B920">
            <v>427</v>
          </cell>
          <cell r="C920" t="str">
            <v>a</v>
          </cell>
          <cell r="D920">
            <v>3159397</v>
          </cell>
          <cell r="E920" t="str">
            <v>동바리공</v>
          </cell>
          <cell r="F920" t="str">
            <v>(목재 4 회)</v>
          </cell>
          <cell r="G920" t="str">
            <v>공㎥</v>
          </cell>
          <cell r="I920">
            <v>0</v>
          </cell>
        </row>
        <row r="921">
          <cell r="A921" t="str">
            <v>D00334</v>
          </cell>
          <cell r="B921">
            <v>144</v>
          </cell>
          <cell r="C921" t="str">
            <v>b</v>
          </cell>
          <cell r="D921">
            <v>3159421</v>
          </cell>
          <cell r="E921" t="str">
            <v>강관동바리</v>
          </cell>
          <cell r="F921" t="str">
            <v>(교량용)</v>
          </cell>
          <cell r="G921" t="str">
            <v>공㎥</v>
          </cell>
          <cell r="I921">
            <v>0</v>
          </cell>
        </row>
        <row r="922">
          <cell r="A922" t="str">
            <v>D01129</v>
          </cell>
          <cell r="B922">
            <v>35</v>
          </cell>
          <cell r="C922" t="str">
            <v>c</v>
          </cell>
          <cell r="D922">
            <v>3159425</v>
          </cell>
          <cell r="E922" t="str">
            <v>수평보강재(교량용)</v>
          </cell>
          <cell r="F922" t="str">
            <v>(강관동바리)</v>
          </cell>
          <cell r="G922" t="str">
            <v>㎡</v>
          </cell>
          <cell r="I922">
            <v>0</v>
          </cell>
        </row>
        <row r="923">
          <cell r="A923" t="str">
            <v>E2</v>
          </cell>
          <cell r="B923">
            <v>0</v>
          </cell>
          <cell r="C923" t="str">
            <v>계</v>
          </cell>
          <cell r="D923">
            <v>3159427</v>
          </cell>
          <cell r="I923">
            <v>0</v>
          </cell>
        </row>
        <row r="924">
          <cell r="A924" t="str">
            <v>T2</v>
          </cell>
          <cell r="B924">
            <v>926</v>
          </cell>
          <cell r="C924" t="str">
            <v>3.05</v>
          </cell>
          <cell r="D924">
            <v>3159549</v>
          </cell>
          <cell r="E924" t="str">
            <v>철근가공조립</v>
          </cell>
          <cell r="I924">
            <v>0</v>
          </cell>
        </row>
        <row r="925">
          <cell r="A925" t="str">
            <v>D00271</v>
          </cell>
          <cell r="B925">
            <v>7.968</v>
          </cell>
          <cell r="C925" t="str">
            <v>a</v>
          </cell>
          <cell r="D925">
            <v>3159551</v>
          </cell>
          <cell r="E925" t="str">
            <v>철근가공조립</v>
          </cell>
          <cell r="F925" t="str">
            <v>(보 통)</v>
          </cell>
          <cell r="G925" t="str">
            <v>Ton</v>
          </cell>
          <cell r="I925">
            <v>0</v>
          </cell>
        </row>
        <row r="926">
          <cell r="A926" t="str">
            <v>D00272</v>
          </cell>
          <cell r="B926">
            <v>95.73</v>
          </cell>
          <cell r="C926" t="str">
            <v>b</v>
          </cell>
          <cell r="D926">
            <v>3159553</v>
          </cell>
          <cell r="E926" t="str">
            <v>철근가공조립</v>
          </cell>
          <cell r="F926" t="str">
            <v>(복 잡)</v>
          </cell>
          <cell r="G926" t="str">
            <v>Ton</v>
          </cell>
          <cell r="I926">
            <v>0</v>
          </cell>
        </row>
        <row r="927">
          <cell r="A927" t="str">
            <v>E2</v>
          </cell>
          <cell r="B927">
            <v>0</v>
          </cell>
          <cell r="C927" t="str">
            <v>계</v>
          </cell>
          <cell r="D927">
            <v>3159556</v>
          </cell>
          <cell r="I927">
            <v>0</v>
          </cell>
        </row>
        <row r="928">
          <cell r="A928" t="str">
            <v>T2</v>
          </cell>
          <cell r="B928">
            <v>930</v>
          </cell>
          <cell r="C928" t="str">
            <v>3.06</v>
          </cell>
          <cell r="D928">
            <v>3159557</v>
          </cell>
          <cell r="E928" t="str">
            <v>콘크리트타설</v>
          </cell>
          <cell r="I928">
            <v>0</v>
          </cell>
        </row>
        <row r="929">
          <cell r="A929" t="str">
            <v>D00237</v>
          </cell>
          <cell r="B929">
            <v>709</v>
          </cell>
          <cell r="C929" t="str">
            <v>a</v>
          </cell>
          <cell r="D929">
            <v>3159621</v>
          </cell>
          <cell r="E929" t="str">
            <v>콘크리트타설</v>
          </cell>
          <cell r="F929" t="str">
            <v>(철근 펌프카)</v>
          </cell>
          <cell r="G929" t="str">
            <v>㎥</v>
          </cell>
          <cell r="I929">
            <v>0</v>
          </cell>
        </row>
        <row r="930">
          <cell r="A930" t="str">
            <v>D00231</v>
          </cell>
          <cell r="B930">
            <v>26</v>
          </cell>
          <cell r="C930" t="str">
            <v>b</v>
          </cell>
          <cell r="D930">
            <v>3159653</v>
          </cell>
          <cell r="E930" t="str">
            <v>콘크리트타설</v>
          </cell>
          <cell r="F930" t="str">
            <v>(무근 VIB 제외)</v>
          </cell>
          <cell r="G930" t="str">
            <v>㎥</v>
          </cell>
          <cell r="I930">
            <v>0</v>
          </cell>
        </row>
        <row r="931">
          <cell r="A931" t="str">
            <v>E2</v>
          </cell>
          <cell r="B931">
            <v>0</v>
          </cell>
          <cell r="C931" t="str">
            <v>계</v>
          </cell>
          <cell r="D931">
            <v>3159685</v>
          </cell>
          <cell r="I931">
            <v>0</v>
          </cell>
        </row>
        <row r="932">
          <cell r="A932" t="str">
            <v>T2</v>
          </cell>
          <cell r="B932">
            <v>934</v>
          </cell>
          <cell r="C932" t="str">
            <v>3.07</v>
          </cell>
          <cell r="D932">
            <v>3159693</v>
          </cell>
          <cell r="E932" t="str">
            <v>표 면 처 리</v>
          </cell>
          <cell r="I932">
            <v>0</v>
          </cell>
        </row>
        <row r="933">
          <cell r="A933" t="str">
            <v>D00537</v>
          </cell>
          <cell r="B933">
            <v>327</v>
          </cell>
          <cell r="C933" t="str">
            <v>a</v>
          </cell>
          <cell r="D933">
            <v>3159697</v>
          </cell>
          <cell r="E933" t="str">
            <v>슬래브양생</v>
          </cell>
          <cell r="F933" t="str">
            <v>(양생제)</v>
          </cell>
          <cell r="G933" t="str">
            <v>㎡</v>
          </cell>
          <cell r="I933">
            <v>0</v>
          </cell>
        </row>
        <row r="934">
          <cell r="A934" t="str">
            <v>D00539</v>
          </cell>
          <cell r="B934">
            <v>300</v>
          </cell>
          <cell r="C934" t="str">
            <v>b</v>
          </cell>
          <cell r="D934">
            <v>3159699</v>
          </cell>
          <cell r="E934" t="str">
            <v>슬래브면고르기</v>
          </cell>
          <cell r="F934" t="str">
            <v>(데크 피니샤)</v>
          </cell>
          <cell r="G934" t="str">
            <v>㎡</v>
          </cell>
          <cell r="I934">
            <v>0</v>
          </cell>
        </row>
        <row r="935">
          <cell r="A935" t="str">
            <v>E2</v>
          </cell>
          <cell r="B935">
            <v>0</v>
          </cell>
          <cell r="C935" t="str">
            <v>계</v>
          </cell>
          <cell r="D935">
            <v>3159700</v>
          </cell>
          <cell r="I935">
            <v>0</v>
          </cell>
        </row>
        <row r="936">
          <cell r="A936" t="str">
            <v>T2</v>
          </cell>
          <cell r="B936">
            <v>940</v>
          </cell>
          <cell r="C936" t="str">
            <v>3.08</v>
          </cell>
          <cell r="D936">
            <v>3159828</v>
          </cell>
          <cell r="E936" t="str">
            <v>교좌장치</v>
          </cell>
          <cell r="I936">
            <v>0</v>
          </cell>
        </row>
        <row r="937">
          <cell r="A937" t="str">
            <v>D00545</v>
          </cell>
          <cell r="B937">
            <v>1</v>
          </cell>
          <cell r="C937" t="str">
            <v>a</v>
          </cell>
          <cell r="D937">
            <v>3159956</v>
          </cell>
          <cell r="E937" t="str">
            <v>교좌장치</v>
          </cell>
          <cell r="F937" t="str">
            <v>(고정단 135 Ton)</v>
          </cell>
          <cell r="G937" t="str">
            <v>EA</v>
          </cell>
          <cell r="I937">
            <v>0</v>
          </cell>
        </row>
        <row r="938">
          <cell r="A938" t="str">
            <v>D00549</v>
          </cell>
          <cell r="B938">
            <v>4</v>
          </cell>
          <cell r="C938" t="str">
            <v>b</v>
          </cell>
          <cell r="D938">
            <v>3160004</v>
          </cell>
          <cell r="E938" t="str">
            <v>교좌장치</v>
          </cell>
          <cell r="F938" t="str">
            <v>(횡방향가동단135Ton)</v>
          </cell>
          <cell r="G938" t="str">
            <v>EA</v>
          </cell>
          <cell r="I938">
            <v>0</v>
          </cell>
        </row>
        <row r="939">
          <cell r="A939" t="str">
            <v>D00548</v>
          </cell>
          <cell r="B939">
            <v>1</v>
          </cell>
          <cell r="C939" t="str">
            <v>c</v>
          </cell>
          <cell r="D939">
            <v>3160028</v>
          </cell>
          <cell r="E939" t="str">
            <v>교좌장치</v>
          </cell>
          <cell r="F939" t="str">
            <v>(종방향가동단135Ton)</v>
          </cell>
          <cell r="G939" t="str">
            <v>EA</v>
          </cell>
          <cell r="I939">
            <v>0</v>
          </cell>
        </row>
        <row r="940">
          <cell r="A940" t="str">
            <v>D00547</v>
          </cell>
          <cell r="B940">
            <v>4</v>
          </cell>
          <cell r="C940" t="str">
            <v>d</v>
          </cell>
          <cell r="D940">
            <v>3160040</v>
          </cell>
          <cell r="E940" t="str">
            <v>교좌장치</v>
          </cell>
          <cell r="F940" t="str">
            <v>(양방향가동단135Ton)</v>
          </cell>
          <cell r="G940" t="str">
            <v>EA</v>
          </cell>
          <cell r="I940">
            <v>0</v>
          </cell>
        </row>
        <row r="941">
          <cell r="A941" t="str">
            <v>E2</v>
          </cell>
          <cell r="B941">
            <v>0</v>
          </cell>
          <cell r="C941" t="str">
            <v>계</v>
          </cell>
          <cell r="D941">
            <v>3160046</v>
          </cell>
          <cell r="I941">
            <v>0</v>
          </cell>
        </row>
        <row r="942">
          <cell r="A942" t="str">
            <v>T2</v>
          </cell>
          <cell r="B942">
            <v>945</v>
          </cell>
          <cell r="C942" t="str">
            <v>3.09</v>
          </cell>
          <cell r="D942">
            <v>3160360</v>
          </cell>
          <cell r="E942" t="str">
            <v>P.S.C BEAM</v>
          </cell>
          <cell r="I942">
            <v>0</v>
          </cell>
        </row>
        <row r="943">
          <cell r="A943" t="str">
            <v>D00619</v>
          </cell>
          <cell r="B943">
            <v>5</v>
          </cell>
          <cell r="C943" t="str">
            <v>a</v>
          </cell>
          <cell r="D943">
            <v>3160424</v>
          </cell>
          <cell r="E943" t="str">
            <v>P.S.C BEAM 제작</v>
          </cell>
          <cell r="F943" t="str">
            <v>(L=30 M)</v>
          </cell>
          <cell r="G943" t="str">
            <v>본</v>
          </cell>
          <cell r="I943">
            <v>0</v>
          </cell>
        </row>
        <row r="944">
          <cell r="A944" t="str">
            <v>D00606</v>
          </cell>
          <cell r="B944">
            <v>5</v>
          </cell>
          <cell r="C944" t="str">
            <v>b</v>
          </cell>
          <cell r="D944">
            <v>3160488</v>
          </cell>
          <cell r="E944" t="str">
            <v>P.S.C 빔 운반및설치</v>
          </cell>
          <cell r="F944" t="str">
            <v>(L=30 M)</v>
          </cell>
          <cell r="G944" t="str">
            <v>EA</v>
          </cell>
          <cell r="I944">
            <v>0</v>
          </cell>
        </row>
        <row r="945">
          <cell r="A945" t="str">
            <v>D01130</v>
          </cell>
          <cell r="B945">
            <v>5</v>
          </cell>
          <cell r="C945" t="str">
            <v>c</v>
          </cell>
          <cell r="D945">
            <v>3160552</v>
          </cell>
          <cell r="E945" t="str">
            <v>P.S.C빔 전도방지시설</v>
          </cell>
          <cell r="G945" t="str">
            <v>본</v>
          </cell>
          <cell r="I945">
            <v>0</v>
          </cell>
        </row>
        <row r="946">
          <cell r="A946" t="str">
            <v>E2</v>
          </cell>
          <cell r="B946">
            <v>0</v>
          </cell>
          <cell r="C946" t="str">
            <v>계</v>
          </cell>
          <cell r="D946">
            <v>3160584</v>
          </cell>
          <cell r="I946">
            <v>0</v>
          </cell>
        </row>
        <row r="947">
          <cell r="A947" t="str">
            <v>T2</v>
          </cell>
          <cell r="B947">
            <v>949</v>
          </cell>
          <cell r="C947" t="str">
            <v>3.10</v>
          </cell>
          <cell r="D947">
            <v>3160648</v>
          </cell>
          <cell r="E947" t="str">
            <v>신축이음장치</v>
          </cell>
          <cell r="I947">
            <v>0</v>
          </cell>
        </row>
        <row r="948">
          <cell r="A948" t="str">
            <v>D03819</v>
          </cell>
          <cell r="B948">
            <v>10</v>
          </cell>
          <cell r="C948" t="str">
            <v>a</v>
          </cell>
          <cell r="D948">
            <v>3160664</v>
          </cell>
          <cell r="E948" t="str">
            <v>신축이음장치</v>
          </cell>
          <cell r="F948" t="str">
            <v>(Rail-No 80)</v>
          </cell>
          <cell r="G948" t="str">
            <v>M</v>
          </cell>
          <cell r="I948">
            <v>0</v>
          </cell>
        </row>
        <row r="949">
          <cell r="A949" t="str">
            <v>D01313</v>
          </cell>
          <cell r="B949">
            <v>10</v>
          </cell>
          <cell r="C949" t="str">
            <v>b</v>
          </cell>
          <cell r="D949">
            <v>3160680</v>
          </cell>
          <cell r="E949" t="str">
            <v>신축이음장치</v>
          </cell>
          <cell r="F949" t="str">
            <v>(Rail-No100)</v>
          </cell>
          <cell r="G949" t="str">
            <v>M</v>
          </cell>
          <cell r="I949">
            <v>0</v>
          </cell>
        </row>
        <row r="950">
          <cell r="A950" t="str">
            <v>E2</v>
          </cell>
          <cell r="B950">
            <v>0</v>
          </cell>
          <cell r="C950" t="str">
            <v>계</v>
          </cell>
          <cell r="D950">
            <v>3160712</v>
          </cell>
          <cell r="I950">
            <v>0</v>
          </cell>
        </row>
        <row r="951">
          <cell r="A951" t="str">
            <v>D00535</v>
          </cell>
          <cell r="B951">
            <v>300</v>
          </cell>
          <cell r="C951" t="str">
            <v>3.11</v>
          </cell>
          <cell r="D951">
            <v>3160840</v>
          </cell>
          <cell r="E951" t="str">
            <v>교면방수</v>
          </cell>
          <cell r="F951" t="str">
            <v>(도막식)</v>
          </cell>
          <cell r="G951" t="str">
            <v>㎡</v>
          </cell>
          <cell r="I951">
            <v>0</v>
          </cell>
        </row>
        <row r="952">
          <cell r="A952" t="str">
            <v>T2</v>
          </cell>
          <cell r="B952">
            <v>956</v>
          </cell>
          <cell r="C952" t="str">
            <v>3.12</v>
          </cell>
          <cell r="D952">
            <v>3160904</v>
          </cell>
          <cell r="E952" t="str">
            <v>접속슬래브 접합공</v>
          </cell>
          <cell r="I952">
            <v>0</v>
          </cell>
        </row>
        <row r="953">
          <cell r="A953" t="str">
            <v>D01067</v>
          </cell>
          <cell r="B953">
            <v>46</v>
          </cell>
          <cell r="C953" t="str">
            <v>a</v>
          </cell>
          <cell r="D953">
            <v>3160936</v>
          </cell>
          <cell r="E953" t="str">
            <v>다웰바 설치</v>
          </cell>
          <cell r="F953" t="str">
            <v>(D=25 m/m, L=500)</v>
          </cell>
          <cell r="G953" t="str">
            <v>EA</v>
          </cell>
          <cell r="I953">
            <v>0</v>
          </cell>
        </row>
        <row r="954">
          <cell r="A954" t="str">
            <v>D01190</v>
          </cell>
          <cell r="B954">
            <v>13</v>
          </cell>
          <cell r="C954" t="str">
            <v>b</v>
          </cell>
          <cell r="D954">
            <v>3160968</v>
          </cell>
          <cell r="E954" t="str">
            <v>다웰-켑 설치</v>
          </cell>
          <cell r="F954" t="str">
            <v>(Φ60 m/m)</v>
          </cell>
          <cell r="G954" t="str">
            <v>M</v>
          </cell>
          <cell r="I954">
            <v>0</v>
          </cell>
        </row>
        <row r="955">
          <cell r="A955" t="str">
            <v>D00540</v>
          </cell>
          <cell r="B955">
            <v>46</v>
          </cell>
          <cell r="C955" t="str">
            <v>c</v>
          </cell>
          <cell r="D955">
            <v>3160970</v>
          </cell>
          <cell r="E955" t="str">
            <v>경질고무판</v>
          </cell>
          <cell r="F955" t="str">
            <v>(150x150)</v>
          </cell>
          <cell r="G955" t="str">
            <v>EA</v>
          </cell>
          <cell r="I955">
            <v>0</v>
          </cell>
        </row>
        <row r="956">
          <cell r="A956" t="str">
            <v>D00566</v>
          </cell>
          <cell r="B956">
            <v>7</v>
          </cell>
          <cell r="C956" t="str">
            <v>d</v>
          </cell>
          <cell r="D956">
            <v>3160971</v>
          </cell>
          <cell r="E956" t="str">
            <v>타르페이퍼 설치</v>
          </cell>
          <cell r="F956" t="str">
            <v>(5 겹)</v>
          </cell>
          <cell r="G956" t="str">
            <v>㎡</v>
          </cell>
          <cell r="I956">
            <v>0</v>
          </cell>
        </row>
        <row r="957">
          <cell r="A957" t="str">
            <v>E2</v>
          </cell>
          <cell r="B957">
            <v>0</v>
          </cell>
          <cell r="C957" t="str">
            <v>계</v>
          </cell>
          <cell r="D957">
            <v>3161003</v>
          </cell>
          <cell r="I957">
            <v>0</v>
          </cell>
        </row>
        <row r="958">
          <cell r="A958" t="str">
            <v>T2</v>
          </cell>
          <cell r="B958">
            <v>960</v>
          </cell>
          <cell r="C958" t="str">
            <v>3.13</v>
          </cell>
          <cell r="D958">
            <v>3161036</v>
          </cell>
          <cell r="E958" t="str">
            <v>무수축 콘크리트</v>
          </cell>
          <cell r="I958">
            <v>0</v>
          </cell>
        </row>
        <row r="959">
          <cell r="A959" t="str">
            <v>D00567</v>
          </cell>
          <cell r="B959">
            <v>0.50700000000000001</v>
          </cell>
          <cell r="C959" t="str">
            <v>a</v>
          </cell>
          <cell r="D959">
            <v>3161052</v>
          </cell>
          <cell r="E959" t="str">
            <v>무수축몰탈</v>
          </cell>
          <cell r="F959" t="str">
            <v>(1:1)</v>
          </cell>
          <cell r="G959" t="str">
            <v>㎥</v>
          </cell>
          <cell r="I959">
            <v>0</v>
          </cell>
        </row>
        <row r="960">
          <cell r="A960" t="str">
            <v>D00568</v>
          </cell>
          <cell r="B960">
            <v>3.8</v>
          </cell>
          <cell r="C960" t="str">
            <v>b</v>
          </cell>
          <cell r="D960">
            <v>3161060</v>
          </cell>
          <cell r="E960" t="str">
            <v>무수축콘크리트</v>
          </cell>
          <cell r="G960" t="str">
            <v>㎥</v>
          </cell>
          <cell r="I960">
            <v>0</v>
          </cell>
        </row>
        <row r="961">
          <cell r="A961" t="str">
            <v>E2</v>
          </cell>
          <cell r="B961">
            <v>0</v>
          </cell>
          <cell r="C961" t="str">
            <v>계</v>
          </cell>
          <cell r="D961">
            <v>3161064</v>
          </cell>
          <cell r="I961">
            <v>0</v>
          </cell>
        </row>
        <row r="962">
          <cell r="A962" t="str">
            <v>T2</v>
          </cell>
          <cell r="B962">
            <v>964</v>
          </cell>
          <cell r="C962" t="str">
            <v>3.14</v>
          </cell>
          <cell r="D962">
            <v>3161066</v>
          </cell>
          <cell r="E962" t="str">
            <v>스치로폴 설치</v>
          </cell>
          <cell r="I962">
            <v>0</v>
          </cell>
        </row>
        <row r="963">
          <cell r="A963" t="str">
            <v>D00853</v>
          </cell>
          <cell r="B963">
            <v>3</v>
          </cell>
          <cell r="C963" t="str">
            <v>a</v>
          </cell>
          <cell r="D963">
            <v>3161324</v>
          </cell>
          <cell r="E963" t="str">
            <v>스치로폴설치</v>
          </cell>
          <cell r="F963" t="str">
            <v>(T=10 m/m)</v>
          </cell>
          <cell r="G963" t="str">
            <v>㎡</v>
          </cell>
          <cell r="I963">
            <v>0</v>
          </cell>
        </row>
        <row r="964">
          <cell r="A964" t="str">
            <v>D00532</v>
          </cell>
          <cell r="B964">
            <v>17</v>
          </cell>
          <cell r="C964" t="str">
            <v>b</v>
          </cell>
          <cell r="D964">
            <v>3161452</v>
          </cell>
          <cell r="E964" t="str">
            <v>스치로폴설치</v>
          </cell>
          <cell r="F964" t="str">
            <v>(T=20 m/m)</v>
          </cell>
          <cell r="G964" t="str">
            <v>㎡</v>
          </cell>
          <cell r="I964">
            <v>0</v>
          </cell>
        </row>
        <row r="965">
          <cell r="A965" t="str">
            <v>E2</v>
          </cell>
          <cell r="B965">
            <v>0</v>
          </cell>
          <cell r="C965" t="str">
            <v>계</v>
          </cell>
          <cell r="D965">
            <v>3161453</v>
          </cell>
          <cell r="I965">
            <v>0</v>
          </cell>
        </row>
        <row r="966">
          <cell r="A966" t="str">
            <v>T2</v>
          </cell>
          <cell r="B966">
            <v>970</v>
          </cell>
          <cell r="C966" t="str">
            <v>3.15</v>
          </cell>
          <cell r="D966">
            <v>3161580</v>
          </cell>
          <cell r="E966" t="str">
            <v>배수시설</v>
          </cell>
          <cell r="I966">
            <v>0</v>
          </cell>
        </row>
        <row r="967">
          <cell r="A967" t="str">
            <v>D00572</v>
          </cell>
          <cell r="B967">
            <v>4</v>
          </cell>
          <cell r="C967" t="str">
            <v>a</v>
          </cell>
          <cell r="D967">
            <v>3161581</v>
          </cell>
          <cell r="E967" t="str">
            <v>집 수 구</v>
          </cell>
          <cell r="G967" t="str">
            <v>EA</v>
          </cell>
          <cell r="I967">
            <v>0</v>
          </cell>
        </row>
        <row r="968">
          <cell r="A968" t="str">
            <v>D00573</v>
          </cell>
          <cell r="B968">
            <v>21</v>
          </cell>
          <cell r="C968" t="str">
            <v>b</v>
          </cell>
          <cell r="D968">
            <v>3161582</v>
          </cell>
          <cell r="E968" t="str">
            <v>배 수 구</v>
          </cell>
          <cell r="F968" t="str">
            <v>(스테인레스관)</v>
          </cell>
          <cell r="G968" t="str">
            <v>M</v>
          </cell>
          <cell r="I968">
            <v>0</v>
          </cell>
        </row>
        <row r="969">
          <cell r="A969" t="str">
            <v>D00574</v>
          </cell>
          <cell r="B969">
            <v>14</v>
          </cell>
          <cell r="C969" t="str">
            <v>c</v>
          </cell>
          <cell r="D969">
            <v>3161646</v>
          </cell>
          <cell r="E969" t="str">
            <v>부착시설(A)</v>
          </cell>
          <cell r="G969" t="str">
            <v>EA</v>
          </cell>
          <cell r="I969">
            <v>0</v>
          </cell>
        </row>
        <row r="970">
          <cell r="A970" t="str">
            <v>D00577</v>
          </cell>
          <cell r="B970">
            <v>16</v>
          </cell>
          <cell r="C970" t="str">
            <v>d</v>
          </cell>
          <cell r="D970">
            <v>3161678</v>
          </cell>
          <cell r="E970" t="str">
            <v>도 수 로</v>
          </cell>
          <cell r="G970" t="str">
            <v>M</v>
          </cell>
          <cell r="I970">
            <v>0</v>
          </cell>
        </row>
        <row r="971">
          <cell r="A971" t="str">
            <v>E2</v>
          </cell>
          <cell r="B971">
            <v>0</v>
          </cell>
          <cell r="C971" t="str">
            <v>계</v>
          </cell>
          <cell r="D971">
            <v>3161694</v>
          </cell>
          <cell r="I971">
            <v>0</v>
          </cell>
        </row>
        <row r="972">
          <cell r="A972" t="str">
            <v>T2</v>
          </cell>
          <cell r="B972">
            <v>974</v>
          </cell>
          <cell r="C972" t="str">
            <v>3.16</v>
          </cell>
          <cell r="D972">
            <v>3161710</v>
          </cell>
          <cell r="E972" t="str">
            <v>스페이서설치</v>
          </cell>
          <cell r="I972">
            <v>0</v>
          </cell>
        </row>
        <row r="973">
          <cell r="A973" t="str">
            <v>D00588</v>
          </cell>
          <cell r="B973">
            <v>586</v>
          </cell>
          <cell r="C973" t="str">
            <v>a</v>
          </cell>
          <cell r="D973">
            <v>3161726</v>
          </cell>
          <cell r="E973" t="str">
            <v>스페이서 설치</v>
          </cell>
          <cell r="F973" t="str">
            <v>(슬라브및기초용)</v>
          </cell>
          <cell r="G973" t="str">
            <v>㎡</v>
          </cell>
          <cell r="I973">
            <v>0</v>
          </cell>
        </row>
        <row r="974">
          <cell r="A974" t="str">
            <v>D01070</v>
          </cell>
          <cell r="B974">
            <v>117</v>
          </cell>
          <cell r="C974" t="str">
            <v>b</v>
          </cell>
          <cell r="D974">
            <v>3161734</v>
          </cell>
          <cell r="E974" t="str">
            <v>스페이서 설치</v>
          </cell>
          <cell r="F974" t="str">
            <v>(벽체용)</v>
          </cell>
          <cell r="G974" t="str">
            <v>㎡</v>
          </cell>
          <cell r="I974">
            <v>0</v>
          </cell>
        </row>
        <row r="975">
          <cell r="A975" t="str">
            <v>E2</v>
          </cell>
          <cell r="B975">
            <v>0</v>
          </cell>
          <cell r="C975" t="str">
            <v>계</v>
          </cell>
          <cell r="D975">
            <v>3161738</v>
          </cell>
          <cell r="I975">
            <v>0</v>
          </cell>
        </row>
        <row r="976">
          <cell r="A976" t="str">
            <v>T2</v>
          </cell>
          <cell r="B976">
            <v>979</v>
          </cell>
          <cell r="C976" t="str">
            <v>3.17</v>
          </cell>
          <cell r="D976">
            <v>3161756</v>
          </cell>
          <cell r="E976" t="str">
            <v>교명판 설명판</v>
          </cell>
          <cell r="I976">
            <v>0</v>
          </cell>
        </row>
        <row r="977">
          <cell r="A977" t="str">
            <v>D00581</v>
          </cell>
          <cell r="B977">
            <v>4</v>
          </cell>
          <cell r="C977" t="str">
            <v>a</v>
          </cell>
          <cell r="D977">
            <v>3161757</v>
          </cell>
          <cell r="E977" t="str">
            <v>교 명 주</v>
          </cell>
          <cell r="F977" t="str">
            <v>(소형,화강석)</v>
          </cell>
          <cell r="G977" t="str">
            <v>기</v>
          </cell>
          <cell r="I977">
            <v>0</v>
          </cell>
        </row>
        <row r="978">
          <cell r="A978" t="str">
            <v>D00583</v>
          </cell>
          <cell r="B978">
            <v>2</v>
          </cell>
          <cell r="C978" t="str">
            <v>b</v>
          </cell>
          <cell r="D978">
            <v>3161758</v>
          </cell>
          <cell r="E978" t="str">
            <v>교 명 판(황동주물)</v>
          </cell>
          <cell r="F978" t="str">
            <v>(450x200x10)</v>
          </cell>
          <cell r="G978" t="str">
            <v>EA</v>
          </cell>
          <cell r="I978">
            <v>0</v>
          </cell>
        </row>
        <row r="979">
          <cell r="A979" t="str">
            <v>D00584</v>
          </cell>
          <cell r="B979">
            <v>2</v>
          </cell>
          <cell r="C979" t="str">
            <v>c</v>
          </cell>
          <cell r="D979">
            <v>3161822</v>
          </cell>
          <cell r="E979" t="str">
            <v>설 명 판(황동주물)</v>
          </cell>
          <cell r="F979" t="str">
            <v>(500x300x10)</v>
          </cell>
          <cell r="G979" t="str">
            <v>EA</v>
          </cell>
          <cell r="I979">
            <v>0</v>
          </cell>
        </row>
        <row r="980">
          <cell r="A980" t="str">
            <v>E2</v>
          </cell>
          <cell r="B980">
            <v>0</v>
          </cell>
          <cell r="C980" t="str">
            <v>계</v>
          </cell>
          <cell r="D980">
            <v>3161854</v>
          </cell>
          <cell r="I980">
            <v>0</v>
          </cell>
        </row>
        <row r="981">
          <cell r="A981" t="str">
            <v>D00594</v>
          </cell>
          <cell r="B981">
            <v>1</v>
          </cell>
          <cell r="C981" t="str">
            <v>3.18</v>
          </cell>
          <cell r="D981">
            <v>3161862</v>
          </cell>
          <cell r="E981" t="str">
            <v>측량기준점 설치</v>
          </cell>
          <cell r="F981" t="str">
            <v>(황동주물)</v>
          </cell>
          <cell r="G981" t="str">
            <v>EA</v>
          </cell>
          <cell r="I981">
            <v>0</v>
          </cell>
        </row>
        <row r="982">
          <cell r="A982" t="str">
            <v>D01224</v>
          </cell>
          <cell r="B982">
            <v>21</v>
          </cell>
          <cell r="C982" t="str">
            <v>3.19</v>
          </cell>
          <cell r="D982">
            <v>3162062</v>
          </cell>
          <cell r="E982" t="str">
            <v>폴리우레탄실란트채움</v>
          </cell>
          <cell r="F982" t="str">
            <v>(25x10)</v>
          </cell>
          <cell r="G982" t="str">
            <v>M</v>
          </cell>
          <cell r="I982">
            <v>0</v>
          </cell>
        </row>
        <row r="983">
          <cell r="A983" t="str">
            <v>D01308</v>
          </cell>
          <cell r="B983">
            <v>134</v>
          </cell>
          <cell r="C983" t="str">
            <v>3.20</v>
          </cell>
          <cell r="D983">
            <v>3162504</v>
          </cell>
          <cell r="E983" t="str">
            <v>강섬유보강재</v>
          </cell>
          <cell r="F983" t="str">
            <v>(900 g/㎥)</v>
          </cell>
          <cell r="G983" t="str">
            <v>㎥</v>
          </cell>
          <cell r="I983">
            <v>0</v>
          </cell>
        </row>
        <row r="984">
          <cell r="A984" t="str">
            <v>D01309</v>
          </cell>
          <cell r="B984">
            <v>20</v>
          </cell>
          <cell r="C984" t="str">
            <v>3.21</v>
          </cell>
          <cell r="D984">
            <v>3163000</v>
          </cell>
          <cell r="E984" t="str">
            <v>모래주머니</v>
          </cell>
          <cell r="G984" t="str">
            <v>EA</v>
          </cell>
          <cell r="I984">
            <v>0</v>
          </cell>
        </row>
        <row r="985">
          <cell r="A985" t="str">
            <v>D00911</v>
          </cell>
          <cell r="B985">
            <v>88</v>
          </cell>
          <cell r="C985" t="str">
            <v>3.22</v>
          </cell>
          <cell r="D985">
            <v>3315997</v>
          </cell>
          <cell r="E985" t="str">
            <v>방 호 벽</v>
          </cell>
          <cell r="F985" t="str">
            <v>(육교용)</v>
          </cell>
          <cell r="G985" t="str">
            <v>M</v>
          </cell>
          <cell r="I985">
            <v>0</v>
          </cell>
        </row>
        <row r="986">
          <cell r="A986" t="str">
            <v>D00791</v>
          </cell>
          <cell r="B986">
            <v>10</v>
          </cell>
          <cell r="C986" t="str">
            <v>3.23</v>
          </cell>
          <cell r="D986">
            <v>3392495</v>
          </cell>
          <cell r="E986" t="str">
            <v>교좌장치표지판</v>
          </cell>
          <cell r="G986" t="str">
            <v>EA</v>
          </cell>
          <cell r="I986">
            <v>0</v>
          </cell>
        </row>
        <row r="987">
          <cell r="A987" t="str">
            <v>D00817</v>
          </cell>
          <cell r="B987">
            <v>4.5999999999999999E-2</v>
          </cell>
          <cell r="C987" t="str">
            <v>3.24</v>
          </cell>
          <cell r="D987">
            <v>3430744</v>
          </cell>
          <cell r="E987" t="str">
            <v>아스팔트 채움</v>
          </cell>
          <cell r="F987" t="str">
            <v>(브론아스팔트)</v>
          </cell>
          <cell r="G987" t="str">
            <v>㎥</v>
          </cell>
          <cell r="I987">
            <v>0</v>
          </cell>
        </row>
        <row r="988">
          <cell r="A988" t="str">
            <v>D03871</v>
          </cell>
          <cell r="B988">
            <v>6</v>
          </cell>
          <cell r="C988" t="str">
            <v>3.25</v>
          </cell>
          <cell r="D988">
            <v>3613199</v>
          </cell>
          <cell r="E988" t="str">
            <v>평판재하시험</v>
          </cell>
          <cell r="G988" t="str">
            <v>개소</v>
          </cell>
          <cell r="I988">
            <v>0</v>
          </cell>
        </row>
        <row r="989">
          <cell r="A989" t="str">
            <v>E3</v>
          </cell>
          <cell r="B989">
            <v>0</v>
          </cell>
          <cell r="C989" t="str">
            <v>합계</v>
          </cell>
          <cell r="D989">
            <v>3795653</v>
          </cell>
          <cell r="I989">
            <v>0</v>
          </cell>
        </row>
        <row r="990">
          <cell r="A990" t="str">
            <v>T3</v>
          </cell>
          <cell r="B990">
            <v>1092</v>
          </cell>
          <cell r="C990" t="str">
            <v>3.H</v>
          </cell>
          <cell r="D990">
            <v>3960306</v>
          </cell>
          <cell r="E990" t="str">
            <v>고    암    교</v>
          </cell>
          <cell r="F990" t="str">
            <v>PRE-FLEX BEAM</v>
          </cell>
          <cell r="I990">
            <v>0</v>
          </cell>
        </row>
        <row r="991">
          <cell r="A991" t="str">
            <v>T2</v>
          </cell>
          <cell r="B991">
            <v>995</v>
          </cell>
          <cell r="C991" t="str">
            <v>3.01</v>
          </cell>
          <cell r="D991">
            <v>3960434</v>
          </cell>
          <cell r="E991" t="str">
            <v>토          공</v>
          </cell>
          <cell r="I991">
            <v>0</v>
          </cell>
        </row>
        <row r="992">
          <cell r="A992" t="str">
            <v>D00096</v>
          </cell>
          <cell r="B992">
            <v>2953</v>
          </cell>
          <cell r="C992" t="str">
            <v>a</v>
          </cell>
          <cell r="D992">
            <v>4113731</v>
          </cell>
          <cell r="E992" t="str">
            <v>구조물터파기</v>
          </cell>
          <cell r="F992" t="str">
            <v>(육상토사 0∼2 M)</v>
          </cell>
          <cell r="G992" t="str">
            <v>㎥</v>
          </cell>
          <cell r="I992">
            <v>0</v>
          </cell>
        </row>
        <row r="993">
          <cell r="A993" t="str">
            <v>D00038</v>
          </cell>
          <cell r="B993">
            <v>2953</v>
          </cell>
          <cell r="C993" t="str">
            <v>b</v>
          </cell>
          <cell r="D993">
            <v>4114067</v>
          </cell>
          <cell r="E993" t="str">
            <v>토사치환</v>
          </cell>
          <cell r="F993" t="str">
            <v>노상다짐</v>
          </cell>
          <cell r="G993" t="str">
            <v>㎥</v>
          </cell>
          <cell r="I993">
            <v>0</v>
          </cell>
        </row>
        <row r="994">
          <cell r="A994" t="str">
            <v>D00170</v>
          </cell>
          <cell r="B994">
            <v>1033</v>
          </cell>
          <cell r="C994" t="str">
            <v>c</v>
          </cell>
          <cell r="D994">
            <v>4114523</v>
          </cell>
          <cell r="E994" t="str">
            <v>뒷채움잡석</v>
          </cell>
          <cell r="F994" t="str">
            <v>(현장암유용)</v>
          </cell>
          <cell r="G994" t="str">
            <v>㎥</v>
          </cell>
          <cell r="I994">
            <v>0</v>
          </cell>
        </row>
        <row r="995">
          <cell r="A995" t="str">
            <v>D00150</v>
          </cell>
          <cell r="B995">
            <v>3002</v>
          </cell>
          <cell r="C995" t="str">
            <v>d</v>
          </cell>
          <cell r="D995">
            <v>4114583</v>
          </cell>
          <cell r="E995" t="str">
            <v>교대앞성토</v>
          </cell>
          <cell r="G995" t="str">
            <v>㎥</v>
          </cell>
          <cell r="I995">
            <v>0</v>
          </cell>
        </row>
        <row r="996">
          <cell r="A996" t="str">
            <v>E2</v>
          </cell>
          <cell r="B996">
            <v>0</v>
          </cell>
          <cell r="C996" t="str">
            <v>계</v>
          </cell>
          <cell r="D996">
            <v>4114643</v>
          </cell>
          <cell r="I996">
            <v>0</v>
          </cell>
        </row>
        <row r="997">
          <cell r="A997" t="str">
            <v>T2</v>
          </cell>
          <cell r="B997">
            <v>1002</v>
          </cell>
          <cell r="C997" t="str">
            <v>3.02</v>
          </cell>
          <cell r="D997">
            <v>4114771</v>
          </cell>
          <cell r="E997" t="str">
            <v>강관파일공</v>
          </cell>
          <cell r="I997">
            <v>0</v>
          </cell>
        </row>
        <row r="998">
          <cell r="A998" t="str">
            <v>D00504</v>
          </cell>
          <cell r="B998">
            <v>1376</v>
          </cell>
          <cell r="C998" t="str">
            <v>a</v>
          </cell>
          <cell r="D998">
            <v>4114829</v>
          </cell>
          <cell r="E998" t="str">
            <v>강관파일구입</v>
          </cell>
          <cell r="F998" t="str">
            <v>(Φ508.0m/mx9t)</v>
          </cell>
          <cell r="G998" t="str">
            <v>M</v>
          </cell>
          <cell r="I998">
            <v>0</v>
          </cell>
        </row>
        <row r="999">
          <cell r="A999" t="str">
            <v>D00512</v>
          </cell>
          <cell r="B999">
            <v>1344</v>
          </cell>
          <cell r="C999" t="str">
            <v>b</v>
          </cell>
          <cell r="D999">
            <v>4114858</v>
          </cell>
          <cell r="E999" t="str">
            <v>강관파일항타(직항)</v>
          </cell>
          <cell r="F999" t="str">
            <v>Φ508(15 m 이하)</v>
          </cell>
          <cell r="G999" t="str">
            <v>M</v>
          </cell>
          <cell r="I999">
            <v>0</v>
          </cell>
        </row>
        <row r="1000">
          <cell r="A1000" t="str">
            <v>D03838</v>
          </cell>
          <cell r="B1000">
            <v>24</v>
          </cell>
          <cell r="C1000" t="str">
            <v>c</v>
          </cell>
          <cell r="D1000">
            <v>4114864</v>
          </cell>
          <cell r="E1000" t="str">
            <v>파일속모래채움</v>
          </cell>
          <cell r="G1000" t="str">
            <v>㎥</v>
          </cell>
          <cell r="I1000">
            <v>0</v>
          </cell>
        </row>
        <row r="1001">
          <cell r="A1001" t="str">
            <v>D00502</v>
          </cell>
          <cell r="B1001">
            <v>24</v>
          </cell>
          <cell r="C1001" t="str">
            <v>d</v>
          </cell>
          <cell r="D1001">
            <v>4114867</v>
          </cell>
          <cell r="E1001" t="str">
            <v>속채움 콘크리트</v>
          </cell>
          <cell r="G1001" t="str">
            <v>㎥</v>
          </cell>
          <cell r="I1001">
            <v>0</v>
          </cell>
        </row>
        <row r="1002">
          <cell r="A1002" t="str">
            <v>D00517</v>
          </cell>
          <cell r="B1002">
            <v>128</v>
          </cell>
          <cell r="C1002" t="str">
            <v>e</v>
          </cell>
          <cell r="D1002">
            <v>4114869</v>
          </cell>
          <cell r="E1002" t="str">
            <v>두부및선단보강</v>
          </cell>
          <cell r="F1002" t="str">
            <v>(Φ508.8 m/m)</v>
          </cell>
          <cell r="G1002" t="str">
            <v>EA</v>
          </cell>
          <cell r="I1002">
            <v>0</v>
          </cell>
        </row>
        <row r="1003">
          <cell r="A1003" t="str">
            <v>E2</v>
          </cell>
          <cell r="B1003">
            <v>0</v>
          </cell>
          <cell r="C1003" t="str">
            <v>계</v>
          </cell>
          <cell r="D1003">
            <v>4114886</v>
          </cell>
          <cell r="I1003">
            <v>0</v>
          </cell>
        </row>
        <row r="1004">
          <cell r="A1004" t="str">
            <v>T2</v>
          </cell>
          <cell r="B1004">
            <v>1008</v>
          </cell>
          <cell r="C1004" t="str">
            <v>3.03</v>
          </cell>
          <cell r="D1004">
            <v>4115857</v>
          </cell>
          <cell r="E1004" t="str">
            <v>거 푸 집</v>
          </cell>
          <cell r="I1004">
            <v>0</v>
          </cell>
        </row>
        <row r="1005">
          <cell r="A1005" t="str">
            <v>D00276</v>
          </cell>
          <cell r="B1005">
            <v>2018</v>
          </cell>
          <cell r="C1005" t="str">
            <v>a</v>
          </cell>
          <cell r="D1005">
            <v>4115858</v>
          </cell>
          <cell r="E1005" t="str">
            <v>합판거푸집</v>
          </cell>
          <cell r="F1005" t="str">
            <v>(3 회)</v>
          </cell>
          <cell r="G1005" t="str">
            <v>㎡</v>
          </cell>
          <cell r="I1005">
            <v>0</v>
          </cell>
        </row>
        <row r="1006">
          <cell r="A1006" t="str">
            <v>D00280</v>
          </cell>
          <cell r="B1006">
            <v>194</v>
          </cell>
          <cell r="C1006" t="str">
            <v>b</v>
          </cell>
          <cell r="D1006">
            <v>4115954</v>
          </cell>
          <cell r="E1006" t="str">
            <v>합판거푸집</v>
          </cell>
          <cell r="F1006" t="str">
            <v>(4 회)</v>
          </cell>
          <cell r="G1006" t="str">
            <v>㎡</v>
          </cell>
          <cell r="I1006">
            <v>0</v>
          </cell>
        </row>
        <row r="1007">
          <cell r="A1007" t="str">
            <v>D00282</v>
          </cell>
          <cell r="B1007">
            <v>18</v>
          </cell>
          <cell r="C1007" t="str">
            <v>c</v>
          </cell>
          <cell r="D1007">
            <v>4115958</v>
          </cell>
          <cell r="E1007" t="str">
            <v>합판거푸집</v>
          </cell>
          <cell r="F1007" t="str">
            <v>(6 회)</v>
          </cell>
          <cell r="G1007" t="str">
            <v>㎡</v>
          </cell>
          <cell r="I1007">
            <v>0</v>
          </cell>
        </row>
        <row r="1008">
          <cell r="A1008" t="str">
            <v>D00265</v>
          </cell>
          <cell r="B1008">
            <v>373</v>
          </cell>
          <cell r="C1008" t="str">
            <v>d</v>
          </cell>
          <cell r="D1008">
            <v>4115962</v>
          </cell>
          <cell r="E1008" t="str">
            <v>문양거푸집(합판4회+</v>
          </cell>
          <cell r="F1008" t="str">
            <v>문양스치로폴(0∼7M)</v>
          </cell>
          <cell r="G1008" t="str">
            <v>㎡</v>
          </cell>
          <cell r="I1008">
            <v>0</v>
          </cell>
        </row>
        <row r="1009">
          <cell r="A1009" t="str">
            <v>E2</v>
          </cell>
          <cell r="B1009">
            <v>0</v>
          </cell>
          <cell r="C1009" t="str">
            <v>계</v>
          </cell>
          <cell r="D1009">
            <v>4116098</v>
          </cell>
          <cell r="I1009">
            <v>0</v>
          </cell>
        </row>
        <row r="1010">
          <cell r="A1010" t="str">
            <v>D00323</v>
          </cell>
          <cell r="B1010">
            <v>970</v>
          </cell>
          <cell r="C1010" t="str">
            <v>3.04</v>
          </cell>
          <cell r="D1010">
            <v>4116099</v>
          </cell>
          <cell r="E1010" t="str">
            <v>강관비계</v>
          </cell>
          <cell r="F1010" t="str">
            <v>(0∼30 M)</v>
          </cell>
          <cell r="G1010" t="str">
            <v>㎡</v>
          </cell>
          <cell r="I1010">
            <v>0</v>
          </cell>
        </row>
        <row r="1011">
          <cell r="A1011" t="str">
            <v>T2</v>
          </cell>
          <cell r="B1011">
            <v>1014</v>
          </cell>
          <cell r="C1011" t="str">
            <v>3.05</v>
          </cell>
          <cell r="D1011">
            <v>4116163</v>
          </cell>
          <cell r="E1011" t="str">
            <v>동 바 리</v>
          </cell>
          <cell r="I1011">
            <v>0</v>
          </cell>
        </row>
        <row r="1012">
          <cell r="A1012" t="str">
            <v>D00327</v>
          </cell>
          <cell r="B1012">
            <v>702</v>
          </cell>
          <cell r="C1012" t="str">
            <v>a</v>
          </cell>
          <cell r="D1012">
            <v>4116195</v>
          </cell>
          <cell r="E1012" t="str">
            <v>동바리공</v>
          </cell>
          <cell r="F1012" t="str">
            <v>(목재 4 회)</v>
          </cell>
          <cell r="G1012" t="str">
            <v>공㎥</v>
          </cell>
          <cell r="I1012">
            <v>0</v>
          </cell>
        </row>
        <row r="1013">
          <cell r="A1013" t="str">
            <v>D00334</v>
          </cell>
          <cell r="B1013">
            <v>201</v>
          </cell>
          <cell r="C1013" t="str">
            <v>b</v>
          </cell>
          <cell r="D1013">
            <v>4116219</v>
          </cell>
          <cell r="E1013" t="str">
            <v>강관동바리</v>
          </cell>
          <cell r="F1013" t="str">
            <v>(교량용)</v>
          </cell>
          <cell r="G1013" t="str">
            <v>공㎥</v>
          </cell>
          <cell r="I1013">
            <v>0</v>
          </cell>
        </row>
        <row r="1014">
          <cell r="A1014" t="str">
            <v>D01129</v>
          </cell>
          <cell r="B1014">
            <v>54</v>
          </cell>
          <cell r="C1014" t="str">
            <v>c</v>
          </cell>
          <cell r="D1014">
            <v>4116223</v>
          </cell>
          <cell r="E1014" t="str">
            <v>수평보강재(교량용)</v>
          </cell>
          <cell r="F1014" t="str">
            <v>(강관동바리)</v>
          </cell>
          <cell r="G1014" t="str">
            <v>㎡</v>
          </cell>
          <cell r="I1014">
            <v>0</v>
          </cell>
        </row>
        <row r="1015">
          <cell r="A1015" t="str">
            <v>E2</v>
          </cell>
          <cell r="B1015">
            <v>0</v>
          </cell>
          <cell r="C1015" t="str">
            <v>계</v>
          </cell>
          <cell r="D1015">
            <v>4116225</v>
          </cell>
          <cell r="I1015">
            <v>0</v>
          </cell>
        </row>
        <row r="1016">
          <cell r="A1016" t="str">
            <v>T2</v>
          </cell>
          <cell r="B1016">
            <v>1018</v>
          </cell>
          <cell r="C1016" t="str">
            <v>3.06</v>
          </cell>
          <cell r="D1016">
            <v>4116347</v>
          </cell>
          <cell r="E1016" t="str">
            <v>철근가공조립</v>
          </cell>
          <cell r="I1016">
            <v>0</v>
          </cell>
        </row>
        <row r="1017">
          <cell r="A1017" t="str">
            <v>D00271</v>
          </cell>
          <cell r="B1017">
            <v>16.827999999999999</v>
          </cell>
          <cell r="C1017" t="str">
            <v>a</v>
          </cell>
          <cell r="D1017">
            <v>4116349</v>
          </cell>
          <cell r="E1017" t="str">
            <v>철근가공조립</v>
          </cell>
          <cell r="F1017" t="str">
            <v>(보 통)</v>
          </cell>
          <cell r="G1017" t="str">
            <v>Ton</v>
          </cell>
          <cell r="I1017">
            <v>0</v>
          </cell>
        </row>
        <row r="1018">
          <cell r="A1018" t="str">
            <v>D00272</v>
          </cell>
          <cell r="B1018">
            <v>171.11600000000001</v>
          </cell>
          <cell r="C1018" t="str">
            <v>b</v>
          </cell>
          <cell r="D1018">
            <v>4116351</v>
          </cell>
          <cell r="E1018" t="str">
            <v>철근가공조립</v>
          </cell>
          <cell r="F1018" t="str">
            <v>(복 잡)</v>
          </cell>
          <cell r="G1018" t="str">
            <v>Ton</v>
          </cell>
          <cell r="I1018">
            <v>0</v>
          </cell>
        </row>
        <row r="1019">
          <cell r="A1019" t="str">
            <v>E2</v>
          </cell>
          <cell r="B1019">
            <v>0</v>
          </cell>
          <cell r="C1019" t="str">
            <v>계</v>
          </cell>
          <cell r="D1019">
            <v>4116354</v>
          </cell>
          <cell r="I1019">
            <v>0</v>
          </cell>
        </row>
        <row r="1020">
          <cell r="A1020" t="str">
            <v>T2</v>
          </cell>
          <cell r="B1020">
            <v>1022</v>
          </cell>
          <cell r="C1020" t="str">
            <v>3.07</v>
          </cell>
          <cell r="D1020">
            <v>4116355</v>
          </cell>
          <cell r="E1020" t="str">
            <v>콘크리트타설</v>
          </cell>
          <cell r="I1020">
            <v>0</v>
          </cell>
        </row>
        <row r="1021">
          <cell r="A1021" t="str">
            <v>D00237</v>
          </cell>
          <cell r="B1021">
            <v>1311</v>
          </cell>
          <cell r="C1021" t="str">
            <v>a</v>
          </cell>
          <cell r="D1021">
            <v>4116419</v>
          </cell>
          <cell r="E1021" t="str">
            <v>콘크리트타설</v>
          </cell>
          <cell r="F1021" t="str">
            <v>(철근 펌프카)</v>
          </cell>
          <cell r="G1021" t="str">
            <v>㎥</v>
          </cell>
          <cell r="I1021">
            <v>0</v>
          </cell>
        </row>
        <row r="1022">
          <cell r="A1022" t="str">
            <v>D00231</v>
          </cell>
          <cell r="B1022">
            <v>50</v>
          </cell>
          <cell r="C1022" t="str">
            <v>b</v>
          </cell>
          <cell r="D1022">
            <v>4116451</v>
          </cell>
          <cell r="E1022" t="str">
            <v>콘크리트타설</v>
          </cell>
          <cell r="F1022" t="str">
            <v>(무근 VIB 제외)</v>
          </cell>
          <cell r="G1022" t="str">
            <v>㎥</v>
          </cell>
          <cell r="I1022">
            <v>0</v>
          </cell>
        </row>
        <row r="1023">
          <cell r="A1023" t="str">
            <v>E2</v>
          </cell>
          <cell r="B1023">
            <v>0</v>
          </cell>
          <cell r="C1023" t="str">
            <v>계</v>
          </cell>
          <cell r="D1023">
            <v>4116483</v>
          </cell>
          <cell r="I1023">
            <v>0</v>
          </cell>
        </row>
        <row r="1024">
          <cell r="A1024" t="str">
            <v>T2</v>
          </cell>
          <cell r="B1024">
            <v>1026</v>
          </cell>
          <cell r="C1024" t="str">
            <v>3.08</v>
          </cell>
          <cell r="D1024">
            <v>4116491</v>
          </cell>
          <cell r="E1024" t="str">
            <v>표 면 처 리</v>
          </cell>
          <cell r="I1024">
            <v>0</v>
          </cell>
        </row>
        <row r="1025">
          <cell r="A1025" t="str">
            <v>D00537</v>
          </cell>
          <cell r="B1025">
            <v>837</v>
          </cell>
          <cell r="C1025" t="str">
            <v>a</v>
          </cell>
          <cell r="D1025">
            <v>4116495</v>
          </cell>
          <cell r="E1025" t="str">
            <v>슬래브양생</v>
          </cell>
          <cell r="F1025" t="str">
            <v>(양생제)</v>
          </cell>
          <cell r="G1025" t="str">
            <v>㎡</v>
          </cell>
          <cell r="I1025">
            <v>0</v>
          </cell>
        </row>
        <row r="1026">
          <cell r="A1026" t="str">
            <v>D00539</v>
          </cell>
          <cell r="B1026">
            <v>758</v>
          </cell>
          <cell r="C1026" t="str">
            <v>b</v>
          </cell>
          <cell r="D1026">
            <v>4116497</v>
          </cell>
          <cell r="E1026" t="str">
            <v>슬래브면고르기</v>
          </cell>
          <cell r="F1026" t="str">
            <v>(데크 피니샤)</v>
          </cell>
          <cell r="G1026" t="str">
            <v>㎡</v>
          </cell>
          <cell r="I1026">
            <v>0</v>
          </cell>
        </row>
        <row r="1027">
          <cell r="A1027" t="str">
            <v>E2</v>
          </cell>
          <cell r="B1027">
            <v>0</v>
          </cell>
          <cell r="C1027" t="str">
            <v>계</v>
          </cell>
          <cell r="D1027">
            <v>4116498</v>
          </cell>
          <cell r="I1027">
            <v>0</v>
          </cell>
        </row>
        <row r="1028">
          <cell r="A1028" t="str">
            <v>T2</v>
          </cell>
          <cell r="B1028">
            <v>1032</v>
          </cell>
          <cell r="C1028" t="str">
            <v>3.09</v>
          </cell>
          <cell r="D1028">
            <v>4116626</v>
          </cell>
          <cell r="E1028" t="str">
            <v>교좌장치</v>
          </cell>
          <cell r="I1028">
            <v>0</v>
          </cell>
        </row>
        <row r="1029">
          <cell r="A1029" t="str">
            <v>D00544</v>
          </cell>
          <cell r="B1029">
            <v>2</v>
          </cell>
          <cell r="C1029" t="str">
            <v>a</v>
          </cell>
          <cell r="D1029">
            <v>4116722</v>
          </cell>
          <cell r="E1029" t="str">
            <v>교좌장치</v>
          </cell>
          <cell r="F1029" t="str">
            <v>(고정단 175 Ton)</v>
          </cell>
          <cell r="G1029" t="str">
            <v>EA</v>
          </cell>
          <cell r="I1029">
            <v>0</v>
          </cell>
        </row>
        <row r="1030">
          <cell r="A1030" t="str">
            <v>D00542</v>
          </cell>
          <cell r="B1030">
            <v>6</v>
          </cell>
          <cell r="C1030" t="str">
            <v>b</v>
          </cell>
          <cell r="D1030">
            <v>4116770</v>
          </cell>
          <cell r="E1030" t="str">
            <v>교좌장치</v>
          </cell>
          <cell r="F1030" t="str">
            <v>(횡방향가동단175Ton)</v>
          </cell>
          <cell r="G1030" t="str">
            <v>EA</v>
          </cell>
          <cell r="I1030">
            <v>0</v>
          </cell>
        </row>
        <row r="1031">
          <cell r="A1031" t="str">
            <v>D00546</v>
          </cell>
          <cell r="B1031">
            <v>2</v>
          </cell>
          <cell r="C1031" t="str">
            <v>c</v>
          </cell>
          <cell r="D1031">
            <v>4116809</v>
          </cell>
          <cell r="E1031" t="str">
            <v>교좌장치</v>
          </cell>
          <cell r="F1031" t="str">
            <v>(종방향가동단175Ton)</v>
          </cell>
          <cell r="G1031" t="str">
            <v>EA</v>
          </cell>
          <cell r="I1031">
            <v>0</v>
          </cell>
        </row>
        <row r="1032">
          <cell r="A1032" t="str">
            <v>D00550</v>
          </cell>
          <cell r="B1032">
            <v>6</v>
          </cell>
          <cell r="C1032" t="str">
            <v>d</v>
          </cell>
          <cell r="D1032">
            <v>4116811</v>
          </cell>
          <cell r="E1032" t="str">
            <v>교좌장치</v>
          </cell>
          <cell r="F1032" t="str">
            <v>(양방향가동단175Ton)</v>
          </cell>
          <cell r="G1032" t="str">
            <v>EA</v>
          </cell>
          <cell r="I1032">
            <v>0</v>
          </cell>
        </row>
        <row r="1033">
          <cell r="A1033" t="str">
            <v>E2</v>
          </cell>
          <cell r="B1033">
            <v>0</v>
          </cell>
          <cell r="C1033" t="str">
            <v>계</v>
          </cell>
          <cell r="D1033">
            <v>4116812</v>
          </cell>
          <cell r="I1033">
            <v>0</v>
          </cell>
        </row>
        <row r="1034">
          <cell r="A1034" t="str">
            <v>T2</v>
          </cell>
          <cell r="B1034">
            <v>1037</v>
          </cell>
          <cell r="C1034" t="str">
            <v>3.10</v>
          </cell>
          <cell r="D1034">
            <v>4116940</v>
          </cell>
          <cell r="E1034" t="str">
            <v>PRE-FLEX BEAM</v>
          </cell>
          <cell r="I1034">
            <v>0</v>
          </cell>
        </row>
        <row r="1035">
          <cell r="A1035" t="str">
            <v>W00087</v>
          </cell>
          <cell r="B1035">
            <v>4</v>
          </cell>
          <cell r="C1035" t="str">
            <v>a</v>
          </cell>
          <cell r="D1035">
            <v>4117004</v>
          </cell>
          <cell r="E1035" t="str">
            <v>PRE-FLEX BEAM</v>
          </cell>
          <cell r="F1035" t="str">
            <v>고암교(내측)</v>
          </cell>
          <cell r="G1035" t="str">
            <v>본</v>
          </cell>
          <cell r="I1035">
            <v>0</v>
          </cell>
        </row>
        <row r="1036">
          <cell r="A1036" t="str">
            <v>W00086</v>
          </cell>
          <cell r="B1036">
            <v>4</v>
          </cell>
          <cell r="C1036" t="str">
            <v>b</v>
          </cell>
          <cell r="D1036">
            <v>4117036</v>
          </cell>
          <cell r="E1036" t="str">
            <v>PRE-FLEX BEAM</v>
          </cell>
          <cell r="F1036" t="str">
            <v>고암교(외측)</v>
          </cell>
          <cell r="G1036" t="str">
            <v>본</v>
          </cell>
          <cell r="I1036">
            <v>0</v>
          </cell>
        </row>
        <row r="1037">
          <cell r="A1037" t="str">
            <v>D00627</v>
          </cell>
          <cell r="B1037">
            <v>1</v>
          </cell>
          <cell r="C1037" t="str">
            <v>c</v>
          </cell>
          <cell r="D1037">
            <v>4117068</v>
          </cell>
          <cell r="E1037" t="str">
            <v>PRE-FLEX BEAM</v>
          </cell>
          <cell r="F1037" t="str">
            <v>(전도방지시설)</v>
          </cell>
          <cell r="G1037" t="str">
            <v>식</v>
          </cell>
          <cell r="I1037">
            <v>0</v>
          </cell>
        </row>
        <row r="1038">
          <cell r="A1038" t="str">
            <v>E2</v>
          </cell>
          <cell r="B1038">
            <v>0</v>
          </cell>
          <cell r="C1038" t="str">
            <v>계</v>
          </cell>
          <cell r="D1038">
            <v>4117164</v>
          </cell>
          <cell r="I1038">
            <v>0</v>
          </cell>
        </row>
        <row r="1039">
          <cell r="A1039" t="str">
            <v>T2</v>
          </cell>
          <cell r="B1039">
            <v>1041</v>
          </cell>
          <cell r="C1039" t="str">
            <v>3.11</v>
          </cell>
          <cell r="D1039">
            <v>4117292</v>
          </cell>
          <cell r="E1039" t="str">
            <v>신축이음장치</v>
          </cell>
          <cell r="I1039">
            <v>0</v>
          </cell>
        </row>
        <row r="1040">
          <cell r="A1040" t="str">
            <v>D03819</v>
          </cell>
          <cell r="B1040">
            <v>19</v>
          </cell>
          <cell r="C1040" t="str">
            <v>a</v>
          </cell>
          <cell r="D1040">
            <v>4117308</v>
          </cell>
          <cell r="E1040" t="str">
            <v>신축이음장치</v>
          </cell>
          <cell r="F1040" t="str">
            <v>(Rail-No 80)</v>
          </cell>
          <cell r="G1040" t="str">
            <v>M</v>
          </cell>
          <cell r="I1040">
            <v>0</v>
          </cell>
        </row>
        <row r="1041">
          <cell r="A1041" t="str">
            <v>D01313</v>
          </cell>
          <cell r="B1041">
            <v>19</v>
          </cell>
          <cell r="C1041" t="str">
            <v>b</v>
          </cell>
          <cell r="D1041">
            <v>4117324</v>
          </cell>
          <cell r="E1041" t="str">
            <v>신축이음장치</v>
          </cell>
          <cell r="F1041" t="str">
            <v>(Rail-No100)</v>
          </cell>
          <cell r="G1041" t="str">
            <v>M</v>
          </cell>
          <cell r="I1041">
            <v>0</v>
          </cell>
        </row>
        <row r="1042">
          <cell r="A1042" t="str">
            <v>E2</v>
          </cell>
          <cell r="B1042">
            <v>0</v>
          </cell>
          <cell r="C1042" t="str">
            <v>계</v>
          </cell>
          <cell r="D1042">
            <v>4117356</v>
          </cell>
          <cell r="I1042">
            <v>0</v>
          </cell>
        </row>
        <row r="1043">
          <cell r="A1043" t="str">
            <v>D00535</v>
          </cell>
          <cell r="B1043">
            <v>758</v>
          </cell>
          <cell r="C1043" t="str">
            <v>3.12</v>
          </cell>
          <cell r="D1043">
            <v>4117612</v>
          </cell>
          <cell r="E1043" t="str">
            <v>교면방수</v>
          </cell>
          <cell r="F1043" t="str">
            <v>(도막식)</v>
          </cell>
          <cell r="G1043" t="str">
            <v>㎡</v>
          </cell>
          <cell r="I1043">
            <v>0</v>
          </cell>
        </row>
        <row r="1044">
          <cell r="A1044" t="str">
            <v>T2</v>
          </cell>
          <cell r="B1044">
            <v>1048</v>
          </cell>
          <cell r="C1044" t="str">
            <v>3.13</v>
          </cell>
          <cell r="D1044">
            <v>4117676</v>
          </cell>
          <cell r="E1044" t="str">
            <v>접속슬래브 접합공</v>
          </cell>
          <cell r="I1044">
            <v>0</v>
          </cell>
        </row>
        <row r="1045">
          <cell r="A1045" t="str">
            <v>D01067</v>
          </cell>
          <cell r="B1045">
            <v>96</v>
          </cell>
          <cell r="C1045" t="str">
            <v>a</v>
          </cell>
          <cell r="D1045">
            <v>4117708</v>
          </cell>
          <cell r="E1045" t="str">
            <v>다웰바 설치</v>
          </cell>
          <cell r="F1045" t="str">
            <v>(D=25 m/m, L=500)</v>
          </cell>
          <cell r="G1045" t="str">
            <v>EA</v>
          </cell>
          <cell r="I1045">
            <v>0</v>
          </cell>
        </row>
        <row r="1046">
          <cell r="A1046" t="str">
            <v>D01190</v>
          </cell>
          <cell r="B1046">
            <v>28</v>
          </cell>
          <cell r="C1046" t="str">
            <v>b</v>
          </cell>
          <cell r="D1046">
            <v>4117740</v>
          </cell>
          <cell r="E1046" t="str">
            <v>다웰-켑 설치</v>
          </cell>
          <cell r="F1046" t="str">
            <v>(Φ60 m/m)</v>
          </cell>
          <cell r="G1046" t="str">
            <v>M</v>
          </cell>
          <cell r="I1046">
            <v>0</v>
          </cell>
        </row>
        <row r="1047">
          <cell r="A1047" t="str">
            <v>D00540</v>
          </cell>
          <cell r="B1047">
            <v>96</v>
          </cell>
          <cell r="C1047" t="str">
            <v>c</v>
          </cell>
          <cell r="D1047">
            <v>4117742</v>
          </cell>
          <cell r="E1047" t="str">
            <v>경질고무판</v>
          </cell>
          <cell r="F1047" t="str">
            <v>(150x150)</v>
          </cell>
          <cell r="G1047" t="str">
            <v>EA</v>
          </cell>
          <cell r="I1047">
            <v>0</v>
          </cell>
        </row>
        <row r="1048">
          <cell r="A1048" t="str">
            <v>D00566</v>
          </cell>
          <cell r="B1048">
            <v>15</v>
          </cell>
          <cell r="C1048" t="str">
            <v>d</v>
          </cell>
          <cell r="D1048">
            <v>4117743</v>
          </cell>
          <cell r="E1048" t="str">
            <v>타르페이퍼 설치</v>
          </cell>
          <cell r="F1048" t="str">
            <v>(5 겹)</v>
          </cell>
          <cell r="G1048" t="str">
            <v>㎡</v>
          </cell>
          <cell r="I1048">
            <v>0</v>
          </cell>
        </row>
        <row r="1049">
          <cell r="A1049" t="str">
            <v>E2</v>
          </cell>
          <cell r="B1049">
            <v>0</v>
          </cell>
          <cell r="C1049" t="str">
            <v>계</v>
          </cell>
          <cell r="D1049">
            <v>4117775</v>
          </cell>
          <cell r="I1049">
            <v>0</v>
          </cell>
        </row>
        <row r="1050">
          <cell r="A1050" t="str">
            <v>T2</v>
          </cell>
          <cell r="B1050">
            <v>1052</v>
          </cell>
          <cell r="C1050" t="str">
            <v>3.14</v>
          </cell>
          <cell r="D1050">
            <v>4117808</v>
          </cell>
          <cell r="E1050" t="str">
            <v>무수축 콘크리트</v>
          </cell>
          <cell r="I1050">
            <v>0</v>
          </cell>
        </row>
        <row r="1051">
          <cell r="A1051" t="str">
            <v>D00567</v>
          </cell>
          <cell r="B1051">
            <v>0.94799999999999995</v>
          </cell>
          <cell r="C1051" t="str">
            <v>a</v>
          </cell>
          <cell r="D1051">
            <v>4117824</v>
          </cell>
          <cell r="E1051" t="str">
            <v>무수축몰탈</v>
          </cell>
          <cell r="F1051" t="str">
            <v>(1:1)</v>
          </cell>
          <cell r="G1051" t="str">
            <v>㎥</v>
          </cell>
          <cell r="I1051">
            <v>0</v>
          </cell>
        </row>
        <row r="1052">
          <cell r="A1052" t="str">
            <v>D00568</v>
          </cell>
          <cell r="B1052">
            <v>7.22</v>
          </cell>
          <cell r="C1052" t="str">
            <v>b</v>
          </cell>
          <cell r="D1052">
            <v>4117832</v>
          </cell>
          <cell r="E1052" t="str">
            <v>무수축콘크리트</v>
          </cell>
          <cell r="G1052" t="str">
            <v>㎥</v>
          </cell>
          <cell r="I1052">
            <v>0</v>
          </cell>
        </row>
        <row r="1053">
          <cell r="A1053" t="str">
            <v>E2</v>
          </cell>
          <cell r="B1053">
            <v>0</v>
          </cell>
          <cell r="C1053" t="str">
            <v>계</v>
          </cell>
          <cell r="D1053">
            <v>4117836</v>
          </cell>
          <cell r="I1053">
            <v>0</v>
          </cell>
        </row>
        <row r="1054">
          <cell r="A1054" t="str">
            <v>T2</v>
          </cell>
          <cell r="B1054">
            <v>1056</v>
          </cell>
          <cell r="C1054" t="str">
            <v>3.15</v>
          </cell>
          <cell r="D1054">
            <v>4117964</v>
          </cell>
          <cell r="E1054" t="str">
            <v>스치로폴 설치</v>
          </cell>
          <cell r="I1054">
            <v>0</v>
          </cell>
        </row>
        <row r="1055">
          <cell r="A1055" t="str">
            <v>D00853</v>
          </cell>
          <cell r="B1055">
            <v>3</v>
          </cell>
          <cell r="C1055" t="str">
            <v>a</v>
          </cell>
          <cell r="D1055">
            <v>4118222</v>
          </cell>
          <cell r="E1055" t="str">
            <v>스치로폴설치</v>
          </cell>
          <cell r="F1055" t="str">
            <v>(T=10 m/m)</v>
          </cell>
          <cell r="G1055" t="str">
            <v>㎡</v>
          </cell>
          <cell r="I1055">
            <v>0</v>
          </cell>
        </row>
        <row r="1056">
          <cell r="A1056" t="str">
            <v>D00532</v>
          </cell>
          <cell r="B1056">
            <v>45</v>
          </cell>
          <cell r="C1056" t="str">
            <v>b</v>
          </cell>
          <cell r="D1056">
            <v>4118350</v>
          </cell>
          <cell r="E1056" t="str">
            <v>스치로폴설치</v>
          </cell>
          <cell r="F1056" t="str">
            <v>(T=20 m/m)</v>
          </cell>
          <cell r="G1056" t="str">
            <v>㎡</v>
          </cell>
          <cell r="I1056">
            <v>0</v>
          </cell>
        </row>
        <row r="1057">
          <cell r="A1057" t="str">
            <v>E2</v>
          </cell>
          <cell r="B1057">
            <v>0</v>
          </cell>
          <cell r="C1057" t="str">
            <v>계</v>
          </cell>
          <cell r="D1057">
            <v>4118351</v>
          </cell>
          <cell r="I1057">
            <v>0</v>
          </cell>
        </row>
        <row r="1058">
          <cell r="A1058" t="str">
            <v>T2</v>
          </cell>
          <cell r="B1058">
            <v>1064</v>
          </cell>
          <cell r="C1058" t="str">
            <v>3.16</v>
          </cell>
          <cell r="D1058">
            <v>4118867</v>
          </cell>
          <cell r="E1058" t="str">
            <v>배수시설</v>
          </cell>
          <cell r="I1058">
            <v>0</v>
          </cell>
        </row>
        <row r="1059">
          <cell r="A1059" t="str">
            <v>D00572</v>
          </cell>
          <cell r="B1059">
            <v>6</v>
          </cell>
          <cell r="C1059" t="str">
            <v>a</v>
          </cell>
          <cell r="D1059">
            <v>4118868</v>
          </cell>
          <cell r="E1059" t="str">
            <v>집 수 구</v>
          </cell>
          <cell r="G1059" t="str">
            <v>EA</v>
          </cell>
          <cell r="I1059">
            <v>0</v>
          </cell>
        </row>
        <row r="1060">
          <cell r="A1060" t="str">
            <v>D00573</v>
          </cell>
          <cell r="B1060">
            <v>54</v>
          </cell>
          <cell r="C1060" t="str">
            <v>b</v>
          </cell>
          <cell r="D1060">
            <v>4118869</v>
          </cell>
          <cell r="E1060" t="str">
            <v>배 수 구</v>
          </cell>
          <cell r="F1060" t="str">
            <v>(스테인레스관)</v>
          </cell>
          <cell r="G1060" t="str">
            <v>M</v>
          </cell>
          <cell r="I1060">
            <v>0</v>
          </cell>
        </row>
        <row r="1061">
          <cell r="A1061" t="str">
            <v>D00574</v>
          </cell>
          <cell r="B1061">
            <v>12</v>
          </cell>
          <cell r="C1061" t="str">
            <v>c</v>
          </cell>
          <cell r="D1061">
            <v>4118933</v>
          </cell>
          <cell r="E1061" t="str">
            <v>부착시설(A)</v>
          </cell>
          <cell r="G1061" t="str">
            <v>EA</v>
          </cell>
          <cell r="I1061">
            <v>0</v>
          </cell>
        </row>
        <row r="1062">
          <cell r="A1062" t="str">
            <v>D03868</v>
          </cell>
          <cell r="B1062">
            <v>14</v>
          </cell>
          <cell r="C1062" t="str">
            <v>d</v>
          </cell>
          <cell r="D1062">
            <v>4118949</v>
          </cell>
          <cell r="E1062" t="str">
            <v>부착시설(D)</v>
          </cell>
          <cell r="G1062" t="str">
            <v>EA</v>
          </cell>
          <cell r="I1062">
            <v>0</v>
          </cell>
        </row>
        <row r="1063">
          <cell r="A1063" t="str">
            <v>D00577</v>
          </cell>
          <cell r="B1063">
            <v>26</v>
          </cell>
          <cell r="C1063" t="str">
            <v>e</v>
          </cell>
          <cell r="D1063">
            <v>4118965</v>
          </cell>
          <cell r="E1063" t="str">
            <v>도 수 로</v>
          </cell>
          <cell r="G1063" t="str">
            <v>M</v>
          </cell>
          <cell r="I1063">
            <v>0</v>
          </cell>
        </row>
        <row r="1064">
          <cell r="A1064" t="str">
            <v>D03937</v>
          </cell>
          <cell r="B1064">
            <v>2</v>
          </cell>
          <cell r="C1064" t="str">
            <v>f</v>
          </cell>
          <cell r="D1064">
            <v>4118973</v>
          </cell>
          <cell r="E1064" t="str">
            <v>접속 T형관</v>
          </cell>
          <cell r="G1064" t="str">
            <v>EA</v>
          </cell>
          <cell r="I1064">
            <v>0</v>
          </cell>
        </row>
        <row r="1065">
          <cell r="A1065" t="str">
            <v>E2</v>
          </cell>
          <cell r="B1065">
            <v>0</v>
          </cell>
          <cell r="C1065" t="str">
            <v>계</v>
          </cell>
          <cell r="D1065">
            <v>4118981</v>
          </cell>
          <cell r="I1065">
            <v>0</v>
          </cell>
        </row>
        <row r="1066">
          <cell r="A1066" t="str">
            <v>T2</v>
          </cell>
          <cell r="B1066">
            <v>1068</v>
          </cell>
          <cell r="C1066" t="str">
            <v>3.17</v>
          </cell>
          <cell r="D1066">
            <v>4118997</v>
          </cell>
          <cell r="E1066" t="str">
            <v>스페이서설치</v>
          </cell>
          <cell r="I1066">
            <v>0</v>
          </cell>
        </row>
        <row r="1067">
          <cell r="A1067" t="str">
            <v>D00588</v>
          </cell>
          <cell r="B1067">
            <v>1330</v>
          </cell>
          <cell r="C1067" t="str">
            <v>a</v>
          </cell>
          <cell r="D1067">
            <v>4119013</v>
          </cell>
          <cell r="E1067" t="str">
            <v>스페이서 설치</v>
          </cell>
          <cell r="F1067" t="str">
            <v>(슬라브및기초용)</v>
          </cell>
          <cell r="G1067" t="str">
            <v>㎡</v>
          </cell>
          <cell r="I1067">
            <v>0</v>
          </cell>
        </row>
        <row r="1068">
          <cell r="A1068" t="str">
            <v>D01070</v>
          </cell>
          <cell r="B1068">
            <v>247</v>
          </cell>
          <cell r="C1068" t="str">
            <v>b</v>
          </cell>
          <cell r="D1068">
            <v>4119021</v>
          </cell>
          <cell r="E1068" t="str">
            <v>스페이서 설치</v>
          </cell>
          <cell r="F1068" t="str">
            <v>(벽체용)</v>
          </cell>
          <cell r="G1068" t="str">
            <v>㎡</v>
          </cell>
          <cell r="I1068">
            <v>0</v>
          </cell>
        </row>
        <row r="1069">
          <cell r="A1069" t="str">
            <v>E2</v>
          </cell>
          <cell r="B1069">
            <v>0</v>
          </cell>
          <cell r="C1069" t="str">
            <v>계</v>
          </cell>
          <cell r="D1069">
            <v>4119025</v>
          </cell>
          <cell r="I1069">
            <v>0</v>
          </cell>
        </row>
        <row r="1070">
          <cell r="A1070" t="str">
            <v>T2</v>
          </cell>
          <cell r="B1070">
            <v>1073</v>
          </cell>
          <cell r="C1070" t="str">
            <v>3.18</v>
          </cell>
          <cell r="D1070">
            <v>4119043</v>
          </cell>
          <cell r="E1070" t="str">
            <v>교명판 설명판</v>
          </cell>
          <cell r="I1070">
            <v>0</v>
          </cell>
        </row>
        <row r="1071">
          <cell r="A1071" t="str">
            <v>D00581</v>
          </cell>
          <cell r="B1071">
            <v>4</v>
          </cell>
          <cell r="C1071" t="str">
            <v>a</v>
          </cell>
          <cell r="D1071">
            <v>4119044</v>
          </cell>
          <cell r="E1071" t="str">
            <v>교 명 주</v>
          </cell>
          <cell r="F1071" t="str">
            <v>(소형,화강석)</v>
          </cell>
          <cell r="G1071" t="str">
            <v>기</v>
          </cell>
          <cell r="I1071">
            <v>0</v>
          </cell>
        </row>
        <row r="1072">
          <cell r="A1072" t="str">
            <v>D00583</v>
          </cell>
          <cell r="B1072">
            <v>2</v>
          </cell>
          <cell r="C1072" t="str">
            <v>b</v>
          </cell>
          <cell r="D1072">
            <v>4119045</v>
          </cell>
          <cell r="E1072" t="str">
            <v>교 명 판(황동주물)</v>
          </cell>
          <cell r="F1072" t="str">
            <v>(450x200x10)</v>
          </cell>
          <cell r="G1072" t="str">
            <v>EA</v>
          </cell>
          <cell r="I1072">
            <v>0</v>
          </cell>
        </row>
        <row r="1073">
          <cell r="A1073" t="str">
            <v>D00584</v>
          </cell>
          <cell r="B1073">
            <v>2</v>
          </cell>
          <cell r="C1073" t="str">
            <v>c</v>
          </cell>
          <cell r="D1073">
            <v>4119109</v>
          </cell>
          <cell r="E1073" t="str">
            <v>설 명 판(황동주물)</v>
          </cell>
          <cell r="F1073" t="str">
            <v>(500x300x10)</v>
          </cell>
          <cell r="G1073" t="str">
            <v>EA</v>
          </cell>
          <cell r="I1073">
            <v>0</v>
          </cell>
        </row>
        <row r="1074">
          <cell r="A1074" t="str">
            <v>E2</v>
          </cell>
          <cell r="B1074">
            <v>0</v>
          </cell>
          <cell r="C1074" t="str">
            <v>계</v>
          </cell>
          <cell r="D1074">
            <v>4119141</v>
          </cell>
          <cell r="I1074">
            <v>0</v>
          </cell>
        </row>
        <row r="1075">
          <cell r="A1075" t="str">
            <v>D00594</v>
          </cell>
          <cell r="B1075">
            <v>1</v>
          </cell>
          <cell r="C1075" t="str">
            <v>3.19</v>
          </cell>
          <cell r="D1075">
            <v>4119149</v>
          </cell>
          <cell r="E1075" t="str">
            <v>측량기준점 설치</v>
          </cell>
          <cell r="F1075" t="str">
            <v>(황동주물)</v>
          </cell>
          <cell r="G1075" t="str">
            <v>EA</v>
          </cell>
          <cell r="I1075">
            <v>0</v>
          </cell>
        </row>
        <row r="1076">
          <cell r="A1076" t="str">
            <v>T2</v>
          </cell>
          <cell r="B1076">
            <v>1078</v>
          </cell>
          <cell r="C1076" t="str">
            <v>3.20</v>
          </cell>
          <cell r="D1076">
            <v>4119277</v>
          </cell>
          <cell r="E1076" t="str">
            <v>충 진 재</v>
          </cell>
          <cell r="I1076">
            <v>0</v>
          </cell>
        </row>
        <row r="1077">
          <cell r="A1077" t="str">
            <v>D00846</v>
          </cell>
          <cell r="B1077">
            <v>39</v>
          </cell>
          <cell r="C1077" t="str">
            <v>a</v>
          </cell>
          <cell r="D1077">
            <v>4119345</v>
          </cell>
          <cell r="E1077" t="str">
            <v>폴리우레탄실란트채움</v>
          </cell>
          <cell r="F1077" t="str">
            <v>(25x20)</v>
          </cell>
          <cell r="G1077" t="str">
            <v>M</v>
          </cell>
          <cell r="I1077">
            <v>0</v>
          </cell>
        </row>
        <row r="1078">
          <cell r="A1078" t="str">
            <v>D01224</v>
          </cell>
          <cell r="B1078">
            <v>26</v>
          </cell>
          <cell r="C1078" t="str">
            <v>b</v>
          </cell>
          <cell r="D1078">
            <v>4119349</v>
          </cell>
          <cell r="E1078" t="str">
            <v>폴리우레탄실란트채움</v>
          </cell>
          <cell r="F1078" t="str">
            <v>(25x10)</v>
          </cell>
          <cell r="G1078" t="str">
            <v>M</v>
          </cell>
          <cell r="I1078">
            <v>0</v>
          </cell>
        </row>
        <row r="1079">
          <cell r="A1079" t="str">
            <v>E2</v>
          </cell>
          <cell r="B1079">
            <v>0</v>
          </cell>
          <cell r="C1079" t="str">
            <v>계</v>
          </cell>
          <cell r="D1079">
            <v>4119351</v>
          </cell>
          <cell r="I1079">
            <v>0</v>
          </cell>
        </row>
        <row r="1080">
          <cell r="A1080" t="str">
            <v>D01308</v>
          </cell>
          <cell r="B1080">
            <v>423</v>
          </cell>
          <cell r="C1080" t="str">
            <v>3.21</v>
          </cell>
          <cell r="D1080">
            <v>4119791</v>
          </cell>
          <cell r="E1080" t="str">
            <v>강섬유보강재</v>
          </cell>
          <cell r="F1080" t="str">
            <v>(900 g/㎥)</v>
          </cell>
          <cell r="G1080" t="str">
            <v>㎥</v>
          </cell>
          <cell r="I1080">
            <v>0</v>
          </cell>
        </row>
        <row r="1081">
          <cell r="A1081" t="str">
            <v>D03817</v>
          </cell>
          <cell r="B1081">
            <v>38</v>
          </cell>
          <cell r="C1081" t="str">
            <v>3.22</v>
          </cell>
          <cell r="D1081">
            <v>4120287</v>
          </cell>
          <cell r="E1081" t="str">
            <v>ELASTIC FILLER</v>
          </cell>
          <cell r="F1081" t="str">
            <v>(T=20 m/m)</v>
          </cell>
          <cell r="G1081" t="str">
            <v>㎡</v>
          </cell>
          <cell r="I1081">
            <v>0</v>
          </cell>
        </row>
        <row r="1082">
          <cell r="A1082" t="str">
            <v>D00911</v>
          </cell>
          <cell r="B1082">
            <v>100</v>
          </cell>
          <cell r="C1082" t="str">
            <v>3.23</v>
          </cell>
          <cell r="D1082">
            <v>4273284</v>
          </cell>
          <cell r="E1082" t="str">
            <v>방 호 벽</v>
          </cell>
          <cell r="F1082" t="str">
            <v>(육교용)</v>
          </cell>
          <cell r="G1082" t="str">
            <v>M</v>
          </cell>
          <cell r="I1082">
            <v>0</v>
          </cell>
        </row>
        <row r="1083">
          <cell r="A1083" t="str">
            <v>D00791</v>
          </cell>
          <cell r="B1083">
            <v>16</v>
          </cell>
          <cell r="C1083" t="str">
            <v>3.24</v>
          </cell>
          <cell r="D1083">
            <v>4349782</v>
          </cell>
          <cell r="E1083" t="str">
            <v>교좌장치표지판</v>
          </cell>
          <cell r="G1083" t="str">
            <v>EA</v>
          </cell>
          <cell r="I1083">
            <v>0</v>
          </cell>
        </row>
        <row r="1084">
          <cell r="A1084" t="str">
            <v>D00817</v>
          </cell>
          <cell r="B1084">
            <v>9.6000000000000002E-2</v>
          </cell>
          <cell r="C1084" t="str">
            <v>3.25</v>
          </cell>
          <cell r="D1084">
            <v>4388031</v>
          </cell>
          <cell r="E1084" t="str">
            <v>아스팔트 채움</v>
          </cell>
          <cell r="F1084" t="str">
            <v>(브론아스팔트)</v>
          </cell>
          <cell r="G1084" t="str">
            <v>㎥</v>
          </cell>
          <cell r="I1084">
            <v>0</v>
          </cell>
        </row>
        <row r="1085">
          <cell r="A1085" t="str">
            <v>D00593</v>
          </cell>
          <cell r="B1085">
            <v>494</v>
          </cell>
          <cell r="C1085" t="str">
            <v>3.26</v>
          </cell>
          <cell r="D1085">
            <v>4407156</v>
          </cell>
          <cell r="E1085" t="str">
            <v>낙하물방지망</v>
          </cell>
          <cell r="G1085" t="str">
            <v>㎡</v>
          </cell>
          <cell r="I1085">
            <v>0</v>
          </cell>
        </row>
        <row r="1086">
          <cell r="A1086" t="str">
            <v>D01064</v>
          </cell>
          <cell r="B1086">
            <v>39</v>
          </cell>
          <cell r="C1086" t="str">
            <v>3.27</v>
          </cell>
          <cell r="D1086">
            <v>4416718</v>
          </cell>
          <cell r="E1086" t="str">
            <v>중앙분리대</v>
          </cell>
          <cell r="G1086" t="str">
            <v>M</v>
          </cell>
          <cell r="I1086">
            <v>0</v>
          </cell>
        </row>
        <row r="1087">
          <cell r="A1087" t="str">
            <v>D00434</v>
          </cell>
          <cell r="B1087">
            <v>329</v>
          </cell>
          <cell r="C1087" t="str">
            <v>3.28</v>
          </cell>
          <cell r="D1087">
            <v>4421499</v>
          </cell>
          <cell r="E1087" t="str">
            <v>법면보호블럭</v>
          </cell>
          <cell r="F1087" t="str">
            <v>(400x400x120)육교용</v>
          </cell>
          <cell r="G1087" t="str">
            <v>㎡</v>
          </cell>
          <cell r="I1087">
            <v>0</v>
          </cell>
        </row>
        <row r="1088">
          <cell r="A1088" t="str">
            <v>D00844</v>
          </cell>
          <cell r="B1088">
            <v>49</v>
          </cell>
          <cell r="C1088" t="str">
            <v>3.29</v>
          </cell>
          <cell r="D1088">
            <v>4423890</v>
          </cell>
          <cell r="E1088" t="str">
            <v>법면보호블럭</v>
          </cell>
          <cell r="F1088" t="str">
            <v>(기초)</v>
          </cell>
          <cell r="G1088" t="str">
            <v>M</v>
          </cell>
          <cell r="I1088">
            <v>0</v>
          </cell>
        </row>
        <row r="1089">
          <cell r="A1089" t="str">
            <v>T2</v>
          </cell>
          <cell r="B1089">
            <v>1091</v>
          </cell>
          <cell r="C1089" t="str">
            <v>3.30</v>
          </cell>
          <cell r="D1089">
            <v>4425085</v>
          </cell>
          <cell r="E1089" t="str">
            <v>파일재하시험</v>
          </cell>
          <cell r="I1089">
            <v>0</v>
          </cell>
        </row>
        <row r="1090">
          <cell r="A1090" t="str">
            <v>D03869</v>
          </cell>
          <cell r="B1090">
            <v>1</v>
          </cell>
          <cell r="C1090" t="str">
            <v>a</v>
          </cell>
          <cell r="D1090">
            <v>4425683</v>
          </cell>
          <cell r="E1090" t="str">
            <v>파일재하시험</v>
          </cell>
          <cell r="F1090" t="str">
            <v>(정재하시험)</v>
          </cell>
          <cell r="G1090" t="str">
            <v>개소</v>
          </cell>
          <cell r="I1090">
            <v>0</v>
          </cell>
        </row>
        <row r="1091">
          <cell r="A1091" t="str">
            <v>D03870</v>
          </cell>
          <cell r="B1091">
            <v>3</v>
          </cell>
          <cell r="C1091" t="str">
            <v>b</v>
          </cell>
          <cell r="D1091">
            <v>4425982</v>
          </cell>
          <cell r="E1091" t="str">
            <v>파일재하시험</v>
          </cell>
          <cell r="F1091" t="str">
            <v>(동재하시험)</v>
          </cell>
          <cell r="G1091" t="str">
            <v>개소</v>
          </cell>
          <cell r="I1091">
            <v>0</v>
          </cell>
        </row>
        <row r="1092">
          <cell r="A1092" t="str">
            <v>E2</v>
          </cell>
          <cell r="B1092">
            <v>0</v>
          </cell>
          <cell r="C1092" t="str">
            <v>계</v>
          </cell>
          <cell r="D1092">
            <v>4426131</v>
          </cell>
          <cell r="I1092">
            <v>0</v>
          </cell>
        </row>
        <row r="1093">
          <cell r="A1093" t="str">
            <v>E3</v>
          </cell>
          <cell r="B1093">
            <v>0</v>
          </cell>
          <cell r="C1093" t="str">
            <v>합계</v>
          </cell>
          <cell r="D1093">
            <v>4426280</v>
          </cell>
          <cell r="I1093">
            <v>0</v>
          </cell>
        </row>
        <row r="1094">
          <cell r="A1094" t="str">
            <v>T3</v>
          </cell>
          <cell r="B1094">
            <v>1252</v>
          </cell>
          <cell r="C1094" t="str">
            <v>3.I</v>
          </cell>
          <cell r="D1094">
            <v>10657275</v>
          </cell>
          <cell r="E1094" t="str">
            <v>삽  교  천  교</v>
          </cell>
          <cell r="I1094">
            <v>0</v>
          </cell>
        </row>
        <row r="1095">
          <cell r="A1095" t="str">
            <v>T2</v>
          </cell>
          <cell r="B1095">
            <v>1106</v>
          </cell>
          <cell r="C1095" t="str">
            <v>3.01</v>
          </cell>
          <cell r="D1095">
            <v>10657403</v>
          </cell>
          <cell r="E1095" t="str">
            <v>토          공</v>
          </cell>
          <cell r="I1095">
            <v>0</v>
          </cell>
        </row>
        <row r="1096">
          <cell r="A1096" t="str">
            <v>D00096</v>
          </cell>
          <cell r="B1096">
            <v>1722</v>
          </cell>
          <cell r="C1096" t="str">
            <v>a</v>
          </cell>
          <cell r="D1096">
            <v>10777167</v>
          </cell>
          <cell r="E1096" t="str">
            <v>구조물터파기</v>
          </cell>
          <cell r="F1096" t="str">
            <v>(육상토사 0∼2 M)</v>
          </cell>
          <cell r="G1096" t="str">
            <v>㎥</v>
          </cell>
          <cell r="I1096">
            <v>0</v>
          </cell>
        </row>
        <row r="1097">
          <cell r="A1097" t="str">
            <v>D00097</v>
          </cell>
          <cell r="B1097">
            <v>286</v>
          </cell>
          <cell r="C1097" t="str">
            <v>b</v>
          </cell>
          <cell r="D1097">
            <v>10777766</v>
          </cell>
          <cell r="E1097" t="str">
            <v>구조물터파기</v>
          </cell>
          <cell r="F1097" t="str">
            <v>(육상토사 2∼4 M)</v>
          </cell>
          <cell r="G1097" t="str">
            <v>㎥</v>
          </cell>
          <cell r="I1097">
            <v>0</v>
          </cell>
        </row>
        <row r="1098">
          <cell r="A1098" t="str">
            <v>D00100</v>
          </cell>
          <cell r="B1098">
            <v>2890</v>
          </cell>
          <cell r="C1098" t="str">
            <v>c</v>
          </cell>
          <cell r="D1098">
            <v>10778066</v>
          </cell>
          <cell r="E1098" t="str">
            <v>구조물터파기</v>
          </cell>
          <cell r="F1098" t="str">
            <v>(수중토사 0∼2 M)</v>
          </cell>
          <cell r="G1098" t="str">
            <v>㎥</v>
          </cell>
          <cell r="I1098">
            <v>0</v>
          </cell>
        </row>
        <row r="1099">
          <cell r="A1099" t="str">
            <v>D00101</v>
          </cell>
          <cell r="B1099">
            <v>1624</v>
          </cell>
          <cell r="C1099" t="str">
            <v>d</v>
          </cell>
          <cell r="D1099">
            <v>10778216</v>
          </cell>
          <cell r="E1099" t="str">
            <v>구조물터파기</v>
          </cell>
          <cell r="F1099" t="str">
            <v>(수중토사 2∼4 M)</v>
          </cell>
          <cell r="G1099" t="str">
            <v>㎥</v>
          </cell>
          <cell r="I1099">
            <v>0</v>
          </cell>
        </row>
        <row r="1100">
          <cell r="A1100" t="str">
            <v>D00102</v>
          </cell>
          <cell r="B1100">
            <v>290</v>
          </cell>
          <cell r="C1100" t="str">
            <v>e</v>
          </cell>
          <cell r="D1100">
            <v>10778365</v>
          </cell>
          <cell r="E1100" t="str">
            <v>구조물터파기</v>
          </cell>
          <cell r="F1100" t="str">
            <v>(수중토사 4∼6 M)</v>
          </cell>
          <cell r="G1100" t="str">
            <v>㎥</v>
          </cell>
          <cell r="I1100">
            <v>0</v>
          </cell>
        </row>
        <row r="1101">
          <cell r="A1101" t="str">
            <v>D03839</v>
          </cell>
          <cell r="B1101">
            <v>120</v>
          </cell>
          <cell r="C1101" t="str">
            <v>f</v>
          </cell>
          <cell r="D1101">
            <v>10780012</v>
          </cell>
          <cell r="E1101" t="str">
            <v>구조물터파기</v>
          </cell>
          <cell r="F1101" t="str">
            <v>(수중연암 4∼6 M)</v>
          </cell>
          <cell r="G1101" t="str">
            <v>㎥</v>
          </cell>
          <cell r="I1101">
            <v>0</v>
          </cell>
        </row>
        <row r="1102">
          <cell r="A1102" t="str">
            <v>D00160</v>
          </cell>
          <cell r="B1102">
            <v>1427</v>
          </cell>
          <cell r="C1102" t="str">
            <v>g</v>
          </cell>
          <cell r="D1102">
            <v>10781658</v>
          </cell>
          <cell r="E1102" t="str">
            <v>되메우기및다짐</v>
          </cell>
          <cell r="F1102" t="str">
            <v>(인력30%+백호우70%)</v>
          </cell>
          <cell r="G1102" t="str">
            <v>㎥</v>
          </cell>
          <cell r="I1102">
            <v>0</v>
          </cell>
        </row>
        <row r="1103">
          <cell r="A1103" t="str">
            <v>D00170</v>
          </cell>
          <cell r="B1103">
            <v>2238</v>
          </cell>
          <cell r="C1103" t="str">
            <v>h</v>
          </cell>
          <cell r="D1103">
            <v>10781808</v>
          </cell>
          <cell r="E1103" t="str">
            <v>뒷채움잡석</v>
          </cell>
          <cell r="F1103" t="str">
            <v>(현장암유용)</v>
          </cell>
          <cell r="G1103" t="str">
            <v>㎥</v>
          </cell>
          <cell r="I1103">
            <v>0</v>
          </cell>
        </row>
        <row r="1104">
          <cell r="A1104" t="str">
            <v>D00591</v>
          </cell>
          <cell r="B1104">
            <v>4003</v>
          </cell>
          <cell r="C1104" t="str">
            <v>i</v>
          </cell>
          <cell r="D1104">
            <v>10781883</v>
          </cell>
          <cell r="E1104" t="str">
            <v>사석채움</v>
          </cell>
          <cell r="G1104" t="str">
            <v>㎥</v>
          </cell>
          <cell r="I1104">
            <v>0</v>
          </cell>
        </row>
        <row r="1105">
          <cell r="A1105" t="str">
            <v>D00534</v>
          </cell>
          <cell r="B1105">
            <v>395</v>
          </cell>
          <cell r="C1105" t="str">
            <v>j</v>
          </cell>
          <cell r="D1105">
            <v>10781920</v>
          </cell>
          <cell r="E1105" t="str">
            <v>물 푸 기</v>
          </cell>
          <cell r="G1105" t="str">
            <v>HR</v>
          </cell>
          <cell r="I1105">
            <v>0</v>
          </cell>
        </row>
        <row r="1106">
          <cell r="A1106" t="str">
            <v>D00037</v>
          </cell>
          <cell r="B1106">
            <v>1004</v>
          </cell>
          <cell r="C1106" t="str">
            <v>k</v>
          </cell>
          <cell r="D1106">
            <v>10781939</v>
          </cell>
          <cell r="E1106" t="str">
            <v>제방성토</v>
          </cell>
          <cell r="F1106" t="str">
            <v>노  체</v>
          </cell>
          <cell r="G1106" t="str">
            <v>㎥</v>
          </cell>
          <cell r="I1106">
            <v>0</v>
          </cell>
        </row>
        <row r="1107">
          <cell r="A1107" t="str">
            <v>E2</v>
          </cell>
          <cell r="B1107">
            <v>0</v>
          </cell>
          <cell r="C1107" t="str">
            <v>계</v>
          </cell>
          <cell r="D1107">
            <v>10781957</v>
          </cell>
          <cell r="I1107">
            <v>0</v>
          </cell>
        </row>
        <row r="1108">
          <cell r="A1108" t="str">
            <v>T2</v>
          </cell>
          <cell r="B1108">
            <v>1127</v>
          </cell>
          <cell r="C1108" t="str">
            <v>3.02</v>
          </cell>
          <cell r="D1108">
            <v>10782085</v>
          </cell>
          <cell r="E1108" t="str">
            <v>강관파일</v>
          </cell>
          <cell r="I1108">
            <v>0</v>
          </cell>
        </row>
        <row r="1109">
          <cell r="A1109" t="str">
            <v>T1</v>
          </cell>
          <cell r="B1109">
            <v>1111</v>
          </cell>
          <cell r="C1109" t="str">
            <v>a</v>
          </cell>
          <cell r="D1109">
            <v>10782133</v>
          </cell>
          <cell r="E1109" t="str">
            <v>강관파일구입</v>
          </cell>
          <cell r="I1109">
            <v>0</v>
          </cell>
        </row>
        <row r="1110">
          <cell r="A1110" t="str">
            <v>D00504</v>
          </cell>
          <cell r="B1110">
            <v>2131</v>
          </cell>
          <cell r="C1110" t="str">
            <v>-1</v>
          </cell>
          <cell r="D1110">
            <v>10782181</v>
          </cell>
          <cell r="E1110" t="str">
            <v>강관파일구입</v>
          </cell>
          <cell r="F1110" t="str">
            <v>(Φ508.0m/mx9t)</v>
          </cell>
          <cell r="G1110" t="str">
            <v>M</v>
          </cell>
          <cell r="I1110">
            <v>0</v>
          </cell>
        </row>
        <row r="1111">
          <cell r="A1111" t="str">
            <v>D00511</v>
          </cell>
          <cell r="B1111">
            <v>380</v>
          </cell>
          <cell r="C1111" t="str">
            <v>-2</v>
          </cell>
          <cell r="D1111">
            <v>10782189</v>
          </cell>
          <cell r="E1111" t="str">
            <v>강관파일구입</v>
          </cell>
          <cell r="F1111" t="str">
            <v>(Φ406.4m/mx9t)</v>
          </cell>
          <cell r="G1111" t="str">
            <v>M</v>
          </cell>
          <cell r="I1111">
            <v>0</v>
          </cell>
        </row>
        <row r="1112">
          <cell r="A1112" t="str">
            <v>E1</v>
          </cell>
          <cell r="B1112">
            <v>0</v>
          </cell>
          <cell r="C1112" t="str">
            <v>소계</v>
          </cell>
          <cell r="D1112">
            <v>10782191</v>
          </cell>
          <cell r="I1112">
            <v>0</v>
          </cell>
        </row>
        <row r="1113">
          <cell r="A1113" t="str">
            <v>T1</v>
          </cell>
          <cell r="B1113">
            <v>1116</v>
          </cell>
          <cell r="C1113" t="str">
            <v>b</v>
          </cell>
          <cell r="D1113">
            <v>10782193</v>
          </cell>
          <cell r="E1113" t="str">
            <v>강관파일항타</v>
          </cell>
          <cell r="I1113">
            <v>0</v>
          </cell>
        </row>
        <row r="1114">
          <cell r="A1114" t="str">
            <v>D00512</v>
          </cell>
          <cell r="B1114">
            <v>1271</v>
          </cell>
          <cell r="C1114" t="str">
            <v>-1</v>
          </cell>
          <cell r="D1114">
            <v>10782197</v>
          </cell>
          <cell r="E1114" t="str">
            <v>강관파일항타(직항)</v>
          </cell>
          <cell r="F1114" t="str">
            <v>Φ508(15 m 이하)</v>
          </cell>
          <cell r="G1114" t="str">
            <v>M</v>
          </cell>
          <cell r="I1114">
            <v>0</v>
          </cell>
        </row>
        <row r="1115">
          <cell r="A1115" t="str">
            <v>D01314</v>
          </cell>
          <cell r="B1115">
            <v>348</v>
          </cell>
          <cell r="C1115" t="str">
            <v>-2</v>
          </cell>
          <cell r="D1115">
            <v>10782202</v>
          </cell>
          <cell r="E1115" t="str">
            <v>강관파일항타(사항)</v>
          </cell>
          <cell r="F1115" t="str">
            <v>Φ508(15 m 이하)</v>
          </cell>
          <cell r="G1115" t="str">
            <v>M</v>
          </cell>
          <cell r="I1115">
            <v>0</v>
          </cell>
        </row>
        <row r="1116">
          <cell r="A1116" t="str">
            <v>D00505</v>
          </cell>
          <cell r="B1116">
            <v>370</v>
          </cell>
          <cell r="C1116" t="str">
            <v>-3</v>
          </cell>
          <cell r="D1116">
            <v>10782207</v>
          </cell>
          <cell r="E1116" t="str">
            <v>강관파일항타(직항)</v>
          </cell>
          <cell r="F1116" t="str">
            <v>Φ406.4(15 m 이하)</v>
          </cell>
          <cell r="G1116" t="str">
            <v>M</v>
          </cell>
          <cell r="I1116">
            <v>0</v>
          </cell>
        </row>
        <row r="1117">
          <cell r="A1117" t="str">
            <v>E1</v>
          </cell>
          <cell r="B1117">
            <v>0</v>
          </cell>
          <cell r="C1117" t="str">
            <v>소계</v>
          </cell>
          <cell r="D1117">
            <v>10782212</v>
          </cell>
          <cell r="I1117">
            <v>0</v>
          </cell>
        </row>
        <row r="1118">
          <cell r="A1118" t="str">
            <v>D03838</v>
          </cell>
          <cell r="B1118">
            <v>46</v>
          </cell>
          <cell r="C1118" t="str">
            <v>c</v>
          </cell>
          <cell r="D1118">
            <v>10782217</v>
          </cell>
          <cell r="E1118" t="str">
            <v>파일속모래채움</v>
          </cell>
          <cell r="G1118" t="str">
            <v>㎥</v>
          </cell>
          <cell r="I1118">
            <v>0</v>
          </cell>
        </row>
        <row r="1119">
          <cell r="A1119" t="str">
            <v>D00502</v>
          </cell>
          <cell r="B1119">
            <v>46</v>
          </cell>
          <cell r="C1119" t="str">
            <v>d</v>
          </cell>
          <cell r="D1119">
            <v>10782221</v>
          </cell>
          <cell r="E1119" t="str">
            <v>속채움 콘크리트</v>
          </cell>
          <cell r="G1119" t="str">
            <v>㎥</v>
          </cell>
          <cell r="I1119">
            <v>0</v>
          </cell>
        </row>
        <row r="1120">
          <cell r="A1120" t="str">
            <v>T1</v>
          </cell>
          <cell r="B1120">
            <v>1122</v>
          </cell>
          <cell r="C1120" t="str">
            <v>e</v>
          </cell>
          <cell r="D1120">
            <v>10782225</v>
          </cell>
          <cell r="E1120" t="str">
            <v>두부및선단보강</v>
          </cell>
          <cell r="I1120">
            <v>0</v>
          </cell>
        </row>
        <row r="1121">
          <cell r="A1121" t="str">
            <v>D00516</v>
          </cell>
          <cell r="B1121">
            <v>299</v>
          </cell>
          <cell r="C1121" t="str">
            <v>-1</v>
          </cell>
          <cell r="D1121">
            <v>10782229</v>
          </cell>
          <cell r="E1121" t="str">
            <v>두부및선단보강</v>
          </cell>
          <cell r="F1121" t="str">
            <v>(Φ508.0 m/m)천공</v>
          </cell>
          <cell r="G1121" t="str">
            <v>EA</v>
          </cell>
          <cell r="I1121">
            <v>0</v>
          </cell>
        </row>
        <row r="1122">
          <cell r="A1122" t="str">
            <v>D00509</v>
          </cell>
          <cell r="B1122">
            <v>40</v>
          </cell>
          <cell r="C1122" t="str">
            <v>-2</v>
          </cell>
          <cell r="D1122">
            <v>10782232</v>
          </cell>
          <cell r="E1122" t="str">
            <v>두부및선단보강</v>
          </cell>
          <cell r="F1122" t="str">
            <v>(Φ406.4 m/m)</v>
          </cell>
          <cell r="G1122" t="str">
            <v>EA</v>
          </cell>
          <cell r="I1122">
            <v>0</v>
          </cell>
        </row>
        <row r="1123">
          <cell r="A1123" t="str">
            <v>E1</v>
          </cell>
          <cell r="B1123">
            <v>0</v>
          </cell>
          <cell r="C1123" t="str">
            <v>소계</v>
          </cell>
          <cell r="D1123">
            <v>10782234</v>
          </cell>
          <cell r="I1123">
            <v>0</v>
          </cell>
        </row>
        <row r="1124">
          <cell r="A1124" t="str">
            <v>D03821</v>
          </cell>
          <cell r="B1124">
            <v>262</v>
          </cell>
          <cell r="C1124" t="str">
            <v>g</v>
          </cell>
          <cell r="D1124">
            <v>10782238</v>
          </cell>
          <cell r="E1124" t="str">
            <v>토사천공</v>
          </cell>
          <cell r="G1124" t="str">
            <v>M</v>
          </cell>
          <cell r="I1124">
            <v>0</v>
          </cell>
        </row>
        <row r="1125">
          <cell r="A1125" t="str">
            <v>D03797</v>
          </cell>
          <cell r="B1125">
            <v>174</v>
          </cell>
          <cell r="C1125" t="str">
            <v>h</v>
          </cell>
          <cell r="D1125">
            <v>10782240</v>
          </cell>
          <cell r="E1125" t="str">
            <v>풍 화 암</v>
          </cell>
          <cell r="F1125" t="str">
            <v>(T-4)</v>
          </cell>
          <cell r="G1125" t="str">
            <v>M</v>
          </cell>
          <cell r="I1125">
            <v>0</v>
          </cell>
        </row>
        <row r="1126">
          <cell r="A1126" t="str">
            <v>D03830</v>
          </cell>
          <cell r="B1126">
            <v>22</v>
          </cell>
          <cell r="C1126" t="str">
            <v>i</v>
          </cell>
          <cell r="D1126">
            <v>10782241</v>
          </cell>
          <cell r="E1126" t="str">
            <v>선단고정액</v>
          </cell>
          <cell r="G1126" t="str">
            <v>㎥</v>
          </cell>
          <cell r="I1126">
            <v>0</v>
          </cell>
        </row>
        <row r="1127">
          <cell r="A1127" t="str">
            <v>D03829</v>
          </cell>
          <cell r="B1127">
            <v>105</v>
          </cell>
          <cell r="C1127" t="str">
            <v>j</v>
          </cell>
          <cell r="D1127">
            <v>10782305</v>
          </cell>
          <cell r="E1127" t="str">
            <v>주면고정액</v>
          </cell>
          <cell r="G1127" t="str">
            <v>㎥</v>
          </cell>
          <cell r="I1127">
            <v>0</v>
          </cell>
        </row>
        <row r="1128">
          <cell r="A1128" t="str">
            <v>E2</v>
          </cell>
          <cell r="B1128">
            <v>0</v>
          </cell>
          <cell r="C1128" t="str">
            <v>계</v>
          </cell>
          <cell r="D1128">
            <v>10782369</v>
          </cell>
          <cell r="I1128">
            <v>0</v>
          </cell>
        </row>
        <row r="1129">
          <cell r="A1129" t="str">
            <v>T2</v>
          </cell>
          <cell r="B1129">
            <v>1137</v>
          </cell>
          <cell r="C1129" t="str">
            <v>3.03</v>
          </cell>
          <cell r="D1129">
            <v>10812256</v>
          </cell>
          <cell r="E1129" t="str">
            <v>거 푸 집</v>
          </cell>
          <cell r="I1129">
            <v>0</v>
          </cell>
        </row>
        <row r="1130">
          <cell r="A1130" t="str">
            <v>D00276</v>
          </cell>
          <cell r="B1130">
            <v>1392</v>
          </cell>
          <cell r="C1130" t="str">
            <v>a</v>
          </cell>
          <cell r="D1130">
            <v>10812312</v>
          </cell>
          <cell r="E1130" t="str">
            <v>합판거푸집</v>
          </cell>
          <cell r="F1130" t="str">
            <v>(3 회)</v>
          </cell>
          <cell r="G1130" t="str">
            <v>㎡</v>
          </cell>
          <cell r="I1130">
            <v>0</v>
          </cell>
        </row>
        <row r="1131">
          <cell r="A1131" t="str">
            <v>D00277</v>
          </cell>
          <cell r="B1131">
            <v>382</v>
          </cell>
          <cell r="C1131" t="str">
            <v>b</v>
          </cell>
          <cell r="D1131">
            <v>10812320</v>
          </cell>
          <cell r="E1131" t="str">
            <v>합판거푸집</v>
          </cell>
          <cell r="F1131" t="str">
            <v>(3 회 7∼10 m)</v>
          </cell>
          <cell r="G1131" t="str">
            <v>㎡</v>
          </cell>
          <cell r="I1131">
            <v>0</v>
          </cell>
        </row>
        <row r="1132">
          <cell r="A1132" t="str">
            <v>D00280</v>
          </cell>
          <cell r="B1132">
            <v>654</v>
          </cell>
          <cell r="C1132" t="str">
            <v>c</v>
          </cell>
          <cell r="D1132">
            <v>10812368</v>
          </cell>
          <cell r="E1132" t="str">
            <v>합판거푸집</v>
          </cell>
          <cell r="F1132" t="str">
            <v>(4 회)</v>
          </cell>
          <cell r="G1132" t="str">
            <v>㎡</v>
          </cell>
          <cell r="I1132">
            <v>0</v>
          </cell>
        </row>
        <row r="1133">
          <cell r="A1133" t="str">
            <v>D00282</v>
          </cell>
          <cell r="B1133">
            <v>58</v>
          </cell>
          <cell r="C1133" t="str">
            <v>d</v>
          </cell>
          <cell r="D1133">
            <v>10812383</v>
          </cell>
          <cell r="E1133" t="str">
            <v>합판거푸집</v>
          </cell>
          <cell r="F1133" t="str">
            <v>(6 회)</v>
          </cell>
          <cell r="G1133" t="str">
            <v>㎡</v>
          </cell>
          <cell r="I1133">
            <v>0</v>
          </cell>
        </row>
        <row r="1134">
          <cell r="A1134" t="str">
            <v>D00265</v>
          </cell>
          <cell r="B1134">
            <v>713</v>
          </cell>
          <cell r="C1134" t="str">
            <v>e</v>
          </cell>
          <cell r="D1134">
            <v>10812527</v>
          </cell>
          <cell r="E1134" t="str">
            <v>문양거푸집(합판4회+</v>
          </cell>
          <cell r="F1134" t="str">
            <v>문양스치로폴(0∼7M)</v>
          </cell>
          <cell r="G1134" t="str">
            <v>㎡</v>
          </cell>
          <cell r="I1134">
            <v>0</v>
          </cell>
        </row>
        <row r="1135">
          <cell r="A1135" t="str">
            <v>D00306</v>
          </cell>
          <cell r="B1135">
            <v>355</v>
          </cell>
          <cell r="C1135" t="str">
            <v>f</v>
          </cell>
          <cell r="D1135">
            <v>10812528</v>
          </cell>
          <cell r="E1135" t="str">
            <v>원형거푸집</v>
          </cell>
          <cell r="F1135" t="str">
            <v>(3 회 0∼7 m)</v>
          </cell>
          <cell r="G1135" t="str">
            <v>㎡</v>
          </cell>
          <cell r="I1135">
            <v>0</v>
          </cell>
        </row>
        <row r="1136">
          <cell r="A1136" t="str">
            <v>D00307</v>
          </cell>
          <cell r="B1136">
            <v>43</v>
          </cell>
          <cell r="C1136" t="str">
            <v>g</v>
          </cell>
          <cell r="D1136">
            <v>10812592</v>
          </cell>
          <cell r="E1136" t="str">
            <v>원형거푸집</v>
          </cell>
          <cell r="F1136" t="str">
            <v>(3 회 7∼10 m)</v>
          </cell>
          <cell r="G1136" t="str">
            <v>㎡</v>
          </cell>
          <cell r="I1136">
            <v>0</v>
          </cell>
        </row>
        <row r="1137">
          <cell r="A1137" t="str">
            <v>D00519</v>
          </cell>
          <cell r="B1137">
            <v>1651</v>
          </cell>
          <cell r="C1137" t="str">
            <v>h</v>
          </cell>
          <cell r="D1137">
            <v>10812656</v>
          </cell>
          <cell r="E1137" t="str">
            <v>DECK PLATE</v>
          </cell>
          <cell r="G1137" t="str">
            <v>㎡</v>
          </cell>
          <cell r="I1137">
            <v>0</v>
          </cell>
        </row>
        <row r="1138">
          <cell r="A1138" t="str">
            <v>E2</v>
          </cell>
          <cell r="B1138">
            <v>0</v>
          </cell>
          <cell r="C1138" t="str">
            <v>계</v>
          </cell>
          <cell r="D1138">
            <v>10812784</v>
          </cell>
          <cell r="I1138">
            <v>0</v>
          </cell>
        </row>
        <row r="1139">
          <cell r="A1139" t="str">
            <v>D00323</v>
          </cell>
          <cell r="B1139">
            <v>2777</v>
          </cell>
          <cell r="C1139" t="str">
            <v>3.04</v>
          </cell>
          <cell r="D1139">
            <v>10812912</v>
          </cell>
          <cell r="E1139" t="str">
            <v>강관비계</v>
          </cell>
          <cell r="F1139" t="str">
            <v>(0∼30 M)</v>
          </cell>
          <cell r="G1139" t="str">
            <v>㎡</v>
          </cell>
          <cell r="I1139">
            <v>0</v>
          </cell>
        </row>
        <row r="1140">
          <cell r="A1140" t="str">
            <v>T2</v>
          </cell>
          <cell r="B1140">
            <v>1142</v>
          </cell>
          <cell r="C1140" t="str">
            <v>3.05</v>
          </cell>
          <cell r="D1140">
            <v>10812913</v>
          </cell>
          <cell r="E1140" t="str">
            <v>동 바 리</v>
          </cell>
          <cell r="I1140">
            <v>0</v>
          </cell>
        </row>
        <row r="1141">
          <cell r="A1141" t="str">
            <v>D00334</v>
          </cell>
          <cell r="B1141">
            <v>1004</v>
          </cell>
          <cell r="C1141" t="str">
            <v>a</v>
          </cell>
          <cell r="D1141">
            <v>10812914</v>
          </cell>
          <cell r="E1141" t="str">
            <v>강관동바리</v>
          </cell>
          <cell r="F1141" t="str">
            <v>(교량용)</v>
          </cell>
          <cell r="G1141" t="str">
            <v>공㎥</v>
          </cell>
          <cell r="I1141">
            <v>0</v>
          </cell>
        </row>
        <row r="1142">
          <cell r="A1142" t="str">
            <v>D01129</v>
          </cell>
          <cell r="B1142">
            <v>171</v>
          </cell>
          <cell r="C1142" t="str">
            <v>b</v>
          </cell>
          <cell r="D1142">
            <v>10813010</v>
          </cell>
          <cell r="E1142" t="str">
            <v>수평보강재(교량용)</v>
          </cell>
          <cell r="F1142" t="str">
            <v>(강관동바리)</v>
          </cell>
          <cell r="G1142" t="str">
            <v>㎡</v>
          </cell>
          <cell r="I1142">
            <v>0</v>
          </cell>
        </row>
        <row r="1143">
          <cell r="A1143" t="str">
            <v>E2</v>
          </cell>
          <cell r="B1143">
            <v>0</v>
          </cell>
          <cell r="C1143" t="str">
            <v>계</v>
          </cell>
          <cell r="D1143">
            <v>10813026</v>
          </cell>
          <cell r="I1143">
            <v>0</v>
          </cell>
        </row>
        <row r="1144">
          <cell r="A1144" t="str">
            <v>T2</v>
          </cell>
          <cell r="B1144">
            <v>1146</v>
          </cell>
          <cell r="C1144" t="str">
            <v>3.06</v>
          </cell>
          <cell r="D1144">
            <v>10813058</v>
          </cell>
          <cell r="E1144" t="str">
            <v>철근가공조립</v>
          </cell>
          <cell r="I1144">
            <v>0</v>
          </cell>
        </row>
        <row r="1145">
          <cell r="A1145" t="str">
            <v>D00271</v>
          </cell>
          <cell r="B1145">
            <v>38.932000000000002</v>
          </cell>
          <cell r="C1145" t="str">
            <v>a</v>
          </cell>
          <cell r="D1145">
            <v>10813082</v>
          </cell>
          <cell r="E1145" t="str">
            <v>철근가공조립</v>
          </cell>
          <cell r="F1145" t="str">
            <v>(보 통)</v>
          </cell>
          <cell r="G1145" t="str">
            <v>Ton</v>
          </cell>
          <cell r="I1145">
            <v>0</v>
          </cell>
        </row>
        <row r="1146">
          <cell r="A1146" t="str">
            <v>D00272</v>
          </cell>
          <cell r="B1146">
            <v>713.41600000000005</v>
          </cell>
          <cell r="C1146" t="str">
            <v>b</v>
          </cell>
          <cell r="D1146">
            <v>10813086</v>
          </cell>
          <cell r="E1146" t="str">
            <v>철근가공조립</v>
          </cell>
          <cell r="F1146" t="str">
            <v>(복 잡)</v>
          </cell>
          <cell r="G1146" t="str">
            <v>Ton</v>
          </cell>
          <cell r="I1146">
            <v>0</v>
          </cell>
        </row>
        <row r="1147">
          <cell r="A1147" t="str">
            <v>E2</v>
          </cell>
          <cell r="B1147">
            <v>0</v>
          </cell>
          <cell r="C1147" t="str">
            <v>계</v>
          </cell>
          <cell r="D1147">
            <v>10813088</v>
          </cell>
          <cell r="I1147">
            <v>0</v>
          </cell>
        </row>
        <row r="1148">
          <cell r="A1148" t="str">
            <v>T2</v>
          </cell>
          <cell r="B1148">
            <v>1150</v>
          </cell>
          <cell r="C1148" t="str">
            <v>3.07</v>
          </cell>
          <cell r="D1148">
            <v>10813089</v>
          </cell>
          <cell r="E1148" t="str">
            <v>콘크리트타설</v>
          </cell>
          <cell r="I1148">
            <v>0</v>
          </cell>
        </row>
        <row r="1149">
          <cell r="A1149" t="str">
            <v>D00237</v>
          </cell>
          <cell r="B1149">
            <v>4266</v>
          </cell>
          <cell r="C1149" t="str">
            <v>a</v>
          </cell>
          <cell r="D1149">
            <v>10813090</v>
          </cell>
          <cell r="E1149" t="str">
            <v>콘크리트타설</v>
          </cell>
          <cell r="F1149" t="str">
            <v>(철근 펌프카)</v>
          </cell>
          <cell r="G1149" t="str">
            <v>㎥</v>
          </cell>
          <cell r="I1149">
            <v>0</v>
          </cell>
        </row>
        <row r="1150">
          <cell r="A1150" t="str">
            <v>D00231</v>
          </cell>
          <cell r="B1150">
            <v>120</v>
          </cell>
          <cell r="C1150" t="str">
            <v>b</v>
          </cell>
          <cell r="D1150">
            <v>10813122</v>
          </cell>
          <cell r="E1150" t="str">
            <v>콘크리트타설</v>
          </cell>
          <cell r="F1150" t="str">
            <v>(무근 VIB 제외)</v>
          </cell>
          <cell r="G1150" t="str">
            <v>㎥</v>
          </cell>
          <cell r="I1150">
            <v>0</v>
          </cell>
        </row>
        <row r="1151">
          <cell r="A1151" t="str">
            <v>E2</v>
          </cell>
          <cell r="B1151">
            <v>0</v>
          </cell>
          <cell r="C1151" t="str">
            <v>계</v>
          </cell>
          <cell r="D1151">
            <v>10813186</v>
          </cell>
          <cell r="I1151">
            <v>0</v>
          </cell>
        </row>
        <row r="1152">
          <cell r="A1152" t="str">
            <v>T2</v>
          </cell>
          <cell r="B1152">
            <v>1154</v>
          </cell>
          <cell r="C1152" t="str">
            <v>3.08</v>
          </cell>
          <cell r="D1152">
            <v>10813202</v>
          </cell>
          <cell r="E1152" t="str">
            <v>표면처리</v>
          </cell>
          <cell r="I1152">
            <v>0</v>
          </cell>
        </row>
        <row r="1153">
          <cell r="A1153" t="str">
            <v>D00537</v>
          </cell>
          <cell r="B1153">
            <v>3732</v>
          </cell>
          <cell r="C1153" t="str">
            <v>a</v>
          </cell>
          <cell r="D1153">
            <v>10813218</v>
          </cell>
          <cell r="E1153" t="str">
            <v>슬래브양생</v>
          </cell>
          <cell r="F1153" t="str">
            <v>(양생제)</v>
          </cell>
          <cell r="G1153" t="str">
            <v>㎡</v>
          </cell>
          <cell r="I1153">
            <v>0</v>
          </cell>
        </row>
        <row r="1154">
          <cell r="A1154" t="str">
            <v>D00539</v>
          </cell>
          <cell r="B1154">
            <v>3447</v>
          </cell>
          <cell r="C1154" t="str">
            <v>b</v>
          </cell>
          <cell r="D1154">
            <v>10813226</v>
          </cell>
          <cell r="E1154" t="str">
            <v>슬래브면고르기</v>
          </cell>
          <cell r="F1154" t="str">
            <v>(데크 피니샤)</v>
          </cell>
          <cell r="G1154" t="str">
            <v>㎡</v>
          </cell>
          <cell r="I1154">
            <v>0</v>
          </cell>
        </row>
        <row r="1155">
          <cell r="A1155" t="str">
            <v>E2</v>
          </cell>
          <cell r="B1155">
            <v>0</v>
          </cell>
          <cell r="C1155" t="str">
            <v>계</v>
          </cell>
          <cell r="D1155">
            <v>10813230</v>
          </cell>
          <cell r="I1155">
            <v>0</v>
          </cell>
        </row>
        <row r="1156">
          <cell r="A1156" t="str">
            <v>T2</v>
          </cell>
          <cell r="B1156">
            <v>1162</v>
          </cell>
          <cell r="C1156" t="str">
            <v>3.09</v>
          </cell>
          <cell r="D1156">
            <v>10813358</v>
          </cell>
          <cell r="E1156" t="str">
            <v>교좌장치</v>
          </cell>
          <cell r="I1156">
            <v>0</v>
          </cell>
        </row>
        <row r="1157">
          <cell r="A1157" t="str">
            <v>D00786</v>
          </cell>
          <cell r="B1157">
            <v>4</v>
          </cell>
          <cell r="C1157" t="str">
            <v>a</v>
          </cell>
          <cell r="D1157">
            <v>10813365</v>
          </cell>
          <cell r="E1157" t="str">
            <v>교좌장치</v>
          </cell>
          <cell r="F1157" t="str">
            <v>(종방향 300 Ton)</v>
          </cell>
          <cell r="G1157" t="str">
            <v>EA</v>
          </cell>
          <cell r="I1157">
            <v>0</v>
          </cell>
        </row>
        <row r="1158">
          <cell r="A1158" t="str">
            <v>D00787</v>
          </cell>
          <cell r="B1158">
            <v>6</v>
          </cell>
          <cell r="C1158" t="str">
            <v>b</v>
          </cell>
          <cell r="D1158">
            <v>10813429</v>
          </cell>
          <cell r="E1158" t="str">
            <v>교좌장치</v>
          </cell>
          <cell r="F1158" t="str">
            <v>(양방향 300 Ton)</v>
          </cell>
          <cell r="G1158" t="str">
            <v>EA</v>
          </cell>
          <cell r="I1158">
            <v>0</v>
          </cell>
        </row>
        <row r="1159">
          <cell r="A1159" t="str">
            <v>D00782</v>
          </cell>
          <cell r="B1159">
            <v>2</v>
          </cell>
          <cell r="C1159" t="str">
            <v>c</v>
          </cell>
          <cell r="D1159">
            <v>10813494</v>
          </cell>
          <cell r="E1159" t="str">
            <v>교좌장치</v>
          </cell>
          <cell r="F1159" t="str">
            <v>(종방향 800 Ton)</v>
          </cell>
          <cell r="G1159" t="str">
            <v>EA</v>
          </cell>
          <cell r="I1159">
            <v>0</v>
          </cell>
        </row>
        <row r="1160">
          <cell r="A1160" t="str">
            <v>D00783</v>
          </cell>
          <cell r="B1160">
            <v>3</v>
          </cell>
          <cell r="C1160" t="str">
            <v>d</v>
          </cell>
          <cell r="D1160">
            <v>10813558</v>
          </cell>
          <cell r="E1160" t="str">
            <v>교좌장치</v>
          </cell>
          <cell r="F1160" t="str">
            <v>(양방향 800 Ton)</v>
          </cell>
          <cell r="G1160" t="str">
            <v>EA</v>
          </cell>
          <cell r="I1160">
            <v>0</v>
          </cell>
        </row>
        <row r="1161">
          <cell r="A1161" t="str">
            <v>D00784</v>
          </cell>
          <cell r="B1161">
            <v>2</v>
          </cell>
          <cell r="C1161" t="str">
            <v>f</v>
          </cell>
          <cell r="D1161">
            <v>10813590</v>
          </cell>
          <cell r="E1161" t="str">
            <v>교좌장치</v>
          </cell>
          <cell r="F1161" t="str">
            <v>(고정단 800 Ton)</v>
          </cell>
          <cell r="G1161" t="str">
            <v>EA</v>
          </cell>
          <cell r="I1161">
            <v>0</v>
          </cell>
        </row>
        <row r="1162">
          <cell r="A1162" t="str">
            <v>D00551</v>
          </cell>
          <cell r="B1162">
            <v>3</v>
          </cell>
          <cell r="C1162" t="str">
            <v>g</v>
          </cell>
          <cell r="D1162">
            <v>10813598</v>
          </cell>
          <cell r="E1162" t="str">
            <v>교좌장치</v>
          </cell>
          <cell r="F1162" t="str">
            <v>(횡방향 800 Ton)</v>
          </cell>
          <cell r="G1162" t="str">
            <v>EA</v>
          </cell>
          <cell r="I1162">
            <v>0</v>
          </cell>
        </row>
        <row r="1163">
          <cell r="A1163" t="str">
            <v>E2</v>
          </cell>
          <cell r="B1163">
            <v>0</v>
          </cell>
          <cell r="C1163" t="str">
            <v>계</v>
          </cell>
          <cell r="D1163">
            <v>10813606</v>
          </cell>
          <cell r="I1163">
            <v>0</v>
          </cell>
        </row>
        <row r="1164">
          <cell r="A1164" t="str">
            <v>T2</v>
          </cell>
          <cell r="B1164">
            <v>1182</v>
          </cell>
          <cell r="C1164" t="str">
            <v>3.10</v>
          </cell>
          <cell r="D1164">
            <v>10813734</v>
          </cell>
          <cell r="E1164" t="str">
            <v>강    교</v>
          </cell>
          <cell r="I1164">
            <v>0</v>
          </cell>
        </row>
        <row r="1165">
          <cell r="A1165" t="str">
            <v>T1</v>
          </cell>
          <cell r="B1165">
            <v>1168</v>
          </cell>
          <cell r="C1165" t="str">
            <v>a</v>
          </cell>
          <cell r="D1165">
            <v>10813735</v>
          </cell>
          <cell r="E1165" t="str">
            <v>제작및가설</v>
          </cell>
          <cell r="I1165">
            <v>0</v>
          </cell>
        </row>
        <row r="1166">
          <cell r="A1166" t="str">
            <v>D00629</v>
          </cell>
          <cell r="B1166">
            <v>1450.579</v>
          </cell>
          <cell r="C1166" t="str">
            <v>-1</v>
          </cell>
          <cell r="D1166">
            <v>10813863</v>
          </cell>
          <cell r="E1166" t="str">
            <v>강교 제작</v>
          </cell>
          <cell r="F1166" t="str">
            <v>(삽교천교)</v>
          </cell>
          <cell r="G1166" t="str">
            <v>Ton</v>
          </cell>
          <cell r="I1166">
            <v>0</v>
          </cell>
        </row>
        <row r="1167">
          <cell r="A1167" t="str">
            <v>D00630</v>
          </cell>
          <cell r="B1167">
            <v>1450.579</v>
          </cell>
          <cell r="C1167" t="str">
            <v>-2</v>
          </cell>
          <cell r="D1167">
            <v>10813927</v>
          </cell>
          <cell r="E1167" t="str">
            <v>강교 운반</v>
          </cell>
          <cell r="F1167" t="str">
            <v>(삽교천교)</v>
          </cell>
          <cell r="G1167" t="str">
            <v>Ton</v>
          </cell>
          <cell r="I1167">
            <v>0</v>
          </cell>
        </row>
        <row r="1168">
          <cell r="A1168" t="str">
            <v>D00631</v>
          </cell>
          <cell r="B1168">
            <v>1450.579</v>
          </cell>
          <cell r="C1168" t="str">
            <v>-3</v>
          </cell>
          <cell r="D1168">
            <v>10813943</v>
          </cell>
          <cell r="E1168" t="str">
            <v>강교 가설</v>
          </cell>
          <cell r="F1168" t="str">
            <v>(삽교천교)</v>
          </cell>
          <cell r="G1168" t="str">
            <v>Ton</v>
          </cell>
          <cell r="I1168">
            <v>0</v>
          </cell>
        </row>
        <row r="1169">
          <cell r="A1169" t="str">
            <v>E1</v>
          </cell>
          <cell r="B1169">
            <v>0</v>
          </cell>
          <cell r="C1169" t="str">
            <v>소계</v>
          </cell>
          <cell r="D1169">
            <v>10813959</v>
          </cell>
          <cell r="I1169">
            <v>0</v>
          </cell>
        </row>
        <row r="1170">
          <cell r="A1170" t="str">
            <v>T1</v>
          </cell>
          <cell r="B1170">
            <v>1177</v>
          </cell>
          <cell r="C1170" t="str">
            <v>b</v>
          </cell>
          <cell r="D1170">
            <v>10814087</v>
          </cell>
          <cell r="E1170" t="str">
            <v>강교도장</v>
          </cell>
          <cell r="I1170">
            <v>0</v>
          </cell>
        </row>
        <row r="1171">
          <cell r="A1171" t="str">
            <v>D00637</v>
          </cell>
          <cell r="B1171">
            <v>14749</v>
          </cell>
          <cell r="C1171" t="str">
            <v>-1</v>
          </cell>
          <cell r="D1171">
            <v>10814215</v>
          </cell>
          <cell r="E1171" t="str">
            <v>강교내부도장(공장)</v>
          </cell>
          <cell r="F1171" t="str">
            <v>수용성무기징크</v>
          </cell>
          <cell r="G1171" t="str">
            <v>㎡</v>
          </cell>
          <cell r="I1171">
            <v>0</v>
          </cell>
        </row>
        <row r="1172">
          <cell r="A1172" t="str">
            <v>D00639</v>
          </cell>
          <cell r="B1172">
            <v>1522</v>
          </cell>
          <cell r="C1172" t="str">
            <v>-2</v>
          </cell>
          <cell r="D1172">
            <v>10814217</v>
          </cell>
          <cell r="E1172" t="str">
            <v>강교 SPLICE</v>
          </cell>
          <cell r="F1172" t="str">
            <v>(공장)</v>
          </cell>
          <cell r="G1172" t="str">
            <v>㎡</v>
          </cell>
          <cell r="I1172">
            <v>0</v>
          </cell>
        </row>
        <row r="1173">
          <cell r="A1173" t="str">
            <v>D00638</v>
          </cell>
          <cell r="B1173">
            <v>8198</v>
          </cell>
          <cell r="C1173" t="str">
            <v>-3</v>
          </cell>
          <cell r="D1173">
            <v>10814219</v>
          </cell>
          <cell r="E1173" t="str">
            <v>외부 도장</v>
          </cell>
          <cell r="F1173" t="str">
            <v>(공장)</v>
          </cell>
          <cell r="G1173" t="str">
            <v>㎡</v>
          </cell>
          <cell r="I1173">
            <v>0</v>
          </cell>
        </row>
        <row r="1174">
          <cell r="A1174" t="str">
            <v>D00644</v>
          </cell>
          <cell r="B1174">
            <v>8198</v>
          </cell>
          <cell r="C1174" t="str">
            <v>-4</v>
          </cell>
          <cell r="D1174">
            <v>10814347</v>
          </cell>
          <cell r="E1174" t="str">
            <v>외부 도장</v>
          </cell>
          <cell r="F1174" t="str">
            <v>(현장)</v>
          </cell>
          <cell r="G1174" t="str">
            <v>㎡</v>
          </cell>
          <cell r="I1174">
            <v>0</v>
          </cell>
        </row>
        <row r="1175">
          <cell r="A1175" t="str">
            <v>D00640</v>
          </cell>
          <cell r="B1175">
            <v>2055</v>
          </cell>
          <cell r="C1175" t="str">
            <v>-5</v>
          </cell>
          <cell r="D1175">
            <v>10814349</v>
          </cell>
          <cell r="E1175" t="str">
            <v>외부포장면도장</v>
          </cell>
          <cell r="F1175" t="str">
            <v>(공장)</v>
          </cell>
          <cell r="G1175" t="str">
            <v>㎡</v>
          </cell>
          <cell r="I1175">
            <v>0</v>
          </cell>
        </row>
        <row r="1176">
          <cell r="A1176" t="str">
            <v>D00642</v>
          </cell>
          <cell r="B1176">
            <v>380</v>
          </cell>
          <cell r="C1176" t="str">
            <v>-6</v>
          </cell>
          <cell r="D1176">
            <v>10814415</v>
          </cell>
          <cell r="E1176" t="str">
            <v>외부볼트및 SPLICE</v>
          </cell>
          <cell r="F1176" t="str">
            <v>(현장)-내후성중방식</v>
          </cell>
          <cell r="G1176" t="str">
            <v>㎡</v>
          </cell>
          <cell r="I1176">
            <v>0</v>
          </cell>
        </row>
        <row r="1177">
          <cell r="A1177" t="str">
            <v>D00641</v>
          </cell>
          <cell r="B1177">
            <v>380</v>
          </cell>
          <cell r="C1177" t="str">
            <v>-7</v>
          </cell>
          <cell r="D1177">
            <v>10814423</v>
          </cell>
          <cell r="E1177" t="str">
            <v>내부볼트및 SPILCE</v>
          </cell>
          <cell r="F1177" t="str">
            <v>(현장)</v>
          </cell>
          <cell r="G1177" t="str">
            <v>㎡</v>
          </cell>
          <cell r="I1177">
            <v>0</v>
          </cell>
        </row>
        <row r="1178">
          <cell r="A1178" t="str">
            <v>E1</v>
          </cell>
          <cell r="B1178">
            <v>0</v>
          </cell>
          <cell r="C1178" t="str">
            <v>소계</v>
          </cell>
          <cell r="D1178">
            <v>10814431</v>
          </cell>
          <cell r="I1178">
            <v>0</v>
          </cell>
        </row>
        <row r="1179">
          <cell r="A1179" t="str">
            <v>T1</v>
          </cell>
          <cell r="B1179">
            <v>1181</v>
          </cell>
          <cell r="C1179" t="str">
            <v>c</v>
          </cell>
          <cell r="D1179">
            <v>10814480</v>
          </cell>
          <cell r="E1179" t="str">
            <v>비파괴 검사비</v>
          </cell>
          <cell r="I1179">
            <v>0</v>
          </cell>
        </row>
        <row r="1180">
          <cell r="A1180" t="str">
            <v>D01282</v>
          </cell>
          <cell r="B1180">
            <v>1387</v>
          </cell>
          <cell r="C1180" t="str">
            <v>-1</v>
          </cell>
          <cell r="D1180">
            <v>10814497</v>
          </cell>
          <cell r="E1180" t="str">
            <v>방사선투과검사(RT)</v>
          </cell>
          <cell r="F1180" t="str">
            <v>(3 1/3x12 ")</v>
          </cell>
          <cell r="G1180" t="str">
            <v>매</v>
          </cell>
          <cell r="I1180">
            <v>0</v>
          </cell>
        </row>
        <row r="1181">
          <cell r="A1181" t="str">
            <v>D03841</v>
          </cell>
          <cell r="B1181">
            <v>1742</v>
          </cell>
          <cell r="C1181" t="str">
            <v>-2</v>
          </cell>
          <cell r="D1181">
            <v>10814509</v>
          </cell>
          <cell r="E1181" t="str">
            <v>자분탐상검사</v>
          </cell>
          <cell r="F1181" t="str">
            <v>(MT)</v>
          </cell>
          <cell r="G1181" t="str">
            <v>M</v>
          </cell>
          <cell r="I1181">
            <v>0</v>
          </cell>
        </row>
        <row r="1182">
          <cell r="A1182" t="str">
            <v>E1</v>
          </cell>
          <cell r="B1182">
            <v>0</v>
          </cell>
          <cell r="C1182" t="str">
            <v>소계</v>
          </cell>
          <cell r="D1182">
            <v>10814511</v>
          </cell>
          <cell r="I1182">
            <v>0</v>
          </cell>
        </row>
        <row r="1183">
          <cell r="A1183" t="str">
            <v>E2</v>
          </cell>
          <cell r="B1183">
            <v>0</v>
          </cell>
          <cell r="C1183" t="str">
            <v>계</v>
          </cell>
          <cell r="D1183">
            <v>10814512</v>
          </cell>
          <cell r="I1183">
            <v>0</v>
          </cell>
        </row>
        <row r="1184">
          <cell r="A1184" t="str">
            <v>T2</v>
          </cell>
          <cell r="B1184">
            <v>1186</v>
          </cell>
          <cell r="C1184" t="str">
            <v>3.11</v>
          </cell>
          <cell r="D1184">
            <v>10814513</v>
          </cell>
          <cell r="E1184" t="str">
            <v>신축이음장치</v>
          </cell>
          <cell r="I1184">
            <v>0</v>
          </cell>
        </row>
        <row r="1185">
          <cell r="A1185" t="str">
            <v>D01313</v>
          </cell>
          <cell r="B1185">
            <v>26</v>
          </cell>
          <cell r="C1185" t="str">
            <v>a</v>
          </cell>
          <cell r="D1185">
            <v>10814546</v>
          </cell>
          <cell r="E1185" t="str">
            <v>신축이음장치</v>
          </cell>
          <cell r="F1185" t="str">
            <v>(Rail-No100)</v>
          </cell>
          <cell r="G1185" t="str">
            <v>M</v>
          </cell>
          <cell r="I1185">
            <v>0</v>
          </cell>
        </row>
        <row r="1186">
          <cell r="A1186" t="str">
            <v>D00554</v>
          </cell>
          <cell r="B1186">
            <v>26</v>
          </cell>
          <cell r="C1186" t="str">
            <v>b</v>
          </cell>
          <cell r="D1186">
            <v>10814563</v>
          </cell>
          <cell r="E1186" t="str">
            <v>신축이음장치</v>
          </cell>
          <cell r="F1186" t="str">
            <v>(Rail-No160)</v>
          </cell>
          <cell r="G1186" t="str">
            <v>M</v>
          </cell>
          <cell r="I1186">
            <v>0</v>
          </cell>
        </row>
        <row r="1187">
          <cell r="A1187" t="str">
            <v>E2</v>
          </cell>
          <cell r="B1187">
            <v>0</v>
          </cell>
          <cell r="C1187" t="str">
            <v>계</v>
          </cell>
          <cell r="D1187">
            <v>10814571</v>
          </cell>
          <cell r="I1187">
            <v>0</v>
          </cell>
        </row>
        <row r="1188">
          <cell r="A1188" t="str">
            <v>D00535</v>
          </cell>
          <cell r="B1188">
            <v>3447</v>
          </cell>
          <cell r="C1188" t="str">
            <v>3.12</v>
          </cell>
          <cell r="D1188">
            <v>10814576</v>
          </cell>
          <cell r="E1188" t="str">
            <v>교면방수</v>
          </cell>
          <cell r="F1188" t="str">
            <v>(도막식)</v>
          </cell>
          <cell r="G1188" t="str">
            <v>㎡</v>
          </cell>
          <cell r="I1188">
            <v>0</v>
          </cell>
        </row>
        <row r="1189">
          <cell r="A1189" t="str">
            <v>T2</v>
          </cell>
          <cell r="B1189">
            <v>1193</v>
          </cell>
          <cell r="C1189" t="str">
            <v>3.13</v>
          </cell>
          <cell r="D1189">
            <v>10814578</v>
          </cell>
          <cell r="E1189" t="str">
            <v>접속슬래브 접합공</v>
          </cell>
          <cell r="I1189">
            <v>0</v>
          </cell>
        </row>
        <row r="1190">
          <cell r="A1190" t="str">
            <v>D01067</v>
          </cell>
          <cell r="B1190">
            <v>127</v>
          </cell>
          <cell r="C1190" t="str">
            <v>a</v>
          </cell>
          <cell r="D1190">
            <v>10814580</v>
          </cell>
          <cell r="E1190" t="str">
            <v>다웰바 설치</v>
          </cell>
          <cell r="F1190" t="str">
            <v>(D=25 m/m, L=500)</v>
          </cell>
          <cell r="G1190" t="str">
            <v>EA</v>
          </cell>
          <cell r="I1190">
            <v>0</v>
          </cell>
        </row>
        <row r="1191">
          <cell r="A1191" t="str">
            <v>D01190</v>
          </cell>
          <cell r="B1191">
            <v>38</v>
          </cell>
          <cell r="C1191" t="str">
            <v>b</v>
          </cell>
          <cell r="D1191">
            <v>10814581</v>
          </cell>
          <cell r="E1191" t="str">
            <v>다웰-켑 설치</v>
          </cell>
          <cell r="F1191" t="str">
            <v>(Φ60 m/m)</v>
          </cell>
          <cell r="G1191" t="str">
            <v>M</v>
          </cell>
          <cell r="I1191">
            <v>0</v>
          </cell>
        </row>
        <row r="1192">
          <cell r="A1192" t="str">
            <v>D00540</v>
          </cell>
          <cell r="B1192">
            <v>127</v>
          </cell>
          <cell r="C1192" t="str">
            <v>c</v>
          </cell>
          <cell r="D1192">
            <v>10814709</v>
          </cell>
          <cell r="E1192" t="str">
            <v>경질고무판</v>
          </cell>
          <cell r="F1192" t="str">
            <v>(150x150)</v>
          </cell>
          <cell r="G1192" t="str">
            <v>EA</v>
          </cell>
          <cell r="I1192">
            <v>0</v>
          </cell>
        </row>
        <row r="1193">
          <cell r="A1193" t="str">
            <v>D00566</v>
          </cell>
          <cell r="B1193">
            <v>21</v>
          </cell>
          <cell r="C1193" t="str">
            <v>d</v>
          </cell>
          <cell r="D1193">
            <v>10814773</v>
          </cell>
          <cell r="E1193" t="str">
            <v>타르페이퍼 설치</v>
          </cell>
          <cell r="F1193" t="str">
            <v>(5 겹)</v>
          </cell>
          <cell r="G1193" t="str">
            <v>㎡</v>
          </cell>
          <cell r="I1193">
            <v>0</v>
          </cell>
        </row>
        <row r="1194">
          <cell r="A1194" t="str">
            <v>E2</v>
          </cell>
          <cell r="B1194">
            <v>0</v>
          </cell>
          <cell r="C1194" t="str">
            <v>계</v>
          </cell>
          <cell r="D1194">
            <v>10814805</v>
          </cell>
          <cell r="I1194">
            <v>0</v>
          </cell>
        </row>
        <row r="1195">
          <cell r="A1195" t="str">
            <v>T2</v>
          </cell>
          <cell r="B1195">
            <v>1197</v>
          </cell>
          <cell r="C1195" t="str">
            <v>3.14</v>
          </cell>
          <cell r="D1195">
            <v>10814809</v>
          </cell>
          <cell r="E1195" t="str">
            <v>무수축 콘크리트</v>
          </cell>
          <cell r="I1195">
            <v>0</v>
          </cell>
        </row>
        <row r="1196">
          <cell r="A1196" t="str">
            <v>D00567</v>
          </cell>
          <cell r="B1196">
            <v>5.1479999999999997</v>
          </cell>
          <cell r="C1196" t="str">
            <v>a</v>
          </cell>
          <cell r="D1196">
            <v>10814811</v>
          </cell>
          <cell r="E1196" t="str">
            <v>무수축몰탈</v>
          </cell>
          <cell r="F1196" t="str">
            <v>(1:1)</v>
          </cell>
          <cell r="G1196" t="str">
            <v>㎥</v>
          </cell>
          <cell r="I1196">
            <v>0</v>
          </cell>
        </row>
        <row r="1197">
          <cell r="A1197" t="str">
            <v>D00568</v>
          </cell>
          <cell r="B1197">
            <v>25</v>
          </cell>
          <cell r="C1197" t="str">
            <v>b</v>
          </cell>
          <cell r="D1197">
            <v>10814812</v>
          </cell>
          <cell r="E1197" t="str">
            <v>무수축콘크리트</v>
          </cell>
          <cell r="G1197" t="str">
            <v>㎥</v>
          </cell>
          <cell r="I1197">
            <v>0</v>
          </cell>
        </row>
        <row r="1198">
          <cell r="A1198" t="str">
            <v>E2</v>
          </cell>
          <cell r="B1198">
            <v>0</v>
          </cell>
          <cell r="C1198" t="str">
            <v>계</v>
          </cell>
          <cell r="D1198">
            <v>10814813</v>
          </cell>
          <cell r="I1198">
            <v>0</v>
          </cell>
        </row>
        <row r="1199">
          <cell r="A1199" t="str">
            <v>T2</v>
          </cell>
          <cell r="B1199">
            <v>1201</v>
          </cell>
          <cell r="C1199" t="str">
            <v>3.15</v>
          </cell>
          <cell r="D1199">
            <v>10814941</v>
          </cell>
          <cell r="E1199" t="str">
            <v>스치로폴설치</v>
          </cell>
          <cell r="I1199">
            <v>0</v>
          </cell>
        </row>
        <row r="1200">
          <cell r="A1200" t="str">
            <v>D00853</v>
          </cell>
          <cell r="B1200">
            <v>12</v>
          </cell>
          <cell r="C1200" t="str">
            <v>a</v>
          </cell>
          <cell r="D1200">
            <v>10815069</v>
          </cell>
          <cell r="E1200" t="str">
            <v>스치로폴설치</v>
          </cell>
          <cell r="F1200" t="str">
            <v>(T=10 m/m)</v>
          </cell>
          <cell r="G1200" t="str">
            <v>㎡</v>
          </cell>
          <cell r="I1200">
            <v>0</v>
          </cell>
        </row>
        <row r="1201">
          <cell r="A1201" t="str">
            <v>D00532</v>
          </cell>
          <cell r="B1201">
            <v>118</v>
          </cell>
          <cell r="C1201" t="str">
            <v>b</v>
          </cell>
          <cell r="D1201">
            <v>10815070</v>
          </cell>
          <cell r="E1201" t="str">
            <v>스치로폴설치</v>
          </cell>
          <cell r="F1201" t="str">
            <v>(T=20 m/m)</v>
          </cell>
          <cell r="G1201" t="str">
            <v>㎡</v>
          </cell>
          <cell r="I1201">
            <v>0</v>
          </cell>
        </row>
        <row r="1202">
          <cell r="A1202" t="str">
            <v>E2</v>
          </cell>
          <cell r="B1202">
            <v>0</v>
          </cell>
          <cell r="C1202" t="str">
            <v>계</v>
          </cell>
          <cell r="D1202">
            <v>10815135</v>
          </cell>
          <cell r="I1202">
            <v>0</v>
          </cell>
        </row>
        <row r="1203">
          <cell r="A1203" t="str">
            <v>T2</v>
          </cell>
          <cell r="B1203">
            <v>1208</v>
          </cell>
          <cell r="C1203" t="str">
            <v>3.16</v>
          </cell>
          <cell r="D1203">
            <v>10815199</v>
          </cell>
          <cell r="E1203" t="str">
            <v>배수시설</v>
          </cell>
          <cell r="I1203">
            <v>0</v>
          </cell>
        </row>
        <row r="1204">
          <cell r="A1204" t="str">
            <v>D00572</v>
          </cell>
          <cell r="B1204">
            <v>18</v>
          </cell>
          <cell r="C1204" t="str">
            <v>a</v>
          </cell>
          <cell r="D1204">
            <v>10815215</v>
          </cell>
          <cell r="E1204" t="str">
            <v>집 수 구</v>
          </cell>
          <cell r="G1204" t="str">
            <v>EA</v>
          </cell>
          <cell r="I1204">
            <v>0</v>
          </cell>
        </row>
        <row r="1205">
          <cell r="A1205" t="str">
            <v>D00573</v>
          </cell>
          <cell r="B1205">
            <v>61</v>
          </cell>
          <cell r="C1205" t="str">
            <v>b</v>
          </cell>
          <cell r="D1205">
            <v>10815223</v>
          </cell>
          <cell r="E1205" t="str">
            <v>배 수 구</v>
          </cell>
          <cell r="F1205" t="str">
            <v>(스테인레스관)</v>
          </cell>
          <cell r="G1205" t="str">
            <v>M</v>
          </cell>
          <cell r="I1205">
            <v>0</v>
          </cell>
        </row>
        <row r="1206">
          <cell r="A1206" t="str">
            <v>D00574</v>
          </cell>
          <cell r="B1206">
            <v>14</v>
          </cell>
          <cell r="C1206" t="str">
            <v>c</v>
          </cell>
          <cell r="D1206">
            <v>10815227</v>
          </cell>
          <cell r="E1206" t="str">
            <v>부착시설(A)</v>
          </cell>
          <cell r="G1206" t="str">
            <v>EA</v>
          </cell>
          <cell r="I1206">
            <v>0</v>
          </cell>
        </row>
        <row r="1207">
          <cell r="A1207" t="str">
            <v>D00576</v>
          </cell>
          <cell r="B1207">
            <v>54</v>
          </cell>
          <cell r="C1207" t="str">
            <v>d</v>
          </cell>
          <cell r="D1207">
            <v>10815229</v>
          </cell>
          <cell r="E1207" t="str">
            <v>부착시설(C)</v>
          </cell>
          <cell r="G1207" t="str">
            <v>EA</v>
          </cell>
          <cell r="I1207">
            <v>0</v>
          </cell>
        </row>
        <row r="1208">
          <cell r="A1208" t="str">
            <v>D00577</v>
          </cell>
          <cell r="B1208">
            <v>6</v>
          </cell>
          <cell r="C1208" t="str">
            <v>e</v>
          </cell>
          <cell r="D1208">
            <v>10815230</v>
          </cell>
          <cell r="E1208" t="str">
            <v>도 수 로</v>
          </cell>
          <cell r="G1208" t="str">
            <v>M</v>
          </cell>
          <cell r="I1208">
            <v>0</v>
          </cell>
        </row>
        <row r="1209">
          <cell r="A1209" t="str">
            <v>E2</v>
          </cell>
          <cell r="B1209">
            <v>0</v>
          </cell>
          <cell r="C1209" t="str">
            <v>계</v>
          </cell>
          <cell r="D1209">
            <v>10815231</v>
          </cell>
          <cell r="I1209">
            <v>0</v>
          </cell>
        </row>
        <row r="1210">
          <cell r="A1210" t="str">
            <v>T2</v>
          </cell>
          <cell r="B1210">
            <v>1212</v>
          </cell>
          <cell r="C1210" t="str">
            <v>3.17</v>
          </cell>
          <cell r="D1210">
            <v>10815359</v>
          </cell>
          <cell r="E1210" t="str">
            <v>스페이서설치</v>
          </cell>
          <cell r="I1210">
            <v>0</v>
          </cell>
        </row>
        <row r="1211">
          <cell r="A1211" t="str">
            <v>D00588</v>
          </cell>
          <cell r="B1211">
            <v>4902</v>
          </cell>
          <cell r="C1211" t="str">
            <v>a</v>
          </cell>
          <cell r="D1211">
            <v>10815375</v>
          </cell>
          <cell r="E1211" t="str">
            <v>스페이서 설치</v>
          </cell>
          <cell r="F1211" t="str">
            <v>(슬라브및기초용)</v>
          </cell>
          <cell r="G1211" t="str">
            <v>㎡</v>
          </cell>
          <cell r="I1211">
            <v>0</v>
          </cell>
        </row>
        <row r="1212">
          <cell r="A1212" t="str">
            <v>D01070</v>
          </cell>
          <cell r="B1212">
            <v>418</v>
          </cell>
          <cell r="C1212" t="str">
            <v>b</v>
          </cell>
          <cell r="D1212">
            <v>10815383</v>
          </cell>
          <cell r="E1212" t="str">
            <v>스페이서 설치</v>
          </cell>
          <cell r="F1212" t="str">
            <v>(벽체용)</v>
          </cell>
          <cell r="G1212" t="str">
            <v>㎡</v>
          </cell>
          <cell r="I1212">
            <v>0</v>
          </cell>
        </row>
        <row r="1213">
          <cell r="A1213" t="str">
            <v>E2</v>
          </cell>
          <cell r="B1213">
            <v>0</v>
          </cell>
          <cell r="C1213" t="str">
            <v>계</v>
          </cell>
          <cell r="D1213">
            <v>10815387</v>
          </cell>
          <cell r="I1213">
            <v>0</v>
          </cell>
        </row>
        <row r="1214">
          <cell r="A1214" t="str">
            <v>T2</v>
          </cell>
          <cell r="B1214">
            <v>1217</v>
          </cell>
          <cell r="C1214" t="str">
            <v>3.18</v>
          </cell>
          <cell r="D1214">
            <v>10815389</v>
          </cell>
          <cell r="E1214" t="str">
            <v>교명판및설명판</v>
          </cell>
          <cell r="I1214">
            <v>0</v>
          </cell>
        </row>
        <row r="1215">
          <cell r="A1215" t="str">
            <v>D00582</v>
          </cell>
          <cell r="B1215">
            <v>4</v>
          </cell>
          <cell r="C1215" t="str">
            <v>a</v>
          </cell>
          <cell r="D1215">
            <v>10815390</v>
          </cell>
          <cell r="E1215" t="str">
            <v>교 명 주</v>
          </cell>
          <cell r="F1215" t="str">
            <v>(중형, 화강석)</v>
          </cell>
          <cell r="G1215" t="str">
            <v>기</v>
          </cell>
          <cell r="I1215">
            <v>0</v>
          </cell>
        </row>
        <row r="1216">
          <cell r="A1216" t="str">
            <v>D00583</v>
          </cell>
          <cell r="B1216">
            <v>2</v>
          </cell>
          <cell r="C1216" t="str">
            <v>b</v>
          </cell>
          <cell r="D1216">
            <v>10815391</v>
          </cell>
          <cell r="E1216" t="str">
            <v>교 명 판(황동주물)</v>
          </cell>
          <cell r="F1216" t="str">
            <v>(450x200x10)</v>
          </cell>
          <cell r="G1216" t="str">
            <v>EA</v>
          </cell>
          <cell r="I1216">
            <v>0</v>
          </cell>
        </row>
        <row r="1217">
          <cell r="A1217" t="str">
            <v>D00584</v>
          </cell>
          <cell r="B1217">
            <v>2</v>
          </cell>
          <cell r="C1217" t="str">
            <v>c</v>
          </cell>
          <cell r="D1217">
            <v>10815455</v>
          </cell>
          <cell r="E1217" t="str">
            <v>설 명 판(황동주물)</v>
          </cell>
          <cell r="F1217" t="str">
            <v>(500x300x10)</v>
          </cell>
          <cell r="G1217" t="str">
            <v>EA</v>
          </cell>
          <cell r="I1217">
            <v>0</v>
          </cell>
        </row>
        <row r="1218">
          <cell r="A1218" t="str">
            <v>E2</v>
          </cell>
          <cell r="B1218">
            <v>0</v>
          </cell>
          <cell r="C1218" t="str">
            <v>계</v>
          </cell>
          <cell r="D1218">
            <v>10815487</v>
          </cell>
          <cell r="I1218">
            <v>0</v>
          </cell>
        </row>
        <row r="1219">
          <cell r="A1219" t="str">
            <v>D00594</v>
          </cell>
          <cell r="B1219">
            <v>2</v>
          </cell>
          <cell r="C1219" t="str">
            <v>3.19</v>
          </cell>
          <cell r="D1219">
            <v>10815503</v>
          </cell>
          <cell r="E1219" t="str">
            <v>측량기준점 설치</v>
          </cell>
          <cell r="F1219" t="str">
            <v>(황동주물)</v>
          </cell>
          <cell r="G1219" t="str">
            <v>EA</v>
          </cell>
          <cell r="I1219">
            <v>0</v>
          </cell>
        </row>
        <row r="1220">
          <cell r="A1220" t="str">
            <v>D00791</v>
          </cell>
          <cell r="B1220">
            <v>20</v>
          </cell>
          <cell r="C1220" t="str">
            <v>3.20</v>
          </cell>
          <cell r="D1220">
            <v>10815517</v>
          </cell>
          <cell r="E1220" t="str">
            <v>교좌장치표지판</v>
          </cell>
          <cell r="G1220" t="str">
            <v>EA</v>
          </cell>
          <cell r="I1220">
            <v>0</v>
          </cell>
        </row>
        <row r="1221">
          <cell r="A1221" t="str">
            <v>D00654</v>
          </cell>
          <cell r="B1221">
            <v>90</v>
          </cell>
          <cell r="C1221" t="str">
            <v>3.21</v>
          </cell>
          <cell r="D1221">
            <v>10815615</v>
          </cell>
          <cell r="E1221" t="str">
            <v>종방향점검로</v>
          </cell>
          <cell r="G1221" t="str">
            <v>EA</v>
          </cell>
          <cell r="I1221">
            <v>0</v>
          </cell>
        </row>
        <row r="1222">
          <cell r="A1222" t="str">
            <v>T2</v>
          </cell>
          <cell r="B1222">
            <v>1225</v>
          </cell>
          <cell r="C1222" t="str">
            <v>3.22</v>
          </cell>
          <cell r="D1222">
            <v>10815770</v>
          </cell>
          <cell r="E1222" t="str">
            <v>교각점검시설</v>
          </cell>
          <cell r="I1222">
            <v>0</v>
          </cell>
        </row>
        <row r="1223">
          <cell r="A1223" t="str">
            <v>D00793</v>
          </cell>
          <cell r="B1223">
            <v>2</v>
          </cell>
          <cell r="C1223" t="str">
            <v>a</v>
          </cell>
          <cell r="D1223">
            <v>10815840</v>
          </cell>
          <cell r="E1223" t="str">
            <v>교각점검시설</v>
          </cell>
          <cell r="F1223" t="str">
            <v>(TYPE-1)</v>
          </cell>
          <cell r="G1223" t="str">
            <v>EA</v>
          </cell>
          <cell r="I1223">
            <v>0</v>
          </cell>
        </row>
        <row r="1224">
          <cell r="A1224" t="str">
            <v>D00789</v>
          </cell>
          <cell r="B1224">
            <v>2</v>
          </cell>
          <cell r="C1224" t="str">
            <v>b</v>
          </cell>
          <cell r="D1224">
            <v>10815875</v>
          </cell>
          <cell r="E1224" t="str">
            <v>교각점검시설</v>
          </cell>
          <cell r="F1224" t="str">
            <v>(TYPE-2)</v>
          </cell>
          <cell r="G1224" t="str">
            <v>EA</v>
          </cell>
          <cell r="I1224">
            <v>0</v>
          </cell>
        </row>
        <row r="1225">
          <cell r="A1225" t="str">
            <v>D01305</v>
          </cell>
          <cell r="B1225">
            <v>2</v>
          </cell>
          <cell r="C1225" t="str">
            <v>c</v>
          </cell>
          <cell r="D1225">
            <v>10815884</v>
          </cell>
          <cell r="E1225" t="str">
            <v>점검용계단</v>
          </cell>
          <cell r="G1225" t="str">
            <v>EA</v>
          </cell>
          <cell r="I1225">
            <v>0</v>
          </cell>
        </row>
        <row r="1226">
          <cell r="A1226" t="str">
            <v>E2</v>
          </cell>
          <cell r="B1226">
            <v>0</v>
          </cell>
          <cell r="C1226" t="str">
            <v>계</v>
          </cell>
          <cell r="D1226">
            <v>10815892</v>
          </cell>
          <cell r="I1226">
            <v>0</v>
          </cell>
        </row>
        <row r="1227">
          <cell r="A1227" t="str">
            <v>T2</v>
          </cell>
          <cell r="B1227">
            <v>1229</v>
          </cell>
          <cell r="C1227" t="str">
            <v>3.23</v>
          </cell>
          <cell r="D1227">
            <v>10815909</v>
          </cell>
          <cell r="E1227" t="str">
            <v>충  진  제</v>
          </cell>
          <cell r="I1227">
            <v>0</v>
          </cell>
        </row>
        <row r="1228">
          <cell r="A1228" t="str">
            <v>D01224</v>
          </cell>
          <cell r="B1228">
            <v>89</v>
          </cell>
          <cell r="C1228" t="str">
            <v>a</v>
          </cell>
          <cell r="D1228">
            <v>10815972</v>
          </cell>
          <cell r="E1228" t="str">
            <v>폴리우레탄실란트채움</v>
          </cell>
          <cell r="F1228" t="str">
            <v>(25x10)</v>
          </cell>
          <cell r="G1228" t="str">
            <v>M</v>
          </cell>
          <cell r="I1228">
            <v>0</v>
          </cell>
        </row>
        <row r="1229">
          <cell r="A1229" t="str">
            <v>D00846</v>
          </cell>
          <cell r="B1229">
            <v>166</v>
          </cell>
          <cell r="C1229" t="str">
            <v>b</v>
          </cell>
          <cell r="D1229">
            <v>10816035</v>
          </cell>
          <cell r="E1229" t="str">
            <v>폴리우레탄실란트채움</v>
          </cell>
          <cell r="F1229" t="str">
            <v>(25x20)</v>
          </cell>
          <cell r="G1229" t="str">
            <v>M</v>
          </cell>
          <cell r="I1229">
            <v>0</v>
          </cell>
        </row>
        <row r="1230">
          <cell r="A1230" t="str">
            <v>E2</v>
          </cell>
          <cell r="B1230">
            <v>0</v>
          </cell>
          <cell r="C1230" t="str">
            <v>계</v>
          </cell>
          <cell r="D1230">
            <v>10816085</v>
          </cell>
          <cell r="I1230">
            <v>0</v>
          </cell>
        </row>
        <row r="1231">
          <cell r="A1231" t="str">
            <v>D01308</v>
          </cell>
          <cell r="B1231">
            <v>1319</v>
          </cell>
          <cell r="C1231" t="str">
            <v>3.24</v>
          </cell>
          <cell r="D1231">
            <v>10816135</v>
          </cell>
          <cell r="E1231" t="str">
            <v>강섬유보강재</v>
          </cell>
          <cell r="F1231" t="str">
            <v>(900 g/㎥)</v>
          </cell>
          <cell r="G1231" t="str">
            <v>㎥</v>
          </cell>
          <cell r="I1231">
            <v>0</v>
          </cell>
        </row>
        <row r="1232">
          <cell r="A1232" t="str">
            <v>T2</v>
          </cell>
          <cell r="B1232">
            <v>1237</v>
          </cell>
          <cell r="C1232" t="str">
            <v>3.25</v>
          </cell>
          <cell r="D1232">
            <v>10816419</v>
          </cell>
          <cell r="E1232" t="str">
            <v>가 도 공</v>
          </cell>
          <cell r="I1232">
            <v>0</v>
          </cell>
        </row>
        <row r="1233">
          <cell r="A1233" t="str">
            <v>D00037</v>
          </cell>
          <cell r="B1233">
            <v>6276</v>
          </cell>
          <cell r="C1233" t="str">
            <v>a</v>
          </cell>
          <cell r="D1233">
            <v>10816420</v>
          </cell>
          <cell r="E1233" t="str">
            <v>가도성토및철거</v>
          </cell>
          <cell r="G1233" t="str">
            <v>㎥</v>
          </cell>
          <cell r="I1233">
            <v>0</v>
          </cell>
        </row>
        <row r="1234">
          <cell r="A1234" t="str">
            <v>D03742</v>
          </cell>
          <cell r="B1234">
            <v>570</v>
          </cell>
          <cell r="C1234" t="str">
            <v>b</v>
          </cell>
          <cell r="D1234">
            <v>10816485</v>
          </cell>
          <cell r="E1234" t="str">
            <v>보조기층생산</v>
          </cell>
          <cell r="F1234" t="str">
            <v>(현장암유용)</v>
          </cell>
          <cell r="G1234" t="str">
            <v>㎥</v>
          </cell>
          <cell r="I1234">
            <v>0</v>
          </cell>
        </row>
        <row r="1235">
          <cell r="A1235" t="str">
            <v>D00798</v>
          </cell>
          <cell r="B1235">
            <v>444</v>
          </cell>
          <cell r="C1235" t="str">
            <v>c</v>
          </cell>
          <cell r="D1235">
            <v>10816517</v>
          </cell>
          <cell r="E1235" t="str">
            <v>보조기층</v>
          </cell>
          <cell r="F1235" t="str">
            <v>(포설및다짐 T=20 Cm)</v>
          </cell>
          <cell r="G1235" t="str">
            <v>㎥</v>
          </cell>
          <cell r="I1235">
            <v>0</v>
          </cell>
        </row>
        <row r="1236">
          <cell r="A1236" t="str">
            <v>D00704</v>
          </cell>
          <cell r="B1236">
            <v>1956</v>
          </cell>
          <cell r="C1236" t="str">
            <v>d</v>
          </cell>
          <cell r="D1236">
            <v>10816537</v>
          </cell>
          <cell r="E1236" t="str">
            <v>마대쌓기및헐기</v>
          </cell>
          <cell r="G1236" t="str">
            <v>㎡</v>
          </cell>
          <cell r="I1236">
            <v>0</v>
          </cell>
        </row>
        <row r="1237">
          <cell r="A1237" t="str">
            <v>D00976</v>
          </cell>
          <cell r="B1237">
            <v>210</v>
          </cell>
          <cell r="C1237" t="str">
            <v>e</v>
          </cell>
          <cell r="D1237">
            <v>10816539</v>
          </cell>
          <cell r="E1237" t="str">
            <v>흄관부설</v>
          </cell>
          <cell r="F1237" t="str">
            <v>(D=1200 m/m)</v>
          </cell>
          <cell r="G1237" t="str">
            <v>본</v>
          </cell>
          <cell r="I1237">
            <v>0</v>
          </cell>
        </row>
        <row r="1238">
          <cell r="A1238" t="str">
            <v>E2</v>
          </cell>
          <cell r="B1238">
            <v>0</v>
          </cell>
          <cell r="C1238" t="str">
            <v>계</v>
          </cell>
          <cell r="D1238">
            <v>10816541</v>
          </cell>
          <cell r="I1238">
            <v>0</v>
          </cell>
        </row>
        <row r="1239">
          <cell r="A1239" t="str">
            <v>D01064</v>
          </cell>
          <cell r="B1239">
            <v>150</v>
          </cell>
          <cell r="C1239" t="str">
            <v>3.26</v>
          </cell>
          <cell r="D1239">
            <v>10816545</v>
          </cell>
          <cell r="E1239" t="str">
            <v>중앙분리대</v>
          </cell>
          <cell r="G1239" t="str">
            <v>M</v>
          </cell>
          <cell r="I1239">
            <v>0</v>
          </cell>
        </row>
        <row r="1240">
          <cell r="A1240" t="str">
            <v>D03860</v>
          </cell>
          <cell r="B1240">
            <v>316</v>
          </cell>
          <cell r="C1240" t="str">
            <v>3.27</v>
          </cell>
          <cell r="D1240">
            <v>10816547</v>
          </cell>
          <cell r="E1240" t="str">
            <v>방 호 벽</v>
          </cell>
          <cell r="F1240" t="str">
            <v>(일반용)</v>
          </cell>
          <cell r="G1240" t="str">
            <v>M</v>
          </cell>
          <cell r="I1240">
            <v>0</v>
          </cell>
        </row>
        <row r="1241">
          <cell r="A1241" t="str">
            <v>D03817</v>
          </cell>
          <cell r="B1241">
            <v>62</v>
          </cell>
          <cell r="C1241" t="str">
            <v>3.28</v>
          </cell>
          <cell r="D1241">
            <v>10817140</v>
          </cell>
          <cell r="E1241" t="str">
            <v>ELASTIC FILLER</v>
          </cell>
          <cell r="F1241" t="str">
            <v>(T=20 m/m)</v>
          </cell>
          <cell r="G1241" t="str">
            <v>㎡</v>
          </cell>
          <cell r="I1241">
            <v>0</v>
          </cell>
        </row>
        <row r="1242">
          <cell r="A1242" t="str">
            <v>D00817</v>
          </cell>
          <cell r="B1242">
            <v>0.127</v>
          </cell>
          <cell r="C1242" t="str">
            <v>3.29</v>
          </cell>
          <cell r="D1242">
            <v>10817436</v>
          </cell>
          <cell r="E1242" t="str">
            <v>아스팔트 채움</v>
          </cell>
          <cell r="F1242" t="str">
            <v>(브론아스팔트)</v>
          </cell>
          <cell r="G1242" t="str">
            <v>㎥</v>
          </cell>
          <cell r="I1242">
            <v>0</v>
          </cell>
        </row>
        <row r="1243">
          <cell r="A1243" t="str">
            <v>D01191</v>
          </cell>
          <cell r="B1243">
            <v>3</v>
          </cell>
          <cell r="C1243" t="str">
            <v>3.30</v>
          </cell>
          <cell r="D1243">
            <v>10817658</v>
          </cell>
          <cell r="E1243" t="str">
            <v>PVC PIPE 설치</v>
          </cell>
          <cell r="F1243" t="str">
            <v>(Φ65 m/m)</v>
          </cell>
          <cell r="G1243" t="str">
            <v>M</v>
          </cell>
          <cell r="I1243">
            <v>0</v>
          </cell>
        </row>
        <row r="1244">
          <cell r="A1244" t="str">
            <v>D03859</v>
          </cell>
          <cell r="B1244">
            <v>1</v>
          </cell>
          <cell r="C1244" t="str">
            <v>3.31</v>
          </cell>
          <cell r="D1244">
            <v>10817714</v>
          </cell>
          <cell r="E1244" t="str">
            <v>천공장비조립및해체</v>
          </cell>
          <cell r="G1244" t="str">
            <v>회</v>
          </cell>
          <cell r="I1244">
            <v>0</v>
          </cell>
        </row>
        <row r="1245">
          <cell r="A1245" t="str">
            <v>T2</v>
          </cell>
          <cell r="B1245">
            <v>1247</v>
          </cell>
          <cell r="C1245" t="str">
            <v>3.32</v>
          </cell>
          <cell r="D1245">
            <v>10817723</v>
          </cell>
          <cell r="E1245" t="str">
            <v>파일재하시험</v>
          </cell>
          <cell r="I1245">
            <v>0</v>
          </cell>
        </row>
        <row r="1246">
          <cell r="A1246" t="str">
            <v>D03869</v>
          </cell>
          <cell r="B1246">
            <v>1</v>
          </cell>
          <cell r="C1246" t="str">
            <v>a</v>
          </cell>
          <cell r="D1246">
            <v>10817728</v>
          </cell>
          <cell r="E1246" t="str">
            <v>파일재하시험</v>
          </cell>
          <cell r="F1246" t="str">
            <v>(정재하시험)</v>
          </cell>
          <cell r="G1246" t="str">
            <v>개소</v>
          </cell>
          <cell r="I1246">
            <v>0</v>
          </cell>
        </row>
        <row r="1247">
          <cell r="A1247" t="str">
            <v>D03870</v>
          </cell>
          <cell r="B1247">
            <v>5</v>
          </cell>
          <cell r="C1247" t="str">
            <v>b</v>
          </cell>
          <cell r="D1247">
            <v>10817730</v>
          </cell>
          <cell r="E1247" t="str">
            <v>파일재하시험</v>
          </cell>
          <cell r="F1247" t="str">
            <v>(동재하시험)</v>
          </cell>
          <cell r="G1247" t="str">
            <v>개소</v>
          </cell>
          <cell r="I1247">
            <v>0</v>
          </cell>
        </row>
        <row r="1248">
          <cell r="A1248" t="str">
            <v>E2</v>
          </cell>
          <cell r="B1248">
            <v>0</v>
          </cell>
          <cell r="C1248" t="str">
            <v>계</v>
          </cell>
          <cell r="D1248">
            <v>10817731</v>
          </cell>
          <cell r="I1248">
            <v>0</v>
          </cell>
        </row>
        <row r="1249">
          <cell r="A1249" t="str">
            <v>D03871</v>
          </cell>
          <cell r="B1249">
            <v>5</v>
          </cell>
          <cell r="C1249" t="str">
            <v>3.33</v>
          </cell>
          <cell r="D1249">
            <v>10817732</v>
          </cell>
          <cell r="E1249" t="str">
            <v>평판재하시험</v>
          </cell>
          <cell r="G1249" t="str">
            <v>개소</v>
          </cell>
          <cell r="I1249">
            <v>0</v>
          </cell>
        </row>
        <row r="1250">
          <cell r="A1250" t="str">
            <v>D03747</v>
          </cell>
          <cell r="B1250">
            <v>20</v>
          </cell>
          <cell r="C1250" t="str">
            <v>3.34</v>
          </cell>
          <cell r="D1250">
            <v>10817860</v>
          </cell>
          <cell r="E1250" t="str">
            <v>워터스톱</v>
          </cell>
          <cell r="F1250" t="str">
            <v>(20x25)</v>
          </cell>
          <cell r="G1250" t="str">
            <v>M</v>
          </cell>
          <cell r="I1250">
            <v>0</v>
          </cell>
        </row>
        <row r="1251">
          <cell r="A1251" t="str">
            <v>D03942</v>
          </cell>
          <cell r="B1251">
            <v>1</v>
          </cell>
          <cell r="C1251" t="str">
            <v>3.35</v>
          </cell>
          <cell r="D1251">
            <v>10817892</v>
          </cell>
          <cell r="E1251" t="str">
            <v>상수원보호장비</v>
          </cell>
          <cell r="F1251" t="str">
            <v>(TYPE-1)</v>
          </cell>
          <cell r="G1251" t="str">
            <v>식</v>
          </cell>
          <cell r="I1251">
            <v>0</v>
          </cell>
        </row>
        <row r="1252">
          <cell r="A1252" t="str">
            <v>D00847</v>
          </cell>
          <cell r="B1252">
            <v>300</v>
          </cell>
          <cell r="C1252" t="str">
            <v>3.36</v>
          </cell>
          <cell r="D1252">
            <v>10817924</v>
          </cell>
          <cell r="E1252" t="str">
            <v>가드휀스설치</v>
          </cell>
          <cell r="G1252" t="str">
            <v>M</v>
          </cell>
          <cell r="I1252">
            <v>0</v>
          </cell>
        </row>
        <row r="1253">
          <cell r="A1253" t="str">
            <v>E3</v>
          </cell>
          <cell r="B1253">
            <v>0</v>
          </cell>
          <cell r="C1253" t="str">
            <v>합계</v>
          </cell>
          <cell r="D1253">
            <v>10817988</v>
          </cell>
          <cell r="I1253">
            <v>0</v>
          </cell>
        </row>
        <row r="1254">
          <cell r="A1254" t="str">
            <v>T3</v>
          </cell>
          <cell r="B1254">
            <v>1328</v>
          </cell>
          <cell r="C1254" t="str">
            <v>3.J</v>
          </cell>
          <cell r="D1254">
            <v>12062306</v>
          </cell>
          <cell r="E1254" t="str">
            <v>구    룡    교</v>
          </cell>
          <cell r="I1254">
            <v>0</v>
          </cell>
        </row>
        <row r="1255">
          <cell r="A1255" t="str">
            <v>T2</v>
          </cell>
          <cell r="B1255">
            <v>1261</v>
          </cell>
          <cell r="C1255" t="str">
            <v>3.01</v>
          </cell>
          <cell r="D1255">
            <v>12062434</v>
          </cell>
          <cell r="E1255" t="str">
            <v>토          공</v>
          </cell>
          <cell r="I1255">
            <v>0</v>
          </cell>
        </row>
        <row r="1256">
          <cell r="A1256" t="str">
            <v>D00096</v>
          </cell>
          <cell r="B1256">
            <v>3932</v>
          </cell>
          <cell r="C1256" t="str">
            <v>a</v>
          </cell>
          <cell r="D1256">
            <v>12182198</v>
          </cell>
          <cell r="E1256" t="str">
            <v>구조물터파기</v>
          </cell>
          <cell r="F1256" t="str">
            <v>(육상토사 0∼2 M)</v>
          </cell>
          <cell r="G1256" t="str">
            <v>㎥</v>
          </cell>
          <cell r="I1256">
            <v>0</v>
          </cell>
        </row>
        <row r="1257">
          <cell r="A1257" t="str">
            <v>D00097</v>
          </cell>
          <cell r="B1257">
            <v>2636</v>
          </cell>
          <cell r="C1257" t="str">
            <v>b</v>
          </cell>
          <cell r="D1257">
            <v>12184444</v>
          </cell>
          <cell r="E1257" t="str">
            <v>구조물터파기</v>
          </cell>
          <cell r="F1257" t="str">
            <v>(육상토사 2∼4 M)</v>
          </cell>
          <cell r="G1257" t="str">
            <v>㎥</v>
          </cell>
          <cell r="I1257">
            <v>0</v>
          </cell>
        </row>
        <row r="1258">
          <cell r="A1258" t="str">
            <v>D00098</v>
          </cell>
          <cell r="B1258">
            <v>1273</v>
          </cell>
          <cell r="C1258" t="str">
            <v>c</v>
          </cell>
          <cell r="D1258">
            <v>12185567</v>
          </cell>
          <cell r="E1258" t="str">
            <v>구조물터파기</v>
          </cell>
          <cell r="F1258" t="str">
            <v>(육상토사 4∼6 M)</v>
          </cell>
          <cell r="G1258" t="str">
            <v>㎥</v>
          </cell>
          <cell r="I1258">
            <v>0</v>
          </cell>
        </row>
        <row r="1259">
          <cell r="A1259" t="str">
            <v>D00160</v>
          </cell>
          <cell r="B1259">
            <v>359</v>
          </cell>
          <cell r="C1259" t="str">
            <v>d</v>
          </cell>
          <cell r="D1259">
            <v>12186689</v>
          </cell>
          <cell r="E1259" t="str">
            <v>되메우기및다짐</v>
          </cell>
          <cell r="F1259" t="str">
            <v>(인력30%+백호우70%)</v>
          </cell>
          <cell r="G1259" t="str">
            <v>㎥</v>
          </cell>
          <cell r="I1259">
            <v>0</v>
          </cell>
        </row>
        <row r="1260">
          <cell r="A1260" t="str">
            <v>D00170</v>
          </cell>
          <cell r="B1260">
            <v>1371</v>
          </cell>
          <cell r="C1260" t="str">
            <v>e</v>
          </cell>
          <cell r="D1260">
            <v>12186839</v>
          </cell>
          <cell r="E1260" t="str">
            <v>뒷채움잡석</v>
          </cell>
          <cell r="F1260" t="str">
            <v>(현장암유용)</v>
          </cell>
          <cell r="G1260" t="str">
            <v>㎥</v>
          </cell>
          <cell r="I1260">
            <v>0</v>
          </cell>
        </row>
        <row r="1261">
          <cell r="A1261" t="str">
            <v>D00038</v>
          </cell>
          <cell r="B1261">
            <v>7644</v>
          </cell>
          <cell r="C1261" t="str">
            <v>f</v>
          </cell>
          <cell r="D1261">
            <v>12186914</v>
          </cell>
          <cell r="E1261" t="str">
            <v>토사치환</v>
          </cell>
          <cell r="F1261" t="str">
            <v>노상다짐</v>
          </cell>
          <cell r="G1261" t="str">
            <v>㎥</v>
          </cell>
          <cell r="I1261">
            <v>0</v>
          </cell>
        </row>
        <row r="1262">
          <cell r="A1262" t="str">
            <v>E2</v>
          </cell>
          <cell r="B1262">
            <v>0</v>
          </cell>
          <cell r="C1262" t="str">
            <v>계</v>
          </cell>
          <cell r="D1262">
            <v>12186988</v>
          </cell>
          <cell r="I1262">
            <v>0</v>
          </cell>
        </row>
        <row r="1263">
          <cell r="A1263" t="str">
            <v>T2</v>
          </cell>
          <cell r="B1263">
            <v>1272</v>
          </cell>
          <cell r="C1263" t="str">
            <v>3.02</v>
          </cell>
          <cell r="D1263">
            <v>12187116</v>
          </cell>
          <cell r="E1263" t="str">
            <v>강관파일</v>
          </cell>
          <cell r="I1263">
            <v>0</v>
          </cell>
        </row>
        <row r="1264">
          <cell r="A1264" t="str">
            <v>D00504</v>
          </cell>
          <cell r="B1264">
            <v>867</v>
          </cell>
          <cell r="C1264" t="str">
            <v>a</v>
          </cell>
          <cell r="D1264">
            <v>12187212</v>
          </cell>
          <cell r="E1264" t="str">
            <v>강관파일구입</v>
          </cell>
          <cell r="F1264" t="str">
            <v>(Φ508.0m/mx9t)</v>
          </cell>
          <cell r="G1264" t="str">
            <v>M</v>
          </cell>
          <cell r="I1264">
            <v>0</v>
          </cell>
        </row>
        <row r="1265">
          <cell r="A1265" t="str">
            <v>D00511</v>
          </cell>
          <cell r="B1265">
            <v>528</v>
          </cell>
          <cell r="C1265" t="str">
            <v>b</v>
          </cell>
          <cell r="D1265">
            <v>12187220</v>
          </cell>
          <cell r="E1265" t="str">
            <v>강관파일구입</v>
          </cell>
          <cell r="F1265" t="str">
            <v>(Φ406.4m/mx9t)</v>
          </cell>
          <cell r="G1265" t="str">
            <v>M</v>
          </cell>
          <cell r="I1265">
            <v>0</v>
          </cell>
        </row>
        <row r="1266">
          <cell r="A1266" t="str">
            <v>D03840</v>
          </cell>
          <cell r="B1266">
            <v>560</v>
          </cell>
          <cell r="C1266" t="str">
            <v>c</v>
          </cell>
          <cell r="D1266">
            <v>12187228</v>
          </cell>
          <cell r="E1266" t="str">
            <v>강관파일항타(직항)</v>
          </cell>
          <cell r="F1266" t="str">
            <v>Φ508(15 m 이하)천공</v>
          </cell>
          <cell r="G1266" t="str">
            <v>M</v>
          </cell>
          <cell r="I1266">
            <v>0</v>
          </cell>
        </row>
        <row r="1267">
          <cell r="A1267" t="str">
            <v>D00505</v>
          </cell>
          <cell r="B1267">
            <v>516</v>
          </cell>
          <cell r="C1267" t="str">
            <v>d</v>
          </cell>
          <cell r="D1267">
            <v>12187233</v>
          </cell>
          <cell r="E1267" t="str">
            <v>강관파일항타(직항)</v>
          </cell>
          <cell r="F1267" t="str">
            <v>Φ406.4(15 m 이하)</v>
          </cell>
          <cell r="G1267" t="str">
            <v>M</v>
          </cell>
          <cell r="I1267">
            <v>0</v>
          </cell>
        </row>
        <row r="1268">
          <cell r="A1268" t="str">
            <v>D01314</v>
          </cell>
          <cell r="B1268">
            <v>283</v>
          </cell>
          <cell r="C1268" t="str">
            <v>e</v>
          </cell>
          <cell r="D1268">
            <v>12187238</v>
          </cell>
          <cell r="E1268" t="str">
            <v>강관파일항타(사항)</v>
          </cell>
          <cell r="F1268" t="str">
            <v>Φ508(15 m 이하)</v>
          </cell>
          <cell r="G1268" t="str">
            <v>M</v>
          </cell>
          <cell r="I1268">
            <v>0</v>
          </cell>
        </row>
        <row r="1269">
          <cell r="A1269" t="str">
            <v>D03838</v>
          </cell>
          <cell r="B1269">
            <v>23</v>
          </cell>
          <cell r="C1269" t="str">
            <v>f</v>
          </cell>
          <cell r="D1269">
            <v>12187248</v>
          </cell>
          <cell r="E1269" t="str">
            <v>파일속모래채움</v>
          </cell>
          <cell r="G1269" t="str">
            <v>㎥</v>
          </cell>
          <cell r="I1269">
            <v>0</v>
          </cell>
        </row>
        <row r="1270">
          <cell r="A1270" t="str">
            <v>D00502</v>
          </cell>
          <cell r="B1270">
            <v>23</v>
          </cell>
          <cell r="C1270" t="str">
            <v>g</v>
          </cell>
          <cell r="D1270">
            <v>12187252</v>
          </cell>
          <cell r="E1270" t="str">
            <v>속채움 콘크리트</v>
          </cell>
          <cell r="G1270" t="str">
            <v>㎥</v>
          </cell>
          <cell r="I1270">
            <v>0</v>
          </cell>
        </row>
        <row r="1271">
          <cell r="A1271" t="str">
            <v>D00517</v>
          </cell>
          <cell r="B1271">
            <v>96</v>
          </cell>
          <cell r="C1271" t="str">
            <v>h</v>
          </cell>
          <cell r="D1271">
            <v>12187260</v>
          </cell>
          <cell r="E1271" t="str">
            <v>두부및선단보강</v>
          </cell>
          <cell r="F1271" t="str">
            <v>(Φ508.8 m/m)</v>
          </cell>
          <cell r="G1271" t="str">
            <v>EA</v>
          </cell>
          <cell r="I1271">
            <v>0</v>
          </cell>
        </row>
        <row r="1272">
          <cell r="A1272" t="str">
            <v>D00509</v>
          </cell>
          <cell r="B1272">
            <v>48</v>
          </cell>
          <cell r="C1272" t="str">
            <v>i</v>
          </cell>
          <cell r="D1272">
            <v>12187330</v>
          </cell>
          <cell r="E1272" t="str">
            <v>두부및선단보강</v>
          </cell>
          <cell r="F1272" t="str">
            <v>(Φ406.4 m/m)</v>
          </cell>
          <cell r="G1272" t="str">
            <v>EA</v>
          </cell>
          <cell r="I1272">
            <v>0</v>
          </cell>
        </row>
        <row r="1273">
          <cell r="A1273" t="str">
            <v>E2</v>
          </cell>
          <cell r="B1273">
            <v>0</v>
          </cell>
          <cell r="C1273" t="str">
            <v>계</v>
          </cell>
          <cell r="D1273">
            <v>12187400</v>
          </cell>
          <cell r="I1273">
            <v>0</v>
          </cell>
        </row>
        <row r="1274">
          <cell r="A1274" t="str">
            <v>T2</v>
          </cell>
          <cell r="B1274">
            <v>1278</v>
          </cell>
          <cell r="C1274" t="str">
            <v>3.03</v>
          </cell>
          <cell r="D1274">
            <v>12217287</v>
          </cell>
          <cell r="E1274" t="str">
            <v>거 푸 집</v>
          </cell>
          <cell r="I1274">
            <v>0</v>
          </cell>
        </row>
        <row r="1275">
          <cell r="A1275" t="str">
            <v>D00276</v>
          </cell>
          <cell r="B1275">
            <v>805</v>
          </cell>
          <cell r="C1275" t="str">
            <v>a</v>
          </cell>
          <cell r="D1275">
            <v>12217343</v>
          </cell>
          <cell r="E1275" t="str">
            <v>합판거푸집</v>
          </cell>
          <cell r="F1275" t="str">
            <v>(3 회)</v>
          </cell>
          <cell r="G1275" t="str">
            <v>㎡</v>
          </cell>
          <cell r="I1275">
            <v>0</v>
          </cell>
        </row>
        <row r="1276">
          <cell r="A1276" t="str">
            <v>D00280</v>
          </cell>
          <cell r="B1276">
            <v>215</v>
          </cell>
          <cell r="C1276" t="str">
            <v>b</v>
          </cell>
          <cell r="D1276">
            <v>12217399</v>
          </cell>
          <cell r="E1276" t="str">
            <v>합판거푸집</v>
          </cell>
          <cell r="F1276" t="str">
            <v>(4 회)</v>
          </cell>
          <cell r="G1276" t="str">
            <v>㎡</v>
          </cell>
          <cell r="I1276">
            <v>0</v>
          </cell>
        </row>
        <row r="1277">
          <cell r="A1277" t="str">
            <v>D00282</v>
          </cell>
          <cell r="B1277">
            <v>16</v>
          </cell>
          <cell r="C1277" t="str">
            <v>c</v>
          </cell>
          <cell r="D1277">
            <v>12217414</v>
          </cell>
          <cell r="E1277" t="str">
            <v>합판거푸집</v>
          </cell>
          <cell r="F1277" t="str">
            <v>(6 회)</v>
          </cell>
          <cell r="G1277" t="str">
            <v>㎡</v>
          </cell>
          <cell r="I1277">
            <v>0</v>
          </cell>
        </row>
        <row r="1278">
          <cell r="A1278" t="str">
            <v>D00265</v>
          </cell>
          <cell r="B1278">
            <v>541</v>
          </cell>
          <cell r="C1278" t="str">
            <v>d</v>
          </cell>
          <cell r="D1278">
            <v>12217558</v>
          </cell>
          <cell r="E1278" t="str">
            <v>문양거푸집(합판4회+</v>
          </cell>
          <cell r="F1278" t="str">
            <v>문양스치로폴(0∼7M)</v>
          </cell>
          <cell r="G1278" t="str">
            <v>㎡</v>
          </cell>
          <cell r="I1278">
            <v>0</v>
          </cell>
        </row>
        <row r="1279">
          <cell r="A1279" t="str">
            <v>E2</v>
          </cell>
          <cell r="B1279">
            <v>0</v>
          </cell>
          <cell r="C1279" t="str">
            <v>계</v>
          </cell>
          <cell r="D1279">
            <v>12217815</v>
          </cell>
          <cell r="I1279">
            <v>0</v>
          </cell>
        </row>
        <row r="1280">
          <cell r="A1280" t="str">
            <v>D00323</v>
          </cell>
          <cell r="B1280">
            <v>573</v>
          </cell>
          <cell r="C1280" t="str">
            <v>3.04</v>
          </cell>
          <cell r="D1280">
            <v>12217943</v>
          </cell>
          <cell r="E1280" t="str">
            <v>강관비계</v>
          </cell>
          <cell r="F1280" t="str">
            <v>(0∼30 M)</v>
          </cell>
          <cell r="G1280" t="str">
            <v>㎡</v>
          </cell>
          <cell r="I1280">
            <v>0</v>
          </cell>
        </row>
        <row r="1281">
          <cell r="A1281" t="str">
            <v>T2</v>
          </cell>
          <cell r="B1281">
            <v>1283</v>
          </cell>
          <cell r="C1281" t="str">
            <v>3.05</v>
          </cell>
          <cell r="D1281">
            <v>12217944</v>
          </cell>
          <cell r="E1281" t="str">
            <v>동 바 리</v>
          </cell>
          <cell r="I1281">
            <v>0</v>
          </cell>
        </row>
        <row r="1282">
          <cell r="A1282" t="str">
            <v>D00334</v>
          </cell>
          <cell r="B1282">
            <v>1697</v>
          </cell>
          <cell r="C1282" t="str">
            <v>a</v>
          </cell>
          <cell r="D1282">
            <v>12217945</v>
          </cell>
          <cell r="E1282" t="str">
            <v>강관동바리</v>
          </cell>
          <cell r="F1282" t="str">
            <v>(교량용)</v>
          </cell>
          <cell r="G1282" t="str">
            <v>공㎥</v>
          </cell>
          <cell r="I1282">
            <v>0</v>
          </cell>
        </row>
        <row r="1283">
          <cell r="A1283" t="str">
            <v>D01129</v>
          </cell>
          <cell r="B1283">
            <v>501</v>
          </cell>
          <cell r="C1283" t="str">
            <v>b</v>
          </cell>
          <cell r="D1283">
            <v>12218041</v>
          </cell>
          <cell r="E1283" t="str">
            <v>수평보강재(교량용)</v>
          </cell>
          <cell r="F1283" t="str">
            <v>(강관동바리)</v>
          </cell>
          <cell r="G1283" t="str">
            <v>㎡</v>
          </cell>
          <cell r="I1283">
            <v>0</v>
          </cell>
        </row>
        <row r="1284">
          <cell r="A1284" t="str">
            <v>E2</v>
          </cell>
          <cell r="B1284">
            <v>0</v>
          </cell>
          <cell r="C1284" t="str">
            <v>계</v>
          </cell>
          <cell r="D1284">
            <v>12218057</v>
          </cell>
          <cell r="I1284">
            <v>0</v>
          </cell>
        </row>
        <row r="1285">
          <cell r="A1285" t="str">
            <v>T2</v>
          </cell>
          <cell r="B1285">
            <v>1287</v>
          </cell>
          <cell r="C1285" t="str">
            <v>3.06</v>
          </cell>
          <cell r="D1285">
            <v>12218089</v>
          </cell>
          <cell r="E1285" t="str">
            <v>철근가공조립</v>
          </cell>
          <cell r="I1285">
            <v>0</v>
          </cell>
        </row>
        <row r="1286">
          <cell r="A1286" t="str">
            <v>D00271</v>
          </cell>
          <cell r="B1286">
            <v>40.68</v>
          </cell>
          <cell r="C1286" t="str">
            <v>a</v>
          </cell>
          <cell r="D1286">
            <v>12218113</v>
          </cell>
          <cell r="E1286" t="str">
            <v>철근가공조립</v>
          </cell>
          <cell r="F1286" t="str">
            <v>(보 통)</v>
          </cell>
          <cell r="G1286" t="str">
            <v>Ton</v>
          </cell>
          <cell r="I1286">
            <v>0</v>
          </cell>
        </row>
        <row r="1287">
          <cell r="A1287" t="str">
            <v>D00272</v>
          </cell>
          <cell r="B1287">
            <v>117.657</v>
          </cell>
          <cell r="C1287" t="str">
            <v>b</v>
          </cell>
          <cell r="D1287">
            <v>12218117</v>
          </cell>
          <cell r="E1287" t="str">
            <v>철근가공조립</v>
          </cell>
          <cell r="F1287" t="str">
            <v>(복 잡)</v>
          </cell>
          <cell r="G1287" t="str">
            <v>Ton</v>
          </cell>
          <cell r="I1287">
            <v>0</v>
          </cell>
        </row>
        <row r="1288">
          <cell r="A1288" t="str">
            <v>E2</v>
          </cell>
          <cell r="B1288">
            <v>0</v>
          </cell>
          <cell r="C1288" t="str">
            <v>계</v>
          </cell>
          <cell r="D1288">
            <v>12218119</v>
          </cell>
          <cell r="I1288">
            <v>0</v>
          </cell>
        </row>
        <row r="1289">
          <cell r="A1289" t="str">
            <v>T2</v>
          </cell>
          <cell r="B1289">
            <v>1291</v>
          </cell>
          <cell r="C1289" t="str">
            <v>3.07</v>
          </cell>
          <cell r="D1289">
            <v>12218120</v>
          </cell>
          <cell r="E1289" t="str">
            <v>콘크리트타설</v>
          </cell>
          <cell r="I1289">
            <v>0</v>
          </cell>
        </row>
        <row r="1290">
          <cell r="A1290" t="str">
            <v>D00237</v>
          </cell>
          <cell r="B1290">
            <v>791</v>
          </cell>
          <cell r="C1290" t="str">
            <v>a</v>
          </cell>
          <cell r="D1290">
            <v>12218121</v>
          </cell>
          <cell r="E1290" t="str">
            <v>콘크리트타설</v>
          </cell>
          <cell r="F1290" t="str">
            <v>(철근 펌프카)</v>
          </cell>
          <cell r="G1290" t="str">
            <v>㎥</v>
          </cell>
          <cell r="I1290">
            <v>0</v>
          </cell>
        </row>
        <row r="1291">
          <cell r="A1291" t="str">
            <v>D00231</v>
          </cell>
          <cell r="B1291">
            <v>54</v>
          </cell>
          <cell r="C1291" t="str">
            <v>b</v>
          </cell>
          <cell r="D1291">
            <v>12218153</v>
          </cell>
          <cell r="E1291" t="str">
            <v>콘크리트타설</v>
          </cell>
          <cell r="F1291" t="str">
            <v>(무근 VIB 제외)</v>
          </cell>
          <cell r="G1291" t="str">
            <v>㎥</v>
          </cell>
          <cell r="I1291">
            <v>0</v>
          </cell>
        </row>
        <row r="1292">
          <cell r="A1292" t="str">
            <v>E2</v>
          </cell>
          <cell r="B1292">
            <v>0</v>
          </cell>
          <cell r="C1292" t="str">
            <v>계</v>
          </cell>
          <cell r="D1292">
            <v>12218217</v>
          </cell>
          <cell r="I1292">
            <v>0</v>
          </cell>
        </row>
        <row r="1293">
          <cell r="A1293" t="str">
            <v>T2</v>
          </cell>
          <cell r="B1293">
            <v>1295</v>
          </cell>
          <cell r="C1293" t="str">
            <v>3.08</v>
          </cell>
          <cell r="D1293">
            <v>12218233</v>
          </cell>
          <cell r="E1293" t="str">
            <v>표면처리</v>
          </cell>
          <cell r="I1293">
            <v>0</v>
          </cell>
        </row>
        <row r="1294">
          <cell r="A1294" t="str">
            <v>D00537</v>
          </cell>
          <cell r="B1294">
            <v>280</v>
          </cell>
          <cell r="C1294" t="str">
            <v>a</v>
          </cell>
          <cell r="D1294">
            <v>12218249</v>
          </cell>
          <cell r="E1294" t="str">
            <v>슬래브양생</v>
          </cell>
          <cell r="F1294" t="str">
            <v>(양생제)</v>
          </cell>
          <cell r="G1294" t="str">
            <v>㎡</v>
          </cell>
          <cell r="I1294">
            <v>0</v>
          </cell>
        </row>
        <row r="1295">
          <cell r="A1295" t="str">
            <v>D00539</v>
          </cell>
          <cell r="B1295">
            <v>254</v>
          </cell>
          <cell r="C1295" t="str">
            <v>b</v>
          </cell>
          <cell r="D1295">
            <v>12218257</v>
          </cell>
          <cell r="E1295" t="str">
            <v>슬래브면고르기</v>
          </cell>
          <cell r="F1295" t="str">
            <v>(데크 피니샤)</v>
          </cell>
          <cell r="G1295" t="str">
            <v>㎡</v>
          </cell>
          <cell r="I1295">
            <v>0</v>
          </cell>
        </row>
        <row r="1296">
          <cell r="A1296" t="str">
            <v>E2</v>
          </cell>
          <cell r="B1296">
            <v>0</v>
          </cell>
          <cell r="C1296" t="str">
            <v>계</v>
          </cell>
          <cell r="D1296">
            <v>12218261</v>
          </cell>
          <cell r="I1296">
            <v>0</v>
          </cell>
        </row>
        <row r="1297">
          <cell r="A1297" t="str">
            <v>D00535</v>
          </cell>
          <cell r="B1297">
            <v>254</v>
          </cell>
          <cell r="C1297" t="str">
            <v>3.09</v>
          </cell>
          <cell r="D1297">
            <v>12219479</v>
          </cell>
          <cell r="E1297" t="str">
            <v>교면방수</v>
          </cell>
          <cell r="F1297" t="str">
            <v>(도막식)</v>
          </cell>
          <cell r="G1297" t="str">
            <v>㎡</v>
          </cell>
          <cell r="I1297">
            <v>0</v>
          </cell>
        </row>
        <row r="1298">
          <cell r="A1298" t="str">
            <v>D03863</v>
          </cell>
          <cell r="B1298">
            <v>96</v>
          </cell>
          <cell r="C1298" t="str">
            <v>3.10</v>
          </cell>
          <cell r="D1298">
            <v>12219483</v>
          </cell>
          <cell r="E1298" t="str">
            <v>다웰바 설치</v>
          </cell>
          <cell r="F1298" t="str">
            <v>(구룡교)</v>
          </cell>
          <cell r="G1298" t="str">
            <v>EA</v>
          </cell>
          <cell r="I1298">
            <v>0</v>
          </cell>
        </row>
        <row r="1299">
          <cell r="A1299" t="str">
            <v>T2</v>
          </cell>
          <cell r="B1299">
            <v>1301</v>
          </cell>
          <cell r="C1299" t="str">
            <v>3.11</v>
          </cell>
          <cell r="D1299">
            <v>12219844</v>
          </cell>
          <cell r="E1299" t="str">
            <v>스치로폴설치</v>
          </cell>
          <cell r="I1299">
            <v>0</v>
          </cell>
        </row>
        <row r="1300">
          <cell r="A1300" t="str">
            <v>D00853</v>
          </cell>
          <cell r="B1300">
            <v>1</v>
          </cell>
          <cell r="C1300" t="str">
            <v>a</v>
          </cell>
          <cell r="D1300">
            <v>12219972</v>
          </cell>
          <cell r="E1300" t="str">
            <v>스치로폴설치</v>
          </cell>
          <cell r="F1300" t="str">
            <v>(T=10 m/m)</v>
          </cell>
          <cell r="G1300" t="str">
            <v>㎡</v>
          </cell>
          <cell r="I1300">
            <v>0</v>
          </cell>
        </row>
        <row r="1301">
          <cell r="A1301" t="str">
            <v>D00532</v>
          </cell>
          <cell r="B1301">
            <v>19</v>
          </cell>
          <cell r="C1301" t="str">
            <v>b</v>
          </cell>
          <cell r="D1301">
            <v>12219973</v>
          </cell>
          <cell r="E1301" t="str">
            <v>스치로폴설치</v>
          </cell>
          <cell r="F1301" t="str">
            <v>(T=20 m/m)</v>
          </cell>
          <cell r="G1301" t="str">
            <v>㎡</v>
          </cell>
          <cell r="I1301">
            <v>0</v>
          </cell>
        </row>
        <row r="1302">
          <cell r="A1302" t="str">
            <v>E2</v>
          </cell>
          <cell r="B1302">
            <v>0</v>
          </cell>
          <cell r="C1302" t="str">
            <v>계</v>
          </cell>
          <cell r="D1302">
            <v>12220038</v>
          </cell>
          <cell r="I1302">
            <v>0</v>
          </cell>
        </row>
        <row r="1303">
          <cell r="A1303" t="str">
            <v>T2</v>
          </cell>
          <cell r="B1303">
            <v>1305</v>
          </cell>
          <cell r="C1303" t="str">
            <v>3.12</v>
          </cell>
          <cell r="D1303">
            <v>12220262</v>
          </cell>
          <cell r="E1303" t="str">
            <v>스페이서설치</v>
          </cell>
          <cell r="I1303">
            <v>0</v>
          </cell>
        </row>
        <row r="1304">
          <cell r="A1304" t="str">
            <v>D00588</v>
          </cell>
          <cell r="B1304">
            <v>773</v>
          </cell>
          <cell r="C1304" t="str">
            <v>a</v>
          </cell>
          <cell r="D1304">
            <v>12220278</v>
          </cell>
          <cell r="E1304" t="str">
            <v>스페이서 설치</v>
          </cell>
          <cell r="F1304" t="str">
            <v>(슬라브및기초용)</v>
          </cell>
          <cell r="G1304" t="str">
            <v>㎡</v>
          </cell>
          <cell r="I1304">
            <v>0</v>
          </cell>
        </row>
        <row r="1305">
          <cell r="A1305" t="str">
            <v>D01070</v>
          </cell>
          <cell r="B1305">
            <v>465</v>
          </cell>
          <cell r="C1305" t="str">
            <v>b</v>
          </cell>
          <cell r="D1305">
            <v>12220286</v>
          </cell>
          <cell r="E1305" t="str">
            <v>스페이서 설치</v>
          </cell>
          <cell r="F1305" t="str">
            <v>(벽체용)</v>
          </cell>
          <cell r="G1305" t="str">
            <v>㎡</v>
          </cell>
          <cell r="I1305">
            <v>0</v>
          </cell>
        </row>
        <row r="1306">
          <cell r="A1306" t="str">
            <v>E2</v>
          </cell>
          <cell r="B1306">
            <v>0</v>
          </cell>
          <cell r="C1306" t="str">
            <v>계</v>
          </cell>
          <cell r="D1306">
            <v>12220290</v>
          </cell>
          <cell r="I1306">
            <v>0</v>
          </cell>
        </row>
        <row r="1307">
          <cell r="A1307" t="str">
            <v>T2</v>
          </cell>
          <cell r="B1307">
            <v>1310</v>
          </cell>
          <cell r="C1307" t="str">
            <v>3.13</v>
          </cell>
          <cell r="D1307">
            <v>12220292</v>
          </cell>
          <cell r="E1307" t="str">
            <v>교명판및설명판</v>
          </cell>
          <cell r="I1307">
            <v>0</v>
          </cell>
        </row>
        <row r="1308">
          <cell r="A1308" t="str">
            <v>D00581</v>
          </cell>
          <cell r="B1308">
            <v>4</v>
          </cell>
          <cell r="C1308" t="str">
            <v>a</v>
          </cell>
          <cell r="D1308">
            <v>12220293</v>
          </cell>
          <cell r="E1308" t="str">
            <v>교 명 주</v>
          </cell>
          <cell r="F1308" t="str">
            <v>(소형,화강석)</v>
          </cell>
          <cell r="G1308" t="str">
            <v>기</v>
          </cell>
          <cell r="I1308">
            <v>0</v>
          </cell>
        </row>
        <row r="1309">
          <cell r="A1309" t="str">
            <v>D00583</v>
          </cell>
          <cell r="B1309">
            <v>2</v>
          </cell>
          <cell r="C1309" t="str">
            <v>b</v>
          </cell>
          <cell r="D1309">
            <v>12220294</v>
          </cell>
          <cell r="E1309" t="str">
            <v>교 명 판(황동주물)</v>
          </cell>
          <cell r="F1309" t="str">
            <v>(450x200x10)</v>
          </cell>
          <cell r="G1309" t="str">
            <v>EA</v>
          </cell>
          <cell r="I1309">
            <v>0</v>
          </cell>
        </row>
        <row r="1310">
          <cell r="A1310" t="str">
            <v>D00584</v>
          </cell>
          <cell r="B1310">
            <v>2</v>
          </cell>
          <cell r="C1310" t="str">
            <v>c</v>
          </cell>
          <cell r="D1310">
            <v>12220358</v>
          </cell>
          <cell r="E1310" t="str">
            <v>설 명 판(황동주물)</v>
          </cell>
          <cell r="F1310" t="str">
            <v>(500x300x10)</v>
          </cell>
          <cell r="G1310" t="str">
            <v>EA</v>
          </cell>
          <cell r="I1310">
            <v>0</v>
          </cell>
        </row>
        <row r="1311">
          <cell r="A1311" t="str">
            <v>E2</v>
          </cell>
          <cell r="B1311">
            <v>0</v>
          </cell>
          <cell r="C1311" t="str">
            <v>계</v>
          </cell>
          <cell r="D1311">
            <v>12220390</v>
          </cell>
          <cell r="I1311">
            <v>0</v>
          </cell>
        </row>
        <row r="1312">
          <cell r="A1312" t="str">
            <v>D00594</v>
          </cell>
          <cell r="B1312">
            <v>1</v>
          </cell>
          <cell r="C1312" t="str">
            <v>3.14</v>
          </cell>
          <cell r="D1312">
            <v>12220406</v>
          </cell>
          <cell r="E1312" t="str">
            <v>측량기준점 설치</v>
          </cell>
          <cell r="F1312" t="str">
            <v>(황동주물)</v>
          </cell>
          <cell r="G1312" t="str">
            <v>EA</v>
          </cell>
          <cell r="I1312">
            <v>0</v>
          </cell>
        </row>
        <row r="1313">
          <cell r="A1313" t="str">
            <v>T2</v>
          </cell>
          <cell r="B1313">
            <v>1315</v>
          </cell>
          <cell r="C1313" t="str">
            <v>3.15</v>
          </cell>
          <cell r="D1313">
            <v>12220812</v>
          </cell>
          <cell r="E1313" t="str">
            <v>충  진  제</v>
          </cell>
          <cell r="I1313">
            <v>0</v>
          </cell>
        </row>
        <row r="1314">
          <cell r="A1314" t="str">
            <v>D01224</v>
          </cell>
          <cell r="B1314">
            <v>67</v>
          </cell>
          <cell r="C1314" t="str">
            <v>a</v>
          </cell>
          <cell r="D1314">
            <v>12220875</v>
          </cell>
          <cell r="E1314" t="str">
            <v>폴리우레탄실란트채움</v>
          </cell>
          <cell r="F1314" t="str">
            <v>(25x10)</v>
          </cell>
          <cell r="G1314" t="str">
            <v>M</v>
          </cell>
          <cell r="I1314">
            <v>0</v>
          </cell>
        </row>
        <row r="1315">
          <cell r="A1315" t="str">
            <v>D00846</v>
          </cell>
          <cell r="B1315">
            <v>10</v>
          </cell>
          <cell r="C1315" t="str">
            <v>b</v>
          </cell>
          <cell r="D1315">
            <v>12220938</v>
          </cell>
          <cell r="E1315" t="str">
            <v>폴리우레탄실란트채움</v>
          </cell>
          <cell r="F1315" t="str">
            <v>(25x20)</v>
          </cell>
          <cell r="G1315" t="str">
            <v>M</v>
          </cell>
          <cell r="I1315">
            <v>0</v>
          </cell>
        </row>
        <row r="1316">
          <cell r="A1316" t="str">
            <v>E2</v>
          </cell>
          <cell r="B1316">
            <v>0</v>
          </cell>
          <cell r="C1316" t="str">
            <v>계</v>
          </cell>
          <cell r="D1316">
            <v>12220988</v>
          </cell>
          <cell r="I1316">
            <v>0</v>
          </cell>
        </row>
        <row r="1317">
          <cell r="A1317" t="str">
            <v>D00911</v>
          </cell>
          <cell r="B1317">
            <v>32</v>
          </cell>
          <cell r="C1317" t="str">
            <v>3.16</v>
          </cell>
          <cell r="D1317">
            <v>12221450</v>
          </cell>
          <cell r="E1317" t="str">
            <v>방 호 벽</v>
          </cell>
          <cell r="F1317" t="str">
            <v>(육교용)</v>
          </cell>
          <cell r="G1317" t="str">
            <v>M</v>
          </cell>
          <cell r="I1317">
            <v>0</v>
          </cell>
        </row>
        <row r="1318">
          <cell r="A1318" t="str">
            <v>D01064</v>
          </cell>
          <cell r="B1318">
            <v>13</v>
          </cell>
          <cell r="C1318" t="str">
            <v>3.17</v>
          </cell>
          <cell r="D1318">
            <v>12221747</v>
          </cell>
          <cell r="E1318" t="str">
            <v>중앙분리대</v>
          </cell>
          <cell r="G1318" t="str">
            <v>M</v>
          </cell>
          <cell r="I1318">
            <v>0</v>
          </cell>
        </row>
        <row r="1319">
          <cell r="A1319" t="str">
            <v>D03817</v>
          </cell>
          <cell r="B1319">
            <v>45</v>
          </cell>
          <cell r="C1319" t="str">
            <v>3.18</v>
          </cell>
          <cell r="D1319">
            <v>12222043</v>
          </cell>
          <cell r="E1319" t="str">
            <v>ELASTIC FILLER</v>
          </cell>
          <cell r="F1319" t="str">
            <v>(T=20 m/m)</v>
          </cell>
          <cell r="G1319" t="str">
            <v>㎡</v>
          </cell>
          <cell r="I1319">
            <v>0</v>
          </cell>
        </row>
        <row r="1320">
          <cell r="A1320" t="str">
            <v>D00563</v>
          </cell>
          <cell r="B1320">
            <v>330</v>
          </cell>
          <cell r="C1320" t="str">
            <v>3.19</v>
          </cell>
          <cell r="D1320">
            <v>12222487</v>
          </cell>
          <cell r="E1320" t="str">
            <v>아스팔트 방수</v>
          </cell>
          <cell r="F1320" t="str">
            <v>(2 회)</v>
          </cell>
          <cell r="G1320" t="str">
            <v>㎡</v>
          </cell>
          <cell r="I1320">
            <v>0</v>
          </cell>
        </row>
        <row r="1321">
          <cell r="A1321" t="str">
            <v>D01191</v>
          </cell>
          <cell r="B1321">
            <v>6</v>
          </cell>
          <cell r="C1321" t="str">
            <v>3.20</v>
          </cell>
          <cell r="D1321">
            <v>12222561</v>
          </cell>
          <cell r="E1321" t="str">
            <v>PVC PIPE 설치</v>
          </cell>
          <cell r="F1321" t="str">
            <v>(Φ65 m/m)</v>
          </cell>
          <cell r="G1321" t="str">
            <v>M</v>
          </cell>
          <cell r="I1321">
            <v>0</v>
          </cell>
        </row>
        <row r="1322">
          <cell r="A1322" t="str">
            <v>D00587</v>
          </cell>
          <cell r="B1322">
            <v>29</v>
          </cell>
          <cell r="C1322" t="str">
            <v>3.21</v>
          </cell>
          <cell r="D1322">
            <v>12222617</v>
          </cell>
          <cell r="E1322" t="str">
            <v>신축이음</v>
          </cell>
          <cell r="F1322" t="str">
            <v>(지하차도)</v>
          </cell>
          <cell r="G1322" t="str">
            <v>M</v>
          </cell>
          <cell r="I1322">
            <v>0</v>
          </cell>
        </row>
        <row r="1323">
          <cell r="A1323" t="str">
            <v>D03842</v>
          </cell>
          <cell r="B1323">
            <v>20</v>
          </cell>
          <cell r="C1323" t="str">
            <v>3.22</v>
          </cell>
          <cell r="D1323">
            <v>12222626</v>
          </cell>
          <cell r="E1323" t="str">
            <v>지수판설치</v>
          </cell>
          <cell r="F1323" t="str">
            <v>(300x5 m/m)</v>
          </cell>
          <cell r="G1323" t="str">
            <v>M</v>
          </cell>
          <cell r="I1323">
            <v>0</v>
          </cell>
        </row>
        <row r="1324">
          <cell r="A1324" t="str">
            <v>D03747</v>
          </cell>
          <cell r="B1324">
            <v>67</v>
          </cell>
          <cell r="C1324" t="str">
            <v>3.23</v>
          </cell>
          <cell r="D1324">
            <v>12222629</v>
          </cell>
          <cell r="E1324" t="str">
            <v>워터스톱</v>
          </cell>
          <cell r="F1324" t="str">
            <v>(20x25)</v>
          </cell>
          <cell r="G1324" t="str">
            <v>M</v>
          </cell>
          <cell r="I1324">
            <v>0</v>
          </cell>
        </row>
        <row r="1325">
          <cell r="A1325" t="str">
            <v>T2</v>
          </cell>
          <cell r="B1325">
            <v>1327</v>
          </cell>
          <cell r="C1325" t="str">
            <v>3.24</v>
          </cell>
          <cell r="D1325">
            <v>12222631</v>
          </cell>
          <cell r="E1325" t="str">
            <v>파일재하시험</v>
          </cell>
          <cell r="I1325">
            <v>0</v>
          </cell>
        </row>
        <row r="1326">
          <cell r="A1326" t="str">
            <v>D03869</v>
          </cell>
          <cell r="B1326">
            <v>1</v>
          </cell>
          <cell r="C1326" t="str">
            <v>a</v>
          </cell>
          <cell r="D1326">
            <v>12222633</v>
          </cell>
          <cell r="E1326" t="str">
            <v>파일재하시험</v>
          </cell>
          <cell r="F1326" t="str">
            <v>(정재하시험)</v>
          </cell>
          <cell r="G1326" t="str">
            <v>개소</v>
          </cell>
          <cell r="I1326">
            <v>0</v>
          </cell>
        </row>
        <row r="1327">
          <cell r="A1327" t="str">
            <v>D03870</v>
          </cell>
          <cell r="B1327">
            <v>3</v>
          </cell>
          <cell r="C1327" t="str">
            <v>b</v>
          </cell>
          <cell r="D1327">
            <v>12222634</v>
          </cell>
          <cell r="E1327" t="str">
            <v>파일재하시험</v>
          </cell>
          <cell r="F1327" t="str">
            <v>(동재하시험)</v>
          </cell>
          <cell r="G1327" t="str">
            <v>개소</v>
          </cell>
          <cell r="I1327">
            <v>0</v>
          </cell>
        </row>
        <row r="1328">
          <cell r="A1328" t="str">
            <v>E2</v>
          </cell>
          <cell r="B1328">
            <v>0</v>
          </cell>
          <cell r="C1328" t="str">
            <v>계</v>
          </cell>
          <cell r="D1328">
            <v>12222635</v>
          </cell>
          <cell r="I1328">
            <v>0</v>
          </cell>
        </row>
        <row r="1329">
          <cell r="A1329" t="str">
            <v>E3</v>
          </cell>
          <cell r="B1329">
            <v>0</v>
          </cell>
          <cell r="C1329" t="str">
            <v>합계</v>
          </cell>
          <cell r="D1329">
            <v>12222763</v>
          </cell>
          <cell r="I1329">
            <v>0</v>
          </cell>
        </row>
        <row r="1330">
          <cell r="A1330" t="str">
            <v>T3</v>
          </cell>
          <cell r="B1330">
            <v>1450</v>
          </cell>
          <cell r="C1330" t="str">
            <v>3.K</v>
          </cell>
          <cell r="D1330">
            <v>12222891</v>
          </cell>
          <cell r="E1330" t="str">
            <v>장  성  천  교</v>
          </cell>
          <cell r="F1330" t="str">
            <v>P.S.C BEAM</v>
          </cell>
          <cell r="I1330">
            <v>0</v>
          </cell>
        </row>
        <row r="1331">
          <cell r="A1331" t="str">
            <v>T2</v>
          </cell>
          <cell r="B1331">
            <v>1341</v>
          </cell>
          <cell r="C1331" t="str">
            <v>3.01</v>
          </cell>
          <cell r="D1331">
            <v>12223019</v>
          </cell>
          <cell r="E1331" t="str">
            <v>토          공</v>
          </cell>
          <cell r="I1331">
            <v>0</v>
          </cell>
        </row>
        <row r="1332">
          <cell r="A1332" t="str">
            <v>D00096</v>
          </cell>
          <cell r="B1332">
            <v>370</v>
          </cell>
          <cell r="C1332" t="str">
            <v>a</v>
          </cell>
          <cell r="D1332">
            <v>12376316</v>
          </cell>
          <cell r="E1332" t="str">
            <v>구조물터파기</v>
          </cell>
          <cell r="F1332" t="str">
            <v>(육상토사 0∼2 M)</v>
          </cell>
          <cell r="G1332" t="str">
            <v>㎥</v>
          </cell>
          <cell r="I1332">
            <v>0</v>
          </cell>
        </row>
        <row r="1333">
          <cell r="A1333" t="str">
            <v>D00100</v>
          </cell>
          <cell r="B1333">
            <v>2148</v>
          </cell>
          <cell r="C1333" t="str">
            <v>b</v>
          </cell>
          <cell r="D1333">
            <v>12376652</v>
          </cell>
          <cell r="E1333" t="str">
            <v>구조물터파기</v>
          </cell>
          <cell r="F1333" t="str">
            <v>(수중토사 0∼2 M)</v>
          </cell>
          <cell r="G1333" t="str">
            <v>㎥</v>
          </cell>
          <cell r="I1333">
            <v>0</v>
          </cell>
        </row>
        <row r="1334">
          <cell r="A1334" t="str">
            <v>D00101</v>
          </cell>
          <cell r="B1334">
            <v>1369</v>
          </cell>
          <cell r="C1334" t="str">
            <v>c</v>
          </cell>
          <cell r="D1334">
            <v>12376820</v>
          </cell>
          <cell r="E1334" t="str">
            <v>구조물터파기</v>
          </cell>
          <cell r="F1334" t="str">
            <v>(수중토사 2∼4 M)</v>
          </cell>
          <cell r="G1334" t="str">
            <v>㎥</v>
          </cell>
          <cell r="I1334">
            <v>0</v>
          </cell>
        </row>
        <row r="1335">
          <cell r="A1335" t="str">
            <v>D00102</v>
          </cell>
          <cell r="B1335">
            <v>613</v>
          </cell>
          <cell r="C1335" t="str">
            <v>d</v>
          </cell>
          <cell r="D1335">
            <v>12376904</v>
          </cell>
          <cell r="E1335" t="str">
            <v>구조물터파기</v>
          </cell>
          <cell r="F1335" t="str">
            <v>(수중토사 4∼6 M)</v>
          </cell>
          <cell r="G1335" t="str">
            <v>㎥</v>
          </cell>
          <cell r="I1335">
            <v>0</v>
          </cell>
        </row>
        <row r="1336">
          <cell r="A1336" t="str">
            <v>D00160</v>
          </cell>
          <cell r="B1336">
            <v>2467</v>
          </cell>
          <cell r="C1336" t="str">
            <v>e</v>
          </cell>
          <cell r="D1336">
            <v>12376988</v>
          </cell>
          <cell r="E1336" t="str">
            <v>되메우기및다짐</v>
          </cell>
          <cell r="F1336" t="str">
            <v>(인력30%+백호우70%)</v>
          </cell>
          <cell r="G1336" t="str">
            <v>㎥</v>
          </cell>
          <cell r="I1336">
            <v>0</v>
          </cell>
        </row>
        <row r="1337">
          <cell r="A1337" t="str">
            <v>D00170</v>
          </cell>
          <cell r="B1337">
            <v>512</v>
          </cell>
          <cell r="C1337" t="str">
            <v>f</v>
          </cell>
          <cell r="D1337">
            <v>12377108</v>
          </cell>
          <cell r="E1337" t="str">
            <v>뒷채움잡석</v>
          </cell>
          <cell r="F1337" t="str">
            <v>(현장암유용)</v>
          </cell>
          <cell r="G1337" t="str">
            <v>㎥</v>
          </cell>
          <cell r="I1337">
            <v>0</v>
          </cell>
        </row>
        <row r="1338">
          <cell r="A1338" t="str">
            <v>D00534</v>
          </cell>
          <cell r="B1338">
            <v>200</v>
          </cell>
          <cell r="C1338" t="str">
            <v>g</v>
          </cell>
          <cell r="D1338">
            <v>12377168</v>
          </cell>
          <cell r="E1338" t="str">
            <v>물 푸 기</v>
          </cell>
          <cell r="G1338" t="str">
            <v>HR</v>
          </cell>
          <cell r="I1338">
            <v>0</v>
          </cell>
        </row>
        <row r="1339">
          <cell r="A1339" t="str">
            <v>D00150</v>
          </cell>
          <cell r="B1339">
            <v>1374</v>
          </cell>
          <cell r="C1339" t="str">
            <v>h</v>
          </cell>
          <cell r="D1339">
            <v>12377198</v>
          </cell>
          <cell r="E1339" t="str">
            <v>교대앞성토</v>
          </cell>
          <cell r="G1339" t="str">
            <v>㎥</v>
          </cell>
          <cell r="I1339">
            <v>0</v>
          </cell>
        </row>
        <row r="1340">
          <cell r="A1340" t="str">
            <v>D00591</v>
          </cell>
          <cell r="B1340">
            <v>1321</v>
          </cell>
          <cell r="C1340" t="str">
            <v>i</v>
          </cell>
          <cell r="D1340">
            <v>12377213</v>
          </cell>
          <cell r="E1340" t="str">
            <v>사석채움</v>
          </cell>
          <cell r="G1340" t="str">
            <v>㎥</v>
          </cell>
          <cell r="I1340">
            <v>0</v>
          </cell>
        </row>
        <row r="1341">
          <cell r="A1341" t="str">
            <v>D00704</v>
          </cell>
          <cell r="B1341">
            <v>1287</v>
          </cell>
          <cell r="C1341" t="str">
            <v>j</v>
          </cell>
          <cell r="D1341">
            <v>12377221</v>
          </cell>
          <cell r="E1341" t="str">
            <v>마대쌓기및헐기</v>
          </cell>
          <cell r="G1341" t="str">
            <v>㎡</v>
          </cell>
          <cell r="I1341">
            <v>0</v>
          </cell>
        </row>
        <row r="1342">
          <cell r="A1342" t="str">
            <v>E2</v>
          </cell>
          <cell r="B1342">
            <v>0</v>
          </cell>
          <cell r="C1342" t="str">
            <v>계</v>
          </cell>
          <cell r="D1342">
            <v>12377228</v>
          </cell>
          <cell r="I1342">
            <v>0</v>
          </cell>
        </row>
        <row r="1343">
          <cell r="A1343" t="str">
            <v>T2</v>
          </cell>
          <cell r="B1343">
            <v>1352</v>
          </cell>
          <cell r="C1343" t="str">
            <v>3.02</v>
          </cell>
          <cell r="D1343">
            <v>12377356</v>
          </cell>
          <cell r="E1343" t="str">
            <v>강관파일공</v>
          </cell>
          <cell r="I1343">
            <v>0</v>
          </cell>
        </row>
        <row r="1344">
          <cell r="A1344" t="str">
            <v>D00504</v>
          </cell>
          <cell r="B1344">
            <v>2156</v>
          </cell>
          <cell r="C1344" t="str">
            <v>a</v>
          </cell>
          <cell r="D1344">
            <v>12377484</v>
          </cell>
          <cell r="E1344" t="str">
            <v>강관파일구입</v>
          </cell>
          <cell r="F1344" t="str">
            <v>(Φ508.0m/mx9t)</v>
          </cell>
          <cell r="G1344" t="str">
            <v>M</v>
          </cell>
          <cell r="I1344">
            <v>0</v>
          </cell>
        </row>
        <row r="1345">
          <cell r="A1345" t="str">
            <v>D00512</v>
          </cell>
          <cell r="B1345">
            <v>2094</v>
          </cell>
          <cell r="C1345" t="str">
            <v>b</v>
          </cell>
          <cell r="D1345">
            <v>12377513</v>
          </cell>
          <cell r="E1345" t="str">
            <v>강관파일항타(직항)</v>
          </cell>
          <cell r="F1345" t="str">
            <v>Φ508(15 m 이하)</v>
          </cell>
          <cell r="G1345" t="str">
            <v>M</v>
          </cell>
          <cell r="I1345">
            <v>0</v>
          </cell>
        </row>
        <row r="1346">
          <cell r="A1346" t="str">
            <v>D03821</v>
          </cell>
          <cell r="B1346">
            <v>215</v>
          </cell>
          <cell r="C1346" t="str">
            <v>c</v>
          </cell>
          <cell r="D1346">
            <v>12377516</v>
          </cell>
          <cell r="E1346" t="str">
            <v>토사천공</v>
          </cell>
          <cell r="G1346" t="str">
            <v>M</v>
          </cell>
          <cell r="I1346">
            <v>0</v>
          </cell>
        </row>
        <row r="1347">
          <cell r="A1347" t="str">
            <v>D03797</v>
          </cell>
          <cell r="B1347">
            <v>106</v>
          </cell>
          <cell r="C1347" t="str">
            <v>d</v>
          </cell>
          <cell r="D1347">
            <v>12377519</v>
          </cell>
          <cell r="E1347" t="str">
            <v>풍 화 암</v>
          </cell>
          <cell r="F1347" t="str">
            <v>(T-4)</v>
          </cell>
          <cell r="G1347" t="str">
            <v>M</v>
          </cell>
          <cell r="I1347">
            <v>0</v>
          </cell>
        </row>
        <row r="1348">
          <cell r="A1348" t="str">
            <v>D03838</v>
          </cell>
          <cell r="B1348">
            <v>26</v>
          </cell>
          <cell r="C1348" t="str">
            <v>e</v>
          </cell>
          <cell r="D1348">
            <v>12377522</v>
          </cell>
          <cell r="E1348" t="str">
            <v>파일속모래채움</v>
          </cell>
          <cell r="G1348" t="str">
            <v>㎥</v>
          </cell>
          <cell r="I1348">
            <v>0</v>
          </cell>
        </row>
        <row r="1349">
          <cell r="A1349" t="str">
            <v>D00502</v>
          </cell>
          <cell r="B1349">
            <v>26</v>
          </cell>
          <cell r="C1349" t="str">
            <v>f</v>
          </cell>
          <cell r="D1349">
            <v>12377523</v>
          </cell>
          <cell r="E1349" t="str">
            <v>속채움 콘크리트</v>
          </cell>
          <cell r="G1349" t="str">
            <v>㎥</v>
          </cell>
          <cell r="I1349">
            <v>0</v>
          </cell>
        </row>
        <row r="1350">
          <cell r="A1350" t="str">
            <v>D00516</v>
          </cell>
          <cell r="B1350">
            <v>248</v>
          </cell>
          <cell r="C1350" t="str">
            <v>g</v>
          </cell>
          <cell r="D1350">
            <v>12377524</v>
          </cell>
          <cell r="E1350" t="str">
            <v>두부및선단보강</v>
          </cell>
          <cell r="F1350" t="str">
            <v>(Φ508.0 m/m)천공</v>
          </cell>
          <cell r="G1350" t="str">
            <v>EA</v>
          </cell>
          <cell r="I1350">
            <v>0</v>
          </cell>
        </row>
        <row r="1351">
          <cell r="A1351" t="str">
            <v>D03829</v>
          </cell>
          <cell r="B1351">
            <v>77</v>
          </cell>
          <cell r="C1351" t="str">
            <v>h</v>
          </cell>
          <cell r="D1351">
            <v>12377533</v>
          </cell>
          <cell r="E1351" t="str">
            <v>주면고정액</v>
          </cell>
          <cell r="G1351" t="str">
            <v>㎥</v>
          </cell>
          <cell r="I1351">
            <v>0</v>
          </cell>
        </row>
        <row r="1352">
          <cell r="A1352" t="str">
            <v>D03830</v>
          </cell>
          <cell r="B1352">
            <v>16</v>
          </cell>
          <cell r="C1352" t="str">
            <v>i</v>
          </cell>
          <cell r="D1352">
            <v>12377537</v>
          </cell>
          <cell r="E1352" t="str">
            <v>선단고정액</v>
          </cell>
          <cell r="G1352" t="str">
            <v>㎥</v>
          </cell>
          <cell r="I1352">
            <v>0</v>
          </cell>
        </row>
        <row r="1353">
          <cell r="A1353" t="str">
            <v>E2</v>
          </cell>
          <cell r="B1353">
            <v>0</v>
          </cell>
          <cell r="C1353" t="str">
            <v>계</v>
          </cell>
          <cell r="D1353">
            <v>12377541</v>
          </cell>
          <cell r="I1353">
            <v>0</v>
          </cell>
        </row>
        <row r="1354">
          <cell r="A1354" t="str">
            <v>T2</v>
          </cell>
          <cell r="B1354">
            <v>1360</v>
          </cell>
          <cell r="C1354" t="str">
            <v>3.03</v>
          </cell>
          <cell r="D1354">
            <v>12378327</v>
          </cell>
          <cell r="E1354" t="str">
            <v>거 푸 집</v>
          </cell>
          <cell r="I1354">
            <v>0</v>
          </cell>
        </row>
        <row r="1355">
          <cell r="A1355" t="str">
            <v>D00276</v>
          </cell>
          <cell r="B1355">
            <v>2709</v>
          </cell>
          <cell r="C1355" t="str">
            <v>a</v>
          </cell>
          <cell r="D1355">
            <v>12378328</v>
          </cell>
          <cell r="E1355" t="str">
            <v>합판거푸집</v>
          </cell>
          <cell r="F1355" t="str">
            <v>(3 회)</v>
          </cell>
          <cell r="G1355" t="str">
            <v>㎡</v>
          </cell>
          <cell r="I1355">
            <v>0</v>
          </cell>
        </row>
        <row r="1356">
          <cell r="A1356" t="str">
            <v>D00280</v>
          </cell>
          <cell r="B1356">
            <v>402</v>
          </cell>
          <cell r="C1356" t="str">
            <v>b</v>
          </cell>
          <cell r="D1356">
            <v>12378392</v>
          </cell>
          <cell r="E1356" t="str">
            <v>합판거푸집</v>
          </cell>
          <cell r="F1356" t="str">
            <v>(4 회)</v>
          </cell>
          <cell r="G1356" t="str">
            <v>㎡</v>
          </cell>
          <cell r="I1356">
            <v>0</v>
          </cell>
        </row>
        <row r="1357">
          <cell r="A1357" t="str">
            <v>D00282</v>
          </cell>
          <cell r="B1357">
            <v>31</v>
          </cell>
          <cell r="C1357" t="str">
            <v>c</v>
          </cell>
          <cell r="D1357">
            <v>12378424</v>
          </cell>
          <cell r="E1357" t="str">
            <v>합판거푸집</v>
          </cell>
          <cell r="F1357" t="str">
            <v>(6 회)</v>
          </cell>
          <cell r="G1357" t="str">
            <v>㎡</v>
          </cell>
          <cell r="I1357">
            <v>0</v>
          </cell>
        </row>
        <row r="1358">
          <cell r="A1358" t="str">
            <v>D00265</v>
          </cell>
          <cell r="B1358">
            <v>298</v>
          </cell>
          <cell r="C1358" t="str">
            <v>d</v>
          </cell>
          <cell r="D1358">
            <v>12378432</v>
          </cell>
          <cell r="E1358" t="str">
            <v>문양거푸집(합판4회+</v>
          </cell>
          <cell r="F1358" t="str">
            <v>문양스치로폴(0∼7M)</v>
          </cell>
          <cell r="G1358" t="str">
            <v>㎡</v>
          </cell>
          <cell r="I1358">
            <v>0</v>
          </cell>
        </row>
        <row r="1359">
          <cell r="A1359" t="str">
            <v>D00306</v>
          </cell>
          <cell r="B1359">
            <v>284</v>
          </cell>
          <cell r="C1359" t="str">
            <v>e</v>
          </cell>
          <cell r="D1359">
            <v>12378438</v>
          </cell>
          <cell r="E1359" t="str">
            <v>원형거푸집</v>
          </cell>
          <cell r="F1359" t="str">
            <v>(3 회 0∼7 m)</v>
          </cell>
          <cell r="G1359" t="str">
            <v>㎡</v>
          </cell>
          <cell r="I1359">
            <v>0</v>
          </cell>
        </row>
        <row r="1360">
          <cell r="A1360" t="str">
            <v>D00307</v>
          </cell>
          <cell r="B1360">
            <v>25</v>
          </cell>
          <cell r="C1360" t="str">
            <v>f</v>
          </cell>
          <cell r="D1360">
            <v>12378439</v>
          </cell>
          <cell r="E1360" t="str">
            <v>원형거푸집</v>
          </cell>
          <cell r="F1360" t="str">
            <v>(3 회 7∼10 m)</v>
          </cell>
          <cell r="G1360" t="str">
            <v>㎡</v>
          </cell>
          <cell r="I1360">
            <v>0</v>
          </cell>
        </row>
        <row r="1361">
          <cell r="A1361" t="str">
            <v>E2</v>
          </cell>
          <cell r="B1361">
            <v>0</v>
          </cell>
          <cell r="C1361" t="str">
            <v>계</v>
          </cell>
          <cell r="D1361">
            <v>12378440</v>
          </cell>
          <cell r="I1361">
            <v>0</v>
          </cell>
        </row>
        <row r="1362">
          <cell r="A1362" t="str">
            <v>D00323</v>
          </cell>
          <cell r="B1362">
            <v>1581</v>
          </cell>
          <cell r="C1362" t="str">
            <v>3.04</v>
          </cell>
          <cell r="D1362">
            <v>12378441</v>
          </cell>
          <cell r="E1362" t="str">
            <v>강관비계</v>
          </cell>
          <cell r="F1362" t="str">
            <v>(0∼30 M)</v>
          </cell>
          <cell r="G1362" t="str">
            <v>㎡</v>
          </cell>
          <cell r="I1362">
            <v>0</v>
          </cell>
        </row>
        <row r="1363">
          <cell r="A1363" t="str">
            <v>T2</v>
          </cell>
          <cell r="B1363">
            <v>1366</v>
          </cell>
          <cell r="C1363" t="str">
            <v>3.05</v>
          </cell>
          <cell r="D1363">
            <v>12378505</v>
          </cell>
          <cell r="E1363" t="str">
            <v>동 바 리</v>
          </cell>
          <cell r="I1363">
            <v>0</v>
          </cell>
        </row>
        <row r="1364">
          <cell r="A1364" t="str">
            <v>D00327</v>
          </cell>
          <cell r="B1364">
            <v>2266</v>
          </cell>
          <cell r="C1364" t="str">
            <v>a</v>
          </cell>
          <cell r="D1364">
            <v>12378537</v>
          </cell>
          <cell r="E1364" t="str">
            <v>동바리공</v>
          </cell>
          <cell r="F1364" t="str">
            <v>(목재 4 회)</v>
          </cell>
          <cell r="G1364" t="str">
            <v>공㎥</v>
          </cell>
          <cell r="I1364">
            <v>0</v>
          </cell>
        </row>
        <row r="1365">
          <cell r="A1365" t="str">
            <v>D00334</v>
          </cell>
          <cell r="B1365">
            <v>642</v>
          </cell>
          <cell r="C1365" t="str">
            <v>b</v>
          </cell>
          <cell r="D1365">
            <v>12378561</v>
          </cell>
          <cell r="E1365" t="str">
            <v>강관동바리</v>
          </cell>
          <cell r="F1365" t="str">
            <v>(교량용)</v>
          </cell>
          <cell r="G1365" t="str">
            <v>공㎥</v>
          </cell>
          <cell r="I1365">
            <v>0</v>
          </cell>
        </row>
        <row r="1366">
          <cell r="A1366" t="str">
            <v>D01129</v>
          </cell>
          <cell r="B1366">
            <v>82</v>
          </cell>
          <cell r="C1366" t="str">
            <v>c</v>
          </cell>
          <cell r="D1366">
            <v>12378565</v>
          </cell>
          <cell r="E1366" t="str">
            <v>수평보강재(교량용)</v>
          </cell>
          <cell r="F1366" t="str">
            <v>(강관동바리)</v>
          </cell>
          <cell r="G1366" t="str">
            <v>㎡</v>
          </cell>
          <cell r="I1366">
            <v>0</v>
          </cell>
        </row>
        <row r="1367">
          <cell r="A1367" t="str">
            <v>E2</v>
          </cell>
          <cell r="B1367">
            <v>0</v>
          </cell>
          <cell r="C1367" t="str">
            <v>계</v>
          </cell>
          <cell r="D1367">
            <v>12378567</v>
          </cell>
          <cell r="I1367">
            <v>0</v>
          </cell>
        </row>
        <row r="1368">
          <cell r="A1368" t="str">
            <v>T2</v>
          </cell>
          <cell r="B1368">
            <v>1370</v>
          </cell>
          <cell r="C1368" t="str">
            <v>3.06</v>
          </cell>
          <cell r="D1368">
            <v>12378689</v>
          </cell>
          <cell r="E1368" t="str">
            <v>철근가공조립</v>
          </cell>
          <cell r="I1368">
            <v>0</v>
          </cell>
        </row>
        <row r="1369">
          <cell r="A1369" t="str">
            <v>D00271</v>
          </cell>
          <cell r="B1369">
            <v>19.244</v>
          </cell>
          <cell r="C1369" t="str">
            <v>a</v>
          </cell>
          <cell r="D1369">
            <v>12378691</v>
          </cell>
          <cell r="E1369" t="str">
            <v>철근가공조립</v>
          </cell>
          <cell r="F1369" t="str">
            <v>(보 통)</v>
          </cell>
          <cell r="G1369" t="str">
            <v>Ton</v>
          </cell>
          <cell r="I1369">
            <v>0</v>
          </cell>
        </row>
        <row r="1370">
          <cell r="A1370" t="str">
            <v>D00272</v>
          </cell>
          <cell r="B1370">
            <v>346.63499999999999</v>
          </cell>
          <cell r="C1370" t="str">
            <v>b</v>
          </cell>
          <cell r="D1370">
            <v>12378693</v>
          </cell>
          <cell r="E1370" t="str">
            <v>철근가공조립</v>
          </cell>
          <cell r="F1370" t="str">
            <v>(복 잡)</v>
          </cell>
          <cell r="G1370" t="str">
            <v>Ton</v>
          </cell>
          <cell r="I1370">
            <v>0</v>
          </cell>
        </row>
        <row r="1371">
          <cell r="A1371" t="str">
            <v>E2</v>
          </cell>
          <cell r="B1371">
            <v>0</v>
          </cell>
          <cell r="C1371" t="str">
            <v>계</v>
          </cell>
          <cell r="D1371">
            <v>12378696</v>
          </cell>
          <cell r="I1371">
            <v>0</v>
          </cell>
        </row>
        <row r="1372">
          <cell r="A1372" t="str">
            <v>T2</v>
          </cell>
          <cell r="B1372">
            <v>1374</v>
          </cell>
          <cell r="C1372" t="str">
            <v>3.07</v>
          </cell>
          <cell r="D1372">
            <v>12378697</v>
          </cell>
          <cell r="E1372" t="str">
            <v>콘크리트타설</v>
          </cell>
          <cell r="I1372">
            <v>0</v>
          </cell>
        </row>
        <row r="1373">
          <cell r="A1373" t="str">
            <v>D00237</v>
          </cell>
          <cell r="B1373">
            <v>2114</v>
          </cell>
          <cell r="C1373" t="str">
            <v>a</v>
          </cell>
          <cell r="D1373">
            <v>12378761</v>
          </cell>
          <cell r="E1373" t="str">
            <v>콘크리트타설</v>
          </cell>
          <cell r="F1373" t="str">
            <v>(철근 펌프카)</v>
          </cell>
          <cell r="G1373" t="str">
            <v>㎥</v>
          </cell>
          <cell r="I1373">
            <v>0</v>
          </cell>
        </row>
        <row r="1374">
          <cell r="A1374" t="str">
            <v>D00231</v>
          </cell>
          <cell r="B1374">
            <v>73</v>
          </cell>
          <cell r="C1374" t="str">
            <v>b</v>
          </cell>
          <cell r="D1374">
            <v>12378793</v>
          </cell>
          <cell r="E1374" t="str">
            <v>콘크리트타설</v>
          </cell>
          <cell r="F1374" t="str">
            <v>(무근 VIB 제외)</v>
          </cell>
          <cell r="G1374" t="str">
            <v>㎥</v>
          </cell>
          <cell r="I1374">
            <v>0</v>
          </cell>
        </row>
        <row r="1375">
          <cell r="A1375" t="str">
            <v>E2</v>
          </cell>
          <cell r="B1375">
            <v>0</v>
          </cell>
          <cell r="C1375" t="str">
            <v>계</v>
          </cell>
          <cell r="D1375">
            <v>12378825</v>
          </cell>
          <cell r="I1375">
            <v>0</v>
          </cell>
        </row>
        <row r="1376">
          <cell r="A1376" t="str">
            <v>T2</v>
          </cell>
          <cell r="B1376">
            <v>1378</v>
          </cell>
          <cell r="C1376" t="str">
            <v>3.08</v>
          </cell>
          <cell r="D1376">
            <v>12378833</v>
          </cell>
          <cell r="E1376" t="str">
            <v>표 면 처 리</v>
          </cell>
          <cell r="I1376">
            <v>0</v>
          </cell>
        </row>
        <row r="1377">
          <cell r="A1377" t="str">
            <v>D00537</v>
          </cell>
          <cell r="B1377">
            <v>1894</v>
          </cell>
          <cell r="C1377" t="str">
            <v>a</v>
          </cell>
          <cell r="D1377">
            <v>12378837</v>
          </cell>
          <cell r="E1377" t="str">
            <v>슬래브양생</v>
          </cell>
          <cell r="F1377" t="str">
            <v>(양생제)</v>
          </cell>
          <cell r="G1377" t="str">
            <v>㎡</v>
          </cell>
          <cell r="I1377">
            <v>0</v>
          </cell>
        </row>
        <row r="1378">
          <cell r="A1378" t="str">
            <v>D00539</v>
          </cell>
          <cell r="B1378">
            <v>1714</v>
          </cell>
          <cell r="C1378" t="str">
            <v>b</v>
          </cell>
          <cell r="D1378">
            <v>12378839</v>
          </cell>
          <cell r="E1378" t="str">
            <v>슬래브면고르기</v>
          </cell>
          <cell r="F1378" t="str">
            <v>(데크 피니샤)</v>
          </cell>
          <cell r="G1378" t="str">
            <v>㎡</v>
          </cell>
          <cell r="I1378">
            <v>0</v>
          </cell>
        </row>
        <row r="1379">
          <cell r="A1379" t="str">
            <v>E2</v>
          </cell>
          <cell r="B1379">
            <v>0</v>
          </cell>
          <cell r="C1379" t="str">
            <v>계</v>
          </cell>
          <cell r="D1379">
            <v>12378840</v>
          </cell>
          <cell r="I1379">
            <v>0</v>
          </cell>
        </row>
        <row r="1380">
          <cell r="A1380" t="str">
            <v>T2</v>
          </cell>
          <cell r="B1380">
            <v>1384</v>
          </cell>
          <cell r="C1380" t="str">
            <v>3.09</v>
          </cell>
          <cell r="D1380">
            <v>12378968</v>
          </cell>
          <cell r="E1380" t="str">
            <v>교좌장치</v>
          </cell>
          <cell r="I1380">
            <v>0</v>
          </cell>
        </row>
        <row r="1381">
          <cell r="A1381" t="str">
            <v>D00545</v>
          </cell>
          <cell r="B1381">
            <v>2</v>
          </cell>
          <cell r="C1381" t="str">
            <v>a</v>
          </cell>
          <cell r="D1381">
            <v>12379064</v>
          </cell>
          <cell r="E1381" t="str">
            <v>교좌장치</v>
          </cell>
          <cell r="F1381" t="str">
            <v>(고정단 135 Ton)</v>
          </cell>
          <cell r="G1381" t="str">
            <v>EA</v>
          </cell>
          <cell r="I1381">
            <v>0</v>
          </cell>
        </row>
        <row r="1382">
          <cell r="A1382" t="str">
            <v>D00549</v>
          </cell>
          <cell r="B1382">
            <v>8</v>
          </cell>
          <cell r="C1382" t="str">
            <v>b</v>
          </cell>
          <cell r="D1382">
            <v>12379112</v>
          </cell>
          <cell r="E1382" t="str">
            <v>교좌장치</v>
          </cell>
          <cell r="F1382" t="str">
            <v>(횡방향가동단135Ton)</v>
          </cell>
          <cell r="G1382" t="str">
            <v>EA</v>
          </cell>
          <cell r="I1382">
            <v>0</v>
          </cell>
        </row>
        <row r="1383">
          <cell r="A1383" t="str">
            <v>D00548</v>
          </cell>
          <cell r="B1383">
            <v>10</v>
          </cell>
          <cell r="C1383" t="str">
            <v>c</v>
          </cell>
          <cell r="D1383">
            <v>12379151</v>
          </cell>
          <cell r="E1383" t="str">
            <v>교좌장치</v>
          </cell>
          <cell r="F1383" t="str">
            <v>(종방향가동단135Ton)</v>
          </cell>
          <cell r="G1383" t="str">
            <v>EA</v>
          </cell>
          <cell r="I1383">
            <v>0</v>
          </cell>
        </row>
        <row r="1384">
          <cell r="A1384" t="str">
            <v>D00547</v>
          </cell>
          <cell r="B1384">
            <v>40</v>
          </cell>
          <cell r="C1384" t="str">
            <v>d</v>
          </cell>
          <cell r="D1384">
            <v>12379153</v>
          </cell>
          <cell r="E1384" t="str">
            <v>교좌장치</v>
          </cell>
          <cell r="F1384" t="str">
            <v>(양방향가동단135Ton)</v>
          </cell>
          <cell r="G1384" t="str">
            <v>EA</v>
          </cell>
          <cell r="I1384">
            <v>0</v>
          </cell>
        </row>
        <row r="1385">
          <cell r="A1385" t="str">
            <v>E2</v>
          </cell>
          <cell r="B1385">
            <v>0</v>
          </cell>
          <cell r="C1385" t="str">
            <v>계</v>
          </cell>
          <cell r="D1385">
            <v>12379154</v>
          </cell>
          <cell r="I1385">
            <v>0</v>
          </cell>
        </row>
        <row r="1386">
          <cell r="A1386" t="str">
            <v>T2</v>
          </cell>
          <cell r="B1386">
            <v>1389</v>
          </cell>
          <cell r="C1386" t="str">
            <v>3.10</v>
          </cell>
          <cell r="D1386">
            <v>12379282</v>
          </cell>
          <cell r="E1386" t="str">
            <v>P.S.C BEAM</v>
          </cell>
          <cell r="I1386">
            <v>0</v>
          </cell>
        </row>
        <row r="1387">
          <cell r="A1387" t="str">
            <v>D00619</v>
          </cell>
          <cell r="B1387">
            <v>30</v>
          </cell>
          <cell r="C1387" t="str">
            <v>a</v>
          </cell>
          <cell r="D1387">
            <v>12379346</v>
          </cell>
          <cell r="E1387" t="str">
            <v>P.S.C BEAM 제작</v>
          </cell>
          <cell r="F1387" t="str">
            <v>(L=30 M)</v>
          </cell>
          <cell r="G1387" t="str">
            <v>본</v>
          </cell>
          <cell r="I1387">
            <v>0</v>
          </cell>
        </row>
        <row r="1388">
          <cell r="A1388" t="str">
            <v>D00606</v>
          </cell>
          <cell r="B1388">
            <v>30</v>
          </cell>
          <cell r="C1388" t="str">
            <v>b</v>
          </cell>
          <cell r="D1388">
            <v>12379410</v>
          </cell>
          <cell r="E1388" t="str">
            <v>P.S.C 빔 운반및설치</v>
          </cell>
          <cell r="F1388" t="str">
            <v>(L=30 M)</v>
          </cell>
          <cell r="G1388" t="str">
            <v>EA</v>
          </cell>
          <cell r="I1388">
            <v>0</v>
          </cell>
        </row>
        <row r="1389">
          <cell r="A1389" t="str">
            <v>D01130</v>
          </cell>
          <cell r="B1389">
            <v>30</v>
          </cell>
          <cell r="C1389" t="str">
            <v>c</v>
          </cell>
          <cell r="D1389">
            <v>12379474</v>
          </cell>
          <cell r="E1389" t="str">
            <v>P.S.C빔 전도방지시설</v>
          </cell>
          <cell r="G1389" t="str">
            <v>본</v>
          </cell>
          <cell r="I1389">
            <v>0</v>
          </cell>
        </row>
        <row r="1390">
          <cell r="A1390" t="str">
            <v>E2</v>
          </cell>
          <cell r="B1390">
            <v>0</v>
          </cell>
          <cell r="C1390" t="str">
            <v>계</v>
          </cell>
          <cell r="D1390">
            <v>12379506</v>
          </cell>
          <cell r="I1390">
            <v>0</v>
          </cell>
        </row>
        <row r="1391">
          <cell r="A1391" t="str">
            <v>D01313</v>
          </cell>
          <cell r="B1391">
            <v>40</v>
          </cell>
          <cell r="C1391" t="str">
            <v>3.11</v>
          </cell>
          <cell r="D1391">
            <v>12379586</v>
          </cell>
          <cell r="E1391" t="str">
            <v>신축이음장치</v>
          </cell>
          <cell r="F1391" t="str">
            <v>(Rail-No100)</v>
          </cell>
          <cell r="G1391" t="str">
            <v>M</v>
          </cell>
          <cell r="I1391">
            <v>0</v>
          </cell>
        </row>
        <row r="1392">
          <cell r="A1392" t="str">
            <v>D00535</v>
          </cell>
          <cell r="B1392">
            <v>1714</v>
          </cell>
          <cell r="C1392" t="str">
            <v>3.12</v>
          </cell>
          <cell r="D1392">
            <v>12379762</v>
          </cell>
          <cell r="E1392" t="str">
            <v>교면방수</v>
          </cell>
          <cell r="F1392" t="str">
            <v>(도막식)</v>
          </cell>
          <cell r="G1392" t="str">
            <v>㎡</v>
          </cell>
          <cell r="I1392">
            <v>0</v>
          </cell>
        </row>
        <row r="1393">
          <cell r="A1393" t="str">
            <v>T2</v>
          </cell>
          <cell r="B1393">
            <v>1397</v>
          </cell>
          <cell r="C1393" t="str">
            <v>3.13</v>
          </cell>
          <cell r="D1393">
            <v>12379826</v>
          </cell>
          <cell r="E1393" t="str">
            <v>접속슬래브 접합공</v>
          </cell>
          <cell r="I1393">
            <v>0</v>
          </cell>
        </row>
        <row r="1394">
          <cell r="A1394" t="str">
            <v>D01067</v>
          </cell>
          <cell r="B1394">
            <v>100</v>
          </cell>
          <cell r="C1394" t="str">
            <v>a</v>
          </cell>
          <cell r="D1394">
            <v>12379858</v>
          </cell>
          <cell r="E1394" t="str">
            <v>다웰바 설치</v>
          </cell>
          <cell r="F1394" t="str">
            <v>(D=25 m/m, L=500)</v>
          </cell>
          <cell r="G1394" t="str">
            <v>EA</v>
          </cell>
          <cell r="I1394">
            <v>0</v>
          </cell>
        </row>
        <row r="1395">
          <cell r="A1395" t="str">
            <v>D01190</v>
          </cell>
          <cell r="B1395">
            <v>30</v>
          </cell>
          <cell r="C1395" t="str">
            <v>b</v>
          </cell>
          <cell r="D1395">
            <v>12379890</v>
          </cell>
          <cell r="E1395" t="str">
            <v>다웰-켑 설치</v>
          </cell>
          <cell r="F1395" t="str">
            <v>(Φ60 m/m)</v>
          </cell>
          <cell r="G1395" t="str">
            <v>M</v>
          </cell>
          <cell r="I1395">
            <v>0</v>
          </cell>
        </row>
        <row r="1396">
          <cell r="A1396" t="str">
            <v>D00540</v>
          </cell>
          <cell r="B1396">
            <v>100</v>
          </cell>
          <cell r="C1396" t="str">
            <v>c</v>
          </cell>
          <cell r="D1396">
            <v>12379892</v>
          </cell>
          <cell r="E1396" t="str">
            <v>경질고무판</v>
          </cell>
          <cell r="F1396" t="str">
            <v>(150x150)</v>
          </cell>
          <cell r="G1396" t="str">
            <v>EA</v>
          </cell>
          <cell r="I1396">
            <v>0</v>
          </cell>
        </row>
        <row r="1397">
          <cell r="A1397" t="str">
            <v>D00566</v>
          </cell>
          <cell r="B1397">
            <v>16</v>
          </cell>
          <cell r="C1397" t="str">
            <v>d</v>
          </cell>
          <cell r="D1397">
            <v>12379893</v>
          </cell>
          <cell r="E1397" t="str">
            <v>타르페이퍼 설치</v>
          </cell>
          <cell r="F1397" t="str">
            <v>(5 겹)</v>
          </cell>
          <cell r="G1397" t="str">
            <v>㎡</v>
          </cell>
          <cell r="I1397">
            <v>0</v>
          </cell>
        </row>
        <row r="1398">
          <cell r="A1398" t="str">
            <v>E2</v>
          </cell>
          <cell r="B1398">
            <v>0</v>
          </cell>
          <cell r="C1398" t="str">
            <v>계</v>
          </cell>
          <cell r="D1398">
            <v>12379925</v>
          </cell>
          <cell r="I1398">
            <v>0</v>
          </cell>
        </row>
        <row r="1399">
          <cell r="A1399" t="str">
            <v>T2</v>
          </cell>
          <cell r="B1399">
            <v>1401</v>
          </cell>
          <cell r="C1399" t="str">
            <v>3.14</v>
          </cell>
          <cell r="D1399">
            <v>12379958</v>
          </cell>
          <cell r="E1399" t="str">
            <v>무수축 콘크리트</v>
          </cell>
          <cell r="I1399">
            <v>0</v>
          </cell>
        </row>
        <row r="1400">
          <cell r="A1400" t="str">
            <v>D00567</v>
          </cell>
          <cell r="B1400">
            <v>2.7570000000000001</v>
          </cell>
          <cell r="C1400" t="str">
            <v>a</v>
          </cell>
          <cell r="D1400">
            <v>12379974</v>
          </cell>
          <cell r="E1400" t="str">
            <v>무수축몰탈</v>
          </cell>
          <cell r="F1400" t="str">
            <v>(1:1)</v>
          </cell>
          <cell r="G1400" t="str">
            <v>㎥</v>
          </cell>
          <cell r="I1400">
            <v>0</v>
          </cell>
        </row>
        <row r="1401">
          <cell r="A1401" t="str">
            <v>D00568</v>
          </cell>
          <cell r="B1401">
            <v>9.61</v>
          </cell>
          <cell r="C1401" t="str">
            <v>b</v>
          </cell>
          <cell r="D1401">
            <v>12379982</v>
          </cell>
          <cell r="E1401" t="str">
            <v>무수축콘크리트</v>
          </cell>
          <cell r="G1401" t="str">
            <v>㎥</v>
          </cell>
          <cell r="I1401">
            <v>0</v>
          </cell>
        </row>
        <row r="1402">
          <cell r="A1402" t="str">
            <v>E2</v>
          </cell>
          <cell r="B1402">
            <v>0</v>
          </cell>
          <cell r="C1402" t="str">
            <v>계</v>
          </cell>
          <cell r="D1402">
            <v>12379986</v>
          </cell>
          <cell r="I1402">
            <v>0</v>
          </cell>
        </row>
        <row r="1403">
          <cell r="A1403" t="str">
            <v>T2</v>
          </cell>
          <cell r="B1403">
            <v>1405</v>
          </cell>
          <cell r="C1403" t="str">
            <v>3.15</v>
          </cell>
          <cell r="D1403">
            <v>12379988</v>
          </cell>
          <cell r="E1403" t="str">
            <v>스치로폴 설치</v>
          </cell>
          <cell r="I1403">
            <v>0</v>
          </cell>
        </row>
        <row r="1404">
          <cell r="A1404" t="str">
            <v>D00853</v>
          </cell>
          <cell r="B1404">
            <v>8</v>
          </cell>
          <cell r="C1404" t="str">
            <v>a</v>
          </cell>
          <cell r="D1404">
            <v>12380246</v>
          </cell>
          <cell r="E1404" t="str">
            <v>스치로폴설치</v>
          </cell>
          <cell r="F1404" t="str">
            <v>(T=10 m/m)</v>
          </cell>
          <cell r="G1404" t="str">
            <v>㎡</v>
          </cell>
          <cell r="I1404">
            <v>0</v>
          </cell>
        </row>
        <row r="1405">
          <cell r="A1405" t="str">
            <v>D00532</v>
          </cell>
          <cell r="B1405">
            <v>81</v>
          </cell>
          <cell r="C1405" t="str">
            <v>b</v>
          </cell>
          <cell r="D1405">
            <v>12380374</v>
          </cell>
          <cell r="E1405" t="str">
            <v>스치로폴설치</v>
          </cell>
          <cell r="F1405" t="str">
            <v>(T=20 m/m)</v>
          </cell>
          <cell r="G1405" t="str">
            <v>㎡</v>
          </cell>
          <cell r="I1405">
            <v>0</v>
          </cell>
        </row>
        <row r="1406">
          <cell r="A1406" t="str">
            <v>E2</v>
          </cell>
          <cell r="B1406">
            <v>0</v>
          </cell>
          <cell r="C1406" t="str">
            <v>계</v>
          </cell>
          <cell r="D1406">
            <v>12380375</v>
          </cell>
          <cell r="I1406">
            <v>0</v>
          </cell>
        </row>
        <row r="1407">
          <cell r="A1407" t="str">
            <v>T2</v>
          </cell>
          <cell r="B1407">
            <v>1411</v>
          </cell>
          <cell r="C1407" t="str">
            <v>3.16</v>
          </cell>
          <cell r="D1407">
            <v>12380502</v>
          </cell>
          <cell r="E1407" t="str">
            <v>배수시설</v>
          </cell>
          <cell r="I1407">
            <v>0</v>
          </cell>
        </row>
        <row r="1408">
          <cell r="A1408" t="str">
            <v>D00572</v>
          </cell>
          <cell r="B1408">
            <v>12</v>
          </cell>
          <cell r="C1408" t="str">
            <v>a</v>
          </cell>
          <cell r="D1408">
            <v>12380503</v>
          </cell>
          <cell r="E1408" t="str">
            <v>집 수 구</v>
          </cell>
          <cell r="G1408" t="str">
            <v>EA</v>
          </cell>
          <cell r="I1408">
            <v>0</v>
          </cell>
        </row>
        <row r="1409">
          <cell r="A1409" t="str">
            <v>D00573</v>
          </cell>
          <cell r="B1409">
            <v>32</v>
          </cell>
          <cell r="C1409" t="str">
            <v>b</v>
          </cell>
          <cell r="D1409">
            <v>12380504</v>
          </cell>
          <cell r="E1409" t="str">
            <v>배 수 구</v>
          </cell>
          <cell r="F1409" t="str">
            <v>(스테인레스관)</v>
          </cell>
          <cell r="G1409" t="str">
            <v>M</v>
          </cell>
          <cell r="I1409">
            <v>0</v>
          </cell>
        </row>
        <row r="1410">
          <cell r="A1410" t="str">
            <v>D00574</v>
          </cell>
          <cell r="B1410">
            <v>8</v>
          </cell>
          <cell r="C1410" t="str">
            <v>c</v>
          </cell>
          <cell r="D1410">
            <v>12380568</v>
          </cell>
          <cell r="E1410" t="str">
            <v>부착시설(A)</v>
          </cell>
          <cell r="G1410" t="str">
            <v>EA</v>
          </cell>
          <cell r="I1410">
            <v>0</v>
          </cell>
        </row>
        <row r="1411">
          <cell r="A1411" t="str">
            <v>D00577</v>
          </cell>
          <cell r="B1411">
            <v>23</v>
          </cell>
          <cell r="C1411" t="str">
            <v>d</v>
          </cell>
          <cell r="D1411">
            <v>12380600</v>
          </cell>
          <cell r="E1411" t="str">
            <v>도 수 로</v>
          </cell>
          <cell r="G1411" t="str">
            <v>M</v>
          </cell>
          <cell r="I1411">
            <v>0</v>
          </cell>
        </row>
        <row r="1412">
          <cell r="A1412" t="str">
            <v>E2</v>
          </cell>
          <cell r="B1412">
            <v>0</v>
          </cell>
          <cell r="C1412" t="str">
            <v>계</v>
          </cell>
          <cell r="D1412">
            <v>12380616</v>
          </cell>
          <cell r="I1412">
            <v>0</v>
          </cell>
        </row>
        <row r="1413">
          <cell r="A1413" t="str">
            <v>T2</v>
          </cell>
          <cell r="B1413">
            <v>1415</v>
          </cell>
          <cell r="C1413" t="str">
            <v>3.17</v>
          </cell>
          <cell r="D1413">
            <v>12380632</v>
          </cell>
          <cell r="E1413" t="str">
            <v>스페이서설치</v>
          </cell>
          <cell r="I1413">
            <v>0</v>
          </cell>
        </row>
        <row r="1414">
          <cell r="A1414" t="str">
            <v>D00588</v>
          </cell>
          <cell r="B1414">
            <v>2598</v>
          </cell>
          <cell r="C1414" t="str">
            <v>a</v>
          </cell>
          <cell r="D1414">
            <v>12380648</v>
          </cell>
          <cell r="E1414" t="str">
            <v>스페이서 설치</v>
          </cell>
          <cell r="F1414" t="str">
            <v>(슬라브및기초용)</v>
          </cell>
          <cell r="G1414" t="str">
            <v>㎡</v>
          </cell>
          <cell r="I1414">
            <v>0</v>
          </cell>
        </row>
        <row r="1415">
          <cell r="A1415" t="str">
            <v>D01070</v>
          </cell>
          <cell r="B1415">
            <v>151</v>
          </cell>
          <cell r="C1415" t="str">
            <v>b</v>
          </cell>
          <cell r="D1415">
            <v>12380656</v>
          </cell>
          <cell r="E1415" t="str">
            <v>스페이서 설치</v>
          </cell>
          <cell r="F1415" t="str">
            <v>(벽체용)</v>
          </cell>
          <cell r="G1415" t="str">
            <v>㎡</v>
          </cell>
          <cell r="I1415">
            <v>0</v>
          </cell>
        </row>
        <row r="1416">
          <cell r="A1416" t="str">
            <v>E2</v>
          </cell>
          <cell r="B1416">
            <v>0</v>
          </cell>
          <cell r="C1416" t="str">
            <v>계</v>
          </cell>
          <cell r="D1416">
            <v>12380660</v>
          </cell>
          <cell r="I1416">
            <v>0</v>
          </cell>
        </row>
        <row r="1417">
          <cell r="A1417" t="str">
            <v>T2</v>
          </cell>
          <cell r="B1417">
            <v>1420</v>
          </cell>
          <cell r="C1417" t="str">
            <v>3.18</v>
          </cell>
          <cell r="D1417">
            <v>12380678</v>
          </cell>
          <cell r="E1417" t="str">
            <v>교명판 설명판</v>
          </cell>
          <cell r="I1417">
            <v>0</v>
          </cell>
        </row>
        <row r="1418">
          <cell r="A1418" t="str">
            <v>D00581</v>
          </cell>
          <cell r="B1418">
            <v>4</v>
          </cell>
          <cell r="C1418" t="str">
            <v>a</v>
          </cell>
          <cell r="D1418">
            <v>12380679</v>
          </cell>
          <cell r="E1418" t="str">
            <v>교 명 주</v>
          </cell>
          <cell r="F1418" t="str">
            <v>(소형,화강석)</v>
          </cell>
          <cell r="G1418" t="str">
            <v>기</v>
          </cell>
          <cell r="I1418">
            <v>0</v>
          </cell>
        </row>
        <row r="1419">
          <cell r="A1419" t="str">
            <v>D00583</v>
          </cell>
          <cell r="B1419">
            <v>2</v>
          </cell>
          <cell r="C1419" t="str">
            <v>b</v>
          </cell>
          <cell r="D1419">
            <v>12380680</v>
          </cell>
          <cell r="E1419" t="str">
            <v>교 명 판(황동주물)</v>
          </cell>
          <cell r="F1419" t="str">
            <v>(450x200x10)</v>
          </cell>
          <cell r="G1419" t="str">
            <v>EA</v>
          </cell>
          <cell r="I1419">
            <v>0</v>
          </cell>
        </row>
        <row r="1420">
          <cell r="A1420" t="str">
            <v>D00584</v>
          </cell>
          <cell r="B1420">
            <v>2</v>
          </cell>
          <cell r="C1420" t="str">
            <v>c</v>
          </cell>
          <cell r="D1420">
            <v>12380744</v>
          </cell>
          <cell r="E1420" t="str">
            <v>설 명 판(황동주물)</v>
          </cell>
          <cell r="F1420" t="str">
            <v>(500x300x10)</v>
          </cell>
          <cell r="G1420" t="str">
            <v>EA</v>
          </cell>
          <cell r="I1420">
            <v>0</v>
          </cell>
        </row>
        <row r="1421">
          <cell r="A1421" t="str">
            <v>E2</v>
          </cell>
          <cell r="B1421">
            <v>0</v>
          </cell>
          <cell r="C1421" t="str">
            <v>계</v>
          </cell>
          <cell r="D1421">
            <v>12380776</v>
          </cell>
          <cell r="I1421">
            <v>0</v>
          </cell>
        </row>
        <row r="1422">
          <cell r="A1422" t="str">
            <v>D00594</v>
          </cell>
          <cell r="B1422">
            <v>2</v>
          </cell>
          <cell r="C1422" t="str">
            <v>3.19</v>
          </cell>
          <cell r="D1422">
            <v>12380784</v>
          </cell>
          <cell r="E1422" t="str">
            <v>측량기준점 설치</v>
          </cell>
          <cell r="F1422" t="str">
            <v>(황동주물)</v>
          </cell>
          <cell r="G1422" t="str">
            <v>EA</v>
          </cell>
          <cell r="I1422">
            <v>0</v>
          </cell>
        </row>
        <row r="1423">
          <cell r="A1423" t="str">
            <v>T2</v>
          </cell>
          <cell r="B1423">
            <v>1425</v>
          </cell>
          <cell r="C1423" t="str">
            <v>3.20</v>
          </cell>
          <cell r="D1423">
            <v>12380912</v>
          </cell>
          <cell r="E1423" t="str">
            <v>충 진 재</v>
          </cell>
          <cell r="I1423">
            <v>0</v>
          </cell>
        </row>
        <row r="1424">
          <cell r="A1424" t="str">
            <v>D00846</v>
          </cell>
          <cell r="B1424">
            <v>90</v>
          </cell>
          <cell r="C1424" t="str">
            <v>a</v>
          </cell>
          <cell r="D1424">
            <v>12380980</v>
          </cell>
          <cell r="E1424" t="str">
            <v>폴리우레탄실란트채움</v>
          </cell>
          <cell r="F1424" t="str">
            <v>(25x20)</v>
          </cell>
          <cell r="G1424" t="str">
            <v>M</v>
          </cell>
          <cell r="I1424">
            <v>0</v>
          </cell>
        </row>
        <row r="1425">
          <cell r="A1425" t="str">
            <v>D01224</v>
          </cell>
          <cell r="B1425">
            <v>57</v>
          </cell>
          <cell r="C1425" t="str">
            <v>b</v>
          </cell>
          <cell r="D1425">
            <v>12380984</v>
          </cell>
          <cell r="E1425" t="str">
            <v>폴리우레탄실란트채움</v>
          </cell>
          <cell r="F1425" t="str">
            <v>(25x10)</v>
          </cell>
          <cell r="G1425" t="str">
            <v>M</v>
          </cell>
          <cell r="I1425">
            <v>0</v>
          </cell>
        </row>
        <row r="1426">
          <cell r="A1426" t="str">
            <v>E2</v>
          </cell>
          <cell r="B1426">
            <v>0</v>
          </cell>
          <cell r="C1426" t="str">
            <v>계</v>
          </cell>
          <cell r="D1426">
            <v>12380986</v>
          </cell>
          <cell r="I1426">
            <v>0</v>
          </cell>
        </row>
        <row r="1427">
          <cell r="A1427" t="str">
            <v>D01308</v>
          </cell>
          <cell r="B1427">
            <v>742</v>
          </cell>
          <cell r="C1427" t="str">
            <v>3.21</v>
          </cell>
          <cell r="D1427">
            <v>12381426</v>
          </cell>
          <cell r="E1427" t="str">
            <v>강섬유보강재</v>
          </cell>
          <cell r="F1427" t="str">
            <v>(900 g/㎥)</v>
          </cell>
          <cell r="G1427" t="str">
            <v>㎥</v>
          </cell>
          <cell r="I1427">
            <v>0</v>
          </cell>
        </row>
        <row r="1428">
          <cell r="A1428" t="str">
            <v>D01309</v>
          </cell>
          <cell r="B1428">
            <v>40</v>
          </cell>
          <cell r="C1428" t="str">
            <v>3.22</v>
          </cell>
          <cell r="D1428">
            <v>12381922</v>
          </cell>
          <cell r="E1428" t="str">
            <v>모래주머니</v>
          </cell>
          <cell r="G1428" t="str">
            <v>EA</v>
          </cell>
          <cell r="I1428">
            <v>0</v>
          </cell>
        </row>
        <row r="1429">
          <cell r="A1429" t="str">
            <v>D03860</v>
          </cell>
          <cell r="B1429">
            <v>198</v>
          </cell>
          <cell r="C1429" t="str">
            <v>3.23</v>
          </cell>
          <cell r="D1429">
            <v>12534919</v>
          </cell>
          <cell r="E1429" t="str">
            <v>방 호 벽</v>
          </cell>
          <cell r="F1429" t="str">
            <v>(일반용)</v>
          </cell>
          <cell r="G1429" t="str">
            <v>M</v>
          </cell>
          <cell r="I1429">
            <v>0</v>
          </cell>
        </row>
        <row r="1430">
          <cell r="A1430" t="str">
            <v>D00791</v>
          </cell>
          <cell r="B1430">
            <v>60</v>
          </cell>
          <cell r="C1430" t="str">
            <v>3.24</v>
          </cell>
          <cell r="D1430">
            <v>12611417</v>
          </cell>
          <cell r="E1430" t="str">
            <v>교좌장치표지판</v>
          </cell>
          <cell r="G1430" t="str">
            <v>EA</v>
          </cell>
          <cell r="I1430">
            <v>0</v>
          </cell>
        </row>
        <row r="1431">
          <cell r="A1431" t="str">
            <v>D00817</v>
          </cell>
          <cell r="B1431">
            <v>0.1</v>
          </cell>
          <cell r="C1431" t="str">
            <v>3.25</v>
          </cell>
          <cell r="D1431">
            <v>12649666</v>
          </cell>
          <cell r="E1431" t="str">
            <v>아스팔트 채움</v>
          </cell>
          <cell r="F1431" t="str">
            <v>(브론아스팔트)</v>
          </cell>
          <cell r="G1431" t="str">
            <v>㎥</v>
          </cell>
          <cell r="I1431">
            <v>0</v>
          </cell>
        </row>
        <row r="1432">
          <cell r="A1432" t="str">
            <v>D01064</v>
          </cell>
          <cell r="B1432">
            <v>90</v>
          </cell>
          <cell r="C1432" t="str">
            <v>3.26</v>
          </cell>
          <cell r="D1432">
            <v>12668791</v>
          </cell>
          <cell r="E1432" t="str">
            <v>중앙분리대</v>
          </cell>
          <cell r="G1432" t="str">
            <v>M</v>
          </cell>
          <cell r="I1432">
            <v>0</v>
          </cell>
        </row>
        <row r="1433">
          <cell r="A1433" t="str">
            <v>D03817</v>
          </cell>
          <cell r="B1433">
            <v>29</v>
          </cell>
          <cell r="C1433" t="str">
            <v>3.27</v>
          </cell>
          <cell r="D1433">
            <v>12678353</v>
          </cell>
          <cell r="E1433" t="str">
            <v>ELASTIC FILLER</v>
          </cell>
          <cell r="F1433" t="str">
            <v>(T=20 m/m)</v>
          </cell>
          <cell r="G1433" t="str">
            <v>㎡</v>
          </cell>
          <cell r="I1433">
            <v>0</v>
          </cell>
        </row>
        <row r="1434">
          <cell r="A1434" t="str">
            <v>D01305</v>
          </cell>
          <cell r="B1434">
            <v>2</v>
          </cell>
          <cell r="C1434" t="str">
            <v>3.28</v>
          </cell>
          <cell r="D1434">
            <v>12680744</v>
          </cell>
          <cell r="E1434" t="str">
            <v>점검용계단</v>
          </cell>
          <cell r="G1434" t="str">
            <v>EA</v>
          </cell>
          <cell r="I1434">
            <v>0</v>
          </cell>
        </row>
        <row r="1435">
          <cell r="A1435" t="str">
            <v>D03859</v>
          </cell>
          <cell r="B1435">
            <v>1</v>
          </cell>
          <cell r="C1435" t="str">
            <v>3.29</v>
          </cell>
          <cell r="D1435">
            <v>12683134</v>
          </cell>
          <cell r="E1435" t="str">
            <v>천공장비조립및해체</v>
          </cell>
          <cell r="G1435" t="str">
            <v>회</v>
          </cell>
          <cell r="I1435">
            <v>0</v>
          </cell>
        </row>
        <row r="1436">
          <cell r="A1436" t="str">
            <v>D03857</v>
          </cell>
          <cell r="B1436">
            <v>1392</v>
          </cell>
          <cell r="C1436" t="str">
            <v>3.30</v>
          </cell>
          <cell r="D1436">
            <v>12685525</v>
          </cell>
          <cell r="E1436" t="str">
            <v>법면보호블럭</v>
          </cell>
          <cell r="F1436" t="str">
            <v>(하천용)</v>
          </cell>
          <cell r="G1436" t="str">
            <v>㎡</v>
          </cell>
          <cell r="I1436">
            <v>0</v>
          </cell>
        </row>
        <row r="1437">
          <cell r="A1437" t="str">
            <v>D00844</v>
          </cell>
          <cell r="B1437">
            <v>100</v>
          </cell>
          <cell r="C1437" t="str">
            <v>3.31</v>
          </cell>
          <cell r="D1437">
            <v>12686720</v>
          </cell>
          <cell r="E1437" t="str">
            <v>법면보호블럭</v>
          </cell>
          <cell r="F1437" t="str">
            <v>(기초)</v>
          </cell>
          <cell r="G1437" t="str">
            <v>M</v>
          </cell>
          <cell r="I1437">
            <v>0</v>
          </cell>
        </row>
        <row r="1438">
          <cell r="A1438" t="str">
            <v>D00847</v>
          </cell>
          <cell r="B1438">
            <v>198</v>
          </cell>
          <cell r="C1438" t="str">
            <v>3.32</v>
          </cell>
          <cell r="D1438">
            <v>12687318</v>
          </cell>
          <cell r="E1438" t="str">
            <v>가드휀스설치</v>
          </cell>
          <cell r="G1438" t="str">
            <v>M</v>
          </cell>
          <cell r="I1438">
            <v>0</v>
          </cell>
        </row>
        <row r="1439">
          <cell r="A1439" t="str">
            <v>T2</v>
          </cell>
          <cell r="B1439">
            <v>1441</v>
          </cell>
          <cell r="C1439" t="str">
            <v>3.33</v>
          </cell>
          <cell r="D1439">
            <v>12687617</v>
          </cell>
          <cell r="E1439" t="str">
            <v>파일재하시험</v>
          </cell>
          <cell r="I1439">
            <v>0</v>
          </cell>
        </row>
        <row r="1440">
          <cell r="A1440" t="str">
            <v>D03869</v>
          </cell>
          <cell r="B1440">
            <v>1</v>
          </cell>
          <cell r="C1440" t="str">
            <v>a</v>
          </cell>
          <cell r="D1440">
            <v>12687766</v>
          </cell>
          <cell r="E1440" t="str">
            <v>파일재하시험</v>
          </cell>
          <cell r="F1440" t="str">
            <v>(정재하시험)</v>
          </cell>
          <cell r="G1440" t="str">
            <v>개소</v>
          </cell>
          <cell r="I1440">
            <v>0</v>
          </cell>
        </row>
        <row r="1441">
          <cell r="A1441" t="str">
            <v>D03870</v>
          </cell>
          <cell r="B1441">
            <v>7</v>
          </cell>
          <cell r="C1441" t="str">
            <v>b</v>
          </cell>
          <cell r="D1441">
            <v>12687841</v>
          </cell>
          <cell r="E1441" t="str">
            <v>파일재하시험</v>
          </cell>
          <cell r="F1441" t="str">
            <v>(동재하시험)</v>
          </cell>
          <cell r="G1441" t="str">
            <v>개소</v>
          </cell>
          <cell r="I1441">
            <v>0</v>
          </cell>
        </row>
        <row r="1442">
          <cell r="A1442" t="str">
            <v>E2</v>
          </cell>
          <cell r="B1442">
            <v>0</v>
          </cell>
          <cell r="C1442" t="str">
            <v>계</v>
          </cell>
          <cell r="D1442">
            <v>12687878</v>
          </cell>
          <cell r="I1442">
            <v>0</v>
          </cell>
        </row>
        <row r="1443">
          <cell r="A1443" t="str">
            <v>T2</v>
          </cell>
          <cell r="B1443">
            <v>1449</v>
          </cell>
          <cell r="C1443" t="str">
            <v>3.34</v>
          </cell>
          <cell r="D1443">
            <v>12688006</v>
          </cell>
          <cell r="E1443" t="str">
            <v>가 도 공</v>
          </cell>
          <cell r="I1443">
            <v>0</v>
          </cell>
        </row>
        <row r="1444">
          <cell r="A1444" t="str">
            <v>D00037</v>
          </cell>
          <cell r="B1444">
            <v>2685</v>
          </cell>
          <cell r="C1444" t="str">
            <v>a</v>
          </cell>
          <cell r="D1444">
            <v>12688007</v>
          </cell>
          <cell r="E1444" t="str">
            <v>가도성토및철거</v>
          </cell>
          <cell r="G1444" t="str">
            <v>㎥</v>
          </cell>
          <cell r="I1444">
            <v>0</v>
          </cell>
        </row>
        <row r="1445">
          <cell r="A1445" t="str">
            <v>D03742</v>
          </cell>
          <cell r="B1445">
            <v>221</v>
          </cell>
          <cell r="C1445" t="str">
            <v>b</v>
          </cell>
          <cell r="D1445">
            <v>12688072</v>
          </cell>
          <cell r="E1445" t="str">
            <v>보조기층생산</v>
          </cell>
          <cell r="F1445" t="str">
            <v>(현장암유용)</v>
          </cell>
          <cell r="G1445" t="str">
            <v>㎥</v>
          </cell>
          <cell r="I1445">
            <v>0</v>
          </cell>
        </row>
        <row r="1446">
          <cell r="A1446" t="str">
            <v>D00798</v>
          </cell>
          <cell r="B1446">
            <v>172</v>
          </cell>
          <cell r="C1446" t="str">
            <v>c</v>
          </cell>
          <cell r="D1446">
            <v>12688104</v>
          </cell>
          <cell r="E1446" t="str">
            <v>보조기층</v>
          </cell>
          <cell r="F1446" t="str">
            <v>(포설및다짐 T=20 Cm)</v>
          </cell>
          <cell r="G1446" t="str">
            <v>㎥</v>
          </cell>
          <cell r="I1446">
            <v>0</v>
          </cell>
        </row>
        <row r="1447">
          <cell r="A1447" t="str">
            <v>D00976</v>
          </cell>
          <cell r="B1447">
            <v>70</v>
          </cell>
          <cell r="C1447" t="str">
            <v>d</v>
          </cell>
          <cell r="D1447">
            <v>12688126</v>
          </cell>
          <cell r="E1447" t="str">
            <v>흄관부설</v>
          </cell>
          <cell r="F1447" t="str">
            <v>(D=1200 m/m)</v>
          </cell>
          <cell r="G1447" t="str">
            <v>본</v>
          </cell>
          <cell r="I1447">
            <v>0</v>
          </cell>
        </row>
        <row r="1448">
          <cell r="A1448" t="str">
            <v>D03941</v>
          </cell>
          <cell r="B1448">
            <v>1</v>
          </cell>
          <cell r="C1448" t="str">
            <v>e</v>
          </cell>
          <cell r="D1448">
            <v>12688127</v>
          </cell>
          <cell r="E1448" t="str">
            <v>상수원보호장비</v>
          </cell>
          <cell r="F1448" t="str">
            <v>(TYPE-2)</v>
          </cell>
          <cell r="G1448" t="str">
            <v>식</v>
          </cell>
          <cell r="I1448">
            <v>0</v>
          </cell>
        </row>
        <row r="1449">
          <cell r="A1449" t="str">
            <v>D00847</v>
          </cell>
          <cell r="B1449">
            <v>198</v>
          </cell>
          <cell r="C1449" t="str">
            <v>f</v>
          </cell>
          <cell r="D1449">
            <v>12688128</v>
          </cell>
          <cell r="E1449" t="str">
            <v>가드휀스설치</v>
          </cell>
          <cell r="G1449" t="str">
            <v>M</v>
          </cell>
          <cell r="I1449">
            <v>0</v>
          </cell>
        </row>
        <row r="1450">
          <cell r="A1450" t="str">
            <v>E2</v>
          </cell>
          <cell r="B1450">
            <v>0</v>
          </cell>
          <cell r="C1450" t="str">
            <v>계</v>
          </cell>
          <cell r="D1450">
            <v>12688256</v>
          </cell>
          <cell r="I1450">
            <v>0</v>
          </cell>
        </row>
        <row r="1451">
          <cell r="A1451" t="str">
            <v>E3</v>
          </cell>
          <cell r="B1451">
            <v>0</v>
          </cell>
          <cell r="C1451" t="str">
            <v>합계</v>
          </cell>
          <cell r="D1451">
            <v>12688293</v>
          </cell>
          <cell r="I1451">
            <v>0</v>
          </cell>
        </row>
        <row r="1452">
          <cell r="A1452" t="str">
            <v>T3</v>
          </cell>
          <cell r="B1452">
            <v>1496</v>
          </cell>
          <cell r="C1452" t="str">
            <v>3.L</v>
          </cell>
          <cell r="D1452">
            <v>12688421</v>
          </cell>
          <cell r="E1452" t="str">
            <v>장 성 지하차도</v>
          </cell>
          <cell r="I1452">
            <v>0</v>
          </cell>
        </row>
        <row r="1453">
          <cell r="A1453" t="str">
            <v>T2</v>
          </cell>
          <cell r="B1453">
            <v>1458</v>
          </cell>
          <cell r="C1453" t="str">
            <v>3.01</v>
          </cell>
          <cell r="D1453">
            <v>12841718</v>
          </cell>
          <cell r="E1453" t="str">
            <v>토          공</v>
          </cell>
          <cell r="I1453">
            <v>0</v>
          </cell>
        </row>
        <row r="1454">
          <cell r="A1454" t="str">
            <v>D00096</v>
          </cell>
          <cell r="B1454">
            <v>6369</v>
          </cell>
          <cell r="C1454" t="str">
            <v>a</v>
          </cell>
          <cell r="D1454">
            <v>12918642</v>
          </cell>
          <cell r="E1454" t="str">
            <v>구조물터파기</v>
          </cell>
          <cell r="F1454" t="str">
            <v>(육상토사 0∼2 M)</v>
          </cell>
          <cell r="G1454" t="str">
            <v>㎥</v>
          </cell>
          <cell r="I1454">
            <v>0</v>
          </cell>
        </row>
        <row r="1455">
          <cell r="A1455" t="str">
            <v>D00097</v>
          </cell>
          <cell r="B1455">
            <v>5674</v>
          </cell>
          <cell r="C1455" t="str">
            <v>b</v>
          </cell>
          <cell r="D1455">
            <v>12995566</v>
          </cell>
          <cell r="E1455" t="str">
            <v>구조물터파기</v>
          </cell>
          <cell r="F1455" t="str">
            <v>(육상토사 2∼4 M)</v>
          </cell>
          <cell r="G1455" t="str">
            <v>㎥</v>
          </cell>
          <cell r="I1455">
            <v>0</v>
          </cell>
        </row>
        <row r="1456">
          <cell r="A1456" t="str">
            <v>D00038</v>
          </cell>
          <cell r="B1456">
            <v>8647</v>
          </cell>
          <cell r="C1456" t="str">
            <v>c</v>
          </cell>
          <cell r="D1456">
            <v>12995597</v>
          </cell>
          <cell r="E1456" t="str">
            <v>토사치환</v>
          </cell>
          <cell r="F1456" t="str">
            <v>노상다짐</v>
          </cell>
          <cell r="G1456" t="str">
            <v>㎥</v>
          </cell>
          <cell r="I1456">
            <v>0</v>
          </cell>
        </row>
        <row r="1457">
          <cell r="A1457" t="str">
            <v>D00170</v>
          </cell>
          <cell r="B1457">
            <v>3121</v>
          </cell>
          <cell r="C1457" t="str">
            <v>d</v>
          </cell>
          <cell r="D1457">
            <v>12995807</v>
          </cell>
          <cell r="E1457" t="str">
            <v>뒷채움잡석</v>
          </cell>
          <cell r="F1457" t="str">
            <v>(현장암유용)</v>
          </cell>
          <cell r="G1457" t="str">
            <v>㎥</v>
          </cell>
          <cell r="I1457">
            <v>0</v>
          </cell>
        </row>
        <row r="1458">
          <cell r="A1458" t="str">
            <v>D00185</v>
          </cell>
          <cell r="B1458">
            <v>4176</v>
          </cell>
          <cell r="C1458" t="str">
            <v>e</v>
          </cell>
          <cell r="D1458">
            <v>12995867</v>
          </cell>
          <cell r="E1458" t="str">
            <v>잡석운반</v>
          </cell>
          <cell r="F1458" t="str">
            <v>(현장암유용)</v>
          </cell>
          <cell r="G1458" t="str">
            <v>㎥</v>
          </cell>
          <cell r="I1458">
            <v>0</v>
          </cell>
        </row>
        <row r="1459">
          <cell r="A1459" t="str">
            <v>E2</v>
          </cell>
          <cell r="B1459">
            <v>0</v>
          </cell>
          <cell r="C1459" t="str">
            <v>계</v>
          </cell>
          <cell r="D1459">
            <v>12995927</v>
          </cell>
          <cell r="I1459">
            <v>0</v>
          </cell>
        </row>
        <row r="1460">
          <cell r="A1460" t="str">
            <v>T2</v>
          </cell>
          <cell r="B1460">
            <v>1464</v>
          </cell>
          <cell r="C1460" t="str">
            <v>3.02</v>
          </cell>
          <cell r="D1460">
            <v>12996286</v>
          </cell>
          <cell r="E1460" t="str">
            <v>거 푸 집</v>
          </cell>
          <cell r="I1460">
            <v>0</v>
          </cell>
        </row>
        <row r="1461">
          <cell r="A1461" t="str">
            <v>D00276</v>
          </cell>
          <cell r="B1461">
            <v>2191</v>
          </cell>
          <cell r="C1461" t="str">
            <v>a</v>
          </cell>
          <cell r="D1461">
            <v>12996287</v>
          </cell>
          <cell r="E1461" t="str">
            <v>합판거푸집</v>
          </cell>
          <cell r="F1461" t="str">
            <v>(3 회)</v>
          </cell>
          <cell r="G1461" t="str">
            <v>㎡</v>
          </cell>
          <cell r="I1461">
            <v>0</v>
          </cell>
        </row>
        <row r="1462">
          <cell r="A1462" t="str">
            <v>D00280</v>
          </cell>
          <cell r="B1462">
            <v>188</v>
          </cell>
          <cell r="C1462" t="str">
            <v>b</v>
          </cell>
          <cell r="D1462">
            <v>12996351</v>
          </cell>
          <cell r="E1462" t="str">
            <v>합판거푸집</v>
          </cell>
          <cell r="F1462" t="str">
            <v>(4 회)</v>
          </cell>
          <cell r="G1462" t="str">
            <v>㎡</v>
          </cell>
          <cell r="I1462">
            <v>0</v>
          </cell>
        </row>
        <row r="1463">
          <cell r="A1463" t="str">
            <v>D00282</v>
          </cell>
          <cell r="B1463">
            <v>38</v>
          </cell>
          <cell r="C1463" t="str">
            <v>c</v>
          </cell>
          <cell r="D1463">
            <v>12996383</v>
          </cell>
          <cell r="E1463" t="str">
            <v>합판거푸집</v>
          </cell>
          <cell r="F1463" t="str">
            <v>(6 회)</v>
          </cell>
          <cell r="G1463" t="str">
            <v>㎡</v>
          </cell>
          <cell r="I1463">
            <v>0</v>
          </cell>
        </row>
        <row r="1464">
          <cell r="A1464" t="str">
            <v>D00265</v>
          </cell>
          <cell r="B1464">
            <v>253</v>
          </cell>
          <cell r="C1464" t="str">
            <v>d</v>
          </cell>
          <cell r="D1464">
            <v>12996391</v>
          </cell>
          <cell r="E1464" t="str">
            <v>문양거푸집(합판4회+</v>
          </cell>
          <cell r="F1464" t="str">
            <v>문양스치로폴(0∼7M)</v>
          </cell>
          <cell r="G1464" t="str">
            <v>㎡</v>
          </cell>
          <cell r="I1464">
            <v>0</v>
          </cell>
        </row>
        <row r="1465">
          <cell r="A1465" t="str">
            <v>E2</v>
          </cell>
          <cell r="B1465">
            <v>0</v>
          </cell>
          <cell r="C1465" t="str">
            <v>계</v>
          </cell>
          <cell r="D1465">
            <v>12996399</v>
          </cell>
          <cell r="I1465">
            <v>0</v>
          </cell>
        </row>
        <row r="1466">
          <cell r="A1466" t="str">
            <v>D00323</v>
          </cell>
          <cell r="B1466">
            <v>1075</v>
          </cell>
          <cell r="C1466" t="str">
            <v>3.03</v>
          </cell>
          <cell r="D1466">
            <v>12996400</v>
          </cell>
          <cell r="E1466" t="str">
            <v>강관비계</v>
          </cell>
          <cell r="F1466" t="str">
            <v>(0∼30 M)</v>
          </cell>
          <cell r="G1466" t="str">
            <v>㎡</v>
          </cell>
          <cell r="I1466">
            <v>0</v>
          </cell>
        </row>
        <row r="1467">
          <cell r="A1467" t="str">
            <v>D00334</v>
          </cell>
          <cell r="B1467">
            <v>3156</v>
          </cell>
          <cell r="C1467" t="str">
            <v>3.04</v>
          </cell>
          <cell r="D1467">
            <v>12996520</v>
          </cell>
          <cell r="E1467" t="str">
            <v>강관동바리</v>
          </cell>
          <cell r="F1467" t="str">
            <v>(교량용)</v>
          </cell>
          <cell r="G1467" t="str">
            <v>공㎥</v>
          </cell>
          <cell r="I1467">
            <v>0</v>
          </cell>
        </row>
        <row r="1468">
          <cell r="A1468" t="str">
            <v>T2</v>
          </cell>
          <cell r="B1468">
            <v>1470</v>
          </cell>
          <cell r="C1468" t="str">
            <v>3.05</v>
          </cell>
          <cell r="D1468">
            <v>12996648</v>
          </cell>
          <cell r="E1468" t="str">
            <v>철근가공조립</v>
          </cell>
          <cell r="I1468">
            <v>0</v>
          </cell>
        </row>
        <row r="1469">
          <cell r="A1469" t="str">
            <v>D00271</v>
          </cell>
          <cell r="B1469">
            <v>82.427999999999997</v>
          </cell>
          <cell r="C1469" t="str">
            <v>a</v>
          </cell>
          <cell r="D1469">
            <v>12996776</v>
          </cell>
          <cell r="E1469" t="str">
            <v>철근가공조립</v>
          </cell>
          <cell r="F1469" t="str">
            <v>(보 통)</v>
          </cell>
          <cell r="G1469" t="str">
            <v>Ton</v>
          </cell>
          <cell r="I1469">
            <v>0</v>
          </cell>
        </row>
        <row r="1470">
          <cell r="A1470" t="str">
            <v>D00272</v>
          </cell>
          <cell r="B1470">
            <v>426.21100000000001</v>
          </cell>
          <cell r="C1470" t="str">
            <v>b</v>
          </cell>
          <cell r="D1470">
            <v>12996780</v>
          </cell>
          <cell r="E1470" t="str">
            <v>철근가공조립</v>
          </cell>
          <cell r="F1470" t="str">
            <v>(복 잡)</v>
          </cell>
          <cell r="G1470" t="str">
            <v>Ton</v>
          </cell>
          <cell r="I1470">
            <v>0</v>
          </cell>
        </row>
        <row r="1471">
          <cell r="A1471" t="str">
            <v>E2</v>
          </cell>
          <cell r="B1471">
            <v>0</v>
          </cell>
          <cell r="C1471" t="str">
            <v>계</v>
          </cell>
          <cell r="D1471">
            <v>12996783</v>
          </cell>
          <cell r="I1471">
            <v>0</v>
          </cell>
        </row>
        <row r="1472">
          <cell r="A1472" t="str">
            <v>T2</v>
          </cell>
          <cell r="B1472">
            <v>1474</v>
          </cell>
          <cell r="C1472" t="str">
            <v>3.06</v>
          </cell>
          <cell r="D1472">
            <v>12996784</v>
          </cell>
          <cell r="E1472" t="str">
            <v>콘크리트타설</v>
          </cell>
          <cell r="I1472">
            <v>0</v>
          </cell>
        </row>
        <row r="1473">
          <cell r="A1473" t="str">
            <v>D00237</v>
          </cell>
          <cell r="B1473">
            <v>2271</v>
          </cell>
          <cell r="C1473" t="str">
            <v>a</v>
          </cell>
          <cell r="D1473">
            <v>12996848</v>
          </cell>
          <cell r="E1473" t="str">
            <v>콘크리트타설</v>
          </cell>
          <cell r="F1473" t="str">
            <v>(철근 펌프카)</v>
          </cell>
          <cell r="G1473" t="str">
            <v>㎥</v>
          </cell>
          <cell r="I1473">
            <v>0</v>
          </cell>
        </row>
        <row r="1474">
          <cell r="A1474" t="str">
            <v>D00231</v>
          </cell>
          <cell r="B1474">
            <v>140</v>
          </cell>
          <cell r="C1474" t="str">
            <v>b</v>
          </cell>
          <cell r="D1474">
            <v>12996880</v>
          </cell>
          <cell r="E1474" t="str">
            <v>콘크리트타설</v>
          </cell>
          <cell r="F1474" t="str">
            <v>(무근 VIB 제외)</v>
          </cell>
          <cell r="G1474" t="str">
            <v>㎥</v>
          </cell>
          <cell r="I1474">
            <v>0</v>
          </cell>
        </row>
        <row r="1475">
          <cell r="A1475" t="str">
            <v>E2</v>
          </cell>
          <cell r="B1475">
            <v>0</v>
          </cell>
          <cell r="C1475" t="str">
            <v>계</v>
          </cell>
          <cell r="D1475">
            <v>12996912</v>
          </cell>
          <cell r="I1475">
            <v>0</v>
          </cell>
        </row>
        <row r="1476">
          <cell r="A1476" t="str">
            <v>D03746</v>
          </cell>
          <cell r="B1476">
            <v>531</v>
          </cell>
          <cell r="C1476" t="str">
            <v>3.07</v>
          </cell>
          <cell r="D1476">
            <v>12996920</v>
          </cell>
          <cell r="E1476" t="str">
            <v>타일붙이기</v>
          </cell>
          <cell r="F1476" t="str">
            <v>(90x190x11)</v>
          </cell>
          <cell r="G1476" t="str">
            <v>㎡</v>
          </cell>
          <cell r="I1476">
            <v>0</v>
          </cell>
        </row>
        <row r="1477">
          <cell r="A1477" t="str">
            <v>D01034</v>
          </cell>
          <cell r="B1477">
            <v>531</v>
          </cell>
          <cell r="C1477" t="str">
            <v>3.08</v>
          </cell>
          <cell r="D1477">
            <v>12996924</v>
          </cell>
          <cell r="E1477" t="str">
            <v>바탕고르기</v>
          </cell>
          <cell r="F1477" t="str">
            <v>T=24 m/m</v>
          </cell>
          <cell r="G1477" t="str">
            <v>㎡</v>
          </cell>
          <cell r="I1477">
            <v>0</v>
          </cell>
        </row>
        <row r="1478">
          <cell r="A1478" t="str">
            <v>D00563</v>
          </cell>
          <cell r="B1478">
            <v>1536</v>
          </cell>
          <cell r="C1478" t="str">
            <v>3.09</v>
          </cell>
          <cell r="D1478">
            <v>12996926</v>
          </cell>
          <cell r="E1478" t="str">
            <v>아스팔트 방수</v>
          </cell>
          <cell r="F1478" t="str">
            <v>(2 회)</v>
          </cell>
          <cell r="G1478" t="str">
            <v>㎡</v>
          </cell>
          <cell r="I1478">
            <v>0</v>
          </cell>
        </row>
        <row r="1479">
          <cell r="A1479" t="str">
            <v>D03816</v>
          </cell>
          <cell r="B1479">
            <v>119</v>
          </cell>
          <cell r="C1479" t="str">
            <v>3.10</v>
          </cell>
          <cell r="D1479">
            <v>12996927</v>
          </cell>
          <cell r="E1479" t="str">
            <v>시공이음면정리</v>
          </cell>
          <cell r="G1479" t="str">
            <v>㎡</v>
          </cell>
          <cell r="I1479">
            <v>0</v>
          </cell>
        </row>
        <row r="1480">
          <cell r="A1480" t="str">
            <v>D00587</v>
          </cell>
          <cell r="B1480">
            <v>113</v>
          </cell>
          <cell r="C1480" t="str">
            <v>3.11</v>
          </cell>
          <cell r="D1480">
            <v>12997055</v>
          </cell>
          <cell r="E1480" t="str">
            <v>신축이음</v>
          </cell>
          <cell r="F1480" t="str">
            <v>(지하차도)</v>
          </cell>
          <cell r="G1480" t="str">
            <v>M</v>
          </cell>
          <cell r="I1480">
            <v>0</v>
          </cell>
        </row>
        <row r="1481">
          <cell r="A1481" t="str">
            <v>D03748</v>
          </cell>
          <cell r="B1481">
            <v>112</v>
          </cell>
          <cell r="C1481" t="str">
            <v>3.12</v>
          </cell>
          <cell r="D1481">
            <v>12997151</v>
          </cell>
          <cell r="E1481" t="str">
            <v>수축줄눈</v>
          </cell>
          <cell r="F1481" t="str">
            <v>(지하차도)</v>
          </cell>
          <cell r="G1481" t="str">
            <v>M</v>
          </cell>
          <cell r="I1481">
            <v>0</v>
          </cell>
        </row>
        <row r="1482">
          <cell r="A1482" t="str">
            <v>D03817</v>
          </cell>
          <cell r="B1482">
            <v>112</v>
          </cell>
          <cell r="C1482" t="str">
            <v>3.13</v>
          </cell>
          <cell r="D1482">
            <v>12997199</v>
          </cell>
          <cell r="E1482" t="str">
            <v>ELASTIC FILLER</v>
          </cell>
          <cell r="F1482" t="str">
            <v>(T=20 m/m)</v>
          </cell>
          <cell r="G1482" t="str">
            <v>㎡</v>
          </cell>
          <cell r="I1482">
            <v>0</v>
          </cell>
        </row>
        <row r="1483">
          <cell r="A1483" t="str">
            <v>T2</v>
          </cell>
          <cell r="B1483">
            <v>1485</v>
          </cell>
          <cell r="C1483" t="str">
            <v>3.14</v>
          </cell>
          <cell r="D1483">
            <v>12997524</v>
          </cell>
          <cell r="E1483" t="str">
            <v>스페이서 설치</v>
          </cell>
          <cell r="I1483">
            <v>0</v>
          </cell>
        </row>
        <row r="1484">
          <cell r="A1484" t="str">
            <v>D00588</v>
          </cell>
          <cell r="B1484">
            <v>1423</v>
          </cell>
          <cell r="C1484" t="str">
            <v>a</v>
          </cell>
          <cell r="D1484">
            <v>12997652</v>
          </cell>
          <cell r="E1484" t="str">
            <v>스페이서 설치</v>
          </cell>
          <cell r="F1484" t="str">
            <v>(슬라브및기초용)</v>
          </cell>
          <cell r="G1484" t="str">
            <v>㎡</v>
          </cell>
          <cell r="I1484">
            <v>0</v>
          </cell>
        </row>
        <row r="1485">
          <cell r="A1485" t="str">
            <v>D01070</v>
          </cell>
          <cell r="B1485">
            <v>866</v>
          </cell>
          <cell r="C1485" t="str">
            <v>b</v>
          </cell>
          <cell r="D1485">
            <v>12997660</v>
          </cell>
          <cell r="E1485" t="str">
            <v>스페이서 설치</v>
          </cell>
          <cell r="F1485" t="str">
            <v>(벽체용)</v>
          </cell>
          <cell r="G1485" t="str">
            <v>㎡</v>
          </cell>
          <cell r="I1485">
            <v>0</v>
          </cell>
        </row>
        <row r="1486">
          <cell r="A1486" t="str">
            <v>E2</v>
          </cell>
          <cell r="B1486">
            <v>0</v>
          </cell>
          <cell r="C1486" t="str">
            <v>계</v>
          </cell>
          <cell r="D1486">
            <v>12997664</v>
          </cell>
          <cell r="I1486">
            <v>0</v>
          </cell>
        </row>
        <row r="1487">
          <cell r="A1487" t="str">
            <v>D03818</v>
          </cell>
          <cell r="B1487">
            <v>57</v>
          </cell>
          <cell r="C1487" t="str">
            <v>3.15</v>
          </cell>
          <cell r="D1487">
            <v>12997989</v>
          </cell>
          <cell r="E1487" t="str">
            <v>스틸그레이팅</v>
          </cell>
          <cell r="F1487" t="str">
            <v>(995x350x44)</v>
          </cell>
          <cell r="G1487" t="str">
            <v>M</v>
          </cell>
          <cell r="I1487">
            <v>0</v>
          </cell>
        </row>
        <row r="1488">
          <cell r="A1488" t="str">
            <v>D01191</v>
          </cell>
          <cell r="B1488">
            <v>24</v>
          </cell>
          <cell r="C1488" t="str">
            <v>3.16</v>
          </cell>
          <cell r="D1488">
            <v>12998117</v>
          </cell>
          <cell r="E1488" t="str">
            <v>PVC PIPE 설치</v>
          </cell>
          <cell r="F1488" t="str">
            <v>(Φ65 m/m)</v>
          </cell>
          <cell r="G1488" t="str">
            <v>M</v>
          </cell>
          <cell r="I1488">
            <v>0</v>
          </cell>
        </row>
        <row r="1489">
          <cell r="A1489" t="str">
            <v>D00537</v>
          </cell>
          <cell r="B1489">
            <v>694</v>
          </cell>
          <cell r="C1489" t="str">
            <v>3.17</v>
          </cell>
          <cell r="D1489">
            <v>13229174</v>
          </cell>
          <cell r="E1489" t="str">
            <v>슬래브양생</v>
          </cell>
          <cell r="F1489" t="str">
            <v>(양생제)</v>
          </cell>
          <cell r="G1489" t="str">
            <v>㎡</v>
          </cell>
          <cell r="I1489">
            <v>0</v>
          </cell>
        </row>
        <row r="1490">
          <cell r="A1490" t="str">
            <v>D00846</v>
          </cell>
          <cell r="B1490">
            <v>40</v>
          </cell>
          <cell r="C1490" t="str">
            <v>3.18</v>
          </cell>
          <cell r="D1490">
            <v>13267684</v>
          </cell>
          <cell r="E1490" t="str">
            <v>폴리우레탄실란트채움</v>
          </cell>
          <cell r="F1490" t="str">
            <v>(25x20)</v>
          </cell>
          <cell r="G1490" t="str">
            <v>M</v>
          </cell>
          <cell r="I1490">
            <v>0</v>
          </cell>
        </row>
        <row r="1491">
          <cell r="A1491" t="str">
            <v>D03843</v>
          </cell>
          <cell r="B1491">
            <v>3.0059999999999998</v>
          </cell>
          <cell r="C1491" t="str">
            <v>3.19</v>
          </cell>
          <cell r="D1491">
            <v>13286939</v>
          </cell>
          <cell r="E1491" t="str">
            <v>철근망 설치</v>
          </cell>
          <cell r="F1491" t="str">
            <v>(D=13 m/m)</v>
          </cell>
          <cell r="G1491" t="str">
            <v>Ton</v>
          </cell>
          <cell r="I1491">
            <v>0</v>
          </cell>
        </row>
        <row r="1492">
          <cell r="A1492" t="str">
            <v>D03856</v>
          </cell>
          <cell r="B1492">
            <v>186</v>
          </cell>
          <cell r="C1492" t="str">
            <v>3.20</v>
          </cell>
          <cell r="D1492">
            <v>13296566</v>
          </cell>
          <cell r="E1492" t="str">
            <v>맹암거설치</v>
          </cell>
          <cell r="F1492" t="str">
            <v>(D=200 m/m)</v>
          </cell>
          <cell r="G1492" t="str">
            <v>M</v>
          </cell>
          <cell r="I1492">
            <v>0</v>
          </cell>
        </row>
        <row r="1493">
          <cell r="A1493" t="str">
            <v>D00419</v>
          </cell>
          <cell r="B1493">
            <v>154</v>
          </cell>
          <cell r="C1493" t="str">
            <v>3.21</v>
          </cell>
          <cell r="D1493">
            <v>13301380</v>
          </cell>
          <cell r="E1493" t="str">
            <v>부직포설치</v>
          </cell>
          <cell r="F1493" t="str">
            <v>(2.0 T/M)</v>
          </cell>
          <cell r="G1493" t="str">
            <v>㎡</v>
          </cell>
          <cell r="I1493">
            <v>0</v>
          </cell>
        </row>
        <row r="1494">
          <cell r="A1494" t="str">
            <v>D00539</v>
          </cell>
          <cell r="B1494">
            <v>572</v>
          </cell>
          <cell r="C1494" t="str">
            <v>3.22</v>
          </cell>
          <cell r="D1494">
            <v>13303787</v>
          </cell>
          <cell r="E1494" t="str">
            <v>슬래브면고르기</v>
          </cell>
          <cell r="G1494" t="str">
            <v>㎡</v>
          </cell>
          <cell r="I1494">
            <v>0</v>
          </cell>
        </row>
        <row r="1495">
          <cell r="A1495" t="str">
            <v>D03747</v>
          </cell>
          <cell r="B1495">
            <v>32</v>
          </cell>
          <cell r="C1495" t="str">
            <v>3.23</v>
          </cell>
          <cell r="D1495">
            <v>13304389</v>
          </cell>
          <cell r="E1495" t="str">
            <v>워터스톱</v>
          </cell>
          <cell r="F1495" t="str">
            <v>(20x25)</v>
          </cell>
          <cell r="G1495" t="str">
            <v>M</v>
          </cell>
          <cell r="I1495">
            <v>0</v>
          </cell>
        </row>
        <row r="1496">
          <cell r="A1496" t="str">
            <v>D03871</v>
          </cell>
          <cell r="B1496">
            <v>4</v>
          </cell>
          <cell r="C1496" t="str">
            <v>3.24</v>
          </cell>
          <cell r="D1496">
            <v>13304990</v>
          </cell>
          <cell r="E1496" t="str">
            <v>평판재하시험</v>
          </cell>
          <cell r="G1496" t="str">
            <v>개소</v>
          </cell>
          <cell r="I1496">
            <v>0</v>
          </cell>
        </row>
        <row r="1497">
          <cell r="A1497" t="str">
            <v>E3</v>
          </cell>
          <cell r="B1497">
            <v>0</v>
          </cell>
          <cell r="C1497" t="str">
            <v>합계</v>
          </cell>
          <cell r="D1497">
            <v>13306193</v>
          </cell>
          <cell r="I1497">
            <v>0</v>
          </cell>
        </row>
        <row r="1498">
          <cell r="A1498" t="str">
            <v>E4</v>
          </cell>
          <cell r="B1498">
            <v>0</v>
          </cell>
          <cell r="C1498" t="str">
            <v>총계</v>
          </cell>
          <cell r="D1498">
            <v>14550510</v>
          </cell>
          <cell r="I1498">
            <v>0</v>
          </cell>
        </row>
        <row r="1499">
          <cell r="A1499" t="str">
            <v>T4</v>
          </cell>
          <cell r="B1499">
            <v>1757</v>
          </cell>
          <cell r="C1499" t="str">
            <v>4.</v>
          </cell>
          <cell r="D1499">
            <v>14550638</v>
          </cell>
          <cell r="E1499" t="str">
            <v>터    널    공</v>
          </cell>
          <cell r="I1499">
            <v>0</v>
          </cell>
        </row>
        <row r="1500">
          <cell r="A1500" t="str">
            <v>T3</v>
          </cell>
          <cell r="B1500">
            <v>1526</v>
          </cell>
          <cell r="C1500" t="str">
            <v>4.01</v>
          </cell>
          <cell r="D1500">
            <v>14550796</v>
          </cell>
          <cell r="E1500" t="str">
            <v>굴       착</v>
          </cell>
          <cell r="I1500">
            <v>0</v>
          </cell>
        </row>
        <row r="1501">
          <cell r="A1501" t="str">
            <v>T2</v>
          </cell>
          <cell r="B1501">
            <v>1503</v>
          </cell>
          <cell r="C1501" t="str">
            <v>a</v>
          </cell>
          <cell r="D1501">
            <v>14550875</v>
          </cell>
          <cell r="E1501" t="str">
            <v>전단면 굴착</v>
          </cell>
          <cell r="I1501">
            <v>0</v>
          </cell>
        </row>
        <row r="1502">
          <cell r="A1502" t="str">
            <v>D00158</v>
          </cell>
          <cell r="B1502">
            <v>4535</v>
          </cell>
          <cell r="C1502" t="str">
            <v>-1</v>
          </cell>
          <cell r="D1502">
            <v>14551110</v>
          </cell>
          <cell r="E1502" t="str">
            <v>전단면 굴착</v>
          </cell>
          <cell r="F1502" t="str">
            <v>(표준단면-2)</v>
          </cell>
          <cell r="G1502" t="str">
            <v>㎥</v>
          </cell>
          <cell r="I1502">
            <v>0</v>
          </cell>
        </row>
        <row r="1503">
          <cell r="A1503" t="str">
            <v>D00710</v>
          </cell>
          <cell r="B1503">
            <v>17544</v>
          </cell>
          <cell r="C1503" t="str">
            <v>-2</v>
          </cell>
          <cell r="D1503">
            <v>14551189</v>
          </cell>
          <cell r="E1503" t="str">
            <v>전단면 굴착</v>
          </cell>
          <cell r="F1503" t="str">
            <v>(표준단면-3)</v>
          </cell>
          <cell r="G1503" t="str">
            <v>㎥</v>
          </cell>
          <cell r="I1503">
            <v>0</v>
          </cell>
        </row>
        <row r="1504">
          <cell r="A1504" t="str">
            <v>E2</v>
          </cell>
          <cell r="B1504">
            <v>0</v>
          </cell>
          <cell r="C1504" t="str">
            <v>계</v>
          </cell>
          <cell r="D1504">
            <v>14551208</v>
          </cell>
          <cell r="I1504">
            <v>0</v>
          </cell>
        </row>
        <row r="1505">
          <cell r="A1505" t="str">
            <v>T2</v>
          </cell>
          <cell r="B1505">
            <v>1525</v>
          </cell>
          <cell r="C1505" t="str">
            <v>b</v>
          </cell>
          <cell r="D1505">
            <v>14551217</v>
          </cell>
          <cell r="E1505" t="str">
            <v>반단면 굴착</v>
          </cell>
          <cell r="I1505">
            <v>0</v>
          </cell>
        </row>
        <row r="1506">
          <cell r="A1506" t="str">
            <v>T1</v>
          </cell>
          <cell r="B1506">
            <v>1508</v>
          </cell>
          <cell r="C1506" t="str">
            <v>-1</v>
          </cell>
          <cell r="D1506">
            <v>14551222</v>
          </cell>
          <cell r="E1506" t="str">
            <v>표준단면-4</v>
          </cell>
          <cell r="I1506">
            <v>0</v>
          </cell>
        </row>
        <row r="1507">
          <cell r="A1507" t="str">
            <v>D00712</v>
          </cell>
          <cell r="B1507">
            <v>5895</v>
          </cell>
          <cell r="C1507" t="str">
            <v>-1-a</v>
          </cell>
          <cell r="D1507">
            <v>14551226</v>
          </cell>
          <cell r="E1507" t="str">
            <v>반단면 굴착</v>
          </cell>
          <cell r="F1507" t="str">
            <v>(상부,표준단면-4)</v>
          </cell>
          <cell r="G1507" t="str">
            <v>㎥</v>
          </cell>
          <cell r="I1507">
            <v>0</v>
          </cell>
        </row>
        <row r="1508">
          <cell r="A1508" t="str">
            <v>D00713</v>
          </cell>
          <cell r="B1508">
            <v>5223</v>
          </cell>
          <cell r="C1508" t="str">
            <v>-1-b</v>
          </cell>
          <cell r="D1508">
            <v>14551228</v>
          </cell>
          <cell r="E1508" t="str">
            <v>반단면 굴착</v>
          </cell>
          <cell r="F1508" t="str">
            <v>(하부,표준단면-4)</v>
          </cell>
          <cell r="G1508" t="str">
            <v>㎥</v>
          </cell>
          <cell r="I1508">
            <v>0</v>
          </cell>
        </row>
        <row r="1509">
          <cell r="A1509" t="str">
            <v>E1</v>
          </cell>
          <cell r="B1509">
            <v>0</v>
          </cell>
          <cell r="C1509" t="str">
            <v>소계</v>
          </cell>
          <cell r="D1509">
            <v>14551243</v>
          </cell>
          <cell r="I1509">
            <v>0</v>
          </cell>
        </row>
        <row r="1510">
          <cell r="A1510" t="str">
            <v>T1</v>
          </cell>
          <cell r="B1510">
            <v>1512</v>
          </cell>
          <cell r="C1510" t="str">
            <v>-2</v>
          </cell>
          <cell r="D1510">
            <v>14551251</v>
          </cell>
          <cell r="E1510" t="str">
            <v>표준단면-5</v>
          </cell>
          <cell r="F1510" t="str">
            <v>(포장 60 Cm)</v>
          </cell>
          <cell r="I1510">
            <v>0</v>
          </cell>
        </row>
        <row r="1511">
          <cell r="A1511" t="str">
            <v>D01036</v>
          </cell>
          <cell r="B1511">
            <v>9150</v>
          </cell>
          <cell r="C1511" t="str">
            <v>-2-a</v>
          </cell>
          <cell r="D1511">
            <v>14551258</v>
          </cell>
          <cell r="E1511" t="str">
            <v>반단면 굴착(포장60)</v>
          </cell>
          <cell r="F1511" t="str">
            <v>(상부,표준단면-5)</v>
          </cell>
          <cell r="G1511" t="str">
            <v>㎥</v>
          </cell>
          <cell r="I1511">
            <v>0</v>
          </cell>
        </row>
        <row r="1512">
          <cell r="A1512" t="str">
            <v>D01037</v>
          </cell>
          <cell r="B1512">
            <v>8043</v>
          </cell>
          <cell r="C1512" t="str">
            <v>-2-b</v>
          </cell>
          <cell r="D1512">
            <v>14551263</v>
          </cell>
          <cell r="E1512" t="str">
            <v>반단면 굴착(포장60)</v>
          </cell>
          <cell r="F1512" t="str">
            <v>(하부,표준단면-5)</v>
          </cell>
          <cell r="G1512" t="str">
            <v>㎥</v>
          </cell>
          <cell r="I1512">
            <v>0</v>
          </cell>
        </row>
        <row r="1513">
          <cell r="A1513" t="str">
            <v>E1</v>
          </cell>
          <cell r="B1513">
            <v>0</v>
          </cell>
          <cell r="C1513" t="str">
            <v>소계</v>
          </cell>
          <cell r="D1513">
            <v>14551264</v>
          </cell>
          <cell r="I1513">
            <v>0</v>
          </cell>
        </row>
        <row r="1514">
          <cell r="A1514" t="str">
            <v>T1</v>
          </cell>
          <cell r="B1514">
            <v>1516</v>
          </cell>
          <cell r="C1514" t="str">
            <v>-3</v>
          </cell>
          <cell r="D1514">
            <v>14551265</v>
          </cell>
          <cell r="E1514" t="str">
            <v>표준단면-5</v>
          </cell>
          <cell r="F1514" t="str">
            <v>(포장 80 Cm)</v>
          </cell>
          <cell r="I1514">
            <v>0</v>
          </cell>
        </row>
        <row r="1515">
          <cell r="A1515" t="str">
            <v>D01139</v>
          </cell>
          <cell r="B1515">
            <v>1330</v>
          </cell>
          <cell r="C1515" t="str">
            <v>-3-a</v>
          </cell>
          <cell r="D1515">
            <v>14551393</v>
          </cell>
          <cell r="E1515" t="str">
            <v>반단면 굴착(포장80)</v>
          </cell>
          <cell r="F1515" t="str">
            <v>(상부,표준단면-5)</v>
          </cell>
          <cell r="G1515" t="str">
            <v>㎥</v>
          </cell>
          <cell r="I1515">
            <v>0</v>
          </cell>
        </row>
        <row r="1516">
          <cell r="A1516" t="str">
            <v>D01140</v>
          </cell>
          <cell r="B1516">
            <v>1208</v>
          </cell>
          <cell r="C1516" t="str">
            <v>-3-b</v>
          </cell>
          <cell r="D1516">
            <v>14551394</v>
          </cell>
          <cell r="E1516" t="str">
            <v>반단면 굴착(포장80)</v>
          </cell>
          <cell r="F1516" t="str">
            <v>(하부,표준단면-5)</v>
          </cell>
          <cell r="G1516" t="str">
            <v>㎥</v>
          </cell>
          <cell r="I1516">
            <v>0</v>
          </cell>
        </row>
        <row r="1517">
          <cell r="A1517" t="str">
            <v>E1</v>
          </cell>
          <cell r="B1517">
            <v>0</v>
          </cell>
          <cell r="C1517" t="str">
            <v>소계</v>
          </cell>
          <cell r="D1517">
            <v>14551395</v>
          </cell>
          <cell r="I1517">
            <v>0</v>
          </cell>
        </row>
        <row r="1518">
          <cell r="A1518" t="str">
            <v>T1</v>
          </cell>
          <cell r="B1518">
            <v>1520</v>
          </cell>
          <cell r="C1518" t="str">
            <v>-4</v>
          </cell>
          <cell r="D1518">
            <v>14551459</v>
          </cell>
          <cell r="E1518" t="str">
            <v>표준단면-6</v>
          </cell>
          <cell r="F1518" t="str">
            <v>(포장 60 Cm)</v>
          </cell>
          <cell r="I1518">
            <v>0</v>
          </cell>
        </row>
        <row r="1519">
          <cell r="A1519" t="str">
            <v>D01141</v>
          </cell>
          <cell r="B1519">
            <v>5989</v>
          </cell>
          <cell r="C1519" t="str">
            <v>-4-a</v>
          </cell>
          <cell r="D1519">
            <v>14551523</v>
          </cell>
          <cell r="E1519" t="str">
            <v>반단면 굴착(포장60)</v>
          </cell>
          <cell r="F1519" t="str">
            <v>(상부,표준단면-6)</v>
          </cell>
          <cell r="G1519" t="str">
            <v>㎥</v>
          </cell>
          <cell r="I1519">
            <v>0</v>
          </cell>
        </row>
        <row r="1520">
          <cell r="A1520" t="str">
            <v>D01142</v>
          </cell>
          <cell r="B1520">
            <v>5264</v>
          </cell>
          <cell r="C1520" t="str">
            <v>-4-b</v>
          </cell>
          <cell r="D1520">
            <v>14551587</v>
          </cell>
          <cell r="E1520" t="str">
            <v>반단면 굴착(포장60)</v>
          </cell>
          <cell r="F1520" t="str">
            <v>(하부,표준단면-6)</v>
          </cell>
          <cell r="G1520" t="str">
            <v>㎥</v>
          </cell>
          <cell r="I1520">
            <v>0</v>
          </cell>
        </row>
        <row r="1521">
          <cell r="A1521" t="str">
            <v>E1</v>
          </cell>
          <cell r="B1521">
            <v>0</v>
          </cell>
          <cell r="C1521" t="str">
            <v>소계</v>
          </cell>
          <cell r="D1521">
            <v>14551603</v>
          </cell>
          <cell r="I1521">
            <v>0</v>
          </cell>
        </row>
        <row r="1522">
          <cell r="A1522" t="str">
            <v>T1</v>
          </cell>
          <cell r="B1522">
            <v>1524</v>
          </cell>
          <cell r="C1522" t="str">
            <v>-5</v>
          </cell>
          <cell r="D1522">
            <v>14551611</v>
          </cell>
          <cell r="E1522" t="str">
            <v>표준단면-6</v>
          </cell>
          <cell r="F1522" t="str">
            <v>(포장 80 Cm)</v>
          </cell>
          <cell r="I1522">
            <v>0</v>
          </cell>
        </row>
        <row r="1523">
          <cell r="A1523" t="str">
            <v>D03710</v>
          </cell>
          <cell r="B1523">
            <v>2495</v>
          </cell>
          <cell r="C1523" t="str">
            <v>-5-a</v>
          </cell>
          <cell r="D1523">
            <v>14551615</v>
          </cell>
          <cell r="E1523" t="str">
            <v>반단면 굴착(포장80)</v>
          </cell>
          <cell r="F1523" t="str">
            <v>(상부,표준단면-6)</v>
          </cell>
          <cell r="G1523" t="str">
            <v>㎥</v>
          </cell>
          <cell r="I1523">
            <v>0</v>
          </cell>
        </row>
        <row r="1524">
          <cell r="A1524" t="str">
            <v>D03711</v>
          </cell>
          <cell r="B1524">
            <v>2266</v>
          </cell>
          <cell r="C1524" t="str">
            <v>-5-b</v>
          </cell>
          <cell r="D1524">
            <v>14551617</v>
          </cell>
          <cell r="E1524" t="str">
            <v>반단면 굴착(포장80)</v>
          </cell>
          <cell r="F1524" t="str">
            <v>(하부,표준단면-6)</v>
          </cell>
          <cell r="G1524" t="str">
            <v>㎥</v>
          </cell>
          <cell r="I1524">
            <v>0</v>
          </cell>
        </row>
        <row r="1525">
          <cell r="A1525" t="str">
            <v>E1</v>
          </cell>
          <cell r="B1525">
            <v>0</v>
          </cell>
          <cell r="C1525" t="str">
            <v>소계</v>
          </cell>
          <cell r="D1525">
            <v>14551618</v>
          </cell>
          <cell r="I1525">
            <v>0</v>
          </cell>
        </row>
        <row r="1526">
          <cell r="A1526" t="str">
            <v>E2</v>
          </cell>
          <cell r="B1526">
            <v>0</v>
          </cell>
          <cell r="C1526" t="str">
            <v>계</v>
          </cell>
          <cell r="D1526">
            <v>14551619</v>
          </cell>
          <cell r="I1526">
            <v>0</v>
          </cell>
        </row>
        <row r="1527">
          <cell r="A1527" t="str">
            <v>E3</v>
          </cell>
          <cell r="B1527">
            <v>0</v>
          </cell>
          <cell r="C1527" t="str">
            <v>합계</v>
          </cell>
          <cell r="D1527">
            <v>14551683</v>
          </cell>
          <cell r="I1527">
            <v>0</v>
          </cell>
        </row>
        <row r="1528">
          <cell r="A1528" t="str">
            <v>T3</v>
          </cell>
          <cell r="B1528">
            <v>1558</v>
          </cell>
          <cell r="C1528" t="str">
            <v>4.02</v>
          </cell>
          <cell r="D1528">
            <v>14551715</v>
          </cell>
          <cell r="E1528" t="str">
            <v>버 럭 처 리</v>
          </cell>
          <cell r="I1528">
            <v>0</v>
          </cell>
        </row>
        <row r="1529">
          <cell r="A1529" t="str">
            <v>T2</v>
          </cell>
          <cell r="B1529">
            <v>1531</v>
          </cell>
          <cell r="C1529" t="str">
            <v>a</v>
          </cell>
          <cell r="D1529">
            <v>14551731</v>
          </cell>
          <cell r="E1529" t="str">
            <v>전단면버럭처리</v>
          </cell>
          <cell r="I1529">
            <v>0</v>
          </cell>
        </row>
        <row r="1530">
          <cell r="A1530" t="str">
            <v>D00159</v>
          </cell>
          <cell r="B1530">
            <v>4675</v>
          </cell>
          <cell r="C1530" t="str">
            <v>-1</v>
          </cell>
          <cell r="D1530">
            <v>14551763</v>
          </cell>
          <cell r="E1530" t="str">
            <v>전단면 버럭처리</v>
          </cell>
          <cell r="F1530" t="str">
            <v>(표준단면-2)</v>
          </cell>
          <cell r="G1530" t="str">
            <v>㎥</v>
          </cell>
          <cell r="I1530">
            <v>0</v>
          </cell>
        </row>
        <row r="1531">
          <cell r="A1531" t="str">
            <v>D00716</v>
          </cell>
          <cell r="B1531">
            <v>18355</v>
          </cell>
          <cell r="C1531" t="str">
            <v>-2</v>
          </cell>
          <cell r="D1531">
            <v>14551771</v>
          </cell>
          <cell r="E1531" t="str">
            <v>전단면 버럭처리</v>
          </cell>
          <cell r="F1531" t="str">
            <v>(표준단면-3)</v>
          </cell>
          <cell r="G1531" t="str">
            <v>㎥</v>
          </cell>
          <cell r="I1531">
            <v>0</v>
          </cell>
        </row>
        <row r="1532">
          <cell r="A1532" t="str">
            <v>E2</v>
          </cell>
          <cell r="B1532">
            <v>0</v>
          </cell>
          <cell r="C1532" t="str">
            <v>계</v>
          </cell>
          <cell r="D1532">
            <v>14551772</v>
          </cell>
          <cell r="I1532">
            <v>0</v>
          </cell>
        </row>
        <row r="1533">
          <cell r="A1533" t="str">
            <v>T2</v>
          </cell>
          <cell r="B1533">
            <v>1553</v>
          </cell>
          <cell r="C1533" t="str">
            <v>b</v>
          </cell>
          <cell r="D1533">
            <v>14551773</v>
          </cell>
          <cell r="E1533" t="str">
            <v>반단면버럭처리</v>
          </cell>
          <cell r="I1533">
            <v>0</v>
          </cell>
        </row>
        <row r="1534">
          <cell r="A1534" t="str">
            <v>T1</v>
          </cell>
          <cell r="B1534">
            <v>1536</v>
          </cell>
          <cell r="C1534" t="str">
            <v>-1</v>
          </cell>
          <cell r="D1534">
            <v>14551774</v>
          </cell>
          <cell r="E1534" t="str">
            <v>표준단면-4</v>
          </cell>
          <cell r="I1534">
            <v>0</v>
          </cell>
        </row>
        <row r="1535">
          <cell r="A1535" t="str">
            <v>D00717</v>
          </cell>
          <cell r="B1535">
            <v>6371</v>
          </cell>
          <cell r="C1535" t="str">
            <v>-1-a</v>
          </cell>
          <cell r="D1535">
            <v>14551903</v>
          </cell>
          <cell r="E1535" t="str">
            <v>반단면버럭처리</v>
          </cell>
          <cell r="F1535" t="str">
            <v>(상부,표준단면-4)</v>
          </cell>
          <cell r="G1535" t="str">
            <v>㎥</v>
          </cell>
          <cell r="I1535">
            <v>0</v>
          </cell>
        </row>
        <row r="1536">
          <cell r="A1536" t="str">
            <v>D00718</v>
          </cell>
          <cell r="B1536">
            <v>5429</v>
          </cell>
          <cell r="C1536" t="str">
            <v>-1-b</v>
          </cell>
          <cell r="D1536">
            <v>14551905</v>
          </cell>
          <cell r="E1536" t="str">
            <v>반단면버럭처리</v>
          </cell>
          <cell r="F1536" t="str">
            <v>(하부,표준단면-4)</v>
          </cell>
          <cell r="G1536" t="str">
            <v>㎥</v>
          </cell>
          <cell r="I1536">
            <v>0</v>
          </cell>
        </row>
        <row r="1537">
          <cell r="A1537" t="str">
            <v>E1</v>
          </cell>
          <cell r="B1537">
            <v>0</v>
          </cell>
          <cell r="C1537" t="str">
            <v>소계</v>
          </cell>
          <cell r="D1537">
            <v>14551906</v>
          </cell>
          <cell r="I1537">
            <v>0</v>
          </cell>
        </row>
        <row r="1538">
          <cell r="A1538" t="str">
            <v>T1</v>
          </cell>
          <cell r="B1538">
            <v>1540</v>
          </cell>
          <cell r="C1538" t="str">
            <v>-2</v>
          </cell>
          <cell r="D1538">
            <v>14551970</v>
          </cell>
          <cell r="E1538" t="str">
            <v>표준단면-5</v>
          </cell>
          <cell r="F1538" t="str">
            <v>(포장 60 Cm)</v>
          </cell>
          <cell r="I1538">
            <v>0</v>
          </cell>
        </row>
        <row r="1539">
          <cell r="A1539" t="str">
            <v>D01038</v>
          </cell>
          <cell r="B1539">
            <v>9882</v>
          </cell>
          <cell r="C1539" t="str">
            <v>-2-a</v>
          </cell>
          <cell r="D1539">
            <v>14552034</v>
          </cell>
          <cell r="E1539" t="str">
            <v>반단면버럭처리(상부)</v>
          </cell>
          <cell r="F1539" t="str">
            <v>(표준단면-5, 60Cm)</v>
          </cell>
          <cell r="G1539" t="str">
            <v>㎥</v>
          </cell>
          <cell r="I1539">
            <v>0</v>
          </cell>
        </row>
        <row r="1540">
          <cell r="A1540" t="str">
            <v>D01039</v>
          </cell>
          <cell r="B1540">
            <v>8357</v>
          </cell>
          <cell r="C1540" t="str">
            <v>-2-b</v>
          </cell>
          <cell r="D1540">
            <v>14552035</v>
          </cell>
          <cell r="E1540" t="str">
            <v>반단면버럭처리(하부)</v>
          </cell>
          <cell r="F1540" t="str">
            <v>(표준단면-5, 60Cm)</v>
          </cell>
          <cell r="G1540" t="str">
            <v>㎥</v>
          </cell>
          <cell r="I1540">
            <v>0</v>
          </cell>
        </row>
        <row r="1541">
          <cell r="A1541" t="str">
            <v>E1</v>
          </cell>
          <cell r="B1541">
            <v>0</v>
          </cell>
          <cell r="C1541" t="str">
            <v>소계</v>
          </cell>
          <cell r="D1541">
            <v>14552067</v>
          </cell>
          <cell r="I1541">
            <v>0</v>
          </cell>
        </row>
        <row r="1542">
          <cell r="A1542" t="str">
            <v>T1</v>
          </cell>
          <cell r="B1542">
            <v>1544</v>
          </cell>
          <cell r="C1542" t="str">
            <v>-3</v>
          </cell>
          <cell r="D1542">
            <v>14552083</v>
          </cell>
          <cell r="E1542" t="str">
            <v>표준단면-5</v>
          </cell>
          <cell r="F1542" t="str">
            <v>(포장 80 Cm)</v>
          </cell>
          <cell r="I1542">
            <v>0</v>
          </cell>
        </row>
        <row r="1543">
          <cell r="A1543" t="str">
            <v>D01143</v>
          </cell>
          <cell r="B1543">
            <v>1437</v>
          </cell>
          <cell r="C1543" t="str">
            <v>-3-a</v>
          </cell>
          <cell r="D1543">
            <v>14552099</v>
          </cell>
          <cell r="E1543" t="str">
            <v>반단면버럭처리(상부)</v>
          </cell>
          <cell r="F1543" t="str">
            <v>(표준단면-5, 80Cm)</v>
          </cell>
          <cell r="G1543" t="str">
            <v>㎥</v>
          </cell>
          <cell r="I1543">
            <v>0</v>
          </cell>
        </row>
        <row r="1544">
          <cell r="A1544" t="str">
            <v>D01144</v>
          </cell>
          <cell r="B1544">
            <v>1254</v>
          </cell>
          <cell r="C1544" t="str">
            <v>-3-b</v>
          </cell>
          <cell r="D1544">
            <v>14552131</v>
          </cell>
          <cell r="E1544" t="str">
            <v>반단면버럭처리(하부)</v>
          </cell>
          <cell r="F1544" t="str">
            <v>(표준단면-5, 80Cm)</v>
          </cell>
          <cell r="G1544" t="str">
            <v>㎥</v>
          </cell>
          <cell r="I1544">
            <v>0</v>
          </cell>
        </row>
        <row r="1545">
          <cell r="A1545" t="str">
            <v>E1</v>
          </cell>
          <cell r="B1545">
            <v>0</v>
          </cell>
          <cell r="C1545" t="str">
            <v>소계</v>
          </cell>
          <cell r="D1545">
            <v>14552139</v>
          </cell>
          <cell r="I1545">
            <v>0</v>
          </cell>
        </row>
        <row r="1546">
          <cell r="A1546" t="str">
            <v>T1</v>
          </cell>
          <cell r="B1546">
            <v>1548</v>
          </cell>
          <cell r="C1546" t="str">
            <v>-4</v>
          </cell>
          <cell r="D1546">
            <v>14552143</v>
          </cell>
          <cell r="E1546" t="str">
            <v>표준단면-6</v>
          </cell>
          <cell r="F1546" t="str">
            <v>(포장 60 Cm)</v>
          </cell>
          <cell r="I1546">
            <v>0</v>
          </cell>
        </row>
        <row r="1547">
          <cell r="A1547" t="str">
            <v>D01145</v>
          </cell>
          <cell r="B1547">
            <v>6468</v>
          </cell>
          <cell r="C1547" t="str">
            <v>-4-a</v>
          </cell>
          <cell r="D1547">
            <v>14552147</v>
          </cell>
          <cell r="E1547" t="str">
            <v>반단면버럭처리(상부)</v>
          </cell>
          <cell r="F1547" t="str">
            <v>(표준단면-6, 60Cm)</v>
          </cell>
          <cell r="G1547" t="str">
            <v>㎥</v>
          </cell>
          <cell r="I1547">
            <v>0</v>
          </cell>
        </row>
        <row r="1548">
          <cell r="A1548" t="str">
            <v>D01146</v>
          </cell>
          <cell r="B1548">
            <v>5470</v>
          </cell>
          <cell r="C1548" t="str">
            <v>-4-b</v>
          </cell>
          <cell r="D1548">
            <v>14552155</v>
          </cell>
          <cell r="E1548" t="str">
            <v>반단면버럭처리(하부)</v>
          </cell>
          <cell r="F1548" t="str">
            <v>(표준단면-6, 60Cm)</v>
          </cell>
          <cell r="G1548" t="str">
            <v>㎥</v>
          </cell>
          <cell r="I1548">
            <v>0</v>
          </cell>
        </row>
        <row r="1549">
          <cell r="A1549" t="str">
            <v>E1</v>
          </cell>
          <cell r="B1549">
            <v>0</v>
          </cell>
          <cell r="C1549" t="str">
            <v>소계</v>
          </cell>
          <cell r="D1549">
            <v>14552157</v>
          </cell>
          <cell r="I1549">
            <v>0</v>
          </cell>
        </row>
        <row r="1550">
          <cell r="A1550" t="str">
            <v>T1</v>
          </cell>
          <cell r="B1550">
            <v>1552</v>
          </cell>
          <cell r="C1550" t="str">
            <v>-5</v>
          </cell>
          <cell r="D1550">
            <v>14552158</v>
          </cell>
          <cell r="E1550" t="str">
            <v>표준단면-6</v>
          </cell>
          <cell r="F1550" t="str">
            <v>(포장 80 Cm)</v>
          </cell>
          <cell r="I1550">
            <v>0</v>
          </cell>
        </row>
        <row r="1551">
          <cell r="A1551" t="str">
            <v>D03712</v>
          </cell>
          <cell r="B1551">
            <v>2695</v>
          </cell>
          <cell r="C1551" t="str">
            <v>-5-a</v>
          </cell>
          <cell r="D1551">
            <v>14552159</v>
          </cell>
          <cell r="E1551" t="str">
            <v>반단면버럭처리(상부)</v>
          </cell>
          <cell r="F1551" t="str">
            <v>(표준단면-6, 80Cm)</v>
          </cell>
          <cell r="G1551" t="str">
            <v>㎥</v>
          </cell>
          <cell r="I1551">
            <v>0</v>
          </cell>
        </row>
        <row r="1552">
          <cell r="A1552" t="str">
            <v>D03713</v>
          </cell>
          <cell r="B1552">
            <v>2351</v>
          </cell>
          <cell r="C1552" t="str">
            <v>-5-b</v>
          </cell>
          <cell r="D1552">
            <v>14552223</v>
          </cell>
          <cell r="E1552" t="str">
            <v>반단면버럭처리(하부)</v>
          </cell>
          <cell r="F1552" t="str">
            <v>(표준단면-6, 80Cm)</v>
          </cell>
          <cell r="G1552" t="str">
            <v>㎥</v>
          </cell>
          <cell r="I1552">
            <v>0</v>
          </cell>
        </row>
        <row r="1553">
          <cell r="A1553" t="str">
            <v>E1</v>
          </cell>
          <cell r="B1553">
            <v>0</v>
          </cell>
          <cell r="C1553" t="str">
            <v>소계</v>
          </cell>
          <cell r="D1553">
            <v>14552255</v>
          </cell>
          <cell r="I1553">
            <v>0</v>
          </cell>
        </row>
        <row r="1554">
          <cell r="A1554" t="str">
            <v>E2</v>
          </cell>
          <cell r="B1554">
            <v>0</v>
          </cell>
          <cell r="C1554" t="str">
            <v>계</v>
          </cell>
          <cell r="D1554">
            <v>14552263</v>
          </cell>
          <cell r="I1554">
            <v>0</v>
          </cell>
        </row>
        <row r="1555">
          <cell r="A1555" t="str">
            <v>T2</v>
          </cell>
          <cell r="B1555">
            <v>1557</v>
          </cell>
          <cell r="C1555" t="str">
            <v>c</v>
          </cell>
          <cell r="D1555">
            <v>14552271</v>
          </cell>
          <cell r="E1555" t="str">
            <v>숏크리트버럭처리</v>
          </cell>
          <cell r="I1555">
            <v>0</v>
          </cell>
        </row>
        <row r="1556">
          <cell r="A1556" t="str">
            <v>D00719</v>
          </cell>
          <cell r="B1556">
            <v>935</v>
          </cell>
          <cell r="C1556" t="str">
            <v>-1</v>
          </cell>
          <cell r="D1556">
            <v>14552287</v>
          </cell>
          <cell r="E1556" t="str">
            <v>숏크리트 버럭처리</v>
          </cell>
          <cell r="F1556" t="str">
            <v>(갱  내)</v>
          </cell>
          <cell r="G1556" t="str">
            <v>㎥</v>
          </cell>
          <cell r="I1556">
            <v>0</v>
          </cell>
        </row>
        <row r="1557">
          <cell r="A1557" t="str">
            <v>D01147</v>
          </cell>
          <cell r="B1557">
            <v>10</v>
          </cell>
          <cell r="C1557" t="str">
            <v>-2</v>
          </cell>
          <cell r="D1557">
            <v>14552289</v>
          </cell>
          <cell r="E1557" t="str">
            <v>숏크리트 버럭처리</v>
          </cell>
          <cell r="F1557" t="str">
            <v>(갱구부)</v>
          </cell>
          <cell r="G1557" t="str">
            <v>㎥</v>
          </cell>
          <cell r="I1557">
            <v>0</v>
          </cell>
        </row>
        <row r="1558">
          <cell r="A1558" t="str">
            <v>E2</v>
          </cell>
          <cell r="B1558">
            <v>0</v>
          </cell>
          <cell r="C1558" t="str">
            <v>계</v>
          </cell>
          <cell r="D1558">
            <v>14552290</v>
          </cell>
          <cell r="I1558">
            <v>0</v>
          </cell>
        </row>
        <row r="1559">
          <cell r="A1559" t="str">
            <v>E3</v>
          </cell>
          <cell r="B1559">
            <v>0</v>
          </cell>
          <cell r="C1559" t="str">
            <v>합계</v>
          </cell>
          <cell r="D1559">
            <v>14552322</v>
          </cell>
          <cell r="I1559">
            <v>0</v>
          </cell>
        </row>
        <row r="1560">
          <cell r="A1560" t="str">
            <v>T3</v>
          </cell>
          <cell r="B1560">
            <v>1573</v>
          </cell>
          <cell r="C1560" t="str">
            <v>4.03</v>
          </cell>
          <cell r="D1560">
            <v>14552354</v>
          </cell>
          <cell r="E1560" t="str">
            <v>지  보  공</v>
          </cell>
          <cell r="I1560">
            <v>0</v>
          </cell>
        </row>
        <row r="1561">
          <cell r="A1561" t="str">
            <v>T2</v>
          </cell>
          <cell r="B1561">
            <v>1564</v>
          </cell>
          <cell r="C1561" t="str">
            <v>a</v>
          </cell>
          <cell r="D1561">
            <v>14552387</v>
          </cell>
          <cell r="E1561" t="str">
            <v>강지보공</v>
          </cell>
          <cell r="I1561">
            <v>0</v>
          </cell>
        </row>
        <row r="1562">
          <cell r="A1562" t="str">
            <v>D01042</v>
          </cell>
          <cell r="B1562">
            <v>96</v>
          </cell>
          <cell r="C1562" t="str">
            <v>-1</v>
          </cell>
          <cell r="D1562">
            <v>14552419</v>
          </cell>
          <cell r="E1562" t="str">
            <v>STEEL RIB</v>
          </cell>
          <cell r="F1562" t="str">
            <v>(표준단면-4)</v>
          </cell>
          <cell r="G1562" t="str">
            <v>SET</v>
          </cell>
          <cell r="I1562">
            <v>0</v>
          </cell>
        </row>
        <row r="1563">
          <cell r="A1563" t="str">
            <v>D00738</v>
          </cell>
          <cell r="B1563">
            <v>210</v>
          </cell>
          <cell r="C1563" t="str">
            <v>-2</v>
          </cell>
          <cell r="D1563">
            <v>14552483</v>
          </cell>
          <cell r="E1563" t="str">
            <v>STEEL RIB</v>
          </cell>
          <cell r="F1563" t="str">
            <v>(표준단면-5)</v>
          </cell>
          <cell r="G1563" t="str">
            <v>SET</v>
          </cell>
          <cell r="I1563">
            <v>0</v>
          </cell>
        </row>
        <row r="1564">
          <cell r="A1564" t="str">
            <v>D01041</v>
          </cell>
          <cell r="B1564">
            <v>340</v>
          </cell>
          <cell r="C1564" t="str">
            <v>-3</v>
          </cell>
          <cell r="D1564">
            <v>14552515</v>
          </cell>
          <cell r="E1564" t="str">
            <v>STEEL RIB</v>
          </cell>
          <cell r="F1564" t="str">
            <v>(표준단면-6)</v>
          </cell>
          <cell r="G1564" t="str">
            <v>SET</v>
          </cell>
          <cell r="I1564">
            <v>0</v>
          </cell>
        </row>
        <row r="1565">
          <cell r="A1565" t="str">
            <v>E2</v>
          </cell>
          <cell r="B1565">
            <v>0</v>
          </cell>
          <cell r="C1565" t="str">
            <v>계</v>
          </cell>
          <cell r="D1565">
            <v>14552523</v>
          </cell>
          <cell r="I1565">
            <v>0</v>
          </cell>
        </row>
        <row r="1566">
          <cell r="A1566" t="str">
            <v>T2</v>
          </cell>
          <cell r="B1566">
            <v>1572</v>
          </cell>
          <cell r="C1566" t="str">
            <v>b</v>
          </cell>
          <cell r="D1566">
            <v>14552527</v>
          </cell>
          <cell r="E1566" t="str">
            <v>숏크리트공</v>
          </cell>
          <cell r="I1566">
            <v>0</v>
          </cell>
        </row>
        <row r="1567">
          <cell r="A1567" t="str">
            <v>D00727</v>
          </cell>
          <cell r="B1567">
            <v>162</v>
          </cell>
          <cell r="C1567" t="str">
            <v>-1</v>
          </cell>
          <cell r="D1567">
            <v>14552539</v>
          </cell>
          <cell r="E1567" t="str">
            <v>숏크리트</v>
          </cell>
          <cell r="F1567" t="str">
            <v>(표준단면-2)</v>
          </cell>
          <cell r="G1567" t="str">
            <v>㎥</v>
          </cell>
          <cell r="I1567">
            <v>0</v>
          </cell>
        </row>
        <row r="1568">
          <cell r="A1568" t="str">
            <v>D00728</v>
          </cell>
          <cell r="B1568">
            <v>968</v>
          </cell>
          <cell r="C1568" t="str">
            <v>-2</v>
          </cell>
          <cell r="D1568">
            <v>14552543</v>
          </cell>
          <cell r="E1568" t="str">
            <v>숏크리트</v>
          </cell>
          <cell r="F1568" t="str">
            <v>(표준단면-3)</v>
          </cell>
          <cell r="G1568" t="str">
            <v>㎥</v>
          </cell>
          <cell r="I1568">
            <v>0</v>
          </cell>
        </row>
        <row r="1569">
          <cell r="A1569" t="str">
            <v>D01044</v>
          </cell>
          <cell r="B1569">
            <v>866</v>
          </cell>
          <cell r="C1569" t="str">
            <v>-3</v>
          </cell>
          <cell r="D1569">
            <v>14552545</v>
          </cell>
          <cell r="E1569" t="str">
            <v>숏크리트</v>
          </cell>
          <cell r="F1569" t="str">
            <v>(표준단면-4)</v>
          </cell>
          <cell r="G1569" t="str">
            <v>㎥</v>
          </cell>
          <cell r="I1569">
            <v>0</v>
          </cell>
        </row>
        <row r="1570">
          <cell r="A1570" t="str">
            <v>D00741</v>
          </cell>
          <cell r="B1570">
            <v>1841</v>
          </cell>
          <cell r="C1570" t="str">
            <v>-4</v>
          </cell>
          <cell r="D1570">
            <v>14552546</v>
          </cell>
          <cell r="E1570" t="str">
            <v>숏크리트</v>
          </cell>
          <cell r="F1570" t="str">
            <v>(표준단면-5)</v>
          </cell>
          <cell r="G1570" t="str">
            <v>㎥</v>
          </cell>
          <cell r="I1570">
            <v>0</v>
          </cell>
        </row>
        <row r="1571">
          <cell r="A1571" t="str">
            <v>D01045</v>
          </cell>
          <cell r="B1571">
            <v>1518</v>
          </cell>
          <cell r="C1571" t="str">
            <v>-5</v>
          </cell>
          <cell r="D1571">
            <v>14552547</v>
          </cell>
          <cell r="E1571" t="str">
            <v>숏크리트</v>
          </cell>
          <cell r="F1571" t="str">
            <v>(표준단면-6)</v>
          </cell>
          <cell r="G1571" t="str">
            <v>㎥</v>
          </cell>
          <cell r="I1571">
            <v>0</v>
          </cell>
        </row>
        <row r="1572">
          <cell r="A1572" t="str">
            <v>D00729</v>
          </cell>
          <cell r="B1572">
            <v>95</v>
          </cell>
          <cell r="C1572" t="str">
            <v>-6</v>
          </cell>
          <cell r="D1572">
            <v>14552611</v>
          </cell>
          <cell r="E1572" t="str">
            <v>숏크리트</v>
          </cell>
          <cell r="F1572" t="str">
            <v>(갱구부)</v>
          </cell>
          <cell r="G1572" t="str">
            <v>㎥</v>
          </cell>
          <cell r="I1572">
            <v>0</v>
          </cell>
        </row>
        <row r="1573">
          <cell r="A1573" t="str">
            <v>E2</v>
          </cell>
          <cell r="B1573">
            <v>0</v>
          </cell>
          <cell r="C1573" t="str">
            <v>계</v>
          </cell>
          <cell r="D1573">
            <v>14552627</v>
          </cell>
          <cell r="I1573">
            <v>0</v>
          </cell>
        </row>
        <row r="1574">
          <cell r="A1574" t="str">
            <v>E3</v>
          </cell>
          <cell r="B1574">
            <v>0</v>
          </cell>
          <cell r="C1574" t="str">
            <v>합계</v>
          </cell>
          <cell r="D1574">
            <v>14552635</v>
          </cell>
          <cell r="I1574">
            <v>0</v>
          </cell>
        </row>
        <row r="1575">
          <cell r="A1575" t="str">
            <v>T3</v>
          </cell>
          <cell r="B1575">
            <v>1610</v>
          </cell>
          <cell r="C1575" t="str">
            <v>4.04</v>
          </cell>
          <cell r="D1575">
            <v>14552639</v>
          </cell>
          <cell r="E1575" t="str">
            <v>락볼트공</v>
          </cell>
          <cell r="I1575">
            <v>0</v>
          </cell>
        </row>
        <row r="1576">
          <cell r="A1576" t="str">
            <v>T2</v>
          </cell>
          <cell r="B1576">
            <v>1578</v>
          </cell>
          <cell r="C1576" t="str">
            <v>a</v>
          </cell>
          <cell r="D1576">
            <v>14552653</v>
          </cell>
          <cell r="E1576" t="str">
            <v>표준단면-2</v>
          </cell>
          <cell r="I1576">
            <v>0</v>
          </cell>
        </row>
        <row r="1577">
          <cell r="A1577" t="str">
            <v>D00387</v>
          </cell>
          <cell r="B1577">
            <v>170</v>
          </cell>
          <cell r="C1577" t="str">
            <v>-1</v>
          </cell>
          <cell r="D1577">
            <v>14552667</v>
          </cell>
          <cell r="E1577" t="str">
            <v>락볼트공(상부)</v>
          </cell>
          <cell r="F1577" t="str">
            <v>(표준단면-2)</v>
          </cell>
          <cell r="G1577" t="str">
            <v>SET</v>
          </cell>
          <cell r="I1577">
            <v>0</v>
          </cell>
        </row>
        <row r="1578">
          <cell r="A1578" t="str">
            <v>D00388</v>
          </cell>
          <cell r="B1578">
            <v>40</v>
          </cell>
          <cell r="C1578" t="str">
            <v>-2</v>
          </cell>
          <cell r="D1578">
            <v>14552671</v>
          </cell>
          <cell r="E1578" t="str">
            <v>락볼트공(측벽)</v>
          </cell>
          <cell r="F1578" t="str">
            <v>(표준단면-2)</v>
          </cell>
          <cell r="G1578" t="str">
            <v>SET</v>
          </cell>
          <cell r="I1578">
            <v>0</v>
          </cell>
        </row>
        <row r="1579">
          <cell r="A1579" t="str">
            <v>E2</v>
          </cell>
          <cell r="B1579">
            <v>0</v>
          </cell>
          <cell r="C1579" t="str">
            <v>계</v>
          </cell>
          <cell r="D1579">
            <v>14552672</v>
          </cell>
          <cell r="I1579">
            <v>0</v>
          </cell>
        </row>
        <row r="1580">
          <cell r="A1580" t="str">
            <v>T2</v>
          </cell>
          <cell r="B1580">
            <v>1582</v>
          </cell>
          <cell r="C1580" t="str">
            <v>b</v>
          </cell>
          <cell r="D1580">
            <v>14552673</v>
          </cell>
          <cell r="E1580" t="str">
            <v>표준단면-3</v>
          </cell>
          <cell r="I1580">
            <v>0</v>
          </cell>
        </row>
        <row r="1581">
          <cell r="A1581" t="str">
            <v>D00749</v>
          </cell>
          <cell r="B1581">
            <v>977</v>
          </cell>
          <cell r="C1581" t="str">
            <v>-1</v>
          </cell>
          <cell r="D1581">
            <v>14552801</v>
          </cell>
          <cell r="E1581" t="str">
            <v>락볼트공(상부)</v>
          </cell>
          <cell r="F1581" t="str">
            <v>(표준단면-3)</v>
          </cell>
          <cell r="G1581" t="str">
            <v>SET</v>
          </cell>
          <cell r="I1581">
            <v>0</v>
          </cell>
        </row>
        <row r="1582">
          <cell r="A1582" t="str">
            <v>D00748</v>
          </cell>
          <cell r="B1582">
            <v>690</v>
          </cell>
          <cell r="C1582" t="str">
            <v>-2</v>
          </cell>
          <cell r="D1582">
            <v>14552802</v>
          </cell>
          <cell r="E1582" t="str">
            <v>락볼트공(하부)</v>
          </cell>
          <cell r="F1582" t="str">
            <v>(표준단면-3)</v>
          </cell>
          <cell r="G1582" t="str">
            <v>SET</v>
          </cell>
          <cell r="I1582">
            <v>0</v>
          </cell>
        </row>
        <row r="1583">
          <cell r="A1583" t="str">
            <v>E2</v>
          </cell>
          <cell r="B1583">
            <v>0</v>
          </cell>
          <cell r="C1583" t="str">
            <v>계</v>
          </cell>
          <cell r="D1583">
            <v>14552803</v>
          </cell>
          <cell r="I1583">
            <v>0</v>
          </cell>
        </row>
        <row r="1584">
          <cell r="A1584" t="str">
            <v>T2</v>
          </cell>
          <cell r="B1584">
            <v>1586</v>
          </cell>
          <cell r="C1584" t="str">
            <v>c</v>
          </cell>
          <cell r="D1584">
            <v>14552867</v>
          </cell>
          <cell r="E1584" t="str">
            <v>표준단면-4</v>
          </cell>
          <cell r="I1584">
            <v>0</v>
          </cell>
        </row>
        <row r="1585">
          <cell r="A1585" t="str">
            <v>D00747</v>
          </cell>
          <cell r="B1585">
            <v>816</v>
          </cell>
          <cell r="C1585" t="str">
            <v>-1</v>
          </cell>
          <cell r="D1585">
            <v>14552931</v>
          </cell>
          <cell r="E1585" t="str">
            <v>락볼트공(상부)</v>
          </cell>
          <cell r="F1585" t="str">
            <v>(표준단면-4)</v>
          </cell>
          <cell r="G1585" t="str">
            <v>SET</v>
          </cell>
          <cell r="I1585">
            <v>0</v>
          </cell>
        </row>
        <row r="1586">
          <cell r="A1586" t="str">
            <v>D00750</v>
          </cell>
          <cell r="B1586">
            <v>576</v>
          </cell>
          <cell r="C1586" t="str">
            <v>-2</v>
          </cell>
          <cell r="D1586">
            <v>14552995</v>
          </cell>
          <cell r="E1586" t="str">
            <v>락볼트공(하부)</v>
          </cell>
          <cell r="F1586" t="str">
            <v>(표준단면-4)</v>
          </cell>
          <cell r="G1586" t="str">
            <v>SET</v>
          </cell>
          <cell r="I1586">
            <v>0</v>
          </cell>
        </row>
        <row r="1587">
          <cell r="A1587" t="str">
            <v>E2</v>
          </cell>
          <cell r="B1587">
            <v>0</v>
          </cell>
          <cell r="C1587" t="str">
            <v>계</v>
          </cell>
          <cell r="D1587">
            <v>14553011</v>
          </cell>
          <cell r="I1587">
            <v>0</v>
          </cell>
        </row>
        <row r="1588">
          <cell r="A1588" t="str">
            <v>T2</v>
          </cell>
          <cell r="B1588">
            <v>1590</v>
          </cell>
          <cell r="C1588" t="str">
            <v>d</v>
          </cell>
          <cell r="D1588">
            <v>14553019</v>
          </cell>
          <cell r="E1588" t="str">
            <v>표준단면-5</v>
          </cell>
          <cell r="I1588">
            <v>0</v>
          </cell>
        </row>
        <row r="1589">
          <cell r="A1589" t="str">
            <v>D01046</v>
          </cell>
          <cell r="B1589">
            <v>1785</v>
          </cell>
          <cell r="C1589" t="str">
            <v>-1</v>
          </cell>
          <cell r="D1589">
            <v>14553027</v>
          </cell>
          <cell r="E1589" t="str">
            <v>락볼트공(상부)</v>
          </cell>
          <cell r="F1589" t="str">
            <v>(표준단면-5)</v>
          </cell>
          <cell r="G1589" t="str">
            <v>SET</v>
          </cell>
          <cell r="I1589">
            <v>0</v>
          </cell>
        </row>
        <row r="1590">
          <cell r="A1590" t="str">
            <v>D01047</v>
          </cell>
          <cell r="B1590">
            <v>1260</v>
          </cell>
          <cell r="C1590" t="str">
            <v>-2</v>
          </cell>
          <cell r="D1590">
            <v>14553043</v>
          </cell>
          <cell r="E1590" t="str">
            <v>락볼트공(측벽)</v>
          </cell>
          <cell r="F1590" t="str">
            <v>(표준단면-5)</v>
          </cell>
          <cell r="G1590" t="str">
            <v>SET</v>
          </cell>
          <cell r="I1590">
            <v>0</v>
          </cell>
        </row>
        <row r="1591">
          <cell r="A1591" t="str">
            <v>E2</v>
          </cell>
          <cell r="B1591">
            <v>0</v>
          </cell>
          <cell r="C1591" t="str">
            <v>계</v>
          </cell>
          <cell r="D1591">
            <v>14553047</v>
          </cell>
          <cell r="I1591">
            <v>0</v>
          </cell>
        </row>
        <row r="1592">
          <cell r="A1592" t="str">
            <v>T2</v>
          </cell>
          <cell r="B1592">
            <v>1594</v>
          </cell>
          <cell r="C1592" t="str">
            <v>e</v>
          </cell>
          <cell r="D1592">
            <v>14553049</v>
          </cell>
          <cell r="E1592" t="str">
            <v>표준단면-6</v>
          </cell>
          <cell r="I1592">
            <v>0</v>
          </cell>
        </row>
        <row r="1593">
          <cell r="A1593" t="str">
            <v>D03717</v>
          </cell>
          <cell r="B1593">
            <v>1445</v>
          </cell>
          <cell r="C1593" t="str">
            <v>-1</v>
          </cell>
          <cell r="D1593">
            <v>14553114</v>
          </cell>
          <cell r="E1593" t="str">
            <v>락볼트공(상부)</v>
          </cell>
          <cell r="F1593" t="str">
            <v>(표준단면-6)</v>
          </cell>
          <cell r="G1593" t="str">
            <v>SET</v>
          </cell>
          <cell r="I1593">
            <v>0</v>
          </cell>
        </row>
        <row r="1594">
          <cell r="A1594" t="str">
            <v>D03718</v>
          </cell>
          <cell r="B1594">
            <v>1020</v>
          </cell>
          <cell r="C1594" t="str">
            <v>-2</v>
          </cell>
          <cell r="D1594">
            <v>14553147</v>
          </cell>
          <cell r="E1594" t="str">
            <v>락볼트공(측벽)</v>
          </cell>
          <cell r="F1594" t="str">
            <v>(표준단면-6)</v>
          </cell>
          <cell r="G1594" t="str">
            <v>SET</v>
          </cell>
          <cell r="I1594">
            <v>0</v>
          </cell>
        </row>
        <row r="1595">
          <cell r="A1595" t="str">
            <v>E2</v>
          </cell>
          <cell r="B1595">
            <v>0</v>
          </cell>
          <cell r="C1595" t="str">
            <v>계</v>
          </cell>
          <cell r="D1595">
            <v>14553163</v>
          </cell>
          <cell r="I1595">
            <v>0</v>
          </cell>
        </row>
        <row r="1596">
          <cell r="A1596" t="str">
            <v>T2</v>
          </cell>
          <cell r="B1596">
            <v>1598</v>
          </cell>
          <cell r="C1596" t="str">
            <v>f</v>
          </cell>
          <cell r="D1596">
            <v>14553171</v>
          </cell>
          <cell r="E1596" t="str">
            <v>락볼트공</v>
          </cell>
          <cell r="I1596">
            <v>0</v>
          </cell>
        </row>
        <row r="1597">
          <cell r="A1597" t="str">
            <v>D00751</v>
          </cell>
          <cell r="B1597">
            <v>1313</v>
          </cell>
          <cell r="C1597" t="str">
            <v>-1</v>
          </cell>
          <cell r="D1597">
            <v>14553179</v>
          </cell>
          <cell r="E1597" t="str">
            <v>락볼트공</v>
          </cell>
          <cell r="F1597" t="str">
            <v>(갱구부 L=5 M)</v>
          </cell>
          <cell r="G1597" t="str">
            <v>조</v>
          </cell>
          <cell r="I1597">
            <v>0</v>
          </cell>
        </row>
        <row r="1598">
          <cell r="A1598" t="str">
            <v>D03864</v>
          </cell>
          <cell r="B1598">
            <v>144</v>
          </cell>
          <cell r="C1598" t="str">
            <v>-2</v>
          </cell>
          <cell r="D1598">
            <v>14553180</v>
          </cell>
          <cell r="E1598" t="str">
            <v>락볼트공</v>
          </cell>
          <cell r="F1598" t="str">
            <v>(갱구부 L=7 M)</v>
          </cell>
          <cell r="G1598" t="str">
            <v>조</v>
          </cell>
          <cell r="I1598">
            <v>0</v>
          </cell>
        </row>
        <row r="1599">
          <cell r="A1599" t="str">
            <v>E2</v>
          </cell>
          <cell r="B1599">
            <v>0</v>
          </cell>
          <cell r="C1599" t="str">
            <v>계</v>
          </cell>
          <cell r="D1599">
            <v>14553181</v>
          </cell>
          <cell r="I1599">
            <v>0</v>
          </cell>
        </row>
        <row r="1600">
          <cell r="A1600" t="str">
            <v>T2</v>
          </cell>
          <cell r="B1600">
            <v>1606</v>
          </cell>
          <cell r="C1600" t="str">
            <v>g</v>
          </cell>
          <cell r="D1600">
            <v>14553309</v>
          </cell>
          <cell r="E1600" t="str">
            <v>강관다단그라우팅</v>
          </cell>
          <cell r="I1600">
            <v>0</v>
          </cell>
        </row>
        <row r="1601">
          <cell r="A1601" t="str">
            <v>T1</v>
          </cell>
          <cell r="B1601">
            <v>1602</v>
          </cell>
          <cell r="C1601" t="str">
            <v>-1</v>
          </cell>
          <cell r="D1601">
            <v>14553310</v>
          </cell>
          <cell r="E1601" t="str">
            <v>갱 구 부</v>
          </cell>
          <cell r="F1601" t="str">
            <v>(L=16.06 M/공)</v>
          </cell>
          <cell r="I1601">
            <v>0</v>
          </cell>
        </row>
        <row r="1602">
          <cell r="A1602" t="str">
            <v>D03722</v>
          </cell>
          <cell r="B1602">
            <v>276</v>
          </cell>
          <cell r="C1602" t="str">
            <v>-1-a</v>
          </cell>
          <cell r="D1602">
            <v>14553311</v>
          </cell>
          <cell r="E1602" t="str">
            <v>갱구부강관다단그라우</v>
          </cell>
          <cell r="F1602" t="str">
            <v>팅(풍화암)</v>
          </cell>
          <cell r="G1602" t="str">
            <v>공</v>
          </cell>
          <cell r="I1602">
            <v>0</v>
          </cell>
        </row>
        <row r="1603">
          <cell r="A1603" t="str">
            <v>E1</v>
          </cell>
          <cell r="B1603">
            <v>0</v>
          </cell>
          <cell r="C1603" t="str">
            <v>소계</v>
          </cell>
          <cell r="D1603">
            <v>14553415</v>
          </cell>
          <cell r="I1603">
            <v>0</v>
          </cell>
        </row>
        <row r="1604">
          <cell r="A1604" t="str">
            <v>T1</v>
          </cell>
          <cell r="B1604">
            <v>1605</v>
          </cell>
          <cell r="C1604" t="str">
            <v>-2</v>
          </cell>
          <cell r="D1604">
            <v>14553423</v>
          </cell>
          <cell r="E1604" t="str">
            <v>갱    내</v>
          </cell>
          <cell r="F1604" t="str">
            <v>(L=16.25 M/공)</v>
          </cell>
          <cell r="I1604">
            <v>0</v>
          </cell>
        </row>
        <row r="1605">
          <cell r="A1605" t="str">
            <v>D03721</v>
          </cell>
          <cell r="B1605">
            <v>638</v>
          </cell>
          <cell r="C1605" t="str">
            <v>-2-a</v>
          </cell>
          <cell r="D1605">
            <v>14553431</v>
          </cell>
          <cell r="E1605" t="str">
            <v>갱내강관다단그라우팅</v>
          </cell>
          <cell r="F1605" t="str">
            <v>(풍화암)</v>
          </cell>
          <cell r="G1605" t="str">
            <v>공</v>
          </cell>
          <cell r="I1605">
            <v>0</v>
          </cell>
        </row>
        <row r="1606">
          <cell r="A1606" t="str">
            <v>E1</v>
          </cell>
          <cell r="B1606">
            <v>0</v>
          </cell>
          <cell r="C1606" t="str">
            <v>소계</v>
          </cell>
          <cell r="D1606">
            <v>14553438</v>
          </cell>
          <cell r="I1606">
            <v>0</v>
          </cell>
        </row>
        <row r="1607">
          <cell r="A1607" t="str">
            <v>E2</v>
          </cell>
          <cell r="B1607">
            <v>0</v>
          </cell>
          <cell r="C1607" t="str">
            <v>계</v>
          </cell>
          <cell r="D1607">
            <v>14553439</v>
          </cell>
          <cell r="I1607">
            <v>0</v>
          </cell>
        </row>
        <row r="1608">
          <cell r="A1608" t="str">
            <v>D03736</v>
          </cell>
          <cell r="B1608">
            <v>275</v>
          </cell>
          <cell r="C1608" t="str">
            <v>h</v>
          </cell>
          <cell r="D1608">
            <v>14553504</v>
          </cell>
          <cell r="E1608" t="str">
            <v>FORE POLING</v>
          </cell>
          <cell r="G1608" t="str">
            <v>공</v>
          </cell>
          <cell r="I1608">
            <v>0</v>
          </cell>
        </row>
        <row r="1609">
          <cell r="A1609" t="str">
            <v>D00753</v>
          </cell>
          <cell r="B1609">
            <v>15</v>
          </cell>
          <cell r="C1609" t="str">
            <v>i</v>
          </cell>
          <cell r="D1609">
            <v>14553569</v>
          </cell>
          <cell r="E1609" t="str">
            <v>PRE GROUTING</v>
          </cell>
          <cell r="G1609" t="str">
            <v>개소</v>
          </cell>
          <cell r="I1609">
            <v>0</v>
          </cell>
        </row>
        <row r="1610">
          <cell r="A1610" t="str">
            <v>D03850</v>
          </cell>
          <cell r="B1610">
            <v>216</v>
          </cell>
          <cell r="C1610" t="str">
            <v>j</v>
          </cell>
          <cell r="D1610">
            <v>14553570</v>
          </cell>
          <cell r="E1610" t="str">
            <v>Soil Nailing</v>
          </cell>
          <cell r="G1610" t="str">
            <v>공</v>
          </cell>
          <cell r="I1610">
            <v>0</v>
          </cell>
        </row>
        <row r="1611">
          <cell r="A1611" t="str">
            <v>E3</v>
          </cell>
          <cell r="B1611">
            <v>0</v>
          </cell>
          <cell r="C1611" t="str">
            <v>합계</v>
          </cell>
          <cell r="D1611">
            <v>14553698</v>
          </cell>
          <cell r="I1611">
            <v>0</v>
          </cell>
        </row>
        <row r="1612">
          <cell r="A1612" t="str">
            <v>T3</v>
          </cell>
          <cell r="B1612">
            <v>1615</v>
          </cell>
          <cell r="C1612" t="str">
            <v>4.05</v>
          </cell>
          <cell r="D1612">
            <v>14553762</v>
          </cell>
          <cell r="E1612" t="str">
            <v>방 수 공</v>
          </cell>
          <cell r="I1612">
            <v>0</v>
          </cell>
        </row>
        <row r="1613">
          <cell r="A1613" t="str">
            <v>D00754</v>
          </cell>
          <cell r="B1613">
            <v>37</v>
          </cell>
          <cell r="C1613" t="str">
            <v>a</v>
          </cell>
          <cell r="D1613">
            <v>14553826</v>
          </cell>
          <cell r="E1613" t="str">
            <v>방 수 공</v>
          </cell>
          <cell r="F1613" t="str">
            <v>(FILTER CONCRETE)</v>
          </cell>
          <cell r="G1613" t="str">
            <v>㎥</v>
          </cell>
          <cell r="I1613">
            <v>0</v>
          </cell>
        </row>
        <row r="1614">
          <cell r="A1614" t="str">
            <v>D00341</v>
          </cell>
          <cell r="B1614">
            <v>199</v>
          </cell>
          <cell r="C1614" t="str">
            <v>b</v>
          </cell>
          <cell r="D1614">
            <v>14553827</v>
          </cell>
          <cell r="E1614" t="str">
            <v>PVC PIPE 설치</v>
          </cell>
          <cell r="F1614" t="str">
            <v>(D=100 m/m)</v>
          </cell>
          <cell r="G1614" t="str">
            <v>M</v>
          </cell>
          <cell r="I1614">
            <v>0</v>
          </cell>
        </row>
        <row r="1615">
          <cell r="A1615" t="str">
            <v>D00756</v>
          </cell>
          <cell r="B1615">
            <v>21643</v>
          </cell>
          <cell r="C1615" t="str">
            <v>c</v>
          </cell>
          <cell r="D1615">
            <v>14553891</v>
          </cell>
          <cell r="E1615" t="str">
            <v>방  수  공(방수쉬트</v>
          </cell>
          <cell r="F1615" t="str">
            <v>및부직포설치)</v>
          </cell>
          <cell r="G1615" t="str">
            <v>㎡</v>
          </cell>
          <cell r="I1615">
            <v>0</v>
          </cell>
        </row>
        <row r="1616">
          <cell r="A1616" t="str">
            <v>E3</v>
          </cell>
          <cell r="B1616">
            <v>0</v>
          </cell>
          <cell r="C1616" t="str">
            <v>합계</v>
          </cell>
          <cell r="D1616">
            <v>14553907</v>
          </cell>
          <cell r="I1616">
            <v>0</v>
          </cell>
        </row>
        <row r="1617">
          <cell r="A1617" t="str">
            <v>T3</v>
          </cell>
          <cell r="B1617">
            <v>1632</v>
          </cell>
          <cell r="C1617" t="str">
            <v>4.06</v>
          </cell>
          <cell r="D1617">
            <v>14553915</v>
          </cell>
          <cell r="E1617" t="str">
            <v>배 수 공</v>
          </cell>
          <cell r="I1617">
            <v>0</v>
          </cell>
        </row>
        <row r="1618">
          <cell r="A1618" t="str">
            <v>D00757</v>
          </cell>
          <cell r="B1618">
            <v>691</v>
          </cell>
          <cell r="C1618" t="str">
            <v>a</v>
          </cell>
          <cell r="D1618">
            <v>14553923</v>
          </cell>
          <cell r="E1618" t="str">
            <v>배 수 공</v>
          </cell>
          <cell r="F1618" t="str">
            <v>(용수처리)</v>
          </cell>
          <cell r="G1618" t="str">
            <v>M</v>
          </cell>
          <cell r="I1618">
            <v>0</v>
          </cell>
        </row>
        <row r="1619">
          <cell r="A1619" t="str">
            <v>D01197</v>
          </cell>
          <cell r="B1619">
            <v>1812</v>
          </cell>
          <cell r="C1619" t="str">
            <v>b</v>
          </cell>
          <cell r="D1619">
            <v>14553939</v>
          </cell>
          <cell r="E1619" t="str">
            <v>유공관 부설</v>
          </cell>
          <cell r="F1619" t="str">
            <v>(T.H.P D=200)</v>
          </cell>
          <cell r="G1619" t="str">
            <v>M</v>
          </cell>
          <cell r="I1619">
            <v>0</v>
          </cell>
        </row>
        <row r="1620">
          <cell r="A1620" t="str">
            <v>D01198</v>
          </cell>
          <cell r="B1620">
            <v>1780</v>
          </cell>
          <cell r="C1620" t="str">
            <v>c</v>
          </cell>
          <cell r="D1620">
            <v>14553951</v>
          </cell>
          <cell r="E1620" t="str">
            <v>유공관 부설</v>
          </cell>
          <cell r="F1620" t="str">
            <v>(T.H.P D=100)</v>
          </cell>
          <cell r="G1620" t="str">
            <v>M</v>
          </cell>
          <cell r="I1620">
            <v>0</v>
          </cell>
        </row>
        <row r="1621">
          <cell r="A1621" t="str">
            <v>D00276</v>
          </cell>
          <cell r="B1621">
            <v>2856</v>
          </cell>
          <cell r="C1621" t="str">
            <v>d</v>
          </cell>
          <cell r="D1621">
            <v>14553953</v>
          </cell>
          <cell r="E1621" t="str">
            <v>합판거푸집</v>
          </cell>
          <cell r="F1621" t="str">
            <v>(3 회)</v>
          </cell>
          <cell r="G1621" t="str">
            <v>㎡</v>
          </cell>
          <cell r="I1621">
            <v>0</v>
          </cell>
        </row>
        <row r="1622">
          <cell r="A1622" t="str">
            <v>D00270</v>
          </cell>
          <cell r="B1622">
            <v>260.28500000000003</v>
          </cell>
          <cell r="C1622" t="str">
            <v>e</v>
          </cell>
          <cell r="D1622">
            <v>14553954</v>
          </cell>
          <cell r="E1622" t="str">
            <v>철근가공조립</v>
          </cell>
          <cell r="F1622" t="str">
            <v>(간 단)</v>
          </cell>
          <cell r="G1622" t="str">
            <v>Ton</v>
          </cell>
          <cell r="I1622">
            <v>0</v>
          </cell>
        </row>
        <row r="1623">
          <cell r="A1623" t="str">
            <v>D00235</v>
          </cell>
          <cell r="B1623">
            <v>1918</v>
          </cell>
          <cell r="C1623" t="str">
            <v>f</v>
          </cell>
          <cell r="D1623">
            <v>14553955</v>
          </cell>
          <cell r="E1623" t="str">
            <v>콘크리트타설</v>
          </cell>
          <cell r="F1623" t="str">
            <v>(철근 VIB 포함)</v>
          </cell>
          <cell r="G1623" t="str">
            <v>㎥</v>
          </cell>
          <cell r="I1623">
            <v>0</v>
          </cell>
        </row>
        <row r="1624">
          <cell r="A1624" t="str">
            <v>T2</v>
          </cell>
          <cell r="B1624">
            <v>1626</v>
          </cell>
          <cell r="C1624" t="str">
            <v>g</v>
          </cell>
          <cell r="D1624">
            <v>14553987</v>
          </cell>
          <cell r="E1624" t="str">
            <v>뚜껑제작설치</v>
          </cell>
          <cell r="I1624">
            <v>0</v>
          </cell>
        </row>
        <row r="1625">
          <cell r="A1625" t="str">
            <v>D00759</v>
          </cell>
          <cell r="B1625">
            <v>4008</v>
          </cell>
          <cell r="C1625" t="str">
            <v>-1</v>
          </cell>
          <cell r="D1625">
            <v>14554019</v>
          </cell>
          <cell r="E1625" t="str">
            <v>배수공(공동구뚜껑)</v>
          </cell>
          <cell r="F1625" t="str">
            <v>(580x500x100)</v>
          </cell>
          <cell r="G1625" t="str">
            <v>EA</v>
          </cell>
          <cell r="I1625">
            <v>0</v>
          </cell>
        </row>
        <row r="1626">
          <cell r="A1626" t="str">
            <v>D01199</v>
          </cell>
          <cell r="B1626">
            <v>80</v>
          </cell>
          <cell r="C1626" t="str">
            <v>-2</v>
          </cell>
          <cell r="D1626">
            <v>14554051</v>
          </cell>
          <cell r="E1626" t="str">
            <v>스틸그레이팅</v>
          </cell>
          <cell r="F1626" t="str">
            <v>(530x480x75)</v>
          </cell>
          <cell r="G1626" t="str">
            <v>EA</v>
          </cell>
          <cell r="I1626">
            <v>0</v>
          </cell>
        </row>
        <row r="1627">
          <cell r="A1627" t="str">
            <v>E2</v>
          </cell>
          <cell r="B1627">
            <v>0</v>
          </cell>
          <cell r="C1627" t="str">
            <v>계</v>
          </cell>
          <cell r="D1627">
            <v>14554059</v>
          </cell>
          <cell r="I1627">
            <v>0</v>
          </cell>
        </row>
        <row r="1628">
          <cell r="A1628" t="str">
            <v>D00761</v>
          </cell>
          <cell r="B1628">
            <v>2095</v>
          </cell>
          <cell r="C1628" t="str">
            <v>h</v>
          </cell>
          <cell r="D1628">
            <v>14554067</v>
          </cell>
          <cell r="E1628" t="str">
            <v>비닐깔기</v>
          </cell>
          <cell r="G1628" t="str">
            <v>㎡</v>
          </cell>
          <cell r="I1628">
            <v>0</v>
          </cell>
        </row>
        <row r="1629">
          <cell r="A1629" t="str">
            <v>T2</v>
          </cell>
          <cell r="B1629">
            <v>1631</v>
          </cell>
          <cell r="C1629" t="str">
            <v>i</v>
          </cell>
          <cell r="D1629">
            <v>14554071</v>
          </cell>
          <cell r="E1629" t="str">
            <v>배수관 설치</v>
          </cell>
          <cell r="I1629">
            <v>0</v>
          </cell>
        </row>
        <row r="1630">
          <cell r="A1630" t="str">
            <v>D01200</v>
          </cell>
          <cell r="B1630">
            <v>2062</v>
          </cell>
          <cell r="C1630" t="str">
            <v>-1</v>
          </cell>
          <cell r="D1630">
            <v>14554075</v>
          </cell>
          <cell r="E1630" t="str">
            <v>배수관 설치</v>
          </cell>
          <cell r="F1630" t="str">
            <v>(THP Φ400 m/m)</v>
          </cell>
          <cell r="G1630" t="str">
            <v>M</v>
          </cell>
          <cell r="I1630">
            <v>0</v>
          </cell>
        </row>
        <row r="1631">
          <cell r="A1631" t="str">
            <v>D03787</v>
          </cell>
          <cell r="B1631">
            <v>7</v>
          </cell>
          <cell r="C1631" t="str">
            <v>-2</v>
          </cell>
          <cell r="D1631">
            <v>14554077</v>
          </cell>
          <cell r="E1631" t="str">
            <v>배수관 설치</v>
          </cell>
          <cell r="F1631" t="str">
            <v>(THP Φ600 m/m)</v>
          </cell>
          <cell r="G1631" t="str">
            <v>M</v>
          </cell>
          <cell r="I1631">
            <v>0</v>
          </cell>
        </row>
        <row r="1632">
          <cell r="A1632" t="str">
            <v>E2</v>
          </cell>
          <cell r="B1632">
            <v>0</v>
          </cell>
          <cell r="C1632" t="str">
            <v>계</v>
          </cell>
          <cell r="D1632">
            <v>14554078</v>
          </cell>
          <cell r="I1632">
            <v>0</v>
          </cell>
        </row>
        <row r="1633">
          <cell r="A1633" t="str">
            <v>E3</v>
          </cell>
          <cell r="B1633">
            <v>0</v>
          </cell>
          <cell r="C1633" t="str">
            <v>합계</v>
          </cell>
          <cell r="D1633">
            <v>14554079</v>
          </cell>
          <cell r="I1633">
            <v>0</v>
          </cell>
        </row>
        <row r="1634">
          <cell r="A1634" t="str">
            <v>T3</v>
          </cell>
          <cell r="B1634">
            <v>1640</v>
          </cell>
          <cell r="C1634" t="str">
            <v>4.07</v>
          </cell>
          <cell r="D1634">
            <v>14554207</v>
          </cell>
          <cell r="E1634" t="str">
            <v>라이닝콘크리트</v>
          </cell>
          <cell r="I1634">
            <v>0</v>
          </cell>
        </row>
        <row r="1635">
          <cell r="A1635" t="str">
            <v>D00735</v>
          </cell>
          <cell r="B1635">
            <v>2</v>
          </cell>
          <cell r="C1635" t="str">
            <v>a</v>
          </cell>
          <cell r="D1635">
            <v>14554271</v>
          </cell>
          <cell r="E1635" t="str">
            <v>강재동바리공및거푸집</v>
          </cell>
          <cell r="G1635" t="str">
            <v>조</v>
          </cell>
          <cell r="I1635">
            <v>0</v>
          </cell>
        </row>
        <row r="1636">
          <cell r="A1636" t="str">
            <v>D00237</v>
          </cell>
          <cell r="B1636">
            <v>900</v>
          </cell>
          <cell r="C1636" t="str">
            <v>b</v>
          </cell>
          <cell r="D1636">
            <v>14554303</v>
          </cell>
          <cell r="E1636" t="str">
            <v>콘크리트타설</v>
          </cell>
          <cell r="F1636" t="str">
            <v>(철근 펌프카)</v>
          </cell>
          <cell r="G1636" t="str">
            <v>㎥</v>
          </cell>
          <cell r="I1636">
            <v>0</v>
          </cell>
        </row>
        <row r="1637">
          <cell r="A1637" t="str">
            <v>D00238</v>
          </cell>
          <cell r="B1637">
            <v>6342</v>
          </cell>
          <cell r="C1637" t="str">
            <v>c</v>
          </cell>
          <cell r="D1637">
            <v>14554319</v>
          </cell>
          <cell r="E1637" t="str">
            <v>콘크리트타설</v>
          </cell>
          <cell r="F1637" t="str">
            <v>(무근 펌프카)</v>
          </cell>
          <cell r="G1637" t="str">
            <v>㎥</v>
          </cell>
          <cell r="I1637">
            <v>0</v>
          </cell>
        </row>
        <row r="1638">
          <cell r="A1638" t="str">
            <v>D00272</v>
          </cell>
          <cell r="B1638">
            <v>109.84</v>
          </cell>
          <cell r="C1638" t="str">
            <v>d</v>
          </cell>
          <cell r="D1638">
            <v>14554327</v>
          </cell>
          <cell r="E1638" t="str">
            <v>철근가공조립</v>
          </cell>
          <cell r="F1638" t="str">
            <v>(복 잡)</v>
          </cell>
          <cell r="G1638" t="str">
            <v>Ton</v>
          </cell>
          <cell r="I1638">
            <v>0</v>
          </cell>
        </row>
        <row r="1639">
          <cell r="A1639" t="str">
            <v>D00556</v>
          </cell>
          <cell r="B1639">
            <v>667</v>
          </cell>
          <cell r="C1639" t="str">
            <v>e</v>
          </cell>
          <cell r="D1639">
            <v>14554455</v>
          </cell>
          <cell r="E1639" t="str">
            <v>신축이음장치</v>
          </cell>
          <cell r="F1639" t="str">
            <v>(라이닝콘크리트)</v>
          </cell>
          <cell r="G1639" t="str">
            <v>M</v>
          </cell>
          <cell r="I1639">
            <v>0</v>
          </cell>
        </row>
        <row r="1640">
          <cell r="A1640" t="str">
            <v>D00391</v>
          </cell>
          <cell r="B1640">
            <v>178</v>
          </cell>
          <cell r="C1640" t="str">
            <v>f</v>
          </cell>
          <cell r="D1640">
            <v>14554471</v>
          </cell>
          <cell r="E1640" t="str">
            <v>뒷채움주입공</v>
          </cell>
          <cell r="G1640" t="str">
            <v>㎥</v>
          </cell>
          <cell r="I1640">
            <v>0</v>
          </cell>
        </row>
        <row r="1641">
          <cell r="A1641" t="str">
            <v>E3</v>
          </cell>
          <cell r="B1641">
            <v>0</v>
          </cell>
          <cell r="C1641" t="str">
            <v>합계</v>
          </cell>
          <cell r="D1641">
            <v>14554477</v>
          </cell>
          <cell r="I1641">
            <v>0</v>
          </cell>
        </row>
        <row r="1642">
          <cell r="A1642" t="str">
            <v>T3</v>
          </cell>
          <cell r="B1642">
            <v>1664</v>
          </cell>
          <cell r="C1642" t="str">
            <v>4.08</v>
          </cell>
          <cell r="D1642">
            <v>14554480</v>
          </cell>
          <cell r="E1642" t="str">
            <v>갱문 및 옹벽</v>
          </cell>
          <cell r="I1642">
            <v>0</v>
          </cell>
        </row>
        <row r="1643">
          <cell r="A1643" t="str">
            <v>T2</v>
          </cell>
          <cell r="B1643">
            <v>1646</v>
          </cell>
          <cell r="C1643" t="str">
            <v>a</v>
          </cell>
          <cell r="D1643">
            <v>14554481</v>
          </cell>
          <cell r="E1643" t="str">
            <v>거 푸 집</v>
          </cell>
          <cell r="I1643">
            <v>0</v>
          </cell>
        </row>
        <row r="1644">
          <cell r="A1644" t="str">
            <v>D00276</v>
          </cell>
          <cell r="B1644">
            <v>979</v>
          </cell>
          <cell r="C1644" t="str">
            <v>-1</v>
          </cell>
          <cell r="D1644">
            <v>14554482</v>
          </cell>
          <cell r="E1644" t="str">
            <v>합판거푸집</v>
          </cell>
          <cell r="F1644" t="str">
            <v>(3 회)</v>
          </cell>
          <cell r="G1644" t="str">
            <v>㎡</v>
          </cell>
          <cell r="I1644">
            <v>0</v>
          </cell>
        </row>
        <row r="1645">
          <cell r="A1645" t="str">
            <v>D00282</v>
          </cell>
          <cell r="B1645">
            <v>360</v>
          </cell>
          <cell r="C1645" t="str">
            <v>-2</v>
          </cell>
          <cell r="D1645">
            <v>14554546</v>
          </cell>
          <cell r="E1645" t="str">
            <v>합판거푸집</v>
          </cell>
          <cell r="F1645" t="str">
            <v>(6 회)</v>
          </cell>
          <cell r="G1645" t="str">
            <v>㎡</v>
          </cell>
          <cell r="I1645">
            <v>0</v>
          </cell>
        </row>
        <row r="1646">
          <cell r="A1646" t="str">
            <v>D00265</v>
          </cell>
          <cell r="B1646">
            <v>298</v>
          </cell>
          <cell r="C1646" t="str">
            <v>-3</v>
          </cell>
          <cell r="D1646">
            <v>14554674</v>
          </cell>
          <cell r="E1646" t="str">
            <v>문양거푸집(합판4회+</v>
          </cell>
          <cell r="F1646" t="str">
            <v>문양스치로폴(0∼7M)</v>
          </cell>
          <cell r="G1646" t="str">
            <v>㎡</v>
          </cell>
          <cell r="I1646">
            <v>0</v>
          </cell>
        </row>
        <row r="1647">
          <cell r="A1647" t="str">
            <v>E2</v>
          </cell>
          <cell r="B1647">
            <v>0</v>
          </cell>
          <cell r="C1647" t="str">
            <v>계</v>
          </cell>
          <cell r="D1647">
            <v>14554706</v>
          </cell>
          <cell r="I1647">
            <v>0</v>
          </cell>
        </row>
        <row r="1648">
          <cell r="A1648" t="str">
            <v>D00323</v>
          </cell>
          <cell r="B1648">
            <v>899</v>
          </cell>
          <cell r="C1648" t="str">
            <v>b</v>
          </cell>
          <cell r="D1648">
            <v>14554722</v>
          </cell>
          <cell r="E1648" t="str">
            <v>강관비계</v>
          </cell>
          <cell r="F1648" t="str">
            <v>(0∼30 M)</v>
          </cell>
          <cell r="G1648" t="str">
            <v>㎡</v>
          </cell>
          <cell r="I1648">
            <v>0</v>
          </cell>
        </row>
        <row r="1649">
          <cell r="A1649" t="str">
            <v>D00334</v>
          </cell>
          <cell r="B1649">
            <v>145</v>
          </cell>
          <cell r="C1649" t="str">
            <v>c</v>
          </cell>
          <cell r="D1649">
            <v>14554730</v>
          </cell>
          <cell r="E1649" t="str">
            <v>강관동바리</v>
          </cell>
          <cell r="F1649" t="str">
            <v>(교량용)</v>
          </cell>
          <cell r="G1649" t="str">
            <v>공㎥</v>
          </cell>
          <cell r="I1649">
            <v>0</v>
          </cell>
        </row>
        <row r="1650">
          <cell r="A1650" t="str">
            <v>T1</v>
          </cell>
          <cell r="B1650">
            <v>1652</v>
          </cell>
          <cell r="C1650" t="str">
            <v>d</v>
          </cell>
          <cell r="D1650">
            <v>14554733</v>
          </cell>
          <cell r="E1650" t="str">
            <v>철근가공조립</v>
          </cell>
          <cell r="I1650">
            <v>0</v>
          </cell>
        </row>
        <row r="1651">
          <cell r="A1651" t="str">
            <v>D00270</v>
          </cell>
          <cell r="B1651">
            <v>6.2249999999999996</v>
          </cell>
          <cell r="C1651" t="str">
            <v>-1</v>
          </cell>
          <cell r="D1651">
            <v>14554736</v>
          </cell>
          <cell r="E1651" t="str">
            <v>철근가공조립</v>
          </cell>
          <cell r="F1651" t="str">
            <v>(간 단)</v>
          </cell>
          <cell r="G1651" t="str">
            <v>Ton</v>
          </cell>
          <cell r="I1651">
            <v>0</v>
          </cell>
        </row>
        <row r="1652">
          <cell r="A1652" t="str">
            <v>D00272</v>
          </cell>
          <cell r="B1652">
            <v>25.167999999999999</v>
          </cell>
          <cell r="C1652" t="str">
            <v>-2</v>
          </cell>
          <cell r="D1652">
            <v>14554737</v>
          </cell>
          <cell r="E1652" t="str">
            <v>철근가공조립</v>
          </cell>
          <cell r="F1652" t="str">
            <v>(복 잡)</v>
          </cell>
          <cell r="G1652" t="str">
            <v>Ton</v>
          </cell>
          <cell r="I1652">
            <v>0</v>
          </cell>
        </row>
        <row r="1653">
          <cell r="A1653" t="str">
            <v>E1</v>
          </cell>
          <cell r="B1653">
            <v>0</v>
          </cell>
          <cell r="C1653" t="str">
            <v>소계</v>
          </cell>
          <cell r="D1653">
            <v>14554801</v>
          </cell>
          <cell r="I1653">
            <v>0</v>
          </cell>
        </row>
        <row r="1654">
          <cell r="A1654" t="str">
            <v>T2</v>
          </cell>
          <cell r="B1654">
            <v>1657</v>
          </cell>
          <cell r="C1654" t="str">
            <v>e</v>
          </cell>
          <cell r="D1654">
            <v>14554865</v>
          </cell>
          <cell r="E1654" t="str">
            <v>콘크리트타설</v>
          </cell>
          <cell r="I1654">
            <v>0</v>
          </cell>
        </row>
        <row r="1655">
          <cell r="A1655" t="str">
            <v>D00237</v>
          </cell>
          <cell r="B1655">
            <v>761</v>
          </cell>
          <cell r="C1655" t="str">
            <v>-1</v>
          </cell>
          <cell r="D1655">
            <v>14554866</v>
          </cell>
          <cell r="E1655" t="str">
            <v>콘크리트타설</v>
          </cell>
          <cell r="F1655" t="str">
            <v>(철근 펌프카)</v>
          </cell>
          <cell r="G1655" t="str">
            <v>㎥</v>
          </cell>
          <cell r="I1655">
            <v>0</v>
          </cell>
        </row>
        <row r="1656">
          <cell r="A1656" t="str">
            <v>D00234</v>
          </cell>
          <cell r="B1656">
            <v>77</v>
          </cell>
          <cell r="C1656" t="str">
            <v>-2</v>
          </cell>
          <cell r="D1656">
            <v>14554930</v>
          </cell>
          <cell r="E1656" t="str">
            <v>콘크리트타설</v>
          </cell>
          <cell r="F1656" t="str">
            <v>(무근 VIB 포함)</v>
          </cell>
          <cell r="G1656" t="str">
            <v>㎥</v>
          </cell>
          <cell r="I1656">
            <v>0</v>
          </cell>
        </row>
        <row r="1657">
          <cell r="A1657" t="str">
            <v>D00231</v>
          </cell>
          <cell r="B1657">
            <v>13</v>
          </cell>
          <cell r="C1657" t="str">
            <v>-3</v>
          </cell>
          <cell r="D1657">
            <v>14554962</v>
          </cell>
          <cell r="E1657" t="str">
            <v>콘크리트타설</v>
          </cell>
          <cell r="F1657" t="str">
            <v>(무근 VIB 제외)</v>
          </cell>
          <cell r="G1657" t="str">
            <v>㎥</v>
          </cell>
          <cell r="I1657">
            <v>0</v>
          </cell>
        </row>
        <row r="1658">
          <cell r="A1658" t="str">
            <v>E2</v>
          </cell>
          <cell r="B1658">
            <v>0</v>
          </cell>
          <cell r="C1658" t="str">
            <v>계</v>
          </cell>
          <cell r="D1658">
            <v>14554978</v>
          </cell>
          <cell r="I1658">
            <v>0</v>
          </cell>
        </row>
        <row r="1659">
          <cell r="A1659" t="str">
            <v>D00340</v>
          </cell>
          <cell r="B1659">
            <v>504</v>
          </cell>
          <cell r="C1659" t="str">
            <v>f</v>
          </cell>
          <cell r="D1659">
            <v>14555106</v>
          </cell>
          <cell r="E1659" t="str">
            <v>PVC PIPE 설치</v>
          </cell>
          <cell r="F1659" t="str">
            <v>(D= 50 m/m)</v>
          </cell>
          <cell r="G1659" t="str">
            <v>M</v>
          </cell>
          <cell r="I1659">
            <v>0</v>
          </cell>
        </row>
        <row r="1660">
          <cell r="A1660" t="str">
            <v>D01165</v>
          </cell>
          <cell r="B1660">
            <v>34</v>
          </cell>
          <cell r="C1660" t="str">
            <v>g</v>
          </cell>
          <cell r="D1660">
            <v>14555234</v>
          </cell>
          <cell r="E1660" t="str">
            <v>난간용강재파이프</v>
          </cell>
          <cell r="F1660" t="str">
            <v>(백관 Φ 100 m/m)</v>
          </cell>
          <cell r="G1660" t="str">
            <v>M</v>
          </cell>
          <cell r="I1660">
            <v>0</v>
          </cell>
        </row>
        <row r="1661">
          <cell r="A1661" t="str">
            <v>D00425</v>
          </cell>
          <cell r="B1661">
            <v>133</v>
          </cell>
          <cell r="C1661" t="str">
            <v>h</v>
          </cell>
          <cell r="D1661">
            <v>14555362</v>
          </cell>
          <cell r="E1661" t="str">
            <v>화강석 판붙임</v>
          </cell>
          <cell r="F1661" t="str">
            <v>(T=5 Cm)</v>
          </cell>
          <cell r="G1661" t="str">
            <v>㎡</v>
          </cell>
          <cell r="I1661">
            <v>0</v>
          </cell>
        </row>
        <row r="1662">
          <cell r="A1662" t="str">
            <v>D03846</v>
          </cell>
          <cell r="B1662">
            <v>8</v>
          </cell>
          <cell r="C1662" t="str">
            <v>i</v>
          </cell>
          <cell r="D1662">
            <v>14555370</v>
          </cell>
          <cell r="E1662" t="str">
            <v>스틸그레이팅</v>
          </cell>
          <cell r="F1662" t="str">
            <v>(1130x780x75)</v>
          </cell>
          <cell r="G1662" t="str">
            <v>EA</v>
          </cell>
          <cell r="I1662">
            <v>0</v>
          </cell>
        </row>
        <row r="1663">
          <cell r="A1663" t="str">
            <v>D03845</v>
          </cell>
          <cell r="B1663">
            <v>8</v>
          </cell>
          <cell r="C1663" t="str">
            <v>j</v>
          </cell>
          <cell r="D1663">
            <v>14555372</v>
          </cell>
          <cell r="E1663" t="str">
            <v>스틸그레이팅</v>
          </cell>
          <cell r="F1663" t="str">
            <v>(1130x980x75)</v>
          </cell>
          <cell r="G1663" t="str">
            <v>EA</v>
          </cell>
          <cell r="I1663">
            <v>0</v>
          </cell>
        </row>
        <row r="1664">
          <cell r="A1664" t="str">
            <v>D03847</v>
          </cell>
          <cell r="B1664">
            <v>986</v>
          </cell>
          <cell r="C1664" t="str">
            <v>k</v>
          </cell>
          <cell r="D1664">
            <v>14555373</v>
          </cell>
          <cell r="E1664" t="str">
            <v>콘크리트 블록</v>
          </cell>
          <cell r="G1664" t="str">
            <v>EA</v>
          </cell>
          <cell r="I1664">
            <v>0</v>
          </cell>
        </row>
        <row r="1665">
          <cell r="A1665" t="str">
            <v>E3</v>
          </cell>
          <cell r="B1665">
            <v>0</v>
          </cell>
          <cell r="C1665" t="str">
            <v>합계</v>
          </cell>
          <cell r="D1665">
            <v>14555374</v>
          </cell>
          <cell r="I1665">
            <v>0</v>
          </cell>
        </row>
        <row r="1666">
          <cell r="A1666" t="str">
            <v>T3</v>
          </cell>
          <cell r="B1666">
            <v>1680</v>
          </cell>
          <cell r="C1666" t="str">
            <v>4.09</v>
          </cell>
          <cell r="D1666">
            <v>14555376</v>
          </cell>
          <cell r="E1666" t="str">
            <v>부대시설공</v>
          </cell>
          <cell r="I1666">
            <v>0</v>
          </cell>
        </row>
        <row r="1667">
          <cell r="A1667" t="str">
            <v>D00769</v>
          </cell>
          <cell r="B1667">
            <v>2398</v>
          </cell>
          <cell r="C1667" t="str">
            <v>a</v>
          </cell>
          <cell r="D1667">
            <v>14555699</v>
          </cell>
          <cell r="E1667" t="str">
            <v>터널내부도장</v>
          </cell>
          <cell r="F1667" t="str">
            <v>(상부)</v>
          </cell>
          <cell r="G1667" t="str">
            <v>㎡</v>
          </cell>
          <cell r="I1667">
            <v>0</v>
          </cell>
        </row>
        <row r="1668">
          <cell r="A1668" t="str">
            <v>D00770</v>
          </cell>
          <cell r="B1668">
            <v>7547</v>
          </cell>
          <cell r="C1668" t="str">
            <v>b</v>
          </cell>
          <cell r="D1668">
            <v>14555731</v>
          </cell>
          <cell r="E1668" t="str">
            <v>터널타일붙임</v>
          </cell>
          <cell r="G1668" t="str">
            <v>㎡</v>
          </cell>
          <cell r="I1668">
            <v>0</v>
          </cell>
        </row>
        <row r="1669">
          <cell r="A1669" t="str">
            <v>D00771</v>
          </cell>
          <cell r="B1669">
            <v>4</v>
          </cell>
          <cell r="C1669" t="str">
            <v>c</v>
          </cell>
          <cell r="D1669">
            <v>14555747</v>
          </cell>
          <cell r="E1669" t="str">
            <v>터널명판및안내판</v>
          </cell>
          <cell r="G1669" t="str">
            <v>EA</v>
          </cell>
          <cell r="I1669">
            <v>0</v>
          </cell>
        </row>
        <row r="1670">
          <cell r="A1670" t="str">
            <v>T2</v>
          </cell>
          <cell r="B1670">
            <v>1674</v>
          </cell>
          <cell r="C1670" t="str">
            <v>d</v>
          </cell>
          <cell r="D1670">
            <v>14555751</v>
          </cell>
          <cell r="E1670" t="str">
            <v>가 시 설</v>
          </cell>
          <cell r="I1670">
            <v>0</v>
          </cell>
        </row>
        <row r="1671">
          <cell r="A1671" t="str">
            <v>D01095</v>
          </cell>
          <cell r="B1671">
            <v>1</v>
          </cell>
          <cell r="C1671" t="str">
            <v>-1</v>
          </cell>
          <cell r="D1671">
            <v>14555755</v>
          </cell>
          <cell r="E1671" t="str">
            <v>임시전기시설</v>
          </cell>
          <cell r="G1671" t="str">
            <v>식</v>
          </cell>
          <cell r="I1671">
            <v>0</v>
          </cell>
        </row>
        <row r="1672">
          <cell r="A1672" t="str">
            <v>D00772</v>
          </cell>
          <cell r="B1672">
            <v>1</v>
          </cell>
          <cell r="C1672" t="str">
            <v>-2</v>
          </cell>
          <cell r="D1672">
            <v>14555759</v>
          </cell>
          <cell r="E1672" t="str">
            <v>작업용 비계</v>
          </cell>
          <cell r="F1672" t="str">
            <v>(터널용)</v>
          </cell>
          <cell r="G1672" t="str">
            <v>식</v>
          </cell>
          <cell r="I1672">
            <v>0</v>
          </cell>
        </row>
        <row r="1673">
          <cell r="A1673" t="str">
            <v>D00773</v>
          </cell>
          <cell r="B1673">
            <v>1</v>
          </cell>
          <cell r="C1673" t="str">
            <v>-3</v>
          </cell>
          <cell r="D1673">
            <v>14555761</v>
          </cell>
          <cell r="E1673" t="str">
            <v>대    차</v>
          </cell>
          <cell r="F1673" t="str">
            <v>(터널용)</v>
          </cell>
          <cell r="G1673" t="str">
            <v>식</v>
          </cell>
          <cell r="I1673">
            <v>0</v>
          </cell>
        </row>
        <row r="1674">
          <cell r="A1674" t="str">
            <v>D01093</v>
          </cell>
          <cell r="B1674">
            <v>1</v>
          </cell>
          <cell r="C1674" t="str">
            <v>-4</v>
          </cell>
          <cell r="D1674">
            <v>14555762</v>
          </cell>
          <cell r="E1674" t="str">
            <v>임시환기시설</v>
          </cell>
          <cell r="G1674" t="str">
            <v>식</v>
          </cell>
          <cell r="I1674">
            <v>0</v>
          </cell>
        </row>
        <row r="1675">
          <cell r="A1675" t="str">
            <v>E2</v>
          </cell>
          <cell r="B1675">
            <v>0</v>
          </cell>
          <cell r="C1675" t="str">
            <v>계</v>
          </cell>
          <cell r="D1675">
            <v>14555763</v>
          </cell>
          <cell r="I1675">
            <v>0</v>
          </cell>
        </row>
        <row r="1676">
          <cell r="A1676" t="str">
            <v>D00775</v>
          </cell>
          <cell r="B1676">
            <v>4</v>
          </cell>
          <cell r="C1676" t="str">
            <v>e</v>
          </cell>
          <cell r="D1676">
            <v>14555891</v>
          </cell>
          <cell r="E1676" t="str">
            <v>갱문 가시설</v>
          </cell>
          <cell r="G1676" t="str">
            <v>개소</v>
          </cell>
          <cell r="I1676">
            <v>0</v>
          </cell>
        </row>
        <row r="1677">
          <cell r="A1677" t="str">
            <v>D00392</v>
          </cell>
          <cell r="B1677">
            <v>1</v>
          </cell>
          <cell r="C1677" t="str">
            <v>f</v>
          </cell>
          <cell r="D1677">
            <v>14555955</v>
          </cell>
          <cell r="E1677" t="str">
            <v>물푸기(터널공)</v>
          </cell>
          <cell r="G1677" t="str">
            <v>식</v>
          </cell>
          <cell r="I1677">
            <v>0</v>
          </cell>
        </row>
        <row r="1678">
          <cell r="A1678" t="str">
            <v>D03806</v>
          </cell>
          <cell r="B1678">
            <v>2</v>
          </cell>
          <cell r="C1678" t="str">
            <v>g</v>
          </cell>
          <cell r="D1678">
            <v>14555971</v>
          </cell>
          <cell r="E1678" t="str">
            <v>폐수처리시설</v>
          </cell>
          <cell r="G1678" t="str">
            <v>개소</v>
          </cell>
          <cell r="I1678">
            <v>0</v>
          </cell>
        </row>
        <row r="1679">
          <cell r="A1679" t="str">
            <v>D03807</v>
          </cell>
          <cell r="B1679">
            <v>4</v>
          </cell>
          <cell r="C1679" t="str">
            <v>h</v>
          </cell>
          <cell r="D1679">
            <v>14555977</v>
          </cell>
          <cell r="E1679" t="str">
            <v>차음방진시설</v>
          </cell>
          <cell r="G1679" t="str">
            <v>개소</v>
          </cell>
          <cell r="I1679">
            <v>0</v>
          </cell>
        </row>
        <row r="1680">
          <cell r="A1680" t="str">
            <v>D03855</v>
          </cell>
          <cell r="B1680">
            <v>3</v>
          </cell>
          <cell r="C1680" t="str">
            <v>i</v>
          </cell>
          <cell r="D1680">
            <v>14555983</v>
          </cell>
          <cell r="E1680" t="str">
            <v>선진수평시추조사</v>
          </cell>
          <cell r="G1680" t="str">
            <v>공</v>
          </cell>
          <cell r="I1680">
            <v>0</v>
          </cell>
        </row>
        <row r="1681">
          <cell r="A1681" t="str">
            <v>E3</v>
          </cell>
          <cell r="B1681">
            <v>0</v>
          </cell>
          <cell r="C1681" t="str">
            <v>합계</v>
          </cell>
          <cell r="D1681">
            <v>14555985</v>
          </cell>
          <cell r="I1681">
            <v>0</v>
          </cell>
        </row>
        <row r="1682">
          <cell r="A1682" t="str">
            <v>T3</v>
          </cell>
          <cell r="B1682">
            <v>1687</v>
          </cell>
          <cell r="C1682" t="str">
            <v>4.10</v>
          </cell>
          <cell r="D1682">
            <v>14555986</v>
          </cell>
          <cell r="E1682" t="str">
            <v>계      측</v>
          </cell>
          <cell r="I1682">
            <v>0</v>
          </cell>
        </row>
        <row r="1683">
          <cell r="A1683" t="str">
            <v>D00777</v>
          </cell>
          <cell r="B1683">
            <v>264</v>
          </cell>
          <cell r="C1683" t="str">
            <v>a</v>
          </cell>
          <cell r="D1683">
            <v>14555987</v>
          </cell>
          <cell r="E1683" t="str">
            <v>내공변위 측정용기기</v>
          </cell>
          <cell r="F1683" t="str">
            <v>설치</v>
          </cell>
          <cell r="G1683" t="str">
            <v>SET</v>
          </cell>
          <cell r="I1683">
            <v>0</v>
          </cell>
        </row>
        <row r="1684">
          <cell r="A1684" t="str">
            <v>D01040</v>
          </cell>
          <cell r="B1684">
            <v>12</v>
          </cell>
          <cell r="C1684" t="str">
            <v>b</v>
          </cell>
          <cell r="D1684">
            <v>14556003</v>
          </cell>
          <cell r="E1684" t="str">
            <v>지중변위측정기기설치</v>
          </cell>
          <cell r="G1684" t="str">
            <v>SET</v>
          </cell>
          <cell r="I1684">
            <v>0</v>
          </cell>
        </row>
        <row r="1685">
          <cell r="A1685" t="str">
            <v>D00779</v>
          </cell>
          <cell r="B1685">
            <v>44</v>
          </cell>
          <cell r="C1685" t="str">
            <v>c</v>
          </cell>
          <cell r="D1685">
            <v>14556011</v>
          </cell>
          <cell r="E1685" t="str">
            <v>천단침하 측정용기기</v>
          </cell>
          <cell r="F1685" t="str">
            <v>설치</v>
          </cell>
          <cell r="G1685" t="str">
            <v>SET</v>
          </cell>
          <cell r="I1685">
            <v>0</v>
          </cell>
        </row>
        <row r="1686">
          <cell r="A1686" t="str">
            <v>D00780</v>
          </cell>
          <cell r="B1686">
            <v>12</v>
          </cell>
          <cell r="C1686" t="str">
            <v>d</v>
          </cell>
          <cell r="D1686">
            <v>14556015</v>
          </cell>
          <cell r="E1686" t="str">
            <v>숏크리트응력 측정용</v>
          </cell>
          <cell r="F1686" t="str">
            <v>기기설치</v>
          </cell>
          <cell r="G1686" t="str">
            <v>SET</v>
          </cell>
          <cell r="I1686">
            <v>0</v>
          </cell>
        </row>
        <row r="1687">
          <cell r="A1687" t="str">
            <v>D00781</v>
          </cell>
          <cell r="B1687">
            <v>12</v>
          </cell>
          <cell r="C1687" t="str">
            <v>e</v>
          </cell>
          <cell r="D1687">
            <v>14556017</v>
          </cell>
          <cell r="E1687" t="str">
            <v>ROCK BOLT 축력측정용</v>
          </cell>
          <cell r="F1687" t="str">
            <v>기기설치</v>
          </cell>
          <cell r="G1687" t="str">
            <v>SET</v>
          </cell>
          <cell r="I1687">
            <v>0</v>
          </cell>
        </row>
        <row r="1688">
          <cell r="A1688" t="str">
            <v>E3</v>
          </cell>
          <cell r="B1688">
            <v>0</v>
          </cell>
          <cell r="C1688" t="str">
            <v>합계</v>
          </cell>
          <cell r="D1688">
            <v>14556051</v>
          </cell>
          <cell r="I1688">
            <v>0</v>
          </cell>
        </row>
        <row r="1689">
          <cell r="A1689" t="str">
            <v>T3</v>
          </cell>
          <cell r="B1689">
            <v>1717</v>
          </cell>
          <cell r="C1689" t="str">
            <v>4.11</v>
          </cell>
          <cell r="D1689">
            <v>14556067</v>
          </cell>
          <cell r="E1689" t="str">
            <v>개 착 터 널</v>
          </cell>
          <cell r="I1689">
            <v>0</v>
          </cell>
        </row>
        <row r="1690">
          <cell r="A1690" t="str">
            <v>D01202</v>
          </cell>
          <cell r="B1690">
            <v>1368</v>
          </cell>
          <cell r="C1690" t="str">
            <v>a</v>
          </cell>
          <cell r="D1690">
            <v>14556083</v>
          </cell>
          <cell r="E1690" t="str">
            <v>암면고르기</v>
          </cell>
          <cell r="F1690" t="str">
            <v>(발파암)</v>
          </cell>
          <cell r="G1690" t="str">
            <v>㎡</v>
          </cell>
          <cell r="I1690">
            <v>0</v>
          </cell>
        </row>
        <row r="1691">
          <cell r="A1691" t="str">
            <v>D00306</v>
          </cell>
          <cell r="B1691">
            <v>3388</v>
          </cell>
          <cell r="C1691" t="str">
            <v>b</v>
          </cell>
          <cell r="D1691">
            <v>14556115</v>
          </cell>
          <cell r="E1691" t="str">
            <v>원형거푸집</v>
          </cell>
          <cell r="F1691" t="str">
            <v>(3 회 0∼7 m)</v>
          </cell>
          <cell r="G1691" t="str">
            <v>㎡</v>
          </cell>
          <cell r="I1691">
            <v>0</v>
          </cell>
        </row>
        <row r="1692">
          <cell r="A1692" t="str">
            <v>D00323</v>
          </cell>
          <cell r="B1692">
            <v>1769</v>
          </cell>
          <cell r="C1692" t="str">
            <v>c</v>
          </cell>
          <cell r="D1692">
            <v>14556131</v>
          </cell>
          <cell r="E1692" t="str">
            <v>강관비계</v>
          </cell>
          <cell r="F1692" t="str">
            <v>(0∼30 M)</v>
          </cell>
          <cell r="G1692" t="str">
            <v>㎡</v>
          </cell>
          <cell r="I1692">
            <v>0</v>
          </cell>
        </row>
        <row r="1693">
          <cell r="A1693" t="str">
            <v>T2</v>
          </cell>
          <cell r="B1693">
            <v>1697</v>
          </cell>
          <cell r="C1693" t="str">
            <v>d</v>
          </cell>
          <cell r="D1693">
            <v>14556135</v>
          </cell>
          <cell r="E1693" t="str">
            <v>철근가공조립</v>
          </cell>
          <cell r="I1693">
            <v>0</v>
          </cell>
        </row>
        <row r="1694">
          <cell r="A1694" t="str">
            <v>D00270</v>
          </cell>
          <cell r="B1694">
            <v>0.27100000000000002</v>
          </cell>
          <cell r="C1694" t="str">
            <v>-1</v>
          </cell>
          <cell r="D1694">
            <v>14556139</v>
          </cell>
          <cell r="E1694" t="str">
            <v>철근가공조립</v>
          </cell>
          <cell r="F1694" t="str">
            <v>(간 단)</v>
          </cell>
          <cell r="G1694" t="str">
            <v>Ton</v>
          </cell>
          <cell r="I1694">
            <v>0</v>
          </cell>
        </row>
        <row r="1695">
          <cell r="A1695" t="str">
            <v>D00272</v>
          </cell>
          <cell r="B1695">
            <v>365.94400000000002</v>
          </cell>
          <cell r="C1695" t="str">
            <v>-2</v>
          </cell>
          <cell r="D1695">
            <v>14556143</v>
          </cell>
          <cell r="E1695" t="str">
            <v>철근가공조립</v>
          </cell>
          <cell r="F1695" t="str">
            <v>(복 잡)</v>
          </cell>
          <cell r="G1695" t="str">
            <v>Ton</v>
          </cell>
          <cell r="I1695">
            <v>0</v>
          </cell>
        </row>
        <row r="1696">
          <cell r="A1696" t="str">
            <v>D00588</v>
          </cell>
          <cell r="B1696">
            <v>2453</v>
          </cell>
          <cell r="C1696" t="str">
            <v>-3</v>
          </cell>
          <cell r="D1696">
            <v>14556145</v>
          </cell>
          <cell r="E1696" t="str">
            <v>스페이서 설치</v>
          </cell>
          <cell r="F1696" t="str">
            <v>(슬라브및기초용)</v>
          </cell>
          <cell r="G1696" t="str">
            <v>㎡</v>
          </cell>
          <cell r="I1696">
            <v>0</v>
          </cell>
        </row>
        <row r="1697">
          <cell r="A1697" t="str">
            <v>D00696</v>
          </cell>
          <cell r="B1697">
            <v>2089</v>
          </cell>
          <cell r="C1697" t="str">
            <v>-4</v>
          </cell>
          <cell r="D1697">
            <v>14556146</v>
          </cell>
          <cell r="E1697" t="str">
            <v>부상 방지철선</v>
          </cell>
          <cell r="F1697" t="str">
            <v>(# 6)</v>
          </cell>
          <cell r="G1697" t="str">
            <v>M</v>
          </cell>
          <cell r="I1697">
            <v>0</v>
          </cell>
        </row>
        <row r="1698">
          <cell r="A1698" t="str">
            <v>E2</v>
          </cell>
          <cell r="B1698">
            <v>0</v>
          </cell>
          <cell r="C1698" t="str">
            <v>계</v>
          </cell>
          <cell r="D1698">
            <v>14556147</v>
          </cell>
          <cell r="I1698">
            <v>0</v>
          </cell>
        </row>
        <row r="1699">
          <cell r="A1699" t="str">
            <v>T2</v>
          </cell>
          <cell r="B1699">
            <v>1701</v>
          </cell>
          <cell r="C1699" t="str">
            <v>e</v>
          </cell>
          <cell r="D1699">
            <v>14556211</v>
          </cell>
          <cell r="E1699" t="str">
            <v>콘크리트타설</v>
          </cell>
          <cell r="I1699">
            <v>0</v>
          </cell>
        </row>
        <row r="1700">
          <cell r="A1700" t="str">
            <v>D00234</v>
          </cell>
          <cell r="B1700">
            <v>310</v>
          </cell>
          <cell r="C1700" t="str">
            <v>-1</v>
          </cell>
          <cell r="D1700">
            <v>14556243</v>
          </cell>
          <cell r="E1700" t="str">
            <v>콘크리트타설</v>
          </cell>
          <cell r="F1700" t="str">
            <v>(무근 VIB 포함)</v>
          </cell>
          <cell r="G1700" t="str">
            <v>㎥</v>
          </cell>
          <cell r="I1700">
            <v>0</v>
          </cell>
        </row>
        <row r="1701">
          <cell r="A1701" t="str">
            <v>D00237</v>
          </cell>
          <cell r="B1701">
            <v>2609</v>
          </cell>
          <cell r="C1701" t="str">
            <v>-2</v>
          </cell>
          <cell r="D1701">
            <v>14556275</v>
          </cell>
          <cell r="E1701" t="str">
            <v>콘크리트타설</v>
          </cell>
          <cell r="F1701" t="str">
            <v>(철근 펌프카)</v>
          </cell>
          <cell r="G1701" t="str">
            <v>㎥</v>
          </cell>
          <cell r="I1701">
            <v>0</v>
          </cell>
        </row>
        <row r="1702">
          <cell r="A1702" t="str">
            <v>E2</v>
          </cell>
          <cell r="B1702">
            <v>0</v>
          </cell>
          <cell r="C1702" t="str">
            <v>계</v>
          </cell>
          <cell r="D1702">
            <v>14556307</v>
          </cell>
          <cell r="I1702">
            <v>0</v>
          </cell>
        </row>
        <row r="1703">
          <cell r="A1703" t="str">
            <v>T2</v>
          </cell>
          <cell r="B1703">
            <v>1707</v>
          </cell>
          <cell r="C1703" t="str">
            <v>f</v>
          </cell>
          <cell r="D1703">
            <v>14556339</v>
          </cell>
          <cell r="E1703" t="str">
            <v>파이프설치</v>
          </cell>
          <cell r="I1703">
            <v>0</v>
          </cell>
        </row>
        <row r="1704">
          <cell r="A1704" t="str">
            <v>D00341</v>
          </cell>
          <cell r="B1704">
            <v>28</v>
          </cell>
          <cell r="C1704" t="str">
            <v>-1</v>
          </cell>
          <cell r="D1704">
            <v>14556371</v>
          </cell>
          <cell r="E1704" t="str">
            <v>PVC PIPE 설치</v>
          </cell>
          <cell r="F1704" t="str">
            <v>(D=100 m/m)</v>
          </cell>
          <cell r="G1704" t="str">
            <v>M</v>
          </cell>
          <cell r="I1704">
            <v>0</v>
          </cell>
        </row>
        <row r="1705">
          <cell r="A1705" t="str">
            <v>D00342</v>
          </cell>
          <cell r="B1705">
            <v>495</v>
          </cell>
          <cell r="C1705" t="str">
            <v>-2</v>
          </cell>
          <cell r="D1705">
            <v>14556387</v>
          </cell>
          <cell r="E1705" t="str">
            <v>PVC PIPE 설치</v>
          </cell>
          <cell r="F1705" t="str">
            <v>(D=150 m/m)</v>
          </cell>
          <cell r="G1705" t="str">
            <v>M</v>
          </cell>
          <cell r="I1705">
            <v>0</v>
          </cell>
        </row>
        <row r="1706">
          <cell r="A1706" t="str">
            <v>D01197</v>
          </cell>
          <cell r="B1706">
            <v>216</v>
          </cell>
          <cell r="C1706" t="str">
            <v>-3</v>
          </cell>
          <cell r="D1706">
            <v>14556389</v>
          </cell>
          <cell r="E1706" t="str">
            <v>유공관 부설</v>
          </cell>
          <cell r="F1706" t="str">
            <v>(T.H.P D=200)</v>
          </cell>
          <cell r="G1706" t="str">
            <v>M</v>
          </cell>
          <cell r="I1706">
            <v>0</v>
          </cell>
        </row>
        <row r="1707">
          <cell r="A1707" t="str">
            <v>D01222</v>
          </cell>
          <cell r="B1707">
            <v>216</v>
          </cell>
          <cell r="C1707" t="str">
            <v>-4</v>
          </cell>
          <cell r="D1707">
            <v>14556390</v>
          </cell>
          <cell r="E1707" t="str">
            <v>유공관 부설</v>
          </cell>
          <cell r="F1707" t="str">
            <v>(T.H.P D=250)</v>
          </cell>
          <cell r="G1707" t="str">
            <v>M</v>
          </cell>
          <cell r="I1707">
            <v>0</v>
          </cell>
        </row>
        <row r="1708">
          <cell r="A1708" t="str">
            <v>E2</v>
          </cell>
          <cell r="B1708">
            <v>0</v>
          </cell>
          <cell r="C1708" t="str">
            <v>계</v>
          </cell>
          <cell r="D1708">
            <v>14556391</v>
          </cell>
          <cell r="I1708">
            <v>0</v>
          </cell>
        </row>
        <row r="1709">
          <cell r="A1709" t="str">
            <v>T2</v>
          </cell>
          <cell r="B1709">
            <v>1713</v>
          </cell>
          <cell r="C1709" t="str">
            <v>g</v>
          </cell>
          <cell r="D1709">
            <v>14556393</v>
          </cell>
          <cell r="E1709" t="str">
            <v>방 수 공</v>
          </cell>
          <cell r="I1709">
            <v>0</v>
          </cell>
        </row>
        <row r="1710">
          <cell r="A1710" t="str">
            <v>D01031</v>
          </cell>
          <cell r="B1710">
            <v>2158</v>
          </cell>
          <cell r="C1710" t="str">
            <v>-1</v>
          </cell>
          <cell r="D1710">
            <v>14556401</v>
          </cell>
          <cell r="E1710" t="str">
            <v>보호몰탈</v>
          </cell>
          <cell r="F1710" t="str">
            <v>(T=5 m/m)</v>
          </cell>
          <cell r="G1710" t="str">
            <v>㎡</v>
          </cell>
          <cell r="I1710">
            <v>0</v>
          </cell>
        </row>
        <row r="1711">
          <cell r="A1711" t="str">
            <v>D01027</v>
          </cell>
          <cell r="B1711">
            <v>2368</v>
          </cell>
          <cell r="C1711" t="str">
            <v>-2</v>
          </cell>
          <cell r="D1711">
            <v>14556402</v>
          </cell>
          <cell r="E1711" t="str">
            <v>쉬이트방수</v>
          </cell>
          <cell r="F1711" t="str">
            <v>수직부(T=3.0 m/m)</v>
          </cell>
          <cell r="G1711" t="str">
            <v>㎡</v>
          </cell>
          <cell r="I1711">
            <v>0</v>
          </cell>
        </row>
        <row r="1712">
          <cell r="A1712" t="str">
            <v>D00419</v>
          </cell>
          <cell r="B1712">
            <v>5420</v>
          </cell>
          <cell r="C1712" t="str">
            <v>-3</v>
          </cell>
          <cell r="D1712">
            <v>14556403</v>
          </cell>
          <cell r="E1712" t="str">
            <v>부직포설치</v>
          </cell>
          <cell r="F1712" t="str">
            <v>(2.0 T/M)</v>
          </cell>
          <cell r="G1712" t="str">
            <v>㎡</v>
          </cell>
          <cell r="I1712">
            <v>0</v>
          </cell>
        </row>
        <row r="1713">
          <cell r="A1713" t="str">
            <v>D01032</v>
          </cell>
          <cell r="B1713">
            <v>2158</v>
          </cell>
          <cell r="C1713" t="str">
            <v>-4</v>
          </cell>
          <cell r="D1713">
            <v>14556467</v>
          </cell>
          <cell r="E1713" t="str">
            <v>벽돌쌓기</v>
          </cell>
          <cell r="F1713" t="str">
            <v>(0.5 B)</v>
          </cell>
          <cell r="G1713" t="str">
            <v>㎡</v>
          </cell>
          <cell r="I1713">
            <v>0</v>
          </cell>
        </row>
        <row r="1714">
          <cell r="A1714" t="str">
            <v>E2</v>
          </cell>
          <cell r="B1714">
            <v>0</v>
          </cell>
          <cell r="C1714" t="str">
            <v>계</v>
          </cell>
          <cell r="D1714">
            <v>14556483</v>
          </cell>
          <cell r="I1714">
            <v>0</v>
          </cell>
        </row>
        <row r="1715">
          <cell r="A1715" t="str">
            <v>D00170</v>
          </cell>
          <cell r="B1715">
            <v>206</v>
          </cell>
          <cell r="C1715" t="str">
            <v>h</v>
          </cell>
          <cell r="D1715">
            <v>14556499</v>
          </cell>
          <cell r="E1715" t="str">
            <v>뒷채움잡석</v>
          </cell>
          <cell r="F1715" t="str">
            <v>(현장암유용)</v>
          </cell>
          <cell r="G1715" t="str">
            <v>㎥</v>
          </cell>
          <cell r="I1715">
            <v>0</v>
          </cell>
        </row>
        <row r="1716">
          <cell r="A1716" t="str">
            <v>D00561</v>
          </cell>
          <cell r="B1716">
            <v>50</v>
          </cell>
          <cell r="C1716" t="str">
            <v>i</v>
          </cell>
          <cell r="D1716">
            <v>14556515</v>
          </cell>
          <cell r="E1716" t="str">
            <v>신축이음</v>
          </cell>
          <cell r="F1716" t="str">
            <v>터널(NATM-개착터널)</v>
          </cell>
          <cell r="G1716" t="str">
            <v>M</v>
          </cell>
          <cell r="I1716">
            <v>0</v>
          </cell>
        </row>
        <row r="1717">
          <cell r="A1717" t="str">
            <v>D00537</v>
          </cell>
          <cell r="B1717">
            <v>116</v>
          </cell>
          <cell r="C1717" t="str">
            <v>j</v>
          </cell>
          <cell r="D1717">
            <v>14556517</v>
          </cell>
          <cell r="E1717" t="str">
            <v>슬래브양생</v>
          </cell>
          <cell r="F1717" t="str">
            <v>(양생제)</v>
          </cell>
          <cell r="G1717" t="str">
            <v>㎡</v>
          </cell>
          <cell r="I1717">
            <v>0</v>
          </cell>
        </row>
        <row r="1718">
          <cell r="A1718" t="str">
            <v>E3</v>
          </cell>
          <cell r="B1718">
            <v>0</v>
          </cell>
          <cell r="C1718" t="str">
            <v>합계</v>
          </cell>
          <cell r="D1718">
            <v>14556521</v>
          </cell>
          <cell r="I1718">
            <v>0</v>
          </cell>
        </row>
        <row r="1719">
          <cell r="A1719" t="str">
            <v>T3</v>
          </cell>
          <cell r="B1719">
            <v>1726</v>
          </cell>
          <cell r="C1719" t="str">
            <v>4.12</v>
          </cell>
          <cell r="D1719">
            <v>14556522</v>
          </cell>
          <cell r="E1719" t="str">
            <v>조 경 공</v>
          </cell>
          <cell r="I1719">
            <v>0</v>
          </cell>
        </row>
        <row r="1720">
          <cell r="A1720" t="str">
            <v>D03790</v>
          </cell>
          <cell r="B1720">
            <v>180</v>
          </cell>
          <cell r="C1720" t="str">
            <v>a</v>
          </cell>
          <cell r="D1720">
            <v>14556650</v>
          </cell>
          <cell r="E1720" t="str">
            <v>담쟁이덩쿨</v>
          </cell>
          <cell r="F1720" t="str">
            <v>(L=0.4)</v>
          </cell>
          <cell r="G1720" t="str">
            <v>주</v>
          </cell>
          <cell r="I1720">
            <v>0</v>
          </cell>
        </row>
        <row r="1721">
          <cell r="A1721" t="str">
            <v>D03791</v>
          </cell>
          <cell r="B1721">
            <v>10</v>
          </cell>
          <cell r="C1721" t="str">
            <v>b</v>
          </cell>
          <cell r="D1721">
            <v>14556651</v>
          </cell>
          <cell r="E1721" t="str">
            <v>느티나무</v>
          </cell>
          <cell r="F1721" t="str">
            <v>(H0.3xR5)</v>
          </cell>
          <cell r="G1721" t="str">
            <v>주</v>
          </cell>
          <cell r="I1721">
            <v>0</v>
          </cell>
        </row>
        <row r="1722">
          <cell r="A1722" t="str">
            <v>D03792</v>
          </cell>
          <cell r="B1722">
            <v>324</v>
          </cell>
          <cell r="C1722" t="str">
            <v>c</v>
          </cell>
          <cell r="D1722">
            <v>14556715</v>
          </cell>
          <cell r="E1722" t="str">
            <v>진 달 래</v>
          </cell>
          <cell r="F1722" t="str">
            <v>(H0.4xW0.4)</v>
          </cell>
          <cell r="G1722" t="str">
            <v>주</v>
          </cell>
          <cell r="I1722">
            <v>0</v>
          </cell>
        </row>
        <row r="1723">
          <cell r="A1723" t="str">
            <v>D03793</v>
          </cell>
          <cell r="B1723">
            <v>216</v>
          </cell>
          <cell r="C1723" t="str">
            <v>d</v>
          </cell>
          <cell r="D1723">
            <v>14556747</v>
          </cell>
          <cell r="E1723" t="str">
            <v>철    쭉</v>
          </cell>
          <cell r="F1723" t="str">
            <v>(H0.4xW0.4)</v>
          </cell>
          <cell r="G1723" t="str">
            <v>주</v>
          </cell>
          <cell r="I1723">
            <v>0</v>
          </cell>
        </row>
        <row r="1724">
          <cell r="A1724" t="str">
            <v>D03794</v>
          </cell>
          <cell r="B1724">
            <v>42</v>
          </cell>
          <cell r="C1724" t="str">
            <v>e</v>
          </cell>
          <cell r="D1724">
            <v>14556763</v>
          </cell>
          <cell r="E1724" t="str">
            <v>잣 나 무</v>
          </cell>
          <cell r="F1724" t="str">
            <v>(H2.0xR4)</v>
          </cell>
          <cell r="G1724" t="str">
            <v>주</v>
          </cell>
          <cell r="I1724">
            <v>0</v>
          </cell>
        </row>
        <row r="1725">
          <cell r="A1725" t="str">
            <v>D03795</v>
          </cell>
          <cell r="B1725">
            <v>24</v>
          </cell>
          <cell r="C1725" t="str">
            <v>f</v>
          </cell>
          <cell r="D1725">
            <v>14556771</v>
          </cell>
          <cell r="E1725" t="str">
            <v>왕벗나무</v>
          </cell>
          <cell r="F1725" t="str">
            <v>(H2.0xR4)</v>
          </cell>
          <cell r="G1725" t="str">
            <v>주</v>
          </cell>
          <cell r="I1725">
            <v>0</v>
          </cell>
        </row>
        <row r="1726">
          <cell r="A1726" t="str">
            <v>D03796</v>
          </cell>
          <cell r="B1726">
            <v>18</v>
          </cell>
          <cell r="C1726" t="str">
            <v>g</v>
          </cell>
          <cell r="D1726">
            <v>14556775</v>
          </cell>
          <cell r="E1726" t="str">
            <v>청 단 풍</v>
          </cell>
          <cell r="F1726" t="str">
            <v>(H2.0xR4)</v>
          </cell>
          <cell r="G1726" t="str">
            <v>주</v>
          </cell>
          <cell r="I1726">
            <v>0</v>
          </cell>
        </row>
        <row r="1727">
          <cell r="A1727" t="str">
            <v>E3</v>
          </cell>
          <cell r="B1727">
            <v>0</v>
          </cell>
          <cell r="C1727" t="str">
            <v>합계</v>
          </cell>
          <cell r="D1727">
            <v>14556777</v>
          </cell>
          <cell r="I1727">
            <v>0</v>
          </cell>
        </row>
        <row r="1728">
          <cell r="A1728" t="str">
            <v>T3</v>
          </cell>
          <cell r="B1728">
            <v>1731</v>
          </cell>
          <cell r="C1728" t="str">
            <v>4.13</v>
          </cell>
          <cell r="D1728">
            <v>14556905</v>
          </cell>
          <cell r="E1728" t="str">
            <v>녹 생 토</v>
          </cell>
          <cell r="I1728">
            <v>0</v>
          </cell>
        </row>
        <row r="1729">
          <cell r="A1729" t="str">
            <v>D00774</v>
          </cell>
          <cell r="B1729">
            <v>1179</v>
          </cell>
          <cell r="C1729" t="str">
            <v>a</v>
          </cell>
          <cell r="D1729">
            <v>14556906</v>
          </cell>
          <cell r="E1729" t="str">
            <v>암절개면보호식재공</v>
          </cell>
          <cell r="F1729" t="str">
            <v>(T= 5 Cm)</v>
          </cell>
          <cell r="G1729" t="str">
            <v>㎡</v>
          </cell>
          <cell r="I1729">
            <v>0</v>
          </cell>
        </row>
        <row r="1730">
          <cell r="A1730" t="str">
            <v>D00766</v>
          </cell>
          <cell r="B1730">
            <v>2127</v>
          </cell>
          <cell r="C1730" t="str">
            <v>b</v>
          </cell>
          <cell r="D1730">
            <v>14556907</v>
          </cell>
          <cell r="E1730" t="str">
            <v>암절개면보호식제공</v>
          </cell>
          <cell r="F1730" t="str">
            <v>(T=10 Cm)</v>
          </cell>
          <cell r="G1730" t="str">
            <v>㎡</v>
          </cell>
          <cell r="I1730">
            <v>0</v>
          </cell>
        </row>
        <row r="1731">
          <cell r="A1731" t="str">
            <v>D00767</v>
          </cell>
          <cell r="B1731">
            <v>2658</v>
          </cell>
          <cell r="C1731" t="str">
            <v>c</v>
          </cell>
          <cell r="D1731">
            <v>14556971</v>
          </cell>
          <cell r="E1731" t="str">
            <v>암절개면보호식재공</v>
          </cell>
          <cell r="F1731" t="str">
            <v>(T=15 Cm)</v>
          </cell>
          <cell r="G1731" t="str">
            <v>㎡</v>
          </cell>
          <cell r="I1731">
            <v>0</v>
          </cell>
        </row>
        <row r="1732">
          <cell r="A1732" t="str">
            <v>E3</v>
          </cell>
          <cell r="B1732">
            <v>0</v>
          </cell>
          <cell r="C1732" t="str">
            <v>합계</v>
          </cell>
          <cell r="D1732">
            <v>14557003</v>
          </cell>
          <cell r="I1732">
            <v>0</v>
          </cell>
        </row>
        <row r="1733">
          <cell r="A1733" t="str">
            <v>T3</v>
          </cell>
          <cell r="B1733">
            <v>1736</v>
          </cell>
          <cell r="C1733" t="str">
            <v>4.14</v>
          </cell>
          <cell r="D1733">
            <v>14557005</v>
          </cell>
          <cell r="E1733" t="str">
            <v>동상방지층</v>
          </cell>
          <cell r="I1733">
            <v>0</v>
          </cell>
        </row>
        <row r="1734">
          <cell r="A1734" t="str">
            <v>D03744</v>
          </cell>
          <cell r="B1734">
            <v>2323</v>
          </cell>
          <cell r="C1734" t="str">
            <v>a</v>
          </cell>
          <cell r="D1734">
            <v>14557069</v>
          </cell>
          <cell r="E1734" t="str">
            <v>동상방지층생산</v>
          </cell>
          <cell r="F1734" t="str">
            <v>(현장암유용)</v>
          </cell>
          <cell r="G1734" t="str">
            <v>㎥</v>
          </cell>
          <cell r="I1734">
            <v>0</v>
          </cell>
        </row>
        <row r="1735">
          <cell r="A1735" t="str">
            <v>D00823</v>
          </cell>
          <cell r="B1735">
            <v>1076</v>
          </cell>
          <cell r="C1735" t="str">
            <v>b</v>
          </cell>
          <cell r="D1735">
            <v>14557101</v>
          </cell>
          <cell r="E1735" t="str">
            <v>동상방지층</v>
          </cell>
          <cell r="F1735" t="str">
            <v>(포설및다짐 T=15 Cm)</v>
          </cell>
          <cell r="G1735" t="str">
            <v>㎥</v>
          </cell>
          <cell r="I1735">
            <v>0</v>
          </cell>
        </row>
        <row r="1736">
          <cell r="A1736" t="str">
            <v>D00824</v>
          </cell>
          <cell r="B1736">
            <v>733</v>
          </cell>
          <cell r="C1736" t="str">
            <v>c</v>
          </cell>
          <cell r="D1736">
            <v>14557117</v>
          </cell>
          <cell r="E1736" t="str">
            <v>동상방지층</v>
          </cell>
          <cell r="F1736" t="str">
            <v>(포설및다짐 T=35 Cm)</v>
          </cell>
          <cell r="G1736" t="str">
            <v>㎥</v>
          </cell>
          <cell r="I1736">
            <v>0</v>
          </cell>
        </row>
        <row r="1737">
          <cell r="A1737" t="str">
            <v>E3</v>
          </cell>
          <cell r="B1737">
            <v>0</v>
          </cell>
          <cell r="C1737" t="str">
            <v>합계</v>
          </cell>
          <cell r="D1737">
            <v>14557125</v>
          </cell>
          <cell r="I1737">
            <v>0</v>
          </cell>
        </row>
        <row r="1738">
          <cell r="A1738" t="str">
            <v>T3</v>
          </cell>
          <cell r="B1738">
            <v>1740</v>
          </cell>
          <cell r="C1738" t="str">
            <v>4.15</v>
          </cell>
          <cell r="D1738">
            <v>14557257</v>
          </cell>
          <cell r="E1738" t="str">
            <v>린콘크리트기층</v>
          </cell>
          <cell r="F1738" t="str">
            <v>(T=15 Cm)</v>
          </cell>
          <cell r="I1738">
            <v>0</v>
          </cell>
        </row>
        <row r="1739">
          <cell r="A1739" t="str">
            <v>D03760</v>
          </cell>
          <cell r="B1739">
            <v>1092</v>
          </cell>
          <cell r="C1739" t="str">
            <v>a</v>
          </cell>
          <cell r="D1739">
            <v>14557259</v>
          </cell>
          <cell r="E1739" t="str">
            <v>린콘크리트기층</v>
          </cell>
          <cell r="F1739" t="str">
            <v>(포설및다짐 T=15 Cm)</v>
          </cell>
          <cell r="G1739" t="str">
            <v>㎥</v>
          </cell>
          <cell r="I1739">
            <v>0</v>
          </cell>
        </row>
        <row r="1740">
          <cell r="A1740" t="str">
            <v>D03768</v>
          </cell>
          <cell r="B1740">
            <v>13</v>
          </cell>
          <cell r="C1740" t="str">
            <v>b</v>
          </cell>
          <cell r="D1740">
            <v>14557260</v>
          </cell>
          <cell r="E1740" t="str">
            <v>인력포설</v>
          </cell>
          <cell r="F1740" t="str">
            <v>(T=15 Cm)</v>
          </cell>
          <cell r="G1740" t="str">
            <v>㎥</v>
          </cell>
          <cell r="I1740">
            <v>0</v>
          </cell>
        </row>
        <row r="1741">
          <cell r="A1741" t="str">
            <v>E3</v>
          </cell>
          <cell r="B1741">
            <v>0</v>
          </cell>
          <cell r="C1741" t="str">
            <v>합계</v>
          </cell>
          <cell r="D1741">
            <v>14557261</v>
          </cell>
          <cell r="I1741">
            <v>0</v>
          </cell>
        </row>
        <row r="1742">
          <cell r="A1742" t="str">
            <v>T3</v>
          </cell>
          <cell r="B1742">
            <v>1744</v>
          </cell>
          <cell r="C1742" t="str">
            <v>4.16</v>
          </cell>
          <cell r="D1742">
            <v>14557325</v>
          </cell>
          <cell r="E1742" t="str">
            <v>콘크리트포설</v>
          </cell>
          <cell r="F1742" t="str">
            <v>(T=30 Cm)</v>
          </cell>
          <cell r="I1742">
            <v>0</v>
          </cell>
        </row>
        <row r="1743">
          <cell r="A1743" t="str">
            <v>D03764</v>
          </cell>
          <cell r="B1743">
            <v>2185</v>
          </cell>
          <cell r="C1743" t="str">
            <v>a</v>
          </cell>
          <cell r="D1743">
            <v>14557357</v>
          </cell>
          <cell r="E1743" t="str">
            <v>콘크리트포장</v>
          </cell>
          <cell r="F1743" t="str">
            <v>(2차로동시기계포설)</v>
          </cell>
          <cell r="G1743" t="str">
            <v>㎥</v>
          </cell>
          <cell r="I1743">
            <v>0</v>
          </cell>
        </row>
        <row r="1744">
          <cell r="A1744" t="str">
            <v>D03766</v>
          </cell>
          <cell r="B1744">
            <v>17</v>
          </cell>
          <cell r="C1744" t="str">
            <v>b</v>
          </cell>
          <cell r="D1744">
            <v>14557373</v>
          </cell>
          <cell r="E1744" t="str">
            <v>인력포설</v>
          </cell>
          <cell r="F1744" t="str">
            <v>(T=30 Cm)</v>
          </cell>
          <cell r="G1744" t="str">
            <v>㎥</v>
          </cell>
          <cell r="I1744">
            <v>0</v>
          </cell>
        </row>
        <row r="1745">
          <cell r="A1745" t="str">
            <v>E3</v>
          </cell>
          <cell r="B1745">
            <v>0</v>
          </cell>
          <cell r="C1745" t="str">
            <v>합계</v>
          </cell>
          <cell r="D1745">
            <v>14557381</v>
          </cell>
          <cell r="I1745">
            <v>0</v>
          </cell>
        </row>
        <row r="1746">
          <cell r="A1746" t="str">
            <v>D00270</v>
          </cell>
          <cell r="B1746">
            <v>1.659</v>
          </cell>
          <cell r="C1746" t="str">
            <v>4.17</v>
          </cell>
          <cell r="D1746">
            <v>14557385</v>
          </cell>
          <cell r="E1746" t="str">
            <v>철근설치공</v>
          </cell>
          <cell r="F1746" t="str">
            <v>철근가공조립(간 단)</v>
          </cell>
          <cell r="G1746" t="str">
            <v>Ton</v>
          </cell>
          <cell r="I1746">
            <v>0</v>
          </cell>
        </row>
        <row r="1747">
          <cell r="A1747" t="str">
            <v>D00761</v>
          </cell>
          <cell r="B1747">
            <v>7372</v>
          </cell>
          <cell r="C1747" t="str">
            <v>4.18</v>
          </cell>
          <cell r="D1747">
            <v>14557387</v>
          </cell>
          <cell r="E1747" t="str">
            <v>비닐깔기</v>
          </cell>
          <cell r="G1747" t="str">
            <v>㎡</v>
          </cell>
          <cell r="I1747">
            <v>0</v>
          </cell>
        </row>
        <row r="1748">
          <cell r="A1748" t="str">
            <v>D00280</v>
          </cell>
          <cell r="B1748">
            <v>9</v>
          </cell>
          <cell r="C1748" t="str">
            <v>4.19</v>
          </cell>
          <cell r="D1748">
            <v>14557388</v>
          </cell>
          <cell r="E1748" t="str">
            <v>합판거푸집</v>
          </cell>
          <cell r="F1748" t="str">
            <v>(4 회)</v>
          </cell>
          <cell r="G1748" t="str">
            <v>㎡</v>
          </cell>
          <cell r="I1748">
            <v>0</v>
          </cell>
        </row>
        <row r="1749">
          <cell r="A1749" t="str">
            <v>T3</v>
          </cell>
          <cell r="B1749">
            <v>1755</v>
          </cell>
          <cell r="C1749" t="str">
            <v>4.20</v>
          </cell>
          <cell r="D1749">
            <v>14557389</v>
          </cell>
          <cell r="E1749" t="str">
            <v>줄눈설치공</v>
          </cell>
          <cell r="I1749">
            <v>0</v>
          </cell>
        </row>
        <row r="1750">
          <cell r="A1750" t="str">
            <v>D03769</v>
          </cell>
          <cell r="B1750">
            <v>998</v>
          </cell>
          <cell r="C1750" t="str">
            <v>a</v>
          </cell>
          <cell r="D1750">
            <v>14557485</v>
          </cell>
          <cell r="E1750" t="str">
            <v>세로줄눈(형식.1-1)</v>
          </cell>
          <cell r="F1750" t="str">
            <v>(본선2차로동시포설)</v>
          </cell>
          <cell r="G1750" t="str">
            <v>M</v>
          </cell>
          <cell r="I1750">
            <v>0</v>
          </cell>
        </row>
        <row r="1751">
          <cell r="A1751" t="str">
            <v>D03773</v>
          </cell>
          <cell r="B1751">
            <v>1211</v>
          </cell>
          <cell r="C1751" t="str">
            <v>b</v>
          </cell>
          <cell r="D1751">
            <v>14557501</v>
          </cell>
          <cell r="E1751" t="str">
            <v>가로줄눈(형식.2-1,2)</v>
          </cell>
          <cell r="F1751" t="str">
            <v>(본선2차로용)</v>
          </cell>
          <cell r="G1751" t="str">
            <v>M</v>
          </cell>
          <cell r="I1751">
            <v>0</v>
          </cell>
        </row>
        <row r="1752">
          <cell r="A1752" t="str">
            <v>T1</v>
          </cell>
          <cell r="B1752">
            <v>1754</v>
          </cell>
          <cell r="C1752" t="str">
            <v>c</v>
          </cell>
          <cell r="D1752">
            <v>14557509</v>
          </cell>
          <cell r="E1752" t="str">
            <v>팽창줄눈</v>
          </cell>
          <cell r="I1752">
            <v>0</v>
          </cell>
        </row>
        <row r="1753">
          <cell r="A1753" t="str">
            <v>D03779</v>
          </cell>
          <cell r="B1753">
            <v>18</v>
          </cell>
          <cell r="C1753" t="str">
            <v>-1</v>
          </cell>
          <cell r="D1753">
            <v>14557511</v>
          </cell>
          <cell r="E1753" t="str">
            <v>팽창줄눈(형식.3-1)</v>
          </cell>
          <cell r="F1753" t="str">
            <v>(본선2차로용)</v>
          </cell>
          <cell r="G1753" t="str">
            <v>M</v>
          </cell>
          <cell r="I1753">
            <v>0</v>
          </cell>
        </row>
        <row r="1754">
          <cell r="A1754" t="str">
            <v>D03849</v>
          </cell>
          <cell r="B1754">
            <v>29</v>
          </cell>
          <cell r="C1754" t="str">
            <v>-2</v>
          </cell>
          <cell r="D1754">
            <v>14557512</v>
          </cell>
          <cell r="E1754" t="str">
            <v>팽창줄눈(형식3-6,7)</v>
          </cell>
          <cell r="F1754" t="str">
            <v>(아스콘 접속부)</v>
          </cell>
          <cell r="G1754" t="str">
            <v>M</v>
          </cell>
          <cell r="I1754">
            <v>0</v>
          </cell>
        </row>
        <row r="1755">
          <cell r="A1755" t="str">
            <v>E1</v>
          </cell>
          <cell r="B1755">
            <v>0</v>
          </cell>
          <cell r="C1755" t="str">
            <v>소계</v>
          </cell>
          <cell r="D1755">
            <v>14557513</v>
          </cell>
          <cell r="I1755">
            <v>0</v>
          </cell>
        </row>
        <row r="1756">
          <cell r="A1756" t="str">
            <v>E3</v>
          </cell>
          <cell r="B1756">
            <v>0</v>
          </cell>
          <cell r="C1756" t="str">
            <v>합계</v>
          </cell>
          <cell r="D1756">
            <v>14557641</v>
          </cell>
          <cell r="I1756">
            <v>0</v>
          </cell>
        </row>
        <row r="1757">
          <cell r="A1757" t="str">
            <v>D03783</v>
          </cell>
          <cell r="B1757">
            <v>1</v>
          </cell>
          <cell r="C1757" t="str">
            <v>4.21</v>
          </cell>
          <cell r="D1757">
            <v>14557643</v>
          </cell>
          <cell r="E1757" t="str">
            <v>콘크리트포장면연마</v>
          </cell>
          <cell r="G1757" t="str">
            <v>식</v>
          </cell>
          <cell r="I1757">
            <v>0</v>
          </cell>
        </row>
        <row r="1758">
          <cell r="A1758" t="str">
            <v>E4</v>
          </cell>
          <cell r="B1758">
            <v>0</v>
          </cell>
          <cell r="C1758" t="str">
            <v>총계</v>
          </cell>
          <cell r="D1758">
            <v>14557645</v>
          </cell>
          <cell r="I1758">
            <v>0</v>
          </cell>
        </row>
        <row r="1759">
          <cell r="A1759" t="str">
            <v>T4</v>
          </cell>
          <cell r="B1759">
            <v>1793</v>
          </cell>
          <cell r="C1759" t="str">
            <v>5.</v>
          </cell>
          <cell r="D1759">
            <v>14572138</v>
          </cell>
          <cell r="E1759" t="str">
            <v>포    장    공</v>
          </cell>
          <cell r="I1759">
            <v>0</v>
          </cell>
        </row>
        <row r="1760">
          <cell r="A1760" t="str">
            <v>T3</v>
          </cell>
          <cell r="B1760">
            <v>1763</v>
          </cell>
          <cell r="C1760" t="str">
            <v>5.01</v>
          </cell>
          <cell r="D1760">
            <v>14572755</v>
          </cell>
          <cell r="E1760" t="str">
            <v>생산및운반</v>
          </cell>
          <cell r="I1760">
            <v>0</v>
          </cell>
        </row>
        <row r="1761">
          <cell r="A1761" t="str">
            <v>D00854</v>
          </cell>
          <cell r="B1761">
            <v>1543</v>
          </cell>
          <cell r="C1761" t="str">
            <v>a</v>
          </cell>
          <cell r="D1761">
            <v>14573064</v>
          </cell>
          <cell r="E1761" t="str">
            <v>속채움잡석</v>
          </cell>
          <cell r="F1761" t="str">
            <v>(현장암유용)</v>
          </cell>
          <cell r="G1761" t="str">
            <v>㎥</v>
          </cell>
          <cell r="I1761">
            <v>0</v>
          </cell>
        </row>
        <row r="1762">
          <cell r="A1762" t="str">
            <v>D03744</v>
          </cell>
          <cell r="B1762">
            <v>74810</v>
          </cell>
          <cell r="C1762" t="str">
            <v>b</v>
          </cell>
          <cell r="D1762">
            <v>14573218</v>
          </cell>
          <cell r="E1762" t="str">
            <v>동상방지층생산</v>
          </cell>
          <cell r="F1762" t="str">
            <v>(현장암유용)</v>
          </cell>
          <cell r="G1762" t="str">
            <v>㎥</v>
          </cell>
          <cell r="I1762">
            <v>0</v>
          </cell>
        </row>
        <row r="1763">
          <cell r="A1763" t="str">
            <v>D03742</v>
          </cell>
          <cell r="B1763">
            <v>83878</v>
          </cell>
          <cell r="C1763" t="str">
            <v>c</v>
          </cell>
          <cell r="D1763">
            <v>14573295</v>
          </cell>
          <cell r="E1763" t="str">
            <v>보조기층생산</v>
          </cell>
          <cell r="F1763" t="str">
            <v>(현장암유용)</v>
          </cell>
          <cell r="G1763" t="str">
            <v>㎥</v>
          </cell>
          <cell r="I1763">
            <v>0</v>
          </cell>
        </row>
        <row r="1764">
          <cell r="A1764" t="str">
            <v>E3</v>
          </cell>
          <cell r="B1764">
            <v>0</v>
          </cell>
          <cell r="C1764" t="str">
            <v>합계</v>
          </cell>
          <cell r="D1764">
            <v>14573334</v>
          </cell>
          <cell r="I1764">
            <v>0</v>
          </cell>
        </row>
        <row r="1765">
          <cell r="A1765" t="str">
            <v>T3</v>
          </cell>
          <cell r="B1765">
            <v>1767</v>
          </cell>
          <cell r="C1765" t="str">
            <v>5.02</v>
          </cell>
          <cell r="D1765">
            <v>14573372</v>
          </cell>
          <cell r="E1765" t="str">
            <v>동상방지층</v>
          </cell>
          <cell r="I1765">
            <v>0</v>
          </cell>
        </row>
        <row r="1766">
          <cell r="A1766" t="str">
            <v>D00794</v>
          </cell>
          <cell r="B1766">
            <v>57554</v>
          </cell>
          <cell r="C1766" t="str">
            <v>a</v>
          </cell>
          <cell r="D1766">
            <v>14574998</v>
          </cell>
          <cell r="E1766" t="str">
            <v>동상방지층</v>
          </cell>
          <cell r="F1766" t="str">
            <v>(포설및다짐 T=25 Cm)</v>
          </cell>
          <cell r="G1766" t="str">
            <v>㎥</v>
          </cell>
          <cell r="I1766">
            <v>0</v>
          </cell>
        </row>
        <row r="1767">
          <cell r="A1767" t="str">
            <v>D00796</v>
          </cell>
          <cell r="B1767">
            <v>711</v>
          </cell>
          <cell r="C1767" t="str">
            <v>b</v>
          </cell>
          <cell r="D1767">
            <v>14575122</v>
          </cell>
          <cell r="E1767" t="str">
            <v>동상방지층</v>
          </cell>
          <cell r="F1767" t="str">
            <v>(포설및다짐 T=40 Cm)</v>
          </cell>
          <cell r="G1767" t="str">
            <v>㎥</v>
          </cell>
          <cell r="I1767">
            <v>0</v>
          </cell>
        </row>
        <row r="1768">
          <cell r="A1768" t="str">
            <v>E3</v>
          </cell>
          <cell r="B1768">
            <v>0</v>
          </cell>
          <cell r="C1768" t="str">
            <v>합계</v>
          </cell>
          <cell r="D1768">
            <v>14575246</v>
          </cell>
          <cell r="I1768">
            <v>0</v>
          </cell>
        </row>
        <row r="1769">
          <cell r="A1769" t="str">
            <v>T3</v>
          </cell>
          <cell r="B1769">
            <v>1772</v>
          </cell>
          <cell r="C1769" t="str">
            <v>5.03</v>
          </cell>
          <cell r="D1769">
            <v>14575374</v>
          </cell>
          <cell r="E1769" t="str">
            <v>보조기층</v>
          </cell>
          <cell r="I1769">
            <v>0</v>
          </cell>
        </row>
        <row r="1770">
          <cell r="A1770" t="str">
            <v>D00799</v>
          </cell>
          <cell r="B1770">
            <v>57737</v>
          </cell>
          <cell r="C1770" t="str">
            <v>a</v>
          </cell>
          <cell r="D1770">
            <v>14575854</v>
          </cell>
          <cell r="E1770" t="str">
            <v>보조기층</v>
          </cell>
          <cell r="F1770" t="str">
            <v>(포설및다짐 T=25 Cm)</v>
          </cell>
          <cell r="G1770" t="str">
            <v>㎥</v>
          </cell>
          <cell r="I1770">
            <v>0</v>
          </cell>
        </row>
        <row r="1771">
          <cell r="A1771" t="str">
            <v>D00798</v>
          </cell>
          <cell r="B1771">
            <v>7561</v>
          </cell>
          <cell r="C1771" t="str">
            <v>b</v>
          </cell>
          <cell r="D1771">
            <v>14576014</v>
          </cell>
          <cell r="E1771" t="str">
            <v>보조기층</v>
          </cell>
          <cell r="F1771" t="str">
            <v>(포설및다짐 T=20 Cm)</v>
          </cell>
          <cell r="G1771" t="str">
            <v>㎥</v>
          </cell>
          <cell r="I1771">
            <v>0</v>
          </cell>
        </row>
        <row r="1772">
          <cell r="A1772" t="str">
            <v>D00821</v>
          </cell>
          <cell r="B1772">
            <v>28</v>
          </cell>
          <cell r="C1772" t="str">
            <v>c</v>
          </cell>
          <cell r="D1772">
            <v>14576066</v>
          </cell>
          <cell r="E1772" t="str">
            <v>노 견 토</v>
          </cell>
          <cell r="F1772" t="str">
            <v>(포설및다짐)</v>
          </cell>
          <cell r="G1772" t="str">
            <v>㎥</v>
          </cell>
          <cell r="I1772">
            <v>0</v>
          </cell>
        </row>
        <row r="1773">
          <cell r="A1773" t="str">
            <v>E3</v>
          </cell>
          <cell r="B1773">
            <v>0</v>
          </cell>
          <cell r="C1773" t="str">
            <v>합계</v>
          </cell>
          <cell r="D1773">
            <v>14576222</v>
          </cell>
          <cell r="I1773">
            <v>0</v>
          </cell>
        </row>
        <row r="1774">
          <cell r="A1774" t="str">
            <v>D00805</v>
          </cell>
          <cell r="B1774">
            <v>1989</v>
          </cell>
          <cell r="C1774" t="str">
            <v>5.04</v>
          </cell>
          <cell r="D1774">
            <v>14576270</v>
          </cell>
          <cell r="E1774" t="str">
            <v>프라임코팅</v>
          </cell>
          <cell r="F1774" t="str">
            <v>(MC-1,75 L/a)</v>
          </cell>
          <cell r="G1774" t="str">
            <v>ａ</v>
          </cell>
          <cell r="I1774">
            <v>0</v>
          </cell>
        </row>
        <row r="1775">
          <cell r="A1775" t="str">
            <v>T3</v>
          </cell>
          <cell r="B1775">
            <v>1778</v>
          </cell>
          <cell r="C1775" t="str">
            <v>5.05</v>
          </cell>
          <cell r="D1775">
            <v>14576308</v>
          </cell>
          <cell r="E1775" t="str">
            <v>아스콘기층</v>
          </cell>
          <cell r="I1775">
            <v>0</v>
          </cell>
        </row>
        <row r="1776">
          <cell r="A1776" t="str">
            <v>D00811</v>
          </cell>
          <cell r="B1776">
            <v>2101</v>
          </cell>
          <cell r="C1776" t="str">
            <v>a</v>
          </cell>
          <cell r="D1776">
            <v>14576579</v>
          </cell>
          <cell r="E1776" t="str">
            <v>아스콘기층</v>
          </cell>
          <cell r="F1776" t="str">
            <v>(포설및다짐 T=19 Cm)</v>
          </cell>
          <cell r="G1776" t="str">
            <v>ａ</v>
          </cell>
          <cell r="I1776">
            <v>0</v>
          </cell>
        </row>
        <row r="1777">
          <cell r="A1777" t="str">
            <v>D00809</v>
          </cell>
          <cell r="B1777">
            <v>13</v>
          </cell>
          <cell r="C1777" t="str">
            <v>b</v>
          </cell>
          <cell r="D1777">
            <v>14576714</v>
          </cell>
          <cell r="E1777" t="str">
            <v>아스콘기층</v>
          </cell>
          <cell r="F1777" t="str">
            <v>(포설및다짐 T=10 Cm)</v>
          </cell>
          <cell r="G1777" t="str">
            <v>ａ</v>
          </cell>
          <cell r="I1777">
            <v>0</v>
          </cell>
        </row>
        <row r="1778">
          <cell r="A1778" t="str">
            <v>D00812</v>
          </cell>
          <cell r="B1778">
            <v>661</v>
          </cell>
          <cell r="C1778" t="str">
            <v>c</v>
          </cell>
          <cell r="D1778">
            <v>14576782</v>
          </cell>
          <cell r="E1778" t="str">
            <v>레벨링코스</v>
          </cell>
          <cell r="F1778" t="str">
            <v>(기층재)</v>
          </cell>
          <cell r="G1778" t="str">
            <v>Ton</v>
          </cell>
          <cell r="I1778">
            <v>0</v>
          </cell>
        </row>
        <row r="1779">
          <cell r="A1779" t="str">
            <v>E3</v>
          </cell>
          <cell r="B1779">
            <v>0</v>
          </cell>
          <cell r="C1779" t="str">
            <v>합계</v>
          </cell>
          <cell r="D1779">
            <v>14576816</v>
          </cell>
          <cell r="I1779">
            <v>0</v>
          </cell>
        </row>
        <row r="1780">
          <cell r="A1780" t="str">
            <v>D01257</v>
          </cell>
          <cell r="B1780">
            <v>2150</v>
          </cell>
          <cell r="C1780" t="str">
            <v>5.06</v>
          </cell>
          <cell r="D1780">
            <v>14576849</v>
          </cell>
          <cell r="E1780" t="str">
            <v>아스콘중간층</v>
          </cell>
          <cell r="F1780" t="str">
            <v>(포설다짐 T=6 Cm)</v>
          </cell>
          <cell r="G1780" t="str">
            <v>a</v>
          </cell>
          <cell r="I1780">
            <v>0</v>
          </cell>
        </row>
        <row r="1781">
          <cell r="A1781" t="str">
            <v>D00813</v>
          </cell>
          <cell r="B1781">
            <v>5634</v>
          </cell>
          <cell r="C1781" t="str">
            <v>5.07</v>
          </cell>
          <cell r="D1781">
            <v>14577025</v>
          </cell>
          <cell r="E1781" t="str">
            <v>택 코 팅</v>
          </cell>
          <cell r="F1781" t="str">
            <v>(RSC-4,30 L/a)</v>
          </cell>
          <cell r="G1781" t="str">
            <v>ａ</v>
          </cell>
          <cell r="I1781">
            <v>0</v>
          </cell>
        </row>
        <row r="1782">
          <cell r="A1782" t="str">
            <v>T3</v>
          </cell>
          <cell r="B1782">
            <v>1785</v>
          </cell>
          <cell r="C1782" t="str">
            <v>5.08</v>
          </cell>
          <cell r="D1782">
            <v>14577200</v>
          </cell>
          <cell r="E1782" t="str">
            <v>아스콘표층</v>
          </cell>
          <cell r="I1782">
            <v>0</v>
          </cell>
        </row>
        <row r="1783">
          <cell r="A1783" t="str">
            <v>D00815</v>
          </cell>
          <cell r="B1783">
            <v>123</v>
          </cell>
          <cell r="C1783" t="str">
            <v>a</v>
          </cell>
          <cell r="D1783">
            <v>14577550</v>
          </cell>
          <cell r="E1783" t="str">
            <v>아스콘표층</v>
          </cell>
          <cell r="F1783" t="str">
            <v>(포설다짐 T=8 Cm)</v>
          </cell>
          <cell r="G1783" t="str">
            <v>ａ</v>
          </cell>
          <cell r="I1783">
            <v>0</v>
          </cell>
        </row>
        <row r="1784">
          <cell r="A1784" t="str">
            <v>D00816</v>
          </cell>
          <cell r="B1784">
            <v>2158</v>
          </cell>
          <cell r="C1784" t="str">
            <v>b</v>
          </cell>
          <cell r="D1784">
            <v>14577834</v>
          </cell>
          <cell r="E1784" t="str">
            <v>아스콘표층</v>
          </cell>
          <cell r="F1784" t="str">
            <v>(포설다짐 T=5 Cm)</v>
          </cell>
          <cell r="G1784" t="str">
            <v>ａ</v>
          </cell>
          <cell r="I1784">
            <v>0</v>
          </cell>
        </row>
        <row r="1785">
          <cell r="A1785" t="str">
            <v>D00762</v>
          </cell>
          <cell r="B1785">
            <v>772</v>
          </cell>
          <cell r="C1785" t="str">
            <v>c</v>
          </cell>
          <cell r="D1785">
            <v>14577905</v>
          </cell>
          <cell r="E1785" t="str">
            <v>레벨링코스</v>
          </cell>
          <cell r="F1785" t="str">
            <v>(표층재)</v>
          </cell>
          <cell r="G1785" t="str">
            <v>Ton</v>
          </cell>
          <cell r="I1785">
            <v>0</v>
          </cell>
        </row>
        <row r="1786">
          <cell r="A1786" t="str">
            <v>E3</v>
          </cell>
          <cell r="B1786">
            <v>0</v>
          </cell>
          <cell r="C1786" t="str">
            <v>합계</v>
          </cell>
          <cell r="D1786">
            <v>14577976</v>
          </cell>
          <cell r="I1786">
            <v>0</v>
          </cell>
        </row>
        <row r="1787">
          <cell r="A1787" t="str">
            <v>T3</v>
          </cell>
          <cell r="B1787">
            <v>1792</v>
          </cell>
          <cell r="C1787" t="str">
            <v>5.09</v>
          </cell>
          <cell r="D1787">
            <v>14578047</v>
          </cell>
          <cell r="E1787" t="str">
            <v>부체도로</v>
          </cell>
          <cell r="I1787">
            <v>0</v>
          </cell>
        </row>
        <row r="1788">
          <cell r="A1788" t="str">
            <v>D00838</v>
          </cell>
          <cell r="B1788">
            <v>23021</v>
          </cell>
          <cell r="C1788" t="str">
            <v>a</v>
          </cell>
          <cell r="D1788">
            <v>14578794</v>
          </cell>
          <cell r="E1788" t="str">
            <v>콘크리트포장</v>
          </cell>
          <cell r="F1788" t="str">
            <v>(인력포설 T=20 Cm)</v>
          </cell>
          <cell r="G1788" t="str">
            <v>㎡</v>
          </cell>
          <cell r="I1788">
            <v>0</v>
          </cell>
        </row>
        <row r="1789">
          <cell r="A1789" t="str">
            <v>D00843</v>
          </cell>
          <cell r="B1789">
            <v>921</v>
          </cell>
          <cell r="C1789" t="str">
            <v>b</v>
          </cell>
          <cell r="D1789">
            <v>14578981</v>
          </cell>
          <cell r="E1789" t="str">
            <v>줄눈설치</v>
          </cell>
          <cell r="F1789" t="str">
            <v>(판재 T=10 m/m)</v>
          </cell>
          <cell r="G1789" t="str">
            <v>M</v>
          </cell>
          <cell r="I1789">
            <v>0</v>
          </cell>
        </row>
        <row r="1790">
          <cell r="A1790" t="str">
            <v>D00280</v>
          </cell>
          <cell r="B1790">
            <v>1471</v>
          </cell>
          <cell r="C1790" t="str">
            <v>c</v>
          </cell>
          <cell r="D1790">
            <v>14579167</v>
          </cell>
          <cell r="E1790" t="str">
            <v>합판거푸집</v>
          </cell>
          <cell r="F1790" t="str">
            <v>(4 회)</v>
          </cell>
          <cell r="G1790" t="str">
            <v>㎡</v>
          </cell>
          <cell r="I1790">
            <v>0</v>
          </cell>
        </row>
        <row r="1791">
          <cell r="A1791" t="str">
            <v>D00761</v>
          </cell>
          <cell r="B1791">
            <v>23021</v>
          </cell>
          <cell r="C1791" t="str">
            <v>d</v>
          </cell>
          <cell r="D1791">
            <v>14579354</v>
          </cell>
          <cell r="E1791" t="str">
            <v>비닐깔기</v>
          </cell>
          <cell r="G1791" t="str">
            <v>㎡</v>
          </cell>
          <cell r="I1791">
            <v>0</v>
          </cell>
        </row>
        <row r="1792">
          <cell r="A1792" t="str">
            <v>D00858</v>
          </cell>
          <cell r="B1792">
            <v>23021</v>
          </cell>
          <cell r="C1792" t="str">
            <v>e</v>
          </cell>
          <cell r="D1792">
            <v>14579447</v>
          </cell>
          <cell r="E1792" t="str">
            <v>와이어메쉬</v>
          </cell>
          <cell r="F1792" t="str">
            <v>(#8-150x150)</v>
          </cell>
          <cell r="G1792" t="str">
            <v>㎡</v>
          </cell>
          <cell r="I1792">
            <v>0</v>
          </cell>
        </row>
        <row r="1793">
          <cell r="A1793" t="str">
            <v>E3</v>
          </cell>
          <cell r="B1793">
            <v>0</v>
          </cell>
          <cell r="C1793" t="str">
            <v>합계</v>
          </cell>
          <cell r="D1793">
            <v>14579459</v>
          </cell>
          <cell r="I1793">
            <v>0</v>
          </cell>
        </row>
        <row r="1794">
          <cell r="A1794" t="str">
            <v>E4</v>
          </cell>
          <cell r="B1794">
            <v>0</v>
          </cell>
          <cell r="C1794" t="str">
            <v>총계</v>
          </cell>
          <cell r="D1794">
            <v>14579540</v>
          </cell>
          <cell r="I1794">
            <v>0</v>
          </cell>
        </row>
        <row r="1795">
          <cell r="A1795" t="str">
            <v>T4</v>
          </cell>
          <cell r="B1795">
            <v>1862</v>
          </cell>
          <cell r="C1795" t="str">
            <v>6.</v>
          </cell>
          <cell r="D1795">
            <v>14582591</v>
          </cell>
          <cell r="E1795" t="str">
            <v>교통안전시설공</v>
          </cell>
          <cell r="I1795">
            <v>0</v>
          </cell>
        </row>
        <row r="1796">
          <cell r="A1796" t="str">
            <v>T3</v>
          </cell>
          <cell r="B1796">
            <v>1805</v>
          </cell>
          <cell r="C1796" t="str">
            <v>6.01</v>
          </cell>
          <cell r="D1796">
            <v>14582628</v>
          </cell>
          <cell r="E1796" t="str">
            <v>교통 표지판</v>
          </cell>
          <cell r="I1796">
            <v>0</v>
          </cell>
        </row>
        <row r="1797">
          <cell r="A1797" t="str">
            <v>D00870</v>
          </cell>
          <cell r="B1797">
            <v>32</v>
          </cell>
          <cell r="C1797" t="str">
            <v>a</v>
          </cell>
          <cell r="D1797">
            <v>14582701</v>
          </cell>
          <cell r="E1797" t="str">
            <v>삼각표지판</v>
          </cell>
          <cell r="F1797" t="str">
            <v>(120 Cm)</v>
          </cell>
          <cell r="G1797" t="str">
            <v>EA</v>
          </cell>
          <cell r="I1797">
            <v>0</v>
          </cell>
        </row>
        <row r="1798">
          <cell r="A1798" t="str">
            <v>T2</v>
          </cell>
          <cell r="B1798">
            <v>1800</v>
          </cell>
          <cell r="C1798" t="str">
            <v>b</v>
          </cell>
          <cell r="D1798">
            <v>14582765</v>
          </cell>
          <cell r="E1798" t="str">
            <v>원형표지판</v>
          </cell>
          <cell r="I1798">
            <v>0</v>
          </cell>
        </row>
        <row r="1799">
          <cell r="A1799" t="str">
            <v>D00871</v>
          </cell>
          <cell r="B1799">
            <v>12</v>
          </cell>
          <cell r="C1799" t="str">
            <v>-1</v>
          </cell>
          <cell r="D1799">
            <v>14582829</v>
          </cell>
          <cell r="E1799" t="str">
            <v>원형표지판</v>
          </cell>
          <cell r="F1799" t="str">
            <v>(Φ 90 Cm)</v>
          </cell>
          <cell r="G1799" t="str">
            <v>EA</v>
          </cell>
          <cell r="I1799">
            <v>0</v>
          </cell>
        </row>
        <row r="1800">
          <cell r="A1800" t="str">
            <v>D00872</v>
          </cell>
          <cell r="B1800">
            <v>29</v>
          </cell>
          <cell r="C1800" t="str">
            <v>-2</v>
          </cell>
          <cell r="D1800">
            <v>14582881</v>
          </cell>
          <cell r="E1800" t="str">
            <v>원형표지판</v>
          </cell>
          <cell r="F1800" t="str">
            <v>(Φ90 Cm, 부착식)</v>
          </cell>
          <cell r="G1800" t="str">
            <v>EA</v>
          </cell>
          <cell r="I1800">
            <v>0</v>
          </cell>
        </row>
        <row r="1801">
          <cell r="A1801" t="str">
            <v>E2</v>
          </cell>
          <cell r="B1801">
            <v>0</v>
          </cell>
          <cell r="C1801" t="str">
            <v>계</v>
          </cell>
          <cell r="D1801">
            <v>14582907</v>
          </cell>
          <cell r="I1801">
            <v>0</v>
          </cell>
        </row>
        <row r="1802">
          <cell r="A1802" t="str">
            <v>T2</v>
          </cell>
          <cell r="B1802">
            <v>1804</v>
          </cell>
          <cell r="C1802" t="str">
            <v>c</v>
          </cell>
          <cell r="D1802">
            <v>14582920</v>
          </cell>
          <cell r="E1802" t="str">
            <v>이중표지판</v>
          </cell>
          <cell r="I1802">
            <v>0</v>
          </cell>
        </row>
        <row r="1803">
          <cell r="A1803" t="str">
            <v>D00881</v>
          </cell>
          <cell r="B1803">
            <v>11</v>
          </cell>
          <cell r="C1803" t="str">
            <v>-1</v>
          </cell>
          <cell r="D1803">
            <v>14582927</v>
          </cell>
          <cell r="E1803" t="str">
            <v>이중표지판(삼각)</v>
          </cell>
          <cell r="F1803" t="str">
            <v>120x103.9x2 EA</v>
          </cell>
          <cell r="G1803" t="str">
            <v>EA</v>
          </cell>
          <cell r="I1803">
            <v>0</v>
          </cell>
        </row>
        <row r="1804">
          <cell r="A1804" t="str">
            <v>D00925</v>
          </cell>
          <cell r="B1804">
            <v>12</v>
          </cell>
          <cell r="C1804" t="str">
            <v>-2</v>
          </cell>
          <cell r="D1804">
            <v>14582933</v>
          </cell>
          <cell r="E1804" t="str">
            <v>이중표지판(반사판400</v>
          </cell>
          <cell r="F1804" t="str">
            <v>x400+소분리대600x300</v>
          </cell>
          <cell r="G1804" t="str">
            <v>EA</v>
          </cell>
          <cell r="I1804">
            <v>0</v>
          </cell>
        </row>
        <row r="1805">
          <cell r="A1805" t="str">
            <v>E2</v>
          </cell>
          <cell r="B1805">
            <v>0</v>
          </cell>
          <cell r="C1805" t="str">
            <v>계</v>
          </cell>
          <cell r="D1805">
            <v>14582997</v>
          </cell>
          <cell r="I1805">
            <v>0</v>
          </cell>
        </row>
        <row r="1806">
          <cell r="A1806" t="str">
            <v>E3</v>
          </cell>
          <cell r="B1806">
            <v>0</v>
          </cell>
          <cell r="C1806" t="str">
            <v>합계</v>
          </cell>
          <cell r="D1806">
            <v>14583013</v>
          </cell>
          <cell r="I1806">
            <v>0</v>
          </cell>
        </row>
        <row r="1807">
          <cell r="A1807" t="str">
            <v>T3</v>
          </cell>
          <cell r="B1807">
            <v>1816</v>
          </cell>
          <cell r="C1807" t="str">
            <v>6.02</v>
          </cell>
          <cell r="D1807">
            <v>14583029</v>
          </cell>
          <cell r="E1807" t="str">
            <v>안내표지판</v>
          </cell>
          <cell r="I1807">
            <v>0</v>
          </cell>
        </row>
        <row r="1808">
          <cell r="A1808" t="str">
            <v>D00880</v>
          </cell>
          <cell r="B1808">
            <v>7</v>
          </cell>
          <cell r="C1808" t="str">
            <v>a</v>
          </cell>
          <cell r="D1808">
            <v>14583045</v>
          </cell>
          <cell r="E1808" t="str">
            <v>2 방향예고표지판</v>
          </cell>
          <cell r="F1808" t="str">
            <v>(403-3)</v>
          </cell>
          <cell r="G1808" t="str">
            <v>EA</v>
          </cell>
          <cell r="I1808">
            <v>0</v>
          </cell>
        </row>
        <row r="1809">
          <cell r="A1809" t="str">
            <v>D00876</v>
          </cell>
          <cell r="B1809">
            <v>10</v>
          </cell>
          <cell r="C1809" t="str">
            <v>b</v>
          </cell>
          <cell r="D1809">
            <v>14583053</v>
          </cell>
          <cell r="E1809" t="str">
            <v>2 방향 표지판</v>
          </cell>
          <cell r="F1809" t="str">
            <v>(403-4)</v>
          </cell>
          <cell r="G1809" t="str">
            <v>EA</v>
          </cell>
          <cell r="I1809">
            <v>0</v>
          </cell>
        </row>
        <row r="1810">
          <cell r="A1810" t="str">
            <v>D00878</v>
          </cell>
          <cell r="B1810">
            <v>13</v>
          </cell>
          <cell r="C1810" t="str">
            <v>c</v>
          </cell>
          <cell r="D1810">
            <v>14583057</v>
          </cell>
          <cell r="E1810" t="str">
            <v>3 방향예고표지판</v>
          </cell>
          <cell r="F1810" t="str">
            <v>(403-1)</v>
          </cell>
          <cell r="G1810" t="str">
            <v>EA</v>
          </cell>
          <cell r="I1810">
            <v>0</v>
          </cell>
        </row>
        <row r="1811">
          <cell r="A1811" t="str">
            <v>D00875</v>
          </cell>
          <cell r="B1811">
            <v>11</v>
          </cell>
          <cell r="C1811" t="str">
            <v>d</v>
          </cell>
          <cell r="D1811">
            <v>14583059</v>
          </cell>
          <cell r="E1811" t="str">
            <v>3 방향표지판</v>
          </cell>
          <cell r="F1811" t="str">
            <v>(403-2)</v>
          </cell>
          <cell r="G1811" t="str">
            <v>EA</v>
          </cell>
          <cell r="I1811">
            <v>0</v>
          </cell>
        </row>
        <row r="1812">
          <cell r="A1812" t="str">
            <v>D00877</v>
          </cell>
          <cell r="B1812">
            <v>6</v>
          </cell>
          <cell r="C1812" t="str">
            <v>e</v>
          </cell>
          <cell r="D1812">
            <v>14583060</v>
          </cell>
          <cell r="E1812" t="str">
            <v>2 지명방향표지판</v>
          </cell>
          <cell r="F1812" t="str">
            <v>(403-8)</v>
          </cell>
          <cell r="G1812" t="str">
            <v>EA</v>
          </cell>
          <cell r="I1812">
            <v>0</v>
          </cell>
        </row>
        <row r="1813">
          <cell r="A1813" t="str">
            <v>D03786</v>
          </cell>
          <cell r="B1813">
            <v>7</v>
          </cell>
          <cell r="C1813" t="str">
            <v>f</v>
          </cell>
          <cell r="D1813">
            <v>14583321</v>
          </cell>
          <cell r="E1813" t="str">
            <v>단일노선표지</v>
          </cell>
          <cell r="F1813" t="str">
            <v>(404-1)</v>
          </cell>
          <cell r="G1813" t="str">
            <v>EA</v>
          </cell>
          <cell r="I1813">
            <v>0</v>
          </cell>
        </row>
        <row r="1814">
          <cell r="A1814" t="str">
            <v>D00891</v>
          </cell>
          <cell r="B1814">
            <v>5</v>
          </cell>
          <cell r="C1814" t="str">
            <v>g</v>
          </cell>
          <cell r="D1814">
            <v>14583842</v>
          </cell>
          <cell r="E1814" t="str">
            <v>면계표지판</v>
          </cell>
          <cell r="F1814" t="str">
            <v>(401-1)</v>
          </cell>
          <cell r="G1814" t="str">
            <v>EA</v>
          </cell>
          <cell r="I1814">
            <v>0</v>
          </cell>
        </row>
        <row r="1815">
          <cell r="A1815" t="str">
            <v>D03785</v>
          </cell>
          <cell r="B1815">
            <v>4</v>
          </cell>
          <cell r="C1815" t="str">
            <v>h</v>
          </cell>
          <cell r="D1815">
            <v>14583972</v>
          </cell>
          <cell r="E1815" t="str">
            <v>분기점표지</v>
          </cell>
          <cell r="F1815" t="str">
            <v>(426)</v>
          </cell>
          <cell r="G1815" t="str">
            <v>EA</v>
          </cell>
          <cell r="I1815">
            <v>0</v>
          </cell>
        </row>
        <row r="1816">
          <cell r="A1816" t="str">
            <v>D00882</v>
          </cell>
          <cell r="B1816">
            <v>2</v>
          </cell>
          <cell r="C1816" t="str">
            <v>i</v>
          </cell>
          <cell r="D1816">
            <v>14584037</v>
          </cell>
          <cell r="E1816" t="str">
            <v>터널표지</v>
          </cell>
          <cell r="F1816" t="str">
            <v>(427-3)</v>
          </cell>
          <cell r="G1816" t="str">
            <v>EA</v>
          </cell>
          <cell r="I1816">
            <v>0</v>
          </cell>
        </row>
        <row r="1817">
          <cell r="A1817" t="str">
            <v>E3</v>
          </cell>
          <cell r="B1817">
            <v>0</v>
          </cell>
          <cell r="C1817" t="str">
            <v>합계</v>
          </cell>
          <cell r="D1817">
            <v>14584102</v>
          </cell>
          <cell r="I1817">
            <v>0</v>
          </cell>
        </row>
        <row r="1818">
          <cell r="A1818" t="str">
            <v>T3</v>
          </cell>
          <cell r="B1818">
            <v>1828</v>
          </cell>
          <cell r="C1818" t="str">
            <v>6.03</v>
          </cell>
          <cell r="D1818">
            <v>14584172</v>
          </cell>
          <cell r="E1818" t="str">
            <v>시선유도표지</v>
          </cell>
          <cell r="I1818">
            <v>0</v>
          </cell>
        </row>
        <row r="1819">
          <cell r="A1819" t="str">
            <v>T2</v>
          </cell>
          <cell r="B1819">
            <v>1823</v>
          </cell>
          <cell r="C1819" t="str">
            <v>a</v>
          </cell>
          <cell r="D1819">
            <v>14584207</v>
          </cell>
          <cell r="E1819" t="str">
            <v>데리네이터</v>
          </cell>
          <cell r="I1819">
            <v>0</v>
          </cell>
        </row>
        <row r="1820">
          <cell r="A1820" t="str">
            <v>D01298</v>
          </cell>
          <cell r="B1820">
            <v>203</v>
          </cell>
          <cell r="C1820" t="str">
            <v>-1</v>
          </cell>
          <cell r="D1820">
            <v>14584224</v>
          </cell>
          <cell r="E1820" t="str">
            <v>데리네이터</v>
          </cell>
          <cell r="F1820" t="str">
            <v>(중앙분리대용)</v>
          </cell>
          <cell r="G1820" t="str">
            <v>EA</v>
          </cell>
          <cell r="I1820">
            <v>0</v>
          </cell>
        </row>
        <row r="1821">
          <cell r="A1821" t="str">
            <v>D00899</v>
          </cell>
          <cell r="B1821">
            <v>263</v>
          </cell>
          <cell r="C1821" t="str">
            <v>-2</v>
          </cell>
          <cell r="D1821">
            <v>14584233</v>
          </cell>
          <cell r="E1821" t="str">
            <v>데리네이터</v>
          </cell>
          <cell r="F1821" t="str">
            <v>(가드레일용)</v>
          </cell>
          <cell r="G1821" t="str">
            <v>EA</v>
          </cell>
          <cell r="I1821">
            <v>0</v>
          </cell>
        </row>
        <row r="1822">
          <cell r="A1822" t="str">
            <v>D00898</v>
          </cell>
          <cell r="B1822">
            <v>101</v>
          </cell>
          <cell r="C1822" t="str">
            <v>-3</v>
          </cell>
          <cell r="D1822">
            <v>14584239</v>
          </cell>
          <cell r="E1822" t="str">
            <v>데리네이터</v>
          </cell>
          <cell r="F1822" t="str">
            <v>(옹벽용)</v>
          </cell>
          <cell r="G1822" t="str">
            <v>EA</v>
          </cell>
          <cell r="I1822">
            <v>0</v>
          </cell>
        </row>
        <row r="1823">
          <cell r="A1823" t="str">
            <v>D00897</v>
          </cell>
          <cell r="B1823">
            <v>29</v>
          </cell>
          <cell r="C1823" t="str">
            <v>-4</v>
          </cell>
          <cell r="D1823">
            <v>14584240</v>
          </cell>
          <cell r="E1823" t="str">
            <v>데리네이터</v>
          </cell>
          <cell r="F1823" t="str">
            <v>(토공용)</v>
          </cell>
          <cell r="G1823" t="str">
            <v>EA</v>
          </cell>
          <cell r="I1823">
            <v>0</v>
          </cell>
        </row>
        <row r="1824">
          <cell r="A1824" t="str">
            <v>E2</v>
          </cell>
          <cell r="B1824">
            <v>0</v>
          </cell>
          <cell r="C1824" t="str">
            <v>계</v>
          </cell>
          <cell r="D1824">
            <v>14584241</v>
          </cell>
          <cell r="I1824">
            <v>0</v>
          </cell>
        </row>
        <row r="1825">
          <cell r="A1825" t="str">
            <v>D01278</v>
          </cell>
          <cell r="B1825">
            <v>2678</v>
          </cell>
          <cell r="C1825" t="str">
            <v>b</v>
          </cell>
          <cell r="D1825">
            <v>14584305</v>
          </cell>
          <cell r="E1825" t="str">
            <v>도로표지병</v>
          </cell>
          <cell r="F1825" t="str">
            <v>(100x100x20)</v>
          </cell>
          <cell r="G1825" t="str">
            <v>EA</v>
          </cell>
          <cell r="I1825">
            <v>0</v>
          </cell>
        </row>
        <row r="1826">
          <cell r="A1826" t="str">
            <v>D00894</v>
          </cell>
          <cell r="B1826">
            <v>38</v>
          </cell>
          <cell r="C1826" t="str">
            <v>c</v>
          </cell>
          <cell r="D1826">
            <v>14584337</v>
          </cell>
          <cell r="E1826" t="str">
            <v>갈매기표지판</v>
          </cell>
          <cell r="F1826" t="str">
            <v>(단면 60x30 Cm)</v>
          </cell>
          <cell r="G1826" t="str">
            <v>EA</v>
          </cell>
          <cell r="I1826">
            <v>0</v>
          </cell>
        </row>
        <row r="1827">
          <cell r="A1827" t="str">
            <v>D01156</v>
          </cell>
          <cell r="B1827">
            <v>1</v>
          </cell>
          <cell r="C1827" t="str">
            <v>d</v>
          </cell>
          <cell r="D1827">
            <v>14584345</v>
          </cell>
          <cell r="E1827" t="str">
            <v>태양열경보등</v>
          </cell>
          <cell r="F1827" t="str">
            <v>(Φ125 m/m)</v>
          </cell>
          <cell r="G1827" t="str">
            <v>EA</v>
          </cell>
          <cell r="I1827">
            <v>0</v>
          </cell>
        </row>
        <row r="1828">
          <cell r="A1828" t="str">
            <v>D01155</v>
          </cell>
          <cell r="B1828">
            <v>447</v>
          </cell>
          <cell r="C1828" t="str">
            <v>e</v>
          </cell>
          <cell r="D1828">
            <v>14584353</v>
          </cell>
          <cell r="E1828" t="str">
            <v>차선규제봉</v>
          </cell>
          <cell r="F1828" t="str">
            <v>(Φ80x745x200 m/m)</v>
          </cell>
          <cell r="G1828" t="str">
            <v>EA</v>
          </cell>
          <cell r="I1828">
            <v>0</v>
          </cell>
        </row>
        <row r="1829">
          <cell r="A1829" t="str">
            <v>E3</v>
          </cell>
          <cell r="B1829">
            <v>0</v>
          </cell>
          <cell r="C1829" t="str">
            <v>합계</v>
          </cell>
          <cell r="D1829">
            <v>14584357</v>
          </cell>
          <cell r="I1829">
            <v>0</v>
          </cell>
        </row>
        <row r="1830">
          <cell r="A1830" t="str">
            <v>T3</v>
          </cell>
          <cell r="B1830">
            <v>1834</v>
          </cell>
          <cell r="C1830" t="str">
            <v>6.04</v>
          </cell>
          <cell r="D1830">
            <v>14584361</v>
          </cell>
          <cell r="E1830" t="str">
            <v>차선도색</v>
          </cell>
          <cell r="I1830">
            <v>0</v>
          </cell>
        </row>
        <row r="1831">
          <cell r="A1831" t="str">
            <v>D01237</v>
          </cell>
          <cell r="B1831">
            <v>6446</v>
          </cell>
          <cell r="C1831" t="str">
            <v>a</v>
          </cell>
          <cell r="D1831">
            <v>14584367</v>
          </cell>
          <cell r="E1831" t="str">
            <v>차선도색(융착식)</v>
          </cell>
          <cell r="F1831" t="str">
            <v>백색실선(기계식)</v>
          </cell>
          <cell r="G1831" t="str">
            <v>㎡</v>
          </cell>
          <cell r="I1831">
            <v>0</v>
          </cell>
        </row>
        <row r="1832">
          <cell r="A1832" t="str">
            <v>D01238</v>
          </cell>
          <cell r="B1832">
            <v>3241</v>
          </cell>
          <cell r="C1832" t="str">
            <v>b</v>
          </cell>
          <cell r="D1832">
            <v>14584368</v>
          </cell>
          <cell r="E1832" t="str">
            <v>차선도색(융착식)</v>
          </cell>
          <cell r="F1832" t="str">
            <v>백색파선(기계식)</v>
          </cell>
          <cell r="G1832" t="str">
            <v>㎡</v>
          </cell>
          <cell r="I1832">
            <v>0</v>
          </cell>
        </row>
        <row r="1833">
          <cell r="A1833" t="str">
            <v>D01299</v>
          </cell>
          <cell r="B1833">
            <v>893</v>
          </cell>
          <cell r="C1833" t="str">
            <v>c</v>
          </cell>
          <cell r="D1833">
            <v>14584496</v>
          </cell>
          <cell r="E1833" t="str">
            <v>차선도색</v>
          </cell>
          <cell r="F1833" t="str">
            <v>(노면표지)</v>
          </cell>
          <cell r="G1833" t="str">
            <v>㎡</v>
          </cell>
          <cell r="I1833">
            <v>0</v>
          </cell>
        </row>
        <row r="1834">
          <cell r="A1834" t="str">
            <v>D01105</v>
          </cell>
          <cell r="B1834">
            <v>3360</v>
          </cell>
          <cell r="C1834" t="str">
            <v>d</v>
          </cell>
          <cell r="D1834">
            <v>14584624</v>
          </cell>
          <cell r="E1834" t="str">
            <v>차선도색(융착식)</v>
          </cell>
          <cell r="F1834" t="str">
            <v>황색실선(기계식)</v>
          </cell>
          <cell r="G1834" t="str">
            <v>㎡</v>
          </cell>
          <cell r="I1834">
            <v>0</v>
          </cell>
        </row>
        <row r="1835">
          <cell r="A1835" t="str">
            <v>E3</v>
          </cell>
          <cell r="B1835">
            <v>0</v>
          </cell>
          <cell r="C1835" t="str">
            <v>합계</v>
          </cell>
          <cell r="D1835">
            <v>14584752</v>
          </cell>
          <cell r="I1835">
            <v>0</v>
          </cell>
        </row>
        <row r="1836">
          <cell r="A1836" t="str">
            <v>T3</v>
          </cell>
          <cell r="B1836">
            <v>1845</v>
          </cell>
          <cell r="C1836" t="str">
            <v>6.05</v>
          </cell>
          <cell r="D1836">
            <v>14584880</v>
          </cell>
          <cell r="E1836" t="str">
            <v>가드레일</v>
          </cell>
          <cell r="F1836" t="str">
            <v>노측용(단면)</v>
          </cell>
          <cell r="I1836">
            <v>0</v>
          </cell>
        </row>
        <row r="1837">
          <cell r="A1837" t="str">
            <v>T2</v>
          </cell>
          <cell r="B1837">
            <v>1840</v>
          </cell>
          <cell r="C1837" t="str">
            <v>a</v>
          </cell>
          <cell r="D1837">
            <v>14584977</v>
          </cell>
          <cell r="E1837" t="str">
            <v>단면가드레일</v>
          </cell>
          <cell r="I1837">
            <v>0</v>
          </cell>
        </row>
        <row r="1838">
          <cell r="A1838" t="str">
            <v>D00901</v>
          </cell>
          <cell r="B1838">
            <v>3943</v>
          </cell>
          <cell r="C1838" t="str">
            <v>-1</v>
          </cell>
          <cell r="D1838">
            <v>14585073</v>
          </cell>
          <cell r="E1838" t="str">
            <v>가드레일(단면)</v>
          </cell>
          <cell r="F1838" t="str">
            <v>3.2x460x4330</v>
          </cell>
          <cell r="G1838" t="str">
            <v>경간</v>
          </cell>
          <cell r="I1838">
            <v>0</v>
          </cell>
        </row>
        <row r="1839">
          <cell r="A1839" t="str">
            <v>D03637</v>
          </cell>
          <cell r="B1839">
            <v>110</v>
          </cell>
          <cell r="C1839" t="str">
            <v>-2</v>
          </cell>
          <cell r="D1839">
            <v>14585097</v>
          </cell>
          <cell r="E1839" t="str">
            <v>엔드레일</v>
          </cell>
          <cell r="F1839" t="str">
            <v>(단부레일, 단면)</v>
          </cell>
          <cell r="G1839" t="str">
            <v>EA</v>
          </cell>
          <cell r="I1839">
            <v>0</v>
          </cell>
        </row>
        <row r="1840">
          <cell r="A1840" t="str">
            <v>D00905</v>
          </cell>
          <cell r="B1840">
            <v>15</v>
          </cell>
          <cell r="C1840" t="str">
            <v>-3</v>
          </cell>
          <cell r="D1840">
            <v>14585121</v>
          </cell>
          <cell r="E1840" t="str">
            <v>단부콘크리트</v>
          </cell>
          <cell r="G1840" t="str">
            <v>EA</v>
          </cell>
          <cell r="I1840">
            <v>0</v>
          </cell>
        </row>
        <row r="1841">
          <cell r="A1841" t="str">
            <v>E2</v>
          </cell>
          <cell r="B1841">
            <v>0</v>
          </cell>
          <cell r="C1841" t="str">
            <v>계</v>
          </cell>
          <cell r="D1841">
            <v>14585129</v>
          </cell>
          <cell r="I1841">
            <v>0</v>
          </cell>
        </row>
        <row r="1842">
          <cell r="A1842" t="str">
            <v>T2</v>
          </cell>
          <cell r="B1842">
            <v>1844</v>
          </cell>
          <cell r="C1842" t="str">
            <v>b</v>
          </cell>
          <cell r="D1842">
            <v>14585193</v>
          </cell>
          <cell r="E1842" t="str">
            <v>가드레일</v>
          </cell>
          <cell r="F1842" t="str">
            <v>방호벽부</v>
          </cell>
          <cell r="I1842">
            <v>0</v>
          </cell>
        </row>
        <row r="1843">
          <cell r="A1843" t="str">
            <v>D03939</v>
          </cell>
          <cell r="B1843">
            <v>155</v>
          </cell>
          <cell r="C1843" t="str">
            <v>-1</v>
          </cell>
          <cell r="D1843">
            <v>14585225</v>
          </cell>
          <cell r="E1843" t="str">
            <v>표준레일</v>
          </cell>
          <cell r="F1843" t="str">
            <v>(방호벽부)</v>
          </cell>
          <cell r="G1843" t="str">
            <v>경간</v>
          </cell>
          <cell r="I1843">
            <v>0</v>
          </cell>
        </row>
        <row r="1844">
          <cell r="A1844" t="str">
            <v>D03940</v>
          </cell>
          <cell r="B1844">
            <v>314</v>
          </cell>
          <cell r="C1844" t="str">
            <v>-2</v>
          </cell>
          <cell r="D1844">
            <v>14585241</v>
          </cell>
          <cell r="E1844" t="str">
            <v>레일포스트</v>
          </cell>
          <cell r="F1844" t="str">
            <v>(H=1.085 M)</v>
          </cell>
          <cell r="G1844" t="str">
            <v>EA</v>
          </cell>
          <cell r="I1844">
            <v>0</v>
          </cell>
        </row>
        <row r="1845">
          <cell r="A1845" t="str">
            <v>E2</v>
          </cell>
          <cell r="B1845">
            <v>0</v>
          </cell>
          <cell r="C1845" t="str">
            <v>계</v>
          </cell>
          <cell r="D1845">
            <v>14585249</v>
          </cell>
          <cell r="I1845">
            <v>0</v>
          </cell>
        </row>
        <row r="1846">
          <cell r="A1846" t="str">
            <v>E3</v>
          </cell>
          <cell r="B1846">
            <v>0</v>
          </cell>
          <cell r="C1846" t="str">
            <v>합계</v>
          </cell>
          <cell r="D1846">
            <v>14585253</v>
          </cell>
          <cell r="I1846">
            <v>0</v>
          </cell>
        </row>
        <row r="1847">
          <cell r="A1847" t="str">
            <v>T3</v>
          </cell>
          <cell r="B1847">
            <v>1856</v>
          </cell>
          <cell r="C1847" t="str">
            <v>6.06</v>
          </cell>
          <cell r="D1847">
            <v>14585257</v>
          </cell>
          <cell r="E1847" t="str">
            <v>중앙분리대</v>
          </cell>
          <cell r="F1847" t="str">
            <v>양면가드레일</v>
          </cell>
          <cell r="I1847">
            <v>0</v>
          </cell>
        </row>
        <row r="1848">
          <cell r="A1848" t="str">
            <v>T2</v>
          </cell>
          <cell r="B1848">
            <v>1850</v>
          </cell>
          <cell r="C1848" t="str">
            <v>a</v>
          </cell>
          <cell r="D1848">
            <v>14585262</v>
          </cell>
          <cell r="E1848" t="str">
            <v>토사구간</v>
          </cell>
          <cell r="I1848">
            <v>0</v>
          </cell>
        </row>
        <row r="1849">
          <cell r="A1849" t="str">
            <v>D03635</v>
          </cell>
          <cell r="B1849">
            <v>2760</v>
          </cell>
          <cell r="C1849" t="str">
            <v>-1</v>
          </cell>
          <cell r="D1849">
            <v>14585267</v>
          </cell>
          <cell r="E1849" t="str">
            <v>표준레일</v>
          </cell>
          <cell r="F1849" t="str">
            <v>(3.2x455x4330)</v>
          </cell>
          <cell r="G1849" t="str">
            <v>경간</v>
          </cell>
          <cell r="I1849">
            <v>0</v>
          </cell>
        </row>
        <row r="1850">
          <cell r="A1850" t="str">
            <v>D03638</v>
          </cell>
          <cell r="B1850">
            <v>4</v>
          </cell>
          <cell r="C1850" t="str">
            <v>-2</v>
          </cell>
          <cell r="D1850">
            <v>14585396</v>
          </cell>
          <cell r="E1850" t="str">
            <v>라운드레일</v>
          </cell>
          <cell r="F1850" t="str">
            <v>(3.2x455x965)</v>
          </cell>
          <cell r="G1850" t="str">
            <v>EA</v>
          </cell>
          <cell r="I1850">
            <v>0</v>
          </cell>
        </row>
        <row r="1851">
          <cell r="A1851" t="str">
            <v>E2</v>
          </cell>
          <cell r="B1851">
            <v>0</v>
          </cell>
          <cell r="C1851" t="str">
            <v>계</v>
          </cell>
          <cell r="D1851">
            <v>14585397</v>
          </cell>
          <cell r="I1851">
            <v>0</v>
          </cell>
        </row>
        <row r="1852">
          <cell r="A1852" t="str">
            <v>T2</v>
          </cell>
          <cell r="B1852">
            <v>1854</v>
          </cell>
          <cell r="C1852" t="str">
            <v>b</v>
          </cell>
          <cell r="D1852">
            <v>14585525</v>
          </cell>
          <cell r="E1852" t="str">
            <v>암 구 간</v>
          </cell>
          <cell r="I1852">
            <v>0</v>
          </cell>
        </row>
        <row r="1853">
          <cell r="A1853" t="str">
            <v>D03636</v>
          </cell>
          <cell r="B1853">
            <v>692</v>
          </cell>
          <cell r="C1853" t="str">
            <v>-1</v>
          </cell>
          <cell r="D1853">
            <v>14585654</v>
          </cell>
          <cell r="E1853" t="str">
            <v>표준레일</v>
          </cell>
          <cell r="F1853" t="str">
            <v>(3.2x455x4330)</v>
          </cell>
          <cell r="G1853" t="str">
            <v>경간</v>
          </cell>
          <cell r="I1853">
            <v>0</v>
          </cell>
        </row>
        <row r="1854">
          <cell r="A1854" t="str">
            <v>D00902</v>
          </cell>
          <cell r="B1854">
            <v>1</v>
          </cell>
          <cell r="C1854" t="str">
            <v>-2</v>
          </cell>
          <cell r="D1854">
            <v>14585655</v>
          </cell>
          <cell r="E1854" t="str">
            <v>엔드레일(암구간)</v>
          </cell>
          <cell r="F1854" t="str">
            <v>중앙분리대용</v>
          </cell>
          <cell r="G1854" t="str">
            <v>EA</v>
          </cell>
          <cell r="I1854">
            <v>0</v>
          </cell>
        </row>
        <row r="1855">
          <cell r="A1855" t="str">
            <v>E2</v>
          </cell>
          <cell r="B1855">
            <v>0</v>
          </cell>
          <cell r="C1855" t="str">
            <v>계</v>
          </cell>
          <cell r="D1855">
            <v>14585847</v>
          </cell>
          <cell r="I1855">
            <v>0</v>
          </cell>
        </row>
        <row r="1856">
          <cell r="A1856" t="str">
            <v>D03633</v>
          </cell>
          <cell r="B1856">
            <v>137</v>
          </cell>
          <cell r="C1856" t="str">
            <v>c</v>
          </cell>
          <cell r="D1856">
            <v>14585879</v>
          </cell>
          <cell r="E1856" t="str">
            <v>교량구간</v>
          </cell>
          <cell r="F1856" t="str">
            <v>표준레일</v>
          </cell>
          <cell r="G1856" t="str">
            <v>경간</v>
          </cell>
          <cell r="I1856">
            <v>0</v>
          </cell>
        </row>
        <row r="1857">
          <cell r="A1857" t="str">
            <v>E3</v>
          </cell>
          <cell r="B1857">
            <v>0</v>
          </cell>
          <cell r="C1857" t="str">
            <v>합계</v>
          </cell>
          <cell r="D1857">
            <v>14585909</v>
          </cell>
          <cell r="I1857">
            <v>0</v>
          </cell>
        </row>
        <row r="1858">
          <cell r="A1858" t="str">
            <v>T3</v>
          </cell>
          <cell r="B1858">
            <v>1860</v>
          </cell>
          <cell r="C1858" t="str">
            <v>6.07</v>
          </cell>
          <cell r="D1858">
            <v>14586037</v>
          </cell>
          <cell r="E1858" t="str">
            <v>차 광 망</v>
          </cell>
          <cell r="F1858" t="str">
            <v>프라스틱</v>
          </cell>
          <cell r="I1858">
            <v>0</v>
          </cell>
        </row>
        <row r="1859">
          <cell r="A1859" t="str">
            <v>D01301</v>
          </cell>
          <cell r="B1859">
            <v>1688</v>
          </cell>
          <cell r="C1859" t="str">
            <v>a</v>
          </cell>
          <cell r="D1859">
            <v>14586038</v>
          </cell>
          <cell r="E1859" t="str">
            <v>차광망설치</v>
          </cell>
          <cell r="F1859" t="str">
            <v>(중분대용)</v>
          </cell>
          <cell r="G1859" t="str">
            <v>EA</v>
          </cell>
          <cell r="I1859">
            <v>0</v>
          </cell>
        </row>
        <row r="1860">
          <cell r="A1860" t="str">
            <v>D01302</v>
          </cell>
          <cell r="B1860">
            <v>176</v>
          </cell>
          <cell r="C1860" t="str">
            <v>b</v>
          </cell>
          <cell r="D1860">
            <v>14586039</v>
          </cell>
          <cell r="E1860" t="str">
            <v>차광망설치</v>
          </cell>
          <cell r="F1860" t="str">
            <v>(교 량 용)</v>
          </cell>
          <cell r="G1860" t="str">
            <v>EA</v>
          </cell>
          <cell r="I1860">
            <v>0</v>
          </cell>
        </row>
        <row r="1861">
          <cell r="A1861" t="str">
            <v>E3</v>
          </cell>
          <cell r="B1861">
            <v>0</v>
          </cell>
          <cell r="C1861" t="str">
            <v>합계</v>
          </cell>
          <cell r="D1861">
            <v>14586103</v>
          </cell>
          <cell r="I1861">
            <v>0</v>
          </cell>
        </row>
        <row r="1862">
          <cell r="A1862" t="str">
            <v>D01280</v>
          </cell>
          <cell r="B1862">
            <v>14</v>
          </cell>
          <cell r="C1862" t="str">
            <v>6.08</v>
          </cell>
          <cell r="D1862">
            <v>14586105</v>
          </cell>
          <cell r="E1862" t="str">
            <v>차량충돌충격흡수시설</v>
          </cell>
          <cell r="G1862" t="str">
            <v>EA</v>
          </cell>
          <cell r="I1862">
            <v>0</v>
          </cell>
        </row>
        <row r="1863">
          <cell r="A1863" t="str">
            <v>E4</v>
          </cell>
          <cell r="B1863">
            <v>0</v>
          </cell>
          <cell r="C1863" t="str">
            <v>총계</v>
          </cell>
          <cell r="D1863">
            <v>14586106</v>
          </cell>
          <cell r="I1863">
            <v>0</v>
          </cell>
        </row>
        <row r="1864">
          <cell r="A1864" t="str">
            <v>T4</v>
          </cell>
          <cell r="B1864">
            <v>2072</v>
          </cell>
          <cell r="C1864" t="str">
            <v>7.</v>
          </cell>
          <cell r="D1864">
            <v>14586107</v>
          </cell>
          <cell r="E1864" t="str">
            <v>부   대   공</v>
          </cell>
          <cell r="I1864">
            <v>3097715144</v>
          </cell>
        </row>
        <row r="1865">
          <cell r="A1865" t="str">
            <v>T3</v>
          </cell>
          <cell r="B1865">
            <v>1874</v>
          </cell>
          <cell r="C1865" t="str">
            <v>7.01</v>
          </cell>
          <cell r="D1865">
            <v>14586235</v>
          </cell>
          <cell r="E1865" t="str">
            <v>낙석방지책</v>
          </cell>
          <cell r="I1865">
            <v>0</v>
          </cell>
        </row>
        <row r="1866">
          <cell r="A1866" t="str">
            <v>T2</v>
          </cell>
          <cell r="B1866">
            <v>1868</v>
          </cell>
          <cell r="C1866" t="str">
            <v>a</v>
          </cell>
          <cell r="D1866">
            <v>14586236</v>
          </cell>
          <cell r="E1866" t="str">
            <v>낙석방지책</v>
          </cell>
          <cell r="I1866">
            <v>0</v>
          </cell>
        </row>
        <row r="1867">
          <cell r="A1867" t="str">
            <v>D00908</v>
          </cell>
          <cell r="B1867">
            <v>63</v>
          </cell>
          <cell r="C1867" t="str">
            <v>-1</v>
          </cell>
          <cell r="D1867">
            <v>14586237</v>
          </cell>
          <cell r="E1867" t="str">
            <v>낙석방지책(표준구간)</v>
          </cell>
          <cell r="F1867" t="str">
            <v>H=2.5 m</v>
          </cell>
          <cell r="G1867" t="str">
            <v>경간</v>
          </cell>
          <cell r="I1867">
            <v>0</v>
          </cell>
        </row>
        <row r="1868">
          <cell r="A1868" t="str">
            <v>D00852</v>
          </cell>
          <cell r="B1868">
            <v>2</v>
          </cell>
          <cell r="C1868" t="str">
            <v>-2</v>
          </cell>
          <cell r="D1868">
            <v>14586367</v>
          </cell>
          <cell r="E1868" t="str">
            <v>낙석방지책(단부)</v>
          </cell>
          <cell r="G1868" t="str">
            <v>개소</v>
          </cell>
          <cell r="I1868">
            <v>0</v>
          </cell>
        </row>
        <row r="1869">
          <cell r="A1869" t="str">
            <v>E2</v>
          </cell>
          <cell r="B1869">
            <v>0</v>
          </cell>
          <cell r="C1869" t="str">
            <v>계</v>
          </cell>
          <cell r="D1869">
            <v>14586431</v>
          </cell>
          <cell r="I1869">
            <v>0</v>
          </cell>
        </row>
        <row r="1870">
          <cell r="A1870" t="str">
            <v>T2</v>
          </cell>
          <cell r="B1870">
            <v>1872</v>
          </cell>
          <cell r="C1870" t="str">
            <v>b</v>
          </cell>
          <cell r="D1870">
            <v>14586447</v>
          </cell>
          <cell r="E1870" t="str">
            <v>기    초</v>
          </cell>
          <cell r="I1870">
            <v>0</v>
          </cell>
        </row>
        <row r="1871">
          <cell r="A1871" t="str">
            <v>D00909</v>
          </cell>
          <cell r="B1871">
            <v>63</v>
          </cell>
          <cell r="C1871" t="str">
            <v>-1</v>
          </cell>
          <cell r="D1871">
            <v>14586455</v>
          </cell>
          <cell r="E1871" t="str">
            <v>표준구간</v>
          </cell>
          <cell r="G1871" t="str">
            <v>EA</v>
          </cell>
          <cell r="I1871">
            <v>0</v>
          </cell>
        </row>
        <row r="1872">
          <cell r="A1872" t="str">
            <v>D01300</v>
          </cell>
          <cell r="B1872">
            <v>2</v>
          </cell>
          <cell r="C1872" t="str">
            <v>-2</v>
          </cell>
          <cell r="D1872">
            <v>14586459</v>
          </cell>
          <cell r="E1872" t="str">
            <v>단    부</v>
          </cell>
          <cell r="G1872" t="str">
            <v>EA</v>
          </cell>
          <cell r="I1872">
            <v>0</v>
          </cell>
        </row>
        <row r="1873">
          <cell r="A1873" t="str">
            <v>E2</v>
          </cell>
          <cell r="B1873">
            <v>0</v>
          </cell>
          <cell r="C1873" t="str">
            <v>계</v>
          </cell>
          <cell r="D1873">
            <v>14586461</v>
          </cell>
          <cell r="I1873">
            <v>0</v>
          </cell>
        </row>
        <row r="1874">
          <cell r="A1874" t="str">
            <v>D00892</v>
          </cell>
          <cell r="B1874">
            <v>4725</v>
          </cell>
          <cell r="C1874" t="str">
            <v>c</v>
          </cell>
          <cell r="D1874">
            <v>14586462</v>
          </cell>
          <cell r="E1874" t="str">
            <v>낙석 방지망</v>
          </cell>
          <cell r="G1874" t="str">
            <v>㎡</v>
          </cell>
          <cell r="I1874">
            <v>0</v>
          </cell>
        </row>
        <row r="1875">
          <cell r="A1875" t="str">
            <v>E3</v>
          </cell>
          <cell r="B1875">
            <v>0</v>
          </cell>
          <cell r="C1875" t="str">
            <v>합계</v>
          </cell>
          <cell r="D1875">
            <v>14586463</v>
          </cell>
          <cell r="I1875">
            <v>0</v>
          </cell>
        </row>
        <row r="1876">
          <cell r="A1876" t="str">
            <v>T3</v>
          </cell>
          <cell r="B1876">
            <v>1910</v>
          </cell>
          <cell r="C1876" t="str">
            <v>7.02</v>
          </cell>
          <cell r="D1876">
            <v>14586847</v>
          </cell>
          <cell r="E1876" t="str">
            <v>방 음 벽</v>
          </cell>
          <cell r="I1876">
            <v>0</v>
          </cell>
        </row>
        <row r="1877">
          <cell r="A1877" t="str">
            <v>T2</v>
          </cell>
          <cell r="B1877">
            <v>1895</v>
          </cell>
          <cell r="C1877" t="str">
            <v>a</v>
          </cell>
          <cell r="D1877">
            <v>14586855</v>
          </cell>
          <cell r="E1877" t="str">
            <v>방음벽 설치</v>
          </cell>
          <cell r="I1877">
            <v>0</v>
          </cell>
        </row>
        <row r="1878">
          <cell r="A1878" t="str">
            <v>D00921</v>
          </cell>
          <cell r="B1878">
            <v>1874</v>
          </cell>
          <cell r="C1878" t="str">
            <v>-1</v>
          </cell>
          <cell r="D1878">
            <v>14586863</v>
          </cell>
          <cell r="E1878" t="str">
            <v>방음벽설치(토공용)</v>
          </cell>
          <cell r="F1878" t="str">
            <v>(흡음형,H=3.0 M)</v>
          </cell>
          <cell r="G1878" t="str">
            <v>M</v>
          </cell>
          <cell r="I1878">
            <v>0</v>
          </cell>
        </row>
        <row r="1879">
          <cell r="A1879" t="str">
            <v>D03866</v>
          </cell>
          <cell r="B1879">
            <v>90</v>
          </cell>
          <cell r="C1879" t="str">
            <v>-2</v>
          </cell>
          <cell r="D1879">
            <v>14586864</v>
          </cell>
          <cell r="E1879" t="str">
            <v>방음벽설치(교량용)</v>
          </cell>
          <cell r="F1879" t="str">
            <v>(흡음형,H=3.0 M)</v>
          </cell>
          <cell r="G1879" t="str">
            <v>M</v>
          </cell>
          <cell r="I1879">
            <v>0</v>
          </cell>
        </row>
        <row r="1880">
          <cell r="A1880" t="str">
            <v>T1</v>
          </cell>
          <cell r="B1880">
            <v>1882</v>
          </cell>
          <cell r="C1880" t="str">
            <v>-3</v>
          </cell>
          <cell r="D1880">
            <v>14586961</v>
          </cell>
          <cell r="E1880" t="str">
            <v>콘크리트타설</v>
          </cell>
          <cell r="I1880">
            <v>0</v>
          </cell>
        </row>
        <row r="1881">
          <cell r="A1881" t="str">
            <v>D00237</v>
          </cell>
          <cell r="B1881">
            <v>4535</v>
          </cell>
          <cell r="C1881" t="str">
            <v>-3-1</v>
          </cell>
          <cell r="D1881">
            <v>14586977</v>
          </cell>
          <cell r="E1881" t="str">
            <v>콘크리트타설</v>
          </cell>
          <cell r="F1881" t="str">
            <v>(철근 펌프카)</v>
          </cell>
          <cell r="G1881" t="str">
            <v>㎥</v>
          </cell>
          <cell r="I1881">
            <v>0</v>
          </cell>
        </row>
        <row r="1882">
          <cell r="A1882" t="str">
            <v>D00231</v>
          </cell>
          <cell r="B1882">
            <v>505</v>
          </cell>
          <cell r="C1882" t="str">
            <v>-3-2</v>
          </cell>
          <cell r="D1882">
            <v>14586985</v>
          </cell>
          <cell r="E1882" t="str">
            <v>콘크리트타설</v>
          </cell>
          <cell r="F1882" t="str">
            <v>(무근 VIB 제외)</v>
          </cell>
          <cell r="G1882" t="str">
            <v>㎥</v>
          </cell>
          <cell r="I1882">
            <v>0</v>
          </cell>
        </row>
        <row r="1883">
          <cell r="A1883" t="str">
            <v>E1</v>
          </cell>
          <cell r="B1883">
            <v>0</v>
          </cell>
          <cell r="C1883" t="str">
            <v>소계</v>
          </cell>
          <cell r="D1883">
            <v>14586989</v>
          </cell>
          <cell r="I1883">
            <v>0</v>
          </cell>
        </row>
        <row r="1884">
          <cell r="A1884" t="str">
            <v>T1</v>
          </cell>
          <cell r="B1884">
            <v>1886</v>
          </cell>
          <cell r="C1884" t="str">
            <v>-4</v>
          </cell>
          <cell r="D1884">
            <v>14586991</v>
          </cell>
          <cell r="E1884" t="str">
            <v>거 푸 집</v>
          </cell>
          <cell r="I1884">
            <v>0</v>
          </cell>
        </row>
        <row r="1885">
          <cell r="A1885" t="str">
            <v>D00276</v>
          </cell>
          <cell r="B1885">
            <v>11468</v>
          </cell>
          <cell r="C1885" t="str">
            <v>-4-1</v>
          </cell>
          <cell r="D1885">
            <v>14586992</v>
          </cell>
          <cell r="E1885" t="str">
            <v>측    벽</v>
          </cell>
          <cell r="F1885" t="str">
            <v>합판 3 회</v>
          </cell>
          <cell r="G1885" t="str">
            <v>㎡</v>
          </cell>
          <cell r="I1885">
            <v>0</v>
          </cell>
        </row>
        <row r="1886">
          <cell r="A1886" t="str">
            <v>D00276</v>
          </cell>
          <cell r="B1886">
            <v>38</v>
          </cell>
          <cell r="C1886" t="str">
            <v>-4-2</v>
          </cell>
          <cell r="D1886">
            <v>14586993</v>
          </cell>
          <cell r="E1886" t="str">
            <v>시 종 점</v>
          </cell>
          <cell r="F1886" t="str">
            <v>합판 3 회</v>
          </cell>
          <cell r="G1886" t="str">
            <v>㎡</v>
          </cell>
          <cell r="I1886">
            <v>0</v>
          </cell>
        </row>
        <row r="1887">
          <cell r="A1887" t="str">
            <v>E1</v>
          </cell>
          <cell r="B1887">
            <v>0</v>
          </cell>
          <cell r="C1887" t="str">
            <v>소계</v>
          </cell>
          <cell r="D1887">
            <v>14587057</v>
          </cell>
          <cell r="I1887">
            <v>0</v>
          </cell>
        </row>
        <row r="1888">
          <cell r="A1888" t="str">
            <v>D00323</v>
          </cell>
          <cell r="B1888">
            <v>3748</v>
          </cell>
          <cell r="C1888" t="str">
            <v>-5</v>
          </cell>
          <cell r="D1888">
            <v>14587089</v>
          </cell>
          <cell r="E1888" t="str">
            <v>강관비계</v>
          </cell>
          <cell r="F1888" t="str">
            <v>(0∼30 M)</v>
          </cell>
          <cell r="G1888" t="str">
            <v>㎡</v>
          </cell>
          <cell r="I1888">
            <v>0</v>
          </cell>
        </row>
        <row r="1889">
          <cell r="A1889" t="str">
            <v>D00761</v>
          </cell>
          <cell r="B1889">
            <v>2061</v>
          </cell>
          <cell r="C1889" t="str">
            <v>-6</v>
          </cell>
          <cell r="D1889">
            <v>14587105</v>
          </cell>
          <cell r="E1889" t="str">
            <v>비닐깔기</v>
          </cell>
          <cell r="G1889" t="str">
            <v>㎡</v>
          </cell>
          <cell r="I1889">
            <v>0</v>
          </cell>
        </row>
        <row r="1890">
          <cell r="A1890" t="str">
            <v>D01293</v>
          </cell>
          <cell r="B1890">
            <v>281</v>
          </cell>
          <cell r="C1890" t="str">
            <v>-7</v>
          </cell>
          <cell r="D1890">
            <v>14587113</v>
          </cell>
          <cell r="E1890" t="str">
            <v>신축이음</v>
          </cell>
          <cell r="F1890" t="str">
            <v>(스치로폴 T=10 m/m)</v>
          </cell>
          <cell r="G1890" t="str">
            <v>㎡</v>
          </cell>
          <cell r="I1890">
            <v>0</v>
          </cell>
        </row>
        <row r="1891">
          <cell r="A1891" t="str">
            <v>D00887</v>
          </cell>
          <cell r="B1891">
            <v>768</v>
          </cell>
          <cell r="C1891" t="str">
            <v>-8</v>
          </cell>
          <cell r="D1891">
            <v>14587117</v>
          </cell>
          <cell r="E1891" t="str">
            <v>수축줄눈</v>
          </cell>
          <cell r="F1891" t="str">
            <v>(30x38)</v>
          </cell>
          <cell r="G1891" t="str">
            <v>㎡</v>
          </cell>
          <cell r="I1891">
            <v>0</v>
          </cell>
        </row>
        <row r="1892">
          <cell r="A1892" t="str">
            <v>D00340</v>
          </cell>
          <cell r="B1892">
            <v>1405</v>
          </cell>
          <cell r="C1892" t="str">
            <v>-9</v>
          </cell>
          <cell r="D1892">
            <v>14587119</v>
          </cell>
          <cell r="E1892" t="str">
            <v>PVC PIPE 설치</v>
          </cell>
          <cell r="F1892" t="str">
            <v>(D= 50 m/m)</v>
          </cell>
          <cell r="G1892" t="str">
            <v>M</v>
          </cell>
          <cell r="I1892">
            <v>0</v>
          </cell>
        </row>
        <row r="1893">
          <cell r="A1893" t="str">
            <v>D00271</v>
          </cell>
          <cell r="B1893">
            <v>252.99</v>
          </cell>
          <cell r="C1893" t="str">
            <v>-10</v>
          </cell>
          <cell r="D1893">
            <v>14587120</v>
          </cell>
          <cell r="E1893" t="str">
            <v>철근가공조립</v>
          </cell>
          <cell r="F1893" t="str">
            <v>(보 통)</v>
          </cell>
          <cell r="G1893" t="str">
            <v>Ton</v>
          </cell>
          <cell r="I1893">
            <v>0</v>
          </cell>
        </row>
        <row r="1894">
          <cell r="A1894" t="str">
            <v>D00168</v>
          </cell>
          <cell r="B1894">
            <v>1630</v>
          </cell>
          <cell r="C1894" t="str">
            <v>-11</v>
          </cell>
          <cell r="D1894">
            <v>14587121</v>
          </cell>
          <cell r="E1894" t="str">
            <v>기초잡석깔기</v>
          </cell>
          <cell r="F1894" t="str">
            <v>(현장암 유용)</v>
          </cell>
          <cell r="G1894" t="str">
            <v>㎥</v>
          </cell>
          <cell r="I1894">
            <v>0</v>
          </cell>
        </row>
        <row r="1895">
          <cell r="A1895" t="str">
            <v>D00160</v>
          </cell>
          <cell r="B1895">
            <v>155</v>
          </cell>
          <cell r="C1895" t="str">
            <v>-12</v>
          </cell>
          <cell r="D1895">
            <v>14587185</v>
          </cell>
          <cell r="E1895" t="str">
            <v>되메우기및다짐</v>
          </cell>
          <cell r="F1895" t="str">
            <v>(인력30%+백호우70%)</v>
          </cell>
          <cell r="G1895" t="str">
            <v>㎥</v>
          </cell>
          <cell r="I1895">
            <v>0</v>
          </cell>
        </row>
        <row r="1896">
          <cell r="A1896" t="str">
            <v>E2</v>
          </cell>
          <cell r="B1896">
            <v>0</v>
          </cell>
          <cell r="C1896" t="str">
            <v>계</v>
          </cell>
          <cell r="D1896">
            <v>14587217</v>
          </cell>
          <cell r="I1896">
            <v>0</v>
          </cell>
        </row>
        <row r="1897">
          <cell r="A1897" t="str">
            <v>T2</v>
          </cell>
          <cell r="B1897">
            <v>1900</v>
          </cell>
          <cell r="C1897" t="str">
            <v>b</v>
          </cell>
          <cell r="D1897">
            <v>14587249</v>
          </cell>
          <cell r="E1897" t="str">
            <v>가설방음벽</v>
          </cell>
          <cell r="I1897">
            <v>0</v>
          </cell>
        </row>
        <row r="1898">
          <cell r="A1898" t="str">
            <v>D00944</v>
          </cell>
          <cell r="B1898">
            <v>220</v>
          </cell>
          <cell r="C1898" t="str">
            <v>-1</v>
          </cell>
          <cell r="D1898">
            <v>14587378</v>
          </cell>
          <cell r="E1898" t="str">
            <v>가설방음벽(H:2.0MxW:</v>
          </cell>
          <cell r="F1898" t="str">
            <v>2.0M)+방진망 2.0M</v>
          </cell>
          <cell r="G1898" t="str">
            <v>M</v>
          </cell>
          <cell r="I1898">
            <v>0</v>
          </cell>
        </row>
        <row r="1899">
          <cell r="A1899" t="str">
            <v>D00945</v>
          </cell>
          <cell r="B1899">
            <v>580</v>
          </cell>
          <cell r="C1899" t="str">
            <v>-2</v>
          </cell>
          <cell r="D1899">
            <v>14587379</v>
          </cell>
          <cell r="E1899" t="str">
            <v>가설방음벽(H:3.0MxW:</v>
          </cell>
          <cell r="F1899" t="str">
            <v>2.0M)+방진망 2.0M</v>
          </cell>
          <cell r="G1899" t="str">
            <v>M</v>
          </cell>
          <cell r="I1899">
            <v>0</v>
          </cell>
        </row>
        <row r="1900">
          <cell r="A1900" t="str">
            <v>D00946</v>
          </cell>
          <cell r="B1900">
            <v>985</v>
          </cell>
          <cell r="C1900" t="str">
            <v>-3</v>
          </cell>
          <cell r="D1900">
            <v>14587443</v>
          </cell>
          <cell r="E1900" t="str">
            <v>가설방음벽(H:4.0MxW:</v>
          </cell>
          <cell r="F1900" t="str">
            <v>2.0M)+방진망 2.0M</v>
          </cell>
          <cell r="G1900" t="str">
            <v>M</v>
          </cell>
          <cell r="I1900">
            <v>0</v>
          </cell>
        </row>
        <row r="1901">
          <cell r="A1901" t="str">
            <v>E2</v>
          </cell>
          <cell r="B1901">
            <v>0</v>
          </cell>
          <cell r="C1901" t="str">
            <v>계</v>
          </cell>
          <cell r="D1901">
            <v>14587475</v>
          </cell>
          <cell r="I1901">
            <v>0</v>
          </cell>
        </row>
        <row r="1902">
          <cell r="A1902" t="str">
            <v>D00947</v>
          </cell>
          <cell r="B1902">
            <v>205</v>
          </cell>
          <cell r="C1902" t="str">
            <v>c</v>
          </cell>
          <cell r="D1902">
            <v>14587491</v>
          </cell>
          <cell r="E1902" t="str">
            <v>방진망 설치</v>
          </cell>
          <cell r="F1902" t="str">
            <v>(H:4.0MxW:2.0M)</v>
          </cell>
          <cell r="G1902" t="str">
            <v>M</v>
          </cell>
          <cell r="I1902">
            <v>0</v>
          </cell>
        </row>
        <row r="1903">
          <cell r="A1903" t="str">
            <v>T2</v>
          </cell>
          <cell r="B1903">
            <v>1909</v>
          </cell>
          <cell r="C1903" t="str">
            <v>d</v>
          </cell>
          <cell r="D1903">
            <v>14587495</v>
          </cell>
          <cell r="E1903" t="str">
            <v>차폐시설</v>
          </cell>
          <cell r="F1903" t="str">
            <v>(가림판휀스)</v>
          </cell>
          <cell r="I1903">
            <v>0</v>
          </cell>
        </row>
        <row r="1904">
          <cell r="A1904" t="str">
            <v>D00096</v>
          </cell>
          <cell r="B1904">
            <v>37</v>
          </cell>
          <cell r="C1904" t="str">
            <v>-1</v>
          </cell>
          <cell r="D1904">
            <v>14587497</v>
          </cell>
          <cell r="E1904" t="str">
            <v>구조물터파기</v>
          </cell>
          <cell r="F1904" t="str">
            <v>(육상토사 0∼2 M)</v>
          </cell>
          <cell r="G1904" t="str">
            <v>㎥</v>
          </cell>
          <cell r="I1904">
            <v>0</v>
          </cell>
        </row>
        <row r="1905">
          <cell r="A1905" t="str">
            <v>D00160</v>
          </cell>
          <cell r="B1905">
            <v>34</v>
          </cell>
          <cell r="C1905" t="str">
            <v>-2</v>
          </cell>
          <cell r="D1905">
            <v>14587498</v>
          </cell>
          <cell r="E1905" t="str">
            <v>되메우기및다짐</v>
          </cell>
          <cell r="F1905" t="str">
            <v>(인력30%+백호우70%)</v>
          </cell>
          <cell r="G1905" t="str">
            <v>㎥</v>
          </cell>
          <cell r="I1905">
            <v>0</v>
          </cell>
        </row>
        <row r="1906">
          <cell r="A1906" t="str">
            <v>D00231</v>
          </cell>
          <cell r="B1906">
            <v>3</v>
          </cell>
          <cell r="C1906" t="str">
            <v>-3</v>
          </cell>
          <cell r="D1906">
            <v>14587499</v>
          </cell>
          <cell r="E1906" t="str">
            <v>콘크리트타설</v>
          </cell>
          <cell r="F1906" t="str">
            <v>(무근 VIB 제외)</v>
          </cell>
          <cell r="G1906" t="str">
            <v>㎥</v>
          </cell>
          <cell r="I1906">
            <v>0</v>
          </cell>
        </row>
        <row r="1907">
          <cell r="A1907" t="str">
            <v>D00282</v>
          </cell>
          <cell r="B1907">
            <v>30</v>
          </cell>
          <cell r="C1907" t="str">
            <v>-4</v>
          </cell>
          <cell r="D1907">
            <v>14587563</v>
          </cell>
          <cell r="E1907" t="str">
            <v>합판거푸집</v>
          </cell>
          <cell r="F1907" t="str">
            <v>(6 회)</v>
          </cell>
          <cell r="G1907" t="str">
            <v>㎡</v>
          </cell>
          <cell r="I1907">
            <v>0</v>
          </cell>
        </row>
        <row r="1908">
          <cell r="A1908" t="str">
            <v>D01204</v>
          </cell>
          <cell r="B1908">
            <v>3</v>
          </cell>
          <cell r="C1908" t="str">
            <v>-5</v>
          </cell>
          <cell r="D1908">
            <v>14587595</v>
          </cell>
          <cell r="E1908" t="str">
            <v>잔토처리</v>
          </cell>
          <cell r="F1908" t="str">
            <v>(인 력)</v>
          </cell>
          <cell r="G1908" t="str">
            <v>㎥</v>
          </cell>
          <cell r="I1908">
            <v>0</v>
          </cell>
        </row>
        <row r="1909">
          <cell r="A1909" t="str">
            <v>D03799</v>
          </cell>
          <cell r="B1909">
            <v>60</v>
          </cell>
          <cell r="C1909" t="str">
            <v>-6</v>
          </cell>
          <cell r="D1909">
            <v>14587627</v>
          </cell>
          <cell r="E1909" t="str">
            <v>차폐시설</v>
          </cell>
          <cell r="F1909" t="str">
            <v>(가림판휀스)</v>
          </cell>
          <cell r="G1909" t="str">
            <v>M</v>
          </cell>
          <cell r="I1909">
            <v>0</v>
          </cell>
        </row>
        <row r="1910">
          <cell r="A1910" t="str">
            <v>E2</v>
          </cell>
          <cell r="B1910">
            <v>0</v>
          </cell>
          <cell r="C1910" t="str">
            <v>계</v>
          </cell>
          <cell r="D1910">
            <v>14587631</v>
          </cell>
          <cell r="I1910">
            <v>0</v>
          </cell>
        </row>
        <row r="1911">
          <cell r="A1911" t="str">
            <v>E3</v>
          </cell>
          <cell r="B1911">
            <v>0</v>
          </cell>
          <cell r="C1911" t="str">
            <v>합계</v>
          </cell>
          <cell r="D1911">
            <v>14587635</v>
          </cell>
          <cell r="I1911">
            <v>0</v>
          </cell>
        </row>
        <row r="1912">
          <cell r="A1912" t="str">
            <v>D01218</v>
          </cell>
          <cell r="B1912">
            <v>10</v>
          </cell>
          <cell r="C1912" t="str">
            <v>7.03</v>
          </cell>
          <cell r="D1912">
            <v>14587639</v>
          </cell>
          <cell r="E1912" t="str">
            <v>세륜시설</v>
          </cell>
          <cell r="F1912" t="str">
            <v>(간이식)</v>
          </cell>
          <cell r="G1912" t="str">
            <v>개소</v>
          </cell>
          <cell r="I1912">
            <v>0</v>
          </cell>
        </row>
        <row r="1913">
          <cell r="A1913" t="str">
            <v>D01103</v>
          </cell>
          <cell r="B1913">
            <v>21</v>
          </cell>
          <cell r="C1913" t="str">
            <v>7.04</v>
          </cell>
          <cell r="D1913">
            <v>14587641</v>
          </cell>
          <cell r="E1913" t="str">
            <v>침사지</v>
          </cell>
          <cell r="F1913" t="str">
            <v>(3.9x1.3)</v>
          </cell>
          <cell r="G1913" t="str">
            <v>개소</v>
          </cell>
          <cell r="I1913">
            <v>0</v>
          </cell>
        </row>
        <row r="1914">
          <cell r="A1914" t="str">
            <v>T3</v>
          </cell>
          <cell r="B1914">
            <v>1920</v>
          </cell>
          <cell r="C1914" t="str">
            <v>7.05</v>
          </cell>
          <cell r="D1914">
            <v>14587773</v>
          </cell>
          <cell r="E1914" t="str">
            <v>절토부 점검로</v>
          </cell>
          <cell r="I1914">
            <v>0</v>
          </cell>
        </row>
        <row r="1915">
          <cell r="A1915" t="str">
            <v>T2</v>
          </cell>
          <cell r="B1915">
            <v>1918</v>
          </cell>
          <cell r="C1915" t="str">
            <v>a</v>
          </cell>
          <cell r="D1915">
            <v>14587775</v>
          </cell>
          <cell r="E1915" t="str">
            <v>점검용사다리</v>
          </cell>
          <cell r="I1915">
            <v>0</v>
          </cell>
        </row>
        <row r="1916">
          <cell r="A1916" t="str">
            <v>D01303</v>
          </cell>
          <cell r="B1916">
            <v>15</v>
          </cell>
          <cell r="C1916" t="str">
            <v>-1</v>
          </cell>
          <cell r="D1916">
            <v>14587839</v>
          </cell>
          <cell r="E1916" t="str">
            <v>절토부점검로</v>
          </cell>
          <cell r="F1916" t="str">
            <v>(토사구간)</v>
          </cell>
          <cell r="G1916" t="str">
            <v>M</v>
          </cell>
          <cell r="I1916">
            <v>0</v>
          </cell>
        </row>
        <row r="1917">
          <cell r="A1917" t="str">
            <v>D01273</v>
          </cell>
          <cell r="B1917">
            <v>36</v>
          </cell>
          <cell r="C1917" t="str">
            <v>-2</v>
          </cell>
          <cell r="D1917">
            <v>14587871</v>
          </cell>
          <cell r="E1917" t="str">
            <v>절토부점검로</v>
          </cell>
          <cell r="F1917" t="str">
            <v>(리핑암구간)</v>
          </cell>
          <cell r="G1917" t="str">
            <v>M</v>
          </cell>
          <cell r="I1917">
            <v>0</v>
          </cell>
        </row>
        <row r="1918">
          <cell r="A1918" t="str">
            <v>D01274</v>
          </cell>
          <cell r="B1918">
            <v>64</v>
          </cell>
          <cell r="C1918" t="str">
            <v>-3</v>
          </cell>
          <cell r="D1918">
            <v>14587883</v>
          </cell>
          <cell r="E1918" t="str">
            <v>절토부점검로</v>
          </cell>
          <cell r="F1918" t="str">
            <v>(발파암구간 1:0.5)</v>
          </cell>
          <cell r="G1918" t="str">
            <v>M</v>
          </cell>
          <cell r="I1918">
            <v>0</v>
          </cell>
        </row>
        <row r="1919">
          <cell r="A1919" t="str">
            <v>E2</v>
          </cell>
          <cell r="B1919">
            <v>0</v>
          </cell>
          <cell r="C1919" t="str">
            <v>계</v>
          </cell>
          <cell r="D1919">
            <v>14587895</v>
          </cell>
          <cell r="I1919">
            <v>0</v>
          </cell>
        </row>
        <row r="1920">
          <cell r="A1920" t="str">
            <v>D01275</v>
          </cell>
          <cell r="B1920">
            <v>7</v>
          </cell>
          <cell r="C1920" t="str">
            <v>b</v>
          </cell>
          <cell r="D1920">
            <v>14587899</v>
          </cell>
          <cell r="E1920" t="str">
            <v>절토부점검로</v>
          </cell>
          <cell r="F1920" t="str">
            <v>(소단부)</v>
          </cell>
          <cell r="G1920" t="str">
            <v>EA</v>
          </cell>
          <cell r="I1920">
            <v>0</v>
          </cell>
        </row>
        <row r="1921">
          <cell r="A1921" t="str">
            <v>E3</v>
          </cell>
          <cell r="B1921">
            <v>0</v>
          </cell>
          <cell r="C1921" t="str">
            <v>합계</v>
          </cell>
          <cell r="D1921">
            <v>14587901</v>
          </cell>
          <cell r="I1921">
            <v>0</v>
          </cell>
        </row>
        <row r="1922">
          <cell r="A1922" t="str">
            <v>T3</v>
          </cell>
          <cell r="B1922">
            <v>1947</v>
          </cell>
          <cell r="C1922" t="str">
            <v>7.06</v>
          </cell>
          <cell r="D1922">
            <v>14588271</v>
          </cell>
          <cell r="E1922" t="str">
            <v>가 도 공</v>
          </cell>
          <cell r="I1922">
            <v>0</v>
          </cell>
        </row>
        <row r="1923">
          <cell r="A1923" t="str">
            <v>T2</v>
          </cell>
          <cell r="B1923">
            <v>1925</v>
          </cell>
          <cell r="C1923" t="str">
            <v>a</v>
          </cell>
          <cell r="D1923">
            <v>14588274</v>
          </cell>
          <cell r="E1923" t="str">
            <v>아스콘표층</v>
          </cell>
          <cell r="I1923">
            <v>0</v>
          </cell>
        </row>
        <row r="1924">
          <cell r="A1924" t="str">
            <v>M00056</v>
          </cell>
          <cell r="B1924">
            <v>789</v>
          </cell>
          <cell r="C1924" t="str">
            <v>-1</v>
          </cell>
          <cell r="D1924">
            <v>14588276</v>
          </cell>
          <cell r="E1924" t="str">
            <v>아 스 콘</v>
          </cell>
          <cell r="F1924" t="str">
            <v>표층용</v>
          </cell>
          <cell r="G1924" t="str">
            <v>TON</v>
          </cell>
          <cell r="I1924">
            <v>0</v>
          </cell>
        </row>
        <row r="1925">
          <cell r="A1925" t="str">
            <v>D00816</v>
          </cell>
          <cell r="B1925">
            <v>66</v>
          </cell>
          <cell r="C1925" t="str">
            <v>-2</v>
          </cell>
          <cell r="D1925">
            <v>14588277</v>
          </cell>
          <cell r="E1925" t="str">
            <v>아스콘표층</v>
          </cell>
          <cell r="F1925" t="str">
            <v>(포설다짐 T=5 Cm)</v>
          </cell>
          <cell r="G1925" t="str">
            <v>ａ</v>
          </cell>
          <cell r="I1925">
            <v>0</v>
          </cell>
        </row>
        <row r="1926">
          <cell r="A1926" t="str">
            <v>E2</v>
          </cell>
          <cell r="B1926">
            <v>0</v>
          </cell>
          <cell r="C1926" t="str">
            <v>계</v>
          </cell>
          <cell r="D1926">
            <v>14588278</v>
          </cell>
          <cell r="I1926">
            <v>0</v>
          </cell>
        </row>
        <row r="1927">
          <cell r="A1927" t="str">
            <v>D00814</v>
          </cell>
          <cell r="B1927">
            <v>102</v>
          </cell>
          <cell r="C1927" t="str">
            <v>b</v>
          </cell>
          <cell r="D1927">
            <v>14588406</v>
          </cell>
          <cell r="E1927" t="str">
            <v>택 코 팅</v>
          </cell>
          <cell r="F1927" t="str">
            <v>(RSC-4 20 L/a)</v>
          </cell>
          <cell r="G1927" t="str">
            <v>ａ</v>
          </cell>
          <cell r="I1927">
            <v>0</v>
          </cell>
        </row>
        <row r="1928">
          <cell r="A1928" t="str">
            <v>T2</v>
          </cell>
          <cell r="B1928">
            <v>1930</v>
          </cell>
          <cell r="C1928" t="str">
            <v>c</v>
          </cell>
          <cell r="D1928">
            <v>14588534</v>
          </cell>
          <cell r="E1928" t="str">
            <v>아스콘기층</v>
          </cell>
          <cell r="I1928">
            <v>0</v>
          </cell>
        </row>
        <row r="1929">
          <cell r="A1929" t="str">
            <v>M00059</v>
          </cell>
          <cell r="B1929">
            <v>1634</v>
          </cell>
          <cell r="C1929" t="str">
            <v>-1</v>
          </cell>
          <cell r="D1929">
            <v>14588535</v>
          </cell>
          <cell r="E1929" t="str">
            <v>아 스 콘</v>
          </cell>
          <cell r="F1929" t="str">
            <v>기층용</v>
          </cell>
          <cell r="G1929" t="str">
            <v>TON</v>
          </cell>
          <cell r="I1929">
            <v>0</v>
          </cell>
        </row>
        <row r="1930">
          <cell r="A1930" t="str">
            <v>D00809</v>
          </cell>
          <cell r="B1930">
            <v>68</v>
          </cell>
          <cell r="C1930" t="str">
            <v>-2</v>
          </cell>
          <cell r="D1930">
            <v>14588599</v>
          </cell>
          <cell r="E1930" t="str">
            <v>아스콘기층</v>
          </cell>
          <cell r="F1930" t="str">
            <v>(포설및다짐 T=10 Cm)</v>
          </cell>
          <cell r="G1930" t="str">
            <v>ａ</v>
          </cell>
          <cell r="I1930">
            <v>0</v>
          </cell>
        </row>
        <row r="1931">
          <cell r="A1931" t="str">
            <v>E2</v>
          </cell>
          <cell r="B1931">
            <v>0</v>
          </cell>
          <cell r="C1931" t="str">
            <v>계</v>
          </cell>
          <cell r="D1931">
            <v>14588631</v>
          </cell>
          <cell r="I1931">
            <v>0</v>
          </cell>
        </row>
        <row r="1932">
          <cell r="A1932" t="str">
            <v>D00805</v>
          </cell>
          <cell r="B1932">
            <v>69</v>
          </cell>
          <cell r="C1932" t="str">
            <v>d</v>
          </cell>
          <cell r="D1932">
            <v>14588662</v>
          </cell>
          <cell r="E1932" t="str">
            <v>프라임코팅</v>
          </cell>
          <cell r="F1932" t="str">
            <v>(MC-1,75 L/a)</v>
          </cell>
          <cell r="G1932" t="str">
            <v>ａ</v>
          </cell>
          <cell r="I1932">
            <v>0</v>
          </cell>
        </row>
        <row r="1933">
          <cell r="A1933" t="str">
            <v>T2</v>
          </cell>
          <cell r="B1933">
            <v>1935</v>
          </cell>
          <cell r="C1933" t="str">
            <v>e</v>
          </cell>
          <cell r="D1933">
            <v>14588663</v>
          </cell>
          <cell r="E1933" t="str">
            <v>보조기층</v>
          </cell>
          <cell r="I1933">
            <v>0</v>
          </cell>
        </row>
        <row r="1934">
          <cell r="A1934" t="str">
            <v>D03742</v>
          </cell>
          <cell r="B1934">
            <v>1847</v>
          </cell>
          <cell r="C1934" t="str">
            <v>-1</v>
          </cell>
          <cell r="D1934">
            <v>14588679</v>
          </cell>
          <cell r="E1934" t="str">
            <v>보조기층생산</v>
          </cell>
          <cell r="F1934" t="str">
            <v>(현장암유용)</v>
          </cell>
          <cell r="G1934" t="str">
            <v>㎥</v>
          </cell>
          <cell r="I1934">
            <v>0</v>
          </cell>
        </row>
        <row r="1935">
          <cell r="A1935" t="str">
            <v>D00798</v>
          </cell>
          <cell r="B1935">
            <v>1438</v>
          </cell>
          <cell r="C1935" t="str">
            <v>-2</v>
          </cell>
          <cell r="D1935">
            <v>14588687</v>
          </cell>
          <cell r="E1935" t="str">
            <v>보조기층</v>
          </cell>
          <cell r="F1935" t="str">
            <v>(포설및다짐 T=20 Cm)</v>
          </cell>
          <cell r="G1935" t="str">
            <v>㎥</v>
          </cell>
          <cell r="I1935">
            <v>0</v>
          </cell>
        </row>
        <row r="1936">
          <cell r="A1936" t="str">
            <v>E2</v>
          </cell>
          <cell r="B1936">
            <v>0</v>
          </cell>
          <cell r="C1936" t="str">
            <v>계</v>
          </cell>
          <cell r="D1936">
            <v>14588691</v>
          </cell>
          <cell r="I1936">
            <v>0</v>
          </cell>
        </row>
        <row r="1937">
          <cell r="A1937" t="str">
            <v>T2</v>
          </cell>
          <cell r="B1937">
            <v>1940</v>
          </cell>
          <cell r="C1937" t="str">
            <v>f</v>
          </cell>
          <cell r="D1937">
            <v>14588692</v>
          </cell>
          <cell r="E1937" t="str">
            <v>차선도색</v>
          </cell>
          <cell r="I1937">
            <v>0</v>
          </cell>
        </row>
        <row r="1938">
          <cell r="A1938" t="str">
            <v>D01152</v>
          </cell>
          <cell r="B1938">
            <v>239</v>
          </cell>
          <cell r="C1938" t="str">
            <v>-1</v>
          </cell>
          <cell r="D1938">
            <v>14588693</v>
          </cell>
          <cell r="E1938" t="str">
            <v>가도차선도색(상온형)</v>
          </cell>
          <cell r="F1938" t="str">
            <v>(백색실선)</v>
          </cell>
          <cell r="G1938" t="str">
            <v>㎡</v>
          </cell>
          <cell r="I1938">
            <v>0</v>
          </cell>
        </row>
        <row r="1939">
          <cell r="A1939" t="str">
            <v>D00869</v>
          </cell>
          <cell r="B1939">
            <v>414</v>
          </cell>
          <cell r="C1939" t="str">
            <v>-2</v>
          </cell>
          <cell r="D1939">
            <v>14588694</v>
          </cell>
          <cell r="E1939" t="str">
            <v>가도차선도색(상온형)</v>
          </cell>
          <cell r="F1939" t="str">
            <v>(백색파선)</v>
          </cell>
          <cell r="G1939" t="str">
            <v>㎡</v>
          </cell>
          <cell r="I1939">
            <v>0</v>
          </cell>
        </row>
        <row r="1940">
          <cell r="A1940" t="str">
            <v>D01151</v>
          </cell>
          <cell r="B1940">
            <v>252</v>
          </cell>
          <cell r="C1940" t="str">
            <v>-3</v>
          </cell>
          <cell r="D1940">
            <v>14588695</v>
          </cell>
          <cell r="E1940" t="str">
            <v>가도차선도색(상온형)</v>
          </cell>
          <cell r="F1940" t="str">
            <v>(황색실선)</v>
          </cell>
          <cell r="G1940" t="str">
            <v>㎡</v>
          </cell>
          <cell r="I1940">
            <v>0</v>
          </cell>
        </row>
        <row r="1941">
          <cell r="A1941" t="str">
            <v>E2</v>
          </cell>
          <cell r="B1941">
            <v>0</v>
          </cell>
          <cell r="C1941" t="str">
            <v>계</v>
          </cell>
          <cell r="D1941">
            <v>14588759</v>
          </cell>
          <cell r="I1941">
            <v>0</v>
          </cell>
        </row>
        <row r="1942">
          <cell r="A1942" t="str">
            <v>T2</v>
          </cell>
          <cell r="B1942">
            <v>1945</v>
          </cell>
          <cell r="C1942" t="str">
            <v>g</v>
          </cell>
          <cell r="D1942">
            <v>14588823</v>
          </cell>
          <cell r="E1942" t="str">
            <v>아스팔트</v>
          </cell>
          <cell r="I1942">
            <v>0</v>
          </cell>
        </row>
        <row r="1943">
          <cell r="A1943" t="str">
            <v>D00964</v>
          </cell>
          <cell r="B1943">
            <v>36</v>
          </cell>
          <cell r="C1943" t="str">
            <v>-1</v>
          </cell>
          <cell r="D1943">
            <v>14588855</v>
          </cell>
          <cell r="E1943" t="str">
            <v>아스팔트운반</v>
          </cell>
          <cell r="F1943" t="str">
            <v>(RSC-4, MC-1)</v>
          </cell>
          <cell r="G1943" t="str">
            <v>D/M</v>
          </cell>
          <cell r="I1943">
            <v>0</v>
          </cell>
        </row>
        <row r="1944">
          <cell r="A1944" t="str">
            <v>M00052</v>
          </cell>
          <cell r="B1944">
            <v>26</v>
          </cell>
          <cell r="C1944" t="str">
            <v>-2</v>
          </cell>
          <cell r="D1944">
            <v>14588887</v>
          </cell>
          <cell r="E1944" t="str">
            <v>아스팔트</v>
          </cell>
          <cell r="F1944" t="str">
            <v>MC-1</v>
          </cell>
          <cell r="G1944" t="str">
            <v>D/M</v>
          </cell>
          <cell r="I1944">
            <v>0</v>
          </cell>
        </row>
        <row r="1945">
          <cell r="A1945" t="str">
            <v>M00055</v>
          </cell>
          <cell r="B1945">
            <v>10</v>
          </cell>
          <cell r="C1945" t="str">
            <v>-3</v>
          </cell>
          <cell r="D1945">
            <v>14588895</v>
          </cell>
          <cell r="E1945" t="str">
            <v>아스팔트</v>
          </cell>
          <cell r="F1945" t="str">
            <v>RSC-4</v>
          </cell>
          <cell r="G1945" t="str">
            <v>D/M</v>
          </cell>
          <cell r="I1945">
            <v>0</v>
          </cell>
        </row>
        <row r="1946">
          <cell r="A1946" t="str">
            <v>E2</v>
          </cell>
          <cell r="B1946">
            <v>0</v>
          </cell>
          <cell r="C1946" t="str">
            <v>계</v>
          </cell>
          <cell r="D1946">
            <v>14588903</v>
          </cell>
          <cell r="I1946">
            <v>0</v>
          </cell>
        </row>
        <row r="1947">
          <cell r="A1947" t="str">
            <v>D00384</v>
          </cell>
          <cell r="B1947">
            <v>30</v>
          </cell>
          <cell r="C1947" t="str">
            <v>h</v>
          </cell>
          <cell r="D1947">
            <v>14588906</v>
          </cell>
          <cell r="E1947" t="str">
            <v>가배수관</v>
          </cell>
          <cell r="F1947" t="str">
            <v>(D=1000 m/m)</v>
          </cell>
          <cell r="G1947" t="str">
            <v>M</v>
          </cell>
          <cell r="I1947">
            <v>0</v>
          </cell>
        </row>
        <row r="1948">
          <cell r="A1948" t="str">
            <v>E3</v>
          </cell>
          <cell r="B1948">
            <v>0</v>
          </cell>
          <cell r="C1948" t="str">
            <v>합계</v>
          </cell>
          <cell r="D1948">
            <v>14588915</v>
          </cell>
          <cell r="I1948">
            <v>0</v>
          </cell>
        </row>
        <row r="1949">
          <cell r="A1949" t="str">
            <v>D01154</v>
          </cell>
          <cell r="B1949">
            <v>330</v>
          </cell>
          <cell r="C1949" t="str">
            <v>7.07</v>
          </cell>
          <cell r="D1949">
            <v>14588917</v>
          </cell>
          <cell r="E1949" t="str">
            <v>암파쇄방호시설</v>
          </cell>
          <cell r="G1949" t="str">
            <v>M</v>
          </cell>
          <cell r="I1949">
            <v>0</v>
          </cell>
        </row>
        <row r="1950">
          <cell r="A1950" t="str">
            <v>T3</v>
          </cell>
          <cell r="B1950">
            <v>1952</v>
          </cell>
          <cell r="C1950" t="str">
            <v>7.08</v>
          </cell>
          <cell r="D1950">
            <v>14588918</v>
          </cell>
          <cell r="E1950" t="str">
            <v>가로수이식</v>
          </cell>
          <cell r="I1950">
            <v>0</v>
          </cell>
        </row>
        <row r="1951">
          <cell r="A1951" t="str">
            <v>D00019</v>
          </cell>
          <cell r="B1951">
            <v>129</v>
          </cell>
          <cell r="C1951" t="str">
            <v>a</v>
          </cell>
          <cell r="D1951">
            <v>14589046</v>
          </cell>
          <cell r="E1951" t="str">
            <v>가로수이식</v>
          </cell>
          <cell r="F1951" t="str">
            <v>(소나무)</v>
          </cell>
          <cell r="G1951" t="str">
            <v>주</v>
          </cell>
          <cell r="I1951">
            <v>0</v>
          </cell>
        </row>
        <row r="1952">
          <cell r="A1952" t="str">
            <v>D03865</v>
          </cell>
          <cell r="B1952">
            <v>66</v>
          </cell>
          <cell r="C1952" t="str">
            <v>b</v>
          </cell>
          <cell r="D1952">
            <v>14589111</v>
          </cell>
          <cell r="E1952" t="str">
            <v>가로수이식</v>
          </cell>
          <cell r="F1952" t="str">
            <v>(참나무)</v>
          </cell>
          <cell r="G1952" t="str">
            <v>주</v>
          </cell>
          <cell r="I1952">
            <v>0</v>
          </cell>
        </row>
        <row r="1953">
          <cell r="A1953" t="str">
            <v>E3</v>
          </cell>
          <cell r="B1953">
            <v>0</v>
          </cell>
          <cell r="C1953" t="str">
            <v>합계</v>
          </cell>
          <cell r="D1953">
            <v>14589143</v>
          </cell>
          <cell r="I1953">
            <v>0</v>
          </cell>
        </row>
        <row r="1954">
          <cell r="A1954" t="str">
            <v>D00778</v>
          </cell>
          <cell r="B1954">
            <v>1845</v>
          </cell>
          <cell r="C1954" t="str">
            <v>7.09</v>
          </cell>
          <cell r="D1954">
            <v>14589175</v>
          </cell>
          <cell r="E1954" t="str">
            <v>지장가옥철거</v>
          </cell>
          <cell r="G1954" t="str">
            <v>㎥</v>
          </cell>
          <cell r="I1954">
            <v>0</v>
          </cell>
        </row>
        <row r="1955">
          <cell r="A1955" t="str">
            <v>D01336</v>
          </cell>
          <cell r="B1955">
            <v>1845</v>
          </cell>
          <cell r="C1955" t="str">
            <v>7.10</v>
          </cell>
          <cell r="D1955">
            <v>14589303</v>
          </cell>
          <cell r="E1955" t="str">
            <v>폐기물처리비</v>
          </cell>
          <cell r="G1955" t="str">
            <v>㎥</v>
          </cell>
          <cell r="I1955">
            <v>0</v>
          </cell>
        </row>
        <row r="1956">
          <cell r="A1956" t="str">
            <v>D03938</v>
          </cell>
          <cell r="B1956">
            <v>1</v>
          </cell>
          <cell r="C1956" t="str">
            <v>7.11</v>
          </cell>
          <cell r="D1956">
            <v>14589431</v>
          </cell>
          <cell r="E1956" t="str">
            <v>기존도로유지관리.</v>
          </cell>
          <cell r="G1956" t="str">
            <v>P.S</v>
          </cell>
          <cell r="H1956">
            <v>3000000000</v>
          </cell>
          <cell r="I1956">
            <v>3000000000</v>
          </cell>
        </row>
        <row r="1957">
          <cell r="A1957" t="str">
            <v>D01337</v>
          </cell>
          <cell r="B1957">
            <v>258</v>
          </cell>
          <cell r="C1957" t="str">
            <v>7.12</v>
          </cell>
          <cell r="D1957">
            <v>14589437</v>
          </cell>
          <cell r="E1957" t="str">
            <v>접도구역경계표주</v>
          </cell>
          <cell r="G1957" t="str">
            <v>EA</v>
          </cell>
          <cell r="I1957">
            <v>0</v>
          </cell>
        </row>
        <row r="1958">
          <cell r="A1958" t="str">
            <v>D00874</v>
          </cell>
          <cell r="B1958">
            <v>2</v>
          </cell>
          <cell r="C1958" t="str">
            <v>7.13</v>
          </cell>
          <cell r="D1958">
            <v>14589566</v>
          </cell>
          <cell r="E1958" t="str">
            <v>준공표지석</v>
          </cell>
          <cell r="G1958" t="str">
            <v>EA</v>
          </cell>
          <cell r="I1958">
            <v>0</v>
          </cell>
        </row>
        <row r="1959">
          <cell r="A1959" t="str">
            <v>D03945</v>
          </cell>
          <cell r="B1959">
            <v>1</v>
          </cell>
          <cell r="C1959" t="str">
            <v>7.14</v>
          </cell>
          <cell r="D1959">
            <v>14589694</v>
          </cell>
          <cell r="E1959" t="str">
            <v>가설사무실.</v>
          </cell>
          <cell r="G1959" t="str">
            <v>식</v>
          </cell>
          <cell r="I1959">
            <v>0</v>
          </cell>
        </row>
        <row r="1960">
          <cell r="A1960" t="str">
            <v>D00956</v>
          </cell>
          <cell r="B1960">
            <v>1</v>
          </cell>
          <cell r="C1960" t="str">
            <v>7.15</v>
          </cell>
          <cell r="D1960">
            <v>14591401</v>
          </cell>
          <cell r="E1960" t="str">
            <v>시 험 비</v>
          </cell>
          <cell r="G1960" t="str">
            <v>식</v>
          </cell>
          <cell r="I1960">
            <v>0</v>
          </cell>
        </row>
        <row r="1961">
          <cell r="A1961" t="str">
            <v>D00886</v>
          </cell>
          <cell r="B1961">
            <v>60</v>
          </cell>
          <cell r="C1961" t="str">
            <v>7.16</v>
          </cell>
          <cell r="D1961">
            <v>14591433</v>
          </cell>
          <cell r="E1961" t="str">
            <v>품질관리차량비</v>
          </cell>
          <cell r="G1961" t="str">
            <v>개월</v>
          </cell>
          <cell r="I1961">
            <v>0</v>
          </cell>
        </row>
        <row r="1962">
          <cell r="A1962" t="str">
            <v>D01339</v>
          </cell>
          <cell r="B1962">
            <v>8.68</v>
          </cell>
          <cell r="C1962" t="str">
            <v>7.17</v>
          </cell>
          <cell r="D1962">
            <v>14591462</v>
          </cell>
          <cell r="E1962" t="str">
            <v>시공측량비</v>
          </cell>
          <cell r="G1962" t="str">
            <v>Km</v>
          </cell>
          <cell r="I1962">
            <v>0</v>
          </cell>
        </row>
        <row r="1963">
          <cell r="A1963" t="str">
            <v>D01340</v>
          </cell>
          <cell r="B1963">
            <v>1</v>
          </cell>
          <cell r="C1963" t="str">
            <v>7.18</v>
          </cell>
          <cell r="D1963">
            <v>14591465</v>
          </cell>
          <cell r="E1963" t="str">
            <v>안전시설비</v>
          </cell>
          <cell r="F1963" t="str">
            <v>(공사중 안전시설)</v>
          </cell>
          <cell r="G1963" t="str">
            <v>P.S</v>
          </cell>
          <cell r="H1963">
            <v>97715144</v>
          </cell>
          <cell r="I1963">
            <v>97715144</v>
          </cell>
        </row>
        <row r="1964">
          <cell r="A1964" t="str">
            <v>D00955</v>
          </cell>
          <cell r="B1964">
            <v>1</v>
          </cell>
          <cell r="C1964" t="str">
            <v>7.19</v>
          </cell>
          <cell r="D1964">
            <v>14591503</v>
          </cell>
          <cell r="E1964" t="str">
            <v>중기운반비</v>
          </cell>
          <cell r="G1964" t="str">
            <v>식</v>
          </cell>
          <cell r="I1964">
            <v>0</v>
          </cell>
        </row>
        <row r="1965">
          <cell r="A1965" t="str">
            <v>D00918</v>
          </cell>
          <cell r="B1965">
            <v>1</v>
          </cell>
          <cell r="C1965" t="str">
            <v>7.20</v>
          </cell>
          <cell r="D1965">
            <v>14591517</v>
          </cell>
          <cell r="E1965" t="str">
            <v>확인보링비</v>
          </cell>
          <cell r="G1965" t="str">
            <v>식</v>
          </cell>
          <cell r="I1965">
            <v>0</v>
          </cell>
        </row>
        <row r="1966">
          <cell r="A1966" t="str">
            <v>T3</v>
          </cell>
          <cell r="B1966">
            <v>1969</v>
          </cell>
          <cell r="C1966" t="str">
            <v>7.21</v>
          </cell>
          <cell r="D1966">
            <v>14591521</v>
          </cell>
          <cell r="E1966" t="str">
            <v>자재운반비</v>
          </cell>
          <cell r="I1966">
            <v>0</v>
          </cell>
        </row>
        <row r="1967">
          <cell r="A1967" t="str">
            <v>D00960</v>
          </cell>
          <cell r="B1967">
            <v>7344.2539999999999</v>
          </cell>
          <cell r="C1967" t="str">
            <v>a</v>
          </cell>
          <cell r="D1967">
            <v>14591523</v>
          </cell>
          <cell r="E1967" t="str">
            <v>철근운반</v>
          </cell>
          <cell r="G1967" t="str">
            <v>Ton</v>
          </cell>
          <cell r="I1967">
            <v>0</v>
          </cell>
        </row>
        <row r="1968">
          <cell r="A1968" t="str">
            <v>D00958</v>
          </cell>
          <cell r="B1968">
            <v>85313</v>
          </cell>
          <cell r="C1968" t="str">
            <v>b</v>
          </cell>
          <cell r="D1968">
            <v>14591525</v>
          </cell>
          <cell r="E1968" t="str">
            <v>시멘트운반</v>
          </cell>
          <cell r="F1968" t="str">
            <v>(40 Kg/ⓐ)</v>
          </cell>
          <cell r="G1968" t="str">
            <v>대</v>
          </cell>
          <cell r="I1968">
            <v>0</v>
          </cell>
        </row>
        <row r="1969">
          <cell r="A1969" t="str">
            <v>D00964</v>
          </cell>
          <cell r="B1969">
            <v>1638</v>
          </cell>
          <cell r="C1969" t="str">
            <v>c</v>
          </cell>
          <cell r="D1969">
            <v>14603662</v>
          </cell>
          <cell r="E1969" t="str">
            <v>아스팔트운반</v>
          </cell>
          <cell r="F1969" t="str">
            <v>(RSC-4, MC-1)</v>
          </cell>
          <cell r="G1969" t="str">
            <v>D/M</v>
          </cell>
          <cell r="I1969">
            <v>0</v>
          </cell>
        </row>
        <row r="1970">
          <cell r="A1970" t="str">
            <v>E3</v>
          </cell>
          <cell r="B1970">
            <v>0</v>
          </cell>
          <cell r="C1970" t="str">
            <v>합계</v>
          </cell>
          <cell r="D1970">
            <v>14609731</v>
          </cell>
          <cell r="I1970">
            <v>0</v>
          </cell>
        </row>
        <row r="1971">
          <cell r="A1971" t="str">
            <v>T3</v>
          </cell>
          <cell r="B1971">
            <v>1974</v>
          </cell>
          <cell r="C1971" t="str">
            <v>7.22</v>
          </cell>
          <cell r="D1971">
            <v>14610869</v>
          </cell>
          <cell r="E1971" t="str">
            <v>크랏샤설치및해체</v>
          </cell>
          <cell r="I1971">
            <v>0</v>
          </cell>
        </row>
        <row r="1972">
          <cell r="A1972" t="str">
            <v>D00937</v>
          </cell>
          <cell r="B1972">
            <v>1</v>
          </cell>
          <cell r="C1972" t="str">
            <v>a</v>
          </cell>
          <cell r="D1972">
            <v>14612007</v>
          </cell>
          <cell r="E1972" t="str">
            <v>크랏샤 설치및해체</v>
          </cell>
          <cell r="F1972" t="str">
            <v>이동식(150 Ton)</v>
          </cell>
          <cell r="G1972" t="str">
            <v>식</v>
          </cell>
          <cell r="I1972">
            <v>0</v>
          </cell>
        </row>
        <row r="1973">
          <cell r="A1973" t="str">
            <v>D01218</v>
          </cell>
          <cell r="B1973">
            <v>1</v>
          </cell>
          <cell r="C1973" t="str">
            <v>b</v>
          </cell>
          <cell r="D1973">
            <v>14612386</v>
          </cell>
          <cell r="E1973" t="str">
            <v>세륜시설</v>
          </cell>
          <cell r="F1973" t="str">
            <v>(간이식)</v>
          </cell>
          <cell r="G1973" t="str">
            <v>개소</v>
          </cell>
          <cell r="I1973">
            <v>0</v>
          </cell>
        </row>
        <row r="1974">
          <cell r="A1974" t="str">
            <v>D00944</v>
          </cell>
          <cell r="B1974">
            <v>142</v>
          </cell>
          <cell r="C1974" t="str">
            <v>c</v>
          </cell>
          <cell r="D1974">
            <v>14612576</v>
          </cell>
          <cell r="E1974" t="str">
            <v>가설방음벽(H:2.0MxW:</v>
          </cell>
          <cell r="F1974" t="str">
            <v>2.0M)+방진망 2.0M</v>
          </cell>
          <cell r="G1974" t="str">
            <v>M</v>
          </cell>
          <cell r="I1974">
            <v>0</v>
          </cell>
        </row>
        <row r="1975">
          <cell r="A1975" t="str">
            <v>E3</v>
          </cell>
          <cell r="B1975">
            <v>0</v>
          </cell>
          <cell r="C1975" t="str">
            <v>합계</v>
          </cell>
          <cell r="D1975">
            <v>14612671</v>
          </cell>
          <cell r="I1975">
            <v>0</v>
          </cell>
        </row>
        <row r="1976">
          <cell r="A1976" t="str">
            <v>T3</v>
          </cell>
          <cell r="B1976">
            <v>2034</v>
          </cell>
          <cell r="C1976" t="str">
            <v>7.23</v>
          </cell>
          <cell r="D1976">
            <v>14612765</v>
          </cell>
          <cell r="E1976" t="str">
            <v>자 재 대</v>
          </cell>
          <cell r="I1976">
            <v>0</v>
          </cell>
        </row>
        <row r="1977">
          <cell r="A1977" t="str">
            <v>T2</v>
          </cell>
          <cell r="B1977">
            <v>1990</v>
          </cell>
          <cell r="C1977" t="str">
            <v>a</v>
          </cell>
          <cell r="D1977">
            <v>14614282</v>
          </cell>
          <cell r="E1977" t="str">
            <v>레 미 콘</v>
          </cell>
          <cell r="I1977">
            <v>0</v>
          </cell>
        </row>
        <row r="1978">
          <cell r="A1978" t="str">
            <v>M00062</v>
          </cell>
          <cell r="B1978">
            <v>11518</v>
          </cell>
          <cell r="C1978" t="str">
            <v>-1</v>
          </cell>
          <cell r="D1978">
            <v>14615610</v>
          </cell>
          <cell r="E1978" t="str">
            <v>레 미 콘</v>
          </cell>
          <cell r="F1978" t="str">
            <v>25-270-15</v>
          </cell>
          <cell r="G1978" t="str">
            <v>㎥</v>
          </cell>
          <cell r="I1978">
            <v>0</v>
          </cell>
        </row>
        <row r="1979">
          <cell r="A1979" t="str">
            <v>M00061</v>
          </cell>
          <cell r="B1979">
            <v>29</v>
          </cell>
          <cell r="C1979" t="str">
            <v>-2</v>
          </cell>
          <cell r="D1979">
            <v>14615658</v>
          </cell>
          <cell r="E1979" t="str">
            <v>레 미 콘</v>
          </cell>
          <cell r="F1979" t="str">
            <v>25-270-8</v>
          </cell>
          <cell r="G1979" t="str">
            <v>㎥</v>
          </cell>
          <cell r="I1979">
            <v>0</v>
          </cell>
        </row>
        <row r="1980">
          <cell r="A1980" t="str">
            <v>M00063</v>
          </cell>
          <cell r="B1980">
            <v>37126</v>
          </cell>
          <cell r="C1980" t="str">
            <v>-3</v>
          </cell>
          <cell r="D1980">
            <v>14615705</v>
          </cell>
          <cell r="E1980" t="str">
            <v>레 미 콘</v>
          </cell>
          <cell r="F1980" t="str">
            <v>25-240-15</v>
          </cell>
          <cell r="G1980" t="str">
            <v>㎥</v>
          </cell>
          <cell r="I1980">
            <v>0</v>
          </cell>
        </row>
        <row r="1981">
          <cell r="A1981" t="str">
            <v>M00067</v>
          </cell>
          <cell r="B1981">
            <v>2291</v>
          </cell>
          <cell r="C1981" t="str">
            <v>-4</v>
          </cell>
          <cell r="D1981">
            <v>14615717</v>
          </cell>
          <cell r="E1981" t="str">
            <v>레 미 콘</v>
          </cell>
          <cell r="F1981" t="str">
            <v>25-240-5</v>
          </cell>
          <cell r="G1981" t="str">
            <v>㎥</v>
          </cell>
          <cell r="I1981">
            <v>0</v>
          </cell>
        </row>
        <row r="1982">
          <cell r="A1982" t="str">
            <v>M00068</v>
          </cell>
          <cell r="B1982">
            <v>1526</v>
          </cell>
          <cell r="C1982" t="str">
            <v>-5</v>
          </cell>
          <cell r="D1982">
            <v>14615752</v>
          </cell>
          <cell r="E1982" t="str">
            <v>레 미 콘</v>
          </cell>
          <cell r="F1982" t="str">
            <v>25-210-15</v>
          </cell>
          <cell r="G1982" t="str">
            <v>㎥</v>
          </cell>
          <cell r="I1982">
            <v>0</v>
          </cell>
        </row>
        <row r="1983">
          <cell r="A1983" t="str">
            <v>M00069</v>
          </cell>
          <cell r="B1983">
            <v>12124</v>
          </cell>
          <cell r="C1983" t="str">
            <v>-6</v>
          </cell>
          <cell r="D1983">
            <v>14615764</v>
          </cell>
          <cell r="E1983" t="str">
            <v>레 미 콘</v>
          </cell>
          <cell r="F1983" t="str">
            <v>25-210-8</v>
          </cell>
          <cell r="G1983" t="str">
            <v>㎥</v>
          </cell>
          <cell r="I1983">
            <v>0</v>
          </cell>
        </row>
        <row r="1984">
          <cell r="A1984" t="str">
            <v>M02778</v>
          </cell>
          <cell r="B1984">
            <v>1150</v>
          </cell>
          <cell r="C1984" t="str">
            <v>-7</v>
          </cell>
          <cell r="D1984">
            <v>14615770</v>
          </cell>
          <cell r="E1984" t="str">
            <v>레 미 콘</v>
          </cell>
          <cell r="F1984" t="str">
            <v>25-180-5</v>
          </cell>
          <cell r="G1984" t="str">
            <v>㎥</v>
          </cell>
          <cell r="I1984">
            <v>0</v>
          </cell>
        </row>
        <row r="1985">
          <cell r="A1985" t="str">
            <v>M00070</v>
          </cell>
          <cell r="B1985">
            <v>4650</v>
          </cell>
          <cell r="C1985" t="str">
            <v>-8</v>
          </cell>
          <cell r="D1985">
            <v>14615776</v>
          </cell>
          <cell r="E1985" t="str">
            <v>레 미 콘</v>
          </cell>
          <cell r="F1985" t="str">
            <v>25-180-15</v>
          </cell>
          <cell r="G1985" t="str">
            <v>㎥</v>
          </cell>
          <cell r="I1985">
            <v>0</v>
          </cell>
        </row>
        <row r="1986">
          <cell r="A1986" t="str">
            <v>M00080</v>
          </cell>
          <cell r="B1986">
            <v>9427</v>
          </cell>
          <cell r="C1986" t="str">
            <v>-9</v>
          </cell>
          <cell r="D1986">
            <v>14615797</v>
          </cell>
          <cell r="E1986" t="str">
            <v>레 미 콘</v>
          </cell>
          <cell r="F1986" t="str">
            <v>25-180-8</v>
          </cell>
          <cell r="G1986" t="str">
            <v>㎥</v>
          </cell>
          <cell r="I1986">
            <v>0</v>
          </cell>
        </row>
        <row r="1987">
          <cell r="A1987" t="str">
            <v>M00079</v>
          </cell>
          <cell r="B1987">
            <v>1197</v>
          </cell>
          <cell r="C1987" t="str">
            <v>-10</v>
          </cell>
          <cell r="D1987">
            <v>14615798</v>
          </cell>
          <cell r="E1987" t="str">
            <v>레 미 콘</v>
          </cell>
          <cell r="F1987" t="str">
            <v>25-160-15</v>
          </cell>
          <cell r="G1987" t="str">
            <v>㎥</v>
          </cell>
          <cell r="I1987">
            <v>0</v>
          </cell>
        </row>
        <row r="1988">
          <cell r="A1988" t="str">
            <v>M00078</v>
          </cell>
          <cell r="B1988">
            <v>1599</v>
          </cell>
          <cell r="C1988" t="str">
            <v>-11</v>
          </cell>
          <cell r="D1988">
            <v>14615926</v>
          </cell>
          <cell r="E1988" t="str">
            <v>레 미 콘</v>
          </cell>
          <cell r="F1988" t="str">
            <v>25-160-8</v>
          </cell>
          <cell r="G1988" t="str">
            <v>㎥</v>
          </cell>
          <cell r="I1988">
            <v>0</v>
          </cell>
        </row>
        <row r="1989">
          <cell r="A1989" t="str">
            <v>M00075</v>
          </cell>
          <cell r="B1989">
            <v>395</v>
          </cell>
          <cell r="C1989" t="str">
            <v>-12</v>
          </cell>
          <cell r="D1989">
            <v>14615927</v>
          </cell>
          <cell r="E1989" t="str">
            <v>레 미 콘</v>
          </cell>
          <cell r="F1989" t="str">
            <v>40-210-8</v>
          </cell>
          <cell r="G1989" t="str">
            <v>㎥</v>
          </cell>
          <cell r="I1989">
            <v>0</v>
          </cell>
        </row>
        <row r="1990">
          <cell r="A1990" t="str">
            <v>M01073</v>
          </cell>
          <cell r="B1990">
            <v>1963</v>
          </cell>
          <cell r="C1990" t="str">
            <v>-13</v>
          </cell>
          <cell r="D1990">
            <v>14615991</v>
          </cell>
          <cell r="E1990" t="str">
            <v>레 미 콘</v>
          </cell>
          <cell r="F1990" t="str">
            <v>19-400-15</v>
          </cell>
          <cell r="G1990" t="str">
            <v>㎥</v>
          </cell>
          <cell r="I1990">
            <v>0</v>
          </cell>
        </row>
        <row r="1991">
          <cell r="A1991" t="str">
            <v>E2</v>
          </cell>
          <cell r="B1991">
            <v>0</v>
          </cell>
          <cell r="C1991" t="str">
            <v>계</v>
          </cell>
          <cell r="D1991">
            <v>14616055</v>
          </cell>
          <cell r="I1991">
            <v>0</v>
          </cell>
        </row>
        <row r="1992">
          <cell r="A1992" t="str">
            <v>M00083</v>
          </cell>
          <cell r="B1992">
            <v>85313</v>
          </cell>
          <cell r="C1992" t="str">
            <v>b</v>
          </cell>
          <cell r="D1992">
            <v>14616119</v>
          </cell>
          <cell r="E1992" t="str">
            <v>시 멘 트</v>
          </cell>
          <cell r="F1992" t="str">
            <v>40 Kg/ⓐ</v>
          </cell>
          <cell r="G1992" t="str">
            <v>대</v>
          </cell>
          <cell r="I1992">
            <v>0</v>
          </cell>
        </row>
        <row r="1993">
          <cell r="A1993" t="str">
            <v>T2</v>
          </cell>
          <cell r="B1993">
            <v>2011</v>
          </cell>
          <cell r="C1993" t="str">
            <v>c</v>
          </cell>
          <cell r="D1993">
            <v>14616151</v>
          </cell>
          <cell r="E1993" t="str">
            <v>철  근</v>
          </cell>
          <cell r="I1993">
            <v>0</v>
          </cell>
        </row>
        <row r="1994">
          <cell r="A1994" t="str">
            <v>T1</v>
          </cell>
          <cell r="B1994">
            <v>2000</v>
          </cell>
          <cell r="C1994" t="str">
            <v>-1</v>
          </cell>
          <cell r="D1994">
            <v>14616167</v>
          </cell>
          <cell r="E1994" t="str">
            <v>철근(SD40)</v>
          </cell>
          <cell r="I1994">
            <v>0</v>
          </cell>
        </row>
        <row r="1995">
          <cell r="A1995" t="str">
            <v>M00101</v>
          </cell>
          <cell r="B1995">
            <v>445.03300000000002</v>
          </cell>
          <cell r="D1995">
            <v>14616173</v>
          </cell>
          <cell r="E1995" t="str">
            <v>철근(SD40A)</v>
          </cell>
          <cell r="F1995" t="str">
            <v>D=29m/m</v>
          </cell>
          <cell r="G1995" t="str">
            <v>TON</v>
          </cell>
          <cell r="I1995">
            <v>0</v>
          </cell>
        </row>
        <row r="1996">
          <cell r="A1996" t="str">
            <v>M00100</v>
          </cell>
          <cell r="B1996">
            <v>284.92200000000003</v>
          </cell>
          <cell r="D1996">
            <v>14616175</v>
          </cell>
          <cell r="E1996" t="str">
            <v>철근(SD40A)</v>
          </cell>
          <cell r="F1996" t="str">
            <v>D=25m/m</v>
          </cell>
          <cell r="G1996" t="str">
            <v>TON</v>
          </cell>
          <cell r="I1996">
            <v>0</v>
          </cell>
        </row>
        <row r="1997">
          <cell r="A1997" t="str">
            <v>M00099</v>
          </cell>
          <cell r="B1997">
            <v>442.52699999999999</v>
          </cell>
          <cell r="D1997">
            <v>14616179</v>
          </cell>
          <cell r="E1997" t="str">
            <v>철근(SD40A)</v>
          </cell>
          <cell r="F1997" t="str">
            <v>D=22m/m</v>
          </cell>
          <cell r="G1997" t="str">
            <v>TON</v>
          </cell>
          <cell r="I1997">
            <v>0</v>
          </cell>
        </row>
        <row r="1998">
          <cell r="A1998" t="str">
            <v>M00098</v>
          </cell>
          <cell r="B1998">
            <v>413.56200000000001</v>
          </cell>
          <cell r="D1998">
            <v>14616181</v>
          </cell>
          <cell r="E1998" t="str">
            <v>철근(SD40A)</v>
          </cell>
          <cell r="F1998" t="str">
            <v>D=19m/m</v>
          </cell>
          <cell r="G1998" t="str">
            <v>TON</v>
          </cell>
          <cell r="I1998">
            <v>0</v>
          </cell>
        </row>
        <row r="1999">
          <cell r="A1999" t="str">
            <v>M00097</v>
          </cell>
          <cell r="B1999">
            <v>732.17399999999998</v>
          </cell>
          <cell r="D1999">
            <v>14616182</v>
          </cell>
          <cell r="E1999" t="str">
            <v>철근(SD40A)</v>
          </cell>
          <cell r="F1999" t="str">
            <v>D=16m/m</v>
          </cell>
          <cell r="G1999" t="str">
            <v>TON</v>
          </cell>
          <cell r="I1999">
            <v>0</v>
          </cell>
        </row>
        <row r="2000">
          <cell r="A2000" t="str">
            <v>M00096</v>
          </cell>
          <cell r="B2000">
            <v>99.533000000000001</v>
          </cell>
          <cell r="D2000">
            <v>14616183</v>
          </cell>
          <cell r="E2000" t="str">
            <v>철근(SD40A)</v>
          </cell>
          <cell r="F2000" t="str">
            <v>D=13m/m</v>
          </cell>
          <cell r="G2000" t="str">
            <v>TON</v>
          </cell>
          <cell r="I2000">
            <v>0</v>
          </cell>
        </row>
        <row r="2001">
          <cell r="A2001" t="str">
            <v>E1</v>
          </cell>
          <cell r="B2001">
            <v>0</v>
          </cell>
          <cell r="C2001" t="str">
            <v>소계</v>
          </cell>
          <cell r="D2001">
            <v>14616215</v>
          </cell>
          <cell r="I2001">
            <v>0</v>
          </cell>
        </row>
        <row r="2002">
          <cell r="A2002" t="str">
            <v>T1</v>
          </cell>
          <cell r="B2002">
            <v>2010</v>
          </cell>
          <cell r="C2002" t="str">
            <v>-2</v>
          </cell>
          <cell r="D2002">
            <v>14616247</v>
          </cell>
          <cell r="E2002" t="str">
            <v>철근(SD30)</v>
          </cell>
          <cell r="I2002">
            <v>0</v>
          </cell>
        </row>
        <row r="2003">
          <cell r="A2003" t="str">
            <v>M00094</v>
          </cell>
          <cell r="B2003">
            <v>378.55099999999999</v>
          </cell>
          <cell r="D2003">
            <v>14616279</v>
          </cell>
          <cell r="E2003" t="str">
            <v>철근(SD30A)</v>
          </cell>
          <cell r="F2003" t="str">
            <v>D=32m/m</v>
          </cell>
          <cell r="G2003" t="str">
            <v>TON</v>
          </cell>
          <cell r="I2003">
            <v>0</v>
          </cell>
        </row>
        <row r="2004">
          <cell r="A2004" t="str">
            <v>M00093</v>
          </cell>
          <cell r="B2004">
            <v>384.72199999999998</v>
          </cell>
          <cell r="D2004">
            <v>14616295</v>
          </cell>
          <cell r="E2004" t="str">
            <v>철근(SD30A)</v>
          </cell>
          <cell r="F2004" t="str">
            <v>D=29m/m</v>
          </cell>
          <cell r="G2004" t="str">
            <v>TON</v>
          </cell>
          <cell r="I2004">
            <v>0</v>
          </cell>
        </row>
        <row r="2005">
          <cell r="A2005" t="str">
            <v>M00092</v>
          </cell>
          <cell r="B2005">
            <v>610.17700000000002</v>
          </cell>
          <cell r="D2005">
            <v>14616303</v>
          </cell>
          <cell r="E2005" t="str">
            <v>철근(SD30A)</v>
          </cell>
          <cell r="F2005" t="str">
            <v>D=25m/m</v>
          </cell>
          <cell r="G2005" t="str">
            <v>TON</v>
          </cell>
          <cell r="I2005">
            <v>0</v>
          </cell>
        </row>
        <row r="2006">
          <cell r="A2006" t="str">
            <v>M00091</v>
          </cell>
          <cell r="B2006">
            <v>694.68799999999999</v>
          </cell>
          <cell r="D2006">
            <v>14616307</v>
          </cell>
          <cell r="E2006" t="str">
            <v>철근(SD30A)</v>
          </cell>
          <cell r="F2006" t="str">
            <v>D=22m/m</v>
          </cell>
          <cell r="G2006" t="str">
            <v>TON</v>
          </cell>
          <cell r="I2006">
            <v>0</v>
          </cell>
        </row>
        <row r="2007">
          <cell r="A2007" t="str">
            <v>M00090</v>
          </cell>
          <cell r="B2007">
            <v>794.56799999999998</v>
          </cell>
          <cell r="D2007">
            <v>14616309</v>
          </cell>
          <cell r="E2007" t="str">
            <v>철근(SD30A)</v>
          </cell>
          <cell r="F2007" t="str">
            <v>D=19m/m</v>
          </cell>
          <cell r="G2007" t="str">
            <v>TON</v>
          </cell>
          <cell r="I2007">
            <v>0</v>
          </cell>
        </row>
        <row r="2008">
          <cell r="A2008" t="str">
            <v>M00089</v>
          </cell>
          <cell r="B2008">
            <v>1391.3989999999999</v>
          </cell>
          <cell r="D2008">
            <v>14616310</v>
          </cell>
          <cell r="E2008" t="str">
            <v>철근(SD30A)</v>
          </cell>
          <cell r="F2008" t="str">
            <v>D=16m/m</v>
          </cell>
          <cell r="G2008" t="str">
            <v>TON</v>
          </cell>
          <cell r="I2008">
            <v>0</v>
          </cell>
        </row>
        <row r="2009">
          <cell r="A2009" t="str">
            <v>M00088</v>
          </cell>
          <cell r="B2009">
            <v>632.44399999999996</v>
          </cell>
          <cell r="D2009">
            <v>14616311</v>
          </cell>
          <cell r="E2009" t="str">
            <v>철근(SD30A)</v>
          </cell>
          <cell r="F2009" t="str">
            <v>D=13m/m</v>
          </cell>
          <cell r="G2009" t="str">
            <v>TON</v>
          </cell>
          <cell r="I2009">
            <v>0</v>
          </cell>
        </row>
        <row r="2010">
          <cell r="A2010" t="str">
            <v>M00087</v>
          </cell>
          <cell r="B2010">
            <v>39.954000000000001</v>
          </cell>
          <cell r="D2010">
            <v>14616375</v>
          </cell>
          <cell r="E2010" t="str">
            <v>철근(SD30A)</v>
          </cell>
          <cell r="F2010" t="str">
            <v>D=10m/m</v>
          </cell>
          <cell r="G2010" t="str">
            <v>TON</v>
          </cell>
          <cell r="I2010">
            <v>0</v>
          </cell>
        </row>
        <row r="2011">
          <cell r="A2011" t="str">
            <v>E1</v>
          </cell>
          <cell r="B2011">
            <v>0</v>
          </cell>
          <cell r="C2011" t="str">
            <v>소계</v>
          </cell>
          <cell r="D2011">
            <v>14616391</v>
          </cell>
          <cell r="I2011">
            <v>0</v>
          </cell>
        </row>
        <row r="2012">
          <cell r="A2012" t="str">
            <v>E2</v>
          </cell>
          <cell r="B2012">
            <v>0</v>
          </cell>
          <cell r="C2012" t="str">
            <v>계</v>
          </cell>
          <cell r="D2012">
            <v>14616407</v>
          </cell>
          <cell r="I2012">
            <v>0</v>
          </cell>
        </row>
        <row r="2013">
          <cell r="A2013" t="str">
            <v>T2</v>
          </cell>
          <cell r="B2013">
            <v>2015</v>
          </cell>
          <cell r="C2013" t="str">
            <v>d</v>
          </cell>
          <cell r="D2013">
            <v>14616415</v>
          </cell>
          <cell r="E2013" t="str">
            <v>아스팔트</v>
          </cell>
          <cell r="I2013">
            <v>0</v>
          </cell>
        </row>
        <row r="2014">
          <cell r="A2014" t="str">
            <v>M00055</v>
          </cell>
          <cell r="B2014">
            <v>870</v>
          </cell>
          <cell r="C2014" t="str">
            <v>-1</v>
          </cell>
          <cell r="D2014">
            <v>14616419</v>
          </cell>
          <cell r="E2014" t="str">
            <v>아스팔트</v>
          </cell>
          <cell r="F2014" t="str">
            <v>RSC-4</v>
          </cell>
          <cell r="G2014" t="str">
            <v>D/M</v>
          </cell>
          <cell r="I2014">
            <v>0</v>
          </cell>
        </row>
        <row r="2015">
          <cell r="A2015" t="str">
            <v>M00052</v>
          </cell>
          <cell r="B2015">
            <v>768</v>
          </cell>
          <cell r="C2015" t="str">
            <v>-2</v>
          </cell>
          <cell r="D2015">
            <v>14616421</v>
          </cell>
          <cell r="E2015" t="str">
            <v>아스팔트</v>
          </cell>
          <cell r="F2015" t="str">
            <v>MC-1</v>
          </cell>
          <cell r="G2015" t="str">
            <v>D/M</v>
          </cell>
          <cell r="I2015">
            <v>0</v>
          </cell>
        </row>
        <row r="2016">
          <cell r="A2016" t="str">
            <v>E2</v>
          </cell>
          <cell r="B2016">
            <v>0</v>
          </cell>
          <cell r="C2016" t="str">
            <v>계</v>
          </cell>
          <cell r="D2016">
            <v>14616422</v>
          </cell>
          <cell r="I2016">
            <v>0</v>
          </cell>
        </row>
        <row r="2017">
          <cell r="A2017" t="str">
            <v>T2</v>
          </cell>
          <cell r="B2017">
            <v>2022</v>
          </cell>
          <cell r="C2017" t="str">
            <v>e</v>
          </cell>
          <cell r="D2017">
            <v>14616423</v>
          </cell>
          <cell r="E2017" t="str">
            <v>흄   관</v>
          </cell>
          <cell r="I2017">
            <v>0</v>
          </cell>
        </row>
        <row r="2018">
          <cell r="A2018" t="str">
            <v>M00314</v>
          </cell>
          <cell r="B2018">
            <v>394</v>
          </cell>
          <cell r="C2018" t="str">
            <v>-1</v>
          </cell>
          <cell r="D2018">
            <v>14616455</v>
          </cell>
          <cell r="E2018" t="str">
            <v>흄   관</v>
          </cell>
          <cell r="F2018" t="str">
            <v>D= 450 m/m</v>
          </cell>
          <cell r="G2018" t="str">
            <v>본</v>
          </cell>
          <cell r="I2018">
            <v>0</v>
          </cell>
        </row>
        <row r="2019">
          <cell r="A2019" t="str">
            <v>M00316</v>
          </cell>
          <cell r="B2019">
            <v>460</v>
          </cell>
          <cell r="C2019" t="str">
            <v>-2</v>
          </cell>
          <cell r="D2019">
            <v>14616487</v>
          </cell>
          <cell r="E2019" t="str">
            <v>흄   관</v>
          </cell>
          <cell r="F2019" t="str">
            <v>D= 600 m/m</v>
          </cell>
          <cell r="G2019" t="str">
            <v>본</v>
          </cell>
          <cell r="I2019">
            <v>0</v>
          </cell>
        </row>
        <row r="2020">
          <cell r="A2020" t="str">
            <v>M00318</v>
          </cell>
          <cell r="B2020">
            <v>492</v>
          </cell>
          <cell r="C2020" t="str">
            <v>-3</v>
          </cell>
          <cell r="D2020">
            <v>14616519</v>
          </cell>
          <cell r="E2020" t="str">
            <v>흄   관</v>
          </cell>
          <cell r="F2020" t="str">
            <v>D= 800 m/m</v>
          </cell>
          <cell r="G2020" t="str">
            <v>본</v>
          </cell>
          <cell r="I2020">
            <v>0</v>
          </cell>
        </row>
        <row r="2021">
          <cell r="A2021" t="str">
            <v>M00320</v>
          </cell>
          <cell r="B2021">
            <v>92</v>
          </cell>
          <cell r="C2021" t="str">
            <v>-4</v>
          </cell>
          <cell r="D2021">
            <v>14616535</v>
          </cell>
          <cell r="E2021" t="str">
            <v>흄   관</v>
          </cell>
          <cell r="F2021" t="str">
            <v>D=1000 m/m</v>
          </cell>
          <cell r="G2021" t="str">
            <v>본</v>
          </cell>
          <cell r="I2021">
            <v>0</v>
          </cell>
        </row>
        <row r="2022">
          <cell r="A2022" t="str">
            <v>M00322</v>
          </cell>
          <cell r="B2022">
            <v>44</v>
          </cell>
          <cell r="C2022" t="str">
            <v>-5</v>
          </cell>
          <cell r="D2022">
            <v>14616539</v>
          </cell>
          <cell r="E2022" t="str">
            <v>흄   관</v>
          </cell>
          <cell r="F2022" t="str">
            <v>D=1200 m/m</v>
          </cell>
          <cell r="G2022" t="str">
            <v>본</v>
          </cell>
          <cell r="I2022">
            <v>0</v>
          </cell>
        </row>
        <row r="2023">
          <cell r="A2023" t="str">
            <v>E2</v>
          </cell>
          <cell r="B2023">
            <v>0</v>
          </cell>
          <cell r="C2023" t="str">
            <v>계</v>
          </cell>
          <cell r="D2023">
            <v>14616543</v>
          </cell>
          <cell r="I2023">
            <v>0</v>
          </cell>
        </row>
        <row r="2024">
          <cell r="A2024" t="str">
            <v>T2</v>
          </cell>
          <cell r="B2024">
            <v>2028</v>
          </cell>
          <cell r="C2024" t="str">
            <v>f</v>
          </cell>
          <cell r="D2024">
            <v>14616545</v>
          </cell>
          <cell r="E2024" t="str">
            <v>진동전압철근콘크리트</v>
          </cell>
          <cell r="F2024" t="str">
            <v>관(V.R관)</v>
          </cell>
          <cell r="I2024">
            <v>0</v>
          </cell>
        </row>
        <row r="2025">
          <cell r="A2025" t="str">
            <v>M00301</v>
          </cell>
          <cell r="B2025">
            <v>185</v>
          </cell>
          <cell r="C2025" t="str">
            <v>-1</v>
          </cell>
          <cell r="D2025">
            <v>14616546</v>
          </cell>
          <cell r="E2025" t="str">
            <v>진동및전압관</v>
          </cell>
          <cell r="F2025" t="str">
            <v>D= 600 m/m</v>
          </cell>
          <cell r="G2025" t="str">
            <v>본</v>
          </cell>
          <cell r="I2025">
            <v>0</v>
          </cell>
        </row>
        <row r="2026">
          <cell r="A2026" t="str">
            <v>M00303</v>
          </cell>
          <cell r="B2026">
            <v>449</v>
          </cell>
          <cell r="C2026" t="str">
            <v>-2</v>
          </cell>
          <cell r="D2026">
            <v>14616547</v>
          </cell>
          <cell r="E2026" t="str">
            <v>진동및전압관</v>
          </cell>
          <cell r="F2026" t="str">
            <v>D= 800 m/m</v>
          </cell>
          <cell r="G2026" t="str">
            <v>본</v>
          </cell>
          <cell r="I2026">
            <v>0</v>
          </cell>
        </row>
        <row r="2027">
          <cell r="A2027" t="str">
            <v>M00305</v>
          </cell>
          <cell r="B2027">
            <v>136</v>
          </cell>
          <cell r="C2027" t="str">
            <v>-3</v>
          </cell>
          <cell r="D2027">
            <v>14616611</v>
          </cell>
          <cell r="E2027" t="str">
            <v>진동및전압관</v>
          </cell>
          <cell r="F2027" t="str">
            <v>D=1000 m/m</v>
          </cell>
          <cell r="G2027" t="str">
            <v>본</v>
          </cell>
          <cell r="I2027">
            <v>0</v>
          </cell>
        </row>
        <row r="2028">
          <cell r="A2028" t="str">
            <v>M00307</v>
          </cell>
          <cell r="B2028">
            <v>228</v>
          </cell>
          <cell r="C2028" t="str">
            <v>-4</v>
          </cell>
          <cell r="D2028">
            <v>14616643</v>
          </cell>
          <cell r="E2028" t="str">
            <v>진동및전압관</v>
          </cell>
          <cell r="F2028" t="str">
            <v>D=1200 m/m</v>
          </cell>
          <cell r="G2028" t="str">
            <v>본</v>
          </cell>
          <cell r="I2028">
            <v>0</v>
          </cell>
        </row>
        <row r="2029">
          <cell r="A2029" t="str">
            <v>E2</v>
          </cell>
          <cell r="B2029">
            <v>0</v>
          </cell>
          <cell r="C2029" t="str">
            <v>계</v>
          </cell>
          <cell r="D2029">
            <v>14616659</v>
          </cell>
          <cell r="I2029">
            <v>0</v>
          </cell>
        </row>
        <row r="2030">
          <cell r="A2030" t="str">
            <v>T2</v>
          </cell>
          <cell r="B2030">
            <v>2033</v>
          </cell>
          <cell r="C2030" t="str">
            <v>g</v>
          </cell>
          <cell r="D2030">
            <v>14616675</v>
          </cell>
          <cell r="E2030" t="str">
            <v>아 스 콘</v>
          </cell>
          <cell r="I2030">
            <v>0</v>
          </cell>
        </row>
        <row r="2031">
          <cell r="A2031" t="str">
            <v>M00056</v>
          </cell>
          <cell r="B2031">
            <v>28916</v>
          </cell>
          <cell r="C2031" t="str">
            <v>-1</v>
          </cell>
          <cell r="D2031">
            <v>14616677</v>
          </cell>
          <cell r="E2031" t="str">
            <v>아 스 콘</v>
          </cell>
          <cell r="F2031" t="str">
            <v>표층용</v>
          </cell>
          <cell r="G2031" t="str">
            <v>TON</v>
          </cell>
          <cell r="I2031">
            <v>0</v>
          </cell>
        </row>
        <row r="2032">
          <cell r="A2032" t="str">
            <v>M00059</v>
          </cell>
          <cell r="B2032">
            <v>97232</v>
          </cell>
          <cell r="C2032" t="str">
            <v>-2</v>
          </cell>
          <cell r="D2032">
            <v>14616678</v>
          </cell>
          <cell r="E2032" t="str">
            <v>아 스 콘</v>
          </cell>
          <cell r="F2032" t="str">
            <v>기층용</v>
          </cell>
          <cell r="G2032" t="str">
            <v>TON</v>
          </cell>
          <cell r="I2032">
            <v>0</v>
          </cell>
        </row>
        <row r="2033">
          <cell r="A2033" t="str">
            <v>M00058</v>
          </cell>
          <cell r="B2033">
            <v>31103</v>
          </cell>
          <cell r="C2033" t="str">
            <v>-3</v>
          </cell>
          <cell r="D2033">
            <v>14616679</v>
          </cell>
          <cell r="E2033" t="str">
            <v>아 스 콘</v>
          </cell>
          <cell r="F2033" t="str">
            <v>중간층용</v>
          </cell>
          <cell r="G2033" t="str">
            <v>TON</v>
          </cell>
          <cell r="I2033">
            <v>0</v>
          </cell>
        </row>
        <row r="2034">
          <cell r="A2034" t="str">
            <v>E2</v>
          </cell>
          <cell r="B2034">
            <v>0</v>
          </cell>
          <cell r="C2034" t="str">
            <v>계</v>
          </cell>
          <cell r="D2034">
            <v>14616743</v>
          </cell>
          <cell r="I2034">
            <v>0</v>
          </cell>
        </row>
        <row r="2035">
          <cell r="A2035" t="str">
            <v>E3</v>
          </cell>
          <cell r="B2035">
            <v>0</v>
          </cell>
          <cell r="C2035" t="str">
            <v>합계</v>
          </cell>
          <cell r="D2035">
            <v>14616807</v>
          </cell>
          <cell r="I2035">
            <v>0</v>
          </cell>
        </row>
        <row r="2036">
          <cell r="A2036" t="str">
            <v>M00751</v>
          </cell>
          <cell r="B2036">
            <v>220.328</v>
          </cell>
          <cell r="C2036" t="str">
            <v>7.24</v>
          </cell>
          <cell r="D2036">
            <v>14616815</v>
          </cell>
          <cell r="E2036" t="str">
            <v>공 제 대</v>
          </cell>
          <cell r="F2036" t="str">
            <v>고  철</v>
          </cell>
          <cell r="G2036" t="str">
            <v>TON</v>
          </cell>
          <cell r="I2036">
            <v>0</v>
          </cell>
        </row>
        <row r="2037">
          <cell r="A2037" t="str">
            <v>T3</v>
          </cell>
          <cell r="B2037">
            <v>2058</v>
          </cell>
          <cell r="C2037" t="str">
            <v>7.25</v>
          </cell>
          <cell r="D2037">
            <v>14616880</v>
          </cell>
          <cell r="E2037" t="str">
            <v>전기공사</v>
          </cell>
          <cell r="I2037">
            <v>0</v>
          </cell>
        </row>
        <row r="2038">
          <cell r="A2038" t="str">
            <v>T2</v>
          </cell>
          <cell r="B2038">
            <v>2043</v>
          </cell>
          <cell r="C2038" t="str">
            <v>a</v>
          </cell>
          <cell r="D2038">
            <v>14616912</v>
          </cell>
          <cell r="E2038" t="str">
            <v>터널전기공사</v>
          </cell>
          <cell r="I2038">
            <v>0</v>
          </cell>
        </row>
        <row r="2039">
          <cell r="A2039" t="str">
            <v>D03876</v>
          </cell>
          <cell r="B2039">
            <v>1</v>
          </cell>
          <cell r="C2039" t="str">
            <v>-1</v>
          </cell>
          <cell r="D2039">
            <v>14616928</v>
          </cell>
          <cell r="E2039" t="str">
            <v>터널 전기공사</v>
          </cell>
          <cell r="F2039" t="str">
            <v>(변전실 전기공사)</v>
          </cell>
          <cell r="G2039" t="str">
            <v>식</v>
          </cell>
          <cell r="I2039">
            <v>0</v>
          </cell>
        </row>
        <row r="2040">
          <cell r="A2040" t="str">
            <v>D03883</v>
          </cell>
          <cell r="B2040">
            <v>1</v>
          </cell>
          <cell r="C2040" t="str">
            <v>-2</v>
          </cell>
          <cell r="D2040">
            <v>14616936</v>
          </cell>
          <cell r="E2040" t="str">
            <v>터널 전기공사</v>
          </cell>
          <cell r="F2040" t="str">
            <v>(조명 설비공사)</v>
          </cell>
          <cell r="G2040" t="str">
            <v>식</v>
          </cell>
          <cell r="I2040">
            <v>0</v>
          </cell>
        </row>
        <row r="2041">
          <cell r="A2041" t="str">
            <v>D03884</v>
          </cell>
          <cell r="B2041">
            <v>1</v>
          </cell>
          <cell r="C2041" t="str">
            <v>-3</v>
          </cell>
          <cell r="D2041">
            <v>14616940</v>
          </cell>
          <cell r="E2041" t="str">
            <v>터널 전기공사</v>
          </cell>
          <cell r="F2041" t="str">
            <v>(소방 설비공사)</v>
          </cell>
          <cell r="G2041" t="str">
            <v>식</v>
          </cell>
          <cell r="I2041">
            <v>0</v>
          </cell>
        </row>
        <row r="2042">
          <cell r="A2042" t="str">
            <v>D03885</v>
          </cell>
          <cell r="B2042">
            <v>1</v>
          </cell>
          <cell r="C2042" t="str">
            <v>-4</v>
          </cell>
          <cell r="D2042">
            <v>14616942</v>
          </cell>
          <cell r="E2042" t="str">
            <v>터널 전기공사</v>
          </cell>
          <cell r="F2042" t="str">
            <v>(무선통신및지하재해)</v>
          </cell>
          <cell r="G2042" t="str">
            <v>식</v>
          </cell>
          <cell r="I2042">
            <v>0</v>
          </cell>
        </row>
        <row r="2043">
          <cell r="A2043" t="str">
            <v>D03886</v>
          </cell>
          <cell r="B2043">
            <v>1</v>
          </cell>
          <cell r="C2043" t="str">
            <v>-5</v>
          </cell>
          <cell r="D2043">
            <v>14616943</v>
          </cell>
          <cell r="E2043" t="str">
            <v>가로등설치공사</v>
          </cell>
          <cell r="G2043" t="str">
            <v>식</v>
          </cell>
          <cell r="I2043">
            <v>0</v>
          </cell>
        </row>
        <row r="2044">
          <cell r="A2044" t="str">
            <v>E2</v>
          </cell>
          <cell r="B2044">
            <v>0</v>
          </cell>
          <cell r="C2044" t="str">
            <v>계</v>
          </cell>
          <cell r="D2044">
            <v>14617071</v>
          </cell>
          <cell r="I2044">
            <v>0</v>
          </cell>
        </row>
        <row r="2045">
          <cell r="A2045" t="str">
            <v>T2</v>
          </cell>
          <cell r="B2045">
            <v>2048</v>
          </cell>
          <cell r="C2045" t="str">
            <v>b</v>
          </cell>
          <cell r="D2045">
            <v>14617072</v>
          </cell>
          <cell r="E2045" t="str">
            <v>강교전기공사</v>
          </cell>
          <cell r="I2045">
            <v>0</v>
          </cell>
        </row>
        <row r="2046">
          <cell r="A2046" t="str">
            <v>D03873</v>
          </cell>
          <cell r="B2046">
            <v>1</v>
          </cell>
          <cell r="C2046" t="str">
            <v>-1</v>
          </cell>
          <cell r="D2046">
            <v>14617136</v>
          </cell>
          <cell r="E2046" t="str">
            <v>강교 전기공사</v>
          </cell>
          <cell r="F2046" t="str">
            <v>(간선설비공사)</v>
          </cell>
          <cell r="G2046" t="str">
            <v>식</v>
          </cell>
          <cell r="I2046">
            <v>0</v>
          </cell>
        </row>
        <row r="2047">
          <cell r="A2047" t="str">
            <v>D03874</v>
          </cell>
          <cell r="B2047">
            <v>1</v>
          </cell>
          <cell r="C2047" t="str">
            <v>-2</v>
          </cell>
          <cell r="D2047">
            <v>14617168</v>
          </cell>
          <cell r="E2047" t="str">
            <v>강교 전기공사</v>
          </cell>
          <cell r="F2047" t="str">
            <v>(전열설비공사)</v>
          </cell>
          <cell r="G2047" t="str">
            <v>식</v>
          </cell>
          <cell r="I2047">
            <v>0</v>
          </cell>
        </row>
        <row r="2048">
          <cell r="A2048" t="str">
            <v>D03875</v>
          </cell>
          <cell r="B2048">
            <v>1</v>
          </cell>
          <cell r="C2048" t="str">
            <v>-3</v>
          </cell>
          <cell r="D2048">
            <v>14617184</v>
          </cell>
          <cell r="E2048" t="str">
            <v>강교 전기공사</v>
          </cell>
          <cell r="F2048" t="str">
            <v>(전등설비공사)</v>
          </cell>
          <cell r="G2048" t="str">
            <v>식</v>
          </cell>
          <cell r="I2048">
            <v>0</v>
          </cell>
        </row>
        <row r="2049">
          <cell r="A2049" t="str">
            <v>E2</v>
          </cell>
          <cell r="B2049">
            <v>0</v>
          </cell>
          <cell r="C2049" t="str">
            <v>계</v>
          </cell>
          <cell r="D2049">
            <v>14617192</v>
          </cell>
          <cell r="I2049">
            <v>0</v>
          </cell>
        </row>
        <row r="2050">
          <cell r="A2050" t="str">
            <v>T2</v>
          </cell>
          <cell r="B2050">
            <v>2052</v>
          </cell>
          <cell r="C2050" t="str">
            <v>c</v>
          </cell>
          <cell r="D2050">
            <v>14617196</v>
          </cell>
          <cell r="E2050" t="str">
            <v>지하차도전기공사</v>
          </cell>
          <cell r="I2050">
            <v>0</v>
          </cell>
        </row>
        <row r="2051">
          <cell r="A2051" t="str">
            <v>D03887</v>
          </cell>
          <cell r="B2051">
            <v>1</v>
          </cell>
          <cell r="C2051" t="str">
            <v>-1</v>
          </cell>
          <cell r="D2051">
            <v>14617198</v>
          </cell>
          <cell r="E2051" t="str">
            <v>지하차도 전기공사</v>
          </cell>
          <cell r="F2051" t="str">
            <v>(장성 지하차도)</v>
          </cell>
          <cell r="G2051" t="str">
            <v>식</v>
          </cell>
          <cell r="I2051">
            <v>0</v>
          </cell>
        </row>
        <row r="2052">
          <cell r="A2052" t="str">
            <v>D03888</v>
          </cell>
          <cell r="B2052">
            <v>1</v>
          </cell>
          <cell r="C2052" t="str">
            <v>-2</v>
          </cell>
          <cell r="D2052">
            <v>14617199</v>
          </cell>
          <cell r="E2052" t="str">
            <v>지하차도 전기공사</v>
          </cell>
          <cell r="F2052" t="str">
            <v>(옥암 지하차도)</v>
          </cell>
          <cell r="G2052" t="str">
            <v>식</v>
          </cell>
          <cell r="I2052">
            <v>0</v>
          </cell>
        </row>
        <row r="2053">
          <cell r="A2053" t="str">
            <v>E2</v>
          </cell>
          <cell r="B2053">
            <v>0</v>
          </cell>
          <cell r="C2053" t="str">
            <v>계</v>
          </cell>
          <cell r="D2053">
            <v>14617200</v>
          </cell>
          <cell r="I2053">
            <v>0</v>
          </cell>
        </row>
        <row r="2054">
          <cell r="A2054" t="str">
            <v>T2</v>
          </cell>
          <cell r="B2054">
            <v>2057</v>
          </cell>
          <cell r="C2054" t="str">
            <v>d</v>
          </cell>
          <cell r="D2054">
            <v>14617216</v>
          </cell>
          <cell r="E2054" t="str">
            <v>교통신호등</v>
          </cell>
          <cell r="I2054">
            <v>0</v>
          </cell>
        </row>
        <row r="2055">
          <cell r="A2055" t="str">
            <v>D00859</v>
          </cell>
          <cell r="B2055">
            <v>1</v>
          </cell>
          <cell r="C2055" t="str">
            <v>-1</v>
          </cell>
          <cell r="D2055">
            <v>14617232</v>
          </cell>
          <cell r="E2055" t="str">
            <v>교통신호기</v>
          </cell>
          <cell r="F2055" t="str">
            <v>(고암교차로)</v>
          </cell>
          <cell r="G2055" t="str">
            <v>EA</v>
          </cell>
          <cell r="I2055">
            <v>0</v>
          </cell>
        </row>
        <row r="2056">
          <cell r="A2056" t="str">
            <v>D00860</v>
          </cell>
          <cell r="B2056">
            <v>1</v>
          </cell>
          <cell r="C2056" t="str">
            <v>-2</v>
          </cell>
          <cell r="D2056">
            <v>14617248</v>
          </cell>
          <cell r="E2056" t="str">
            <v>교통신호기</v>
          </cell>
          <cell r="F2056" t="str">
            <v>(영암교차로)</v>
          </cell>
          <cell r="G2056" t="str">
            <v>EA</v>
          </cell>
          <cell r="I2056">
            <v>0</v>
          </cell>
        </row>
        <row r="2057">
          <cell r="A2057" t="str">
            <v>D00863</v>
          </cell>
          <cell r="B2057">
            <v>1</v>
          </cell>
          <cell r="C2057" t="str">
            <v>-3</v>
          </cell>
          <cell r="D2057">
            <v>14617256</v>
          </cell>
          <cell r="E2057" t="str">
            <v>교통신호기</v>
          </cell>
          <cell r="F2057" t="str">
            <v>(마온교차로)</v>
          </cell>
          <cell r="G2057" t="str">
            <v>EA</v>
          </cell>
          <cell r="I2057">
            <v>0</v>
          </cell>
        </row>
        <row r="2058">
          <cell r="A2058" t="str">
            <v>E2</v>
          </cell>
          <cell r="B2058">
            <v>0</v>
          </cell>
          <cell r="C2058" t="str">
            <v>계</v>
          </cell>
          <cell r="D2058">
            <v>14617260</v>
          </cell>
          <cell r="I2058">
            <v>0</v>
          </cell>
        </row>
        <row r="2059">
          <cell r="A2059" t="str">
            <v>E3</v>
          </cell>
          <cell r="B2059">
            <v>0</v>
          </cell>
          <cell r="C2059" t="str">
            <v>합계</v>
          </cell>
          <cell r="D2059">
            <v>14617264</v>
          </cell>
          <cell r="I2059">
            <v>0</v>
          </cell>
        </row>
        <row r="2060">
          <cell r="A2060" t="str">
            <v>T3</v>
          </cell>
          <cell r="B2060">
            <v>2071</v>
          </cell>
          <cell r="C2060" t="str">
            <v>7.26</v>
          </cell>
          <cell r="D2060">
            <v>14617296</v>
          </cell>
          <cell r="E2060" t="str">
            <v>건축공사</v>
          </cell>
          <cell r="I2060">
            <v>0</v>
          </cell>
        </row>
        <row r="2061">
          <cell r="A2061" t="str">
            <v>D03926</v>
          </cell>
          <cell r="B2061">
            <v>1</v>
          </cell>
          <cell r="C2061" t="str">
            <v>a</v>
          </cell>
          <cell r="D2061">
            <v>14617312</v>
          </cell>
          <cell r="E2061" t="str">
            <v>건축공사</v>
          </cell>
          <cell r="F2061" t="str">
            <v>(가설공사)</v>
          </cell>
          <cell r="G2061" t="str">
            <v>식</v>
          </cell>
          <cell r="I2061">
            <v>0</v>
          </cell>
        </row>
        <row r="2062">
          <cell r="A2062" t="str">
            <v>D03928</v>
          </cell>
          <cell r="B2062">
            <v>1</v>
          </cell>
          <cell r="C2062" t="str">
            <v>b</v>
          </cell>
          <cell r="D2062">
            <v>14617320</v>
          </cell>
          <cell r="E2062" t="str">
            <v>건축공사</v>
          </cell>
          <cell r="F2062" t="str">
            <v>(철근콘크리트공사)</v>
          </cell>
          <cell r="G2062" t="str">
            <v>식</v>
          </cell>
          <cell r="I2062">
            <v>0</v>
          </cell>
        </row>
        <row r="2063">
          <cell r="A2063" t="str">
            <v>D03929</v>
          </cell>
          <cell r="B2063">
            <v>1</v>
          </cell>
          <cell r="C2063" t="str">
            <v>c</v>
          </cell>
          <cell r="D2063">
            <v>14617324</v>
          </cell>
          <cell r="E2063" t="str">
            <v>건축공사</v>
          </cell>
          <cell r="F2063" t="str">
            <v>(조적공사)</v>
          </cell>
          <cell r="G2063" t="str">
            <v>식</v>
          </cell>
          <cell r="I2063">
            <v>0</v>
          </cell>
        </row>
        <row r="2064">
          <cell r="A2064" t="str">
            <v>D03930</v>
          </cell>
          <cell r="B2064">
            <v>1</v>
          </cell>
          <cell r="C2064" t="str">
            <v>d</v>
          </cell>
          <cell r="D2064">
            <v>14617326</v>
          </cell>
          <cell r="E2064" t="str">
            <v>건축공사</v>
          </cell>
          <cell r="F2064" t="str">
            <v>(방수및미장공사)</v>
          </cell>
          <cell r="G2064" t="str">
            <v>식</v>
          </cell>
          <cell r="I2064">
            <v>0</v>
          </cell>
        </row>
        <row r="2065">
          <cell r="A2065" t="str">
            <v>D03931</v>
          </cell>
          <cell r="B2065">
            <v>1</v>
          </cell>
          <cell r="C2065" t="str">
            <v>e</v>
          </cell>
          <cell r="D2065">
            <v>14617327</v>
          </cell>
          <cell r="E2065" t="str">
            <v>건축공사</v>
          </cell>
          <cell r="F2065" t="str">
            <v>(창호공사)</v>
          </cell>
          <cell r="G2065" t="str">
            <v>식</v>
          </cell>
          <cell r="I2065">
            <v>0</v>
          </cell>
        </row>
        <row r="2066">
          <cell r="A2066" t="str">
            <v>D03932</v>
          </cell>
          <cell r="B2066">
            <v>1</v>
          </cell>
          <cell r="C2066" t="str">
            <v>f</v>
          </cell>
          <cell r="D2066">
            <v>14617328</v>
          </cell>
          <cell r="E2066" t="str">
            <v>건축공사</v>
          </cell>
          <cell r="F2066" t="str">
            <v>(도장공사)</v>
          </cell>
          <cell r="G2066" t="str">
            <v>식</v>
          </cell>
          <cell r="I2066">
            <v>0</v>
          </cell>
        </row>
        <row r="2067">
          <cell r="A2067" t="str">
            <v>D03933</v>
          </cell>
          <cell r="B2067">
            <v>1</v>
          </cell>
          <cell r="C2067" t="str">
            <v>g</v>
          </cell>
          <cell r="D2067">
            <v>14617392</v>
          </cell>
          <cell r="E2067" t="str">
            <v>건축공사</v>
          </cell>
          <cell r="F2067" t="str">
            <v>(수장공사및잡공사)</v>
          </cell>
          <cell r="G2067" t="str">
            <v>식</v>
          </cell>
          <cell r="I2067">
            <v>0</v>
          </cell>
        </row>
        <row r="2068">
          <cell r="A2068" t="str">
            <v>T2</v>
          </cell>
          <cell r="B2068">
            <v>2070</v>
          </cell>
          <cell r="C2068" t="str">
            <v>h</v>
          </cell>
          <cell r="D2068">
            <v>14617424</v>
          </cell>
          <cell r="E2068" t="str">
            <v>자 재 대</v>
          </cell>
          <cell r="I2068">
            <v>0</v>
          </cell>
        </row>
        <row r="2069">
          <cell r="A2069" t="str">
            <v>D00958</v>
          </cell>
          <cell r="B2069">
            <v>294</v>
          </cell>
          <cell r="C2069" t="str">
            <v>-1</v>
          </cell>
          <cell r="D2069">
            <v>14617440</v>
          </cell>
          <cell r="E2069" t="str">
            <v>시멘트운반</v>
          </cell>
          <cell r="F2069" t="str">
            <v>(40 Kg/ⓐ)</v>
          </cell>
          <cell r="G2069" t="str">
            <v>대</v>
          </cell>
          <cell r="I2069">
            <v>0</v>
          </cell>
        </row>
        <row r="2070">
          <cell r="A2070" t="str">
            <v>M00083</v>
          </cell>
          <cell r="B2070">
            <v>294</v>
          </cell>
          <cell r="C2070" t="str">
            <v>-2</v>
          </cell>
          <cell r="D2070">
            <v>14617448</v>
          </cell>
          <cell r="E2070" t="str">
            <v>시 멘 트</v>
          </cell>
          <cell r="F2070" t="str">
            <v>40 Kg/ⓐ</v>
          </cell>
          <cell r="G2070" t="str">
            <v>대</v>
          </cell>
          <cell r="I2070">
            <v>0</v>
          </cell>
        </row>
        <row r="2071">
          <cell r="A2071" t="str">
            <v>E2</v>
          </cell>
          <cell r="B2071">
            <v>0</v>
          </cell>
          <cell r="C2071" t="str">
            <v>계</v>
          </cell>
          <cell r="D2071">
            <v>14617452</v>
          </cell>
          <cell r="I2071">
            <v>0</v>
          </cell>
        </row>
        <row r="2072">
          <cell r="A2072" t="str">
            <v>E3</v>
          </cell>
          <cell r="B2072">
            <v>0</v>
          </cell>
          <cell r="C2072" t="str">
            <v>합계</v>
          </cell>
          <cell r="D2072">
            <v>14617454</v>
          </cell>
          <cell r="I2072">
            <v>0</v>
          </cell>
        </row>
        <row r="2073">
          <cell r="A2073" t="str">
            <v>E4</v>
          </cell>
          <cell r="B2073">
            <v>3097715144</v>
          </cell>
          <cell r="C2073" t="str">
            <v>총계</v>
          </cell>
          <cell r="D2073">
            <v>14617456</v>
          </cell>
          <cell r="I2073">
            <v>3097715144</v>
          </cell>
        </row>
        <row r="2074">
          <cell r="A2074" t="str">
            <v>E5</v>
          </cell>
          <cell r="B2074">
            <v>3097715144</v>
          </cell>
          <cell r="C2074" t="str">
            <v>총합계</v>
          </cell>
          <cell r="D2074">
            <v>14617584</v>
          </cell>
          <cell r="I2074">
            <v>3097715144</v>
          </cell>
        </row>
        <row r="2075">
          <cell r="A2075" t="str">
            <v>K1</v>
          </cell>
          <cell r="B2075">
            <v>1</v>
          </cell>
          <cell r="D2075">
            <v>14617712</v>
          </cell>
          <cell r="E2075" t="str">
            <v>간접 노무비</v>
          </cell>
          <cell r="G2075" t="str">
            <v>식</v>
          </cell>
          <cell r="I2075">
            <v>0</v>
          </cell>
        </row>
        <row r="2076">
          <cell r="A2076" t="str">
            <v>K2</v>
          </cell>
          <cell r="B2076">
            <v>1</v>
          </cell>
          <cell r="D2076">
            <v>14617840</v>
          </cell>
          <cell r="E2076" t="str">
            <v>산재 보험료</v>
          </cell>
          <cell r="G2076" t="str">
            <v>식</v>
          </cell>
          <cell r="I2076">
            <v>0</v>
          </cell>
        </row>
        <row r="2077">
          <cell r="A2077" t="str">
            <v>K3</v>
          </cell>
          <cell r="B2077">
            <v>1</v>
          </cell>
          <cell r="D2077">
            <v>14617968</v>
          </cell>
          <cell r="E2077" t="str">
            <v>안전 관리비</v>
          </cell>
          <cell r="G2077" t="str">
            <v>식</v>
          </cell>
          <cell r="I2077">
            <v>0</v>
          </cell>
        </row>
        <row r="2078">
          <cell r="A2078" t="str">
            <v>K4</v>
          </cell>
          <cell r="B2078">
            <v>1</v>
          </cell>
          <cell r="D2078">
            <v>14618096</v>
          </cell>
          <cell r="E2078" t="str">
            <v>기타   경비</v>
          </cell>
          <cell r="G2078" t="str">
            <v>식</v>
          </cell>
          <cell r="I2078">
            <v>0</v>
          </cell>
        </row>
        <row r="2079">
          <cell r="A2079" t="str">
            <v>K5</v>
          </cell>
          <cell r="B2079">
            <v>1</v>
          </cell>
          <cell r="D2079">
            <v>14618224</v>
          </cell>
          <cell r="E2079" t="str">
            <v>일반 관리비</v>
          </cell>
          <cell r="G2079" t="str">
            <v>식</v>
          </cell>
          <cell r="I2079">
            <v>0</v>
          </cell>
        </row>
        <row r="2080">
          <cell r="A2080" t="str">
            <v>K6</v>
          </cell>
          <cell r="B2080">
            <v>1</v>
          </cell>
          <cell r="D2080">
            <v>14618352</v>
          </cell>
          <cell r="E2080" t="str">
            <v>이       윤</v>
          </cell>
          <cell r="G2080" t="str">
            <v>식</v>
          </cell>
          <cell r="I2080">
            <v>0</v>
          </cell>
        </row>
        <row r="2081">
          <cell r="A2081" t="str">
            <v>K7</v>
          </cell>
          <cell r="B2081">
            <v>1</v>
          </cell>
          <cell r="D2081">
            <v>14618480</v>
          </cell>
          <cell r="E2081" t="str">
            <v>도로대장작성비</v>
          </cell>
          <cell r="G2081" t="str">
            <v>식</v>
          </cell>
          <cell r="I2081">
            <v>0</v>
          </cell>
        </row>
        <row r="2082">
          <cell r="A2082" t="str">
            <v>K8</v>
          </cell>
          <cell r="B2082">
            <v>1</v>
          </cell>
          <cell r="D2082">
            <v>14618608</v>
          </cell>
          <cell r="E2082" t="str">
            <v>준공도서작성비</v>
          </cell>
          <cell r="G2082" t="str">
            <v>식</v>
          </cell>
          <cell r="I2082">
            <v>0</v>
          </cell>
        </row>
        <row r="2083">
          <cell r="A2083" t="str">
            <v>K9</v>
          </cell>
          <cell r="B2083">
            <v>1</v>
          </cell>
          <cell r="D2083">
            <v>14618736</v>
          </cell>
          <cell r="E2083" t="str">
            <v>사후환경영향조사</v>
          </cell>
          <cell r="G2083" t="str">
            <v>P.S</v>
          </cell>
          <cell r="H2083">
            <v>150000000</v>
          </cell>
          <cell r="I2083">
            <v>150000000</v>
          </cell>
        </row>
        <row r="2084">
          <cell r="A2084" t="str">
            <v>K10</v>
          </cell>
          <cell r="B2084">
            <v>1</v>
          </cell>
          <cell r="D2084">
            <v>14618864</v>
          </cell>
          <cell r="E2084" t="str">
            <v>안전점검비</v>
          </cell>
          <cell r="G2084" t="str">
            <v>P.S</v>
          </cell>
          <cell r="H2084">
            <v>15865961</v>
          </cell>
          <cell r="I2084">
            <v>15865961</v>
          </cell>
        </row>
        <row r="2085">
          <cell r="A2085" t="str">
            <v>K11</v>
          </cell>
          <cell r="B2085">
            <v>1</v>
          </cell>
          <cell r="D2085">
            <v>14618992</v>
          </cell>
          <cell r="E2085" t="str">
            <v>고용보험료</v>
          </cell>
          <cell r="G2085" t="str">
            <v>식</v>
          </cell>
          <cell r="I2085">
            <v>0</v>
          </cell>
        </row>
        <row r="2086">
          <cell r="A2086" t="str">
            <v>K12</v>
          </cell>
          <cell r="B2086">
            <v>1</v>
          </cell>
          <cell r="D2086">
            <v>14619120</v>
          </cell>
          <cell r="E2086" t="str">
            <v>퇴직공제부금비</v>
          </cell>
          <cell r="G2086" t="str">
            <v>식</v>
          </cell>
          <cell r="I2086">
            <v>0</v>
          </cell>
        </row>
        <row r="2087">
          <cell r="A2087" t="str">
            <v>K13</v>
          </cell>
          <cell r="B2087">
            <v>1</v>
          </cell>
          <cell r="D2087">
            <v>14619248</v>
          </cell>
          <cell r="E2087" t="str">
            <v>공사손해보험료</v>
          </cell>
          <cell r="G2087" t="str">
            <v>식</v>
          </cell>
          <cell r="I2087">
            <v>0</v>
          </cell>
        </row>
        <row r="2088">
          <cell r="A2088" t="str">
            <v>K14</v>
          </cell>
          <cell r="B2088">
            <v>1</v>
          </cell>
          <cell r="D2088">
            <v>14619376</v>
          </cell>
          <cell r="E2088" t="str">
            <v>기술사용료</v>
          </cell>
          <cell r="G2088" t="str">
            <v>식</v>
          </cell>
          <cell r="I2088">
            <v>0</v>
          </cell>
        </row>
        <row r="2089">
          <cell r="A2089" t="str">
            <v>K15</v>
          </cell>
          <cell r="B2089">
            <v>1</v>
          </cell>
          <cell r="D2089">
            <v>14619504</v>
          </cell>
          <cell r="E2089" t="str">
            <v>폐기물위탁수수료</v>
          </cell>
          <cell r="G2089" t="str">
            <v>식</v>
          </cell>
          <cell r="I2089">
            <v>0</v>
          </cell>
        </row>
        <row r="2090">
          <cell r="A2090" t="str">
            <v>K16</v>
          </cell>
          <cell r="B2090">
            <v>1</v>
          </cell>
          <cell r="D2090">
            <v>14619632</v>
          </cell>
          <cell r="E2090" t="str">
            <v>부가 가치세</v>
          </cell>
          <cell r="G2090" t="str">
            <v>식</v>
          </cell>
          <cell r="I2090">
            <v>0</v>
          </cell>
        </row>
        <row r="2091">
          <cell r="A2091" t="str">
            <v>K17</v>
          </cell>
          <cell r="B2091">
            <v>1</v>
          </cell>
          <cell r="D2091">
            <v>14619760</v>
          </cell>
          <cell r="E2091" t="str">
            <v>한전수탁비</v>
          </cell>
          <cell r="G2091" t="str">
            <v>식</v>
          </cell>
          <cell r="I2091">
            <v>0</v>
          </cell>
        </row>
      </sheetData>
      <sheetData sheetId="2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구조물총"/>
      <sheetName val="BOX총"/>
      <sheetName val="BOX재료"/>
      <sheetName val="박스단위(1.5×1.0)본선"/>
      <sheetName val="날개단위(1.5×1.5)마을"/>
      <sheetName val="날개수량(1.5×1.5)2마을"/>
      <sheetName val="난간,지수단위"/>
      <sheetName val="난간,지수수량"/>
      <sheetName val="박스연장조서 "/>
      <sheetName val="우오수공집계"/>
      <sheetName val="우수받이집계"/>
      <sheetName val="우수받이단위"/>
      <sheetName val="우수받이위치조서"/>
      <sheetName val="오수관집계"/>
      <sheetName val="오수관연장조서"/>
      <sheetName val="Sheet1"/>
      <sheetName val="BID"/>
    </sheetNames>
    <definedNames>
      <definedName name="수식입력매크로"/>
      <definedName name="일위규격매크로"/>
      <definedName name="일위코드입력매크로"/>
      <definedName name="일위화면복귀매크로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-15"/>
      <sheetName val="총집계표"/>
      <sheetName val="BID"/>
      <sheetName val="양수장내역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조명시설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적표"/>
      <sheetName val="토공집계표"/>
      <sheetName val="토공분석표"/>
      <sheetName val="집계표"/>
      <sheetName val="자재대"/>
      <sheetName val="간지"/>
      <sheetName val="표지"/>
      <sheetName val="노임단"/>
      <sheetName val="일위대가9803"/>
      <sheetName val="BID"/>
      <sheetName val="슬래브"/>
      <sheetName val="몰탈재료산출"/>
      <sheetName val="가도공"/>
      <sheetName val="수량산출"/>
      <sheetName val="일위대가(가설)"/>
      <sheetName val="98수문일위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8NS-N"/>
      <sheetName val="단가근거"/>
      <sheetName val="누산총괄표"/>
      <sheetName val="품목조정율"/>
      <sheetName val="수량이동조서"/>
      <sheetName val="수량이동조서 (2)"/>
      <sheetName val="Module4"/>
      <sheetName val="조명시설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일위"/>
      <sheetName val="일위대가(1)"/>
      <sheetName val="4안전율"/>
      <sheetName val="노임단가"/>
      <sheetName val="조명시설"/>
      <sheetName val="98NS-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현설(토.철)"/>
      <sheetName val="토공견적서"/>
      <sheetName val="철콘견적서"/>
      <sheetName val="BID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단가목록"/>
      <sheetName val="토공단가"/>
      <sheetName val="배수단가"/>
      <sheetName val="부대단가"/>
      <sheetName val="운반거리(자갈)"/>
      <sheetName val="Sheet1"/>
      <sheetName val="Sheet2"/>
      <sheetName val="Sheet3"/>
      <sheetName val="자재단가"/>
      <sheetName val="양수장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단가산출"/>
      <sheetName val="운반단가산출"/>
      <sheetName val="98NS-N"/>
      <sheetName val="전기단가조사서"/>
      <sheetName val="자재단가"/>
      <sheetName val="일위대가(1)"/>
      <sheetName val="양수장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산출내역서집계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겊표지"/>
      <sheetName val="토공집계"/>
      <sheetName val="콘크리트집계"/>
      <sheetName val="철근집계"/>
      <sheetName val="laroux"/>
      <sheetName val="횡배수관 수량집계"/>
      <sheetName val="횡배수관 구체 수량집계"/>
      <sheetName val="흄관 구체단위수량"/>
      <sheetName val="횡배수관현황"/>
      <sheetName val="평균터파기고"/>
      <sheetName val="형식 - 1-2-3"/>
      <sheetName val="배수관토공T-1"/>
      <sheetName val="배수관토공T-2"/>
      <sheetName val="배수관토공T-3"/>
      <sheetName val="날개벽수량"/>
      <sheetName val="날개벽현황"/>
      <sheetName val="날개벽공제토"/>
      <sheetName val="종배수관공 수량집계"/>
      <sheetName val="종배수관 수량산출"/>
      <sheetName val="종배수관현황"/>
      <sheetName val="종배수관단위수량"/>
      <sheetName val="면벽수량산출"/>
      <sheetName val="면벽단위수량"/>
      <sheetName val="실행철강하도"/>
      <sheetName val="산출내역서집계표"/>
      <sheetName val="ABUT수량-A1"/>
      <sheetName val="금액내역서"/>
      <sheetName val="터파기및재료"/>
      <sheetName val="실행예산"/>
      <sheetName val="관로공표지"/>
      <sheetName val="여과지동"/>
      <sheetName val="기초자료"/>
      <sheetName val="원가"/>
      <sheetName val="Sheet1"/>
      <sheetName val="자재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겊표지"/>
      <sheetName val="토공집계"/>
      <sheetName val="콘크리트집계"/>
      <sheetName val="철근집계"/>
      <sheetName val="laroux"/>
      <sheetName val="횡배수관 수량집계"/>
      <sheetName val="횡배수관 구체 수량집계"/>
      <sheetName val="흄관 구체단위수량"/>
      <sheetName val="횡배수관현황"/>
      <sheetName val="평균터파기고"/>
      <sheetName val="형식 - 1-2-3"/>
      <sheetName val="배수관토공T-1"/>
      <sheetName val="배수관토공T-2"/>
      <sheetName val="배수관토공T-3"/>
      <sheetName val="날개벽수량"/>
      <sheetName val="날개벽현황"/>
      <sheetName val="날개벽공제토"/>
      <sheetName val="종배수관공 수량집계"/>
      <sheetName val="종배수관 수량산출"/>
      <sheetName val="종배수관현황"/>
      <sheetName val="종배수관단위수량"/>
      <sheetName val="면벽수량산출"/>
      <sheetName val="면벽단위수량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덕2결과"/>
      <sheetName val="방추골결과"/>
      <sheetName val="사막골결과"/>
      <sheetName val="등정골결과"/>
      <sheetName val="뱀골결과"/>
      <sheetName val="운남결과"/>
      <sheetName val="송두"/>
      <sheetName val="베리안"/>
      <sheetName val="장덕3"/>
      <sheetName val="부대장덕3"/>
      <sheetName val="부대송두"/>
      <sheetName val="부대안송"/>
      <sheetName val="부대베리"/>
      <sheetName val="부대사막"/>
      <sheetName val="부대장덕2"/>
      <sheetName val="부대뱀"/>
      <sheetName val="부대등정"/>
      <sheetName val="부대방추"/>
      <sheetName val="사업개요 (2)"/>
      <sheetName val="등정골"/>
      <sheetName val="방추골"/>
      <sheetName val="사막골"/>
      <sheetName val="장덕2"/>
      <sheetName val="뱀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2공구산출내역"/>
      <sheetName val="실행철강하도"/>
      <sheetName val="일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개요"/>
      <sheetName val="계산"/>
      <sheetName val="총괄"/>
      <sheetName val="내역"/>
      <sheetName val="일위"/>
      <sheetName val="일반시방서"/>
      <sheetName val="기술시방서"/>
      <sheetName val="2공구산출내역"/>
      <sheetName val="실행철강하도"/>
    </sheetNames>
    <sheetDataSet>
      <sheetData sheetId="0" refreshError="1"/>
      <sheetData sheetId="1"/>
      <sheetData sheetId="2"/>
      <sheetData sheetId="3"/>
      <sheetData sheetId="4"/>
      <sheetData sheetId="5" refreshError="1">
        <row r="73">
          <cell r="V73" t="str">
            <v>방진복</v>
          </cell>
          <cell r="W73" t="str">
            <v>소방용방수복</v>
          </cell>
          <cell r="X73" t="str">
            <v>SCA1205N</v>
          </cell>
          <cell r="Y73" t="str">
            <v>SET</v>
          </cell>
          <cell r="Z73">
            <v>520000</v>
          </cell>
          <cell r="AA73" t="str">
            <v>물자P1254</v>
          </cell>
        </row>
        <row r="74">
          <cell r="V74" t="str">
            <v>용접봉(3.2MM)</v>
          </cell>
          <cell r="W74" t="str">
            <v>SS400</v>
          </cell>
          <cell r="X74" t="str">
            <v>산소-철봉</v>
          </cell>
          <cell r="Y74" t="str">
            <v>KG</v>
          </cell>
          <cell r="Z74">
            <v>1130</v>
          </cell>
          <cell r="AA74" t="str">
            <v>물자P1066</v>
          </cell>
        </row>
        <row r="75">
          <cell r="V75" t="str">
            <v>용접봉(4MM)</v>
          </cell>
          <cell r="W75" t="str">
            <v>KSE4311,SM400</v>
          </cell>
          <cell r="X75" t="str">
            <v>전기-연강용</v>
          </cell>
          <cell r="Y75" t="str">
            <v>KG</v>
          </cell>
          <cell r="Z75">
            <v>1520</v>
          </cell>
          <cell r="AA75" t="str">
            <v>물자P1063</v>
          </cell>
        </row>
        <row r="76">
          <cell r="V76" t="str">
            <v>용접봉(3.2MM)</v>
          </cell>
          <cell r="W76" t="str">
            <v>STS304,고장력강용</v>
          </cell>
          <cell r="X76" t="str">
            <v>AWSE308-16</v>
          </cell>
          <cell r="Y76" t="str">
            <v>KG</v>
          </cell>
          <cell r="Z76">
            <v>5790</v>
          </cell>
          <cell r="AA76" t="str">
            <v>물자P1064</v>
          </cell>
        </row>
        <row r="77">
          <cell r="V77" t="str">
            <v>용접봉(4MM)</v>
          </cell>
          <cell r="W77" t="str">
            <v>"</v>
          </cell>
          <cell r="X77" t="str">
            <v>AWSE309-16</v>
          </cell>
          <cell r="Y77" t="str">
            <v>KG</v>
          </cell>
          <cell r="Z77">
            <v>8230</v>
          </cell>
          <cell r="AA77" t="str">
            <v>물자P1063</v>
          </cell>
        </row>
        <row r="78">
          <cell r="V78" t="str">
            <v>용접봉</v>
          </cell>
          <cell r="W78" t="str">
            <v>KSE4301연강용</v>
          </cell>
          <cell r="X78" t="str">
            <v>3.2MM</v>
          </cell>
          <cell r="Y78" t="str">
            <v>KG</v>
          </cell>
          <cell r="Z78">
            <v>1220</v>
          </cell>
          <cell r="AA78" t="str">
            <v>"</v>
          </cell>
        </row>
        <row r="79">
          <cell r="V79" t="str">
            <v>용접봉(3.2MM)</v>
          </cell>
          <cell r="W79" t="str">
            <v>AWSB-CUP(인청동)</v>
          </cell>
          <cell r="X79" t="str">
            <v>은납봉</v>
          </cell>
          <cell r="Y79" t="str">
            <v>KG</v>
          </cell>
          <cell r="Z79" t="str">
            <v>11.140</v>
          </cell>
          <cell r="AA79" t="str">
            <v>물자P1066</v>
          </cell>
        </row>
        <row r="80">
          <cell r="V80" t="str">
            <v>산소</v>
          </cell>
          <cell r="W80" t="str">
            <v>6000=6M³</v>
          </cell>
          <cell r="X80" t="str">
            <v>99%이상</v>
          </cell>
          <cell r="Y80" t="str">
            <v>M³</v>
          </cell>
          <cell r="Z80">
            <v>1333</v>
          </cell>
          <cell r="AA80" t="str">
            <v>물자P1143</v>
          </cell>
        </row>
        <row r="81">
          <cell r="V81" t="str">
            <v>산소</v>
          </cell>
          <cell r="W81" t="str">
            <v>6000L용</v>
          </cell>
          <cell r="X81" t="str">
            <v>99%이상</v>
          </cell>
          <cell r="Y81" t="str">
            <v>병</v>
          </cell>
          <cell r="Z81">
            <v>8000</v>
          </cell>
          <cell r="AA81" t="str">
            <v>"</v>
          </cell>
        </row>
        <row r="82">
          <cell r="V82" t="str">
            <v>아세틸렌</v>
          </cell>
          <cell r="W82" t="str">
            <v>1Kg=853L</v>
          </cell>
          <cell r="X82" t="str">
            <v>AC98%용접용</v>
          </cell>
          <cell r="Y82" t="str">
            <v>M³</v>
          </cell>
          <cell r="Z82">
            <v>7033</v>
          </cell>
          <cell r="AA82" t="str">
            <v>"</v>
          </cell>
        </row>
        <row r="83">
          <cell r="V83" t="str">
            <v>아세틸렌</v>
          </cell>
          <cell r="W83" t="str">
            <v>4500L용</v>
          </cell>
          <cell r="X83" t="str">
            <v>AC98%용접</v>
          </cell>
          <cell r="Y83" t="str">
            <v>통</v>
          </cell>
          <cell r="Z83">
            <v>31652</v>
          </cell>
          <cell r="AA83" t="str">
            <v>"</v>
          </cell>
        </row>
        <row r="84">
          <cell r="V84" t="str">
            <v>아세칠렌</v>
          </cell>
          <cell r="Y84" t="str">
            <v>KG</v>
          </cell>
          <cell r="Z84">
            <v>6000</v>
          </cell>
          <cell r="AA84" t="str">
            <v>"</v>
          </cell>
        </row>
        <row r="85">
          <cell r="V85" t="str">
            <v>휘발유</v>
          </cell>
          <cell r="W85" t="str">
            <v>무연</v>
          </cell>
          <cell r="Y85" t="str">
            <v>L</v>
          </cell>
          <cell r="Z85">
            <v>1179</v>
          </cell>
          <cell r="AA85" t="str">
            <v>거래P876</v>
          </cell>
        </row>
        <row r="86">
          <cell r="V86" t="str">
            <v>경유</v>
          </cell>
          <cell r="W86" t="str">
            <v>저유황</v>
          </cell>
          <cell r="X86" t="str">
            <v>0.1%</v>
          </cell>
          <cell r="Y86" t="str">
            <v>L</v>
          </cell>
          <cell r="Z86">
            <v>465</v>
          </cell>
          <cell r="AA86" t="str">
            <v>"</v>
          </cell>
        </row>
        <row r="87">
          <cell r="V87" t="str">
            <v>엔진유</v>
          </cell>
          <cell r="W87" t="str">
            <v>Zic Supervis HVI32-68</v>
          </cell>
          <cell r="X87" t="str">
            <v>건설장비용</v>
          </cell>
          <cell r="Y87" t="str">
            <v>L</v>
          </cell>
          <cell r="Z87">
            <v>1650</v>
          </cell>
          <cell r="AA87" t="str">
            <v>거래P878</v>
          </cell>
        </row>
        <row r="88">
          <cell r="V88" t="str">
            <v>건조유</v>
          </cell>
          <cell r="W88" t="str">
            <v>저유황0.5%</v>
          </cell>
          <cell r="X88" t="str">
            <v>경유</v>
          </cell>
          <cell r="Y88" t="str">
            <v>L</v>
          </cell>
          <cell r="Z88">
            <v>465</v>
          </cell>
          <cell r="AA88" t="str">
            <v>거래P876</v>
          </cell>
        </row>
        <row r="89">
          <cell r="V89" t="str">
            <v>세척유</v>
          </cell>
          <cell r="W89" t="str">
            <v>Therm 20-30</v>
          </cell>
          <cell r="X89" t="str">
            <v>열매체유</v>
          </cell>
          <cell r="Y89" t="str">
            <v>L</v>
          </cell>
          <cell r="Z89">
            <v>1150</v>
          </cell>
          <cell r="AA89" t="str">
            <v>거래P878</v>
          </cell>
        </row>
        <row r="90">
          <cell r="V90" t="str">
            <v>그리스</v>
          </cell>
          <cell r="W90" t="str">
            <v>Multifak EP0,1,2,3</v>
          </cell>
          <cell r="X90" t="str">
            <v>산업용</v>
          </cell>
          <cell r="Y90" t="str">
            <v>Kg</v>
          </cell>
          <cell r="Z90">
            <v>2666</v>
          </cell>
          <cell r="AA90" t="str">
            <v>거래P877</v>
          </cell>
        </row>
        <row r="91">
          <cell r="V91" t="str">
            <v>기계오일</v>
          </cell>
          <cell r="W91" t="str">
            <v>건설장비옹</v>
          </cell>
          <cell r="X91" t="str">
            <v>Rando Oil 32-68</v>
          </cell>
          <cell r="Y91" t="str">
            <v>L</v>
          </cell>
          <cell r="Z91">
            <v>1550</v>
          </cell>
          <cell r="AA91" t="str">
            <v>거래P878</v>
          </cell>
        </row>
        <row r="92">
          <cell r="V92" t="str">
            <v>아스팔트</v>
          </cell>
          <cell r="W92" t="str">
            <v>MC-1.3</v>
          </cell>
          <cell r="Y92" t="str">
            <v>L</v>
          </cell>
          <cell r="Z92">
            <v>290</v>
          </cell>
          <cell r="AA92" t="str">
            <v>거래P97</v>
          </cell>
        </row>
        <row r="93">
          <cell r="V93" t="str">
            <v>신너</v>
          </cell>
          <cell r="W93" t="str">
            <v>KSM 5319-2</v>
          </cell>
          <cell r="Y93" t="str">
            <v>L</v>
          </cell>
          <cell r="Z93">
            <v>1283</v>
          </cell>
          <cell r="AA93" t="str">
            <v>물자P399</v>
          </cell>
        </row>
        <row r="94">
          <cell r="V94" t="str">
            <v>신나</v>
          </cell>
          <cell r="W94" t="str">
            <v>EPOXY용</v>
          </cell>
          <cell r="X94" t="str">
            <v>024</v>
          </cell>
          <cell r="Y94" t="str">
            <v>L</v>
          </cell>
          <cell r="Z94">
            <v>2985</v>
          </cell>
          <cell r="AA94" t="str">
            <v>물자P386</v>
          </cell>
        </row>
        <row r="95">
          <cell r="V95" t="str">
            <v>신나</v>
          </cell>
          <cell r="W95" t="str">
            <v>ANTI FOULING</v>
          </cell>
          <cell r="X95" t="str">
            <v>SB-TN-133</v>
          </cell>
          <cell r="Y95" t="str">
            <v>L</v>
          </cell>
          <cell r="Z95">
            <v>1283</v>
          </cell>
          <cell r="AA95" t="str">
            <v>물자P399</v>
          </cell>
        </row>
        <row r="96">
          <cell r="V96" t="str">
            <v>희석재</v>
          </cell>
          <cell r="Y96" t="str">
            <v>통</v>
          </cell>
          <cell r="Z96">
            <v>8800</v>
          </cell>
          <cell r="AA96" t="str">
            <v>'98단가</v>
          </cell>
        </row>
        <row r="97">
          <cell r="V97" t="str">
            <v>녹막이페인트</v>
          </cell>
          <cell r="W97" t="str">
            <v>KSM 5311-2</v>
          </cell>
          <cell r="X97" t="str">
            <v>광명단</v>
          </cell>
          <cell r="Y97" t="str">
            <v>L</v>
          </cell>
          <cell r="Z97">
            <v>4178</v>
          </cell>
          <cell r="AA97" t="str">
            <v>거래P79</v>
          </cell>
        </row>
        <row r="98">
          <cell r="V98" t="str">
            <v>조합페인트</v>
          </cell>
          <cell r="W98" t="str">
            <v>KSM 5312 1급 백색</v>
          </cell>
          <cell r="Y98" t="str">
            <v>L</v>
          </cell>
          <cell r="Z98">
            <v>3900</v>
          </cell>
          <cell r="AA98" t="str">
            <v>"</v>
          </cell>
        </row>
        <row r="99">
          <cell r="V99" t="str">
            <v>TAL EPOXY</v>
          </cell>
          <cell r="X99" t="str">
            <v>HS0303</v>
          </cell>
          <cell r="Y99" t="str">
            <v>L</v>
          </cell>
          <cell r="Z99">
            <v>4063</v>
          </cell>
          <cell r="AA99" t="str">
            <v>물자P390</v>
          </cell>
        </row>
        <row r="100">
          <cell r="V100" t="str">
            <v>PURE EPOXY</v>
          </cell>
          <cell r="X100" t="str">
            <v>BP-S-20080</v>
          </cell>
          <cell r="Y100" t="str">
            <v>L</v>
          </cell>
          <cell r="Z100">
            <v>3500</v>
          </cell>
          <cell r="AA100" t="str">
            <v>물자P393</v>
          </cell>
        </row>
        <row r="101">
          <cell r="V101" t="str">
            <v>방오도료</v>
          </cell>
          <cell r="W101" t="str">
            <v>AF738 비닐수지계</v>
          </cell>
          <cell r="X101" t="str">
            <v>코비닐 A/F</v>
          </cell>
          <cell r="Y101" t="str">
            <v>L</v>
          </cell>
          <cell r="Z101">
            <v>14850</v>
          </cell>
          <cell r="AA101" t="str">
            <v>물자P406</v>
          </cell>
        </row>
        <row r="102">
          <cell r="V102" t="str">
            <v>ZINC RICH PRIMER</v>
          </cell>
          <cell r="X102" t="str">
            <v>KSM 5325 1종</v>
          </cell>
          <cell r="Y102" t="str">
            <v>L</v>
          </cell>
          <cell r="Z102">
            <v>10222</v>
          </cell>
          <cell r="AA102" t="str">
            <v>물가정P276</v>
          </cell>
        </row>
        <row r="103">
          <cell r="V103" t="str">
            <v>ATO COATING METAL</v>
          </cell>
          <cell r="Y103" t="str">
            <v>G</v>
          </cell>
          <cell r="Z103">
            <v>153</v>
          </cell>
          <cell r="AA103" t="str">
            <v>'98단가</v>
          </cell>
        </row>
        <row r="104">
          <cell r="V104" t="str">
            <v>넝마</v>
          </cell>
          <cell r="Y104" t="str">
            <v>KG</v>
          </cell>
          <cell r="Z104">
            <v>1200</v>
          </cell>
          <cell r="AA104" t="str">
            <v>물자.부15</v>
          </cell>
        </row>
        <row r="105">
          <cell r="V105" t="str">
            <v>연마지</v>
          </cell>
          <cell r="W105" t="str">
            <v>#120</v>
          </cell>
          <cell r="Y105" t="str">
            <v>매</v>
          </cell>
          <cell r="Z105">
            <v>190</v>
          </cell>
          <cell r="AA105" t="str">
            <v>거래755</v>
          </cell>
        </row>
        <row r="106">
          <cell r="V106" t="str">
            <v>퍼티</v>
          </cell>
          <cell r="W106" t="str">
            <v>철재면용</v>
          </cell>
          <cell r="Y106" t="str">
            <v>KG</v>
          </cell>
          <cell r="Z106">
            <v>696</v>
          </cell>
          <cell r="AA106" t="str">
            <v>물자389</v>
          </cell>
        </row>
        <row r="107">
          <cell r="V107" t="str">
            <v>WIRE BRUSH</v>
          </cell>
          <cell r="W107" t="str">
            <v>상품</v>
          </cell>
          <cell r="Y107" t="str">
            <v>EA</v>
          </cell>
          <cell r="Z107">
            <v>690</v>
          </cell>
          <cell r="AA107" t="str">
            <v>물자P1058</v>
          </cell>
        </row>
        <row r="108">
          <cell r="V108" t="str">
            <v>프라이머</v>
          </cell>
          <cell r="W108" t="str">
            <v xml:space="preserve">DC 3470 </v>
          </cell>
          <cell r="X108" t="str">
            <v>4333-02</v>
          </cell>
          <cell r="Y108" t="str">
            <v>KG</v>
          </cell>
          <cell r="Z108">
            <v>2850</v>
          </cell>
          <cell r="AA108" t="str">
            <v>적산378</v>
          </cell>
        </row>
        <row r="109">
          <cell r="V109" t="str">
            <v>테이프</v>
          </cell>
          <cell r="W109" t="str">
            <v>강관외부도장</v>
          </cell>
          <cell r="Y109" t="str">
            <v xml:space="preserve"> M²</v>
          </cell>
          <cell r="Z109">
            <v>4856</v>
          </cell>
          <cell r="AA109" t="str">
            <v>"</v>
          </cell>
        </row>
        <row r="110">
          <cell r="V110" t="str">
            <v>실링제</v>
          </cell>
          <cell r="W110" t="str">
            <v>"</v>
          </cell>
          <cell r="Y110" t="str">
            <v>KG</v>
          </cell>
          <cell r="Z110">
            <v>5082</v>
          </cell>
          <cell r="AA110" t="str">
            <v>"</v>
          </cell>
        </row>
        <row r="111">
          <cell r="V111" t="str">
            <v>플럭스</v>
          </cell>
          <cell r="W111" t="str">
            <v>고온용</v>
          </cell>
          <cell r="Y111" t="str">
            <v>G</v>
          </cell>
          <cell r="Z111">
            <v>13</v>
          </cell>
        </row>
        <row r="112">
          <cell r="V112" t="str">
            <v>아르곤</v>
          </cell>
          <cell r="W112" t="str">
            <v>AR 99.9%</v>
          </cell>
          <cell r="Y112" t="str">
            <v>L</v>
          </cell>
          <cell r="Z112">
            <v>2250</v>
          </cell>
          <cell r="AA112" t="str">
            <v>물자P1143</v>
          </cell>
        </row>
        <row r="113">
          <cell r="V113" t="str">
            <v>모래</v>
          </cell>
          <cell r="X113" t="str">
            <v>서울지역</v>
          </cell>
          <cell r="Y113" t="str">
            <v>M³</v>
          </cell>
          <cell r="Z113">
            <v>8000</v>
          </cell>
          <cell r="AA113" t="str">
            <v>물자P109</v>
          </cell>
        </row>
        <row r="114">
          <cell r="V114" t="str">
            <v>동력부러쉬</v>
          </cell>
          <cell r="W114" t="str">
            <v>벨트샌더(EBS-30)</v>
          </cell>
          <cell r="Y114" t="str">
            <v>대</v>
          </cell>
          <cell r="Z114">
            <v>150000</v>
          </cell>
          <cell r="AA114" t="str">
            <v>물자P1084</v>
          </cell>
        </row>
        <row r="115">
          <cell r="V115" t="str">
            <v>노즐</v>
          </cell>
          <cell r="W115" t="str">
            <v>산업용</v>
          </cell>
          <cell r="X115" t="str">
            <v>KEM3/8SUS</v>
          </cell>
          <cell r="Y115" t="str">
            <v>EA</v>
          </cell>
          <cell r="Z115">
            <v>38400</v>
          </cell>
          <cell r="AA115" t="str">
            <v>물자1107</v>
          </cell>
        </row>
        <row r="116">
          <cell r="V116" t="str">
            <v>함석</v>
          </cell>
          <cell r="W116" t="str">
            <v>#31*3*6</v>
          </cell>
          <cell r="X116" t="str">
            <v>KSD3506,0.25t</v>
          </cell>
          <cell r="Y116" t="str">
            <v xml:space="preserve">매 </v>
          </cell>
          <cell r="Z116">
            <v>2282</v>
          </cell>
          <cell r="AA116" t="str">
            <v>거래13</v>
          </cell>
        </row>
        <row r="117">
          <cell r="V117" t="str">
            <v>전력요금</v>
          </cell>
          <cell r="X117" t="str">
            <v>일반용평균</v>
          </cell>
          <cell r="Y117" t="str">
            <v>KWH</v>
          </cell>
          <cell r="Z117">
            <v>70.52</v>
          </cell>
          <cell r="AA117" t="str">
            <v>물가.부172</v>
          </cell>
        </row>
        <row r="118">
          <cell r="V118" t="str">
            <v>그라인다 돌</v>
          </cell>
          <cell r="W118" t="str">
            <v>305MM</v>
          </cell>
          <cell r="X118" t="str">
            <v>KS-L6501</v>
          </cell>
          <cell r="Y118" t="str">
            <v>EA</v>
          </cell>
          <cell r="Z118">
            <v>29000</v>
          </cell>
          <cell r="AA118" t="str">
            <v>거래P755</v>
          </cell>
        </row>
        <row r="119">
          <cell r="V119" t="str">
            <v>코우크스</v>
          </cell>
          <cell r="W119" t="str">
            <v>7300Kal/Kg</v>
          </cell>
          <cell r="X119" t="str">
            <v>중국산</v>
          </cell>
          <cell r="Y119" t="str">
            <v>KG</v>
          </cell>
          <cell r="Z119">
            <v>250</v>
          </cell>
          <cell r="AA119" t="str">
            <v>물정보1025</v>
          </cell>
        </row>
      </sheetData>
      <sheetData sheetId="6"/>
      <sheetData sheetId="7"/>
      <sheetData sheetId="8" refreshError="1"/>
      <sheetData sheetId="9" refreshError="1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실정내역"/>
      <sheetName val="일위"/>
      <sheetName val="실행철강하도"/>
      <sheetName val="일반공사"/>
      <sheetName val="Baby일위대가"/>
      <sheetName val="D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개요"/>
      <sheetName val="사통"/>
      <sheetName val="총괄"/>
      <sheetName val="단가검토"/>
      <sheetName val="설치중량 "/>
      <sheetName val="철거중량"/>
      <sheetName val="수문일위 "/>
      <sheetName val="자재단가"/>
      <sheetName val="#REF"/>
      <sheetName val="98수문일위"/>
      <sheetName val="DATA"/>
      <sheetName val="데이타"/>
      <sheetName val="산수배수"/>
      <sheetName val="내역"/>
      <sheetName val="노무비"/>
      <sheetName val="노임단가"/>
      <sheetName val="단가조사"/>
      <sheetName val="노임"/>
      <sheetName val="단가"/>
      <sheetName val="일위대가 (PM)"/>
      <sheetName val="일위목록"/>
      <sheetName val="Sheet1"/>
      <sheetName val="건축내역"/>
      <sheetName val="수목표준대가"/>
      <sheetName val="경산"/>
      <sheetName val="암거단위-1련"/>
      <sheetName val="내역서"/>
      <sheetName val="9-15"/>
      <sheetName val="7단가"/>
      <sheetName val="일위"/>
      <sheetName val="BQ(실행)"/>
      <sheetName val="DATA 입력부"/>
      <sheetName val="토사(PE)"/>
      <sheetName val="공내역"/>
      <sheetName val="자료"/>
      <sheetName val="2000년1차"/>
      <sheetName val="단가일람"/>
      <sheetName val="조경일람"/>
      <sheetName val="자재"/>
      <sheetName val="일위대가"/>
      <sheetName val="날개벽"/>
      <sheetName val="공감비"/>
      <sheetName val="집계표"/>
      <sheetName val="조도계산"/>
      <sheetName val="노임단가표"/>
      <sheetName val="자재단가표"/>
      <sheetName val="(A)내역서"/>
      <sheetName val="배수내역"/>
      <sheetName val="원가계산서"/>
      <sheetName val="요율"/>
      <sheetName val="상수도토공집계표"/>
      <sheetName val="부안일위"/>
      <sheetName val="부대tu"/>
      <sheetName val="토목단가"/>
      <sheetName val="단가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일위"/>
      <sheetName val="원가계산서구조조정"/>
      <sheetName val="재료비"/>
      <sheetName val="건축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내역"/>
      <sheetName val="데리네이타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"/>
      <sheetName val="설계표지"/>
      <sheetName val="설계설명서"/>
      <sheetName val="용역수량표"/>
      <sheetName val="용역비원가계산서"/>
      <sheetName val="설계내역"/>
      <sheetName val="일수"/>
      <sheetName val="일위대가"/>
      <sheetName val="단가표"/>
      <sheetName val="원가계산"/>
      <sheetName val="제경비계산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2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직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자재"/>
      <sheetName val="13.날개벽(2변)"/>
      <sheetName val="Sheet1"/>
      <sheetName val="Sheet2"/>
      <sheetName val="Sheet3"/>
      <sheetName val="총괄표"/>
      <sheetName val="교육진행비"/>
      <sheetName val="강사료"/>
      <sheetName val="교재제작비"/>
      <sheetName val="연수생중식비"/>
      <sheetName val="workshop진행비"/>
      <sheetName val="연수생여비"/>
      <sheetName val="수료증및케이스"/>
      <sheetName val="명찰"/>
      <sheetName val="현수막"/>
      <sheetName val="간접경비총괄"/>
      <sheetName val="간접경비_음료대"/>
      <sheetName val="간접경비_사무용품"/>
      <sheetName val="간접경비_운영비"/>
      <sheetName val="인건비"/>
      <sheetName val="간담회개최"/>
      <sheetName val="업무협의비"/>
      <sheetName val="부대경비총괄"/>
      <sheetName val="부대_사무용품"/>
      <sheetName val="부대_운영비"/>
      <sheetName val="부대_시설관리비"/>
      <sheetName val="KT020128-01(표지)"/>
      <sheetName val="등기구설치"/>
      <sheetName val="kt020128-01 (재료비)"/>
      <sheetName val="kt020128-01 (인건비)"/>
      <sheetName val="표지"/>
      <sheetName val="내역표지"/>
      <sheetName val="대강당내역(기계)"/>
      <sheetName val="대강당내역(전기)"/>
      <sheetName val="대강당산출(기계)"/>
      <sheetName val="대강당산출(전기)"/>
      <sheetName val="소강당(1)내역(기계)"/>
      <sheetName val="소강당(1)내역(전기)"/>
      <sheetName val="소강당(1)산출(기계)"/>
      <sheetName val="소강당(1)산출(전기)"/>
      <sheetName val="물가"/>
      <sheetName val="일위1"/>
      <sheetName val="일위2"/>
      <sheetName val="견적"/>
      <sheetName val="갑지"/>
      <sheetName val="내역(기계)"/>
      <sheetName val="내역(전기)"/>
      <sheetName val="기계산출"/>
      <sheetName val="전기산출"/>
      <sheetName val="임률기준"/>
      <sheetName val="일위대가"/>
      <sheetName val="견적대비"/>
      <sheetName val="산출"/>
      <sheetName val="내역(기산)"/>
      <sheetName val="내역 (전산)"/>
      <sheetName val="기산"/>
      <sheetName val="전산"/>
      <sheetName val="명갑"/>
      <sheetName val="명을"/>
      <sheetName val="대아갑지"/>
      <sheetName val="대아을"/>
      <sheetName val="경성기업"/>
      <sheetName val="경성을"/>
      <sheetName val="CONTOUR일위"/>
      <sheetName val="견적 갑지"/>
      <sheetName val="견적을지"/>
      <sheetName val="시공견적서"/>
      <sheetName val="구매내역"/>
      <sheetName val="구매내역 (2)"/>
      <sheetName val="신설 수량"/>
      <sheetName val="충청최종 "/>
      <sheetName val="충청"/>
      <sheetName val="노후설비교체"/>
      <sheetName val="유형합계"/>
      <sheetName val="차선유형"/>
      <sheetName val="일위집계"/>
      <sheetName val="설치단가data"/>
      <sheetName val="설노임단가"/>
      <sheetName val="경부선"/>
      <sheetName val="중부선"/>
      <sheetName val="영동선"/>
      <sheetName val="서해안선"/>
      <sheetName val="20간노율"/>
      <sheetName val="추가집행집계표"/>
      <sheetName val="2차원가"/>
      <sheetName val="집계표"/>
      <sheetName val="유형별 내역서"/>
      <sheetName val="물량산출서"/>
      <sheetName val="설노임 단가"/>
      <sheetName val="재료단가"/>
      <sheetName val="철근"/>
      <sheetName val="차선도면"/>
      <sheetName val="유리끼우기 (판유리)"/>
      <sheetName val="조명율표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준공검사"/>
      <sheetName val="표지"/>
      <sheetName val="원가계산서"/>
      <sheetName val="총괄표"/>
      <sheetName val="내역서"/>
      <sheetName val="수량자재집계"/>
      <sheetName val="제경비계산서 "/>
      <sheetName val="위치도"/>
      <sheetName val="위치조서"/>
      <sheetName val="플륨관900"/>
      <sheetName val="플륨관300"/>
      <sheetName val="소형Slab"/>
      <sheetName val="공종별간지"/>
      <sheetName val="토적표"/>
      <sheetName val="포장"/>
      <sheetName val="포장(난간)"/>
      <sheetName val="옹벽"/>
      <sheetName val="옹벽구조도"/>
      <sheetName val="포장깨기"/>
      <sheetName val="산출근거서식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  <sheetName val="관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시중노임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간지"/>
      <sheetName val="갑지"/>
      <sheetName val="경비산출"/>
      <sheetName val="공사비"/>
      <sheetName val="재료집계"/>
      <sheetName val="기계계산"/>
      <sheetName val="단가목록"/>
      <sheetName val="단가산출"/>
      <sheetName val="노임단가"/>
      <sheetName val="일반시방서"/>
      <sheetName val="기술시방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V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확약서"/>
      <sheetName val="실행하도사항"/>
      <sheetName val="실행별지"/>
      <sheetName val="실행하도잡비"/>
      <sheetName val="실행토공하도"/>
      <sheetName val="실행철콘하도"/>
      <sheetName val="실행철강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98NS-N"/>
      <sheetName val="조명시설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>
        <row r="1">
          <cell r="A1">
            <v>1</v>
          </cell>
        </row>
        <row r="2">
          <cell r="A2">
            <v>2</v>
          </cell>
        </row>
        <row r="3">
          <cell r="A3">
            <v>3</v>
          </cell>
        </row>
        <row r="4">
          <cell r="A4">
            <v>4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실행철강하도"/>
      <sheetName val="집계표"/>
    </sheetNames>
    <sheetDataSet>
      <sheetData sheetId="0" refreshError="1"/>
      <sheetData sheetId="1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토공"/>
      <sheetName val="자재"/>
      <sheetName val="수량"/>
      <sheetName val="수량1"/>
      <sheetName val="산근"/>
      <sheetName val="일위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no</v>
          </cell>
          <cell r="B2" t="str">
            <v>공종</v>
          </cell>
          <cell r="C2" t="str">
            <v>규격</v>
          </cell>
          <cell r="D2" t="str">
            <v>원수</v>
          </cell>
          <cell r="E2" t="str">
            <v>단위</v>
          </cell>
          <cell r="F2" t="str">
            <v>총          액</v>
          </cell>
          <cell r="H2" t="str">
            <v xml:space="preserve"> 노    무     비</v>
          </cell>
          <cell r="J2" t="str">
            <v xml:space="preserve">  재    료    비</v>
          </cell>
          <cell r="L2" t="str">
            <v xml:space="preserve">  경           비</v>
          </cell>
        </row>
        <row r="3">
          <cell r="F3" t="str">
            <v>단   가</v>
          </cell>
          <cell r="G3" t="str">
            <v>금    액</v>
          </cell>
          <cell r="H3" t="str">
            <v>단   가</v>
          </cell>
          <cell r="I3" t="str">
            <v>금    액</v>
          </cell>
          <cell r="J3" t="str">
            <v>단   가</v>
          </cell>
          <cell r="K3" t="str">
            <v>금    액</v>
          </cell>
          <cell r="L3" t="str">
            <v>단   가</v>
          </cell>
          <cell r="M3" t="str">
            <v>금    액</v>
          </cell>
        </row>
        <row r="4">
          <cell r="B4" t="str">
            <v>일위대가표</v>
          </cell>
        </row>
        <row r="5">
          <cell r="A5">
            <v>1</v>
          </cell>
          <cell r="B5" t="str">
            <v>순성토(적재,운반,고르기)</v>
          </cell>
          <cell r="D5">
            <v>1</v>
          </cell>
          <cell r="E5" t="str">
            <v>m3</v>
          </cell>
          <cell r="F5">
            <v>1384.7604559962751</v>
          </cell>
          <cell r="G5" t="str">
            <v/>
          </cell>
          <cell r="H5">
            <v>572.58047033768014</v>
          </cell>
          <cell r="I5" t="str">
            <v/>
          </cell>
          <cell r="J5">
            <v>328.89416050838588</v>
          </cell>
          <cell r="K5" t="str">
            <v/>
          </cell>
          <cell r="L5">
            <v>483.28582515020906</v>
          </cell>
          <cell r="M5" t="str">
            <v/>
          </cell>
        </row>
        <row r="6">
          <cell r="A6">
            <v>2</v>
          </cell>
          <cell r="B6" t="str">
            <v>돌자갈치우기</v>
          </cell>
          <cell r="D6">
            <v>1</v>
          </cell>
          <cell r="E6" t="str">
            <v>m2</v>
          </cell>
          <cell r="F6">
            <v>228.98739919354838</v>
          </cell>
          <cell r="G6" t="str">
            <v/>
          </cell>
          <cell r="H6">
            <v>228.98739919354838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>
            <v>3</v>
          </cell>
          <cell r="B7" t="str">
            <v>씨뿌리기</v>
          </cell>
          <cell r="D7">
            <v>1</v>
          </cell>
          <cell r="E7" t="str">
            <v>150m2</v>
          </cell>
          <cell r="F7">
            <v>328156.36366425181</v>
          </cell>
          <cell r="G7" t="str">
            <v/>
          </cell>
          <cell r="H7">
            <v>323352.17052758514</v>
          </cell>
          <cell r="I7" t="str">
            <v/>
          </cell>
          <cell r="J7">
            <v>3969.78</v>
          </cell>
          <cell r="K7" t="str">
            <v/>
          </cell>
          <cell r="L7">
            <v>834.41313666666679</v>
          </cell>
          <cell r="M7" t="str">
            <v/>
          </cell>
        </row>
        <row r="8">
          <cell r="A8">
            <v>4</v>
          </cell>
          <cell r="B8" t="str">
            <v>식재</v>
          </cell>
          <cell r="D8">
            <v>1</v>
          </cell>
          <cell r="E8" t="str">
            <v>ha</v>
          </cell>
          <cell r="F8">
            <v>1638455.2136166664</v>
          </cell>
          <cell r="G8" t="str">
            <v/>
          </cell>
          <cell r="H8">
            <v>965648.58</v>
          </cell>
          <cell r="I8" t="str">
            <v/>
          </cell>
          <cell r="J8">
            <v>587149.69999999995</v>
          </cell>
          <cell r="K8" t="str">
            <v/>
          </cell>
          <cell r="L8">
            <v>85656.933616666676</v>
          </cell>
        </row>
        <row r="9">
          <cell r="A9">
            <v>5</v>
          </cell>
          <cell r="B9" t="str">
            <v>터파기(인력+기계)</v>
          </cell>
          <cell r="D9">
            <v>1</v>
          </cell>
          <cell r="E9" t="str">
            <v>m3</v>
          </cell>
          <cell r="F9">
            <v>3133.859429075334</v>
          </cell>
          <cell r="G9" t="str">
            <v/>
          </cell>
          <cell r="H9">
            <v>2937.9594240362817</v>
          </cell>
          <cell r="I9" t="str">
            <v/>
          </cell>
          <cell r="J9">
            <v>41.373948097757619</v>
          </cell>
          <cell r="K9" t="str">
            <v/>
          </cell>
          <cell r="L9">
            <v>154.52605694129502</v>
          </cell>
          <cell r="M9" t="str">
            <v/>
          </cell>
        </row>
        <row r="10">
          <cell r="A10">
            <v>6</v>
          </cell>
          <cell r="B10" t="str">
            <v>되메우기(인력+기계)</v>
          </cell>
          <cell r="D10">
            <v>1</v>
          </cell>
          <cell r="E10" t="str">
            <v>m3</v>
          </cell>
          <cell r="F10">
            <v>1057.8785006527864</v>
          </cell>
          <cell r="G10" t="str">
            <v/>
          </cell>
          <cell r="H10">
            <v>885.53245516388381</v>
          </cell>
          <cell r="I10" t="str">
            <v/>
          </cell>
          <cell r="J10">
            <v>36.399367827939258</v>
          </cell>
          <cell r="K10" t="str">
            <v/>
          </cell>
          <cell r="L10">
            <v>135.94667766096339</v>
          </cell>
          <cell r="M10" t="str">
            <v/>
          </cell>
        </row>
        <row r="11">
          <cell r="A11">
            <v>7</v>
          </cell>
          <cell r="B11" t="str">
            <v>떼붙임(줄떼)</v>
          </cell>
          <cell r="D11">
            <v>1</v>
          </cell>
          <cell r="E11" t="str">
            <v>m2</v>
          </cell>
          <cell r="F11">
            <v>4000.3268066666669</v>
          </cell>
          <cell r="H11">
            <v>3274.3268066666669</v>
          </cell>
          <cell r="I11" t="str">
            <v/>
          </cell>
          <cell r="J11">
            <v>726.00000000000011</v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>
            <v>8</v>
          </cell>
          <cell r="B12" t="str">
            <v>떼붙임(평떼)</v>
          </cell>
          <cell r="D12">
            <v>1</v>
          </cell>
          <cell r="E12" t="str">
            <v>m2</v>
          </cell>
          <cell r="F12">
            <v>7132.2649200000005</v>
          </cell>
          <cell r="H12">
            <v>4470.2649200000005</v>
          </cell>
          <cell r="I12" t="str">
            <v/>
          </cell>
          <cell r="J12">
            <v>2662</v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>
            <v>9</v>
          </cell>
          <cell r="B13" t="str">
            <v>조약돌</v>
          </cell>
          <cell r="D13">
            <v>1</v>
          </cell>
          <cell r="E13" t="str">
            <v>m3</v>
          </cell>
          <cell r="F13">
            <v>26774.640123456789</v>
          </cell>
          <cell r="H13">
            <v>24098.038888888888</v>
          </cell>
          <cell r="I13" t="str">
            <v/>
          </cell>
          <cell r="J13">
            <v>1251.0049382716049</v>
          </cell>
          <cell r="K13" t="str">
            <v/>
          </cell>
          <cell r="L13">
            <v>1425.5962962962963</v>
          </cell>
          <cell r="M13" t="str">
            <v/>
          </cell>
        </row>
        <row r="14">
          <cell r="A14">
            <v>10</v>
          </cell>
          <cell r="B14" t="str">
            <v>선택층운반</v>
          </cell>
          <cell r="D14">
            <v>1</v>
          </cell>
          <cell r="E14" t="str">
            <v>m3</v>
          </cell>
          <cell r="F14">
            <v>9759.372011068961</v>
          </cell>
          <cell r="H14">
            <v>1552.8803140359557</v>
          </cell>
          <cell r="I14" t="str">
            <v/>
          </cell>
          <cell r="J14">
            <v>6605.1909979291513</v>
          </cell>
          <cell r="K14" t="str">
            <v/>
          </cell>
          <cell r="L14">
            <v>1601.300699103854</v>
          </cell>
          <cell r="M14" t="str">
            <v/>
          </cell>
        </row>
        <row r="15">
          <cell r="A15">
            <v>11</v>
          </cell>
          <cell r="B15" t="str">
            <v>선택층포설다짐</v>
          </cell>
          <cell r="D15">
            <v>1</v>
          </cell>
          <cell r="E15" t="str">
            <v>개소</v>
          </cell>
          <cell r="F15">
            <v>2294.8958471448568</v>
          </cell>
          <cell r="H15">
            <v>1588.5631927123568</v>
          </cell>
          <cell r="I15" t="str">
            <v/>
          </cell>
          <cell r="J15">
            <v>265.25141701671657</v>
          </cell>
          <cell r="K15" t="str">
            <v/>
          </cell>
          <cell r="L15">
            <v>441.08123741578379</v>
          </cell>
          <cell r="M15" t="str">
            <v/>
          </cell>
        </row>
        <row r="16">
          <cell r="A16">
            <v>12</v>
          </cell>
          <cell r="B16" t="str">
            <v>보조기층운반</v>
          </cell>
          <cell r="D16">
            <v>1</v>
          </cell>
          <cell r="E16" t="str">
            <v>m3</v>
          </cell>
          <cell r="F16">
            <v>12275.382518029823</v>
          </cell>
          <cell r="H16">
            <v>1701.3814960690527</v>
          </cell>
          <cell r="I16" t="str">
            <v/>
          </cell>
          <cell r="J16">
            <v>8819.5687231721258</v>
          </cell>
          <cell r="K16" t="str">
            <v/>
          </cell>
          <cell r="L16">
            <v>1754.4322987886451</v>
          </cell>
          <cell r="M16" t="str">
            <v/>
          </cell>
        </row>
        <row r="17">
          <cell r="A17">
            <v>13</v>
          </cell>
          <cell r="B17" t="str">
            <v>보조기층포설다짐</v>
          </cell>
          <cell r="D17">
            <v>1</v>
          </cell>
          <cell r="E17" t="str">
            <v>m3</v>
          </cell>
          <cell r="F17">
            <v>2114.5266248268026</v>
          </cell>
          <cell r="H17">
            <v>1521.9041039098329</v>
          </cell>
          <cell r="J17">
            <v>212.38711743436403</v>
          </cell>
          <cell r="K17" t="str">
            <v/>
          </cell>
          <cell r="L17">
            <v>380.23540348260553</v>
          </cell>
          <cell r="M17" t="str">
            <v/>
          </cell>
        </row>
        <row r="18">
          <cell r="A18">
            <v>14</v>
          </cell>
          <cell r="B18" t="str">
            <v>하판거푸집(1회)</v>
          </cell>
          <cell r="D18">
            <v>1</v>
          </cell>
          <cell r="E18" t="str">
            <v>식</v>
          </cell>
          <cell r="F18">
            <v>39561.096200000007</v>
          </cell>
          <cell r="H18">
            <v>27810.290000000005</v>
          </cell>
          <cell r="J18">
            <v>11750.806200000003</v>
          </cell>
        </row>
        <row r="19">
          <cell r="A19">
            <v>15</v>
          </cell>
          <cell r="B19" t="str">
            <v>하판거푸집(2회)</v>
          </cell>
          <cell r="D19">
            <v>1</v>
          </cell>
          <cell r="E19" t="str">
            <v>식</v>
          </cell>
          <cell r="F19">
            <v>23384.133534000004</v>
          </cell>
          <cell r="H19">
            <v>16686.174000000003</v>
          </cell>
          <cell r="J19">
            <v>6697.9595340000005</v>
          </cell>
        </row>
        <row r="20">
          <cell r="A20">
            <v>16</v>
          </cell>
          <cell r="B20" t="str">
            <v>하판거푸집(3회)</v>
          </cell>
          <cell r="D20">
            <v>1</v>
          </cell>
          <cell r="E20" t="str">
            <v>식</v>
          </cell>
          <cell r="F20">
            <v>18515.768248200002</v>
          </cell>
          <cell r="H20">
            <v>13098.646590000002</v>
          </cell>
          <cell r="J20">
            <v>5417.1216582000015</v>
          </cell>
        </row>
        <row r="21">
          <cell r="A21">
            <v>17</v>
          </cell>
          <cell r="B21" t="str">
            <v>하판거푸집(4회)</v>
          </cell>
          <cell r="D21">
            <v>1</v>
          </cell>
          <cell r="E21" t="str">
            <v>식</v>
          </cell>
          <cell r="F21">
            <v>15836.189286200002</v>
          </cell>
          <cell r="H21">
            <v>11124.116000000002</v>
          </cell>
          <cell r="J21">
            <v>4712.0732862000013</v>
          </cell>
        </row>
        <row r="22">
          <cell r="A22">
            <v>18</v>
          </cell>
          <cell r="B22" t="str">
            <v>하판거푸집(5회)</v>
          </cell>
          <cell r="D22">
            <v>1</v>
          </cell>
          <cell r="E22" t="str">
            <v>식</v>
          </cell>
          <cell r="F22">
            <v>13870.668280200003</v>
          </cell>
          <cell r="H22">
            <v>9511.1191800000015</v>
          </cell>
          <cell r="J22">
            <v>4359.5491002000008</v>
          </cell>
        </row>
        <row r="23">
          <cell r="A23">
            <v>19</v>
          </cell>
          <cell r="B23" t="str">
            <v>하판거푸집(6회)</v>
          </cell>
          <cell r="D23">
            <v>1</v>
          </cell>
          <cell r="E23" t="str">
            <v>식</v>
          </cell>
          <cell r="F23">
            <v>12976.822551400002</v>
          </cell>
          <cell r="H23">
            <v>8899.2928000000011</v>
          </cell>
          <cell r="J23">
            <v>4077.5297514000008</v>
          </cell>
        </row>
        <row r="24">
          <cell r="A24">
            <v>20</v>
          </cell>
          <cell r="B24" t="str">
            <v>비계(목재 1회)</v>
          </cell>
          <cell r="D24">
            <v>1</v>
          </cell>
          <cell r="E24" t="str">
            <v>식</v>
          </cell>
          <cell r="F24">
            <v>24653.035899999999</v>
          </cell>
          <cell r="H24">
            <v>22703</v>
          </cell>
          <cell r="J24">
            <v>1950.0359000000001</v>
          </cell>
          <cell r="L24">
            <v>0</v>
          </cell>
        </row>
        <row r="25">
          <cell r="A25">
            <v>21</v>
          </cell>
          <cell r="B25" t="str">
            <v>비계(목재 2회)</v>
          </cell>
          <cell r="D25">
            <v>1</v>
          </cell>
          <cell r="E25" t="str">
            <v>식</v>
          </cell>
          <cell r="F25">
            <v>24009.524053000001</v>
          </cell>
          <cell r="H25">
            <v>22703</v>
          </cell>
          <cell r="J25">
            <v>1306.5240530000001</v>
          </cell>
        </row>
        <row r="26">
          <cell r="A26">
            <v>22</v>
          </cell>
          <cell r="B26" t="str">
            <v>비계(목재 3회)</v>
          </cell>
          <cell r="D26">
            <v>1</v>
          </cell>
          <cell r="E26" t="str">
            <v>식</v>
          </cell>
          <cell r="F26">
            <v>23804.770283500002</v>
          </cell>
          <cell r="H26">
            <v>22703</v>
          </cell>
          <cell r="J26">
            <v>1101.7702835</v>
          </cell>
        </row>
        <row r="27">
          <cell r="A27">
            <v>23</v>
          </cell>
          <cell r="B27" t="str">
            <v>비계(목재 4회)</v>
          </cell>
          <cell r="D27">
            <v>1</v>
          </cell>
          <cell r="E27" t="str">
            <v>식</v>
          </cell>
          <cell r="F27">
            <v>23709.218524399999</v>
          </cell>
          <cell r="H27">
            <v>22703</v>
          </cell>
          <cell r="J27">
            <v>1006.2185244000001</v>
          </cell>
        </row>
        <row r="28">
          <cell r="A28">
            <v>24</v>
          </cell>
          <cell r="B28" t="str">
            <v>비계(목재 5회)</v>
          </cell>
          <cell r="D28">
            <v>1</v>
          </cell>
          <cell r="E28" t="str">
            <v>식</v>
          </cell>
          <cell r="F28">
            <v>23656.567555099999</v>
          </cell>
          <cell r="H28">
            <v>22703</v>
          </cell>
          <cell r="J28">
            <v>953.56755510000005</v>
          </cell>
        </row>
        <row r="29">
          <cell r="A29">
            <v>25</v>
          </cell>
          <cell r="B29" t="str">
            <v>비계(목재 6회)</v>
          </cell>
          <cell r="D29">
            <v>1</v>
          </cell>
          <cell r="E29" t="str">
            <v>식</v>
          </cell>
          <cell r="F29">
            <v>23625.366980700001</v>
          </cell>
          <cell r="H29">
            <v>22703</v>
          </cell>
          <cell r="J29">
            <v>922.3669807</v>
          </cell>
        </row>
        <row r="30">
          <cell r="A30">
            <v>26</v>
          </cell>
          <cell r="B30" t="str">
            <v>비계(강관 3월)</v>
          </cell>
          <cell r="D30">
            <v>1</v>
          </cell>
          <cell r="E30" t="str">
            <v>식</v>
          </cell>
          <cell r="F30">
            <v>8923.0969999999998</v>
          </cell>
          <cell r="H30">
            <v>7856.8</v>
          </cell>
          <cell r="I30" t="str">
            <v/>
          </cell>
          <cell r="J30">
            <v>673.45699999999999</v>
          </cell>
          <cell r="K30" t="str">
            <v/>
          </cell>
          <cell r="L30">
            <v>392.84000000000003</v>
          </cell>
          <cell r="M30" t="str">
            <v/>
          </cell>
        </row>
        <row r="31">
          <cell r="A31">
            <v>27</v>
          </cell>
          <cell r="B31" t="str">
            <v>비계(강관 6월)</v>
          </cell>
          <cell r="D31">
            <v>1</v>
          </cell>
          <cell r="E31" t="str">
            <v>식</v>
          </cell>
          <cell r="F31">
            <v>9350.7350000000006</v>
          </cell>
          <cell r="H31">
            <v>7856.8</v>
          </cell>
          <cell r="I31" t="str">
            <v/>
          </cell>
          <cell r="J31">
            <v>1101.095</v>
          </cell>
          <cell r="K31" t="str">
            <v/>
          </cell>
          <cell r="L31">
            <v>392.84000000000003</v>
          </cell>
          <cell r="M31" t="str">
            <v/>
          </cell>
        </row>
        <row r="32">
          <cell r="A32">
            <v>28</v>
          </cell>
          <cell r="B32" t="str">
            <v>비계(강관 12월)</v>
          </cell>
          <cell r="D32">
            <v>1</v>
          </cell>
          <cell r="E32" t="str">
            <v>식</v>
          </cell>
          <cell r="F32">
            <v>10313.120500000001</v>
          </cell>
          <cell r="H32">
            <v>7856.8</v>
          </cell>
          <cell r="I32" t="str">
            <v/>
          </cell>
          <cell r="J32">
            <v>2063.4805000000001</v>
          </cell>
          <cell r="K32" t="str">
            <v/>
          </cell>
          <cell r="L32">
            <v>392.84000000000003</v>
          </cell>
          <cell r="M32" t="str">
            <v/>
          </cell>
        </row>
        <row r="33">
          <cell r="A33">
            <v>29</v>
          </cell>
          <cell r="B33" t="str">
            <v>비계(강관 24월)</v>
          </cell>
          <cell r="D33">
            <v>1</v>
          </cell>
          <cell r="E33" t="str">
            <v>식</v>
          </cell>
          <cell r="F33">
            <v>12237.4915</v>
          </cell>
          <cell r="H33">
            <v>7856.8</v>
          </cell>
          <cell r="I33" t="str">
            <v/>
          </cell>
          <cell r="J33">
            <v>3987.8515000000002</v>
          </cell>
          <cell r="K33" t="str">
            <v/>
          </cell>
          <cell r="L33">
            <v>392.84000000000003</v>
          </cell>
          <cell r="M33" t="str">
            <v/>
          </cell>
        </row>
        <row r="34">
          <cell r="A34">
            <v>30</v>
          </cell>
          <cell r="B34" t="str">
            <v>비계(강관 36월)</v>
          </cell>
          <cell r="D34">
            <v>1</v>
          </cell>
          <cell r="E34" t="str">
            <v>식</v>
          </cell>
          <cell r="F34">
            <v>13970.462500000001</v>
          </cell>
          <cell r="H34">
            <v>7856.8</v>
          </cell>
          <cell r="I34" t="str">
            <v/>
          </cell>
          <cell r="J34">
            <v>5720.8225000000011</v>
          </cell>
          <cell r="K34" t="str">
            <v/>
          </cell>
          <cell r="L34">
            <v>392.84000000000003</v>
          </cell>
          <cell r="M34" t="str">
            <v/>
          </cell>
        </row>
        <row r="35">
          <cell r="A35">
            <v>31</v>
          </cell>
          <cell r="B35" t="str">
            <v>사토(적사+운반+정지,다짐)</v>
          </cell>
          <cell r="D35">
            <v>1</v>
          </cell>
          <cell r="E35" t="str">
            <v>m3</v>
          </cell>
          <cell r="F35">
            <v>1544.2344945753239</v>
          </cell>
          <cell r="H35">
            <v>588.02636146457382</v>
          </cell>
          <cell r="I35" t="str">
            <v/>
          </cell>
          <cell r="J35">
            <v>418.93575797318385</v>
          </cell>
          <cell r="K35" t="str">
            <v/>
          </cell>
          <cell r="L35">
            <v>537.2723751375662</v>
          </cell>
          <cell r="M35" t="str">
            <v/>
          </cell>
        </row>
        <row r="36">
          <cell r="A36">
            <v>32</v>
          </cell>
          <cell r="B36" t="str">
            <v>초류종자살포</v>
          </cell>
          <cell r="D36">
            <v>100</v>
          </cell>
          <cell r="E36" t="str">
            <v>m2</v>
          </cell>
          <cell r="F36">
            <v>0</v>
          </cell>
        </row>
        <row r="37">
          <cell r="A37">
            <v>33</v>
          </cell>
          <cell r="B37" t="str">
            <v>터파기(기계)</v>
          </cell>
          <cell r="D37">
            <v>1</v>
          </cell>
          <cell r="E37" t="str">
            <v>m3</v>
          </cell>
          <cell r="F37">
            <v>514.10462333081387</v>
          </cell>
          <cell r="H37">
            <v>267.25481859410434</v>
          </cell>
          <cell r="I37" t="str">
            <v/>
          </cell>
          <cell r="J37">
            <v>52.134511211892168</v>
          </cell>
          <cell r="K37" t="str">
            <v/>
          </cell>
          <cell r="L37">
            <v>194.71529352481735</v>
          </cell>
          <cell r="M37" t="str">
            <v/>
          </cell>
        </row>
        <row r="38">
          <cell r="A38">
            <v>34</v>
          </cell>
          <cell r="B38" t="str">
            <v>되메우기(기계)</v>
          </cell>
          <cell r="D38">
            <v>1</v>
          </cell>
          <cell r="E38" t="str">
            <v>m3</v>
          </cell>
          <cell r="F38">
            <v>448.67312581598298</v>
          </cell>
          <cell r="H38">
            <v>233.24056895485467</v>
          </cell>
          <cell r="I38" t="str">
            <v/>
          </cell>
          <cell r="J38">
            <v>45.499209784924069</v>
          </cell>
          <cell r="K38" t="str">
            <v/>
          </cell>
          <cell r="L38">
            <v>169.93334707620423</v>
          </cell>
          <cell r="M38" t="str">
            <v/>
          </cell>
        </row>
        <row r="39">
          <cell r="A39">
            <v>35</v>
          </cell>
          <cell r="B39" t="str">
            <v>철근가공조립(간단)</v>
          </cell>
          <cell r="D39">
            <v>1</v>
          </cell>
          <cell r="E39" t="str">
            <v>ton</v>
          </cell>
          <cell r="F39">
            <v>265004.30000000005</v>
          </cell>
          <cell r="H39">
            <v>261754.30000000002</v>
          </cell>
          <cell r="I39" t="str">
            <v/>
          </cell>
          <cell r="J39">
            <v>3250</v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>
            <v>36</v>
          </cell>
          <cell r="B40" t="str">
            <v>철근가공조립(보통)</v>
          </cell>
          <cell r="D40">
            <v>1</v>
          </cell>
          <cell r="E40" t="str">
            <v>ton</v>
          </cell>
          <cell r="F40">
            <v>365024.4</v>
          </cell>
          <cell r="H40">
            <v>360799.4</v>
          </cell>
          <cell r="I40" t="str">
            <v/>
          </cell>
          <cell r="J40">
            <v>4225</v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>
            <v>37</v>
          </cell>
          <cell r="B41" t="str">
            <v>철근가공조립(복잡)</v>
          </cell>
          <cell r="D41">
            <v>1</v>
          </cell>
          <cell r="E41" t="str">
            <v>ton</v>
          </cell>
          <cell r="F41">
            <v>457946.6</v>
          </cell>
          <cell r="H41">
            <v>452746.6</v>
          </cell>
          <cell r="I41" t="str">
            <v/>
          </cell>
          <cell r="J41">
            <v>5200</v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>
            <v>38</v>
          </cell>
          <cell r="B42" t="str">
            <v>레미콘타설(인력,무근)</v>
          </cell>
          <cell r="D42">
            <v>1</v>
          </cell>
          <cell r="E42" t="str">
            <v>m3</v>
          </cell>
          <cell r="F42">
            <v>19124.34</v>
          </cell>
          <cell r="H42">
            <v>19124.34</v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>
            <v>39</v>
          </cell>
          <cell r="B43" t="str">
            <v>레미콘타설(인력,철근)</v>
          </cell>
          <cell r="D43">
            <v>1</v>
          </cell>
          <cell r="E43" t="str">
            <v>m3</v>
          </cell>
          <cell r="F43">
            <v>21307.470370370371</v>
          </cell>
          <cell r="H43">
            <v>21115.1</v>
          </cell>
          <cell r="I43" t="str">
            <v/>
          </cell>
          <cell r="J43">
            <v>145.92592592592592</v>
          </cell>
          <cell r="K43" t="str">
            <v/>
          </cell>
          <cell r="L43">
            <v>46.444444444444443</v>
          </cell>
          <cell r="M43" t="str">
            <v/>
          </cell>
        </row>
        <row r="44">
          <cell r="A44">
            <v>40</v>
          </cell>
          <cell r="B44" t="str">
            <v>레미콘타설(소형구조물)</v>
          </cell>
          <cell r="D44">
            <v>1</v>
          </cell>
          <cell r="E44" t="str">
            <v>m3</v>
          </cell>
          <cell r="F44">
            <v>30349.950370370374</v>
          </cell>
          <cell r="H44">
            <v>30179.58</v>
          </cell>
          <cell r="I44" t="str">
            <v/>
          </cell>
          <cell r="J44">
            <v>145.92592592592592</v>
          </cell>
          <cell r="K44" t="str">
            <v/>
          </cell>
          <cell r="L44">
            <v>24.444444444444443</v>
          </cell>
          <cell r="M44" t="str">
            <v/>
          </cell>
        </row>
        <row r="45">
          <cell r="A45">
            <v>41</v>
          </cell>
          <cell r="B45" t="str">
            <v>몰탈(1:2)</v>
          </cell>
          <cell r="D45">
            <v>1</v>
          </cell>
          <cell r="E45" t="str">
            <v>m3</v>
          </cell>
          <cell r="F45">
            <v>45761.3</v>
          </cell>
          <cell r="H45">
            <v>37921.300000000003</v>
          </cell>
          <cell r="I45" t="str">
            <v/>
          </cell>
          <cell r="J45">
            <v>7840</v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>
            <v>42</v>
          </cell>
          <cell r="B46" t="str">
            <v>몰탈(1:3)</v>
          </cell>
          <cell r="D46">
            <v>1</v>
          </cell>
          <cell r="E46" t="str">
            <v>m3</v>
          </cell>
          <cell r="F46">
            <v>40884.800000000003</v>
          </cell>
          <cell r="H46">
            <v>38285.5</v>
          </cell>
          <cell r="I46" t="str">
            <v/>
          </cell>
          <cell r="J46">
            <v>2599.3000000000002</v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>
            <v>43</v>
          </cell>
          <cell r="B47" t="str">
            <v>흄관부설(d=300)</v>
          </cell>
          <cell r="D47">
            <v>1</v>
          </cell>
          <cell r="E47" t="str">
            <v>m</v>
          </cell>
          <cell r="F47">
            <v>26982.234750728403</v>
          </cell>
          <cell r="H47">
            <v>25716.478646800002</v>
          </cell>
          <cell r="I47" t="str">
            <v/>
          </cell>
          <cell r="J47">
            <v>1265.7561039284001</v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>
            <v>44</v>
          </cell>
          <cell r="B48" t="str">
            <v>흄관부설(d=600)</v>
          </cell>
          <cell r="D48">
            <v>1</v>
          </cell>
          <cell r="E48" t="str">
            <v>m</v>
          </cell>
          <cell r="F48">
            <v>73425.346641680007</v>
          </cell>
          <cell r="H48">
            <v>53432.999580000003</v>
          </cell>
          <cell r="I48" t="str">
            <v/>
          </cell>
          <cell r="J48">
            <v>6353.8357016800001</v>
          </cell>
          <cell r="K48" t="str">
            <v/>
          </cell>
          <cell r="L48">
            <v>13638.511360000002</v>
          </cell>
          <cell r="M48" t="str">
            <v/>
          </cell>
        </row>
        <row r="49">
          <cell r="A49">
            <v>45</v>
          </cell>
          <cell r="B49" t="str">
            <v>집수정</v>
          </cell>
          <cell r="D49">
            <v>1</v>
          </cell>
          <cell r="E49" t="str">
            <v>개소</v>
          </cell>
          <cell r="F49">
            <v>319971.45607212745</v>
          </cell>
          <cell r="H49">
            <v>245778.30540000001</v>
          </cell>
          <cell r="I49" t="str">
            <v/>
          </cell>
          <cell r="J49">
            <v>74142.061783238547</v>
          </cell>
          <cell r="K49" t="str">
            <v/>
          </cell>
          <cell r="L49">
            <v>51.088888888888889</v>
          </cell>
          <cell r="M49" t="str">
            <v/>
          </cell>
        </row>
        <row r="50">
          <cell r="A50">
            <v>46</v>
          </cell>
          <cell r="B50" t="str">
            <v>플륨관부설(300*300)</v>
          </cell>
          <cell r="D50">
            <v>1</v>
          </cell>
          <cell r="E50" t="str">
            <v>식</v>
          </cell>
          <cell r="F50">
            <v>6304.1260000000002</v>
          </cell>
          <cell r="H50">
            <v>5626.8779999999997</v>
          </cell>
          <cell r="I50" t="str">
            <v/>
          </cell>
          <cell r="J50">
            <v>111.488</v>
          </cell>
          <cell r="K50" t="str">
            <v/>
          </cell>
          <cell r="L50">
            <v>565.76</v>
          </cell>
          <cell r="M50" t="str">
            <v/>
          </cell>
        </row>
        <row r="51">
          <cell r="A51">
            <v>47</v>
          </cell>
          <cell r="B51" t="str">
            <v>옹벽설치(H=2.5)</v>
          </cell>
          <cell r="D51">
            <v>1</v>
          </cell>
          <cell r="E51" t="str">
            <v>m</v>
          </cell>
          <cell r="F51">
            <v>250213.46901009729</v>
          </cell>
          <cell r="H51">
            <v>210085.15126190224</v>
          </cell>
          <cell r="I51" t="str">
            <v/>
          </cell>
          <cell r="J51">
            <v>38249.277007454308</v>
          </cell>
          <cell r="K51" t="str">
            <v/>
          </cell>
          <cell r="L51">
            <v>1879.0407407407406</v>
          </cell>
          <cell r="M51" t="str">
            <v/>
          </cell>
        </row>
        <row r="52">
          <cell r="A52">
            <v>48</v>
          </cell>
          <cell r="B52" t="str">
            <v>콘크리트포장</v>
          </cell>
          <cell r="D52">
            <v>1</v>
          </cell>
          <cell r="E52" t="str">
            <v>m2</v>
          </cell>
          <cell r="F52">
            <v>11391.45176874541</v>
          </cell>
          <cell r="H52">
            <v>8777.1977785956733</v>
          </cell>
          <cell r="I52" t="str">
            <v/>
          </cell>
          <cell r="J52">
            <v>1879.5528485918878</v>
          </cell>
          <cell r="K52" t="str">
            <v/>
          </cell>
          <cell r="L52">
            <v>734.70114155784972</v>
          </cell>
          <cell r="M52" t="str">
            <v/>
          </cell>
        </row>
        <row r="53">
          <cell r="A53">
            <v>49</v>
          </cell>
          <cell r="B53" t="str">
            <v>양생</v>
          </cell>
          <cell r="D53">
            <v>1</v>
          </cell>
          <cell r="E53" t="str">
            <v>m2</v>
          </cell>
          <cell r="F53">
            <v>234.78800000000001</v>
          </cell>
          <cell r="H53">
            <v>139.78800000000001</v>
          </cell>
          <cell r="I53" t="str">
            <v/>
          </cell>
          <cell r="J53">
            <v>95</v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>
            <v>50</v>
          </cell>
          <cell r="B54" t="str">
            <v>모래깔기(3(m)</v>
          </cell>
          <cell r="D54">
            <v>1</v>
          </cell>
          <cell r="E54" t="str">
            <v>m2</v>
          </cell>
          <cell r="F54">
            <v>764.20499999999993</v>
          </cell>
          <cell r="H54">
            <v>524.20499999999993</v>
          </cell>
          <cell r="I54" t="str">
            <v/>
          </cell>
          <cell r="J54">
            <v>240</v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>
            <v>51</v>
          </cell>
          <cell r="B55" t="str">
            <v>wire mesh깔기</v>
          </cell>
          <cell r="D55">
            <v>1</v>
          </cell>
          <cell r="E55" t="str">
            <v>m2</v>
          </cell>
          <cell r="F55">
            <v>2274.248</v>
          </cell>
          <cell r="H55">
            <v>851.74800000000005</v>
          </cell>
          <cell r="I55" t="str">
            <v/>
          </cell>
          <cell r="J55">
            <v>1422.5</v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>
            <v>52</v>
          </cell>
          <cell r="B56" t="str">
            <v>콘크리트포설</v>
          </cell>
          <cell r="D56">
            <v>1</v>
          </cell>
          <cell r="E56" t="str">
            <v>m2</v>
          </cell>
          <cell r="F56">
            <v>6480.5069999999996</v>
          </cell>
          <cell r="H56">
            <v>6480.5069999999996</v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>
            <v>53</v>
          </cell>
          <cell r="B57" t="str">
            <v>배수pipe설치</v>
          </cell>
          <cell r="D57">
            <v>1</v>
          </cell>
          <cell r="E57" t="str">
            <v>m</v>
          </cell>
          <cell r="F57">
            <v>1515.15</v>
          </cell>
          <cell r="H57">
            <v>72.150000000000006</v>
          </cell>
          <cell r="I57" t="str">
            <v/>
          </cell>
          <cell r="J57">
            <v>1443</v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>
            <v>54</v>
          </cell>
          <cell r="B58" t="str">
            <v>흄관운반</v>
          </cell>
          <cell r="D58">
            <v>1</v>
          </cell>
          <cell r="E58" t="str">
            <v>본</v>
          </cell>
          <cell r="F58">
            <v>6135.5930247933875</v>
          </cell>
          <cell r="H58">
            <v>670.43600000000004</v>
          </cell>
          <cell r="I58" t="str">
            <v/>
          </cell>
          <cell r="J58" t="str">
            <v/>
          </cell>
          <cell r="K58" t="str">
            <v/>
          </cell>
          <cell r="L58">
            <v>5465.1570247933878</v>
          </cell>
          <cell r="M58" t="str">
            <v/>
          </cell>
        </row>
        <row r="59">
          <cell r="A59">
            <v>55</v>
          </cell>
          <cell r="B59" t="str">
            <v>플륨관운반</v>
          </cell>
          <cell r="D59">
            <v>1</v>
          </cell>
          <cell r="E59" t="str">
            <v>본</v>
          </cell>
          <cell r="F59">
            <v>2861.3190347107434</v>
          </cell>
          <cell r="H59">
            <v>296.89920000000001</v>
          </cell>
          <cell r="I59" t="str">
            <v/>
          </cell>
          <cell r="J59" t="str">
            <v/>
          </cell>
          <cell r="K59" t="str">
            <v/>
          </cell>
          <cell r="L59">
            <v>2564.4198347107435</v>
          </cell>
          <cell r="M59" t="str">
            <v/>
          </cell>
        </row>
        <row r="60">
          <cell r="A60">
            <v>56</v>
          </cell>
          <cell r="B60" t="str">
            <v>철근운반</v>
          </cell>
          <cell r="D60">
            <v>1</v>
          </cell>
          <cell r="E60" t="str">
            <v>ton</v>
          </cell>
          <cell r="F60">
            <v>2861.3190347107434</v>
          </cell>
          <cell r="H60">
            <v>296.89920000000001</v>
          </cell>
          <cell r="I60" t="str">
            <v/>
          </cell>
          <cell r="J60" t="str">
            <v/>
          </cell>
          <cell r="K60" t="str">
            <v/>
          </cell>
          <cell r="L60">
            <v>2564.4198347107435</v>
          </cell>
        </row>
        <row r="61">
          <cell r="A61">
            <v>57</v>
          </cell>
          <cell r="B61" t="str">
            <v>중기운반</v>
          </cell>
          <cell r="D61">
            <v>1</v>
          </cell>
          <cell r="E61" t="str">
            <v>식</v>
          </cell>
          <cell r="F61">
            <v>482632.49017878831</v>
          </cell>
          <cell r="H61">
            <v>164757.71666666667</v>
          </cell>
          <cell r="J61">
            <v>165320.0653639735</v>
          </cell>
          <cell r="L61">
            <v>152554.70814814817</v>
          </cell>
        </row>
        <row r="62">
          <cell r="A62">
            <v>58</v>
          </cell>
          <cell r="B62" t="str">
            <v>석축쌓기</v>
          </cell>
          <cell r="D62">
            <v>1</v>
          </cell>
          <cell r="E62" t="str">
            <v>m2</v>
          </cell>
          <cell r="F62">
            <v>94934.69158296258</v>
          </cell>
          <cell r="H62">
            <v>86702.626528835914</v>
          </cell>
          <cell r="I62" t="str">
            <v/>
          </cell>
          <cell r="J62">
            <v>4612.9409916451132</v>
          </cell>
          <cell r="K62" t="str">
            <v/>
          </cell>
          <cell r="L62">
            <v>3619.1240624815546</v>
          </cell>
          <cell r="M62" t="str">
            <v/>
          </cell>
        </row>
        <row r="63">
          <cell r="A63">
            <v>59</v>
          </cell>
          <cell r="B63" t="str">
            <v>석축기초</v>
          </cell>
          <cell r="D63">
            <v>1</v>
          </cell>
          <cell r="E63" t="str">
            <v>m</v>
          </cell>
          <cell r="F63">
            <v>12031.69701084</v>
          </cell>
          <cell r="H63">
            <v>12031.69701084</v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>
            <v>61</v>
          </cell>
          <cell r="B64" t="str">
            <v>천단모르터(1:3)</v>
          </cell>
          <cell r="D64">
            <v>1</v>
          </cell>
          <cell r="E64" t="str">
            <v>m</v>
          </cell>
          <cell r="F64">
            <v>4298.9340000000002</v>
          </cell>
          <cell r="H64">
            <v>4220.9549999999999</v>
          </cell>
          <cell r="I64" t="str">
            <v/>
          </cell>
          <cell r="J64">
            <v>77.978999999999999</v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>
            <v>62</v>
          </cell>
          <cell r="B65" t="str">
            <v>토사깎기(m3 당)</v>
          </cell>
          <cell r="D65">
            <v>1</v>
          </cell>
          <cell r="E65" t="str">
            <v>m3</v>
          </cell>
          <cell r="F65">
            <v>485.93934117343429</v>
          </cell>
          <cell r="H65">
            <v>271.42502856348813</v>
          </cell>
          <cell r="I65" t="str">
            <v/>
          </cell>
          <cell r="J65">
            <v>148.69503244057421</v>
          </cell>
          <cell r="K65" t="str">
            <v/>
          </cell>
          <cell r="L65">
            <v>65.819280169371922</v>
          </cell>
          <cell r="M6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8"/>
  <sheetViews>
    <sheetView view="pageBreakPreview" topLeftCell="A4" zoomScaleNormal="100" zoomScaleSheetLayoutView="100" workbookViewId="0">
      <selection activeCell="B35" sqref="B35"/>
    </sheetView>
  </sheetViews>
  <sheetFormatPr defaultRowHeight="13.5"/>
  <cols>
    <col min="1" max="1" width="12.77734375" style="12" customWidth="1"/>
    <col min="2" max="2" width="22.77734375" style="12" customWidth="1"/>
    <col min="3" max="4" width="8.77734375" style="12" customWidth="1"/>
    <col min="5" max="5" width="22.77734375" style="12" customWidth="1"/>
    <col min="6" max="7" width="8.77734375" style="12" customWidth="1"/>
    <col min="8" max="9" width="15.77734375" style="12" customWidth="1"/>
    <col min="10" max="16384" width="8.88671875" style="12"/>
  </cols>
  <sheetData>
    <row r="1" spans="1:14" s="2" customFormat="1" ht="38.25">
      <c r="A1" s="47"/>
      <c r="B1" s="47"/>
      <c r="C1" s="47"/>
      <c r="D1" s="47"/>
      <c r="E1" s="47"/>
      <c r="F1" s="47"/>
      <c r="G1" s="47"/>
      <c r="H1" s="48"/>
      <c r="I1" s="48"/>
    </row>
    <row r="2" spans="1:14" s="2" customFormat="1" ht="38.25">
      <c r="A2" s="47"/>
      <c r="B2" s="47"/>
      <c r="C2" s="47"/>
      <c r="D2" s="47"/>
      <c r="E2" s="47"/>
      <c r="F2" s="47"/>
      <c r="G2" s="47"/>
      <c r="H2" s="48"/>
      <c r="I2" s="48"/>
    </row>
    <row r="3" spans="1:14" s="2" customFormat="1" ht="38.25">
      <c r="A3" s="563" t="s">
        <v>468</v>
      </c>
      <c r="B3" s="563"/>
      <c r="C3" s="563"/>
      <c r="D3" s="563"/>
      <c r="E3" s="563"/>
      <c r="F3" s="563"/>
      <c r="G3" s="563"/>
      <c r="H3" s="563"/>
      <c r="I3" s="563"/>
    </row>
    <row r="4" spans="1:14" s="2" customFormat="1" ht="41.25">
      <c r="A4" s="49"/>
      <c r="B4" s="49"/>
      <c r="C4" s="49"/>
      <c r="D4" s="49"/>
      <c r="E4" s="49"/>
      <c r="F4" s="49"/>
      <c r="G4" s="49"/>
      <c r="H4" s="49"/>
      <c r="I4" s="49"/>
    </row>
    <row r="5" spans="1:14" s="2" customFormat="1" ht="38.25">
      <c r="A5" s="50"/>
      <c r="B5" s="50"/>
      <c r="C5" s="50"/>
      <c r="D5" s="50"/>
      <c r="E5" s="50"/>
      <c r="F5" s="50"/>
      <c r="G5" s="50"/>
      <c r="H5" s="50"/>
      <c r="I5" s="50"/>
    </row>
    <row r="6" spans="1:14" s="2" customFormat="1" ht="38.25">
      <c r="A6" s="50"/>
      <c r="B6" s="50"/>
      <c r="C6" s="50"/>
      <c r="D6" s="50"/>
      <c r="E6" s="50"/>
      <c r="F6" s="50"/>
      <c r="G6" s="50"/>
      <c r="H6" s="50"/>
      <c r="I6" s="50"/>
    </row>
    <row r="7" spans="1:14" s="2" customFormat="1" ht="31.5">
      <c r="A7" s="564" t="s">
        <v>461</v>
      </c>
      <c r="B7" s="564"/>
      <c r="C7" s="564"/>
      <c r="D7" s="564"/>
      <c r="E7" s="564"/>
      <c r="F7" s="564"/>
      <c r="G7" s="564"/>
      <c r="H7" s="564"/>
      <c r="I7" s="564"/>
    </row>
    <row r="8" spans="1:14" s="2" customFormat="1" ht="38.25">
      <c r="A8" s="47"/>
      <c r="B8" s="47"/>
      <c r="C8" s="47"/>
      <c r="D8" s="47"/>
      <c r="E8" s="47"/>
      <c r="F8" s="47"/>
      <c r="G8" s="47"/>
      <c r="H8" s="48"/>
      <c r="I8" s="48"/>
    </row>
    <row r="9" spans="1:14" s="2" customFormat="1" ht="38.25">
      <c r="A9" s="47"/>
      <c r="B9" s="47"/>
      <c r="C9" s="47"/>
      <c r="D9" s="47"/>
      <c r="E9" s="47"/>
      <c r="F9" s="47"/>
      <c r="G9" s="47"/>
      <c r="H9" s="48"/>
      <c r="I9" s="48"/>
    </row>
    <row r="10" spans="1:14" s="2" customFormat="1" ht="38.25">
      <c r="A10" s="47"/>
      <c r="B10" s="47"/>
      <c r="C10" s="47"/>
      <c r="D10" s="47"/>
      <c r="E10" s="47"/>
      <c r="F10" s="47"/>
      <c r="G10" s="47"/>
      <c r="H10" s="48"/>
      <c r="I10" s="48"/>
    </row>
    <row r="11" spans="1:14" s="2" customFormat="1" ht="38.25">
      <c r="A11" s="47"/>
      <c r="B11" s="47"/>
      <c r="C11" s="47"/>
      <c r="D11" s="47"/>
      <c r="E11" s="47"/>
      <c r="F11" s="47"/>
      <c r="G11" s="47"/>
      <c r="H11" s="48"/>
      <c r="I11" s="48"/>
    </row>
    <row r="12" spans="1:14" s="2" customFormat="1" ht="38.25">
      <c r="A12" s="47"/>
      <c r="B12" s="47"/>
      <c r="C12" s="47"/>
      <c r="D12" s="47"/>
      <c r="E12" s="47"/>
      <c r="F12" s="47"/>
      <c r="G12" s="47"/>
      <c r="H12" s="48"/>
      <c r="I12" s="48"/>
    </row>
    <row r="13" spans="1:14" s="2" customFormat="1" ht="30" customHeight="1">
      <c r="A13" s="565" t="s">
        <v>54</v>
      </c>
      <c r="B13" s="565"/>
      <c r="C13" s="565"/>
      <c r="D13" s="565"/>
      <c r="E13" s="565"/>
      <c r="F13" s="565"/>
      <c r="G13" s="565"/>
      <c r="H13" s="565"/>
      <c r="I13" s="565"/>
      <c r="J13" s="22"/>
      <c r="K13" s="22"/>
      <c r="L13" s="22"/>
      <c r="M13" s="22"/>
      <c r="N13" s="22"/>
    </row>
    <row r="14" spans="1:14" s="2" customFormat="1" ht="30" customHeight="1">
      <c r="A14" s="419"/>
      <c r="B14" s="419"/>
      <c r="C14" s="419"/>
      <c r="D14" s="419"/>
      <c r="E14" s="419"/>
      <c r="F14" s="419"/>
      <c r="G14" s="419"/>
      <c r="H14" s="419"/>
      <c r="I14" s="419"/>
      <c r="J14" s="22"/>
      <c r="K14" s="22"/>
      <c r="L14" s="22"/>
      <c r="M14" s="22"/>
      <c r="N14" s="22"/>
    </row>
    <row r="15" spans="1:14" s="13" customFormat="1" ht="45" customHeight="1">
      <c r="A15" s="51" t="s">
        <v>91</v>
      </c>
      <c r="B15" s="52"/>
      <c r="C15" s="52"/>
      <c r="D15" s="52"/>
      <c r="E15" s="53" t="s">
        <v>92</v>
      </c>
      <c r="F15" s="53"/>
      <c r="G15" s="54"/>
      <c r="H15" s="54"/>
      <c r="I15" s="54"/>
    </row>
    <row r="16" spans="1:14" s="13" customFormat="1" ht="45" customHeight="1">
      <c r="A16" s="52" t="s">
        <v>407</v>
      </c>
      <c r="B16" s="483" t="s">
        <v>479</v>
      </c>
      <c r="C16" s="52"/>
      <c r="D16" s="52"/>
      <c r="E16" s="54"/>
      <c r="F16" s="54"/>
      <c r="G16" s="54"/>
      <c r="H16" s="54"/>
      <c r="I16" s="54"/>
    </row>
    <row r="17" spans="1:9" s="13" customFormat="1" ht="45" customHeight="1">
      <c r="A17" s="52" t="s">
        <v>408</v>
      </c>
      <c r="B17" s="55" t="s">
        <v>49</v>
      </c>
      <c r="C17" s="55"/>
      <c r="D17" s="55"/>
      <c r="E17" s="55"/>
      <c r="F17" s="55"/>
      <c r="G17" s="55"/>
      <c r="H17" s="55"/>
      <c r="I17" s="54"/>
    </row>
    <row r="18" spans="1:9" s="13" customFormat="1" ht="45" customHeight="1">
      <c r="A18" s="52"/>
      <c r="B18" s="55" t="s">
        <v>98</v>
      </c>
      <c r="C18" s="55"/>
      <c r="D18" s="55"/>
      <c r="E18" s="55"/>
      <c r="F18" s="55"/>
      <c r="G18" s="55"/>
      <c r="H18" s="55"/>
      <c r="I18" s="54"/>
    </row>
    <row r="19" spans="1:9" s="13" customFormat="1" ht="45" customHeight="1" thickBot="1">
      <c r="A19" s="52" t="s">
        <v>409</v>
      </c>
      <c r="B19" s="484" t="s">
        <v>481</v>
      </c>
      <c r="C19" s="55"/>
      <c r="D19" s="55"/>
      <c r="E19" s="55"/>
      <c r="F19" s="55"/>
      <c r="G19" s="55"/>
      <c r="H19" s="55"/>
      <c r="I19" s="54"/>
    </row>
    <row r="20" spans="1:9" s="13" customFormat="1" ht="30" customHeight="1" thickBot="1">
      <c r="A20" s="52"/>
      <c r="B20" s="558" t="s">
        <v>89</v>
      </c>
      <c r="C20" s="559"/>
      <c r="D20" s="560"/>
      <c r="E20" s="561" t="s">
        <v>90</v>
      </c>
      <c r="F20" s="561"/>
      <c r="G20" s="562"/>
      <c r="H20" s="54"/>
      <c r="I20" s="54"/>
    </row>
    <row r="21" spans="1:9" s="13" customFormat="1" ht="30" customHeight="1">
      <c r="A21" s="52"/>
      <c r="B21" s="56" t="str">
        <f>'3. 소요일수산출'!B5</f>
        <v xml:space="preserve"> 자료수집 및 현장답사</v>
      </c>
      <c r="C21" s="57">
        <f>'2. 위치 및 조사량'!G6</f>
        <v>2</v>
      </c>
      <c r="D21" s="58" t="s">
        <v>0</v>
      </c>
      <c r="E21" s="59" t="s">
        <v>94</v>
      </c>
      <c r="F21" s="57">
        <f>'2. 위치 및 조사량'!K6</f>
        <v>2</v>
      </c>
      <c r="G21" s="60" t="s">
        <v>20</v>
      </c>
      <c r="H21" s="54"/>
      <c r="I21" s="54"/>
    </row>
    <row r="22" spans="1:9" s="13" customFormat="1" ht="30" customHeight="1">
      <c r="A22" s="52"/>
      <c r="B22" s="61" t="str">
        <f>'3. 소요일수산출'!B6</f>
        <v xml:space="preserve"> 정천현황 및 오염원조사</v>
      </c>
      <c r="C22" s="62">
        <f>'3. 소요일수산출'!D6</f>
        <v>2</v>
      </c>
      <c r="D22" s="63" t="s">
        <v>0</v>
      </c>
      <c r="E22" s="64" t="s">
        <v>95</v>
      </c>
      <c r="F22" s="65">
        <f>'2. 위치 및 조사량'!L6</f>
        <v>2</v>
      </c>
      <c r="G22" s="66" t="s">
        <v>20</v>
      </c>
      <c r="H22" s="54"/>
      <c r="I22" s="54"/>
    </row>
    <row r="23" spans="1:9" s="13" customFormat="1" ht="30" customHeight="1">
      <c r="A23" s="52"/>
      <c r="B23" s="61" t="s">
        <v>93</v>
      </c>
      <c r="C23" s="65">
        <f>'3. 소요일수산출'!D7</f>
        <v>2</v>
      </c>
      <c r="D23" s="63" t="s">
        <v>11</v>
      </c>
      <c r="E23" s="64" t="s">
        <v>87</v>
      </c>
      <c r="F23" s="65">
        <f>'2. 위치 및 조사량'!M6</f>
        <v>380</v>
      </c>
      <c r="G23" s="66" t="s">
        <v>56</v>
      </c>
      <c r="H23" s="54"/>
      <c r="I23" s="54"/>
    </row>
    <row r="24" spans="1:9" s="13" customFormat="1" ht="30" customHeight="1">
      <c r="A24" s="52"/>
      <c r="B24" s="61" t="str">
        <f>'3. 소요일수산출'!B15</f>
        <v xml:space="preserve"> 수질검사</v>
      </c>
      <c r="C24" s="65">
        <f>'3. 소요일수산출'!D15</f>
        <v>2</v>
      </c>
      <c r="D24" s="67" t="s">
        <v>11</v>
      </c>
      <c r="E24" s="64" t="s">
        <v>96</v>
      </c>
      <c r="F24" s="65">
        <f>'2. 위치 및 조사량'!N6</f>
        <v>2</v>
      </c>
      <c r="G24" s="66" t="s">
        <v>20</v>
      </c>
      <c r="H24" s="54"/>
      <c r="I24" s="54"/>
    </row>
    <row r="25" spans="1:9" s="13" customFormat="1" ht="30" customHeight="1" thickBot="1">
      <c r="A25" s="52"/>
      <c r="B25" s="68" t="str">
        <f>'3. 소요일수산출'!B16</f>
        <v xml:space="preserve"> 자료분석 및 보고서작성</v>
      </c>
      <c r="C25" s="69">
        <f>'3. 소요일수산출'!D16</f>
        <v>2</v>
      </c>
      <c r="D25" s="70" t="s">
        <v>0</v>
      </c>
      <c r="E25" s="71" t="s">
        <v>97</v>
      </c>
      <c r="F25" s="69">
        <f>'2. 위치 및 조사량'!O6</f>
        <v>2</v>
      </c>
      <c r="G25" s="72" t="s">
        <v>20</v>
      </c>
      <c r="H25" s="54"/>
      <c r="I25" s="73"/>
    </row>
    <row r="26" spans="1:9" s="13" customFormat="1" ht="45" customHeight="1">
      <c r="A26" s="52" t="s">
        <v>410</v>
      </c>
      <c r="B26" s="482" t="s">
        <v>480</v>
      </c>
      <c r="C26" s="52"/>
      <c r="D26" s="52"/>
      <c r="E26" s="54"/>
      <c r="F26" s="54"/>
      <c r="G26" s="54"/>
      <c r="H26" s="54"/>
      <c r="I26" s="54"/>
    </row>
    <row r="27" spans="1:9" s="13" customFormat="1" ht="45" customHeight="1">
      <c r="A27" s="52" t="s">
        <v>411</v>
      </c>
      <c r="B27" s="74">
        <f>'4. 용역비총괄'!C18</f>
        <v>19351200</v>
      </c>
      <c r="C27" s="52" t="s">
        <v>21</v>
      </c>
      <c r="D27" s="54"/>
      <c r="E27" s="54"/>
      <c r="F27" s="54"/>
      <c r="G27" s="54"/>
      <c r="H27" s="54"/>
      <c r="I27" s="54"/>
    </row>
    <row r="28" spans="1:9" s="13" customFormat="1" ht="45" customHeight="1">
      <c r="A28" s="52" t="s">
        <v>412</v>
      </c>
      <c r="B28" s="513" t="s">
        <v>467</v>
      </c>
      <c r="C28" s="566">
        <f>INT('3. 소요일수산출'!H20)</f>
        <v>69</v>
      </c>
      <c r="D28" s="566"/>
      <c r="F28" s="75"/>
      <c r="G28" s="54"/>
      <c r="H28" s="54"/>
      <c r="I28" s="54"/>
    </row>
  </sheetData>
  <mergeCells count="6">
    <mergeCell ref="B20:D20"/>
    <mergeCell ref="E20:G20"/>
    <mergeCell ref="A3:I3"/>
    <mergeCell ref="A7:I7"/>
    <mergeCell ref="A13:I13"/>
    <mergeCell ref="C28:D28"/>
  </mergeCells>
  <phoneticPr fontId="6" type="noConversion"/>
  <pageMargins left="0.98425196850393704" right="0.19685039370078741" top="0.84" bottom="0.6" header="0" footer="0"/>
  <pageSetup paperSize="9" scale="90" orientation="landscape" r:id="rId1"/>
  <headerFooter alignWithMargins="0"/>
  <rowBreaks count="1" manualBreakCount="1">
    <brk id="14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4"/>
  <sheetViews>
    <sheetView view="pageBreakPreview" zoomScaleNormal="100" zoomScaleSheetLayoutView="100" workbookViewId="0">
      <selection activeCell="M13" sqref="M13"/>
    </sheetView>
  </sheetViews>
  <sheetFormatPr defaultRowHeight="11.25" customHeight="1"/>
  <cols>
    <col min="1" max="5" width="7.77734375" style="30" customWidth="1"/>
    <col min="6" max="6" width="7.77734375" style="31" customWidth="1"/>
    <col min="7" max="8" width="7.77734375" style="32" customWidth="1"/>
    <col min="9" max="15" width="7.77734375" style="34" customWidth="1"/>
    <col min="16" max="16384" width="8.88671875" style="30"/>
  </cols>
  <sheetData>
    <row r="1" spans="1:16" s="28" customFormat="1" ht="27" customHeight="1" thickBot="1">
      <c r="A1" s="42" t="s">
        <v>156</v>
      </c>
      <c r="B1" s="43"/>
      <c r="C1" s="43"/>
      <c r="D1" s="43"/>
      <c r="E1" s="43"/>
      <c r="F1" s="44"/>
      <c r="G1" s="43"/>
      <c r="H1" s="45"/>
      <c r="I1" s="46"/>
      <c r="J1" s="46"/>
      <c r="K1" s="46"/>
      <c r="L1" s="46"/>
      <c r="M1" s="46"/>
      <c r="N1" s="567">
        <f>'4. 용역비총괄'!C18</f>
        <v>19351200</v>
      </c>
      <c r="O1" s="567"/>
    </row>
    <row r="2" spans="1:16" s="29" customFormat="1" ht="27" customHeight="1">
      <c r="A2" s="580" t="s">
        <v>133</v>
      </c>
      <c r="B2" s="584" t="s">
        <v>134</v>
      </c>
      <c r="C2" s="571" t="s">
        <v>135</v>
      </c>
      <c r="D2" s="572"/>
      <c r="E2" s="572"/>
      <c r="F2" s="573"/>
      <c r="G2" s="568" t="s">
        <v>136</v>
      </c>
      <c r="H2" s="569"/>
      <c r="I2" s="569"/>
      <c r="J2" s="569"/>
      <c r="K2" s="569"/>
      <c r="L2" s="569"/>
      <c r="M2" s="569"/>
      <c r="N2" s="569"/>
      <c r="O2" s="570"/>
    </row>
    <row r="3" spans="1:16" s="29" customFormat="1" ht="27" customHeight="1">
      <c r="A3" s="581"/>
      <c r="B3" s="585"/>
      <c r="C3" s="574"/>
      <c r="D3" s="575"/>
      <c r="E3" s="575"/>
      <c r="F3" s="576"/>
      <c r="G3" s="577" t="s">
        <v>137</v>
      </c>
      <c r="H3" s="578"/>
      <c r="I3" s="578"/>
      <c r="J3" s="578"/>
      <c r="K3" s="577" t="s">
        <v>138</v>
      </c>
      <c r="L3" s="578"/>
      <c r="M3" s="578"/>
      <c r="N3" s="578"/>
      <c r="O3" s="579"/>
    </row>
    <row r="4" spans="1:16" s="29" customFormat="1" ht="27" customHeight="1">
      <c r="A4" s="582"/>
      <c r="B4" s="586"/>
      <c r="C4" s="586" t="s">
        <v>139</v>
      </c>
      <c r="D4" s="586" t="s">
        <v>140</v>
      </c>
      <c r="E4" s="586" t="s">
        <v>141</v>
      </c>
      <c r="F4" s="588" t="s">
        <v>142</v>
      </c>
      <c r="G4" s="487" t="s">
        <v>143</v>
      </c>
      <c r="H4" s="487" t="s">
        <v>144</v>
      </c>
      <c r="I4" s="487" t="s">
        <v>145</v>
      </c>
      <c r="J4" s="488" t="s">
        <v>146</v>
      </c>
      <c r="K4" s="489" t="s">
        <v>147</v>
      </c>
      <c r="L4" s="489" t="s">
        <v>148</v>
      </c>
      <c r="M4" s="489" t="s">
        <v>149</v>
      </c>
      <c r="N4" s="489" t="s">
        <v>150</v>
      </c>
      <c r="O4" s="490" t="s">
        <v>151</v>
      </c>
    </row>
    <row r="5" spans="1:16" s="29" customFormat="1" ht="27" customHeight="1" thickBot="1">
      <c r="A5" s="583"/>
      <c r="B5" s="587"/>
      <c r="C5" s="587"/>
      <c r="D5" s="587"/>
      <c r="E5" s="587"/>
      <c r="F5" s="589"/>
      <c r="G5" s="491" t="s">
        <v>152</v>
      </c>
      <c r="H5" s="491" t="s">
        <v>153</v>
      </c>
      <c r="I5" s="491" t="s">
        <v>153</v>
      </c>
      <c r="J5" s="492" t="s">
        <v>152</v>
      </c>
      <c r="K5" s="493" t="s">
        <v>153</v>
      </c>
      <c r="L5" s="493" t="s">
        <v>153</v>
      </c>
      <c r="M5" s="493" t="s">
        <v>154</v>
      </c>
      <c r="N5" s="493" t="s">
        <v>153</v>
      </c>
      <c r="O5" s="494" t="s">
        <v>153</v>
      </c>
    </row>
    <row r="6" spans="1:16" s="29" customFormat="1" ht="27" customHeight="1" thickBot="1">
      <c r="A6" s="411" t="s">
        <v>155</v>
      </c>
      <c r="B6" s="412"/>
      <c r="C6" s="412"/>
      <c r="D6" s="412"/>
      <c r="E6" s="412"/>
      <c r="F6" s="413"/>
      <c r="G6" s="414">
        <f t="shared" ref="G6:O6" si="0">SUM(G7:G18)</f>
        <v>2</v>
      </c>
      <c r="H6" s="414">
        <f t="shared" si="0"/>
        <v>2</v>
      </c>
      <c r="I6" s="414">
        <f t="shared" si="0"/>
        <v>2</v>
      </c>
      <c r="J6" s="415">
        <f t="shared" si="0"/>
        <v>2</v>
      </c>
      <c r="K6" s="415">
        <f t="shared" si="0"/>
        <v>2</v>
      </c>
      <c r="L6" s="415">
        <f t="shared" si="0"/>
        <v>2</v>
      </c>
      <c r="M6" s="415">
        <f t="shared" si="0"/>
        <v>380</v>
      </c>
      <c r="N6" s="415">
        <f t="shared" si="0"/>
        <v>2</v>
      </c>
      <c r="O6" s="416">
        <f t="shared" si="0"/>
        <v>2</v>
      </c>
    </row>
    <row r="7" spans="1:16" s="29" customFormat="1" ht="27" customHeight="1">
      <c r="A7" s="497">
        <v>1</v>
      </c>
      <c r="B7" s="512" t="s">
        <v>469</v>
      </c>
      <c r="C7" s="512" t="s">
        <v>471</v>
      </c>
      <c r="D7" s="512" t="s">
        <v>472</v>
      </c>
      <c r="E7" s="518" t="s">
        <v>474</v>
      </c>
      <c r="F7" s="512">
        <v>1035</v>
      </c>
      <c r="G7" s="514">
        <v>1</v>
      </c>
      <c r="H7" s="515">
        <v>1</v>
      </c>
      <c r="I7" s="515">
        <v>1</v>
      </c>
      <c r="J7" s="515">
        <v>1</v>
      </c>
      <c r="K7" s="515">
        <v>1</v>
      </c>
      <c r="L7" s="515">
        <v>1</v>
      </c>
      <c r="M7" s="515">
        <v>195</v>
      </c>
      <c r="N7" s="515">
        <v>1</v>
      </c>
      <c r="O7" s="516">
        <v>1</v>
      </c>
      <c r="P7" s="29" t="s">
        <v>477</v>
      </c>
    </row>
    <row r="8" spans="1:16" s="29" customFormat="1" ht="27" customHeight="1">
      <c r="A8" s="553">
        <v>2</v>
      </c>
      <c r="B8" s="512" t="s">
        <v>470</v>
      </c>
      <c r="C8" s="512" t="s">
        <v>471</v>
      </c>
      <c r="D8" s="512" t="s">
        <v>473</v>
      </c>
      <c r="E8" s="518" t="s">
        <v>475</v>
      </c>
      <c r="F8" s="517" t="s">
        <v>476</v>
      </c>
      <c r="G8" s="514">
        <v>1</v>
      </c>
      <c r="H8" s="515">
        <v>1</v>
      </c>
      <c r="I8" s="515">
        <v>1</v>
      </c>
      <c r="J8" s="515">
        <v>1</v>
      </c>
      <c r="K8" s="515">
        <v>1</v>
      </c>
      <c r="L8" s="515">
        <v>1</v>
      </c>
      <c r="M8" s="499">
        <v>185</v>
      </c>
      <c r="N8" s="515">
        <v>1</v>
      </c>
      <c r="O8" s="480">
        <v>1</v>
      </c>
      <c r="P8" s="29" t="s">
        <v>478</v>
      </c>
    </row>
    <row r="9" spans="1:16" s="29" customFormat="1" ht="27" customHeight="1">
      <c r="A9" s="553"/>
      <c r="B9" s="512"/>
      <c r="C9" s="512"/>
      <c r="D9" s="512"/>
      <c r="E9" s="518"/>
      <c r="F9" s="517"/>
      <c r="G9" s="514"/>
      <c r="H9" s="515"/>
      <c r="I9" s="515"/>
      <c r="J9" s="515"/>
      <c r="K9" s="515"/>
      <c r="L9" s="515"/>
      <c r="M9" s="499"/>
      <c r="N9" s="515"/>
      <c r="O9" s="480"/>
    </row>
    <row r="10" spans="1:16" s="29" customFormat="1" ht="27" customHeight="1">
      <c r="A10" s="553"/>
      <c r="B10" s="512"/>
      <c r="C10" s="512"/>
      <c r="D10" s="512"/>
      <c r="E10" s="518"/>
      <c r="F10" s="512"/>
      <c r="G10" s="514"/>
      <c r="H10" s="515"/>
      <c r="I10" s="515"/>
      <c r="J10" s="515"/>
      <c r="K10" s="515"/>
      <c r="L10" s="515"/>
      <c r="M10" s="515"/>
      <c r="N10" s="515"/>
      <c r="O10" s="516"/>
      <c r="P10" s="511"/>
    </row>
    <row r="11" spans="1:16" s="29" customFormat="1" ht="27" customHeight="1">
      <c r="A11" s="553"/>
      <c r="B11" s="512"/>
      <c r="C11" s="512"/>
      <c r="D11" s="512"/>
      <c r="E11" s="518"/>
      <c r="F11" s="512"/>
      <c r="G11" s="514"/>
      <c r="H11" s="515"/>
      <c r="I11" s="515"/>
      <c r="J11" s="515"/>
      <c r="K11" s="515"/>
      <c r="L11" s="515"/>
      <c r="M11" s="515"/>
      <c r="N11" s="515"/>
      <c r="O11" s="516"/>
      <c r="P11" s="511"/>
    </row>
    <row r="12" spans="1:16" s="29" customFormat="1" ht="27" customHeight="1">
      <c r="A12" s="553"/>
      <c r="B12" s="512"/>
      <c r="C12" s="512"/>
      <c r="D12" s="512"/>
      <c r="E12" s="518"/>
      <c r="F12" s="512"/>
      <c r="G12" s="514"/>
      <c r="H12" s="515"/>
      <c r="I12" s="515"/>
      <c r="J12" s="515"/>
      <c r="K12" s="515"/>
      <c r="L12" s="515"/>
      <c r="M12" s="515"/>
      <c r="N12" s="515"/>
      <c r="O12" s="516"/>
      <c r="P12" s="511"/>
    </row>
    <row r="13" spans="1:16" s="29" customFormat="1" ht="27" customHeight="1">
      <c r="A13" s="553"/>
      <c r="B13" s="512"/>
      <c r="C13" s="512"/>
      <c r="D13" s="512"/>
      <c r="E13" s="518"/>
      <c r="F13" s="512"/>
      <c r="G13" s="514"/>
      <c r="H13" s="515"/>
      <c r="I13" s="515"/>
      <c r="J13" s="515"/>
      <c r="K13" s="515"/>
      <c r="L13" s="515"/>
      <c r="M13" s="515"/>
      <c r="N13" s="515"/>
      <c r="O13" s="405"/>
    </row>
    <row r="14" spans="1:16" s="29" customFormat="1" ht="27" customHeight="1">
      <c r="A14" s="498"/>
      <c r="B14" s="495"/>
      <c r="C14" s="481"/>
      <c r="D14" s="481"/>
      <c r="E14" s="481"/>
      <c r="F14" s="496"/>
      <c r="G14" s="485"/>
      <c r="H14" s="486"/>
      <c r="I14" s="486"/>
      <c r="J14" s="404"/>
      <c r="K14" s="486"/>
      <c r="L14" s="486"/>
      <c r="M14" s="486"/>
      <c r="N14" s="486"/>
      <c r="O14" s="405"/>
    </row>
    <row r="15" spans="1:16" s="29" customFormat="1" ht="27" customHeight="1">
      <c r="A15" s="498"/>
      <c r="B15" s="495"/>
      <c r="C15" s="481"/>
      <c r="D15" s="481"/>
      <c r="E15" s="481"/>
      <c r="F15" s="496"/>
      <c r="G15" s="485"/>
      <c r="H15" s="486"/>
      <c r="I15" s="486"/>
      <c r="J15" s="404"/>
      <c r="K15" s="486"/>
      <c r="L15" s="486"/>
      <c r="M15" s="486"/>
      <c r="N15" s="486"/>
      <c r="O15" s="405"/>
    </row>
    <row r="16" spans="1:16" s="29" customFormat="1" ht="27" customHeight="1">
      <c r="A16" s="498"/>
      <c r="B16" s="481"/>
      <c r="C16" s="481"/>
      <c r="D16" s="481"/>
      <c r="E16" s="481"/>
      <c r="F16" s="481"/>
      <c r="G16" s="485"/>
      <c r="H16" s="486"/>
      <c r="I16" s="486"/>
      <c r="J16" s="404"/>
      <c r="K16" s="486"/>
      <c r="L16" s="486"/>
      <c r="M16" s="486"/>
      <c r="N16" s="486"/>
      <c r="O16" s="405"/>
    </row>
    <row r="17" spans="1:15" s="29" customFormat="1" ht="27" customHeight="1">
      <c r="A17" s="498"/>
      <c r="B17" s="495"/>
      <c r="C17" s="495"/>
      <c r="D17" s="495"/>
      <c r="E17" s="495"/>
      <c r="F17" s="496"/>
      <c r="G17" s="485"/>
      <c r="H17" s="486"/>
      <c r="I17" s="486"/>
      <c r="J17" s="404"/>
      <c r="K17" s="486"/>
      <c r="L17" s="486"/>
      <c r="M17" s="486"/>
      <c r="N17" s="486"/>
      <c r="O17" s="405"/>
    </row>
    <row r="18" spans="1:15" s="29" customFormat="1" ht="27" customHeight="1" thickBot="1">
      <c r="A18" s="417"/>
      <c r="B18" s="406"/>
      <c r="C18" s="406"/>
      <c r="D18" s="406"/>
      <c r="E18" s="406"/>
      <c r="F18" s="418"/>
      <c r="G18" s="407"/>
      <c r="H18" s="408"/>
      <c r="I18" s="408"/>
      <c r="J18" s="409"/>
      <c r="K18" s="408"/>
      <c r="L18" s="408"/>
      <c r="M18" s="408"/>
      <c r="N18" s="408"/>
      <c r="O18" s="410"/>
    </row>
    <row r="19" spans="1:15" ht="11.25" customHeight="1">
      <c r="I19" s="33"/>
      <c r="J19" s="33"/>
      <c r="K19" s="33"/>
      <c r="L19" s="33"/>
      <c r="M19" s="33"/>
      <c r="N19" s="33"/>
      <c r="O19" s="33"/>
    </row>
    <row r="20" spans="1:15" ht="11.25" customHeight="1">
      <c r="I20" s="33"/>
      <c r="J20" s="33"/>
      <c r="K20" s="33"/>
      <c r="L20" s="33"/>
      <c r="M20" s="33"/>
      <c r="N20" s="33"/>
      <c r="O20" s="33"/>
    </row>
    <row r="21" spans="1:15" ht="11.25" customHeight="1">
      <c r="I21" s="33"/>
      <c r="J21" s="33"/>
      <c r="K21" s="33"/>
      <c r="L21" s="33"/>
      <c r="M21" s="33"/>
      <c r="N21" s="33"/>
      <c r="O21" s="33"/>
    </row>
    <row r="22" spans="1:15" ht="11.25" customHeight="1">
      <c r="I22" s="33"/>
      <c r="J22" s="33"/>
      <c r="K22" s="33"/>
      <c r="L22" s="33"/>
      <c r="M22" s="33"/>
      <c r="N22" s="33"/>
      <c r="O22" s="33"/>
    </row>
    <row r="23" spans="1:15" ht="11.25" customHeight="1">
      <c r="I23" s="33"/>
      <c r="J23" s="33"/>
      <c r="K23" s="33"/>
      <c r="L23" s="33"/>
      <c r="M23" s="33"/>
      <c r="N23" s="33"/>
      <c r="O23" s="33"/>
    </row>
    <row r="24" spans="1:15" ht="11.25" customHeight="1">
      <c r="I24" s="33"/>
      <c r="J24" s="33"/>
      <c r="K24" s="33"/>
      <c r="L24" s="33"/>
      <c r="M24" s="33"/>
      <c r="N24" s="33"/>
      <c r="O24" s="33"/>
    </row>
    <row r="25" spans="1:15" ht="11.25" customHeight="1">
      <c r="I25" s="33"/>
      <c r="J25" s="33"/>
      <c r="K25" s="33"/>
      <c r="L25" s="33"/>
      <c r="M25" s="33"/>
      <c r="N25" s="33"/>
      <c r="O25" s="33"/>
    </row>
    <row r="26" spans="1:15" ht="11.25" customHeight="1">
      <c r="I26" s="33"/>
      <c r="J26" s="33"/>
      <c r="K26" s="33"/>
      <c r="L26" s="33"/>
      <c r="M26" s="33"/>
      <c r="N26" s="33"/>
      <c r="O26" s="33"/>
    </row>
    <row r="27" spans="1:15" ht="11.25" customHeight="1">
      <c r="I27" s="33"/>
      <c r="J27" s="33"/>
      <c r="K27" s="33"/>
      <c r="L27" s="33"/>
      <c r="M27" s="33"/>
      <c r="N27" s="33"/>
      <c r="O27" s="33"/>
    </row>
    <row r="28" spans="1:15" ht="11.25" customHeight="1">
      <c r="I28" s="33"/>
      <c r="J28" s="33"/>
      <c r="K28" s="33"/>
      <c r="L28" s="33"/>
      <c r="M28" s="33"/>
      <c r="N28" s="33"/>
      <c r="O28" s="33"/>
    </row>
    <row r="29" spans="1:15" ht="11.25" customHeight="1">
      <c r="I29" s="33"/>
      <c r="J29" s="33"/>
      <c r="K29" s="33"/>
      <c r="L29" s="33"/>
      <c r="M29" s="33"/>
      <c r="N29" s="33"/>
      <c r="O29" s="33"/>
    </row>
    <row r="30" spans="1:15" ht="11.25" customHeight="1">
      <c r="I30" s="33"/>
      <c r="J30" s="33"/>
      <c r="K30" s="33"/>
      <c r="L30" s="33"/>
      <c r="M30" s="33"/>
      <c r="N30" s="33"/>
      <c r="O30" s="33"/>
    </row>
    <row r="31" spans="1:15" ht="11.25" customHeight="1">
      <c r="I31" s="33"/>
      <c r="J31" s="33"/>
      <c r="K31" s="33"/>
      <c r="L31" s="33"/>
      <c r="M31" s="33"/>
      <c r="N31" s="33"/>
      <c r="O31" s="33"/>
    </row>
    <row r="32" spans="1:15" ht="11.25" customHeight="1">
      <c r="I32" s="33"/>
      <c r="J32" s="33"/>
      <c r="K32" s="33"/>
      <c r="L32" s="33"/>
      <c r="M32" s="33"/>
      <c r="N32" s="33"/>
      <c r="O32" s="33"/>
    </row>
    <row r="33" spans="9:15" ht="11.25" customHeight="1">
      <c r="I33" s="33"/>
      <c r="J33" s="33"/>
      <c r="K33" s="33"/>
      <c r="L33" s="33"/>
      <c r="M33" s="33"/>
      <c r="N33" s="33"/>
      <c r="O33" s="33"/>
    </row>
    <row r="34" spans="9:15" ht="11.25" customHeight="1">
      <c r="I34" s="33"/>
      <c r="J34" s="33"/>
      <c r="K34" s="33"/>
      <c r="L34" s="33"/>
      <c r="M34" s="33"/>
      <c r="N34" s="33"/>
      <c r="O34" s="33"/>
    </row>
    <row r="35" spans="9:15" ht="11.25" customHeight="1">
      <c r="I35" s="33"/>
      <c r="J35" s="33"/>
      <c r="K35" s="33"/>
      <c r="L35" s="33"/>
      <c r="M35" s="33"/>
      <c r="N35" s="33"/>
      <c r="O35" s="33"/>
    </row>
    <row r="36" spans="9:15" ht="11.25" customHeight="1">
      <c r="I36" s="33"/>
      <c r="J36" s="33"/>
      <c r="K36" s="33"/>
      <c r="L36" s="33"/>
      <c r="M36" s="33"/>
      <c r="N36" s="33"/>
      <c r="O36" s="33"/>
    </row>
    <row r="37" spans="9:15" ht="11.25" customHeight="1">
      <c r="I37" s="33"/>
      <c r="J37" s="33"/>
      <c r="K37" s="33"/>
      <c r="L37" s="33"/>
      <c r="M37" s="33"/>
      <c r="N37" s="33"/>
      <c r="O37" s="33"/>
    </row>
    <row r="38" spans="9:15" ht="11.25" customHeight="1">
      <c r="I38" s="33"/>
      <c r="J38" s="33"/>
      <c r="K38" s="33"/>
      <c r="L38" s="33"/>
      <c r="M38" s="33"/>
      <c r="N38" s="33"/>
      <c r="O38" s="33"/>
    </row>
    <row r="39" spans="9:15" ht="11.25" customHeight="1">
      <c r="I39" s="33"/>
      <c r="J39" s="33"/>
      <c r="K39" s="33"/>
      <c r="L39" s="33"/>
      <c r="M39" s="33"/>
      <c r="N39" s="33"/>
      <c r="O39" s="33"/>
    </row>
    <row r="40" spans="9:15" ht="11.25" customHeight="1">
      <c r="I40" s="33"/>
      <c r="J40" s="33"/>
      <c r="K40" s="33"/>
      <c r="L40" s="33"/>
      <c r="M40" s="33"/>
      <c r="N40" s="33"/>
      <c r="O40" s="33"/>
    </row>
    <row r="41" spans="9:15" ht="11.25" customHeight="1">
      <c r="I41" s="33"/>
      <c r="J41" s="33"/>
      <c r="K41" s="33"/>
      <c r="L41" s="33"/>
      <c r="M41" s="33"/>
      <c r="N41" s="33"/>
      <c r="O41" s="33"/>
    </row>
    <row r="42" spans="9:15" ht="11.25" customHeight="1">
      <c r="I42" s="33"/>
      <c r="J42" s="33"/>
      <c r="K42" s="33"/>
      <c r="L42" s="33"/>
      <c r="M42" s="33"/>
      <c r="N42" s="33"/>
      <c r="O42" s="33"/>
    </row>
    <row r="43" spans="9:15" ht="11.25" customHeight="1">
      <c r="I43" s="33"/>
      <c r="J43" s="33"/>
      <c r="K43" s="33"/>
      <c r="L43" s="33"/>
      <c r="M43" s="33"/>
      <c r="N43" s="33"/>
      <c r="O43" s="33"/>
    </row>
    <row r="44" spans="9:15" ht="11.25" customHeight="1">
      <c r="I44" s="33"/>
      <c r="J44" s="33"/>
      <c r="K44" s="33"/>
      <c r="L44" s="33"/>
      <c r="M44" s="33"/>
      <c r="N44" s="33"/>
      <c r="O44" s="33"/>
    </row>
    <row r="45" spans="9:15" ht="11.25" customHeight="1">
      <c r="I45" s="33"/>
      <c r="J45" s="33"/>
      <c r="K45" s="33"/>
      <c r="L45" s="33"/>
      <c r="M45" s="33"/>
      <c r="N45" s="33"/>
      <c r="O45" s="33"/>
    </row>
    <row r="46" spans="9:15" ht="11.25" customHeight="1">
      <c r="I46" s="33"/>
      <c r="J46" s="33"/>
      <c r="K46" s="33"/>
      <c r="L46" s="33"/>
      <c r="M46" s="33"/>
      <c r="N46" s="33"/>
      <c r="O46" s="33"/>
    </row>
    <row r="47" spans="9:15" ht="11.25" customHeight="1">
      <c r="I47" s="33"/>
      <c r="J47" s="33"/>
      <c r="K47" s="33"/>
      <c r="L47" s="33"/>
      <c r="M47" s="33"/>
      <c r="N47" s="33"/>
      <c r="O47" s="33"/>
    </row>
    <row r="48" spans="9:15" ht="11.25" customHeight="1">
      <c r="I48" s="33"/>
      <c r="J48" s="33"/>
      <c r="K48" s="33"/>
      <c r="L48" s="33"/>
      <c r="M48" s="33"/>
      <c r="N48" s="33"/>
      <c r="O48" s="33"/>
    </row>
    <row r="49" spans="9:15" ht="11.25" customHeight="1">
      <c r="I49" s="33"/>
      <c r="J49" s="33"/>
      <c r="K49" s="33"/>
      <c r="L49" s="33"/>
      <c r="M49" s="33"/>
      <c r="N49" s="33"/>
      <c r="O49" s="33"/>
    </row>
    <row r="50" spans="9:15" ht="11.25" customHeight="1">
      <c r="I50" s="33"/>
      <c r="J50" s="33"/>
      <c r="K50" s="33"/>
      <c r="L50" s="33"/>
      <c r="M50" s="33"/>
      <c r="N50" s="33"/>
      <c r="O50" s="33"/>
    </row>
    <row r="51" spans="9:15" ht="11.25" customHeight="1">
      <c r="I51" s="33"/>
      <c r="J51" s="33"/>
      <c r="K51" s="33"/>
      <c r="L51" s="33"/>
      <c r="M51" s="33"/>
      <c r="N51" s="33"/>
      <c r="O51" s="33"/>
    </row>
    <row r="52" spans="9:15" ht="11.25" customHeight="1">
      <c r="I52" s="33"/>
      <c r="J52" s="33"/>
      <c r="K52" s="33"/>
      <c r="L52" s="33"/>
      <c r="M52" s="33"/>
      <c r="N52" s="33"/>
      <c r="O52" s="33"/>
    </row>
    <row r="53" spans="9:15" ht="11.25" customHeight="1">
      <c r="I53" s="33"/>
      <c r="J53" s="33"/>
      <c r="K53" s="33"/>
      <c r="L53" s="33"/>
      <c r="M53" s="33"/>
      <c r="N53" s="33"/>
      <c r="O53" s="33"/>
    </row>
    <row r="54" spans="9:15" ht="11.25" customHeight="1">
      <c r="I54" s="33"/>
      <c r="J54" s="33"/>
      <c r="K54" s="33"/>
      <c r="L54" s="33"/>
      <c r="M54" s="33"/>
      <c r="N54" s="33"/>
      <c r="O54" s="33"/>
    </row>
    <row r="55" spans="9:15" ht="11.25" customHeight="1">
      <c r="I55" s="33"/>
      <c r="J55" s="33"/>
      <c r="K55" s="33"/>
      <c r="L55" s="33"/>
      <c r="M55" s="33"/>
      <c r="N55" s="33"/>
      <c r="O55" s="33"/>
    </row>
    <row r="56" spans="9:15" ht="11.25" customHeight="1">
      <c r="I56" s="33"/>
      <c r="J56" s="33"/>
      <c r="K56" s="33"/>
      <c r="L56" s="33"/>
      <c r="M56" s="33"/>
      <c r="N56" s="33"/>
      <c r="O56" s="33"/>
    </row>
    <row r="57" spans="9:15" ht="11.25" customHeight="1">
      <c r="I57" s="33"/>
      <c r="J57" s="33"/>
      <c r="K57" s="33"/>
      <c r="L57" s="33"/>
      <c r="M57" s="33"/>
      <c r="N57" s="33"/>
      <c r="O57" s="33"/>
    </row>
    <row r="58" spans="9:15" ht="11.25" customHeight="1">
      <c r="I58" s="33"/>
      <c r="J58" s="33"/>
      <c r="K58" s="33"/>
      <c r="L58" s="33"/>
      <c r="M58" s="33"/>
      <c r="N58" s="33"/>
      <c r="O58" s="33"/>
    </row>
    <row r="59" spans="9:15" ht="11.25" customHeight="1">
      <c r="I59" s="33"/>
      <c r="J59" s="33"/>
      <c r="K59" s="33"/>
      <c r="L59" s="33"/>
      <c r="M59" s="33"/>
      <c r="N59" s="33"/>
      <c r="O59" s="33"/>
    </row>
    <row r="60" spans="9:15" ht="11.25" customHeight="1">
      <c r="I60" s="33"/>
      <c r="J60" s="33"/>
      <c r="K60" s="33"/>
      <c r="L60" s="33"/>
      <c r="M60" s="33"/>
      <c r="N60" s="33"/>
      <c r="O60" s="33"/>
    </row>
    <row r="61" spans="9:15" ht="11.25" customHeight="1">
      <c r="I61" s="33"/>
      <c r="J61" s="33"/>
      <c r="K61" s="33"/>
      <c r="L61" s="33"/>
      <c r="M61" s="33"/>
      <c r="N61" s="33"/>
      <c r="O61" s="33"/>
    </row>
    <row r="62" spans="9:15" ht="11.25" customHeight="1">
      <c r="I62" s="33"/>
      <c r="J62" s="33"/>
      <c r="K62" s="33"/>
      <c r="L62" s="33"/>
      <c r="M62" s="33"/>
      <c r="N62" s="33"/>
      <c r="O62" s="33"/>
    </row>
    <row r="63" spans="9:15" ht="11.25" customHeight="1">
      <c r="I63" s="33"/>
      <c r="J63" s="33"/>
      <c r="K63" s="33"/>
      <c r="L63" s="33"/>
      <c r="M63" s="33"/>
      <c r="N63" s="33"/>
      <c r="O63" s="33"/>
    </row>
    <row r="64" spans="9:15" ht="11.25" customHeight="1">
      <c r="I64" s="33"/>
      <c r="J64" s="33"/>
      <c r="K64" s="33"/>
      <c r="L64" s="33"/>
      <c r="M64" s="33"/>
      <c r="N64" s="33"/>
      <c r="O64" s="33"/>
    </row>
    <row r="65" spans="9:15" ht="11.25" customHeight="1">
      <c r="I65" s="33"/>
      <c r="J65" s="33"/>
      <c r="K65" s="33"/>
      <c r="L65" s="33"/>
      <c r="M65" s="33"/>
      <c r="N65" s="33"/>
      <c r="O65" s="33"/>
    </row>
    <row r="66" spans="9:15" ht="11.25" customHeight="1">
      <c r="I66" s="33"/>
      <c r="J66" s="33"/>
      <c r="K66" s="33"/>
      <c r="L66" s="33"/>
      <c r="M66" s="33"/>
      <c r="N66" s="33"/>
      <c r="O66" s="33"/>
    </row>
    <row r="67" spans="9:15" ht="11.25" customHeight="1">
      <c r="I67" s="33"/>
      <c r="J67" s="33"/>
      <c r="K67" s="33"/>
      <c r="L67" s="33"/>
      <c r="M67" s="33"/>
      <c r="N67" s="33"/>
      <c r="O67" s="33"/>
    </row>
    <row r="68" spans="9:15" ht="11.25" customHeight="1">
      <c r="I68" s="33"/>
      <c r="J68" s="33"/>
      <c r="K68" s="33"/>
      <c r="L68" s="33"/>
      <c r="M68" s="33"/>
      <c r="N68" s="33"/>
      <c r="O68" s="33"/>
    </row>
    <row r="69" spans="9:15" ht="11.25" customHeight="1">
      <c r="I69" s="33"/>
      <c r="J69" s="33"/>
      <c r="K69" s="33"/>
      <c r="L69" s="33"/>
      <c r="M69" s="33"/>
      <c r="N69" s="33"/>
      <c r="O69" s="33"/>
    </row>
    <row r="70" spans="9:15" ht="11.25" customHeight="1">
      <c r="I70" s="33"/>
      <c r="J70" s="33"/>
      <c r="K70" s="33"/>
      <c r="L70" s="33"/>
      <c r="M70" s="33"/>
      <c r="N70" s="33"/>
      <c r="O70" s="33"/>
    </row>
    <row r="71" spans="9:15" ht="11.25" customHeight="1">
      <c r="I71" s="33"/>
      <c r="J71" s="33"/>
      <c r="K71" s="33"/>
      <c r="L71" s="33"/>
      <c r="M71" s="33"/>
      <c r="N71" s="33"/>
      <c r="O71" s="33"/>
    </row>
    <row r="72" spans="9:15" ht="11.25" customHeight="1">
      <c r="I72" s="33"/>
      <c r="J72" s="33"/>
      <c r="K72" s="33"/>
      <c r="L72" s="33"/>
      <c r="M72" s="33"/>
      <c r="N72" s="33"/>
      <c r="O72" s="33"/>
    </row>
    <row r="73" spans="9:15" ht="11.25" customHeight="1">
      <c r="I73" s="33"/>
      <c r="J73" s="33"/>
      <c r="K73" s="33"/>
      <c r="L73" s="33"/>
      <c r="M73" s="33"/>
      <c r="N73" s="33"/>
      <c r="O73" s="33"/>
    </row>
    <row r="74" spans="9:15" ht="11.25" customHeight="1">
      <c r="I74" s="33"/>
      <c r="J74" s="33"/>
      <c r="K74" s="33"/>
      <c r="L74" s="33"/>
      <c r="M74" s="33"/>
      <c r="N74" s="33"/>
      <c r="O74" s="33"/>
    </row>
    <row r="75" spans="9:15" ht="11.25" customHeight="1">
      <c r="I75" s="33"/>
      <c r="J75" s="33"/>
      <c r="K75" s="33"/>
      <c r="L75" s="33"/>
      <c r="M75" s="33"/>
      <c r="N75" s="33"/>
      <c r="O75" s="33"/>
    </row>
    <row r="76" spans="9:15" ht="11.25" customHeight="1">
      <c r="I76" s="33"/>
      <c r="J76" s="33"/>
      <c r="K76" s="33"/>
      <c r="L76" s="33"/>
      <c r="M76" s="33"/>
      <c r="N76" s="33"/>
      <c r="O76" s="33"/>
    </row>
    <row r="77" spans="9:15" ht="11.25" customHeight="1">
      <c r="I77" s="33"/>
      <c r="J77" s="33"/>
      <c r="K77" s="33"/>
      <c r="L77" s="33"/>
      <c r="M77" s="33"/>
      <c r="N77" s="33"/>
      <c r="O77" s="33"/>
    </row>
    <row r="78" spans="9:15" ht="11.25" customHeight="1">
      <c r="I78" s="33"/>
      <c r="J78" s="33"/>
      <c r="K78" s="33"/>
      <c r="L78" s="33"/>
      <c r="M78" s="33"/>
      <c r="N78" s="33"/>
      <c r="O78" s="33"/>
    </row>
    <row r="79" spans="9:15" ht="11.25" customHeight="1">
      <c r="I79" s="33"/>
      <c r="J79" s="33"/>
      <c r="K79" s="33"/>
      <c r="L79" s="33"/>
      <c r="M79" s="33"/>
      <c r="N79" s="33"/>
      <c r="O79" s="33"/>
    </row>
    <row r="80" spans="9:15" ht="11.25" customHeight="1">
      <c r="I80" s="33"/>
      <c r="J80" s="33"/>
      <c r="K80" s="33"/>
      <c r="L80" s="33"/>
      <c r="M80" s="33"/>
      <c r="N80" s="33"/>
      <c r="O80" s="33"/>
    </row>
    <row r="81" spans="9:15" ht="11.25" customHeight="1">
      <c r="I81" s="33"/>
      <c r="J81" s="33"/>
      <c r="K81" s="33"/>
      <c r="L81" s="33"/>
      <c r="M81" s="33"/>
      <c r="N81" s="33"/>
      <c r="O81" s="33"/>
    </row>
    <row r="82" spans="9:15" ht="11.25" customHeight="1">
      <c r="I82" s="33"/>
      <c r="J82" s="33"/>
      <c r="K82" s="33"/>
      <c r="L82" s="33"/>
      <c r="M82" s="33"/>
      <c r="N82" s="33"/>
      <c r="O82" s="33"/>
    </row>
    <row r="83" spans="9:15" ht="11.25" customHeight="1">
      <c r="I83" s="33"/>
      <c r="J83" s="33"/>
      <c r="K83" s="33"/>
      <c r="L83" s="33"/>
      <c r="M83" s="33"/>
      <c r="N83" s="33"/>
      <c r="O83" s="33"/>
    </row>
    <row r="84" spans="9:15" ht="11.25" customHeight="1">
      <c r="I84" s="33"/>
      <c r="J84" s="33"/>
      <c r="K84" s="33"/>
      <c r="L84" s="33"/>
      <c r="M84" s="33"/>
      <c r="N84" s="33"/>
      <c r="O84" s="33"/>
    </row>
    <row r="85" spans="9:15" ht="11.25" customHeight="1">
      <c r="I85" s="33"/>
      <c r="J85" s="33"/>
      <c r="K85" s="33"/>
      <c r="L85" s="33"/>
      <c r="M85" s="33"/>
      <c r="N85" s="33"/>
      <c r="O85" s="33"/>
    </row>
    <row r="86" spans="9:15" ht="11.25" customHeight="1">
      <c r="I86" s="33"/>
      <c r="J86" s="33"/>
      <c r="K86" s="33"/>
      <c r="L86" s="33"/>
      <c r="M86" s="33"/>
      <c r="N86" s="33"/>
      <c r="O86" s="33"/>
    </row>
    <row r="87" spans="9:15" ht="11.25" customHeight="1">
      <c r="I87" s="33"/>
      <c r="J87" s="33"/>
      <c r="K87" s="33"/>
      <c r="L87" s="33"/>
      <c r="M87" s="33"/>
      <c r="N87" s="33"/>
      <c r="O87" s="33"/>
    </row>
    <row r="88" spans="9:15" ht="11.25" customHeight="1">
      <c r="I88" s="33"/>
      <c r="J88" s="33"/>
      <c r="K88" s="33"/>
      <c r="L88" s="33"/>
      <c r="M88" s="33"/>
      <c r="N88" s="33"/>
      <c r="O88" s="33"/>
    </row>
    <row r="89" spans="9:15" ht="11.25" customHeight="1">
      <c r="I89" s="33"/>
      <c r="J89" s="33"/>
      <c r="K89" s="33"/>
      <c r="L89" s="33"/>
      <c r="M89" s="33"/>
      <c r="N89" s="33"/>
      <c r="O89" s="33"/>
    </row>
    <row r="90" spans="9:15" ht="11.25" customHeight="1">
      <c r="I90" s="33"/>
      <c r="J90" s="33"/>
      <c r="K90" s="33"/>
      <c r="L90" s="33"/>
      <c r="M90" s="33"/>
      <c r="N90" s="33"/>
      <c r="O90" s="33"/>
    </row>
    <row r="91" spans="9:15" ht="11.25" customHeight="1">
      <c r="I91" s="33"/>
      <c r="J91" s="33"/>
      <c r="K91" s="33"/>
      <c r="L91" s="33"/>
      <c r="M91" s="33"/>
      <c r="N91" s="33"/>
      <c r="O91" s="33"/>
    </row>
    <row r="92" spans="9:15" ht="11.25" customHeight="1">
      <c r="I92" s="33"/>
      <c r="J92" s="33"/>
      <c r="K92" s="33"/>
      <c r="L92" s="33"/>
      <c r="M92" s="33"/>
      <c r="N92" s="33"/>
      <c r="O92" s="33"/>
    </row>
    <row r="93" spans="9:15" ht="11.25" customHeight="1">
      <c r="I93" s="33"/>
      <c r="J93" s="33"/>
      <c r="K93" s="33"/>
      <c r="L93" s="33"/>
      <c r="M93" s="33"/>
      <c r="N93" s="33"/>
      <c r="O93" s="33"/>
    </row>
    <row r="94" spans="9:15" ht="11.25" customHeight="1">
      <c r="I94" s="33"/>
      <c r="J94" s="33"/>
      <c r="K94" s="33"/>
      <c r="L94" s="33"/>
      <c r="M94" s="33"/>
      <c r="N94" s="33"/>
      <c r="O94" s="33"/>
    </row>
    <row r="95" spans="9:15" ht="11.25" customHeight="1">
      <c r="I95" s="33"/>
      <c r="J95" s="33"/>
      <c r="K95" s="33"/>
      <c r="L95" s="33"/>
      <c r="M95" s="33"/>
      <c r="N95" s="33"/>
      <c r="O95" s="33"/>
    </row>
    <row r="96" spans="9:15" ht="11.25" customHeight="1">
      <c r="I96" s="33"/>
      <c r="J96" s="33"/>
      <c r="K96" s="33"/>
      <c r="L96" s="33"/>
      <c r="M96" s="33"/>
      <c r="N96" s="33"/>
      <c r="O96" s="33"/>
    </row>
    <row r="97" spans="9:15" ht="11.25" customHeight="1">
      <c r="I97" s="33"/>
      <c r="J97" s="33"/>
      <c r="K97" s="33"/>
      <c r="L97" s="33"/>
      <c r="M97" s="33"/>
      <c r="N97" s="33"/>
      <c r="O97" s="33"/>
    </row>
    <row r="98" spans="9:15" ht="11.25" customHeight="1">
      <c r="I98" s="33"/>
      <c r="J98" s="33"/>
      <c r="K98" s="33"/>
      <c r="L98" s="33"/>
      <c r="M98" s="33"/>
      <c r="N98" s="33"/>
      <c r="O98" s="33"/>
    </row>
    <row r="99" spans="9:15" ht="11.25" customHeight="1">
      <c r="I99" s="33"/>
      <c r="J99" s="33"/>
      <c r="K99" s="33"/>
      <c r="L99" s="33"/>
      <c r="M99" s="33"/>
      <c r="N99" s="33"/>
      <c r="O99" s="33"/>
    </row>
    <row r="100" spans="9:15" ht="11.25" customHeight="1">
      <c r="I100" s="33"/>
      <c r="J100" s="33"/>
      <c r="K100" s="33"/>
      <c r="L100" s="33"/>
      <c r="M100" s="33"/>
      <c r="N100" s="33"/>
      <c r="O100" s="33"/>
    </row>
    <row r="101" spans="9:15" ht="11.25" customHeight="1">
      <c r="I101" s="33"/>
      <c r="J101" s="33"/>
      <c r="K101" s="33"/>
      <c r="L101" s="33"/>
      <c r="M101" s="33"/>
      <c r="N101" s="33"/>
      <c r="O101" s="33"/>
    </row>
    <row r="102" spans="9:15" ht="11.25" customHeight="1">
      <c r="I102" s="33"/>
      <c r="J102" s="33"/>
      <c r="K102" s="33"/>
      <c r="L102" s="33"/>
      <c r="M102" s="33"/>
      <c r="N102" s="33"/>
      <c r="O102" s="33"/>
    </row>
    <row r="103" spans="9:15" ht="11.25" customHeight="1">
      <c r="I103" s="33"/>
      <c r="J103" s="33"/>
      <c r="K103" s="33"/>
      <c r="L103" s="33"/>
      <c r="M103" s="33"/>
      <c r="N103" s="33"/>
      <c r="O103" s="33"/>
    </row>
    <row r="104" spans="9:15" ht="11.25" customHeight="1">
      <c r="I104" s="33"/>
      <c r="J104" s="33"/>
      <c r="K104" s="33"/>
      <c r="L104" s="33"/>
      <c r="M104" s="33"/>
      <c r="N104" s="33"/>
      <c r="O104" s="33"/>
    </row>
    <row r="105" spans="9:15" ht="11.25" customHeight="1">
      <c r="I105" s="33"/>
      <c r="J105" s="33"/>
      <c r="K105" s="33"/>
      <c r="L105" s="33"/>
      <c r="M105" s="33"/>
      <c r="N105" s="33"/>
      <c r="O105" s="33"/>
    </row>
    <row r="106" spans="9:15" ht="11.25" customHeight="1">
      <c r="I106" s="33"/>
      <c r="J106" s="33"/>
      <c r="K106" s="33"/>
      <c r="L106" s="33"/>
      <c r="M106" s="33"/>
      <c r="N106" s="33"/>
      <c r="O106" s="33"/>
    </row>
    <row r="107" spans="9:15" ht="11.25" customHeight="1">
      <c r="I107" s="33"/>
      <c r="J107" s="33"/>
      <c r="K107" s="33"/>
      <c r="L107" s="33"/>
      <c r="M107" s="33"/>
      <c r="N107" s="33"/>
      <c r="O107" s="33"/>
    </row>
    <row r="108" spans="9:15" ht="11.25" customHeight="1">
      <c r="I108" s="33"/>
      <c r="J108" s="33"/>
      <c r="K108" s="33"/>
      <c r="L108" s="33"/>
      <c r="M108" s="33"/>
      <c r="N108" s="33"/>
      <c r="O108" s="33"/>
    </row>
    <row r="109" spans="9:15" ht="11.25" customHeight="1">
      <c r="I109" s="33"/>
      <c r="J109" s="33"/>
      <c r="K109" s="33"/>
      <c r="L109" s="33"/>
      <c r="M109" s="33"/>
      <c r="N109" s="33"/>
      <c r="O109" s="33"/>
    </row>
    <row r="110" spans="9:15" ht="11.25" customHeight="1">
      <c r="I110" s="33"/>
      <c r="J110" s="33"/>
      <c r="K110" s="33"/>
      <c r="L110" s="33"/>
      <c r="M110" s="33"/>
      <c r="N110" s="33"/>
      <c r="O110" s="33"/>
    </row>
    <row r="111" spans="9:15" ht="11.25" customHeight="1">
      <c r="I111" s="33"/>
      <c r="J111" s="33"/>
      <c r="K111" s="33"/>
      <c r="L111" s="33"/>
      <c r="M111" s="33"/>
      <c r="N111" s="33"/>
      <c r="O111" s="33"/>
    </row>
    <row r="112" spans="9:15" ht="11.25" customHeight="1">
      <c r="I112" s="33"/>
      <c r="J112" s="33"/>
      <c r="K112" s="33"/>
      <c r="L112" s="33"/>
      <c r="M112" s="33"/>
      <c r="N112" s="33"/>
      <c r="O112" s="33"/>
    </row>
    <row r="113" spans="9:15" ht="11.25" customHeight="1">
      <c r="I113" s="33"/>
      <c r="J113" s="33"/>
      <c r="K113" s="33"/>
      <c r="L113" s="33"/>
      <c r="M113" s="33"/>
      <c r="N113" s="33"/>
      <c r="O113" s="33"/>
    </row>
    <row r="114" spans="9:15" ht="11.25" customHeight="1">
      <c r="I114" s="33"/>
      <c r="J114" s="33"/>
      <c r="K114" s="33"/>
      <c r="L114" s="33"/>
      <c r="M114" s="33"/>
      <c r="N114" s="33"/>
      <c r="O114" s="33"/>
    </row>
    <row r="115" spans="9:15" ht="11.25" customHeight="1">
      <c r="I115" s="33"/>
      <c r="J115" s="33"/>
      <c r="K115" s="33"/>
      <c r="L115" s="33"/>
      <c r="M115" s="33"/>
      <c r="N115" s="33"/>
      <c r="O115" s="33"/>
    </row>
    <row r="116" spans="9:15" ht="11.25" customHeight="1">
      <c r="I116" s="33"/>
      <c r="J116" s="33"/>
      <c r="K116" s="33"/>
      <c r="L116" s="33"/>
      <c r="M116" s="33"/>
      <c r="N116" s="33"/>
      <c r="O116" s="33"/>
    </row>
    <row r="117" spans="9:15" ht="11.25" customHeight="1">
      <c r="I117" s="33"/>
      <c r="J117" s="33"/>
      <c r="K117" s="33"/>
      <c r="L117" s="33"/>
      <c r="M117" s="33"/>
      <c r="N117" s="33"/>
      <c r="O117" s="33"/>
    </row>
    <row r="118" spans="9:15" ht="11.25" customHeight="1">
      <c r="I118" s="33"/>
      <c r="J118" s="33"/>
      <c r="K118" s="33"/>
      <c r="L118" s="33"/>
      <c r="M118" s="33"/>
      <c r="N118" s="33"/>
      <c r="O118" s="33"/>
    </row>
    <row r="119" spans="9:15" ht="11.25" customHeight="1">
      <c r="I119" s="33"/>
      <c r="J119" s="33"/>
      <c r="K119" s="33"/>
      <c r="L119" s="33"/>
      <c r="M119" s="33"/>
      <c r="N119" s="33"/>
      <c r="O119" s="33"/>
    </row>
    <row r="120" spans="9:15" ht="11.25" customHeight="1">
      <c r="I120" s="33"/>
      <c r="J120" s="33"/>
      <c r="K120" s="33"/>
      <c r="L120" s="33"/>
      <c r="M120" s="33"/>
      <c r="N120" s="33"/>
      <c r="O120" s="33"/>
    </row>
    <row r="121" spans="9:15" ht="11.25" customHeight="1">
      <c r="I121" s="33"/>
      <c r="J121" s="33"/>
      <c r="K121" s="33"/>
      <c r="L121" s="33"/>
      <c r="M121" s="33"/>
      <c r="N121" s="33"/>
      <c r="O121" s="33"/>
    </row>
    <row r="122" spans="9:15" ht="11.25" customHeight="1">
      <c r="I122" s="33"/>
      <c r="J122" s="33"/>
      <c r="K122" s="33"/>
      <c r="L122" s="33"/>
      <c r="M122" s="33"/>
      <c r="N122" s="33"/>
      <c r="O122" s="33"/>
    </row>
    <row r="123" spans="9:15" ht="11.25" customHeight="1">
      <c r="I123" s="33"/>
      <c r="J123" s="33"/>
      <c r="K123" s="33"/>
      <c r="L123" s="33"/>
      <c r="M123" s="33"/>
      <c r="N123" s="33"/>
      <c r="O123" s="33"/>
    </row>
    <row r="124" spans="9:15" ht="11.25" customHeight="1">
      <c r="I124" s="33"/>
      <c r="J124" s="33"/>
      <c r="K124" s="33"/>
      <c r="L124" s="33"/>
      <c r="M124" s="33"/>
      <c r="N124" s="33"/>
      <c r="O124" s="33"/>
    </row>
    <row r="125" spans="9:15" ht="11.25" customHeight="1">
      <c r="I125" s="33"/>
      <c r="J125" s="33"/>
      <c r="K125" s="33"/>
      <c r="L125" s="33"/>
      <c r="M125" s="33"/>
      <c r="N125" s="33"/>
      <c r="O125" s="33"/>
    </row>
    <row r="126" spans="9:15" ht="11.25" customHeight="1">
      <c r="I126" s="33"/>
      <c r="J126" s="33"/>
      <c r="K126" s="33"/>
      <c r="L126" s="33"/>
      <c r="M126" s="33"/>
      <c r="N126" s="33"/>
      <c r="O126" s="33"/>
    </row>
    <row r="127" spans="9:15" ht="11.25" customHeight="1">
      <c r="I127" s="33"/>
      <c r="J127" s="33"/>
      <c r="K127" s="33"/>
      <c r="L127" s="33"/>
      <c r="M127" s="33"/>
      <c r="N127" s="33"/>
      <c r="O127" s="33"/>
    </row>
    <row r="128" spans="9:15" ht="11.25" customHeight="1">
      <c r="I128" s="33"/>
      <c r="J128" s="33"/>
      <c r="K128" s="33"/>
      <c r="L128" s="33"/>
      <c r="M128" s="33"/>
      <c r="N128" s="33"/>
      <c r="O128" s="33"/>
    </row>
    <row r="129" spans="9:15" ht="11.25" customHeight="1">
      <c r="I129" s="33"/>
      <c r="J129" s="33"/>
      <c r="K129" s="33"/>
      <c r="L129" s="33"/>
      <c r="M129" s="33"/>
      <c r="N129" s="33"/>
      <c r="O129" s="33"/>
    </row>
    <row r="130" spans="9:15" ht="11.25" customHeight="1">
      <c r="I130" s="33"/>
      <c r="J130" s="33"/>
      <c r="K130" s="33"/>
      <c r="L130" s="33"/>
      <c r="M130" s="33"/>
      <c r="N130" s="33"/>
      <c r="O130" s="33"/>
    </row>
    <row r="131" spans="9:15" ht="11.25" customHeight="1">
      <c r="I131" s="33"/>
      <c r="J131" s="33"/>
      <c r="K131" s="33"/>
      <c r="L131" s="33"/>
      <c r="M131" s="33"/>
      <c r="N131" s="33"/>
      <c r="O131" s="33"/>
    </row>
    <row r="132" spans="9:15" ht="11.25" customHeight="1">
      <c r="I132" s="33"/>
      <c r="J132" s="33"/>
      <c r="K132" s="33"/>
      <c r="L132" s="33"/>
      <c r="M132" s="33"/>
      <c r="N132" s="33"/>
      <c r="O132" s="33"/>
    </row>
    <row r="133" spans="9:15" ht="11.25" customHeight="1">
      <c r="I133" s="33"/>
      <c r="J133" s="33"/>
      <c r="K133" s="33"/>
      <c r="L133" s="33"/>
      <c r="M133" s="33"/>
      <c r="N133" s="33"/>
      <c r="O133" s="33"/>
    </row>
    <row r="134" spans="9:15" ht="11.25" customHeight="1">
      <c r="I134" s="33"/>
      <c r="J134" s="33"/>
      <c r="K134" s="33"/>
      <c r="L134" s="33"/>
      <c r="M134" s="33"/>
      <c r="N134" s="33"/>
      <c r="O134" s="33"/>
    </row>
    <row r="135" spans="9:15" ht="11.25" customHeight="1">
      <c r="I135" s="33"/>
      <c r="J135" s="33"/>
      <c r="K135" s="33"/>
      <c r="L135" s="33"/>
      <c r="M135" s="33"/>
      <c r="N135" s="33"/>
      <c r="O135" s="33"/>
    </row>
    <row r="136" spans="9:15" ht="11.25" customHeight="1">
      <c r="I136" s="33"/>
      <c r="J136" s="33"/>
      <c r="K136" s="33"/>
      <c r="L136" s="33"/>
      <c r="M136" s="33"/>
      <c r="N136" s="33"/>
      <c r="O136" s="33"/>
    </row>
    <row r="137" spans="9:15" ht="11.25" customHeight="1">
      <c r="I137" s="33"/>
      <c r="J137" s="33"/>
      <c r="K137" s="33"/>
      <c r="L137" s="33"/>
      <c r="M137" s="33"/>
      <c r="N137" s="33"/>
      <c r="O137" s="33"/>
    </row>
    <row r="138" spans="9:15" ht="11.25" customHeight="1">
      <c r="I138" s="33"/>
      <c r="J138" s="33"/>
      <c r="K138" s="33"/>
      <c r="L138" s="33"/>
      <c r="M138" s="33"/>
      <c r="N138" s="33"/>
      <c r="O138" s="33"/>
    </row>
    <row r="139" spans="9:15" ht="11.25" customHeight="1">
      <c r="I139" s="33"/>
      <c r="J139" s="33"/>
      <c r="K139" s="33"/>
      <c r="L139" s="33"/>
      <c r="M139" s="33"/>
      <c r="N139" s="33"/>
      <c r="O139" s="33"/>
    </row>
    <row r="140" spans="9:15" ht="11.25" customHeight="1">
      <c r="I140" s="33"/>
      <c r="J140" s="33"/>
      <c r="K140" s="33"/>
      <c r="L140" s="33"/>
      <c r="M140" s="33"/>
      <c r="N140" s="33"/>
      <c r="O140" s="33"/>
    </row>
    <row r="141" spans="9:15" ht="11.25" customHeight="1">
      <c r="I141" s="33"/>
      <c r="J141" s="33"/>
      <c r="K141" s="33"/>
      <c r="L141" s="33"/>
      <c r="M141" s="33"/>
      <c r="N141" s="33"/>
      <c r="O141" s="33"/>
    </row>
    <row r="142" spans="9:15" ht="11.25" customHeight="1">
      <c r="I142" s="33"/>
      <c r="J142" s="33"/>
      <c r="K142" s="33"/>
      <c r="L142" s="33"/>
      <c r="M142" s="33"/>
      <c r="N142" s="33"/>
      <c r="O142" s="33"/>
    </row>
    <row r="143" spans="9:15" ht="11.25" customHeight="1">
      <c r="I143" s="33"/>
      <c r="J143" s="33"/>
      <c r="K143" s="33"/>
      <c r="L143" s="33"/>
      <c r="M143" s="33"/>
      <c r="N143" s="33"/>
      <c r="O143" s="33"/>
    </row>
    <row r="144" spans="9:15" ht="11.25" customHeight="1">
      <c r="I144" s="33"/>
      <c r="J144" s="33"/>
      <c r="K144" s="33"/>
      <c r="L144" s="33"/>
      <c r="M144" s="33"/>
      <c r="N144" s="33"/>
      <c r="O144" s="33"/>
    </row>
    <row r="145" spans="9:15" ht="11.25" customHeight="1">
      <c r="I145" s="33"/>
      <c r="J145" s="33"/>
      <c r="K145" s="33"/>
      <c r="L145" s="33"/>
      <c r="M145" s="33"/>
      <c r="N145" s="33"/>
      <c r="O145" s="33"/>
    </row>
    <row r="146" spans="9:15" ht="11.25" customHeight="1">
      <c r="I146" s="33"/>
      <c r="J146" s="33"/>
      <c r="K146" s="33"/>
      <c r="L146" s="33"/>
      <c r="M146" s="33"/>
      <c r="N146" s="33"/>
      <c r="O146" s="33"/>
    </row>
    <row r="147" spans="9:15" ht="11.25" customHeight="1">
      <c r="I147" s="33"/>
      <c r="J147" s="33"/>
      <c r="K147" s="33"/>
      <c r="L147" s="33"/>
      <c r="M147" s="33"/>
      <c r="N147" s="33"/>
      <c r="O147" s="33"/>
    </row>
    <row r="148" spans="9:15" ht="11.25" customHeight="1">
      <c r="I148" s="33"/>
      <c r="J148" s="33"/>
      <c r="K148" s="33"/>
      <c r="L148" s="33"/>
      <c r="M148" s="33"/>
      <c r="N148" s="33"/>
      <c r="O148" s="33"/>
    </row>
    <row r="149" spans="9:15" ht="11.25" customHeight="1">
      <c r="I149" s="33"/>
      <c r="J149" s="33"/>
      <c r="K149" s="33"/>
      <c r="L149" s="33"/>
      <c r="M149" s="33"/>
      <c r="N149" s="33"/>
      <c r="O149" s="33"/>
    </row>
    <row r="150" spans="9:15" ht="11.25" customHeight="1">
      <c r="I150" s="33"/>
      <c r="J150" s="33"/>
      <c r="K150" s="33"/>
      <c r="L150" s="33"/>
      <c r="M150" s="33"/>
      <c r="N150" s="33"/>
      <c r="O150" s="33"/>
    </row>
    <row r="151" spans="9:15" ht="11.25" customHeight="1">
      <c r="I151" s="33"/>
      <c r="J151" s="33"/>
      <c r="K151" s="33"/>
      <c r="L151" s="33"/>
      <c r="M151" s="33"/>
      <c r="N151" s="33"/>
      <c r="O151" s="33"/>
    </row>
    <row r="152" spans="9:15" ht="11.25" customHeight="1">
      <c r="I152" s="33"/>
      <c r="J152" s="33"/>
      <c r="K152" s="33"/>
      <c r="L152" s="33"/>
      <c r="M152" s="33"/>
      <c r="N152" s="33"/>
      <c r="O152" s="33"/>
    </row>
    <row r="153" spans="9:15" ht="11.25" customHeight="1">
      <c r="I153" s="33"/>
      <c r="J153" s="33"/>
      <c r="K153" s="33"/>
      <c r="L153" s="33"/>
      <c r="M153" s="33"/>
      <c r="N153" s="33"/>
      <c r="O153" s="33"/>
    </row>
    <row r="154" spans="9:15" ht="11.25" customHeight="1">
      <c r="I154" s="33"/>
      <c r="J154" s="33"/>
      <c r="K154" s="33"/>
      <c r="L154" s="33"/>
      <c r="M154" s="33"/>
      <c r="N154" s="33"/>
      <c r="O154" s="33"/>
    </row>
    <row r="155" spans="9:15" ht="11.25" customHeight="1">
      <c r="I155" s="33"/>
      <c r="J155" s="33"/>
      <c r="K155" s="33"/>
      <c r="L155" s="33"/>
      <c r="M155" s="33"/>
      <c r="N155" s="33"/>
      <c r="O155" s="33"/>
    </row>
    <row r="156" spans="9:15" ht="11.25" customHeight="1">
      <c r="I156" s="33"/>
      <c r="J156" s="33"/>
      <c r="K156" s="33"/>
      <c r="L156" s="33"/>
      <c r="M156" s="33"/>
      <c r="N156" s="33"/>
      <c r="O156" s="33"/>
    </row>
    <row r="157" spans="9:15" ht="11.25" customHeight="1">
      <c r="I157" s="33"/>
      <c r="J157" s="33"/>
      <c r="K157" s="33"/>
      <c r="L157" s="33"/>
      <c r="M157" s="33"/>
      <c r="N157" s="33"/>
      <c r="O157" s="33"/>
    </row>
    <row r="158" spans="9:15" ht="11.25" customHeight="1">
      <c r="I158" s="33"/>
      <c r="J158" s="33"/>
      <c r="K158" s="33"/>
      <c r="L158" s="33"/>
      <c r="M158" s="33"/>
      <c r="N158" s="33"/>
      <c r="O158" s="33"/>
    </row>
    <row r="159" spans="9:15" ht="11.25" customHeight="1">
      <c r="I159" s="33"/>
      <c r="J159" s="33"/>
      <c r="K159" s="33"/>
      <c r="L159" s="33"/>
      <c r="M159" s="33"/>
      <c r="N159" s="33"/>
      <c r="O159" s="33"/>
    </row>
    <row r="160" spans="9:15" ht="11.25" customHeight="1">
      <c r="I160" s="33"/>
      <c r="J160" s="33"/>
      <c r="K160" s="33"/>
      <c r="L160" s="33"/>
      <c r="M160" s="33"/>
      <c r="N160" s="33"/>
      <c r="O160" s="33"/>
    </row>
    <row r="161" spans="9:15" ht="11.25" customHeight="1">
      <c r="I161" s="33"/>
      <c r="J161" s="33"/>
      <c r="K161" s="33"/>
      <c r="L161" s="33"/>
      <c r="M161" s="33"/>
      <c r="N161" s="33"/>
      <c r="O161" s="33"/>
    </row>
    <row r="162" spans="9:15" ht="11.25" customHeight="1">
      <c r="I162" s="33"/>
      <c r="J162" s="33"/>
      <c r="K162" s="33"/>
      <c r="L162" s="33"/>
      <c r="M162" s="33"/>
      <c r="N162" s="33"/>
      <c r="O162" s="33"/>
    </row>
    <row r="163" spans="9:15" ht="11.25" customHeight="1">
      <c r="I163" s="33"/>
      <c r="J163" s="33"/>
      <c r="K163" s="33"/>
      <c r="L163" s="33"/>
      <c r="M163" s="33"/>
      <c r="N163" s="33"/>
      <c r="O163" s="33"/>
    </row>
    <row r="164" spans="9:15" ht="11.25" customHeight="1">
      <c r="I164" s="33"/>
      <c r="J164" s="33"/>
      <c r="K164" s="33"/>
      <c r="L164" s="33"/>
      <c r="M164" s="33"/>
      <c r="N164" s="33"/>
      <c r="O164" s="33"/>
    </row>
    <row r="165" spans="9:15" ht="11.25" customHeight="1">
      <c r="I165" s="33"/>
      <c r="J165" s="33"/>
      <c r="K165" s="33"/>
      <c r="L165" s="33"/>
      <c r="M165" s="33"/>
      <c r="N165" s="33"/>
      <c r="O165" s="33"/>
    </row>
    <row r="166" spans="9:15" ht="11.25" customHeight="1">
      <c r="I166" s="33"/>
      <c r="J166" s="33"/>
      <c r="K166" s="33"/>
      <c r="L166" s="33"/>
      <c r="M166" s="33"/>
      <c r="N166" s="33"/>
      <c r="O166" s="33"/>
    </row>
    <row r="167" spans="9:15" ht="11.25" customHeight="1">
      <c r="I167" s="33"/>
      <c r="J167" s="33"/>
      <c r="K167" s="33"/>
      <c r="L167" s="33"/>
      <c r="M167" s="33"/>
      <c r="N167" s="33"/>
      <c r="O167" s="33"/>
    </row>
    <row r="168" spans="9:15" ht="11.25" customHeight="1">
      <c r="I168" s="33"/>
      <c r="J168" s="33"/>
      <c r="K168" s="33"/>
      <c r="L168" s="33"/>
      <c r="M168" s="33"/>
      <c r="N168" s="33"/>
      <c r="O168" s="33"/>
    </row>
    <row r="169" spans="9:15" ht="11.25" customHeight="1">
      <c r="I169" s="33"/>
      <c r="J169" s="33"/>
      <c r="K169" s="33"/>
      <c r="L169" s="33"/>
      <c r="M169" s="33"/>
      <c r="N169" s="33"/>
      <c r="O169" s="33"/>
    </row>
    <row r="170" spans="9:15" ht="11.25" customHeight="1">
      <c r="I170" s="33"/>
      <c r="J170" s="33"/>
      <c r="K170" s="33"/>
      <c r="L170" s="33"/>
      <c r="M170" s="33"/>
      <c r="N170" s="33"/>
      <c r="O170" s="33"/>
    </row>
    <row r="171" spans="9:15" ht="11.25" customHeight="1">
      <c r="I171" s="33"/>
      <c r="J171" s="33"/>
      <c r="K171" s="33"/>
      <c r="L171" s="33"/>
      <c r="M171" s="33"/>
      <c r="N171" s="33"/>
      <c r="O171" s="33"/>
    </row>
    <row r="172" spans="9:15" ht="11.25" customHeight="1">
      <c r="I172" s="33"/>
      <c r="J172" s="33"/>
      <c r="K172" s="33"/>
      <c r="L172" s="33"/>
      <c r="M172" s="33"/>
      <c r="N172" s="33"/>
      <c r="O172" s="33"/>
    </row>
    <row r="173" spans="9:15" ht="11.25" customHeight="1">
      <c r="I173" s="33"/>
      <c r="J173" s="33"/>
      <c r="K173" s="33"/>
      <c r="L173" s="33"/>
      <c r="M173" s="33"/>
      <c r="N173" s="33"/>
      <c r="O173" s="33"/>
    </row>
    <row r="174" spans="9:15" ht="11.25" customHeight="1">
      <c r="I174" s="33"/>
      <c r="J174" s="33"/>
      <c r="K174" s="33"/>
      <c r="L174" s="33"/>
      <c r="M174" s="33"/>
      <c r="N174" s="33"/>
      <c r="O174" s="33"/>
    </row>
    <row r="175" spans="9:15" ht="11.25" customHeight="1">
      <c r="I175" s="33"/>
      <c r="J175" s="33"/>
      <c r="K175" s="33"/>
      <c r="L175" s="33"/>
      <c r="M175" s="33"/>
      <c r="N175" s="33"/>
      <c r="O175" s="33"/>
    </row>
    <row r="176" spans="9:15" ht="11.25" customHeight="1">
      <c r="I176" s="33"/>
      <c r="J176" s="33"/>
      <c r="K176" s="33"/>
      <c r="L176" s="33"/>
      <c r="M176" s="33"/>
      <c r="N176" s="33"/>
      <c r="O176" s="33"/>
    </row>
    <row r="177" spans="9:15" ht="11.25" customHeight="1">
      <c r="I177" s="33"/>
      <c r="J177" s="33"/>
      <c r="K177" s="33"/>
      <c r="L177" s="33"/>
      <c r="M177" s="33"/>
      <c r="N177" s="33"/>
      <c r="O177" s="33"/>
    </row>
    <row r="178" spans="9:15" ht="11.25" customHeight="1">
      <c r="I178" s="33"/>
      <c r="J178" s="33"/>
      <c r="K178" s="33"/>
      <c r="L178" s="33"/>
      <c r="M178" s="33"/>
      <c r="N178" s="33"/>
      <c r="O178" s="33"/>
    </row>
    <row r="179" spans="9:15" ht="11.25" customHeight="1">
      <c r="I179" s="33"/>
      <c r="J179" s="33"/>
      <c r="K179" s="33"/>
      <c r="L179" s="33"/>
      <c r="M179" s="33"/>
      <c r="N179" s="33"/>
      <c r="O179" s="33"/>
    </row>
    <row r="180" spans="9:15" ht="11.25" customHeight="1">
      <c r="I180" s="33"/>
      <c r="J180" s="33"/>
      <c r="K180" s="33"/>
      <c r="L180" s="33"/>
      <c r="M180" s="33"/>
      <c r="N180" s="33"/>
      <c r="O180" s="33"/>
    </row>
    <row r="181" spans="9:15" ht="11.25" customHeight="1">
      <c r="I181" s="33"/>
      <c r="J181" s="33"/>
      <c r="K181" s="33"/>
      <c r="L181" s="33"/>
      <c r="M181" s="33"/>
      <c r="N181" s="33"/>
      <c r="O181" s="33"/>
    </row>
    <row r="182" spans="9:15" ht="11.25" customHeight="1">
      <c r="I182" s="33"/>
      <c r="J182" s="33"/>
      <c r="K182" s="33"/>
      <c r="L182" s="33"/>
      <c r="M182" s="33"/>
      <c r="N182" s="33"/>
      <c r="O182" s="33"/>
    </row>
    <row r="183" spans="9:15" ht="11.25" customHeight="1">
      <c r="I183" s="33"/>
      <c r="J183" s="33"/>
      <c r="K183" s="33"/>
      <c r="L183" s="33"/>
      <c r="M183" s="33"/>
      <c r="N183" s="33"/>
      <c r="O183" s="33"/>
    </row>
    <row r="184" spans="9:15" ht="11.25" customHeight="1">
      <c r="I184" s="33"/>
      <c r="J184" s="33"/>
      <c r="K184" s="33"/>
      <c r="L184" s="33"/>
      <c r="M184" s="33"/>
      <c r="N184" s="33"/>
      <c r="O184" s="33"/>
    </row>
    <row r="185" spans="9:15" ht="11.25" customHeight="1">
      <c r="I185" s="33"/>
      <c r="J185" s="33"/>
      <c r="K185" s="33"/>
      <c r="L185" s="33"/>
      <c r="M185" s="33"/>
      <c r="N185" s="33"/>
      <c r="O185" s="33"/>
    </row>
    <row r="186" spans="9:15" ht="11.25" customHeight="1">
      <c r="I186" s="33"/>
      <c r="J186" s="33"/>
      <c r="K186" s="33"/>
      <c r="L186" s="33"/>
      <c r="M186" s="33"/>
      <c r="N186" s="33"/>
      <c r="O186" s="33"/>
    </row>
    <row r="187" spans="9:15" ht="11.25" customHeight="1">
      <c r="I187" s="33"/>
      <c r="J187" s="33"/>
      <c r="K187" s="33"/>
      <c r="L187" s="33"/>
      <c r="M187" s="33"/>
      <c r="N187" s="33"/>
      <c r="O187" s="33"/>
    </row>
    <row r="188" spans="9:15" ht="11.25" customHeight="1">
      <c r="I188" s="33"/>
      <c r="J188" s="33"/>
      <c r="K188" s="33"/>
      <c r="L188" s="33"/>
      <c r="M188" s="33"/>
      <c r="N188" s="33"/>
      <c r="O188" s="33"/>
    </row>
    <row r="189" spans="9:15" ht="11.25" customHeight="1">
      <c r="I189" s="33"/>
      <c r="J189" s="33"/>
      <c r="K189" s="33"/>
      <c r="L189" s="33"/>
      <c r="M189" s="33"/>
      <c r="N189" s="33"/>
      <c r="O189" s="33"/>
    </row>
    <row r="190" spans="9:15" ht="11.25" customHeight="1">
      <c r="I190" s="33"/>
      <c r="J190" s="33"/>
      <c r="K190" s="33"/>
      <c r="L190" s="33"/>
      <c r="M190" s="33"/>
      <c r="N190" s="33"/>
      <c r="O190" s="33"/>
    </row>
    <row r="191" spans="9:15" ht="11.25" customHeight="1">
      <c r="I191" s="33"/>
      <c r="J191" s="33"/>
      <c r="K191" s="33"/>
      <c r="L191" s="33"/>
      <c r="M191" s="33"/>
      <c r="N191" s="33"/>
      <c r="O191" s="33"/>
    </row>
    <row r="192" spans="9:15" ht="11.25" customHeight="1">
      <c r="I192" s="33"/>
      <c r="J192" s="33"/>
      <c r="K192" s="33"/>
      <c r="L192" s="33"/>
      <c r="M192" s="33"/>
      <c r="N192" s="33"/>
      <c r="O192" s="33"/>
    </row>
    <row r="193" spans="9:15" ht="11.25" customHeight="1">
      <c r="I193" s="33"/>
      <c r="J193" s="33"/>
      <c r="K193" s="33"/>
      <c r="L193" s="33"/>
      <c r="M193" s="33"/>
      <c r="N193" s="33"/>
      <c r="O193" s="33"/>
    </row>
    <row r="194" spans="9:15" ht="11.25" customHeight="1">
      <c r="I194" s="33"/>
      <c r="J194" s="33"/>
      <c r="K194" s="33"/>
      <c r="L194" s="33"/>
      <c r="M194" s="33"/>
      <c r="N194" s="33"/>
      <c r="O194" s="33"/>
    </row>
    <row r="195" spans="9:15" ht="11.25" customHeight="1">
      <c r="I195" s="33"/>
      <c r="J195" s="33"/>
      <c r="K195" s="33"/>
      <c r="L195" s="33"/>
      <c r="M195" s="33"/>
      <c r="N195" s="33"/>
      <c r="O195" s="33"/>
    </row>
    <row r="196" spans="9:15" ht="11.25" customHeight="1">
      <c r="I196" s="33"/>
      <c r="J196" s="33"/>
      <c r="K196" s="33"/>
      <c r="L196" s="33"/>
      <c r="M196" s="33"/>
      <c r="N196" s="33"/>
      <c r="O196" s="33"/>
    </row>
    <row r="197" spans="9:15" ht="11.25" customHeight="1">
      <c r="I197" s="33"/>
      <c r="J197" s="33"/>
      <c r="K197" s="33"/>
      <c r="L197" s="33"/>
      <c r="M197" s="33"/>
      <c r="N197" s="33"/>
      <c r="O197" s="33"/>
    </row>
    <row r="198" spans="9:15" ht="11.25" customHeight="1">
      <c r="I198" s="33"/>
      <c r="J198" s="33"/>
      <c r="K198" s="33"/>
      <c r="L198" s="33"/>
      <c r="M198" s="33"/>
      <c r="N198" s="33"/>
      <c r="O198" s="33"/>
    </row>
    <row r="199" spans="9:15" ht="11.25" customHeight="1">
      <c r="I199" s="33"/>
      <c r="J199" s="33"/>
      <c r="K199" s="33"/>
      <c r="L199" s="33"/>
      <c r="M199" s="33"/>
      <c r="N199" s="33"/>
      <c r="O199" s="33"/>
    </row>
    <row r="200" spans="9:15" ht="11.25" customHeight="1">
      <c r="I200" s="33"/>
      <c r="J200" s="33"/>
      <c r="K200" s="33"/>
      <c r="L200" s="33"/>
      <c r="M200" s="33"/>
      <c r="N200" s="33"/>
      <c r="O200" s="33"/>
    </row>
    <row r="201" spans="9:15" ht="11.25" customHeight="1">
      <c r="I201" s="33"/>
      <c r="J201" s="33"/>
      <c r="K201" s="33"/>
      <c r="L201" s="33"/>
      <c r="M201" s="33"/>
      <c r="N201" s="33"/>
      <c r="O201" s="33"/>
    </row>
    <row r="202" spans="9:15" ht="11.25" customHeight="1">
      <c r="I202" s="33"/>
      <c r="J202" s="33"/>
      <c r="K202" s="33"/>
      <c r="L202" s="33"/>
      <c r="M202" s="33"/>
      <c r="N202" s="33"/>
      <c r="O202" s="33"/>
    </row>
    <row r="203" spans="9:15" ht="11.25" customHeight="1">
      <c r="I203" s="33"/>
      <c r="J203" s="33"/>
      <c r="K203" s="33"/>
      <c r="L203" s="33"/>
      <c r="M203" s="33"/>
      <c r="N203" s="33"/>
      <c r="O203" s="33"/>
    </row>
    <row r="204" spans="9:15" ht="11.25" customHeight="1">
      <c r="I204" s="33"/>
      <c r="J204" s="33"/>
      <c r="K204" s="33"/>
      <c r="L204" s="33"/>
      <c r="M204" s="33"/>
      <c r="N204" s="33"/>
      <c r="O204" s="33"/>
    </row>
    <row r="205" spans="9:15" ht="11.25" customHeight="1">
      <c r="I205" s="33"/>
      <c r="J205" s="33"/>
      <c r="K205" s="33"/>
      <c r="L205" s="33"/>
      <c r="M205" s="33"/>
      <c r="N205" s="33"/>
      <c r="O205" s="33"/>
    </row>
    <row r="206" spans="9:15" ht="11.25" customHeight="1">
      <c r="I206" s="33"/>
      <c r="J206" s="33"/>
      <c r="K206" s="33"/>
      <c r="L206" s="33"/>
      <c r="M206" s="33"/>
      <c r="N206" s="33"/>
      <c r="O206" s="33"/>
    </row>
    <row r="207" spans="9:15" ht="11.25" customHeight="1">
      <c r="I207" s="33"/>
      <c r="J207" s="33"/>
      <c r="K207" s="33"/>
      <c r="L207" s="33"/>
      <c r="M207" s="33"/>
      <c r="N207" s="33"/>
      <c r="O207" s="33"/>
    </row>
    <row r="208" spans="9:15" ht="11.25" customHeight="1">
      <c r="I208" s="33"/>
      <c r="J208" s="33"/>
      <c r="K208" s="33"/>
      <c r="L208" s="33"/>
      <c r="M208" s="33"/>
      <c r="N208" s="33"/>
      <c r="O208" s="33"/>
    </row>
    <row r="209" spans="9:15" ht="11.25" customHeight="1">
      <c r="I209" s="33"/>
      <c r="J209" s="33"/>
      <c r="K209" s="33"/>
      <c r="L209" s="33"/>
      <c r="M209" s="33"/>
      <c r="N209" s="33"/>
      <c r="O209" s="33"/>
    </row>
    <row r="210" spans="9:15" ht="11.25" customHeight="1">
      <c r="I210" s="33"/>
      <c r="J210" s="33"/>
      <c r="K210" s="33"/>
      <c r="L210" s="33"/>
      <c r="M210" s="33"/>
      <c r="N210" s="33"/>
      <c r="O210" s="33"/>
    </row>
    <row r="211" spans="9:15" ht="11.25" customHeight="1">
      <c r="I211" s="33"/>
      <c r="J211" s="33"/>
      <c r="K211" s="33"/>
      <c r="L211" s="33"/>
      <c r="M211" s="33"/>
      <c r="N211" s="33"/>
      <c r="O211" s="33"/>
    </row>
    <row r="212" spans="9:15" ht="11.25" customHeight="1">
      <c r="I212" s="33"/>
      <c r="J212" s="33"/>
      <c r="K212" s="33"/>
      <c r="L212" s="33"/>
      <c r="M212" s="33"/>
      <c r="N212" s="33"/>
      <c r="O212" s="33"/>
    </row>
    <row r="213" spans="9:15" ht="11.25" customHeight="1">
      <c r="I213" s="33"/>
      <c r="J213" s="33"/>
      <c r="K213" s="33"/>
      <c r="L213" s="33"/>
      <c r="M213" s="33"/>
      <c r="N213" s="33"/>
      <c r="O213" s="33"/>
    </row>
    <row r="214" spans="9:15" ht="11.25" customHeight="1">
      <c r="I214" s="33"/>
      <c r="J214" s="33"/>
      <c r="K214" s="33"/>
      <c r="L214" s="33"/>
      <c r="M214" s="33"/>
      <c r="N214" s="33"/>
      <c r="O214" s="33"/>
    </row>
    <row r="215" spans="9:15" ht="11.25" customHeight="1">
      <c r="I215" s="33"/>
      <c r="J215" s="33"/>
      <c r="K215" s="33"/>
      <c r="L215" s="33"/>
      <c r="M215" s="33"/>
      <c r="N215" s="33"/>
      <c r="O215" s="33"/>
    </row>
    <row r="216" spans="9:15" ht="11.25" customHeight="1">
      <c r="I216" s="33"/>
      <c r="J216" s="33"/>
      <c r="K216" s="33"/>
      <c r="L216" s="33"/>
      <c r="M216" s="33"/>
      <c r="N216" s="33"/>
      <c r="O216" s="33"/>
    </row>
    <row r="217" spans="9:15" ht="11.25" customHeight="1">
      <c r="I217" s="33"/>
      <c r="J217" s="33"/>
      <c r="K217" s="33"/>
      <c r="L217" s="33"/>
      <c r="M217" s="33"/>
      <c r="N217" s="33"/>
      <c r="O217" s="33"/>
    </row>
    <row r="218" spans="9:15" ht="11.25" customHeight="1">
      <c r="I218" s="33"/>
      <c r="J218" s="33"/>
      <c r="K218" s="33"/>
      <c r="L218" s="33"/>
      <c r="M218" s="33"/>
      <c r="N218" s="33"/>
      <c r="O218" s="33"/>
    </row>
    <row r="219" spans="9:15" ht="11.25" customHeight="1">
      <c r="I219" s="33"/>
      <c r="J219" s="33"/>
      <c r="K219" s="33"/>
      <c r="L219" s="33"/>
      <c r="M219" s="33"/>
      <c r="N219" s="33"/>
      <c r="O219" s="33"/>
    </row>
    <row r="220" spans="9:15" ht="11.25" customHeight="1">
      <c r="I220" s="33"/>
      <c r="J220" s="33"/>
      <c r="K220" s="33"/>
      <c r="L220" s="33"/>
      <c r="M220" s="33"/>
      <c r="N220" s="33"/>
      <c r="O220" s="33"/>
    </row>
    <row r="221" spans="9:15" ht="11.25" customHeight="1">
      <c r="I221" s="33"/>
      <c r="J221" s="33"/>
      <c r="K221" s="33"/>
      <c r="L221" s="33"/>
      <c r="M221" s="33"/>
      <c r="N221" s="33"/>
      <c r="O221" s="33"/>
    </row>
    <row r="222" spans="9:15" ht="11.25" customHeight="1">
      <c r="I222" s="33"/>
      <c r="J222" s="33"/>
      <c r="K222" s="33"/>
      <c r="L222" s="33"/>
      <c r="M222" s="33"/>
      <c r="N222" s="33"/>
      <c r="O222" s="33"/>
    </row>
    <row r="223" spans="9:15" ht="11.25" customHeight="1">
      <c r="I223" s="33"/>
      <c r="J223" s="33"/>
      <c r="K223" s="33"/>
      <c r="L223" s="33"/>
      <c r="M223" s="33"/>
      <c r="N223" s="33"/>
      <c r="O223" s="33"/>
    </row>
    <row r="224" spans="9:15" ht="11.25" customHeight="1">
      <c r="I224" s="33"/>
      <c r="J224" s="33"/>
      <c r="K224" s="33"/>
      <c r="L224" s="33"/>
      <c r="M224" s="33"/>
      <c r="N224" s="33"/>
      <c r="O224" s="33"/>
    </row>
    <row r="225" spans="9:15" ht="11.25" customHeight="1">
      <c r="I225" s="33"/>
      <c r="J225" s="33"/>
      <c r="K225" s="33"/>
      <c r="L225" s="33"/>
      <c r="M225" s="33"/>
      <c r="N225" s="33"/>
      <c r="O225" s="33"/>
    </row>
    <row r="226" spans="9:15" ht="11.25" customHeight="1">
      <c r="I226" s="33"/>
      <c r="J226" s="33"/>
      <c r="K226" s="33"/>
      <c r="L226" s="33"/>
      <c r="M226" s="33"/>
      <c r="N226" s="33"/>
      <c r="O226" s="33"/>
    </row>
    <row r="227" spans="9:15" ht="11.25" customHeight="1">
      <c r="I227" s="33"/>
      <c r="J227" s="33"/>
      <c r="K227" s="33"/>
      <c r="L227" s="33"/>
      <c r="M227" s="33"/>
      <c r="N227" s="33"/>
      <c r="O227" s="33"/>
    </row>
    <row r="228" spans="9:15" ht="11.25" customHeight="1">
      <c r="I228" s="33"/>
      <c r="J228" s="33"/>
      <c r="K228" s="33"/>
      <c r="L228" s="33"/>
      <c r="M228" s="33"/>
      <c r="N228" s="33"/>
      <c r="O228" s="33"/>
    </row>
    <row r="229" spans="9:15" ht="11.25" customHeight="1">
      <c r="I229" s="33"/>
      <c r="J229" s="33"/>
      <c r="K229" s="33"/>
      <c r="L229" s="33"/>
      <c r="M229" s="33"/>
      <c r="N229" s="33"/>
      <c r="O229" s="33"/>
    </row>
    <row r="230" spans="9:15" ht="11.25" customHeight="1">
      <c r="I230" s="33"/>
      <c r="J230" s="33"/>
      <c r="K230" s="33"/>
      <c r="L230" s="33"/>
      <c r="M230" s="33"/>
      <c r="N230" s="33"/>
      <c r="O230" s="33"/>
    </row>
    <row r="231" spans="9:15" ht="11.25" customHeight="1">
      <c r="I231" s="33"/>
      <c r="J231" s="33"/>
      <c r="K231" s="33"/>
      <c r="L231" s="33"/>
      <c r="M231" s="33"/>
      <c r="N231" s="33"/>
      <c r="O231" s="33"/>
    </row>
    <row r="232" spans="9:15" ht="11.25" customHeight="1">
      <c r="I232" s="33"/>
      <c r="J232" s="33"/>
      <c r="K232" s="33"/>
      <c r="L232" s="33"/>
      <c r="M232" s="33"/>
      <c r="N232" s="33"/>
      <c r="O232" s="33"/>
    </row>
    <row r="233" spans="9:15" ht="11.25" customHeight="1">
      <c r="I233" s="33"/>
      <c r="J233" s="33"/>
      <c r="K233" s="33"/>
      <c r="L233" s="33"/>
      <c r="M233" s="33"/>
      <c r="N233" s="33"/>
      <c r="O233" s="33"/>
    </row>
    <row r="234" spans="9:15" ht="11.25" customHeight="1">
      <c r="I234" s="33"/>
      <c r="J234" s="33"/>
      <c r="K234" s="33"/>
      <c r="L234" s="33"/>
      <c r="M234" s="33"/>
      <c r="N234" s="33"/>
      <c r="O234" s="33"/>
    </row>
    <row r="235" spans="9:15" ht="11.25" customHeight="1">
      <c r="I235" s="33"/>
      <c r="J235" s="33"/>
      <c r="K235" s="33"/>
      <c r="L235" s="33"/>
      <c r="M235" s="33"/>
      <c r="N235" s="33"/>
      <c r="O235" s="33"/>
    </row>
    <row r="236" spans="9:15" ht="11.25" customHeight="1">
      <c r="I236" s="33"/>
      <c r="J236" s="33"/>
      <c r="K236" s="33"/>
      <c r="L236" s="33"/>
      <c r="M236" s="33"/>
      <c r="N236" s="33"/>
      <c r="O236" s="33"/>
    </row>
    <row r="237" spans="9:15" ht="11.25" customHeight="1">
      <c r="I237" s="33"/>
      <c r="J237" s="33"/>
      <c r="K237" s="33"/>
      <c r="L237" s="33"/>
      <c r="M237" s="33"/>
      <c r="N237" s="33"/>
      <c r="O237" s="33"/>
    </row>
    <row r="238" spans="9:15" ht="11.25" customHeight="1">
      <c r="I238" s="33"/>
      <c r="J238" s="33"/>
      <c r="K238" s="33"/>
      <c r="L238" s="33"/>
      <c r="M238" s="33"/>
      <c r="N238" s="33"/>
      <c r="O238" s="33"/>
    </row>
    <row r="239" spans="9:15" ht="11.25" customHeight="1">
      <c r="I239" s="33"/>
      <c r="J239" s="33"/>
      <c r="K239" s="33"/>
      <c r="L239" s="33"/>
      <c r="M239" s="33"/>
      <c r="N239" s="33"/>
      <c r="O239" s="33"/>
    </row>
    <row r="240" spans="9:15" ht="11.25" customHeight="1">
      <c r="I240" s="33"/>
      <c r="J240" s="33"/>
      <c r="K240" s="33"/>
      <c r="L240" s="33"/>
      <c r="M240" s="33"/>
      <c r="N240" s="33"/>
      <c r="O240" s="33"/>
    </row>
    <row r="241" spans="9:15" ht="11.25" customHeight="1">
      <c r="I241" s="33"/>
      <c r="J241" s="33"/>
      <c r="K241" s="33"/>
      <c r="L241" s="33"/>
      <c r="M241" s="33"/>
      <c r="N241" s="33"/>
      <c r="O241" s="33"/>
    </row>
    <row r="242" spans="9:15" ht="11.25" customHeight="1">
      <c r="I242" s="33"/>
      <c r="J242" s="33"/>
      <c r="K242" s="33"/>
      <c r="L242" s="33"/>
      <c r="M242" s="33"/>
      <c r="N242" s="33"/>
      <c r="O242" s="33"/>
    </row>
    <row r="243" spans="9:15" ht="11.25" customHeight="1">
      <c r="I243" s="33"/>
      <c r="J243" s="33"/>
      <c r="K243" s="33"/>
      <c r="L243" s="33"/>
      <c r="M243" s="33"/>
      <c r="N243" s="33"/>
      <c r="O243" s="33"/>
    </row>
    <row r="244" spans="9:15" ht="11.25" customHeight="1">
      <c r="I244" s="33"/>
      <c r="J244" s="33"/>
      <c r="K244" s="33"/>
      <c r="L244" s="33"/>
      <c r="M244" s="33"/>
      <c r="N244" s="33"/>
      <c r="O244" s="33"/>
    </row>
    <row r="245" spans="9:15" ht="11.25" customHeight="1">
      <c r="I245" s="33"/>
      <c r="J245" s="33"/>
      <c r="K245" s="33"/>
      <c r="L245" s="33"/>
      <c r="M245" s="33"/>
      <c r="N245" s="33"/>
      <c r="O245" s="33"/>
    </row>
    <row r="246" spans="9:15" ht="11.25" customHeight="1">
      <c r="I246" s="33"/>
      <c r="J246" s="33"/>
      <c r="K246" s="33"/>
      <c r="L246" s="33"/>
      <c r="M246" s="33"/>
      <c r="N246" s="33"/>
      <c r="O246" s="33"/>
    </row>
    <row r="247" spans="9:15" ht="11.25" customHeight="1">
      <c r="I247" s="33"/>
      <c r="J247" s="33"/>
      <c r="K247" s="33"/>
      <c r="L247" s="33"/>
      <c r="M247" s="33"/>
      <c r="N247" s="33"/>
      <c r="O247" s="33"/>
    </row>
    <row r="248" spans="9:15" ht="11.25" customHeight="1">
      <c r="I248" s="33"/>
      <c r="J248" s="33"/>
      <c r="K248" s="33"/>
      <c r="L248" s="33"/>
      <c r="M248" s="33"/>
      <c r="N248" s="33"/>
      <c r="O248" s="33"/>
    </row>
    <row r="249" spans="9:15" ht="11.25" customHeight="1">
      <c r="I249" s="33"/>
      <c r="J249" s="33"/>
      <c r="K249" s="33"/>
      <c r="L249" s="33"/>
      <c r="M249" s="33"/>
      <c r="N249" s="33"/>
      <c r="O249" s="33"/>
    </row>
    <row r="250" spans="9:15" ht="11.25" customHeight="1">
      <c r="I250" s="33"/>
      <c r="J250" s="33"/>
      <c r="K250" s="33"/>
      <c r="L250" s="33"/>
      <c r="M250" s="33"/>
      <c r="N250" s="33"/>
      <c r="O250" s="33"/>
    </row>
    <row r="251" spans="9:15" ht="11.25" customHeight="1">
      <c r="I251" s="33"/>
      <c r="J251" s="33"/>
      <c r="K251" s="33"/>
      <c r="L251" s="33"/>
      <c r="M251" s="33"/>
      <c r="N251" s="33"/>
      <c r="O251" s="33"/>
    </row>
    <row r="252" spans="9:15" ht="11.25" customHeight="1">
      <c r="I252" s="33"/>
      <c r="J252" s="33"/>
      <c r="K252" s="33"/>
      <c r="L252" s="33"/>
      <c r="M252" s="33"/>
      <c r="N252" s="33"/>
      <c r="O252" s="33"/>
    </row>
    <row r="253" spans="9:15" ht="11.25" customHeight="1">
      <c r="I253" s="33"/>
      <c r="J253" s="33"/>
      <c r="K253" s="33"/>
      <c r="L253" s="33"/>
      <c r="M253" s="33"/>
      <c r="N253" s="33"/>
      <c r="O253" s="33"/>
    </row>
    <row r="254" spans="9:15" ht="11.25" customHeight="1">
      <c r="I254" s="33"/>
      <c r="J254" s="33"/>
      <c r="K254" s="33"/>
      <c r="L254" s="33"/>
      <c r="M254" s="33"/>
      <c r="N254" s="33"/>
      <c r="O254" s="33"/>
    </row>
    <row r="255" spans="9:15" ht="11.25" customHeight="1">
      <c r="I255" s="33"/>
      <c r="J255" s="33"/>
      <c r="K255" s="33"/>
      <c r="L255" s="33"/>
      <c r="M255" s="33"/>
      <c r="N255" s="33"/>
      <c r="O255" s="33"/>
    </row>
    <row r="256" spans="9:15" ht="11.25" customHeight="1">
      <c r="I256" s="33"/>
      <c r="J256" s="33"/>
      <c r="K256" s="33"/>
      <c r="L256" s="33"/>
      <c r="M256" s="33"/>
      <c r="N256" s="33"/>
      <c r="O256" s="33"/>
    </row>
    <row r="257" spans="9:15" ht="11.25" customHeight="1">
      <c r="I257" s="33"/>
      <c r="J257" s="33"/>
      <c r="K257" s="33"/>
      <c r="L257" s="33"/>
      <c r="M257" s="33"/>
      <c r="N257" s="33"/>
      <c r="O257" s="33"/>
    </row>
    <row r="258" spans="9:15" ht="11.25" customHeight="1">
      <c r="I258" s="33"/>
      <c r="J258" s="33"/>
      <c r="K258" s="33"/>
      <c r="L258" s="33"/>
      <c r="M258" s="33"/>
      <c r="N258" s="33"/>
      <c r="O258" s="33"/>
    </row>
    <row r="259" spans="9:15" ht="11.25" customHeight="1">
      <c r="I259" s="33"/>
      <c r="J259" s="33"/>
      <c r="K259" s="33"/>
      <c r="L259" s="33"/>
      <c r="M259" s="33"/>
      <c r="N259" s="33"/>
      <c r="O259" s="33"/>
    </row>
    <row r="260" spans="9:15" ht="11.25" customHeight="1">
      <c r="I260" s="33"/>
      <c r="J260" s="33"/>
      <c r="K260" s="33"/>
      <c r="L260" s="33"/>
      <c r="M260" s="33"/>
      <c r="N260" s="33"/>
      <c r="O260" s="33"/>
    </row>
    <row r="261" spans="9:15" ht="11.25" customHeight="1">
      <c r="I261" s="33"/>
      <c r="J261" s="33"/>
      <c r="K261" s="33"/>
      <c r="L261" s="33"/>
      <c r="M261" s="33"/>
      <c r="N261" s="33"/>
      <c r="O261" s="33"/>
    </row>
    <row r="262" spans="9:15" ht="11.25" customHeight="1">
      <c r="I262" s="33"/>
      <c r="J262" s="33"/>
      <c r="K262" s="33"/>
      <c r="L262" s="33"/>
      <c r="M262" s="33"/>
      <c r="N262" s="33"/>
      <c r="O262" s="33"/>
    </row>
    <row r="263" spans="9:15" ht="11.25" customHeight="1">
      <c r="I263" s="33"/>
      <c r="J263" s="33"/>
      <c r="K263" s="33"/>
      <c r="L263" s="33"/>
      <c r="M263" s="33"/>
      <c r="N263" s="33"/>
      <c r="O263" s="33"/>
    </row>
    <row r="264" spans="9:15" ht="11.25" customHeight="1">
      <c r="I264" s="33"/>
      <c r="J264" s="33"/>
      <c r="K264" s="33"/>
      <c r="L264" s="33"/>
      <c r="M264" s="33"/>
      <c r="N264" s="33"/>
      <c r="O264" s="33"/>
    </row>
    <row r="265" spans="9:15" ht="11.25" customHeight="1">
      <c r="I265" s="33"/>
      <c r="J265" s="33"/>
      <c r="K265" s="33"/>
      <c r="L265" s="33"/>
      <c r="M265" s="33"/>
      <c r="N265" s="33"/>
      <c r="O265" s="33"/>
    </row>
    <row r="266" spans="9:15" ht="11.25" customHeight="1">
      <c r="I266" s="33"/>
      <c r="J266" s="33"/>
      <c r="K266" s="33"/>
      <c r="L266" s="33"/>
      <c r="M266" s="33"/>
      <c r="N266" s="33"/>
      <c r="O266" s="33"/>
    </row>
    <row r="267" spans="9:15" ht="11.25" customHeight="1">
      <c r="I267" s="33"/>
      <c r="J267" s="33"/>
      <c r="K267" s="33"/>
      <c r="L267" s="33"/>
      <c r="M267" s="33"/>
      <c r="N267" s="33"/>
      <c r="O267" s="33"/>
    </row>
    <row r="268" spans="9:15" ht="11.25" customHeight="1">
      <c r="I268" s="33"/>
      <c r="J268" s="33"/>
      <c r="K268" s="33"/>
      <c r="L268" s="33"/>
      <c r="M268" s="33"/>
      <c r="N268" s="33"/>
      <c r="O268" s="33"/>
    </row>
    <row r="269" spans="9:15" ht="11.25" customHeight="1">
      <c r="I269" s="33"/>
      <c r="J269" s="33"/>
      <c r="K269" s="33"/>
      <c r="L269" s="33"/>
      <c r="M269" s="33"/>
      <c r="N269" s="33"/>
      <c r="O269" s="33"/>
    </row>
    <row r="270" spans="9:15" ht="11.25" customHeight="1">
      <c r="I270" s="33"/>
      <c r="J270" s="33"/>
      <c r="K270" s="33"/>
      <c r="L270" s="33"/>
      <c r="M270" s="33"/>
      <c r="N270" s="33"/>
      <c r="O270" s="33"/>
    </row>
    <row r="271" spans="9:15" ht="11.25" customHeight="1">
      <c r="I271" s="33"/>
      <c r="J271" s="33"/>
      <c r="K271" s="33"/>
      <c r="L271" s="33"/>
      <c r="M271" s="33"/>
      <c r="N271" s="33"/>
      <c r="O271" s="33"/>
    </row>
    <row r="272" spans="9:15" ht="11.25" customHeight="1">
      <c r="I272" s="33"/>
      <c r="J272" s="33"/>
      <c r="K272" s="33"/>
      <c r="L272" s="33"/>
      <c r="M272" s="33"/>
      <c r="N272" s="33"/>
      <c r="O272" s="33"/>
    </row>
    <row r="273" spans="9:15" ht="11.25" customHeight="1">
      <c r="I273" s="33"/>
      <c r="J273" s="33"/>
      <c r="K273" s="33"/>
      <c r="L273" s="33"/>
      <c r="M273" s="33"/>
      <c r="N273" s="33"/>
      <c r="O273" s="33"/>
    </row>
    <row r="274" spans="9:15" ht="11.25" customHeight="1">
      <c r="I274" s="33"/>
      <c r="J274" s="33"/>
      <c r="K274" s="33"/>
      <c r="L274" s="33"/>
      <c r="M274" s="33"/>
      <c r="N274" s="33"/>
      <c r="O274" s="33"/>
    </row>
    <row r="275" spans="9:15" ht="11.25" customHeight="1">
      <c r="I275" s="33"/>
      <c r="J275" s="33"/>
      <c r="K275" s="33"/>
      <c r="L275" s="33"/>
      <c r="M275" s="33"/>
      <c r="N275" s="33"/>
      <c r="O275" s="33"/>
    </row>
    <row r="276" spans="9:15" ht="11.25" customHeight="1">
      <c r="I276" s="33"/>
      <c r="J276" s="33"/>
      <c r="K276" s="33"/>
      <c r="L276" s="33"/>
      <c r="M276" s="33"/>
      <c r="N276" s="33"/>
      <c r="O276" s="33"/>
    </row>
    <row r="277" spans="9:15" ht="11.25" customHeight="1">
      <c r="I277" s="33"/>
      <c r="J277" s="33"/>
      <c r="K277" s="33"/>
      <c r="L277" s="33"/>
      <c r="M277" s="33"/>
      <c r="N277" s="33"/>
      <c r="O277" s="33"/>
    </row>
    <row r="278" spans="9:15" ht="11.25" customHeight="1">
      <c r="I278" s="33"/>
      <c r="J278" s="33"/>
      <c r="K278" s="33"/>
      <c r="L278" s="33"/>
      <c r="M278" s="33"/>
      <c r="N278" s="33"/>
      <c r="O278" s="33"/>
    </row>
    <row r="279" spans="9:15" ht="11.25" customHeight="1">
      <c r="I279" s="33"/>
      <c r="J279" s="33"/>
      <c r="K279" s="33"/>
      <c r="L279" s="33"/>
      <c r="M279" s="33"/>
      <c r="N279" s="33"/>
      <c r="O279" s="33"/>
    </row>
    <row r="280" spans="9:15" ht="11.25" customHeight="1">
      <c r="I280" s="33"/>
      <c r="J280" s="33"/>
      <c r="K280" s="33"/>
      <c r="L280" s="33"/>
      <c r="M280" s="33"/>
      <c r="N280" s="33"/>
      <c r="O280" s="33"/>
    </row>
    <row r="281" spans="9:15" ht="11.25" customHeight="1">
      <c r="I281" s="33"/>
      <c r="J281" s="33"/>
      <c r="K281" s="33"/>
      <c r="L281" s="33"/>
      <c r="M281" s="33"/>
      <c r="N281" s="33"/>
      <c r="O281" s="33"/>
    </row>
    <row r="282" spans="9:15" ht="11.25" customHeight="1">
      <c r="I282" s="33"/>
      <c r="J282" s="33"/>
      <c r="K282" s="33"/>
      <c r="L282" s="33"/>
      <c r="M282" s="33"/>
      <c r="N282" s="33"/>
      <c r="O282" s="33"/>
    </row>
    <row r="283" spans="9:15" ht="11.25" customHeight="1">
      <c r="I283" s="33"/>
      <c r="J283" s="33"/>
      <c r="K283" s="33"/>
      <c r="L283" s="33"/>
      <c r="M283" s="33"/>
      <c r="N283" s="33"/>
      <c r="O283" s="33"/>
    </row>
    <row r="284" spans="9:15" ht="11.25" customHeight="1">
      <c r="I284" s="33"/>
      <c r="J284" s="33"/>
      <c r="K284" s="33"/>
      <c r="L284" s="33"/>
      <c r="M284" s="33"/>
      <c r="N284" s="33"/>
      <c r="O284" s="33"/>
    </row>
    <row r="285" spans="9:15" ht="11.25" customHeight="1">
      <c r="I285" s="33"/>
      <c r="J285" s="33"/>
      <c r="K285" s="33"/>
      <c r="L285" s="33"/>
      <c r="M285" s="33"/>
      <c r="N285" s="33"/>
      <c r="O285" s="33"/>
    </row>
    <row r="286" spans="9:15" ht="11.25" customHeight="1">
      <c r="I286" s="33"/>
      <c r="J286" s="33"/>
      <c r="K286" s="33"/>
      <c r="L286" s="33"/>
      <c r="M286" s="33"/>
      <c r="N286" s="33"/>
      <c r="O286" s="33"/>
    </row>
    <row r="287" spans="9:15" ht="11.25" customHeight="1">
      <c r="I287" s="33"/>
      <c r="J287" s="33"/>
      <c r="K287" s="33"/>
      <c r="L287" s="33"/>
      <c r="M287" s="33"/>
      <c r="N287" s="33"/>
      <c r="O287" s="33"/>
    </row>
    <row r="288" spans="9:15" ht="11.25" customHeight="1">
      <c r="I288" s="33"/>
      <c r="J288" s="33"/>
      <c r="K288" s="33"/>
      <c r="L288" s="33"/>
      <c r="M288" s="33"/>
      <c r="N288" s="33"/>
      <c r="O288" s="33"/>
    </row>
    <row r="289" spans="9:15" ht="11.25" customHeight="1">
      <c r="I289" s="33"/>
      <c r="J289" s="33"/>
      <c r="K289" s="33"/>
      <c r="L289" s="33"/>
      <c r="M289" s="33"/>
      <c r="N289" s="33"/>
      <c r="O289" s="33"/>
    </row>
    <row r="290" spans="9:15" ht="11.25" customHeight="1">
      <c r="I290" s="33"/>
      <c r="J290" s="33"/>
      <c r="K290" s="33"/>
      <c r="L290" s="33"/>
      <c r="M290" s="33"/>
      <c r="N290" s="33"/>
      <c r="O290" s="33"/>
    </row>
    <row r="291" spans="9:15" ht="11.25" customHeight="1">
      <c r="I291" s="33"/>
      <c r="J291" s="33"/>
      <c r="K291" s="33"/>
      <c r="L291" s="33"/>
      <c r="M291" s="33"/>
      <c r="N291" s="33"/>
      <c r="O291" s="33"/>
    </row>
    <row r="292" spans="9:15" ht="11.25" customHeight="1">
      <c r="I292" s="33"/>
      <c r="J292" s="33"/>
      <c r="K292" s="33"/>
      <c r="L292" s="33"/>
      <c r="M292" s="33"/>
      <c r="N292" s="33"/>
      <c r="O292" s="33"/>
    </row>
    <row r="293" spans="9:15" ht="11.25" customHeight="1">
      <c r="I293" s="33"/>
      <c r="J293" s="33"/>
      <c r="K293" s="33"/>
      <c r="L293" s="33"/>
      <c r="M293" s="33"/>
      <c r="N293" s="33"/>
      <c r="O293" s="33"/>
    </row>
    <row r="294" spans="9:15" ht="11.25" customHeight="1">
      <c r="I294" s="33"/>
      <c r="J294" s="33"/>
      <c r="K294" s="33"/>
      <c r="L294" s="33"/>
      <c r="M294" s="33"/>
      <c r="N294" s="33"/>
      <c r="O294" s="33"/>
    </row>
    <row r="295" spans="9:15" ht="11.25" customHeight="1">
      <c r="I295" s="33"/>
      <c r="J295" s="33"/>
      <c r="K295" s="33"/>
      <c r="L295" s="33"/>
      <c r="M295" s="33"/>
      <c r="N295" s="33"/>
      <c r="O295" s="33"/>
    </row>
    <row r="296" spans="9:15" ht="11.25" customHeight="1">
      <c r="I296" s="33"/>
      <c r="J296" s="33"/>
      <c r="K296" s="33"/>
      <c r="L296" s="33"/>
      <c r="M296" s="33"/>
      <c r="N296" s="33"/>
      <c r="O296" s="33"/>
    </row>
    <row r="297" spans="9:15" ht="11.25" customHeight="1">
      <c r="I297" s="33"/>
      <c r="J297" s="33"/>
      <c r="K297" s="33"/>
      <c r="L297" s="33"/>
      <c r="M297" s="33"/>
      <c r="N297" s="33"/>
      <c r="O297" s="33"/>
    </row>
    <row r="298" spans="9:15" ht="11.25" customHeight="1">
      <c r="I298" s="33"/>
      <c r="J298" s="33"/>
      <c r="K298" s="33"/>
      <c r="L298" s="33"/>
      <c r="M298" s="33"/>
      <c r="N298" s="33"/>
      <c r="O298" s="33"/>
    </row>
    <row r="299" spans="9:15" ht="11.25" customHeight="1">
      <c r="I299" s="33"/>
      <c r="J299" s="33"/>
      <c r="K299" s="33"/>
      <c r="L299" s="33"/>
      <c r="M299" s="33"/>
      <c r="N299" s="33"/>
      <c r="O299" s="33"/>
    </row>
    <row r="300" spans="9:15" ht="11.25" customHeight="1">
      <c r="I300" s="33"/>
      <c r="J300" s="33"/>
      <c r="K300" s="33"/>
      <c r="L300" s="33"/>
      <c r="M300" s="33"/>
      <c r="N300" s="33"/>
      <c r="O300" s="33"/>
    </row>
    <row r="301" spans="9:15" ht="11.25" customHeight="1">
      <c r="I301" s="33"/>
      <c r="J301" s="33"/>
      <c r="K301" s="33"/>
      <c r="L301" s="33"/>
      <c r="M301" s="33"/>
      <c r="N301" s="33"/>
      <c r="O301" s="33"/>
    </row>
    <row r="302" spans="9:15" ht="11.25" customHeight="1">
      <c r="I302" s="33"/>
      <c r="J302" s="33"/>
      <c r="K302" s="33"/>
      <c r="L302" s="33"/>
      <c r="M302" s="33"/>
      <c r="N302" s="33"/>
      <c r="O302" s="33"/>
    </row>
    <row r="303" spans="9:15" ht="11.25" customHeight="1">
      <c r="I303" s="33"/>
      <c r="J303" s="33"/>
      <c r="K303" s="33"/>
      <c r="L303" s="33"/>
      <c r="M303" s="33"/>
      <c r="N303" s="33"/>
      <c r="O303" s="33"/>
    </row>
    <row r="304" spans="9:15" ht="11.25" customHeight="1">
      <c r="I304" s="33"/>
      <c r="J304" s="33"/>
      <c r="K304" s="33"/>
      <c r="L304" s="33"/>
      <c r="M304" s="33"/>
      <c r="N304" s="33"/>
      <c r="O304" s="33"/>
    </row>
    <row r="305" spans="9:15" ht="11.25" customHeight="1">
      <c r="I305" s="33"/>
      <c r="J305" s="33"/>
      <c r="K305" s="33"/>
      <c r="L305" s="33"/>
      <c r="M305" s="33"/>
      <c r="N305" s="33"/>
      <c r="O305" s="33"/>
    </row>
    <row r="306" spans="9:15" ht="11.25" customHeight="1">
      <c r="I306" s="33"/>
      <c r="J306" s="33"/>
      <c r="K306" s="33"/>
      <c r="L306" s="33"/>
      <c r="M306" s="33"/>
      <c r="N306" s="33"/>
      <c r="O306" s="33"/>
    </row>
    <row r="307" spans="9:15" ht="11.25" customHeight="1">
      <c r="I307" s="33"/>
      <c r="J307" s="33"/>
      <c r="K307" s="33"/>
      <c r="L307" s="33"/>
      <c r="M307" s="33"/>
      <c r="N307" s="33"/>
      <c r="O307" s="33"/>
    </row>
    <row r="308" spans="9:15" ht="11.25" customHeight="1">
      <c r="I308" s="33"/>
      <c r="J308" s="33"/>
      <c r="K308" s="33"/>
      <c r="L308" s="33"/>
      <c r="M308" s="33"/>
      <c r="N308" s="33"/>
      <c r="O308" s="33"/>
    </row>
    <row r="309" spans="9:15" ht="11.25" customHeight="1">
      <c r="I309" s="33"/>
      <c r="J309" s="33"/>
      <c r="K309" s="33"/>
      <c r="L309" s="33"/>
      <c r="M309" s="33"/>
      <c r="N309" s="33"/>
      <c r="O309" s="33"/>
    </row>
    <row r="310" spans="9:15" ht="11.25" customHeight="1">
      <c r="I310" s="33"/>
      <c r="J310" s="33"/>
      <c r="K310" s="33"/>
      <c r="L310" s="33"/>
      <c r="M310" s="33"/>
      <c r="N310" s="33"/>
      <c r="O310" s="33"/>
    </row>
    <row r="311" spans="9:15" ht="11.25" customHeight="1">
      <c r="I311" s="33"/>
      <c r="J311" s="33"/>
      <c r="K311" s="33"/>
      <c r="L311" s="33"/>
      <c r="M311" s="33"/>
      <c r="N311" s="33"/>
      <c r="O311" s="33"/>
    </row>
    <row r="312" spans="9:15" ht="11.25" customHeight="1">
      <c r="I312" s="33"/>
      <c r="J312" s="33"/>
      <c r="K312" s="33"/>
      <c r="L312" s="33"/>
      <c r="M312" s="33"/>
      <c r="N312" s="33"/>
      <c r="O312" s="33"/>
    </row>
    <row r="313" spans="9:15" ht="11.25" customHeight="1">
      <c r="I313" s="33"/>
      <c r="J313" s="33"/>
      <c r="K313" s="33"/>
      <c r="L313" s="33"/>
      <c r="M313" s="33"/>
      <c r="N313" s="33"/>
      <c r="O313" s="33"/>
    </row>
    <row r="314" spans="9:15" ht="11.25" customHeight="1">
      <c r="I314" s="33"/>
      <c r="J314" s="33"/>
      <c r="K314" s="33"/>
      <c r="L314" s="33"/>
      <c r="M314" s="33"/>
      <c r="N314" s="33"/>
      <c r="O314" s="33"/>
    </row>
    <row r="315" spans="9:15" ht="11.25" customHeight="1">
      <c r="I315" s="33"/>
      <c r="J315" s="33"/>
      <c r="K315" s="33"/>
      <c r="L315" s="33"/>
      <c r="M315" s="33"/>
      <c r="N315" s="33"/>
      <c r="O315" s="33"/>
    </row>
    <row r="316" spans="9:15" ht="11.25" customHeight="1">
      <c r="I316" s="33"/>
      <c r="J316" s="33"/>
      <c r="K316" s="33"/>
      <c r="L316" s="33"/>
      <c r="M316" s="33"/>
      <c r="N316" s="33"/>
      <c r="O316" s="33"/>
    </row>
    <row r="317" spans="9:15" ht="11.25" customHeight="1">
      <c r="I317" s="33"/>
      <c r="J317" s="33"/>
      <c r="K317" s="33"/>
      <c r="L317" s="33"/>
      <c r="M317" s="33"/>
      <c r="N317" s="33"/>
      <c r="O317" s="33"/>
    </row>
    <row r="318" spans="9:15" ht="11.25" customHeight="1">
      <c r="I318" s="33"/>
      <c r="J318" s="33"/>
      <c r="K318" s="33"/>
      <c r="L318" s="33"/>
      <c r="M318" s="33"/>
      <c r="N318" s="33"/>
      <c r="O318" s="33"/>
    </row>
    <row r="319" spans="9:15" ht="11.25" customHeight="1">
      <c r="I319" s="33"/>
      <c r="J319" s="33"/>
      <c r="K319" s="33"/>
      <c r="L319" s="33"/>
      <c r="M319" s="33"/>
      <c r="N319" s="33"/>
      <c r="O319" s="33"/>
    </row>
    <row r="320" spans="9:15" ht="11.25" customHeight="1">
      <c r="I320" s="33"/>
      <c r="J320" s="33"/>
      <c r="K320" s="33"/>
      <c r="L320" s="33"/>
      <c r="M320" s="33"/>
      <c r="N320" s="33"/>
      <c r="O320" s="33"/>
    </row>
    <row r="321" spans="9:15" ht="11.25" customHeight="1">
      <c r="I321" s="33"/>
      <c r="J321" s="33"/>
      <c r="K321" s="33"/>
      <c r="L321" s="33"/>
      <c r="M321" s="33"/>
      <c r="N321" s="33"/>
      <c r="O321" s="33"/>
    </row>
    <row r="322" spans="9:15" ht="11.25" customHeight="1">
      <c r="I322" s="33"/>
      <c r="J322" s="33"/>
      <c r="K322" s="33"/>
      <c r="L322" s="33"/>
      <c r="M322" s="33"/>
      <c r="N322" s="33"/>
      <c r="O322" s="33"/>
    </row>
    <row r="323" spans="9:15" ht="11.25" customHeight="1">
      <c r="I323" s="33"/>
      <c r="J323" s="33"/>
      <c r="K323" s="33"/>
      <c r="L323" s="33"/>
      <c r="M323" s="33"/>
      <c r="N323" s="33"/>
      <c r="O323" s="33"/>
    </row>
    <row r="324" spans="9:15" ht="11.25" customHeight="1">
      <c r="I324" s="33"/>
      <c r="J324" s="33"/>
      <c r="K324" s="33"/>
      <c r="L324" s="33"/>
      <c r="M324" s="33"/>
      <c r="N324" s="33"/>
      <c r="O324" s="33"/>
    </row>
    <row r="325" spans="9:15" ht="11.25" customHeight="1">
      <c r="I325" s="33"/>
      <c r="J325" s="33"/>
      <c r="K325" s="33"/>
      <c r="L325" s="33"/>
      <c r="M325" s="33"/>
      <c r="N325" s="33"/>
      <c r="O325" s="33"/>
    </row>
    <row r="326" spans="9:15" ht="11.25" customHeight="1">
      <c r="I326" s="33"/>
      <c r="J326" s="33"/>
      <c r="K326" s="33"/>
      <c r="L326" s="33"/>
      <c r="M326" s="33"/>
      <c r="N326" s="33"/>
      <c r="O326" s="33"/>
    </row>
    <row r="327" spans="9:15" ht="11.25" customHeight="1">
      <c r="I327" s="33"/>
      <c r="J327" s="33"/>
      <c r="K327" s="33"/>
      <c r="L327" s="33"/>
      <c r="M327" s="33"/>
      <c r="N327" s="33"/>
      <c r="O327" s="33"/>
    </row>
    <row r="328" spans="9:15" ht="11.25" customHeight="1">
      <c r="I328" s="33"/>
      <c r="J328" s="33"/>
      <c r="K328" s="33"/>
      <c r="L328" s="33"/>
      <c r="M328" s="33"/>
      <c r="N328" s="33"/>
      <c r="O328" s="33"/>
    </row>
    <row r="329" spans="9:15" ht="11.25" customHeight="1">
      <c r="I329" s="33"/>
      <c r="J329" s="33"/>
      <c r="K329" s="33"/>
      <c r="L329" s="33"/>
      <c r="M329" s="33"/>
      <c r="N329" s="33"/>
      <c r="O329" s="33"/>
    </row>
    <row r="330" spans="9:15" ht="11.25" customHeight="1">
      <c r="I330" s="33"/>
      <c r="J330" s="33"/>
      <c r="K330" s="33"/>
      <c r="L330" s="33"/>
      <c r="M330" s="33"/>
      <c r="N330" s="33"/>
      <c r="O330" s="33"/>
    </row>
    <row r="331" spans="9:15" ht="11.25" customHeight="1">
      <c r="I331" s="33"/>
      <c r="J331" s="33"/>
      <c r="K331" s="33"/>
      <c r="L331" s="33"/>
      <c r="M331" s="33"/>
      <c r="N331" s="33"/>
      <c r="O331" s="33"/>
    </row>
    <row r="332" spans="9:15" ht="11.25" customHeight="1">
      <c r="I332" s="33"/>
      <c r="J332" s="33"/>
      <c r="K332" s="33"/>
      <c r="L332" s="33"/>
      <c r="M332" s="33"/>
      <c r="N332" s="33"/>
      <c r="O332" s="33"/>
    </row>
    <row r="333" spans="9:15" ht="11.25" customHeight="1">
      <c r="I333" s="33"/>
      <c r="J333" s="33"/>
      <c r="K333" s="33"/>
      <c r="L333" s="33"/>
      <c r="M333" s="33"/>
      <c r="N333" s="33"/>
      <c r="O333" s="33"/>
    </row>
    <row r="334" spans="9:15" ht="11.25" customHeight="1">
      <c r="I334" s="33"/>
      <c r="J334" s="33"/>
      <c r="K334" s="33"/>
      <c r="L334" s="33"/>
      <c r="M334" s="33"/>
      <c r="N334" s="33"/>
      <c r="O334" s="33"/>
    </row>
    <row r="335" spans="9:15" ht="11.25" customHeight="1">
      <c r="I335" s="33"/>
      <c r="J335" s="33"/>
      <c r="K335" s="33"/>
      <c r="L335" s="33"/>
      <c r="M335" s="33"/>
      <c r="N335" s="33"/>
      <c r="O335" s="33"/>
    </row>
    <row r="336" spans="9:15" ht="11.25" customHeight="1">
      <c r="I336" s="33"/>
      <c r="J336" s="33"/>
      <c r="K336" s="33"/>
      <c r="L336" s="33"/>
      <c r="M336" s="33"/>
      <c r="N336" s="33"/>
      <c r="O336" s="33"/>
    </row>
    <row r="337" spans="9:15" ht="11.25" customHeight="1">
      <c r="I337" s="33"/>
      <c r="J337" s="33"/>
      <c r="K337" s="33"/>
      <c r="L337" s="33"/>
      <c r="M337" s="33"/>
      <c r="N337" s="33"/>
      <c r="O337" s="33"/>
    </row>
    <row r="338" spans="9:15" ht="11.25" customHeight="1">
      <c r="I338" s="33"/>
      <c r="J338" s="33"/>
      <c r="K338" s="33"/>
      <c r="L338" s="33"/>
      <c r="M338" s="33"/>
      <c r="N338" s="33"/>
      <c r="O338" s="33"/>
    </row>
    <row r="339" spans="9:15" ht="11.25" customHeight="1">
      <c r="I339" s="33"/>
      <c r="J339" s="33"/>
      <c r="K339" s="33"/>
      <c r="L339" s="33"/>
      <c r="M339" s="33"/>
      <c r="N339" s="33"/>
      <c r="O339" s="33"/>
    </row>
    <row r="340" spans="9:15" ht="11.25" customHeight="1">
      <c r="I340" s="33"/>
      <c r="J340" s="33"/>
      <c r="K340" s="33"/>
      <c r="L340" s="33"/>
      <c r="M340" s="33"/>
      <c r="N340" s="33"/>
      <c r="O340" s="33"/>
    </row>
    <row r="341" spans="9:15" ht="11.25" customHeight="1">
      <c r="I341" s="33"/>
      <c r="J341" s="33"/>
      <c r="K341" s="33"/>
      <c r="L341" s="33"/>
      <c r="M341" s="33"/>
      <c r="N341" s="33"/>
      <c r="O341" s="33"/>
    </row>
    <row r="342" spans="9:15" ht="11.25" customHeight="1">
      <c r="I342" s="33"/>
      <c r="J342" s="33"/>
      <c r="K342" s="33"/>
      <c r="L342" s="33"/>
      <c r="M342" s="33"/>
      <c r="N342" s="33"/>
      <c r="O342" s="33"/>
    </row>
    <row r="343" spans="9:15" ht="11.25" customHeight="1">
      <c r="I343" s="33"/>
      <c r="J343" s="33"/>
      <c r="K343" s="33"/>
      <c r="L343" s="33"/>
      <c r="M343" s="33"/>
      <c r="N343" s="33"/>
      <c r="O343" s="33"/>
    </row>
    <row r="344" spans="9:15" ht="11.25" customHeight="1">
      <c r="I344" s="33"/>
      <c r="J344" s="33"/>
      <c r="K344" s="33"/>
      <c r="L344" s="33"/>
      <c r="M344" s="33"/>
      <c r="N344" s="33"/>
      <c r="O344" s="33"/>
    </row>
    <row r="345" spans="9:15" ht="11.25" customHeight="1">
      <c r="I345" s="33"/>
      <c r="J345" s="33"/>
      <c r="K345" s="33"/>
      <c r="L345" s="33"/>
      <c r="M345" s="33"/>
      <c r="N345" s="33"/>
      <c r="O345" s="33"/>
    </row>
    <row r="346" spans="9:15" ht="11.25" customHeight="1">
      <c r="I346" s="33"/>
      <c r="J346" s="33"/>
      <c r="K346" s="33"/>
      <c r="L346" s="33"/>
      <c r="M346" s="33"/>
      <c r="N346" s="33"/>
      <c r="O346" s="33"/>
    </row>
    <row r="347" spans="9:15" ht="11.25" customHeight="1">
      <c r="I347" s="33"/>
      <c r="J347" s="33"/>
      <c r="K347" s="33"/>
      <c r="L347" s="33"/>
      <c r="M347" s="33"/>
      <c r="N347" s="33"/>
      <c r="O347" s="33"/>
    </row>
    <row r="348" spans="9:15" ht="11.25" customHeight="1">
      <c r="I348" s="33"/>
      <c r="J348" s="33"/>
      <c r="K348" s="33"/>
      <c r="L348" s="33"/>
      <c r="M348" s="33"/>
      <c r="N348" s="33"/>
      <c r="O348" s="33"/>
    </row>
    <row r="349" spans="9:15" ht="11.25" customHeight="1">
      <c r="I349" s="33"/>
      <c r="J349" s="33"/>
      <c r="K349" s="33"/>
      <c r="L349" s="33"/>
      <c r="M349" s="33"/>
      <c r="N349" s="33"/>
      <c r="O349" s="33"/>
    </row>
    <row r="350" spans="9:15" ht="11.25" customHeight="1">
      <c r="I350" s="33"/>
      <c r="J350" s="33"/>
      <c r="K350" s="33"/>
      <c r="L350" s="33"/>
      <c r="M350" s="33"/>
      <c r="N350" s="33"/>
      <c r="O350" s="33"/>
    </row>
    <row r="351" spans="9:15" ht="11.25" customHeight="1">
      <c r="I351" s="33"/>
      <c r="J351" s="33"/>
      <c r="K351" s="33"/>
      <c r="L351" s="33"/>
      <c r="M351" s="33"/>
      <c r="N351" s="33"/>
      <c r="O351" s="33"/>
    </row>
    <row r="352" spans="9:15" ht="11.25" customHeight="1">
      <c r="I352" s="33"/>
      <c r="J352" s="33"/>
      <c r="K352" s="33"/>
      <c r="L352" s="33"/>
      <c r="M352" s="33"/>
      <c r="N352" s="33"/>
      <c r="O352" s="33"/>
    </row>
    <row r="353" spans="9:15" ht="11.25" customHeight="1">
      <c r="I353" s="33"/>
      <c r="J353" s="33"/>
      <c r="K353" s="33"/>
      <c r="L353" s="33"/>
      <c r="M353" s="33"/>
      <c r="N353" s="33"/>
      <c r="O353" s="33"/>
    </row>
    <row r="354" spans="9:15" ht="11.25" customHeight="1">
      <c r="I354" s="33"/>
      <c r="J354" s="33"/>
      <c r="K354" s="33"/>
      <c r="L354" s="33"/>
      <c r="M354" s="33"/>
      <c r="N354" s="33"/>
      <c r="O354" s="33"/>
    </row>
    <row r="355" spans="9:15" ht="11.25" customHeight="1">
      <c r="I355" s="33"/>
      <c r="J355" s="33"/>
      <c r="K355" s="33"/>
      <c r="L355" s="33"/>
      <c r="M355" s="33"/>
      <c r="N355" s="33"/>
      <c r="O355" s="33"/>
    </row>
    <row r="356" spans="9:15" ht="11.25" customHeight="1">
      <c r="I356" s="33"/>
      <c r="J356" s="33"/>
      <c r="K356" s="33"/>
      <c r="L356" s="33"/>
      <c r="M356" s="33"/>
      <c r="N356" s="33"/>
      <c r="O356" s="33"/>
    </row>
    <row r="357" spans="9:15" ht="11.25" customHeight="1">
      <c r="I357" s="33"/>
      <c r="J357" s="33"/>
      <c r="K357" s="33"/>
      <c r="L357" s="33"/>
      <c r="M357" s="33"/>
      <c r="N357" s="33"/>
      <c r="O357" s="33"/>
    </row>
    <row r="358" spans="9:15" ht="11.25" customHeight="1">
      <c r="I358" s="33"/>
      <c r="J358" s="33"/>
      <c r="K358" s="33"/>
      <c r="L358" s="33"/>
      <c r="M358" s="33"/>
      <c r="N358" s="33"/>
      <c r="O358" s="33"/>
    </row>
    <row r="359" spans="9:15" ht="11.25" customHeight="1">
      <c r="I359" s="33"/>
      <c r="J359" s="33"/>
      <c r="K359" s="33"/>
      <c r="L359" s="33"/>
      <c r="M359" s="33"/>
      <c r="N359" s="33"/>
      <c r="O359" s="33"/>
    </row>
    <row r="360" spans="9:15" ht="11.25" customHeight="1">
      <c r="I360" s="33"/>
      <c r="J360" s="33"/>
      <c r="K360" s="33"/>
      <c r="L360" s="33"/>
      <c r="M360" s="33"/>
      <c r="N360" s="33"/>
      <c r="O360" s="33"/>
    </row>
    <row r="361" spans="9:15" ht="11.25" customHeight="1">
      <c r="I361" s="33"/>
      <c r="J361" s="33"/>
      <c r="K361" s="33"/>
      <c r="L361" s="33"/>
      <c r="M361" s="33"/>
      <c r="N361" s="33"/>
      <c r="O361" s="33"/>
    </row>
    <row r="362" spans="9:15" ht="11.25" customHeight="1">
      <c r="I362" s="33"/>
      <c r="J362" s="33"/>
      <c r="K362" s="33"/>
      <c r="L362" s="33"/>
      <c r="M362" s="33"/>
      <c r="N362" s="33"/>
      <c r="O362" s="33"/>
    </row>
    <row r="363" spans="9:15" ht="11.25" customHeight="1">
      <c r="I363" s="33"/>
      <c r="J363" s="33"/>
      <c r="K363" s="33"/>
      <c r="L363" s="33"/>
      <c r="M363" s="33"/>
      <c r="N363" s="33"/>
      <c r="O363" s="33"/>
    </row>
    <row r="364" spans="9:15" ht="11.25" customHeight="1">
      <c r="I364" s="33"/>
      <c r="J364" s="33"/>
      <c r="K364" s="33"/>
      <c r="L364" s="33"/>
      <c r="M364" s="33"/>
      <c r="N364" s="33"/>
      <c r="O364" s="33"/>
    </row>
    <row r="365" spans="9:15" ht="11.25" customHeight="1">
      <c r="I365" s="33"/>
      <c r="J365" s="33"/>
      <c r="K365" s="33"/>
      <c r="L365" s="33"/>
      <c r="M365" s="33"/>
      <c r="N365" s="33"/>
      <c r="O365" s="33"/>
    </row>
    <row r="366" spans="9:15" ht="11.25" customHeight="1">
      <c r="I366" s="33"/>
      <c r="J366" s="33"/>
      <c r="K366" s="33"/>
      <c r="L366" s="33"/>
      <c r="M366" s="33"/>
      <c r="N366" s="33"/>
      <c r="O366" s="33"/>
    </row>
    <row r="367" spans="9:15" ht="11.25" customHeight="1">
      <c r="I367" s="33"/>
      <c r="J367" s="33"/>
      <c r="K367" s="33"/>
      <c r="L367" s="33"/>
      <c r="M367" s="33"/>
      <c r="N367" s="33"/>
      <c r="O367" s="33"/>
    </row>
    <row r="368" spans="9:15" ht="11.25" customHeight="1">
      <c r="I368" s="33"/>
      <c r="J368" s="33"/>
      <c r="K368" s="33"/>
      <c r="L368" s="33"/>
      <c r="M368" s="33"/>
      <c r="N368" s="33"/>
      <c r="O368" s="33"/>
    </row>
    <row r="369" spans="9:15" ht="11.25" customHeight="1">
      <c r="I369" s="33"/>
      <c r="J369" s="33"/>
      <c r="K369" s="33"/>
      <c r="L369" s="33"/>
      <c r="M369" s="33"/>
      <c r="N369" s="33"/>
      <c r="O369" s="33"/>
    </row>
    <row r="370" spans="9:15" ht="11.25" customHeight="1">
      <c r="I370" s="33"/>
      <c r="J370" s="33"/>
      <c r="K370" s="33"/>
      <c r="L370" s="33"/>
      <c r="M370" s="33"/>
      <c r="N370" s="33"/>
      <c r="O370" s="33"/>
    </row>
    <row r="371" spans="9:15" ht="11.25" customHeight="1">
      <c r="I371" s="33"/>
      <c r="J371" s="33"/>
      <c r="K371" s="33"/>
      <c r="L371" s="33"/>
      <c r="M371" s="33"/>
      <c r="N371" s="33"/>
      <c r="O371" s="33"/>
    </row>
    <row r="372" spans="9:15" ht="11.25" customHeight="1">
      <c r="I372" s="33"/>
      <c r="J372" s="33"/>
      <c r="K372" s="33"/>
      <c r="L372" s="33"/>
      <c r="M372" s="33"/>
      <c r="N372" s="33"/>
      <c r="O372" s="33"/>
    </row>
    <row r="373" spans="9:15" ht="11.25" customHeight="1">
      <c r="I373" s="33"/>
      <c r="J373" s="33"/>
      <c r="K373" s="33"/>
      <c r="L373" s="33"/>
      <c r="M373" s="33"/>
      <c r="N373" s="33"/>
      <c r="O373" s="33"/>
    </row>
    <row r="374" spans="9:15" ht="11.25" customHeight="1">
      <c r="I374" s="33"/>
      <c r="J374" s="33"/>
      <c r="K374" s="33"/>
      <c r="L374" s="33"/>
      <c r="M374" s="33"/>
      <c r="N374" s="33"/>
      <c r="O374" s="33"/>
    </row>
    <row r="375" spans="9:15" ht="11.25" customHeight="1">
      <c r="I375" s="33"/>
      <c r="J375" s="33"/>
      <c r="K375" s="33"/>
      <c r="L375" s="33"/>
      <c r="M375" s="33"/>
      <c r="N375" s="33"/>
      <c r="O375" s="33"/>
    </row>
    <row r="376" spans="9:15" ht="11.25" customHeight="1">
      <c r="I376" s="33"/>
      <c r="J376" s="33"/>
      <c r="K376" s="33"/>
      <c r="L376" s="33"/>
      <c r="M376" s="33"/>
      <c r="N376" s="33"/>
      <c r="O376" s="33"/>
    </row>
    <row r="377" spans="9:15" ht="11.25" customHeight="1">
      <c r="I377" s="33"/>
      <c r="J377" s="33"/>
      <c r="K377" s="33"/>
      <c r="L377" s="33"/>
      <c r="M377" s="33"/>
      <c r="N377" s="33"/>
      <c r="O377" s="33"/>
    </row>
    <row r="378" spans="9:15" ht="11.25" customHeight="1">
      <c r="I378" s="33"/>
      <c r="J378" s="33"/>
      <c r="K378" s="33"/>
      <c r="L378" s="33"/>
      <c r="M378" s="33"/>
      <c r="N378" s="33"/>
      <c r="O378" s="33"/>
    </row>
    <row r="379" spans="9:15" ht="11.25" customHeight="1">
      <c r="I379" s="33"/>
      <c r="J379" s="33"/>
      <c r="K379" s="33"/>
      <c r="L379" s="33"/>
      <c r="M379" s="33"/>
      <c r="N379" s="33"/>
      <c r="O379" s="33"/>
    </row>
    <row r="380" spans="9:15" ht="11.25" customHeight="1">
      <c r="I380" s="33"/>
      <c r="J380" s="33"/>
      <c r="K380" s="33"/>
      <c r="L380" s="33"/>
      <c r="M380" s="33"/>
      <c r="N380" s="33"/>
      <c r="O380" s="33"/>
    </row>
    <row r="381" spans="9:15" ht="11.25" customHeight="1">
      <c r="I381" s="33"/>
      <c r="J381" s="33"/>
      <c r="K381" s="33"/>
      <c r="L381" s="33"/>
      <c r="M381" s="33"/>
      <c r="N381" s="33"/>
      <c r="O381" s="33"/>
    </row>
    <row r="382" spans="9:15" ht="11.25" customHeight="1">
      <c r="I382" s="33"/>
      <c r="J382" s="33"/>
      <c r="K382" s="33"/>
      <c r="L382" s="33"/>
      <c r="M382" s="33"/>
      <c r="N382" s="33"/>
      <c r="O382" s="33"/>
    </row>
    <row r="383" spans="9:15" ht="11.25" customHeight="1">
      <c r="I383" s="33"/>
      <c r="J383" s="33"/>
      <c r="K383" s="33"/>
      <c r="L383" s="33"/>
      <c r="M383" s="33"/>
      <c r="N383" s="33"/>
      <c r="O383" s="33"/>
    </row>
    <row r="384" spans="9:15" ht="11.25" customHeight="1">
      <c r="I384" s="33"/>
      <c r="J384" s="33"/>
      <c r="K384" s="33"/>
      <c r="L384" s="33"/>
      <c r="M384" s="33"/>
      <c r="N384" s="33"/>
      <c r="O384" s="33"/>
    </row>
    <row r="385" spans="9:15" ht="11.25" customHeight="1">
      <c r="I385" s="33"/>
      <c r="J385" s="33"/>
      <c r="K385" s="33"/>
      <c r="L385" s="33"/>
      <c r="M385" s="33"/>
      <c r="N385" s="33"/>
      <c r="O385" s="33"/>
    </row>
    <row r="386" spans="9:15" ht="11.25" customHeight="1">
      <c r="I386" s="33"/>
      <c r="J386" s="33"/>
      <c r="K386" s="33"/>
      <c r="L386" s="33"/>
      <c r="M386" s="33"/>
      <c r="N386" s="33"/>
      <c r="O386" s="33"/>
    </row>
    <row r="387" spans="9:15" ht="11.25" customHeight="1">
      <c r="I387" s="33"/>
      <c r="J387" s="33"/>
      <c r="K387" s="33"/>
      <c r="L387" s="33"/>
      <c r="M387" s="33"/>
      <c r="N387" s="33"/>
      <c r="O387" s="33"/>
    </row>
    <row r="388" spans="9:15" ht="11.25" customHeight="1">
      <c r="I388" s="33"/>
      <c r="J388" s="33"/>
      <c r="K388" s="33"/>
      <c r="L388" s="33"/>
      <c r="M388" s="33"/>
      <c r="N388" s="33"/>
      <c r="O388" s="33"/>
    </row>
    <row r="389" spans="9:15" ht="11.25" customHeight="1">
      <c r="I389" s="33"/>
      <c r="J389" s="33"/>
      <c r="K389" s="33"/>
      <c r="L389" s="33"/>
      <c r="M389" s="33"/>
      <c r="N389" s="33"/>
      <c r="O389" s="33"/>
    </row>
    <row r="390" spans="9:15" ht="11.25" customHeight="1">
      <c r="I390" s="33"/>
      <c r="J390" s="33"/>
      <c r="K390" s="33"/>
      <c r="L390" s="33"/>
      <c r="M390" s="33"/>
      <c r="N390" s="33"/>
      <c r="O390" s="33"/>
    </row>
    <row r="391" spans="9:15" ht="11.25" customHeight="1">
      <c r="I391" s="33"/>
      <c r="J391" s="33"/>
      <c r="K391" s="33"/>
      <c r="L391" s="33"/>
      <c r="M391" s="33"/>
      <c r="N391" s="33"/>
      <c r="O391" s="33"/>
    </row>
    <row r="392" spans="9:15" ht="11.25" customHeight="1">
      <c r="I392" s="33"/>
      <c r="J392" s="33"/>
      <c r="K392" s="33"/>
      <c r="L392" s="33"/>
      <c r="M392" s="33"/>
      <c r="N392" s="33"/>
      <c r="O392" s="33"/>
    </row>
    <row r="393" spans="9:15" ht="11.25" customHeight="1">
      <c r="I393" s="33"/>
      <c r="J393" s="33"/>
      <c r="K393" s="33"/>
      <c r="L393" s="33"/>
      <c r="M393" s="33"/>
      <c r="N393" s="33"/>
      <c r="O393" s="33"/>
    </row>
    <row r="394" spans="9:15" ht="11.25" customHeight="1">
      <c r="I394" s="33"/>
      <c r="J394" s="33"/>
      <c r="K394" s="33"/>
      <c r="L394" s="33"/>
      <c r="M394" s="33"/>
      <c r="N394" s="33"/>
      <c r="O394" s="33"/>
    </row>
    <row r="395" spans="9:15" ht="11.25" customHeight="1">
      <c r="I395" s="33"/>
      <c r="J395" s="33"/>
      <c r="K395" s="33"/>
      <c r="L395" s="33"/>
      <c r="M395" s="33"/>
      <c r="N395" s="33"/>
      <c r="O395" s="33"/>
    </row>
    <row r="396" spans="9:15" ht="11.25" customHeight="1">
      <c r="I396" s="33"/>
      <c r="J396" s="33"/>
      <c r="K396" s="33"/>
      <c r="L396" s="33"/>
      <c r="M396" s="33"/>
      <c r="N396" s="33"/>
      <c r="O396" s="33"/>
    </row>
    <row r="397" spans="9:15" ht="11.25" customHeight="1">
      <c r="I397" s="33"/>
      <c r="J397" s="33"/>
      <c r="K397" s="33"/>
      <c r="L397" s="33"/>
      <c r="M397" s="33"/>
      <c r="N397" s="33"/>
      <c r="O397" s="33"/>
    </row>
    <row r="398" spans="9:15" ht="11.25" customHeight="1">
      <c r="I398" s="33"/>
      <c r="J398" s="33"/>
      <c r="K398" s="33"/>
      <c r="L398" s="33"/>
      <c r="M398" s="33"/>
      <c r="N398" s="33"/>
      <c r="O398" s="33"/>
    </row>
    <row r="399" spans="9:15" ht="11.25" customHeight="1">
      <c r="I399" s="33"/>
      <c r="J399" s="33"/>
      <c r="K399" s="33"/>
      <c r="L399" s="33"/>
      <c r="M399" s="33"/>
      <c r="N399" s="33"/>
      <c r="O399" s="33"/>
    </row>
    <row r="400" spans="9:15" ht="11.25" customHeight="1">
      <c r="I400" s="33"/>
      <c r="J400" s="33"/>
      <c r="K400" s="33"/>
      <c r="L400" s="33"/>
      <c r="M400" s="33"/>
      <c r="N400" s="33"/>
      <c r="O400" s="33"/>
    </row>
    <row r="401" spans="9:15" ht="11.25" customHeight="1">
      <c r="I401" s="33"/>
      <c r="J401" s="33"/>
      <c r="K401" s="33"/>
      <c r="L401" s="33"/>
      <c r="M401" s="33"/>
      <c r="N401" s="33"/>
      <c r="O401" s="33"/>
    </row>
    <row r="402" spans="9:15" ht="11.25" customHeight="1">
      <c r="I402" s="33"/>
      <c r="J402" s="33"/>
      <c r="K402" s="33"/>
      <c r="L402" s="33"/>
      <c r="M402" s="33"/>
      <c r="N402" s="33"/>
      <c r="O402" s="33"/>
    </row>
    <row r="403" spans="9:15" ht="11.25" customHeight="1">
      <c r="I403" s="33"/>
      <c r="J403" s="33"/>
      <c r="K403" s="33"/>
      <c r="L403" s="33"/>
      <c r="M403" s="33"/>
      <c r="N403" s="33"/>
      <c r="O403" s="33"/>
    </row>
    <row r="404" spans="9:15" ht="11.25" customHeight="1">
      <c r="I404" s="33"/>
      <c r="J404" s="33"/>
      <c r="K404" s="33"/>
      <c r="L404" s="33"/>
      <c r="M404" s="33"/>
      <c r="N404" s="33"/>
      <c r="O404" s="33"/>
    </row>
    <row r="405" spans="9:15" ht="11.25" customHeight="1">
      <c r="I405" s="33"/>
      <c r="J405" s="33"/>
      <c r="K405" s="33"/>
      <c r="L405" s="33"/>
      <c r="M405" s="33"/>
      <c r="N405" s="33"/>
      <c r="O405" s="33"/>
    </row>
    <row r="406" spans="9:15" ht="11.25" customHeight="1">
      <c r="I406" s="33"/>
      <c r="J406" s="33"/>
      <c r="K406" s="33"/>
      <c r="L406" s="33"/>
      <c r="M406" s="33"/>
      <c r="N406" s="33"/>
      <c r="O406" s="33"/>
    </row>
    <row r="407" spans="9:15" ht="11.25" customHeight="1">
      <c r="I407" s="33"/>
      <c r="J407" s="33"/>
      <c r="K407" s="33"/>
      <c r="L407" s="33"/>
      <c r="M407" s="33"/>
      <c r="N407" s="33"/>
      <c r="O407" s="33"/>
    </row>
    <row r="408" spans="9:15" ht="11.25" customHeight="1">
      <c r="I408" s="33"/>
      <c r="J408" s="33"/>
      <c r="K408" s="33"/>
      <c r="L408" s="33"/>
      <c r="M408" s="33"/>
      <c r="N408" s="33"/>
      <c r="O408" s="33"/>
    </row>
    <row r="409" spans="9:15" ht="11.25" customHeight="1">
      <c r="I409" s="33"/>
      <c r="J409" s="33"/>
      <c r="K409" s="33"/>
      <c r="L409" s="33"/>
      <c r="M409" s="33"/>
      <c r="N409" s="33"/>
      <c r="O409" s="33"/>
    </row>
    <row r="410" spans="9:15" ht="11.25" customHeight="1">
      <c r="I410" s="33"/>
      <c r="J410" s="33"/>
      <c r="K410" s="33"/>
      <c r="L410" s="33"/>
      <c r="M410" s="33"/>
      <c r="N410" s="33"/>
      <c r="O410" s="33"/>
    </row>
    <row r="411" spans="9:15" ht="11.25" customHeight="1">
      <c r="I411" s="33"/>
      <c r="J411" s="33"/>
      <c r="K411" s="33"/>
      <c r="L411" s="33"/>
      <c r="M411" s="33"/>
      <c r="N411" s="33"/>
      <c r="O411" s="33"/>
    </row>
    <row r="412" spans="9:15" ht="11.25" customHeight="1">
      <c r="I412" s="33"/>
      <c r="J412" s="33"/>
      <c r="K412" s="33"/>
      <c r="L412" s="33"/>
      <c r="M412" s="33"/>
      <c r="N412" s="33"/>
      <c r="O412" s="33"/>
    </row>
    <row r="413" spans="9:15" ht="11.25" customHeight="1">
      <c r="I413" s="33"/>
      <c r="J413" s="33"/>
      <c r="K413" s="33"/>
      <c r="L413" s="33"/>
      <c r="M413" s="33"/>
      <c r="N413" s="33"/>
      <c r="O413" s="33"/>
    </row>
    <row r="414" spans="9:15" ht="11.25" customHeight="1">
      <c r="I414" s="33"/>
      <c r="J414" s="33"/>
      <c r="K414" s="33"/>
      <c r="L414" s="33"/>
      <c r="M414" s="33"/>
      <c r="N414" s="33"/>
      <c r="O414" s="33"/>
    </row>
    <row r="415" spans="9:15" ht="11.25" customHeight="1">
      <c r="I415" s="33"/>
      <c r="J415" s="33"/>
      <c r="K415" s="33"/>
      <c r="L415" s="33"/>
      <c r="M415" s="33"/>
      <c r="N415" s="33"/>
      <c r="O415" s="33"/>
    </row>
    <row r="416" spans="9:15" ht="11.25" customHeight="1">
      <c r="I416" s="33"/>
      <c r="J416" s="33"/>
      <c r="K416" s="33"/>
      <c r="L416" s="33"/>
      <c r="M416" s="33"/>
      <c r="N416" s="33"/>
      <c r="O416" s="33"/>
    </row>
    <row r="417" spans="9:15" ht="11.25" customHeight="1">
      <c r="I417" s="33"/>
      <c r="J417" s="33"/>
      <c r="K417" s="33"/>
      <c r="L417" s="33"/>
      <c r="M417" s="33"/>
      <c r="N417" s="33"/>
      <c r="O417" s="33"/>
    </row>
    <row r="418" spans="9:15" ht="11.25" customHeight="1">
      <c r="I418" s="33"/>
      <c r="J418" s="33"/>
      <c r="K418" s="33"/>
      <c r="L418" s="33"/>
      <c r="M418" s="33"/>
      <c r="N418" s="33"/>
      <c r="O418" s="33"/>
    </row>
    <row r="419" spans="9:15" ht="11.25" customHeight="1">
      <c r="I419" s="33"/>
      <c r="J419" s="33"/>
      <c r="K419" s="33"/>
      <c r="L419" s="33"/>
      <c r="M419" s="33"/>
      <c r="N419" s="33"/>
      <c r="O419" s="33"/>
    </row>
    <row r="420" spans="9:15" ht="11.25" customHeight="1">
      <c r="I420" s="33"/>
      <c r="J420" s="33"/>
      <c r="K420" s="33"/>
      <c r="L420" s="33"/>
      <c r="M420" s="33"/>
      <c r="N420" s="33"/>
      <c r="O420" s="33"/>
    </row>
    <row r="421" spans="9:15" ht="11.25" customHeight="1">
      <c r="I421" s="33"/>
      <c r="J421" s="33"/>
      <c r="K421" s="33"/>
      <c r="L421" s="33"/>
      <c r="M421" s="33"/>
      <c r="N421" s="33"/>
      <c r="O421" s="33"/>
    </row>
    <row r="422" spans="9:15" ht="11.25" customHeight="1">
      <c r="I422" s="33"/>
      <c r="J422" s="33"/>
      <c r="K422" s="33"/>
      <c r="L422" s="33"/>
      <c r="M422" s="33"/>
      <c r="N422" s="33"/>
      <c r="O422" s="33"/>
    </row>
    <row r="423" spans="9:15" ht="11.25" customHeight="1">
      <c r="I423" s="33"/>
      <c r="J423" s="33"/>
      <c r="K423" s="33"/>
      <c r="L423" s="33"/>
      <c r="M423" s="33"/>
      <c r="N423" s="33"/>
      <c r="O423" s="33"/>
    </row>
    <row r="424" spans="9:15" ht="11.25" customHeight="1">
      <c r="I424" s="33"/>
      <c r="J424" s="33"/>
      <c r="K424" s="33"/>
      <c r="L424" s="33"/>
      <c r="M424" s="33"/>
      <c r="N424" s="33"/>
      <c r="O424" s="33"/>
    </row>
  </sheetData>
  <mergeCells count="11">
    <mergeCell ref="F4:F5"/>
    <mergeCell ref="N1:O1"/>
    <mergeCell ref="G2:O2"/>
    <mergeCell ref="C2:F3"/>
    <mergeCell ref="G3:J3"/>
    <mergeCell ref="K3:O3"/>
    <mergeCell ref="A2:A5"/>
    <mergeCell ref="B2:B5"/>
    <mergeCell ref="C4:C5"/>
    <mergeCell ref="D4:D5"/>
    <mergeCell ref="E4:E5"/>
  </mergeCells>
  <phoneticPr fontId="6" type="noConversion"/>
  <pageMargins left="0.77" right="0.35433070866141736" top="0.78740157480314965" bottom="0.31496062992125984" header="0.51181102362204722" footer="0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6"/>
  <sheetViews>
    <sheetView showGridLines="0" showZeros="0" view="pageBreakPreview" zoomScaleNormal="100" zoomScaleSheetLayoutView="100" workbookViewId="0">
      <selection activeCell="I12" sqref="I12"/>
    </sheetView>
  </sheetViews>
  <sheetFormatPr defaultColWidth="7.109375" defaultRowHeight="18" customHeight="1"/>
  <cols>
    <col min="1" max="1" width="14.21875" style="1" customWidth="1"/>
    <col min="2" max="2" width="9.21875" style="1" customWidth="1"/>
    <col min="3" max="3" width="16" style="1" customWidth="1"/>
    <col min="4" max="5" width="8.77734375" style="1" customWidth="1"/>
    <col min="6" max="7" width="15.77734375" style="1" customWidth="1"/>
    <col min="8" max="8" width="17.77734375" style="1" customWidth="1"/>
    <col min="9" max="16384" width="7.109375" style="1"/>
  </cols>
  <sheetData>
    <row r="1" spans="1:8" ht="32.25" customHeight="1" thickBot="1">
      <c r="A1" s="76" t="s">
        <v>159</v>
      </c>
      <c r="B1" s="77"/>
      <c r="C1" s="77"/>
      <c r="D1" s="77"/>
      <c r="E1" s="77"/>
      <c r="F1" s="77"/>
      <c r="G1" s="77"/>
      <c r="H1" s="78"/>
    </row>
    <row r="2" spans="1:8" s="15" customFormat="1" ht="24" customHeight="1">
      <c r="A2" s="593" t="s">
        <v>160</v>
      </c>
      <c r="B2" s="599" t="s">
        <v>161</v>
      </c>
      <c r="C2" s="600"/>
      <c r="D2" s="599" t="s">
        <v>162</v>
      </c>
      <c r="E2" s="600"/>
      <c r="F2" s="602" t="s">
        <v>163</v>
      </c>
      <c r="G2" s="602"/>
      <c r="H2" s="597" t="s">
        <v>164</v>
      </c>
    </row>
    <row r="3" spans="1:8" s="15" customFormat="1" ht="24" customHeight="1" thickBot="1">
      <c r="A3" s="594"/>
      <c r="B3" s="601"/>
      <c r="C3" s="592"/>
      <c r="D3" s="601"/>
      <c r="E3" s="592"/>
      <c r="F3" s="430" t="s">
        <v>165</v>
      </c>
      <c r="G3" s="430" t="s">
        <v>166</v>
      </c>
      <c r="H3" s="598"/>
    </row>
    <row r="4" spans="1:8" s="15" customFormat="1" ht="24" customHeight="1">
      <c r="A4" s="84" t="s">
        <v>167</v>
      </c>
      <c r="B4" s="424" t="s">
        <v>168</v>
      </c>
      <c r="C4" s="425"/>
      <c r="D4" s="424">
        <f>'2. 위치 및 조사량'!G6</f>
        <v>2</v>
      </c>
      <c r="E4" s="426" t="s">
        <v>171</v>
      </c>
      <c r="F4" s="427">
        <v>1</v>
      </c>
      <c r="G4" s="428">
        <f>D4*F4</f>
        <v>2</v>
      </c>
      <c r="H4" s="429"/>
    </row>
    <row r="5" spans="1:8" s="15" customFormat="1" ht="24" customHeight="1">
      <c r="A5" s="79" t="s">
        <v>169</v>
      </c>
      <c r="B5" s="603" t="s">
        <v>170</v>
      </c>
      <c r="C5" s="604"/>
      <c r="D5" s="431">
        <f>'2. 위치 및 조사량'!G6</f>
        <v>2</v>
      </c>
      <c r="E5" s="432" t="s">
        <v>171</v>
      </c>
      <c r="F5" s="433">
        <f>'5. 영향조사 명세서'!I40</f>
        <v>1.88</v>
      </c>
      <c r="G5" s="434">
        <f>D5*F5</f>
        <v>3.76</v>
      </c>
      <c r="H5" s="435"/>
    </row>
    <row r="6" spans="1:8" s="15" customFormat="1" ht="24" customHeight="1">
      <c r="A6" s="80"/>
      <c r="B6" s="605" t="s">
        <v>172</v>
      </c>
      <c r="C6" s="606"/>
      <c r="D6" s="436">
        <f>'2. 위치 및 조사량'!G6</f>
        <v>2</v>
      </c>
      <c r="E6" s="437" t="s">
        <v>171</v>
      </c>
      <c r="F6" s="438">
        <f>'5. 영향조사 명세서'!I45</f>
        <v>1.04</v>
      </c>
      <c r="G6" s="439">
        <f>D6*F6</f>
        <v>2.08</v>
      </c>
      <c r="H6" s="440"/>
    </row>
    <row r="7" spans="1:8" s="15" customFormat="1" ht="24" customHeight="1">
      <c r="A7" s="80"/>
      <c r="B7" s="441" t="s">
        <v>173</v>
      </c>
      <c r="C7" s="442"/>
      <c r="D7" s="436">
        <f>'2. 위치 및 조사량'!H6</f>
        <v>2</v>
      </c>
      <c r="E7" s="437" t="s">
        <v>174</v>
      </c>
      <c r="F7" s="438">
        <f>'5. 영향조사 명세서'!I58</f>
        <v>2</v>
      </c>
      <c r="G7" s="439">
        <f t="shared" ref="G7:G13" si="0">D7*F7</f>
        <v>4</v>
      </c>
      <c r="H7" s="440"/>
    </row>
    <row r="8" spans="1:8" s="15" customFormat="1" ht="24" customHeight="1">
      <c r="A8" s="80"/>
      <c r="B8" s="605" t="s">
        <v>175</v>
      </c>
      <c r="C8" s="606"/>
      <c r="D8" s="436">
        <f>D7</f>
        <v>2</v>
      </c>
      <c r="E8" s="437" t="s">
        <v>174</v>
      </c>
      <c r="F8" s="438">
        <f>'5. 영향조사 명세서'!I63</f>
        <v>0.25</v>
      </c>
      <c r="G8" s="439">
        <f t="shared" si="0"/>
        <v>0.5</v>
      </c>
      <c r="H8" s="440"/>
    </row>
    <row r="9" spans="1:8" s="15" customFormat="1" ht="24" customHeight="1">
      <c r="A9" s="80"/>
      <c r="B9" s="605" t="s">
        <v>176</v>
      </c>
      <c r="C9" s="606"/>
      <c r="D9" s="436">
        <f>'2. 위치 및 조사량'!L6</f>
        <v>2</v>
      </c>
      <c r="E9" s="437" t="s">
        <v>174</v>
      </c>
      <c r="F9" s="438">
        <v>1</v>
      </c>
      <c r="G9" s="439">
        <f t="shared" si="0"/>
        <v>2</v>
      </c>
      <c r="H9" s="443" t="s">
        <v>168</v>
      </c>
    </row>
    <row r="10" spans="1:8" s="15" customFormat="1" ht="24" customHeight="1">
      <c r="A10" s="80"/>
      <c r="B10" s="605" t="s">
        <v>177</v>
      </c>
      <c r="C10" s="606"/>
      <c r="D10" s="436">
        <f>'2. 위치 및 조사량'!K6</f>
        <v>2</v>
      </c>
      <c r="E10" s="437" t="s">
        <v>174</v>
      </c>
      <c r="F10" s="438">
        <v>1</v>
      </c>
      <c r="G10" s="439">
        <f t="shared" si="0"/>
        <v>2</v>
      </c>
      <c r="H10" s="443" t="s">
        <v>168</v>
      </c>
    </row>
    <row r="11" spans="1:8" s="15" customFormat="1" ht="24" customHeight="1">
      <c r="A11" s="80"/>
      <c r="B11" s="605" t="s">
        <v>178</v>
      </c>
      <c r="C11" s="606"/>
      <c r="D11" s="436">
        <f>'2. 위치 및 조사량'!M6</f>
        <v>380</v>
      </c>
      <c r="E11" s="437" t="s">
        <v>179</v>
      </c>
      <c r="F11" s="81">
        <f>INT(1/111.23*1000)/1000</f>
        <v>8.0000000000000002E-3</v>
      </c>
      <c r="G11" s="439">
        <f t="shared" si="0"/>
        <v>3.04</v>
      </c>
      <c r="H11" s="443"/>
    </row>
    <row r="12" spans="1:8" s="15" customFormat="1" ht="24" customHeight="1">
      <c r="A12" s="80"/>
      <c r="B12" s="605" t="s">
        <v>180</v>
      </c>
      <c r="C12" s="606"/>
      <c r="D12" s="436">
        <f>'2. 위치 및 조사량'!N6</f>
        <v>2</v>
      </c>
      <c r="E12" s="437" t="s">
        <v>174</v>
      </c>
      <c r="F12" s="438">
        <v>0.5</v>
      </c>
      <c r="G12" s="439">
        <f t="shared" si="0"/>
        <v>1</v>
      </c>
      <c r="H12" s="443"/>
    </row>
    <row r="13" spans="1:8" s="15" customFormat="1" ht="24" customHeight="1">
      <c r="A13" s="80"/>
      <c r="B13" s="605" t="s">
        <v>181</v>
      </c>
      <c r="C13" s="606"/>
      <c r="D13" s="436">
        <f>'2. 위치 및 조사량'!O6</f>
        <v>2</v>
      </c>
      <c r="E13" s="437" t="s">
        <v>174</v>
      </c>
      <c r="F13" s="438">
        <v>1</v>
      </c>
      <c r="G13" s="439">
        <f t="shared" si="0"/>
        <v>2</v>
      </c>
      <c r="H13" s="443"/>
    </row>
    <row r="14" spans="1:8" s="15" customFormat="1" ht="24" customHeight="1">
      <c r="A14" s="82"/>
      <c r="B14" s="595" t="s">
        <v>182</v>
      </c>
      <c r="C14" s="596"/>
      <c r="D14" s="444"/>
      <c r="E14" s="445"/>
      <c r="F14" s="446" t="s">
        <v>168</v>
      </c>
      <c r="G14" s="447">
        <f>SUM(G5:G13)</f>
        <v>20.38</v>
      </c>
      <c r="H14" s="448"/>
    </row>
    <row r="15" spans="1:8" s="15" customFormat="1" ht="24" customHeight="1">
      <c r="A15" s="79" t="s">
        <v>183</v>
      </c>
      <c r="B15" s="603" t="s">
        <v>184</v>
      </c>
      <c r="C15" s="604"/>
      <c r="D15" s="431">
        <f>'2. 위치 및 조사량'!I6</f>
        <v>2</v>
      </c>
      <c r="E15" s="432" t="s">
        <v>174</v>
      </c>
      <c r="F15" s="433">
        <f>'5. 영향조사 명세서'!J69</f>
        <v>15</v>
      </c>
      <c r="G15" s="434">
        <f>D15*F15/4*0</f>
        <v>0</v>
      </c>
      <c r="H15" s="435" t="s">
        <v>399</v>
      </c>
    </row>
    <row r="16" spans="1:8" s="15" customFormat="1" ht="24" customHeight="1">
      <c r="A16" s="83"/>
      <c r="B16" s="605" t="s">
        <v>185</v>
      </c>
      <c r="C16" s="606"/>
      <c r="D16" s="436">
        <f>'2. 위치 및 조사량'!J6</f>
        <v>2</v>
      </c>
      <c r="E16" s="437" t="s">
        <v>171</v>
      </c>
      <c r="F16" s="438">
        <f>'5. 영향조사 명세서'!I72</f>
        <v>3</v>
      </c>
      <c r="G16" s="439">
        <f>D16*F16</f>
        <v>6</v>
      </c>
      <c r="H16" s="440"/>
    </row>
    <row r="17" spans="1:8" s="15" customFormat="1" ht="24" customHeight="1">
      <c r="A17" s="83"/>
      <c r="B17" s="459" t="s">
        <v>405</v>
      </c>
      <c r="C17" s="460"/>
      <c r="D17" s="461"/>
      <c r="E17" s="462"/>
      <c r="F17" s="463">
        <v>30</v>
      </c>
      <c r="G17" s="464">
        <v>30</v>
      </c>
      <c r="H17" s="465"/>
    </row>
    <row r="18" spans="1:8" s="15" customFormat="1" ht="24" customHeight="1">
      <c r="A18" s="84" t="s">
        <v>168</v>
      </c>
      <c r="B18" s="595" t="s">
        <v>182</v>
      </c>
      <c r="C18" s="596"/>
      <c r="D18" s="444"/>
      <c r="E18" s="445"/>
      <c r="F18" s="446" t="s">
        <v>168</v>
      </c>
      <c r="G18" s="447">
        <f>SUM(G15:G17)</f>
        <v>36</v>
      </c>
      <c r="H18" s="449"/>
    </row>
    <row r="19" spans="1:8" s="15" customFormat="1" ht="24" customHeight="1" thickBot="1">
      <c r="A19" s="85" t="s">
        <v>186</v>
      </c>
      <c r="B19" s="607"/>
      <c r="C19" s="608"/>
      <c r="D19" s="86"/>
      <c r="E19" s="87"/>
      <c r="F19" s="88"/>
      <c r="G19" s="422">
        <v>10</v>
      </c>
      <c r="H19" s="89"/>
    </row>
    <row r="20" spans="1:8" s="15" customFormat="1" ht="24" customHeight="1" thickBot="1">
      <c r="A20" s="590" t="s">
        <v>187</v>
      </c>
      <c r="B20" s="591"/>
      <c r="C20" s="592"/>
      <c r="D20" s="90"/>
      <c r="E20" s="91"/>
      <c r="F20" s="92"/>
      <c r="G20" s="423">
        <f>G4+G14+G18+G19</f>
        <v>68.38</v>
      </c>
      <c r="H20" s="93">
        <f>ROUNDUP(G20,0)</f>
        <v>69</v>
      </c>
    </row>
    <row r="21" spans="1:8" ht="23.1" customHeight="1"/>
    <row r="22" spans="1:8" ht="23.1" customHeight="1"/>
    <row r="23" spans="1:8" ht="23.1" customHeight="1"/>
    <row r="24" spans="1:8" ht="23.1" customHeight="1"/>
    <row r="25" spans="1:8" ht="23.1" customHeight="1"/>
    <row r="26" spans="1:8" ht="23.1" customHeight="1"/>
  </sheetData>
  <mergeCells count="19">
    <mergeCell ref="B15:C15"/>
    <mergeCell ref="B16:C16"/>
    <mergeCell ref="B19:C19"/>
    <mergeCell ref="B8:C8"/>
    <mergeCell ref="B10:C10"/>
    <mergeCell ref="B9:C9"/>
    <mergeCell ref="B11:C11"/>
    <mergeCell ref="B12:C12"/>
    <mergeCell ref="B13:C13"/>
    <mergeCell ref="A20:C20"/>
    <mergeCell ref="A2:A3"/>
    <mergeCell ref="B18:C18"/>
    <mergeCell ref="H2:H3"/>
    <mergeCell ref="B14:C14"/>
    <mergeCell ref="B2:C3"/>
    <mergeCell ref="D2:E3"/>
    <mergeCell ref="F2:G2"/>
    <mergeCell ref="B5:C5"/>
    <mergeCell ref="B6:C6"/>
  </mergeCells>
  <phoneticPr fontId="6" type="noConversion"/>
  <pageMargins left="1.1811023622047245" right="0.78740157480314965" top="0.83" bottom="0.59" header="0.51181102362204722" footer="0.26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H1605"/>
  <sheetViews>
    <sheetView showGridLines="0" showZeros="0" zoomScale="90" zoomScaleNormal="90" zoomScaleSheetLayoutView="100" workbookViewId="0">
      <selection activeCell="E22" sqref="E22"/>
    </sheetView>
  </sheetViews>
  <sheetFormatPr defaultColWidth="7.109375" defaultRowHeight="12"/>
  <cols>
    <col min="1" max="1" width="7.77734375" style="7" customWidth="1"/>
    <col min="2" max="2" width="31.77734375" style="7" customWidth="1"/>
    <col min="3" max="3" width="14.77734375" style="7" customWidth="1"/>
    <col min="4" max="5" width="12.77734375" style="7" customWidth="1"/>
    <col min="6" max="6" width="21" style="7" customWidth="1"/>
    <col min="7" max="7" width="11.77734375" style="7" customWidth="1"/>
    <col min="8" max="8" width="23.6640625" style="21" bestFit="1" customWidth="1"/>
    <col min="9" max="16384" width="7.109375" style="7"/>
  </cols>
  <sheetData>
    <row r="1" spans="1:8" s="4" customFormat="1" ht="24.95" customHeight="1">
      <c r="A1" s="94" t="s">
        <v>483</v>
      </c>
      <c r="B1" s="94"/>
      <c r="C1" s="94"/>
      <c r="D1" s="94"/>
      <c r="E1" s="94"/>
      <c r="F1" s="94"/>
      <c r="G1" s="94"/>
      <c r="H1" s="19"/>
    </row>
    <row r="2" spans="1:8" s="4" customFormat="1" ht="24.95" customHeight="1" thickBot="1">
      <c r="A2" s="95" t="s">
        <v>406</v>
      </c>
      <c r="B2" s="95" t="str">
        <f>'1. 개요'!B16</f>
        <v>죽청등 2지구 공사관리관정 유지관리용역</v>
      </c>
      <c r="C2" s="96"/>
      <c r="D2" s="97"/>
      <c r="E2" s="97"/>
      <c r="F2" s="97"/>
      <c r="G2" s="97"/>
      <c r="H2" s="19"/>
    </row>
    <row r="3" spans="1:8" s="6" customFormat="1" ht="24.95" customHeight="1" thickBot="1">
      <c r="A3" s="611" t="s">
        <v>189</v>
      </c>
      <c r="B3" s="612"/>
      <c r="C3" s="98" t="s">
        <v>190</v>
      </c>
      <c r="D3" s="98" t="s">
        <v>191</v>
      </c>
      <c r="E3" s="98" t="s">
        <v>192</v>
      </c>
      <c r="F3" s="98" t="s">
        <v>193</v>
      </c>
      <c r="G3" s="99"/>
      <c r="H3" s="18" t="s">
        <v>39</v>
      </c>
    </row>
    <row r="4" spans="1:8" s="4" customFormat="1" ht="24.95" customHeight="1">
      <c r="A4" s="613" t="s">
        <v>194</v>
      </c>
      <c r="B4" s="614"/>
      <c r="C4" s="100">
        <f>SUM(D4:E4)</f>
        <v>5075342</v>
      </c>
      <c r="D4" s="101">
        <f>'5. 영향조사 명세서'!G18</f>
        <v>2168918</v>
      </c>
      <c r="E4" s="100">
        <f>'5. 영향조사 명세서'!I18</f>
        <v>2906424</v>
      </c>
      <c r="F4" s="102"/>
      <c r="G4" s="103"/>
      <c r="H4" s="19" t="s">
        <v>40</v>
      </c>
    </row>
    <row r="5" spans="1:8" s="4" customFormat="1" ht="24.95" customHeight="1">
      <c r="A5" s="609" t="s">
        <v>195</v>
      </c>
      <c r="B5" s="610"/>
      <c r="C5" s="104">
        <f>SUM(D5:E5)</f>
        <v>7673438</v>
      </c>
      <c r="D5" s="105">
        <f>'6. 사후관리 명세서'!G21</f>
        <v>1031900</v>
      </c>
      <c r="E5" s="104">
        <f>'6. 사후관리 명세서'!L21</f>
        <v>6641538</v>
      </c>
      <c r="F5" s="106"/>
      <c r="G5" s="107"/>
      <c r="H5" s="19" t="s">
        <v>41</v>
      </c>
    </row>
    <row r="6" spans="1:8" s="4" customFormat="1" ht="24.95" customHeight="1">
      <c r="A6" s="609"/>
      <c r="B6" s="610"/>
      <c r="C6" s="104"/>
      <c r="D6" s="105"/>
      <c r="E6" s="104"/>
      <c r="F6" s="106"/>
      <c r="G6" s="107"/>
      <c r="H6" s="19"/>
    </row>
    <row r="7" spans="1:8" s="4" customFormat="1" ht="24.95" customHeight="1">
      <c r="A7" s="609"/>
      <c r="B7" s="610"/>
      <c r="C7" s="104"/>
      <c r="D7" s="105"/>
      <c r="E7" s="104"/>
      <c r="F7" s="106"/>
      <c r="G7" s="107"/>
      <c r="H7" s="19"/>
    </row>
    <row r="8" spans="1:8" s="4" customFormat="1" ht="24.95" customHeight="1">
      <c r="A8" s="609"/>
      <c r="B8" s="610"/>
      <c r="C8" s="104"/>
      <c r="D8" s="105"/>
      <c r="E8" s="104"/>
      <c r="F8" s="106"/>
      <c r="G8" s="107"/>
      <c r="H8" s="19"/>
    </row>
    <row r="9" spans="1:8" s="4" customFormat="1" ht="24.95" customHeight="1">
      <c r="A9" s="609"/>
      <c r="B9" s="610"/>
      <c r="C9" s="104"/>
      <c r="D9" s="105"/>
      <c r="E9" s="104"/>
      <c r="F9" s="108"/>
      <c r="G9" s="107"/>
      <c r="H9" s="19"/>
    </row>
    <row r="10" spans="1:8" s="4" customFormat="1" ht="24.95" customHeight="1">
      <c r="A10" s="609"/>
      <c r="B10" s="610"/>
      <c r="C10" s="104"/>
      <c r="D10" s="105"/>
      <c r="E10" s="104"/>
      <c r="F10" s="106"/>
      <c r="G10" s="107"/>
      <c r="H10" s="19"/>
    </row>
    <row r="11" spans="1:8" s="5" customFormat="1" ht="24.95" customHeight="1">
      <c r="A11" s="619" t="s">
        <v>18</v>
      </c>
      <c r="B11" s="620"/>
      <c r="C11" s="104">
        <f>SUM(D11:E11)</f>
        <v>12748780</v>
      </c>
      <c r="D11" s="104">
        <f>SUM(D4:D10)</f>
        <v>3200818</v>
      </c>
      <c r="E11" s="104">
        <f>SUM(E4:E10)</f>
        <v>9547962</v>
      </c>
      <c r="F11" s="106"/>
      <c r="G11" s="107"/>
      <c r="H11" s="20"/>
    </row>
    <row r="12" spans="1:8" s="4" customFormat="1" ht="24.95" customHeight="1">
      <c r="A12" s="621" t="s">
        <v>196</v>
      </c>
      <c r="B12" s="622"/>
      <c r="C12" s="104">
        <f>ROUNDUP(D11*G12,0)</f>
        <v>3520900</v>
      </c>
      <c r="D12" s="104"/>
      <c r="E12" s="104"/>
      <c r="F12" s="106" t="s">
        <v>197</v>
      </c>
      <c r="G12" s="109">
        <v>1.1000000000000001</v>
      </c>
      <c r="H12" s="19"/>
    </row>
    <row r="13" spans="1:8" s="4" customFormat="1" ht="24.95" customHeight="1">
      <c r="A13" s="621" t="s">
        <v>198</v>
      </c>
      <c r="B13" s="622"/>
      <c r="C13" s="104">
        <f>ROUNDUP((D11+C12)*G13,0)-22024</f>
        <v>1322320</v>
      </c>
      <c r="D13" s="104"/>
      <c r="E13" s="104"/>
      <c r="F13" s="106" t="s">
        <v>199</v>
      </c>
      <c r="G13" s="109">
        <v>0.2</v>
      </c>
      <c r="H13" s="19"/>
    </row>
    <row r="14" spans="1:8" s="4" customFormat="1" ht="24.95" customHeight="1">
      <c r="A14" s="619" t="s">
        <v>155</v>
      </c>
      <c r="B14" s="620"/>
      <c r="C14" s="104">
        <f>SUM(C11:C13)</f>
        <v>17592000</v>
      </c>
      <c r="D14" s="104"/>
      <c r="E14" s="104"/>
      <c r="F14" s="106"/>
      <c r="G14" s="110"/>
      <c r="H14" s="19"/>
    </row>
    <row r="15" spans="1:8" s="4" customFormat="1" ht="24.95" customHeight="1">
      <c r="A15" s="621" t="s">
        <v>200</v>
      </c>
      <c r="B15" s="622"/>
      <c r="C15" s="104">
        <f>INT(C14*0.1)</f>
        <v>1759200</v>
      </c>
      <c r="D15" s="104"/>
      <c r="E15" s="104"/>
      <c r="F15" s="111" t="s">
        <v>201</v>
      </c>
      <c r="G15" s="112">
        <v>0.1</v>
      </c>
      <c r="H15" s="19"/>
    </row>
    <row r="16" spans="1:8" s="4" customFormat="1" ht="24.95" customHeight="1">
      <c r="A16" s="623"/>
      <c r="B16" s="624"/>
      <c r="C16" s="104"/>
      <c r="D16" s="104"/>
      <c r="E16" s="104"/>
      <c r="F16" s="111"/>
      <c r="G16" s="113"/>
      <c r="H16" s="19"/>
    </row>
    <row r="17" spans="1:8" s="4" customFormat="1" ht="24.95" customHeight="1" thickBot="1">
      <c r="A17" s="615"/>
      <c r="B17" s="616"/>
      <c r="C17" s="114"/>
      <c r="D17" s="115"/>
      <c r="E17" s="114"/>
      <c r="F17" s="116"/>
      <c r="G17" s="117"/>
      <c r="H17" s="19"/>
    </row>
    <row r="18" spans="1:8" s="4" customFormat="1" ht="24.95" customHeight="1" thickBot="1">
      <c r="A18" s="617" t="s">
        <v>202</v>
      </c>
      <c r="B18" s="618"/>
      <c r="C18" s="118">
        <f>SUM(C14:C15)</f>
        <v>19351200</v>
      </c>
      <c r="D18" s="119"/>
      <c r="E18" s="120"/>
      <c r="F18" s="121"/>
      <c r="G18" s="122"/>
      <c r="H18" s="19"/>
    </row>
    <row r="19" spans="1:8" s="4" customFormat="1">
      <c r="H19" s="19"/>
    </row>
    <row r="20" spans="1:8" s="4" customFormat="1">
      <c r="H20" s="19"/>
    </row>
    <row r="21" spans="1:8" s="4" customFormat="1">
      <c r="H21" s="19"/>
    </row>
    <row r="22" spans="1:8" s="4" customFormat="1">
      <c r="H22" s="19"/>
    </row>
    <row r="23" spans="1:8" s="4" customFormat="1">
      <c r="D23" s="16"/>
      <c r="H23" s="19"/>
    </row>
    <row r="24" spans="1:8" s="4" customFormat="1">
      <c r="H24" s="19"/>
    </row>
    <row r="25" spans="1:8" s="4" customFormat="1">
      <c r="H25" s="19"/>
    </row>
    <row r="26" spans="1:8" s="4" customFormat="1">
      <c r="H26" s="19"/>
    </row>
    <row r="27" spans="1:8" s="4" customFormat="1">
      <c r="H27" s="19"/>
    </row>
    <row r="28" spans="1:8" s="4" customFormat="1">
      <c r="H28" s="19"/>
    </row>
    <row r="29" spans="1:8" s="4" customFormat="1">
      <c r="H29" s="19"/>
    </row>
    <row r="30" spans="1:8" s="4" customFormat="1">
      <c r="H30" s="19"/>
    </row>
    <row r="31" spans="1:8" s="4" customFormat="1">
      <c r="H31" s="19"/>
    </row>
    <row r="32" spans="1:8" s="4" customFormat="1">
      <c r="H32" s="19"/>
    </row>
    <row r="33" spans="8:8" s="4" customFormat="1">
      <c r="H33" s="19"/>
    </row>
    <row r="34" spans="8:8" s="4" customFormat="1">
      <c r="H34" s="19"/>
    </row>
    <row r="35" spans="8:8" s="4" customFormat="1">
      <c r="H35" s="19"/>
    </row>
    <row r="36" spans="8:8" s="4" customFormat="1">
      <c r="H36" s="19"/>
    </row>
    <row r="37" spans="8:8" s="4" customFormat="1">
      <c r="H37" s="19"/>
    </row>
    <row r="38" spans="8:8" s="4" customFormat="1">
      <c r="H38" s="19"/>
    </row>
    <row r="39" spans="8:8" s="4" customFormat="1">
      <c r="H39" s="19"/>
    </row>
    <row r="40" spans="8:8" s="4" customFormat="1">
      <c r="H40" s="19"/>
    </row>
    <row r="41" spans="8:8" s="4" customFormat="1">
      <c r="H41" s="19"/>
    </row>
    <row r="42" spans="8:8" s="4" customFormat="1">
      <c r="H42" s="19"/>
    </row>
    <row r="43" spans="8:8" s="4" customFormat="1">
      <c r="H43" s="19"/>
    </row>
    <row r="44" spans="8:8" s="4" customFormat="1">
      <c r="H44" s="19"/>
    </row>
    <row r="45" spans="8:8" s="4" customFormat="1">
      <c r="H45" s="19"/>
    </row>
    <row r="46" spans="8:8" s="4" customFormat="1">
      <c r="H46" s="19"/>
    </row>
    <row r="47" spans="8:8" s="4" customFormat="1">
      <c r="H47" s="19"/>
    </row>
    <row r="48" spans="8:8" s="4" customFormat="1">
      <c r="H48" s="19"/>
    </row>
    <row r="49" spans="8:8" s="4" customFormat="1">
      <c r="H49" s="19"/>
    </row>
    <row r="50" spans="8:8" s="4" customFormat="1">
      <c r="H50" s="19"/>
    </row>
    <row r="51" spans="8:8" s="4" customFormat="1">
      <c r="H51" s="19"/>
    </row>
    <row r="52" spans="8:8" s="4" customFormat="1">
      <c r="H52" s="19"/>
    </row>
    <row r="53" spans="8:8" s="4" customFormat="1">
      <c r="H53" s="19"/>
    </row>
    <row r="54" spans="8:8" s="4" customFormat="1">
      <c r="H54" s="19"/>
    </row>
    <row r="55" spans="8:8" s="4" customFormat="1">
      <c r="H55" s="19"/>
    </row>
    <row r="56" spans="8:8" s="4" customFormat="1">
      <c r="H56" s="19"/>
    </row>
    <row r="57" spans="8:8" s="4" customFormat="1">
      <c r="H57" s="19"/>
    </row>
    <row r="58" spans="8:8" s="4" customFormat="1">
      <c r="H58" s="19"/>
    </row>
    <row r="59" spans="8:8" s="4" customFormat="1">
      <c r="H59" s="19"/>
    </row>
    <row r="60" spans="8:8" s="4" customFormat="1">
      <c r="H60" s="19"/>
    </row>
    <row r="61" spans="8:8" s="4" customFormat="1">
      <c r="H61" s="19"/>
    </row>
    <row r="62" spans="8:8" s="4" customFormat="1">
      <c r="H62" s="19"/>
    </row>
    <row r="63" spans="8:8" s="4" customFormat="1">
      <c r="H63" s="19"/>
    </row>
    <row r="64" spans="8:8" s="4" customFormat="1">
      <c r="H64" s="19"/>
    </row>
    <row r="65" spans="8:8" s="4" customFormat="1">
      <c r="H65" s="19"/>
    </row>
    <row r="66" spans="8:8" s="4" customFormat="1">
      <c r="H66" s="19"/>
    </row>
    <row r="67" spans="8:8" s="4" customFormat="1">
      <c r="H67" s="19"/>
    </row>
    <row r="68" spans="8:8" s="4" customFormat="1">
      <c r="H68" s="19"/>
    </row>
    <row r="69" spans="8:8" s="4" customFormat="1">
      <c r="H69" s="19"/>
    </row>
    <row r="70" spans="8:8" s="4" customFormat="1">
      <c r="H70" s="19"/>
    </row>
    <row r="71" spans="8:8" s="4" customFormat="1">
      <c r="H71" s="19"/>
    </row>
    <row r="72" spans="8:8" s="4" customFormat="1">
      <c r="H72" s="19"/>
    </row>
    <row r="73" spans="8:8" s="4" customFormat="1">
      <c r="H73" s="19"/>
    </row>
    <row r="74" spans="8:8" s="4" customFormat="1">
      <c r="H74" s="19"/>
    </row>
    <row r="75" spans="8:8" s="4" customFormat="1">
      <c r="H75" s="19"/>
    </row>
    <row r="76" spans="8:8" s="4" customFormat="1">
      <c r="H76" s="19"/>
    </row>
    <row r="77" spans="8:8" s="4" customFormat="1">
      <c r="H77" s="19"/>
    </row>
    <row r="78" spans="8:8" s="4" customFormat="1">
      <c r="H78" s="19"/>
    </row>
    <row r="79" spans="8:8" s="4" customFormat="1">
      <c r="H79" s="19"/>
    </row>
    <row r="80" spans="8:8" s="4" customFormat="1">
      <c r="H80" s="19"/>
    </row>
    <row r="81" spans="8:8" s="4" customFormat="1">
      <c r="H81" s="19"/>
    </row>
    <row r="82" spans="8:8" s="4" customFormat="1">
      <c r="H82" s="19"/>
    </row>
    <row r="83" spans="8:8" s="4" customFormat="1">
      <c r="H83" s="19"/>
    </row>
    <row r="84" spans="8:8" s="4" customFormat="1">
      <c r="H84" s="19"/>
    </row>
    <row r="85" spans="8:8" s="4" customFormat="1">
      <c r="H85" s="19"/>
    </row>
    <row r="86" spans="8:8" s="4" customFormat="1">
      <c r="H86" s="19"/>
    </row>
    <row r="87" spans="8:8" s="4" customFormat="1">
      <c r="H87" s="19"/>
    </row>
    <row r="88" spans="8:8" s="4" customFormat="1">
      <c r="H88" s="19"/>
    </row>
    <row r="89" spans="8:8" s="4" customFormat="1">
      <c r="H89" s="19"/>
    </row>
    <row r="90" spans="8:8" s="4" customFormat="1">
      <c r="H90" s="19"/>
    </row>
    <row r="91" spans="8:8" s="4" customFormat="1">
      <c r="H91" s="19"/>
    </row>
    <row r="92" spans="8:8" s="4" customFormat="1">
      <c r="H92" s="19"/>
    </row>
    <row r="93" spans="8:8" s="4" customFormat="1">
      <c r="H93" s="19"/>
    </row>
    <row r="94" spans="8:8" s="4" customFormat="1">
      <c r="H94" s="19"/>
    </row>
    <row r="95" spans="8:8" s="4" customFormat="1">
      <c r="H95" s="19"/>
    </row>
    <row r="96" spans="8:8" s="4" customFormat="1">
      <c r="H96" s="19"/>
    </row>
    <row r="97" spans="8:8" s="4" customFormat="1">
      <c r="H97" s="19"/>
    </row>
    <row r="98" spans="8:8" s="4" customFormat="1">
      <c r="H98" s="19"/>
    </row>
    <row r="99" spans="8:8" s="4" customFormat="1">
      <c r="H99" s="19"/>
    </row>
    <row r="100" spans="8:8" s="4" customFormat="1">
      <c r="H100" s="19"/>
    </row>
    <row r="101" spans="8:8" s="4" customFormat="1">
      <c r="H101" s="19"/>
    </row>
    <row r="102" spans="8:8" s="4" customFormat="1">
      <c r="H102" s="19"/>
    </row>
    <row r="103" spans="8:8" s="4" customFormat="1">
      <c r="H103" s="19"/>
    </row>
    <row r="104" spans="8:8" s="4" customFormat="1">
      <c r="H104" s="19"/>
    </row>
    <row r="105" spans="8:8" s="4" customFormat="1">
      <c r="H105" s="19"/>
    </row>
    <row r="106" spans="8:8" s="4" customFormat="1">
      <c r="H106" s="19"/>
    </row>
    <row r="107" spans="8:8" s="4" customFormat="1">
      <c r="H107" s="19"/>
    </row>
    <row r="108" spans="8:8" s="4" customFormat="1">
      <c r="H108" s="19"/>
    </row>
    <row r="109" spans="8:8" s="4" customFormat="1">
      <c r="H109" s="19"/>
    </row>
    <row r="110" spans="8:8" s="4" customFormat="1">
      <c r="H110" s="19"/>
    </row>
    <row r="111" spans="8:8" s="4" customFormat="1">
      <c r="H111" s="19"/>
    </row>
    <row r="112" spans="8:8" s="4" customFormat="1">
      <c r="H112" s="19"/>
    </row>
    <row r="113" spans="8:8" s="4" customFormat="1">
      <c r="H113" s="19"/>
    </row>
    <row r="114" spans="8:8" s="4" customFormat="1">
      <c r="H114" s="19"/>
    </row>
    <row r="115" spans="8:8" s="4" customFormat="1">
      <c r="H115" s="19"/>
    </row>
    <row r="116" spans="8:8" s="4" customFormat="1">
      <c r="H116" s="19"/>
    </row>
    <row r="117" spans="8:8" s="4" customFormat="1">
      <c r="H117" s="19"/>
    </row>
    <row r="118" spans="8:8" s="4" customFormat="1">
      <c r="H118" s="19"/>
    </row>
    <row r="119" spans="8:8" s="4" customFormat="1">
      <c r="H119" s="19"/>
    </row>
    <row r="120" spans="8:8" s="4" customFormat="1">
      <c r="H120" s="19"/>
    </row>
    <row r="121" spans="8:8" s="4" customFormat="1">
      <c r="H121" s="19"/>
    </row>
    <row r="122" spans="8:8" s="4" customFormat="1">
      <c r="H122" s="19"/>
    </row>
    <row r="123" spans="8:8" s="4" customFormat="1">
      <c r="H123" s="19"/>
    </row>
    <row r="124" spans="8:8" s="4" customFormat="1">
      <c r="H124" s="19"/>
    </row>
    <row r="125" spans="8:8" s="4" customFormat="1">
      <c r="H125" s="19"/>
    </row>
    <row r="126" spans="8:8" s="4" customFormat="1">
      <c r="H126" s="19"/>
    </row>
    <row r="127" spans="8:8" s="4" customFormat="1">
      <c r="H127" s="19"/>
    </row>
    <row r="128" spans="8:8" s="4" customFormat="1">
      <c r="H128" s="19"/>
    </row>
    <row r="129" spans="8:8" s="4" customFormat="1">
      <c r="H129" s="19"/>
    </row>
    <row r="130" spans="8:8" s="4" customFormat="1">
      <c r="H130" s="19"/>
    </row>
    <row r="131" spans="8:8" s="4" customFormat="1">
      <c r="H131" s="19"/>
    </row>
    <row r="132" spans="8:8" s="4" customFormat="1">
      <c r="H132" s="19"/>
    </row>
    <row r="133" spans="8:8" s="4" customFormat="1">
      <c r="H133" s="19"/>
    </row>
    <row r="134" spans="8:8" s="4" customFormat="1">
      <c r="H134" s="19"/>
    </row>
    <row r="135" spans="8:8" s="4" customFormat="1">
      <c r="H135" s="19"/>
    </row>
    <row r="136" spans="8:8" s="4" customFormat="1">
      <c r="H136" s="19"/>
    </row>
    <row r="137" spans="8:8" s="4" customFormat="1">
      <c r="H137" s="19"/>
    </row>
    <row r="138" spans="8:8" s="4" customFormat="1">
      <c r="H138" s="19"/>
    </row>
    <row r="139" spans="8:8" s="4" customFormat="1">
      <c r="H139" s="19"/>
    </row>
    <row r="140" spans="8:8" s="4" customFormat="1">
      <c r="H140" s="19"/>
    </row>
    <row r="141" spans="8:8" s="4" customFormat="1">
      <c r="H141" s="19"/>
    </row>
    <row r="142" spans="8:8" s="4" customFormat="1">
      <c r="H142" s="19"/>
    </row>
    <row r="143" spans="8:8" s="4" customFormat="1">
      <c r="H143" s="19"/>
    </row>
    <row r="144" spans="8:8" s="4" customFormat="1">
      <c r="H144" s="19"/>
    </row>
    <row r="145" spans="8:8" s="4" customFormat="1">
      <c r="H145" s="19"/>
    </row>
    <row r="146" spans="8:8" s="4" customFormat="1">
      <c r="H146" s="19"/>
    </row>
    <row r="147" spans="8:8" s="4" customFormat="1">
      <c r="H147" s="19"/>
    </row>
    <row r="148" spans="8:8" s="4" customFormat="1">
      <c r="H148" s="19"/>
    </row>
    <row r="149" spans="8:8" s="4" customFormat="1">
      <c r="H149" s="19"/>
    </row>
    <row r="150" spans="8:8" s="4" customFormat="1">
      <c r="H150" s="19"/>
    </row>
    <row r="151" spans="8:8" s="4" customFormat="1">
      <c r="H151" s="19"/>
    </row>
    <row r="152" spans="8:8" s="4" customFormat="1">
      <c r="H152" s="19"/>
    </row>
    <row r="153" spans="8:8" s="4" customFormat="1">
      <c r="H153" s="19"/>
    </row>
    <row r="154" spans="8:8" s="4" customFormat="1">
      <c r="H154" s="19"/>
    </row>
    <row r="155" spans="8:8" s="4" customFormat="1">
      <c r="H155" s="19"/>
    </row>
    <row r="156" spans="8:8" s="4" customFormat="1">
      <c r="H156" s="19"/>
    </row>
    <row r="157" spans="8:8" s="4" customFormat="1">
      <c r="H157" s="19"/>
    </row>
    <row r="158" spans="8:8" s="4" customFormat="1">
      <c r="H158" s="19"/>
    </row>
    <row r="159" spans="8:8" s="4" customFormat="1">
      <c r="H159" s="19"/>
    </row>
    <row r="160" spans="8:8" s="4" customFormat="1">
      <c r="H160" s="19"/>
    </row>
    <row r="161" spans="8:8" s="4" customFormat="1">
      <c r="H161" s="19"/>
    </row>
    <row r="162" spans="8:8" s="4" customFormat="1">
      <c r="H162" s="19"/>
    </row>
    <row r="163" spans="8:8" s="4" customFormat="1">
      <c r="H163" s="19"/>
    </row>
    <row r="164" spans="8:8" s="4" customFormat="1">
      <c r="H164" s="19"/>
    </row>
    <row r="165" spans="8:8" s="4" customFormat="1">
      <c r="H165" s="19"/>
    </row>
    <row r="166" spans="8:8" s="4" customFormat="1">
      <c r="H166" s="19"/>
    </row>
    <row r="167" spans="8:8" s="4" customFormat="1">
      <c r="H167" s="19"/>
    </row>
    <row r="168" spans="8:8" s="4" customFormat="1">
      <c r="H168" s="19"/>
    </row>
    <row r="169" spans="8:8" s="4" customFormat="1">
      <c r="H169" s="19"/>
    </row>
    <row r="170" spans="8:8" s="4" customFormat="1">
      <c r="H170" s="19"/>
    </row>
    <row r="171" spans="8:8" s="4" customFormat="1">
      <c r="H171" s="19"/>
    </row>
    <row r="172" spans="8:8" s="4" customFormat="1">
      <c r="H172" s="19"/>
    </row>
    <row r="173" spans="8:8" s="4" customFormat="1">
      <c r="H173" s="19"/>
    </row>
    <row r="174" spans="8:8" s="4" customFormat="1">
      <c r="H174" s="19"/>
    </row>
    <row r="175" spans="8:8" s="4" customFormat="1">
      <c r="H175" s="19"/>
    </row>
    <row r="176" spans="8:8" s="4" customFormat="1">
      <c r="H176" s="19"/>
    </row>
    <row r="177" spans="8:8" s="4" customFormat="1">
      <c r="H177" s="19"/>
    </row>
    <row r="178" spans="8:8" s="4" customFormat="1">
      <c r="H178" s="19"/>
    </row>
    <row r="179" spans="8:8" s="4" customFormat="1">
      <c r="H179" s="19"/>
    </row>
    <row r="180" spans="8:8" s="4" customFormat="1">
      <c r="H180" s="19"/>
    </row>
    <row r="181" spans="8:8" s="4" customFormat="1">
      <c r="H181" s="19"/>
    </row>
    <row r="182" spans="8:8" s="4" customFormat="1">
      <c r="H182" s="19"/>
    </row>
    <row r="183" spans="8:8" s="4" customFormat="1">
      <c r="H183" s="19"/>
    </row>
    <row r="184" spans="8:8" s="4" customFormat="1">
      <c r="H184" s="19"/>
    </row>
    <row r="185" spans="8:8" s="4" customFormat="1">
      <c r="H185" s="19"/>
    </row>
    <row r="186" spans="8:8" s="4" customFormat="1">
      <c r="H186" s="19"/>
    </row>
    <row r="187" spans="8:8" s="4" customFormat="1">
      <c r="H187" s="19"/>
    </row>
    <row r="188" spans="8:8" s="4" customFormat="1">
      <c r="H188" s="19"/>
    </row>
    <row r="189" spans="8:8" s="4" customFormat="1">
      <c r="H189" s="19"/>
    </row>
    <row r="190" spans="8:8" s="4" customFormat="1">
      <c r="H190" s="19"/>
    </row>
    <row r="191" spans="8:8" s="4" customFormat="1">
      <c r="H191" s="19"/>
    </row>
    <row r="192" spans="8:8" s="4" customFormat="1">
      <c r="H192" s="19"/>
    </row>
    <row r="193" spans="8:8" s="4" customFormat="1">
      <c r="H193" s="19"/>
    </row>
    <row r="194" spans="8:8" s="4" customFormat="1">
      <c r="H194" s="19"/>
    </row>
    <row r="195" spans="8:8" s="4" customFormat="1">
      <c r="H195" s="19"/>
    </row>
    <row r="196" spans="8:8" s="4" customFormat="1">
      <c r="H196" s="19"/>
    </row>
    <row r="197" spans="8:8" s="4" customFormat="1">
      <c r="H197" s="19"/>
    </row>
    <row r="198" spans="8:8" s="4" customFormat="1">
      <c r="H198" s="19"/>
    </row>
    <row r="199" spans="8:8" s="4" customFormat="1">
      <c r="H199" s="19"/>
    </row>
    <row r="200" spans="8:8" s="4" customFormat="1">
      <c r="H200" s="19"/>
    </row>
    <row r="201" spans="8:8" s="4" customFormat="1">
      <c r="H201" s="19"/>
    </row>
    <row r="202" spans="8:8" s="4" customFormat="1">
      <c r="H202" s="19"/>
    </row>
    <row r="203" spans="8:8" s="4" customFormat="1">
      <c r="H203" s="19"/>
    </row>
    <row r="204" spans="8:8" s="4" customFormat="1">
      <c r="H204" s="19"/>
    </row>
    <row r="205" spans="8:8" s="4" customFormat="1">
      <c r="H205" s="19"/>
    </row>
    <row r="206" spans="8:8" s="4" customFormat="1">
      <c r="H206" s="19"/>
    </row>
    <row r="207" spans="8:8" s="4" customFormat="1">
      <c r="H207" s="19"/>
    </row>
    <row r="208" spans="8:8" s="4" customFormat="1">
      <c r="H208" s="19"/>
    </row>
    <row r="209" spans="8:8" s="4" customFormat="1">
      <c r="H209" s="19"/>
    </row>
    <row r="210" spans="8:8" s="4" customFormat="1">
      <c r="H210" s="19"/>
    </row>
    <row r="211" spans="8:8" s="4" customFormat="1">
      <c r="H211" s="19"/>
    </row>
    <row r="212" spans="8:8" s="4" customFormat="1">
      <c r="H212" s="19"/>
    </row>
    <row r="213" spans="8:8" s="4" customFormat="1">
      <c r="H213" s="19"/>
    </row>
    <row r="214" spans="8:8" s="4" customFormat="1">
      <c r="H214" s="19"/>
    </row>
    <row r="215" spans="8:8" s="4" customFormat="1">
      <c r="H215" s="19"/>
    </row>
    <row r="216" spans="8:8" s="4" customFormat="1">
      <c r="H216" s="19"/>
    </row>
    <row r="217" spans="8:8" s="4" customFormat="1">
      <c r="H217" s="19"/>
    </row>
    <row r="218" spans="8:8" s="4" customFormat="1">
      <c r="H218" s="19"/>
    </row>
    <row r="219" spans="8:8" s="4" customFormat="1">
      <c r="H219" s="19"/>
    </row>
    <row r="220" spans="8:8" s="4" customFormat="1">
      <c r="H220" s="19"/>
    </row>
    <row r="221" spans="8:8" s="4" customFormat="1">
      <c r="H221" s="19"/>
    </row>
    <row r="222" spans="8:8" s="4" customFormat="1">
      <c r="H222" s="19"/>
    </row>
    <row r="223" spans="8:8" s="4" customFormat="1">
      <c r="H223" s="19"/>
    </row>
    <row r="224" spans="8:8" s="4" customFormat="1">
      <c r="H224" s="19"/>
    </row>
    <row r="225" spans="8:8" s="4" customFormat="1">
      <c r="H225" s="19"/>
    </row>
    <row r="226" spans="8:8" s="4" customFormat="1">
      <c r="H226" s="19"/>
    </row>
    <row r="227" spans="8:8" s="4" customFormat="1">
      <c r="H227" s="19"/>
    </row>
    <row r="228" spans="8:8" s="4" customFormat="1">
      <c r="H228" s="19"/>
    </row>
    <row r="229" spans="8:8" s="4" customFormat="1">
      <c r="H229" s="19"/>
    </row>
    <row r="230" spans="8:8" s="4" customFormat="1">
      <c r="H230" s="19"/>
    </row>
    <row r="231" spans="8:8" s="4" customFormat="1">
      <c r="H231" s="19"/>
    </row>
    <row r="232" spans="8:8" s="4" customFormat="1">
      <c r="H232" s="19"/>
    </row>
    <row r="233" spans="8:8" s="4" customFormat="1">
      <c r="H233" s="19"/>
    </row>
    <row r="234" spans="8:8" s="4" customFormat="1">
      <c r="H234" s="19"/>
    </row>
    <row r="235" spans="8:8" s="4" customFormat="1">
      <c r="H235" s="19"/>
    </row>
    <row r="236" spans="8:8" s="4" customFormat="1">
      <c r="H236" s="19"/>
    </row>
    <row r="237" spans="8:8" s="4" customFormat="1">
      <c r="H237" s="19"/>
    </row>
    <row r="238" spans="8:8" s="4" customFormat="1">
      <c r="H238" s="19"/>
    </row>
    <row r="239" spans="8:8" s="4" customFormat="1">
      <c r="H239" s="19"/>
    </row>
    <row r="240" spans="8:8" s="4" customFormat="1">
      <c r="H240" s="19"/>
    </row>
    <row r="241" spans="8:8" s="4" customFormat="1">
      <c r="H241" s="19"/>
    </row>
    <row r="242" spans="8:8" s="4" customFormat="1">
      <c r="H242" s="19"/>
    </row>
    <row r="243" spans="8:8" s="4" customFormat="1">
      <c r="H243" s="19"/>
    </row>
    <row r="244" spans="8:8" s="4" customFormat="1">
      <c r="H244" s="19"/>
    </row>
    <row r="245" spans="8:8" s="4" customFormat="1">
      <c r="H245" s="19"/>
    </row>
    <row r="246" spans="8:8" s="4" customFormat="1">
      <c r="H246" s="19"/>
    </row>
    <row r="247" spans="8:8" s="4" customFormat="1">
      <c r="H247" s="19"/>
    </row>
    <row r="248" spans="8:8" s="4" customFormat="1">
      <c r="H248" s="19"/>
    </row>
    <row r="249" spans="8:8" s="4" customFormat="1">
      <c r="H249" s="19"/>
    </row>
    <row r="250" spans="8:8" s="4" customFormat="1">
      <c r="H250" s="19"/>
    </row>
    <row r="251" spans="8:8" s="4" customFormat="1">
      <c r="H251" s="19"/>
    </row>
    <row r="252" spans="8:8" s="4" customFormat="1">
      <c r="H252" s="19"/>
    </row>
    <row r="253" spans="8:8" s="4" customFormat="1">
      <c r="H253" s="19"/>
    </row>
    <row r="254" spans="8:8" s="4" customFormat="1">
      <c r="H254" s="19"/>
    </row>
    <row r="255" spans="8:8" s="4" customFormat="1">
      <c r="H255" s="19"/>
    </row>
    <row r="256" spans="8:8" s="4" customFormat="1">
      <c r="H256" s="19"/>
    </row>
    <row r="257" spans="8:8" s="4" customFormat="1">
      <c r="H257" s="19"/>
    </row>
    <row r="258" spans="8:8" s="4" customFormat="1">
      <c r="H258" s="19"/>
    </row>
    <row r="259" spans="8:8" s="4" customFormat="1">
      <c r="H259" s="19"/>
    </row>
    <row r="260" spans="8:8" s="4" customFormat="1">
      <c r="H260" s="19"/>
    </row>
    <row r="261" spans="8:8" s="4" customFormat="1">
      <c r="H261" s="19"/>
    </row>
    <row r="262" spans="8:8" s="4" customFormat="1">
      <c r="H262" s="19"/>
    </row>
    <row r="263" spans="8:8" s="4" customFormat="1">
      <c r="H263" s="19"/>
    </row>
    <row r="264" spans="8:8" s="4" customFormat="1">
      <c r="H264" s="19"/>
    </row>
    <row r="265" spans="8:8" s="4" customFormat="1">
      <c r="H265" s="19"/>
    </row>
    <row r="266" spans="8:8" s="4" customFormat="1">
      <c r="H266" s="19"/>
    </row>
    <row r="267" spans="8:8" s="4" customFormat="1">
      <c r="H267" s="19"/>
    </row>
    <row r="268" spans="8:8" s="4" customFormat="1">
      <c r="H268" s="19"/>
    </row>
    <row r="269" spans="8:8" s="4" customFormat="1">
      <c r="H269" s="19"/>
    </row>
    <row r="270" spans="8:8" s="4" customFormat="1">
      <c r="H270" s="19"/>
    </row>
    <row r="271" spans="8:8" s="4" customFormat="1">
      <c r="H271" s="19"/>
    </row>
    <row r="272" spans="8:8" s="4" customFormat="1">
      <c r="H272" s="19"/>
    </row>
    <row r="273" spans="8:8" s="4" customFormat="1">
      <c r="H273" s="19"/>
    </row>
    <row r="274" spans="8:8" s="4" customFormat="1">
      <c r="H274" s="19"/>
    </row>
    <row r="275" spans="8:8" s="4" customFormat="1">
      <c r="H275" s="19"/>
    </row>
    <row r="276" spans="8:8" s="4" customFormat="1">
      <c r="H276" s="19"/>
    </row>
    <row r="277" spans="8:8" s="4" customFormat="1">
      <c r="H277" s="19"/>
    </row>
    <row r="278" spans="8:8" s="4" customFormat="1">
      <c r="H278" s="19"/>
    </row>
    <row r="279" spans="8:8" s="4" customFormat="1">
      <c r="H279" s="19"/>
    </row>
    <row r="280" spans="8:8" s="4" customFormat="1">
      <c r="H280" s="19"/>
    </row>
    <row r="281" spans="8:8" s="4" customFormat="1">
      <c r="H281" s="19"/>
    </row>
    <row r="282" spans="8:8" s="4" customFormat="1">
      <c r="H282" s="19"/>
    </row>
    <row r="283" spans="8:8" s="4" customFormat="1">
      <c r="H283" s="19"/>
    </row>
    <row r="284" spans="8:8" s="4" customFormat="1">
      <c r="H284" s="19"/>
    </row>
    <row r="285" spans="8:8" s="4" customFormat="1">
      <c r="H285" s="19"/>
    </row>
    <row r="286" spans="8:8" s="4" customFormat="1">
      <c r="H286" s="19"/>
    </row>
    <row r="287" spans="8:8" s="4" customFormat="1">
      <c r="H287" s="19"/>
    </row>
    <row r="288" spans="8:8" s="4" customFormat="1">
      <c r="H288" s="19"/>
    </row>
    <row r="289" spans="8:8" s="4" customFormat="1">
      <c r="H289" s="19"/>
    </row>
    <row r="290" spans="8:8" s="4" customFormat="1">
      <c r="H290" s="19"/>
    </row>
    <row r="291" spans="8:8" s="4" customFormat="1">
      <c r="H291" s="19"/>
    </row>
    <row r="292" spans="8:8" s="4" customFormat="1">
      <c r="H292" s="19"/>
    </row>
    <row r="293" spans="8:8" s="4" customFormat="1">
      <c r="H293" s="19"/>
    </row>
    <row r="294" spans="8:8" s="4" customFormat="1">
      <c r="H294" s="19"/>
    </row>
    <row r="295" spans="8:8" s="4" customFormat="1">
      <c r="H295" s="19"/>
    </row>
    <row r="296" spans="8:8" s="4" customFormat="1">
      <c r="H296" s="19"/>
    </row>
    <row r="297" spans="8:8" s="4" customFormat="1">
      <c r="H297" s="19"/>
    </row>
    <row r="298" spans="8:8" s="4" customFormat="1">
      <c r="H298" s="19"/>
    </row>
    <row r="299" spans="8:8" s="4" customFormat="1">
      <c r="H299" s="19"/>
    </row>
    <row r="300" spans="8:8" s="4" customFormat="1">
      <c r="H300" s="19"/>
    </row>
    <row r="301" spans="8:8" s="4" customFormat="1">
      <c r="H301" s="19"/>
    </row>
    <row r="302" spans="8:8" s="4" customFormat="1">
      <c r="H302" s="19"/>
    </row>
    <row r="303" spans="8:8" s="4" customFormat="1">
      <c r="H303" s="19"/>
    </row>
    <row r="304" spans="8:8" s="4" customFormat="1">
      <c r="H304" s="19"/>
    </row>
    <row r="305" spans="8:8" s="4" customFormat="1">
      <c r="H305" s="19"/>
    </row>
    <row r="306" spans="8:8" s="4" customFormat="1">
      <c r="H306" s="19"/>
    </row>
    <row r="307" spans="8:8" s="4" customFormat="1">
      <c r="H307" s="19"/>
    </row>
    <row r="308" spans="8:8" s="4" customFormat="1">
      <c r="H308" s="19"/>
    </row>
    <row r="309" spans="8:8" s="4" customFormat="1">
      <c r="H309" s="19"/>
    </row>
    <row r="310" spans="8:8" s="4" customFormat="1">
      <c r="H310" s="19"/>
    </row>
    <row r="311" spans="8:8" s="4" customFormat="1">
      <c r="H311" s="19"/>
    </row>
    <row r="312" spans="8:8" s="4" customFormat="1">
      <c r="H312" s="19"/>
    </row>
    <row r="313" spans="8:8" s="4" customFormat="1">
      <c r="H313" s="19"/>
    </row>
    <row r="314" spans="8:8" s="4" customFormat="1">
      <c r="H314" s="19"/>
    </row>
    <row r="315" spans="8:8" s="4" customFormat="1">
      <c r="H315" s="19"/>
    </row>
    <row r="316" spans="8:8" s="4" customFormat="1">
      <c r="H316" s="19"/>
    </row>
    <row r="317" spans="8:8" s="4" customFormat="1">
      <c r="H317" s="19"/>
    </row>
    <row r="318" spans="8:8" s="4" customFormat="1">
      <c r="H318" s="19"/>
    </row>
    <row r="319" spans="8:8" s="4" customFormat="1">
      <c r="H319" s="19"/>
    </row>
    <row r="320" spans="8:8" s="4" customFormat="1">
      <c r="H320" s="19"/>
    </row>
    <row r="321" spans="8:8" s="4" customFormat="1">
      <c r="H321" s="19"/>
    </row>
    <row r="322" spans="8:8" s="4" customFormat="1">
      <c r="H322" s="19"/>
    </row>
    <row r="323" spans="8:8" s="4" customFormat="1">
      <c r="H323" s="19"/>
    </row>
    <row r="324" spans="8:8" s="4" customFormat="1">
      <c r="H324" s="19"/>
    </row>
    <row r="325" spans="8:8" s="4" customFormat="1">
      <c r="H325" s="19"/>
    </row>
    <row r="326" spans="8:8" s="4" customFormat="1">
      <c r="H326" s="19"/>
    </row>
    <row r="327" spans="8:8" s="4" customFormat="1">
      <c r="H327" s="19"/>
    </row>
    <row r="328" spans="8:8" s="4" customFormat="1">
      <c r="H328" s="19"/>
    </row>
    <row r="329" spans="8:8" s="4" customFormat="1">
      <c r="H329" s="19"/>
    </row>
    <row r="330" spans="8:8" s="4" customFormat="1">
      <c r="H330" s="19"/>
    </row>
    <row r="331" spans="8:8" s="4" customFormat="1">
      <c r="H331" s="19"/>
    </row>
    <row r="332" spans="8:8" s="4" customFormat="1">
      <c r="H332" s="19"/>
    </row>
    <row r="333" spans="8:8" s="4" customFormat="1">
      <c r="H333" s="19"/>
    </row>
    <row r="334" spans="8:8" s="4" customFormat="1">
      <c r="H334" s="19"/>
    </row>
    <row r="335" spans="8:8" s="4" customFormat="1">
      <c r="H335" s="19"/>
    </row>
    <row r="336" spans="8:8" s="4" customFormat="1">
      <c r="H336" s="19"/>
    </row>
    <row r="337" spans="8:8" s="4" customFormat="1">
      <c r="H337" s="19"/>
    </row>
    <row r="338" spans="8:8" s="4" customFormat="1">
      <c r="H338" s="19"/>
    </row>
    <row r="339" spans="8:8" s="4" customFormat="1">
      <c r="H339" s="19"/>
    </row>
    <row r="340" spans="8:8" s="4" customFormat="1">
      <c r="H340" s="19"/>
    </row>
    <row r="341" spans="8:8" s="4" customFormat="1">
      <c r="H341" s="19"/>
    </row>
    <row r="342" spans="8:8" s="4" customFormat="1">
      <c r="H342" s="19"/>
    </row>
    <row r="343" spans="8:8" s="4" customFormat="1">
      <c r="H343" s="19"/>
    </row>
    <row r="344" spans="8:8" s="4" customFormat="1">
      <c r="H344" s="19"/>
    </row>
    <row r="345" spans="8:8" s="4" customFormat="1">
      <c r="H345" s="19"/>
    </row>
    <row r="346" spans="8:8" s="4" customFormat="1">
      <c r="H346" s="19"/>
    </row>
    <row r="347" spans="8:8" s="4" customFormat="1">
      <c r="H347" s="19"/>
    </row>
    <row r="348" spans="8:8" s="4" customFormat="1">
      <c r="H348" s="19"/>
    </row>
    <row r="349" spans="8:8" s="4" customFormat="1">
      <c r="H349" s="19"/>
    </row>
    <row r="350" spans="8:8" s="4" customFormat="1">
      <c r="H350" s="19"/>
    </row>
    <row r="351" spans="8:8" s="4" customFormat="1">
      <c r="H351" s="19"/>
    </row>
    <row r="352" spans="8:8" s="4" customFormat="1">
      <c r="H352" s="19"/>
    </row>
    <row r="353" spans="8:8" s="4" customFormat="1">
      <c r="H353" s="19"/>
    </row>
    <row r="354" spans="8:8" s="4" customFormat="1">
      <c r="H354" s="19"/>
    </row>
    <row r="355" spans="8:8" s="4" customFormat="1">
      <c r="H355" s="19"/>
    </row>
    <row r="356" spans="8:8" s="4" customFormat="1">
      <c r="H356" s="19"/>
    </row>
    <row r="357" spans="8:8" s="4" customFormat="1">
      <c r="H357" s="19"/>
    </row>
    <row r="358" spans="8:8" s="4" customFormat="1">
      <c r="H358" s="19"/>
    </row>
    <row r="359" spans="8:8" s="4" customFormat="1">
      <c r="H359" s="19"/>
    </row>
    <row r="360" spans="8:8" s="4" customFormat="1">
      <c r="H360" s="19"/>
    </row>
    <row r="361" spans="8:8" s="4" customFormat="1">
      <c r="H361" s="19"/>
    </row>
    <row r="362" spans="8:8" s="4" customFormat="1">
      <c r="H362" s="19"/>
    </row>
    <row r="363" spans="8:8" s="4" customFormat="1">
      <c r="H363" s="19"/>
    </row>
    <row r="364" spans="8:8" s="4" customFormat="1">
      <c r="H364" s="19"/>
    </row>
    <row r="365" spans="8:8" s="4" customFormat="1">
      <c r="H365" s="19"/>
    </row>
    <row r="366" spans="8:8" s="4" customFormat="1">
      <c r="H366" s="19"/>
    </row>
    <row r="367" spans="8:8" s="4" customFormat="1">
      <c r="H367" s="19"/>
    </row>
    <row r="368" spans="8:8" s="4" customFormat="1">
      <c r="H368" s="19"/>
    </row>
    <row r="369" spans="8:8" s="4" customFormat="1">
      <c r="H369" s="19"/>
    </row>
    <row r="370" spans="8:8" s="4" customFormat="1">
      <c r="H370" s="19"/>
    </row>
    <row r="371" spans="8:8" s="4" customFormat="1">
      <c r="H371" s="19"/>
    </row>
    <row r="372" spans="8:8" s="4" customFormat="1">
      <c r="H372" s="19"/>
    </row>
    <row r="373" spans="8:8" s="4" customFormat="1">
      <c r="H373" s="19"/>
    </row>
    <row r="374" spans="8:8" s="4" customFormat="1">
      <c r="H374" s="19"/>
    </row>
    <row r="375" spans="8:8" s="4" customFormat="1">
      <c r="H375" s="19"/>
    </row>
    <row r="376" spans="8:8" s="4" customFormat="1">
      <c r="H376" s="19"/>
    </row>
    <row r="377" spans="8:8" s="4" customFormat="1">
      <c r="H377" s="19"/>
    </row>
    <row r="378" spans="8:8" s="4" customFormat="1">
      <c r="H378" s="19"/>
    </row>
    <row r="379" spans="8:8" s="4" customFormat="1">
      <c r="H379" s="19"/>
    </row>
    <row r="380" spans="8:8" s="4" customFormat="1">
      <c r="H380" s="19"/>
    </row>
    <row r="381" spans="8:8" s="4" customFormat="1">
      <c r="H381" s="19"/>
    </row>
    <row r="382" spans="8:8" s="4" customFormat="1">
      <c r="H382" s="19"/>
    </row>
    <row r="383" spans="8:8" s="4" customFormat="1">
      <c r="H383" s="19"/>
    </row>
    <row r="384" spans="8:8" s="4" customFormat="1">
      <c r="H384" s="19"/>
    </row>
    <row r="385" spans="8:8" s="4" customFormat="1">
      <c r="H385" s="19"/>
    </row>
    <row r="386" spans="8:8" s="4" customFormat="1">
      <c r="H386" s="19"/>
    </row>
    <row r="387" spans="8:8" s="4" customFormat="1">
      <c r="H387" s="19"/>
    </row>
    <row r="388" spans="8:8" s="4" customFormat="1">
      <c r="H388" s="19"/>
    </row>
    <row r="389" spans="8:8" s="4" customFormat="1">
      <c r="H389" s="19"/>
    </row>
    <row r="390" spans="8:8" s="4" customFormat="1">
      <c r="H390" s="19"/>
    </row>
    <row r="391" spans="8:8" s="4" customFormat="1">
      <c r="H391" s="19"/>
    </row>
    <row r="392" spans="8:8" s="4" customFormat="1">
      <c r="H392" s="19"/>
    </row>
    <row r="393" spans="8:8" s="4" customFormat="1">
      <c r="H393" s="19"/>
    </row>
    <row r="394" spans="8:8" s="4" customFormat="1">
      <c r="H394" s="19"/>
    </row>
    <row r="395" spans="8:8" s="4" customFormat="1">
      <c r="H395" s="19"/>
    </row>
    <row r="396" spans="8:8" s="4" customFormat="1">
      <c r="H396" s="19"/>
    </row>
    <row r="397" spans="8:8" s="4" customFormat="1">
      <c r="H397" s="19"/>
    </row>
    <row r="398" spans="8:8" s="4" customFormat="1">
      <c r="H398" s="19"/>
    </row>
    <row r="399" spans="8:8" s="4" customFormat="1">
      <c r="H399" s="19"/>
    </row>
    <row r="400" spans="8:8" s="4" customFormat="1">
      <c r="H400" s="19"/>
    </row>
    <row r="401" spans="8:8" s="4" customFormat="1">
      <c r="H401" s="19"/>
    </row>
    <row r="402" spans="8:8" s="4" customFormat="1">
      <c r="H402" s="19"/>
    </row>
    <row r="403" spans="8:8" s="4" customFormat="1">
      <c r="H403" s="19"/>
    </row>
    <row r="404" spans="8:8" s="4" customFormat="1">
      <c r="H404" s="19"/>
    </row>
    <row r="405" spans="8:8" s="4" customFormat="1">
      <c r="H405" s="19"/>
    </row>
    <row r="406" spans="8:8" s="4" customFormat="1">
      <c r="H406" s="19"/>
    </row>
    <row r="407" spans="8:8" s="4" customFormat="1">
      <c r="H407" s="19"/>
    </row>
    <row r="408" spans="8:8" s="4" customFormat="1">
      <c r="H408" s="19"/>
    </row>
    <row r="409" spans="8:8" s="4" customFormat="1">
      <c r="H409" s="19"/>
    </row>
    <row r="410" spans="8:8" s="4" customFormat="1">
      <c r="H410" s="19"/>
    </row>
    <row r="411" spans="8:8" s="4" customFormat="1">
      <c r="H411" s="19"/>
    </row>
    <row r="412" spans="8:8" s="4" customFormat="1">
      <c r="H412" s="19"/>
    </row>
    <row r="413" spans="8:8" s="4" customFormat="1">
      <c r="H413" s="19"/>
    </row>
    <row r="414" spans="8:8" s="4" customFormat="1">
      <c r="H414" s="19"/>
    </row>
    <row r="415" spans="8:8" s="4" customFormat="1">
      <c r="H415" s="19"/>
    </row>
    <row r="416" spans="8:8" s="4" customFormat="1">
      <c r="H416" s="19"/>
    </row>
    <row r="417" spans="8:8" s="4" customFormat="1">
      <c r="H417" s="19"/>
    </row>
    <row r="418" spans="8:8" s="4" customFormat="1">
      <c r="H418" s="19"/>
    </row>
    <row r="419" spans="8:8" s="4" customFormat="1">
      <c r="H419" s="19"/>
    </row>
    <row r="420" spans="8:8" s="4" customFormat="1">
      <c r="H420" s="19"/>
    </row>
    <row r="421" spans="8:8" s="4" customFormat="1">
      <c r="H421" s="19"/>
    </row>
    <row r="422" spans="8:8" s="4" customFormat="1">
      <c r="H422" s="19"/>
    </row>
    <row r="423" spans="8:8" s="4" customFormat="1">
      <c r="H423" s="19"/>
    </row>
    <row r="424" spans="8:8" s="4" customFormat="1">
      <c r="H424" s="19"/>
    </row>
    <row r="425" spans="8:8" s="4" customFormat="1">
      <c r="H425" s="19"/>
    </row>
    <row r="426" spans="8:8" s="4" customFormat="1">
      <c r="H426" s="19"/>
    </row>
    <row r="427" spans="8:8" s="4" customFormat="1">
      <c r="H427" s="19"/>
    </row>
    <row r="428" spans="8:8" s="4" customFormat="1">
      <c r="H428" s="19"/>
    </row>
    <row r="429" spans="8:8" s="4" customFormat="1">
      <c r="H429" s="19"/>
    </row>
    <row r="430" spans="8:8" s="4" customFormat="1">
      <c r="H430" s="19"/>
    </row>
    <row r="431" spans="8:8" s="4" customFormat="1">
      <c r="H431" s="19"/>
    </row>
    <row r="432" spans="8:8" s="4" customFormat="1">
      <c r="H432" s="19"/>
    </row>
    <row r="433" spans="8:8" s="4" customFormat="1">
      <c r="H433" s="19"/>
    </row>
    <row r="434" spans="8:8" s="4" customFormat="1">
      <c r="H434" s="19"/>
    </row>
    <row r="435" spans="8:8" s="4" customFormat="1">
      <c r="H435" s="19"/>
    </row>
    <row r="436" spans="8:8" s="4" customFormat="1">
      <c r="H436" s="19"/>
    </row>
    <row r="437" spans="8:8" s="4" customFormat="1">
      <c r="H437" s="19"/>
    </row>
    <row r="438" spans="8:8" s="4" customFormat="1">
      <c r="H438" s="19"/>
    </row>
    <row r="439" spans="8:8" s="4" customFormat="1">
      <c r="H439" s="19"/>
    </row>
    <row r="440" spans="8:8" s="4" customFormat="1">
      <c r="H440" s="19"/>
    </row>
    <row r="441" spans="8:8" s="4" customFormat="1">
      <c r="H441" s="19"/>
    </row>
    <row r="442" spans="8:8" s="4" customFormat="1">
      <c r="H442" s="19"/>
    </row>
    <row r="443" spans="8:8" s="4" customFormat="1">
      <c r="H443" s="19"/>
    </row>
    <row r="444" spans="8:8" s="4" customFormat="1">
      <c r="H444" s="19"/>
    </row>
    <row r="445" spans="8:8" s="4" customFormat="1">
      <c r="H445" s="19"/>
    </row>
    <row r="446" spans="8:8" s="4" customFormat="1">
      <c r="H446" s="19"/>
    </row>
    <row r="447" spans="8:8" s="4" customFormat="1">
      <c r="H447" s="19"/>
    </row>
    <row r="448" spans="8:8" s="4" customFormat="1">
      <c r="H448" s="19"/>
    </row>
    <row r="449" spans="8:8" s="4" customFormat="1">
      <c r="H449" s="19"/>
    </row>
    <row r="450" spans="8:8" s="4" customFormat="1">
      <c r="H450" s="19"/>
    </row>
    <row r="451" spans="8:8" s="4" customFormat="1">
      <c r="H451" s="19"/>
    </row>
    <row r="452" spans="8:8" s="4" customFormat="1">
      <c r="H452" s="19"/>
    </row>
    <row r="453" spans="8:8" s="4" customFormat="1">
      <c r="H453" s="19"/>
    </row>
    <row r="454" spans="8:8" s="4" customFormat="1">
      <c r="H454" s="19"/>
    </row>
    <row r="455" spans="8:8" s="4" customFormat="1">
      <c r="H455" s="19"/>
    </row>
    <row r="456" spans="8:8" s="4" customFormat="1">
      <c r="H456" s="19"/>
    </row>
    <row r="457" spans="8:8" s="4" customFormat="1">
      <c r="H457" s="19"/>
    </row>
    <row r="458" spans="8:8" s="4" customFormat="1">
      <c r="H458" s="19"/>
    </row>
    <row r="459" spans="8:8" s="4" customFormat="1">
      <c r="H459" s="19"/>
    </row>
    <row r="460" spans="8:8" s="4" customFormat="1">
      <c r="H460" s="19"/>
    </row>
    <row r="461" spans="8:8" s="4" customFormat="1">
      <c r="H461" s="19"/>
    </row>
    <row r="462" spans="8:8" s="4" customFormat="1">
      <c r="H462" s="19"/>
    </row>
    <row r="463" spans="8:8" s="4" customFormat="1">
      <c r="H463" s="19"/>
    </row>
    <row r="464" spans="8:8" s="4" customFormat="1">
      <c r="H464" s="19"/>
    </row>
    <row r="465" spans="8:8" s="4" customFormat="1">
      <c r="H465" s="19"/>
    </row>
    <row r="466" spans="8:8" s="4" customFormat="1">
      <c r="H466" s="19"/>
    </row>
    <row r="467" spans="8:8" s="4" customFormat="1">
      <c r="H467" s="19"/>
    </row>
    <row r="468" spans="8:8" s="4" customFormat="1">
      <c r="H468" s="19"/>
    </row>
    <row r="469" spans="8:8" s="4" customFormat="1">
      <c r="H469" s="19"/>
    </row>
    <row r="470" spans="8:8" s="4" customFormat="1">
      <c r="H470" s="19"/>
    </row>
    <row r="471" spans="8:8" s="4" customFormat="1">
      <c r="H471" s="19"/>
    </row>
    <row r="472" spans="8:8" s="4" customFormat="1">
      <c r="H472" s="19"/>
    </row>
    <row r="473" spans="8:8" s="4" customFormat="1">
      <c r="H473" s="19"/>
    </row>
    <row r="474" spans="8:8" s="4" customFormat="1">
      <c r="H474" s="19"/>
    </row>
    <row r="475" spans="8:8" s="4" customFormat="1">
      <c r="H475" s="19"/>
    </row>
    <row r="476" spans="8:8" s="4" customFormat="1">
      <c r="H476" s="19"/>
    </row>
    <row r="477" spans="8:8" s="4" customFormat="1">
      <c r="H477" s="19"/>
    </row>
    <row r="478" spans="8:8" s="4" customFormat="1">
      <c r="H478" s="19"/>
    </row>
    <row r="479" spans="8:8" s="4" customFormat="1">
      <c r="H479" s="19"/>
    </row>
    <row r="480" spans="8:8" s="4" customFormat="1">
      <c r="H480" s="19"/>
    </row>
    <row r="481" spans="8:8" s="4" customFormat="1">
      <c r="H481" s="19"/>
    </row>
    <row r="482" spans="8:8" s="4" customFormat="1">
      <c r="H482" s="19"/>
    </row>
    <row r="483" spans="8:8" s="4" customFormat="1">
      <c r="H483" s="19"/>
    </row>
    <row r="484" spans="8:8" s="4" customFormat="1">
      <c r="H484" s="19"/>
    </row>
    <row r="485" spans="8:8" s="4" customFormat="1">
      <c r="H485" s="19"/>
    </row>
    <row r="486" spans="8:8" s="4" customFormat="1">
      <c r="H486" s="19"/>
    </row>
    <row r="487" spans="8:8" s="4" customFormat="1">
      <c r="H487" s="19"/>
    </row>
    <row r="488" spans="8:8" s="4" customFormat="1">
      <c r="H488" s="19"/>
    </row>
    <row r="489" spans="8:8" s="4" customFormat="1">
      <c r="H489" s="19"/>
    </row>
    <row r="490" spans="8:8" s="4" customFormat="1">
      <c r="H490" s="19"/>
    </row>
    <row r="491" spans="8:8" s="4" customFormat="1">
      <c r="H491" s="19"/>
    </row>
    <row r="492" spans="8:8" s="4" customFormat="1">
      <c r="H492" s="19"/>
    </row>
    <row r="493" spans="8:8" s="4" customFormat="1">
      <c r="H493" s="19"/>
    </row>
    <row r="494" spans="8:8" s="4" customFormat="1">
      <c r="H494" s="19"/>
    </row>
    <row r="495" spans="8:8" s="4" customFormat="1">
      <c r="H495" s="19"/>
    </row>
    <row r="496" spans="8:8" s="4" customFormat="1">
      <c r="H496" s="19"/>
    </row>
    <row r="497" spans="8:8" s="4" customFormat="1">
      <c r="H497" s="19"/>
    </row>
    <row r="498" spans="8:8" s="4" customFormat="1">
      <c r="H498" s="19"/>
    </row>
    <row r="499" spans="8:8" s="4" customFormat="1">
      <c r="H499" s="19"/>
    </row>
    <row r="500" spans="8:8" s="4" customFormat="1">
      <c r="H500" s="19"/>
    </row>
    <row r="501" spans="8:8" s="4" customFormat="1">
      <c r="H501" s="19"/>
    </row>
    <row r="502" spans="8:8" s="4" customFormat="1">
      <c r="H502" s="19"/>
    </row>
    <row r="503" spans="8:8" s="4" customFormat="1">
      <c r="H503" s="19"/>
    </row>
    <row r="504" spans="8:8" s="4" customFormat="1">
      <c r="H504" s="19"/>
    </row>
    <row r="505" spans="8:8" s="4" customFormat="1">
      <c r="H505" s="19"/>
    </row>
    <row r="506" spans="8:8" s="4" customFormat="1">
      <c r="H506" s="19"/>
    </row>
    <row r="507" spans="8:8" s="4" customFormat="1">
      <c r="H507" s="19"/>
    </row>
    <row r="508" spans="8:8" s="4" customFormat="1">
      <c r="H508" s="19"/>
    </row>
    <row r="509" spans="8:8" s="4" customFormat="1">
      <c r="H509" s="19"/>
    </row>
    <row r="510" spans="8:8" s="4" customFormat="1">
      <c r="H510" s="19"/>
    </row>
    <row r="511" spans="8:8" s="4" customFormat="1">
      <c r="H511" s="19"/>
    </row>
    <row r="512" spans="8:8" s="4" customFormat="1">
      <c r="H512" s="19"/>
    </row>
    <row r="513" spans="8:8" s="4" customFormat="1">
      <c r="H513" s="19"/>
    </row>
    <row r="514" spans="8:8" s="4" customFormat="1">
      <c r="H514" s="19"/>
    </row>
    <row r="515" spans="8:8" s="4" customFormat="1">
      <c r="H515" s="19"/>
    </row>
    <row r="516" spans="8:8" s="4" customFormat="1">
      <c r="H516" s="19"/>
    </row>
    <row r="517" spans="8:8" s="4" customFormat="1">
      <c r="H517" s="19"/>
    </row>
    <row r="518" spans="8:8" s="4" customFormat="1">
      <c r="H518" s="19"/>
    </row>
    <row r="519" spans="8:8" s="4" customFormat="1">
      <c r="H519" s="19"/>
    </row>
    <row r="520" spans="8:8" s="4" customFormat="1">
      <c r="H520" s="19"/>
    </row>
    <row r="521" spans="8:8" s="4" customFormat="1">
      <c r="H521" s="19"/>
    </row>
    <row r="522" spans="8:8" s="4" customFormat="1">
      <c r="H522" s="19"/>
    </row>
    <row r="523" spans="8:8" s="4" customFormat="1">
      <c r="H523" s="19"/>
    </row>
    <row r="524" spans="8:8" s="4" customFormat="1">
      <c r="H524" s="19"/>
    </row>
    <row r="525" spans="8:8" s="4" customFormat="1">
      <c r="H525" s="19"/>
    </row>
    <row r="526" spans="8:8" s="4" customFormat="1">
      <c r="H526" s="19"/>
    </row>
    <row r="527" spans="8:8" s="4" customFormat="1">
      <c r="H527" s="19"/>
    </row>
    <row r="528" spans="8:8" s="4" customFormat="1">
      <c r="H528" s="19"/>
    </row>
    <row r="529" spans="8:8" s="4" customFormat="1">
      <c r="H529" s="19"/>
    </row>
    <row r="530" spans="8:8" s="4" customFormat="1">
      <c r="H530" s="19"/>
    </row>
    <row r="531" spans="8:8" s="4" customFormat="1">
      <c r="H531" s="19"/>
    </row>
    <row r="532" spans="8:8" s="4" customFormat="1">
      <c r="H532" s="19"/>
    </row>
    <row r="533" spans="8:8" s="4" customFormat="1">
      <c r="H533" s="19"/>
    </row>
    <row r="534" spans="8:8" s="4" customFormat="1">
      <c r="H534" s="19"/>
    </row>
    <row r="535" spans="8:8" s="4" customFormat="1">
      <c r="H535" s="19"/>
    </row>
    <row r="536" spans="8:8" s="4" customFormat="1">
      <c r="H536" s="19"/>
    </row>
    <row r="537" spans="8:8" s="4" customFormat="1">
      <c r="H537" s="19"/>
    </row>
    <row r="538" spans="8:8" s="4" customFormat="1">
      <c r="H538" s="19"/>
    </row>
    <row r="539" spans="8:8" s="4" customFormat="1">
      <c r="H539" s="19"/>
    </row>
    <row r="540" spans="8:8" s="4" customFormat="1">
      <c r="H540" s="19"/>
    </row>
    <row r="541" spans="8:8" s="4" customFormat="1">
      <c r="H541" s="19"/>
    </row>
    <row r="542" spans="8:8" s="4" customFormat="1">
      <c r="H542" s="19"/>
    </row>
    <row r="543" spans="8:8" s="4" customFormat="1">
      <c r="H543" s="19"/>
    </row>
    <row r="544" spans="8:8" s="4" customFormat="1">
      <c r="H544" s="19"/>
    </row>
    <row r="545" spans="8:8" s="4" customFormat="1">
      <c r="H545" s="19"/>
    </row>
    <row r="546" spans="8:8" s="4" customFormat="1">
      <c r="H546" s="19"/>
    </row>
    <row r="547" spans="8:8" s="4" customFormat="1">
      <c r="H547" s="19"/>
    </row>
    <row r="548" spans="8:8" s="4" customFormat="1">
      <c r="H548" s="19"/>
    </row>
    <row r="549" spans="8:8" s="4" customFormat="1">
      <c r="H549" s="19"/>
    </row>
    <row r="550" spans="8:8" s="4" customFormat="1">
      <c r="H550" s="19"/>
    </row>
    <row r="551" spans="8:8" s="4" customFormat="1">
      <c r="H551" s="19"/>
    </row>
    <row r="552" spans="8:8" s="4" customFormat="1">
      <c r="H552" s="19"/>
    </row>
    <row r="553" spans="8:8" s="4" customFormat="1">
      <c r="H553" s="19"/>
    </row>
    <row r="554" spans="8:8" s="4" customFormat="1">
      <c r="H554" s="19"/>
    </row>
    <row r="555" spans="8:8" s="4" customFormat="1">
      <c r="H555" s="19"/>
    </row>
    <row r="556" spans="8:8" s="4" customFormat="1">
      <c r="H556" s="19"/>
    </row>
    <row r="557" spans="8:8" s="4" customFormat="1">
      <c r="H557" s="19"/>
    </row>
    <row r="558" spans="8:8" s="4" customFormat="1">
      <c r="H558" s="19"/>
    </row>
    <row r="559" spans="8:8" s="4" customFormat="1">
      <c r="H559" s="19"/>
    </row>
    <row r="560" spans="8:8" s="4" customFormat="1">
      <c r="H560" s="19"/>
    </row>
    <row r="561" spans="8:8" s="4" customFormat="1">
      <c r="H561" s="19"/>
    </row>
    <row r="562" spans="8:8" s="4" customFormat="1">
      <c r="H562" s="19"/>
    </row>
    <row r="563" spans="8:8" s="4" customFormat="1">
      <c r="H563" s="19"/>
    </row>
    <row r="564" spans="8:8" s="4" customFormat="1">
      <c r="H564" s="19"/>
    </row>
    <row r="565" spans="8:8" s="4" customFormat="1">
      <c r="H565" s="19"/>
    </row>
    <row r="566" spans="8:8" s="4" customFormat="1">
      <c r="H566" s="19"/>
    </row>
    <row r="567" spans="8:8" s="4" customFormat="1">
      <c r="H567" s="19"/>
    </row>
    <row r="568" spans="8:8" s="4" customFormat="1">
      <c r="H568" s="19"/>
    </row>
    <row r="569" spans="8:8" s="4" customFormat="1">
      <c r="H569" s="19"/>
    </row>
    <row r="570" spans="8:8" s="4" customFormat="1">
      <c r="H570" s="19"/>
    </row>
    <row r="571" spans="8:8" s="4" customFormat="1">
      <c r="H571" s="19"/>
    </row>
    <row r="572" spans="8:8" s="4" customFormat="1">
      <c r="H572" s="19"/>
    </row>
    <row r="573" spans="8:8" s="4" customFormat="1">
      <c r="H573" s="19"/>
    </row>
    <row r="574" spans="8:8" s="4" customFormat="1">
      <c r="H574" s="19"/>
    </row>
    <row r="575" spans="8:8" s="4" customFormat="1">
      <c r="H575" s="19"/>
    </row>
    <row r="576" spans="8:8" s="4" customFormat="1">
      <c r="H576" s="19"/>
    </row>
    <row r="577" spans="8:8" s="4" customFormat="1">
      <c r="H577" s="19"/>
    </row>
    <row r="578" spans="8:8" s="4" customFormat="1">
      <c r="H578" s="19"/>
    </row>
    <row r="579" spans="8:8" s="4" customFormat="1">
      <c r="H579" s="19"/>
    </row>
    <row r="580" spans="8:8" s="4" customFormat="1">
      <c r="H580" s="19"/>
    </row>
    <row r="581" spans="8:8" s="4" customFormat="1">
      <c r="H581" s="19"/>
    </row>
    <row r="582" spans="8:8" s="4" customFormat="1">
      <c r="H582" s="19"/>
    </row>
    <row r="583" spans="8:8" s="4" customFormat="1">
      <c r="H583" s="19"/>
    </row>
    <row r="584" spans="8:8" s="4" customFormat="1">
      <c r="H584" s="19"/>
    </row>
    <row r="585" spans="8:8" s="4" customFormat="1">
      <c r="H585" s="19"/>
    </row>
    <row r="586" spans="8:8" s="4" customFormat="1">
      <c r="H586" s="19"/>
    </row>
    <row r="587" spans="8:8" s="4" customFormat="1">
      <c r="H587" s="19"/>
    </row>
    <row r="588" spans="8:8" s="4" customFormat="1">
      <c r="H588" s="19"/>
    </row>
    <row r="589" spans="8:8" s="4" customFormat="1">
      <c r="H589" s="19"/>
    </row>
    <row r="590" spans="8:8" s="4" customFormat="1">
      <c r="H590" s="19"/>
    </row>
    <row r="591" spans="8:8" s="4" customFormat="1">
      <c r="H591" s="19"/>
    </row>
    <row r="592" spans="8:8" s="4" customFormat="1">
      <c r="H592" s="19"/>
    </row>
    <row r="593" spans="8:8" s="4" customFormat="1">
      <c r="H593" s="19"/>
    </row>
    <row r="594" spans="8:8" s="4" customFormat="1">
      <c r="H594" s="19"/>
    </row>
    <row r="595" spans="8:8" s="4" customFormat="1">
      <c r="H595" s="19"/>
    </row>
    <row r="596" spans="8:8" s="4" customFormat="1">
      <c r="H596" s="19"/>
    </row>
    <row r="597" spans="8:8" s="4" customFormat="1">
      <c r="H597" s="19"/>
    </row>
    <row r="598" spans="8:8" s="4" customFormat="1">
      <c r="H598" s="19"/>
    </row>
    <row r="599" spans="8:8" s="4" customFormat="1">
      <c r="H599" s="19"/>
    </row>
    <row r="600" spans="8:8" s="4" customFormat="1">
      <c r="H600" s="19"/>
    </row>
    <row r="601" spans="8:8" s="4" customFormat="1">
      <c r="H601" s="19"/>
    </row>
    <row r="602" spans="8:8" s="4" customFormat="1">
      <c r="H602" s="19"/>
    </row>
    <row r="603" spans="8:8" s="4" customFormat="1">
      <c r="H603" s="19"/>
    </row>
    <row r="604" spans="8:8" s="4" customFormat="1">
      <c r="H604" s="19"/>
    </row>
    <row r="605" spans="8:8" s="4" customFormat="1">
      <c r="H605" s="19"/>
    </row>
    <row r="606" spans="8:8" s="4" customFormat="1">
      <c r="H606" s="19"/>
    </row>
    <row r="607" spans="8:8" s="4" customFormat="1">
      <c r="H607" s="19"/>
    </row>
    <row r="608" spans="8:8" s="4" customFormat="1">
      <c r="H608" s="19"/>
    </row>
    <row r="609" spans="8:8" s="4" customFormat="1">
      <c r="H609" s="19"/>
    </row>
    <row r="610" spans="8:8" s="4" customFormat="1">
      <c r="H610" s="19"/>
    </row>
    <row r="611" spans="8:8" s="4" customFormat="1">
      <c r="H611" s="19"/>
    </row>
    <row r="612" spans="8:8" s="4" customFormat="1">
      <c r="H612" s="19"/>
    </row>
    <row r="613" spans="8:8" s="4" customFormat="1">
      <c r="H613" s="19"/>
    </row>
    <row r="614" spans="8:8" s="4" customFormat="1">
      <c r="H614" s="19"/>
    </row>
    <row r="615" spans="8:8" s="4" customFormat="1">
      <c r="H615" s="19"/>
    </row>
    <row r="616" spans="8:8" s="4" customFormat="1">
      <c r="H616" s="19"/>
    </row>
    <row r="617" spans="8:8" s="4" customFormat="1">
      <c r="H617" s="19"/>
    </row>
    <row r="618" spans="8:8" s="4" customFormat="1">
      <c r="H618" s="19"/>
    </row>
    <row r="619" spans="8:8" s="4" customFormat="1">
      <c r="H619" s="19"/>
    </row>
    <row r="620" spans="8:8" s="4" customFormat="1">
      <c r="H620" s="19"/>
    </row>
    <row r="621" spans="8:8" s="4" customFormat="1">
      <c r="H621" s="19"/>
    </row>
    <row r="622" spans="8:8" s="4" customFormat="1">
      <c r="H622" s="19"/>
    </row>
    <row r="623" spans="8:8" s="4" customFormat="1">
      <c r="H623" s="19"/>
    </row>
    <row r="624" spans="8:8" s="4" customFormat="1">
      <c r="H624" s="19"/>
    </row>
    <row r="625" spans="8:8" s="4" customFormat="1">
      <c r="H625" s="19"/>
    </row>
    <row r="626" spans="8:8" s="4" customFormat="1">
      <c r="H626" s="19"/>
    </row>
    <row r="627" spans="8:8" s="4" customFormat="1">
      <c r="H627" s="19"/>
    </row>
    <row r="628" spans="8:8" s="4" customFormat="1">
      <c r="H628" s="19"/>
    </row>
    <row r="629" spans="8:8" s="4" customFormat="1">
      <c r="H629" s="19"/>
    </row>
    <row r="630" spans="8:8" s="4" customFormat="1">
      <c r="H630" s="19"/>
    </row>
    <row r="631" spans="8:8" s="4" customFormat="1">
      <c r="H631" s="19"/>
    </row>
    <row r="632" spans="8:8" s="4" customFormat="1">
      <c r="H632" s="19"/>
    </row>
    <row r="633" spans="8:8" s="4" customFormat="1">
      <c r="H633" s="19"/>
    </row>
    <row r="634" spans="8:8" s="4" customFormat="1">
      <c r="H634" s="19"/>
    </row>
    <row r="635" spans="8:8" s="4" customFormat="1">
      <c r="H635" s="19"/>
    </row>
    <row r="636" spans="8:8" s="4" customFormat="1">
      <c r="H636" s="19"/>
    </row>
    <row r="637" spans="8:8" s="4" customFormat="1">
      <c r="H637" s="19"/>
    </row>
    <row r="638" spans="8:8" s="4" customFormat="1">
      <c r="H638" s="19"/>
    </row>
    <row r="639" spans="8:8" s="4" customFormat="1">
      <c r="H639" s="19"/>
    </row>
    <row r="640" spans="8:8" s="4" customFormat="1">
      <c r="H640" s="19"/>
    </row>
    <row r="641" spans="8:8" s="4" customFormat="1">
      <c r="H641" s="19"/>
    </row>
    <row r="642" spans="8:8" s="4" customFormat="1">
      <c r="H642" s="19"/>
    </row>
    <row r="643" spans="8:8" s="4" customFormat="1">
      <c r="H643" s="19"/>
    </row>
    <row r="644" spans="8:8" s="4" customFormat="1">
      <c r="H644" s="19"/>
    </row>
    <row r="645" spans="8:8" s="4" customFormat="1">
      <c r="H645" s="19"/>
    </row>
    <row r="646" spans="8:8" s="4" customFormat="1">
      <c r="H646" s="19"/>
    </row>
    <row r="647" spans="8:8" s="4" customFormat="1">
      <c r="H647" s="19"/>
    </row>
    <row r="648" spans="8:8" s="4" customFormat="1">
      <c r="H648" s="19"/>
    </row>
    <row r="649" spans="8:8" s="4" customFormat="1">
      <c r="H649" s="19"/>
    </row>
    <row r="650" spans="8:8" s="4" customFormat="1">
      <c r="H650" s="19"/>
    </row>
    <row r="651" spans="8:8" s="4" customFormat="1">
      <c r="H651" s="19"/>
    </row>
    <row r="652" spans="8:8" s="4" customFormat="1">
      <c r="H652" s="19"/>
    </row>
    <row r="653" spans="8:8" s="4" customFormat="1">
      <c r="H653" s="19"/>
    </row>
    <row r="654" spans="8:8" s="4" customFormat="1">
      <c r="H654" s="19"/>
    </row>
    <row r="655" spans="8:8" s="4" customFormat="1">
      <c r="H655" s="19"/>
    </row>
    <row r="656" spans="8:8" s="4" customFormat="1">
      <c r="H656" s="19"/>
    </row>
    <row r="657" spans="8:8" s="4" customFormat="1">
      <c r="H657" s="19"/>
    </row>
    <row r="658" spans="8:8" s="4" customFormat="1">
      <c r="H658" s="19"/>
    </row>
    <row r="659" spans="8:8" s="4" customFormat="1">
      <c r="H659" s="19"/>
    </row>
    <row r="660" spans="8:8" s="4" customFormat="1">
      <c r="H660" s="19"/>
    </row>
    <row r="661" spans="8:8" s="4" customFormat="1">
      <c r="H661" s="19"/>
    </row>
    <row r="662" spans="8:8" s="4" customFormat="1">
      <c r="H662" s="19"/>
    </row>
    <row r="663" spans="8:8" s="4" customFormat="1">
      <c r="H663" s="19"/>
    </row>
    <row r="664" spans="8:8" s="4" customFormat="1">
      <c r="H664" s="19"/>
    </row>
    <row r="665" spans="8:8" s="4" customFormat="1">
      <c r="H665" s="19"/>
    </row>
    <row r="666" spans="8:8" s="4" customFormat="1">
      <c r="H666" s="19"/>
    </row>
    <row r="667" spans="8:8" s="4" customFormat="1">
      <c r="H667" s="19"/>
    </row>
    <row r="668" spans="8:8" s="4" customFormat="1">
      <c r="H668" s="19"/>
    </row>
    <row r="669" spans="8:8" s="4" customFormat="1">
      <c r="H669" s="19"/>
    </row>
    <row r="670" spans="8:8" s="4" customFormat="1">
      <c r="H670" s="19"/>
    </row>
    <row r="671" spans="8:8" s="4" customFormat="1">
      <c r="H671" s="19"/>
    </row>
    <row r="672" spans="8:8" s="4" customFormat="1">
      <c r="H672" s="19"/>
    </row>
    <row r="673" spans="8:8" s="4" customFormat="1">
      <c r="H673" s="19"/>
    </row>
    <row r="674" spans="8:8" s="4" customFormat="1">
      <c r="H674" s="19"/>
    </row>
    <row r="675" spans="8:8" s="4" customFormat="1">
      <c r="H675" s="19"/>
    </row>
    <row r="676" spans="8:8" s="4" customFormat="1">
      <c r="H676" s="19"/>
    </row>
    <row r="677" spans="8:8" s="4" customFormat="1">
      <c r="H677" s="19"/>
    </row>
    <row r="678" spans="8:8" s="4" customFormat="1">
      <c r="H678" s="19"/>
    </row>
    <row r="679" spans="8:8" s="4" customFormat="1">
      <c r="H679" s="19"/>
    </row>
    <row r="680" spans="8:8" s="4" customFormat="1">
      <c r="H680" s="19"/>
    </row>
    <row r="681" spans="8:8" s="4" customFormat="1">
      <c r="H681" s="19"/>
    </row>
    <row r="682" spans="8:8" s="4" customFormat="1">
      <c r="H682" s="19"/>
    </row>
    <row r="683" spans="8:8" s="4" customFormat="1">
      <c r="H683" s="19"/>
    </row>
    <row r="684" spans="8:8" s="4" customFormat="1">
      <c r="H684" s="19"/>
    </row>
    <row r="685" spans="8:8" s="4" customFormat="1">
      <c r="H685" s="19"/>
    </row>
    <row r="686" spans="8:8" s="4" customFormat="1">
      <c r="H686" s="19"/>
    </row>
    <row r="687" spans="8:8" s="4" customFormat="1">
      <c r="H687" s="19"/>
    </row>
    <row r="688" spans="8:8" s="4" customFormat="1">
      <c r="H688" s="19"/>
    </row>
    <row r="689" spans="8:8" s="4" customFormat="1">
      <c r="H689" s="19"/>
    </row>
    <row r="690" spans="8:8" s="4" customFormat="1">
      <c r="H690" s="19"/>
    </row>
    <row r="691" spans="8:8" s="4" customFormat="1">
      <c r="H691" s="19"/>
    </row>
    <row r="692" spans="8:8" s="4" customFormat="1">
      <c r="H692" s="19"/>
    </row>
    <row r="693" spans="8:8" s="4" customFormat="1">
      <c r="H693" s="19"/>
    </row>
    <row r="694" spans="8:8" s="4" customFormat="1">
      <c r="H694" s="19"/>
    </row>
    <row r="695" spans="8:8" s="4" customFormat="1">
      <c r="H695" s="19"/>
    </row>
    <row r="696" spans="8:8" s="4" customFormat="1">
      <c r="H696" s="19"/>
    </row>
    <row r="697" spans="8:8" s="4" customFormat="1">
      <c r="H697" s="19"/>
    </row>
    <row r="698" spans="8:8" s="4" customFormat="1">
      <c r="H698" s="19"/>
    </row>
    <row r="699" spans="8:8" s="4" customFormat="1">
      <c r="H699" s="19"/>
    </row>
    <row r="700" spans="8:8" s="4" customFormat="1">
      <c r="H700" s="19"/>
    </row>
    <row r="701" spans="8:8" s="4" customFormat="1">
      <c r="H701" s="19"/>
    </row>
    <row r="702" spans="8:8" s="4" customFormat="1">
      <c r="H702" s="19"/>
    </row>
    <row r="703" spans="8:8" s="4" customFormat="1">
      <c r="H703" s="19"/>
    </row>
    <row r="704" spans="8:8" s="4" customFormat="1">
      <c r="H704" s="19"/>
    </row>
    <row r="705" spans="8:8" s="4" customFormat="1">
      <c r="H705" s="19"/>
    </row>
    <row r="706" spans="8:8" s="4" customFormat="1">
      <c r="H706" s="19"/>
    </row>
    <row r="707" spans="8:8" s="4" customFormat="1">
      <c r="H707" s="19"/>
    </row>
    <row r="708" spans="8:8" s="4" customFormat="1">
      <c r="H708" s="19"/>
    </row>
    <row r="709" spans="8:8" s="4" customFormat="1">
      <c r="H709" s="19"/>
    </row>
    <row r="710" spans="8:8" s="4" customFormat="1">
      <c r="H710" s="19"/>
    </row>
    <row r="711" spans="8:8" s="4" customFormat="1">
      <c r="H711" s="19"/>
    </row>
    <row r="712" spans="8:8" s="4" customFormat="1">
      <c r="H712" s="19"/>
    </row>
    <row r="713" spans="8:8" s="4" customFormat="1">
      <c r="H713" s="19"/>
    </row>
    <row r="714" spans="8:8" s="4" customFormat="1">
      <c r="H714" s="19"/>
    </row>
    <row r="715" spans="8:8" s="4" customFormat="1">
      <c r="H715" s="19"/>
    </row>
    <row r="716" spans="8:8" s="4" customFormat="1">
      <c r="H716" s="19"/>
    </row>
    <row r="717" spans="8:8" s="4" customFormat="1">
      <c r="H717" s="19"/>
    </row>
    <row r="718" spans="8:8" s="4" customFormat="1">
      <c r="H718" s="19"/>
    </row>
    <row r="719" spans="8:8" s="4" customFormat="1">
      <c r="H719" s="19"/>
    </row>
    <row r="720" spans="8:8" s="4" customFormat="1">
      <c r="H720" s="19"/>
    </row>
    <row r="721" spans="8:8" s="4" customFormat="1">
      <c r="H721" s="19"/>
    </row>
    <row r="722" spans="8:8" s="4" customFormat="1">
      <c r="H722" s="19"/>
    </row>
    <row r="723" spans="8:8" s="4" customFormat="1">
      <c r="H723" s="19"/>
    </row>
    <row r="724" spans="8:8" s="4" customFormat="1">
      <c r="H724" s="19"/>
    </row>
    <row r="725" spans="8:8" s="4" customFormat="1">
      <c r="H725" s="19"/>
    </row>
    <row r="726" spans="8:8" s="4" customFormat="1">
      <c r="H726" s="19"/>
    </row>
    <row r="727" spans="8:8" s="4" customFormat="1">
      <c r="H727" s="19"/>
    </row>
    <row r="728" spans="8:8" s="4" customFormat="1">
      <c r="H728" s="19"/>
    </row>
    <row r="729" spans="8:8" s="4" customFormat="1">
      <c r="H729" s="19"/>
    </row>
    <row r="730" spans="8:8" s="4" customFormat="1">
      <c r="H730" s="19"/>
    </row>
    <row r="731" spans="8:8" s="4" customFormat="1">
      <c r="H731" s="19"/>
    </row>
    <row r="732" spans="8:8" s="4" customFormat="1">
      <c r="H732" s="19"/>
    </row>
    <row r="733" spans="8:8" s="4" customFormat="1">
      <c r="H733" s="19"/>
    </row>
    <row r="734" spans="8:8" s="4" customFormat="1">
      <c r="H734" s="19"/>
    </row>
    <row r="735" spans="8:8" s="4" customFormat="1">
      <c r="H735" s="19"/>
    </row>
    <row r="736" spans="8:8" s="4" customFormat="1">
      <c r="H736" s="19"/>
    </row>
    <row r="737" spans="8:8" s="4" customFormat="1">
      <c r="H737" s="19"/>
    </row>
    <row r="738" spans="8:8" s="4" customFormat="1">
      <c r="H738" s="19"/>
    </row>
    <row r="739" spans="8:8" s="4" customFormat="1">
      <c r="H739" s="19"/>
    </row>
    <row r="740" spans="8:8" s="4" customFormat="1">
      <c r="H740" s="19"/>
    </row>
    <row r="741" spans="8:8" s="4" customFormat="1">
      <c r="H741" s="19"/>
    </row>
    <row r="742" spans="8:8" s="4" customFormat="1">
      <c r="H742" s="19"/>
    </row>
    <row r="743" spans="8:8" s="4" customFormat="1">
      <c r="H743" s="19"/>
    </row>
    <row r="744" spans="8:8" s="4" customFormat="1">
      <c r="H744" s="19"/>
    </row>
    <row r="745" spans="8:8" s="4" customFormat="1">
      <c r="H745" s="19"/>
    </row>
    <row r="746" spans="8:8" s="4" customFormat="1">
      <c r="H746" s="19"/>
    </row>
    <row r="747" spans="8:8" s="4" customFormat="1">
      <c r="H747" s="19"/>
    </row>
    <row r="748" spans="8:8" s="4" customFormat="1">
      <c r="H748" s="19"/>
    </row>
    <row r="749" spans="8:8" s="4" customFormat="1">
      <c r="H749" s="19"/>
    </row>
    <row r="750" spans="8:8" s="4" customFormat="1">
      <c r="H750" s="19"/>
    </row>
    <row r="751" spans="8:8" s="4" customFormat="1">
      <c r="H751" s="19"/>
    </row>
    <row r="752" spans="8:8" s="4" customFormat="1">
      <c r="H752" s="19"/>
    </row>
    <row r="753" spans="8:8" s="4" customFormat="1">
      <c r="H753" s="19"/>
    </row>
    <row r="754" spans="8:8" s="4" customFormat="1">
      <c r="H754" s="19"/>
    </row>
    <row r="755" spans="8:8" s="4" customFormat="1">
      <c r="H755" s="19"/>
    </row>
    <row r="756" spans="8:8" s="4" customFormat="1">
      <c r="H756" s="19"/>
    </row>
    <row r="757" spans="8:8" s="4" customFormat="1">
      <c r="H757" s="19"/>
    </row>
    <row r="758" spans="8:8" s="4" customFormat="1">
      <c r="H758" s="19"/>
    </row>
    <row r="759" spans="8:8" s="4" customFormat="1">
      <c r="H759" s="19"/>
    </row>
    <row r="760" spans="8:8" s="4" customFormat="1">
      <c r="H760" s="19"/>
    </row>
    <row r="761" spans="8:8" s="4" customFormat="1">
      <c r="H761" s="19"/>
    </row>
    <row r="762" spans="8:8" s="4" customFormat="1">
      <c r="H762" s="19"/>
    </row>
    <row r="763" spans="8:8" s="4" customFormat="1">
      <c r="H763" s="19"/>
    </row>
    <row r="764" spans="8:8" s="4" customFormat="1">
      <c r="H764" s="19"/>
    </row>
    <row r="765" spans="8:8" s="4" customFormat="1">
      <c r="H765" s="19"/>
    </row>
    <row r="766" spans="8:8" s="4" customFormat="1">
      <c r="H766" s="19"/>
    </row>
    <row r="767" spans="8:8" s="4" customFormat="1">
      <c r="H767" s="19"/>
    </row>
    <row r="768" spans="8:8" s="4" customFormat="1">
      <c r="H768" s="19"/>
    </row>
    <row r="769" spans="8:8" s="4" customFormat="1">
      <c r="H769" s="19"/>
    </row>
    <row r="770" spans="8:8" s="4" customFormat="1">
      <c r="H770" s="19"/>
    </row>
    <row r="771" spans="8:8" s="4" customFormat="1">
      <c r="H771" s="19"/>
    </row>
    <row r="772" spans="8:8" s="4" customFormat="1">
      <c r="H772" s="19"/>
    </row>
    <row r="773" spans="8:8" s="4" customFormat="1">
      <c r="H773" s="19"/>
    </row>
    <row r="774" spans="8:8" s="4" customFormat="1">
      <c r="H774" s="19"/>
    </row>
    <row r="775" spans="8:8" s="4" customFormat="1">
      <c r="H775" s="19"/>
    </row>
    <row r="776" spans="8:8" s="4" customFormat="1">
      <c r="H776" s="19"/>
    </row>
    <row r="777" spans="8:8" s="4" customFormat="1">
      <c r="H777" s="19"/>
    </row>
    <row r="778" spans="8:8" s="4" customFormat="1">
      <c r="H778" s="19"/>
    </row>
    <row r="779" spans="8:8" s="4" customFormat="1">
      <c r="H779" s="19"/>
    </row>
    <row r="780" spans="8:8" s="4" customFormat="1">
      <c r="H780" s="19"/>
    </row>
    <row r="781" spans="8:8" s="4" customFormat="1">
      <c r="H781" s="19"/>
    </row>
    <row r="782" spans="8:8" s="4" customFormat="1">
      <c r="H782" s="19"/>
    </row>
    <row r="783" spans="8:8" s="4" customFormat="1">
      <c r="H783" s="19"/>
    </row>
    <row r="784" spans="8:8" s="4" customFormat="1">
      <c r="H784" s="19"/>
    </row>
    <row r="785" spans="8:8" s="4" customFormat="1">
      <c r="H785" s="19"/>
    </row>
    <row r="786" spans="8:8" s="4" customFormat="1">
      <c r="H786" s="19"/>
    </row>
    <row r="787" spans="8:8" s="4" customFormat="1">
      <c r="H787" s="19"/>
    </row>
    <row r="788" spans="8:8" s="4" customFormat="1">
      <c r="H788" s="19"/>
    </row>
    <row r="789" spans="8:8" s="4" customFormat="1">
      <c r="H789" s="19"/>
    </row>
    <row r="790" spans="8:8" s="4" customFormat="1">
      <c r="H790" s="19"/>
    </row>
    <row r="791" spans="8:8" s="4" customFormat="1">
      <c r="H791" s="19"/>
    </row>
    <row r="792" spans="8:8" s="4" customFormat="1">
      <c r="H792" s="19"/>
    </row>
    <row r="793" spans="8:8" s="4" customFormat="1">
      <c r="H793" s="19"/>
    </row>
    <row r="794" spans="8:8" s="4" customFormat="1">
      <c r="H794" s="19"/>
    </row>
    <row r="795" spans="8:8" s="4" customFormat="1">
      <c r="H795" s="19"/>
    </row>
    <row r="796" spans="8:8" s="4" customFormat="1">
      <c r="H796" s="19"/>
    </row>
    <row r="797" spans="8:8" s="4" customFormat="1">
      <c r="H797" s="19"/>
    </row>
    <row r="798" spans="8:8" s="4" customFormat="1">
      <c r="H798" s="19"/>
    </row>
    <row r="799" spans="8:8" s="4" customFormat="1">
      <c r="H799" s="19"/>
    </row>
    <row r="800" spans="8:8" s="4" customFormat="1">
      <c r="H800" s="19"/>
    </row>
    <row r="801" spans="8:8" s="4" customFormat="1">
      <c r="H801" s="19"/>
    </row>
    <row r="802" spans="8:8" s="4" customFormat="1">
      <c r="H802" s="19"/>
    </row>
    <row r="803" spans="8:8" s="4" customFormat="1">
      <c r="H803" s="19"/>
    </row>
    <row r="804" spans="8:8" s="4" customFormat="1">
      <c r="H804" s="19"/>
    </row>
    <row r="805" spans="8:8" s="4" customFormat="1">
      <c r="H805" s="19"/>
    </row>
    <row r="806" spans="8:8" s="4" customFormat="1">
      <c r="H806" s="19"/>
    </row>
    <row r="807" spans="8:8" s="4" customFormat="1">
      <c r="H807" s="19"/>
    </row>
    <row r="808" spans="8:8" s="4" customFormat="1">
      <c r="H808" s="19"/>
    </row>
    <row r="809" spans="8:8" s="4" customFormat="1">
      <c r="H809" s="19"/>
    </row>
    <row r="810" spans="8:8" s="4" customFormat="1">
      <c r="H810" s="19"/>
    </row>
    <row r="811" spans="8:8" s="4" customFormat="1">
      <c r="H811" s="19"/>
    </row>
    <row r="812" spans="8:8" s="4" customFormat="1">
      <c r="H812" s="19"/>
    </row>
    <row r="813" spans="8:8" s="4" customFormat="1">
      <c r="H813" s="19"/>
    </row>
    <row r="814" spans="8:8" s="4" customFormat="1">
      <c r="H814" s="19"/>
    </row>
    <row r="815" spans="8:8" s="4" customFormat="1">
      <c r="H815" s="19"/>
    </row>
    <row r="816" spans="8:8" s="4" customFormat="1">
      <c r="H816" s="19"/>
    </row>
    <row r="817" spans="8:8" s="4" customFormat="1">
      <c r="H817" s="19"/>
    </row>
    <row r="818" spans="8:8" s="4" customFormat="1">
      <c r="H818" s="19"/>
    </row>
    <row r="819" spans="8:8" s="4" customFormat="1">
      <c r="H819" s="19"/>
    </row>
    <row r="820" spans="8:8" s="4" customFormat="1">
      <c r="H820" s="19"/>
    </row>
    <row r="821" spans="8:8" s="4" customFormat="1">
      <c r="H821" s="19"/>
    </row>
    <row r="822" spans="8:8" s="4" customFormat="1">
      <c r="H822" s="19"/>
    </row>
    <row r="823" spans="8:8" s="4" customFormat="1">
      <c r="H823" s="19"/>
    </row>
    <row r="824" spans="8:8" s="4" customFormat="1">
      <c r="H824" s="19"/>
    </row>
    <row r="825" spans="8:8" s="4" customFormat="1">
      <c r="H825" s="19"/>
    </row>
    <row r="826" spans="8:8" s="4" customFormat="1">
      <c r="H826" s="19"/>
    </row>
    <row r="827" spans="8:8" s="4" customFormat="1">
      <c r="H827" s="19"/>
    </row>
    <row r="828" spans="8:8" s="4" customFormat="1">
      <c r="H828" s="19"/>
    </row>
    <row r="829" spans="8:8" s="4" customFormat="1">
      <c r="H829" s="19"/>
    </row>
    <row r="830" spans="8:8" s="4" customFormat="1">
      <c r="H830" s="19"/>
    </row>
    <row r="831" spans="8:8" s="4" customFormat="1">
      <c r="H831" s="19"/>
    </row>
    <row r="832" spans="8:8" s="4" customFormat="1">
      <c r="H832" s="19"/>
    </row>
    <row r="833" spans="8:8" s="4" customFormat="1">
      <c r="H833" s="19"/>
    </row>
    <row r="834" spans="8:8" s="4" customFormat="1">
      <c r="H834" s="19"/>
    </row>
    <row r="835" spans="8:8" s="4" customFormat="1">
      <c r="H835" s="19"/>
    </row>
    <row r="836" spans="8:8" s="4" customFormat="1">
      <c r="H836" s="19"/>
    </row>
    <row r="837" spans="8:8" s="4" customFormat="1">
      <c r="H837" s="19"/>
    </row>
    <row r="838" spans="8:8" s="4" customFormat="1">
      <c r="H838" s="19"/>
    </row>
    <row r="839" spans="8:8" s="4" customFormat="1">
      <c r="H839" s="19"/>
    </row>
    <row r="840" spans="8:8" s="4" customFormat="1">
      <c r="H840" s="19"/>
    </row>
    <row r="841" spans="8:8" s="4" customFormat="1">
      <c r="H841" s="19"/>
    </row>
    <row r="842" spans="8:8" s="4" customFormat="1">
      <c r="H842" s="19"/>
    </row>
    <row r="843" spans="8:8" s="4" customFormat="1">
      <c r="H843" s="19"/>
    </row>
    <row r="844" spans="8:8" s="4" customFormat="1">
      <c r="H844" s="19"/>
    </row>
    <row r="845" spans="8:8" s="4" customFormat="1">
      <c r="H845" s="19"/>
    </row>
    <row r="846" spans="8:8" s="4" customFormat="1">
      <c r="H846" s="19"/>
    </row>
    <row r="847" spans="8:8" s="4" customFormat="1">
      <c r="H847" s="19"/>
    </row>
    <row r="848" spans="8:8" s="4" customFormat="1">
      <c r="H848" s="19"/>
    </row>
    <row r="849" spans="8:8" s="4" customFormat="1">
      <c r="H849" s="19"/>
    </row>
    <row r="850" spans="8:8" s="4" customFormat="1">
      <c r="H850" s="19"/>
    </row>
    <row r="851" spans="8:8" s="4" customFormat="1">
      <c r="H851" s="19"/>
    </row>
    <row r="852" spans="8:8" s="4" customFormat="1">
      <c r="H852" s="19"/>
    </row>
    <row r="853" spans="8:8" s="4" customFormat="1">
      <c r="H853" s="19"/>
    </row>
    <row r="854" spans="8:8" s="4" customFormat="1">
      <c r="H854" s="19"/>
    </row>
    <row r="855" spans="8:8" s="4" customFormat="1">
      <c r="H855" s="19"/>
    </row>
    <row r="856" spans="8:8" s="4" customFormat="1">
      <c r="H856" s="19"/>
    </row>
    <row r="857" spans="8:8" s="4" customFormat="1">
      <c r="H857" s="19"/>
    </row>
    <row r="858" spans="8:8" s="4" customFormat="1">
      <c r="H858" s="19"/>
    </row>
    <row r="859" spans="8:8" s="4" customFormat="1">
      <c r="H859" s="19"/>
    </row>
    <row r="860" spans="8:8" s="4" customFormat="1">
      <c r="H860" s="19"/>
    </row>
    <row r="861" spans="8:8" s="4" customFormat="1">
      <c r="H861" s="19"/>
    </row>
    <row r="862" spans="8:8" s="4" customFormat="1">
      <c r="H862" s="19"/>
    </row>
    <row r="863" spans="8:8" s="4" customFormat="1">
      <c r="H863" s="19"/>
    </row>
    <row r="864" spans="8:8" s="4" customFormat="1">
      <c r="H864" s="19"/>
    </row>
    <row r="865" spans="8:8" s="4" customFormat="1">
      <c r="H865" s="19"/>
    </row>
    <row r="866" spans="8:8" s="4" customFormat="1">
      <c r="H866" s="19"/>
    </row>
    <row r="867" spans="8:8" s="4" customFormat="1">
      <c r="H867" s="19"/>
    </row>
    <row r="868" spans="8:8" s="4" customFormat="1">
      <c r="H868" s="19"/>
    </row>
    <row r="869" spans="8:8" s="4" customFormat="1">
      <c r="H869" s="19"/>
    </row>
    <row r="870" spans="8:8" s="4" customFormat="1">
      <c r="H870" s="19"/>
    </row>
    <row r="871" spans="8:8" s="4" customFormat="1">
      <c r="H871" s="19"/>
    </row>
    <row r="872" spans="8:8" s="4" customFormat="1">
      <c r="H872" s="19"/>
    </row>
    <row r="873" spans="8:8" s="4" customFormat="1">
      <c r="H873" s="19"/>
    </row>
    <row r="874" spans="8:8" s="4" customFormat="1">
      <c r="H874" s="19"/>
    </row>
    <row r="875" spans="8:8" s="4" customFormat="1">
      <c r="H875" s="19"/>
    </row>
    <row r="876" spans="8:8" s="4" customFormat="1">
      <c r="H876" s="19"/>
    </row>
    <row r="877" spans="8:8" s="4" customFormat="1">
      <c r="H877" s="19"/>
    </row>
    <row r="878" spans="8:8" s="4" customFormat="1">
      <c r="H878" s="19"/>
    </row>
    <row r="879" spans="8:8" s="4" customFormat="1">
      <c r="H879" s="19"/>
    </row>
    <row r="880" spans="8:8" s="4" customFormat="1">
      <c r="H880" s="19"/>
    </row>
    <row r="881" spans="8:8" s="4" customFormat="1">
      <c r="H881" s="19"/>
    </row>
    <row r="882" spans="8:8" s="4" customFormat="1">
      <c r="H882" s="19"/>
    </row>
    <row r="883" spans="8:8" s="4" customFormat="1">
      <c r="H883" s="19"/>
    </row>
    <row r="884" spans="8:8" s="4" customFormat="1">
      <c r="H884" s="19"/>
    </row>
    <row r="885" spans="8:8" s="4" customFormat="1">
      <c r="H885" s="19"/>
    </row>
    <row r="886" spans="8:8" s="4" customFormat="1">
      <c r="H886" s="19"/>
    </row>
    <row r="887" spans="8:8" s="4" customFormat="1">
      <c r="H887" s="19"/>
    </row>
    <row r="888" spans="8:8" s="4" customFormat="1">
      <c r="H888" s="19"/>
    </row>
    <row r="889" spans="8:8" s="4" customFormat="1">
      <c r="H889" s="19"/>
    </row>
    <row r="890" spans="8:8" s="4" customFormat="1">
      <c r="H890" s="19"/>
    </row>
    <row r="891" spans="8:8" s="4" customFormat="1">
      <c r="H891" s="19"/>
    </row>
    <row r="892" spans="8:8" s="4" customFormat="1">
      <c r="H892" s="19"/>
    </row>
    <row r="893" spans="8:8" s="4" customFormat="1">
      <c r="H893" s="19"/>
    </row>
    <row r="894" spans="8:8" s="4" customFormat="1">
      <c r="H894" s="19"/>
    </row>
    <row r="895" spans="8:8" s="4" customFormat="1">
      <c r="H895" s="19"/>
    </row>
    <row r="896" spans="8:8" s="4" customFormat="1">
      <c r="H896" s="19"/>
    </row>
    <row r="897" spans="8:8" s="4" customFormat="1">
      <c r="H897" s="19"/>
    </row>
    <row r="898" spans="8:8" s="4" customFormat="1">
      <c r="H898" s="19"/>
    </row>
    <row r="899" spans="8:8" s="4" customFormat="1">
      <c r="H899" s="19"/>
    </row>
    <row r="900" spans="8:8" s="4" customFormat="1">
      <c r="H900" s="19"/>
    </row>
    <row r="901" spans="8:8" s="4" customFormat="1">
      <c r="H901" s="19"/>
    </row>
    <row r="902" spans="8:8" s="4" customFormat="1">
      <c r="H902" s="19"/>
    </row>
    <row r="903" spans="8:8" s="4" customFormat="1">
      <c r="H903" s="19"/>
    </row>
    <row r="904" spans="8:8" s="4" customFormat="1">
      <c r="H904" s="19"/>
    </row>
    <row r="905" spans="8:8" s="4" customFormat="1">
      <c r="H905" s="19"/>
    </row>
    <row r="906" spans="8:8" s="4" customFormat="1">
      <c r="H906" s="19"/>
    </row>
    <row r="907" spans="8:8" s="4" customFormat="1">
      <c r="H907" s="19"/>
    </row>
    <row r="908" spans="8:8" s="4" customFormat="1">
      <c r="H908" s="19"/>
    </row>
    <row r="909" spans="8:8" s="4" customFormat="1">
      <c r="H909" s="19"/>
    </row>
    <row r="910" spans="8:8" s="4" customFormat="1">
      <c r="H910" s="19"/>
    </row>
    <row r="911" spans="8:8" s="4" customFormat="1">
      <c r="H911" s="19"/>
    </row>
    <row r="912" spans="8:8" s="4" customFormat="1">
      <c r="H912" s="19"/>
    </row>
    <row r="913" spans="8:8" s="4" customFormat="1">
      <c r="H913" s="19"/>
    </row>
    <row r="914" spans="8:8" s="4" customFormat="1">
      <c r="H914" s="19"/>
    </row>
    <row r="915" spans="8:8" s="4" customFormat="1">
      <c r="H915" s="19"/>
    </row>
    <row r="916" spans="8:8" s="4" customFormat="1">
      <c r="H916" s="19"/>
    </row>
    <row r="917" spans="8:8" s="4" customFormat="1">
      <c r="H917" s="19"/>
    </row>
    <row r="918" spans="8:8" s="4" customFormat="1">
      <c r="H918" s="19"/>
    </row>
    <row r="919" spans="8:8" s="4" customFormat="1">
      <c r="H919" s="19"/>
    </row>
    <row r="920" spans="8:8" s="4" customFormat="1">
      <c r="H920" s="19"/>
    </row>
    <row r="921" spans="8:8" s="4" customFormat="1">
      <c r="H921" s="19"/>
    </row>
    <row r="922" spans="8:8" s="4" customFormat="1">
      <c r="H922" s="19"/>
    </row>
    <row r="923" spans="8:8" s="4" customFormat="1">
      <c r="H923" s="19"/>
    </row>
    <row r="924" spans="8:8" s="4" customFormat="1">
      <c r="H924" s="19"/>
    </row>
    <row r="925" spans="8:8" s="4" customFormat="1">
      <c r="H925" s="19"/>
    </row>
    <row r="926" spans="8:8" s="4" customFormat="1">
      <c r="H926" s="19"/>
    </row>
    <row r="927" spans="8:8" s="4" customFormat="1">
      <c r="H927" s="19"/>
    </row>
    <row r="928" spans="8:8" s="4" customFormat="1">
      <c r="H928" s="19"/>
    </row>
    <row r="929" spans="8:8" s="4" customFormat="1">
      <c r="H929" s="19"/>
    </row>
    <row r="930" spans="8:8" s="4" customFormat="1">
      <c r="H930" s="19"/>
    </row>
    <row r="931" spans="8:8" s="4" customFormat="1">
      <c r="H931" s="19"/>
    </row>
    <row r="932" spans="8:8" s="4" customFormat="1">
      <c r="H932" s="19"/>
    </row>
    <row r="933" spans="8:8" s="4" customFormat="1">
      <c r="H933" s="19"/>
    </row>
    <row r="934" spans="8:8" s="4" customFormat="1">
      <c r="H934" s="19"/>
    </row>
    <row r="935" spans="8:8" s="4" customFormat="1">
      <c r="H935" s="19"/>
    </row>
    <row r="936" spans="8:8" s="4" customFormat="1">
      <c r="H936" s="19"/>
    </row>
    <row r="937" spans="8:8" s="4" customFormat="1">
      <c r="H937" s="19"/>
    </row>
    <row r="938" spans="8:8" s="4" customFormat="1">
      <c r="H938" s="19"/>
    </row>
    <row r="939" spans="8:8" s="4" customFormat="1">
      <c r="H939" s="19"/>
    </row>
    <row r="940" spans="8:8" s="4" customFormat="1">
      <c r="H940" s="19"/>
    </row>
    <row r="941" spans="8:8" s="4" customFormat="1">
      <c r="H941" s="19"/>
    </row>
    <row r="942" spans="8:8" s="4" customFormat="1">
      <c r="H942" s="19"/>
    </row>
    <row r="943" spans="8:8" s="4" customFormat="1">
      <c r="H943" s="19"/>
    </row>
    <row r="944" spans="8:8" s="4" customFormat="1">
      <c r="H944" s="19"/>
    </row>
    <row r="945" spans="8:8" s="4" customFormat="1">
      <c r="H945" s="19"/>
    </row>
    <row r="946" spans="8:8" s="4" customFormat="1">
      <c r="H946" s="19"/>
    </row>
    <row r="947" spans="8:8" s="4" customFormat="1">
      <c r="H947" s="19"/>
    </row>
    <row r="948" spans="8:8" s="4" customFormat="1">
      <c r="H948" s="19"/>
    </row>
    <row r="949" spans="8:8" s="4" customFormat="1">
      <c r="H949" s="19"/>
    </row>
    <row r="950" spans="8:8" s="4" customFormat="1">
      <c r="H950" s="19"/>
    </row>
    <row r="951" spans="8:8" s="4" customFormat="1">
      <c r="H951" s="19"/>
    </row>
    <row r="952" spans="8:8" s="4" customFormat="1">
      <c r="H952" s="19"/>
    </row>
    <row r="953" spans="8:8" s="4" customFormat="1">
      <c r="H953" s="19"/>
    </row>
    <row r="954" spans="8:8" s="4" customFormat="1">
      <c r="H954" s="19"/>
    </row>
    <row r="955" spans="8:8" s="4" customFormat="1">
      <c r="H955" s="19"/>
    </row>
    <row r="956" spans="8:8" s="4" customFormat="1">
      <c r="H956" s="19"/>
    </row>
    <row r="957" spans="8:8" s="4" customFormat="1">
      <c r="H957" s="19"/>
    </row>
    <row r="958" spans="8:8" s="4" customFormat="1">
      <c r="H958" s="19"/>
    </row>
    <row r="959" spans="8:8" s="4" customFormat="1">
      <c r="H959" s="19"/>
    </row>
    <row r="960" spans="8:8" s="4" customFormat="1">
      <c r="H960" s="19"/>
    </row>
    <row r="961" spans="8:8" s="4" customFormat="1">
      <c r="H961" s="19"/>
    </row>
    <row r="962" spans="8:8" s="4" customFormat="1">
      <c r="H962" s="19"/>
    </row>
    <row r="963" spans="8:8" s="4" customFormat="1">
      <c r="H963" s="19"/>
    </row>
    <row r="964" spans="8:8" s="4" customFormat="1">
      <c r="H964" s="19"/>
    </row>
    <row r="965" spans="8:8" s="4" customFormat="1">
      <c r="H965" s="19"/>
    </row>
    <row r="966" spans="8:8" s="4" customFormat="1">
      <c r="H966" s="19"/>
    </row>
    <row r="967" spans="8:8" s="4" customFormat="1">
      <c r="H967" s="19"/>
    </row>
    <row r="968" spans="8:8" s="4" customFormat="1">
      <c r="H968" s="19"/>
    </row>
    <row r="969" spans="8:8" s="4" customFormat="1">
      <c r="H969" s="19"/>
    </row>
    <row r="970" spans="8:8" s="4" customFormat="1">
      <c r="H970" s="19"/>
    </row>
    <row r="971" spans="8:8" s="4" customFormat="1">
      <c r="H971" s="19"/>
    </row>
    <row r="972" spans="8:8" s="4" customFormat="1">
      <c r="H972" s="19"/>
    </row>
    <row r="973" spans="8:8" s="4" customFormat="1">
      <c r="H973" s="19"/>
    </row>
    <row r="974" spans="8:8" s="4" customFormat="1">
      <c r="H974" s="19"/>
    </row>
    <row r="975" spans="8:8" s="4" customFormat="1">
      <c r="H975" s="19"/>
    </row>
    <row r="976" spans="8:8" s="4" customFormat="1">
      <c r="H976" s="19"/>
    </row>
    <row r="977" spans="8:8" s="4" customFormat="1">
      <c r="H977" s="19"/>
    </row>
    <row r="978" spans="8:8" s="4" customFormat="1">
      <c r="H978" s="19"/>
    </row>
    <row r="979" spans="8:8" s="4" customFormat="1">
      <c r="H979" s="19"/>
    </row>
    <row r="980" spans="8:8" s="4" customFormat="1">
      <c r="H980" s="19"/>
    </row>
    <row r="981" spans="8:8" s="4" customFormat="1">
      <c r="H981" s="19"/>
    </row>
    <row r="982" spans="8:8" s="4" customFormat="1">
      <c r="H982" s="19"/>
    </row>
    <row r="983" spans="8:8" s="4" customFormat="1">
      <c r="H983" s="19"/>
    </row>
    <row r="984" spans="8:8" s="4" customFormat="1">
      <c r="H984" s="19"/>
    </row>
    <row r="985" spans="8:8" s="4" customFormat="1">
      <c r="H985" s="19"/>
    </row>
    <row r="986" spans="8:8" s="4" customFormat="1">
      <c r="H986" s="19"/>
    </row>
    <row r="987" spans="8:8" s="4" customFormat="1">
      <c r="H987" s="19"/>
    </row>
    <row r="988" spans="8:8" s="4" customFormat="1">
      <c r="H988" s="19"/>
    </row>
    <row r="989" spans="8:8" s="4" customFormat="1">
      <c r="H989" s="19"/>
    </row>
    <row r="990" spans="8:8" s="4" customFormat="1">
      <c r="H990" s="19"/>
    </row>
    <row r="991" spans="8:8" s="4" customFormat="1">
      <c r="H991" s="19"/>
    </row>
    <row r="992" spans="8:8" s="4" customFormat="1">
      <c r="H992" s="19"/>
    </row>
    <row r="993" spans="8:8" s="4" customFormat="1">
      <c r="H993" s="19"/>
    </row>
    <row r="994" spans="8:8" s="4" customFormat="1">
      <c r="H994" s="19"/>
    </row>
    <row r="995" spans="8:8" s="4" customFormat="1">
      <c r="H995" s="19"/>
    </row>
    <row r="996" spans="8:8" s="4" customFormat="1">
      <c r="H996" s="19"/>
    </row>
    <row r="997" spans="8:8" s="4" customFormat="1">
      <c r="H997" s="19"/>
    </row>
    <row r="998" spans="8:8" s="4" customFormat="1">
      <c r="H998" s="19"/>
    </row>
    <row r="999" spans="8:8" s="4" customFormat="1">
      <c r="H999" s="19"/>
    </row>
    <row r="1000" spans="8:8" s="4" customFormat="1">
      <c r="H1000" s="19"/>
    </row>
    <row r="1001" spans="8:8" s="4" customFormat="1">
      <c r="H1001" s="19"/>
    </row>
    <row r="1002" spans="8:8" s="4" customFormat="1">
      <c r="H1002" s="19"/>
    </row>
    <row r="1003" spans="8:8" s="4" customFormat="1">
      <c r="H1003" s="19"/>
    </row>
    <row r="1004" spans="8:8" s="4" customFormat="1">
      <c r="H1004" s="19"/>
    </row>
    <row r="1005" spans="8:8" s="4" customFormat="1">
      <c r="H1005" s="19"/>
    </row>
    <row r="1006" spans="8:8" s="4" customFormat="1">
      <c r="H1006" s="19"/>
    </row>
    <row r="1007" spans="8:8" s="4" customFormat="1">
      <c r="H1007" s="19"/>
    </row>
    <row r="1008" spans="8:8" s="4" customFormat="1">
      <c r="H1008" s="19"/>
    </row>
    <row r="1009" spans="8:8" s="4" customFormat="1">
      <c r="H1009" s="19"/>
    </row>
    <row r="1010" spans="8:8" s="4" customFormat="1">
      <c r="H1010" s="19"/>
    </row>
    <row r="1011" spans="8:8" s="4" customFormat="1">
      <c r="H1011" s="19"/>
    </row>
    <row r="1012" spans="8:8" s="4" customFormat="1">
      <c r="H1012" s="19"/>
    </row>
    <row r="1013" spans="8:8" s="4" customFormat="1">
      <c r="H1013" s="19"/>
    </row>
    <row r="1014" spans="8:8" s="4" customFormat="1">
      <c r="H1014" s="19"/>
    </row>
    <row r="1015" spans="8:8" s="4" customFormat="1">
      <c r="H1015" s="19"/>
    </row>
    <row r="1016" spans="8:8" s="4" customFormat="1">
      <c r="H1016" s="19"/>
    </row>
    <row r="1017" spans="8:8" s="4" customFormat="1">
      <c r="H1017" s="19"/>
    </row>
    <row r="1018" spans="8:8" s="4" customFormat="1">
      <c r="H1018" s="19"/>
    </row>
    <row r="1019" spans="8:8" s="4" customFormat="1">
      <c r="H1019" s="19"/>
    </row>
    <row r="1020" spans="8:8" s="4" customFormat="1">
      <c r="H1020" s="19"/>
    </row>
    <row r="1021" spans="8:8" s="4" customFormat="1">
      <c r="H1021" s="19"/>
    </row>
    <row r="1022" spans="8:8" s="4" customFormat="1">
      <c r="H1022" s="19"/>
    </row>
    <row r="1023" spans="8:8" s="4" customFormat="1">
      <c r="H1023" s="19"/>
    </row>
    <row r="1024" spans="8:8" s="4" customFormat="1">
      <c r="H1024" s="19"/>
    </row>
    <row r="1025" spans="8:8" s="4" customFormat="1">
      <c r="H1025" s="19"/>
    </row>
    <row r="1026" spans="8:8" s="4" customFormat="1">
      <c r="H1026" s="19"/>
    </row>
    <row r="1027" spans="8:8" s="4" customFormat="1">
      <c r="H1027" s="19"/>
    </row>
    <row r="1028" spans="8:8" s="4" customFormat="1">
      <c r="H1028" s="19"/>
    </row>
    <row r="1029" spans="8:8" s="4" customFormat="1">
      <c r="H1029" s="19"/>
    </row>
    <row r="1030" spans="8:8" s="4" customFormat="1">
      <c r="H1030" s="19"/>
    </row>
    <row r="1031" spans="8:8" s="4" customFormat="1">
      <c r="H1031" s="19"/>
    </row>
    <row r="1032" spans="8:8" s="4" customFormat="1">
      <c r="H1032" s="19"/>
    </row>
    <row r="1033" spans="8:8" s="4" customFormat="1">
      <c r="H1033" s="19"/>
    </row>
    <row r="1034" spans="8:8" s="4" customFormat="1">
      <c r="H1034" s="19"/>
    </row>
    <row r="1035" spans="8:8" s="4" customFormat="1">
      <c r="H1035" s="19"/>
    </row>
    <row r="1036" spans="8:8" s="4" customFormat="1">
      <c r="H1036" s="19"/>
    </row>
    <row r="1037" spans="8:8" s="4" customFormat="1">
      <c r="H1037" s="19"/>
    </row>
    <row r="1038" spans="8:8" s="4" customFormat="1">
      <c r="H1038" s="19"/>
    </row>
    <row r="1039" spans="8:8" s="4" customFormat="1">
      <c r="H1039" s="19"/>
    </row>
    <row r="1040" spans="8:8" s="4" customFormat="1">
      <c r="H1040" s="19"/>
    </row>
    <row r="1041" spans="8:8" s="4" customFormat="1">
      <c r="H1041" s="19"/>
    </row>
    <row r="1042" spans="8:8" s="4" customFormat="1">
      <c r="H1042" s="19"/>
    </row>
    <row r="1043" spans="8:8" s="4" customFormat="1">
      <c r="H1043" s="19"/>
    </row>
    <row r="1044" spans="8:8" s="4" customFormat="1">
      <c r="H1044" s="19"/>
    </row>
    <row r="1045" spans="8:8" s="4" customFormat="1">
      <c r="H1045" s="19"/>
    </row>
    <row r="1046" spans="8:8" s="4" customFormat="1">
      <c r="H1046" s="19"/>
    </row>
    <row r="1047" spans="8:8" s="4" customFormat="1">
      <c r="H1047" s="19"/>
    </row>
    <row r="1048" spans="8:8" s="4" customFormat="1">
      <c r="H1048" s="19"/>
    </row>
    <row r="1049" spans="8:8" s="4" customFormat="1">
      <c r="H1049" s="19"/>
    </row>
    <row r="1050" spans="8:8" s="4" customFormat="1">
      <c r="H1050" s="19"/>
    </row>
    <row r="1051" spans="8:8" s="4" customFormat="1">
      <c r="H1051" s="19"/>
    </row>
    <row r="1052" spans="8:8" s="4" customFormat="1">
      <c r="H1052" s="19"/>
    </row>
    <row r="1053" spans="8:8" s="4" customFormat="1">
      <c r="H1053" s="19"/>
    </row>
    <row r="1054" spans="8:8" s="4" customFormat="1">
      <c r="H1054" s="19"/>
    </row>
    <row r="1055" spans="8:8" s="4" customFormat="1">
      <c r="H1055" s="19"/>
    </row>
    <row r="1056" spans="8:8" s="4" customFormat="1">
      <c r="H1056" s="19"/>
    </row>
    <row r="1057" spans="8:8" s="4" customFormat="1">
      <c r="H1057" s="19"/>
    </row>
    <row r="1058" spans="8:8" s="4" customFormat="1">
      <c r="H1058" s="19"/>
    </row>
    <row r="1059" spans="8:8" s="4" customFormat="1">
      <c r="H1059" s="19"/>
    </row>
    <row r="1060" spans="8:8" s="4" customFormat="1">
      <c r="H1060" s="19"/>
    </row>
    <row r="1061" spans="8:8" s="4" customFormat="1">
      <c r="H1061" s="19"/>
    </row>
    <row r="1062" spans="8:8" s="4" customFormat="1">
      <c r="H1062" s="19"/>
    </row>
    <row r="1063" spans="8:8" s="4" customFormat="1">
      <c r="H1063" s="19"/>
    </row>
    <row r="1064" spans="8:8" s="4" customFormat="1">
      <c r="H1064" s="19"/>
    </row>
    <row r="1065" spans="8:8" s="4" customFormat="1">
      <c r="H1065" s="19"/>
    </row>
    <row r="1066" spans="8:8" s="4" customFormat="1">
      <c r="H1066" s="19"/>
    </row>
    <row r="1067" spans="8:8" s="4" customFormat="1">
      <c r="H1067" s="19"/>
    </row>
    <row r="1068" spans="8:8" s="4" customFormat="1">
      <c r="H1068" s="19"/>
    </row>
    <row r="1069" spans="8:8" s="4" customFormat="1">
      <c r="H1069" s="19"/>
    </row>
    <row r="1070" spans="8:8" s="4" customFormat="1">
      <c r="H1070" s="19"/>
    </row>
    <row r="1071" spans="8:8" s="4" customFormat="1">
      <c r="H1071" s="19"/>
    </row>
    <row r="1072" spans="8:8" s="4" customFormat="1">
      <c r="H1072" s="19"/>
    </row>
    <row r="1073" spans="8:8" s="4" customFormat="1">
      <c r="H1073" s="19"/>
    </row>
    <row r="1074" spans="8:8" s="4" customFormat="1">
      <c r="H1074" s="19"/>
    </row>
    <row r="1075" spans="8:8" s="4" customFormat="1">
      <c r="H1075" s="19"/>
    </row>
    <row r="1076" spans="8:8" s="4" customFormat="1">
      <c r="H1076" s="19"/>
    </row>
    <row r="1077" spans="8:8" s="4" customFormat="1">
      <c r="H1077" s="19"/>
    </row>
    <row r="1078" spans="8:8" s="4" customFormat="1">
      <c r="H1078" s="19"/>
    </row>
    <row r="1079" spans="8:8" s="4" customFormat="1">
      <c r="H1079" s="19"/>
    </row>
    <row r="1080" spans="8:8" s="4" customFormat="1">
      <c r="H1080" s="19"/>
    </row>
    <row r="1081" spans="8:8" s="4" customFormat="1">
      <c r="H1081" s="19"/>
    </row>
    <row r="1082" spans="8:8" s="4" customFormat="1">
      <c r="H1082" s="19"/>
    </row>
    <row r="1083" spans="8:8" s="4" customFormat="1">
      <c r="H1083" s="19"/>
    </row>
    <row r="1084" spans="8:8" s="4" customFormat="1">
      <c r="H1084" s="19"/>
    </row>
    <row r="1085" spans="8:8" s="4" customFormat="1">
      <c r="H1085" s="19"/>
    </row>
    <row r="1086" spans="8:8" s="4" customFormat="1">
      <c r="H1086" s="19"/>
    </row>
    <row r="1087" spans="8:8" s="4" customFormat="1">
      <c r="H1087" s="19"/>
    </row>
    <row r="1088" spans="8:8" s="4" customFormat="1">
      <c r="H1088" s="19"/>
    </row>
    <row r="1089" spans="8:8" s="4" customFormat="1">
      <c r="H1089" s="19"/>
    </row>
    <row r="1090" spans="8:8" s="4" customFormat="1">
      <c r="H1090" s="19"/>
    </row>
    <row r="1091" spans="8:8" s="4" customFormat="1">
      <c r="H1091" s="19"/>
    </row>
    <row r="1092" spans="8:8" s="4" customFormat="1">
      <c r="H1092" s="19"/>
    </row>
    <row r="1093" spans="8:8" s="4" customFormat="1">
      <c r="H1093" s="19"/>
    </row>
    <row r="1094" spans="8:8" s="4" customFormat="1">
      <c r="H1094" s="19"/>
    </row>
    <row r="1095" spans="8:8" s="4" customFormat="1">
      <c r="H1095" s="19"/>
    </row>
    <row r="1096" spans="8:8" s="4" customFormat="1">
      <c r="H1096" s="19"/>
    </row>
    <row r="1097" spans="8:8" s="4" customFormat="1">
      <c r="H1097" s="19"/>
    </row>
    <row r="1098" spans="8:8" s="4" customFormat="1">
      <c r="H1098" s="19"/>
    </row>
    <row r="1099" spans="8:8" s="4" customFormat="1">
      <c r="H1099" s="19"/>
    </row>
    <row r="1100" spans="8:8" s="4" customFormat="1">
      <c r="H1100" s="19"/>
    </row>
    <row r="1101" spans="8:8" s="4" customFormat="1">
      <c r="H1101" s="19"/>
    </row>
    <row r="1102" spans="8:8" s="4" customFormat="1">
      <c r="H1102" s="19"/>
    </row>
    <row r="1103" spans="8:8" s="4" customFormat="1">
      <c r="H1103" s="19"/>
    </row>
    <row r="1104" spans="8:8" s="4" customFormat="1">
      <c r="H1104" s="19"/>
    </row>
    <row r="1105" spans="8:8" s="4" customFormat="1">
      <c r="H1105" s="19"/>
    </row>
    <row r="1106" spans="8:8" s="4" customFormat="1">
      <c r="H1106" s="19"/>
    </row>
    <row r="1107" spans="8:8" s="4" customFormat="1">
      <c r="H1107" s="19"/>
    </row>
    <row r="1108" spans="8:8" s="4" customFormat="1">
      <c r="H1108" s="19"/>
    </row>
    <row r="1109" spans="8:8" s="4" customFormat="1">
      <c r="H1109" s="19"/>
    </row>
    <row r="1110" spans="8:8" s="4" customFormat="1">
      <c r="H1110" s="19"/>
    </row>
    <row r="1111" spans="8:8" s="4" customFormat="1">
      <c r="H1111" s="19"/>
    </row>
    <row r="1112" spans="8:8" s="4" customFormat="1">
      <c r="H1112" s="19"/>
    </row>
    <row r="1113" spans="8:8" s="4" customFormat="1">
      <c r="H1113" s="19"/>
    </row>
    <row r="1114" spans="8:8" s="4" customFormat="1">
      <c r="H1114" s="19"/>
    </row>
    <row r="1115" spans="8:8" s="4" customFormat="1">
      <c r="H1115" s="19"/>
    </row>
    <row r="1116" spans="8:8" s="4" customFormat="1">
      <c r="H1116" s="19"/>
    </row>
    <row r="1117" spans="8:8" s="4" customFormat="1">
      <c r="H1117" s="19"/>
    </row>
    <row r="1118" spans="8:8" s="4" customFormat="1">
      <c r="H1118" s="19"/>
    </row>
    <row r="1119" spans="8:8" s="4" customFormat="1">
      <c r="H1119" s="19"/>
    </row>
    <row r="1120" spans="8:8" s="4" customFormat="1">
      <c r="H1120" s="19"/>
    </row>
    <row r="1121" spans="8:8" s="4" customFormat="1">
      <c r="H1121" s="19"/>
    </row>
    <row r="1122" spans="8:8" s="4" customFormat="1">
      <c r="H1122" s="19"/>
    </row>
    <row r="1123" spans="8:8" s="4" customFormat="1">
      <c r="H1123" s="19"/>
    </row>
    <row r="1124" spans="8:8" s="4" customFormat="1">
      <c r="H1124" s="19"/>
    </row>
    <row r="1125" spans="8:8" s="4" customFormat="1">
      <c r="H1125" s="19"/>
    </row>
    <row r="1126" spans="8:8" s="4" customFormat="1">
      <c r="H1126" s="19"/>
    </row>
    <row r="1127" spans="8:8" s="4" customFormat="1">
      <c r="H1127" s="19"/>
    </row>
    <row r="1128" spans="8:8" s="4" customFormat="1">
      <c r="H1128" s="19"/>
    </row>
    <row r="1129" spans="8:8" s="4" customFormat="1">
      <c r="H1129" s="19"/>
    </row>
    <row r="1130" spans="8:8" s="4" customFormat="1">
      <c r="H1130" s="19"/>
    </row>
    <row r="1131" spans="8:8" s="4" customFormat="1">
      <c r="H1131" s="19"/>
    </row>
    <row r="1132" spans="8:8" s="4" customFormat="1">
      <c r="H1132" s="19"/>
    </row>
    <row r="1133" spans="8:8" s="4" customFormat="1">
      <c r="H1133" s="19"/>
    </row>
    <row r="1134" spans="8:8" s="4" customFormat="1">
      <c r="H1134" s="19"/>
    </row>
    <row r="1135" spans="8:8" s="4" customFormat="1">
      <c r="H1135" s="19"/>
    </row>
    <row r="1136" spans="8:8" s="4" customFormat="1">
      <c r="H1136" s="19"/>
    </row>
    <row r="1137" spans="8:8" s="4" customFormat="1">
      <c r="H1137" s="19"/>
    </row>
    <row r="1138" spans="8:8" s="4" customFormat="1">
      <c r="H1138" s="19"/>
    </row>
    <row r="1139" spans="8:8" s="4" customFormat="1">
      <c r="H1139" s="19"/>
    </row>
    <row r="1140" spans="8:8" s="4" customFormat="1">
      <c r="H1140" s="19"/>
    </row>
    <row r="1141" spans="8:8" s="4" customFormat="1">
      <c r="H1141" s="19"/>
    </row>
    <row r="1142" spans="8:8" s="4" customFormat="1">
      <c r="H1142" s="19"/>
    </row>
    <row r="1143" spans="8:8" s="4" customFormat="1">
      <c r="H1143" s="19"/>
    </row>
    <row r="1144" spans="8:8" s="4" customFormat="1">
      <c r="H1144" s="19"/>
    </row>
    <row r="1145" spans="8:8" s="4" customFormat="1">
      <c r="H1145" s="19"/>
    </row>
    <row r="1146" spans="8:8" s="4" customFormat="1">
      <c r="H1146" s="19"/>
    </row>
    <row r="1147" spans="8:8" s="4" customFormat="1">
      <c r="H1147" s="19"/>
    </row>
    <row r="1148" spans="8:8" s="4" customFormat="1">
      <c r="H1148" s="19"/>
    </row>
    <row r="1149" spans="8:8" s="4" customFormat="1">
      <c r="H1149" s="19"/>
    </row>
    <row r="1150" spans="8:8" s="4" customFormat="1">
      <c r="H1150" s="19"/>
    </row>
    <row r="1151" spans="8:8" s="4" customFormat="1">
      <c r="H1151" s="19"/>
    </row>
    <row r="1152" spans="8:8" s="4" customFormat="1">
      <c r="H1152" s="19"/>
    </row>
    <row r="1153" spans="8:8" s="4" customFormat="1">
      <c r="H1153" s="19"/>
    </row>
    <row r="1154" spans="8:8" s="4" customFormat="1">
      <c r="H1154" s="19"/>
    </row>
    <row r="1155" spans="8:8" s="4" customFormat="1">
      <c r="H1155" s="19"/>
    </row>
    <row r="1156" spans="8:8" s="4" customFormat="1">
      <c r="H1156" s="19"/>
    </row>
    <row r="1157" spans="8:8" s="4" customFormat="1">
      <c r="H1157" s="19"/>
    </row>
    <row r="1158" spans="8:8" s="4" customFormat="1">
      <c r="H1158" s="19"/>
    </row>
    <row r="1159" spans="8:8" s="4" customFormat="1">
      <c r="H1159" s="19"/>
    </row>
    <row r="1160" spans="8:8" s="4" customFormat="1">
      <c r="H1160" s="19"/>
    </row>
    <row r="1161" spans="8:8" s="4" customFormat="1">
      <c r="H1161" s="19"/>
    </row>
    <row r="1162" spans="8:8" s="4" customFormat="1">
      <c r="H1162" s="19"/>
    </row>
    <row r="1163" spans="8:8" s="4" customFormat="1">
      <c r="H1163" s="19"/>
    </row>
    <row r="1164" spans="8:8" s="4" customFormat="1">
      <c r="H1164" s="19"/>
    </row>
    <row r="1165" spans="8:8" s="4" customFormat="1">
      <c r="H1165" s="19"/>
    </row>
    <row r="1166" spans="8:8" s="4" customFormat="1">
      <c r="H1166" s="19"/>
    </row>
    <row r="1167" spans="8:8" s="4" customFormat="1">
      <c r="H1167" s="19"/>
    </row>
    <row r="1168" spans="8:8" s="4" customFormat="1">
      <c r="H1168" s="19"/>
    </row>
    <row r="1169" spans="8:8" s="4" customFormat="1">
      <c r="H1169" s="19"/>
    </row>
    <row r="1170" spans="8:8" s="4" customFormat="1">
      <c r="H1170" s="19"/>
    </row>
    <row r="1171" spans="8:8" s="4" customFormat="1">
      <c r="H1171" s="19"/>
    </row>
    <row r="1172" spans="8:8" s="4" customFormat="1">
      <c r="H1172" s="19"/>
    </row>
    <row r="1173" spans="8:8" s="4" customFormat="1">
      <c r="H1173" s="19"/>
    </row>
    <row r="1174" spans="8:8" s="4" customFormat="1">
      <c r="H1174" s="19"/>
    </row>
    <row r="1175" spans="8:8" s="4" customFormat="1">
      <c r="H1175" s="19"/>
    </row>
    <row r="1176" spans="8:8" s="4" customFormat="1">
      <c r="H1176" s="19"/>
    </row>
    <row r="1177" spans="8:8" s="4" customFormat="1">
      <c r="H1177" s="19"/>
    </row>
    <row r="1178" spans="8:8" s="4" customFormat="1">
      <c r="H1178" s="19"/>
    </row>
    <row r="1179" spans="8:8" s="4" customFormat="1">
      <c r="H1179" s="19"/>
    </row>
    <row r="1180" spans="8:8" s="4" customFormat="1">
      <c r="H1180" s="19"/>
    </row>
    <row r="1181" spans="8:8" s="4" customFormat="1">
      <c r="H1181" s="19"/>
    </row>
    <row r="1182" spans="8:8" s="4" customFormat="1">
      <c r="H1182" s="19"/>
    </row>
    <row r="1183" spans="8:8" s="4" customFormat="1">
      <c r="H1183" s="19"/>
    </row>
    <row r="1184" spans="8:8" s="4" customFormat="1">
      <c r="H1184" s="19"/>
    </row>
    <row r="1185" spans="8:8" s="4" customFormat="1">
      <c r="H1185" s="19"/>
    </row>
    <row r="1186" spans="8:8" s="4" customFormat="1">
      <c r="H1186" s="19"/>
    </row>
    <row r="1187" spans="8:8" s="4" customFormat="1">
      <c r="H1187" s="19"/>
    </row>
    <row r="1188" spans="8:8" s="4" customFormat="1">
      <c r="H1188" s="19"/>
    </row>
    <row r="1189" spans="8:8" s="4" customFormat="1">
      <c r="H1189" s="19"/>
    </row>
    <row r="1190" spans="8:8" s="4" customFormat="1">
      <c r="H1190" s="19"/>
    </row>
    <row r="1191" spans="8:8" s="4" customFormat="1">
      <c r="H1191" s="19"/>
    </row>
    <row r="1192" spans="8:8" s="4" customFormat="1">
      <c r="H1192" s="19"/>
    </row>
    <row r="1193" spans="8:8" s="4" customFormat="1">
      <c r="H1193" s="19"/>
    </row>
    <row r="1194" spans="8:8" s="4" customFormat="1">
      <c r="H1194" s="19"/>
    </row>
    <row r="1195" spans="8:8" s="4" customFormat="1">
      <c r="H1195" s="19"/>
    </row>
    <row r="1196" spans="8:8" s="4" customFormat="1">
      <c r="H1196" s="19"/>
    </row>
    <row r="1197" spans="8:8" s="4" customFormat="1">
      <c r="H1197" s="19"/>
    </row>
    <row r="1198" spans="8:8" s="4" customFormat="1">
      <c r="H1198" s="19"/>
    </row>
    <row r="1199" spans="8:8" s="4" customFormat="1">
      <c r="H1199" s="19"/>
    </row>
    <row r="1200" spans="8:8" s="4" customFormat="1">
      <c r="H1200" s="19"/>
    </row>
    <row r="1201" spans="8:8" s="4" customFormat="1">
      <c r="H1201" s="19"/>
    </row>
    <row r="1202" spans="8:8" s="4" customFormat="1">
      <c r="H1202" s="19"/>
    </row>
    <row r="1203" spans="8:8" s="4" customFormat="1">
      <c r="H1203" s="19"/>
    </row>
    <row r="1204" spans="8:8" s="4" customFormat="1">
      <c r="H1204" s="19"/>
    </row>
    <row r="1205" spans="8:8" s="4" customFormat="1">
      <c r="H1205" s="19"/>
    </row>
    <row r="1206" spans="8:8" s="4" customFormat="1">
      <c r="H1206" s="19"/>
    </row>
    <row r="1207" spans="8:8" s="4" customFormat="1">
      <c r="H1207" s="19"/>
    </row>
    <row r="1208" spans="8:8" s="4" customFormat="1">
      <c r="H1208" s="19"/>
    </row>
    <row r="1209" spans="8:8" s="4" customFormat="1">
      <c r="H1209" s="19"/>
    </row>
    <row r="1210" spans="8:8" s="4" customFormat="1">
      <c r="H1210" s="19"/>
    </row>
    <row r="1211" spans="8:8" s="4" customFormat="1">
      <c r="H1211" s="19"/>
    </row>
    <row r="1212" spans="8:8" s="4" customFormat="1">
      <c r="H1212" s="19"/>
    </row>
    <row r="1213" spans="8:8" s="4" customFormat="1">
      <c r="H1213" s="19"/>
    </row>
    <row r="1214" spans="8:8" s="4" customFormat="1">
      <c r="H1214" s="19"/>
    </row>
    <row r="1215" spans="8:8" s="4" customFormat="1">
      <c r="H1215" s="19"/>
    </row>
    <row r="1216" spans="8:8" s="4" customFormat="1">
      <c r="H1216" s="19"/>
    </row>
    <row r="1217" spans="8:8" s="4" customFormat="1">
      <c r="H1217" s="19"/>
    </row>
    <row r="1218" spans="8:8" s="4" customFormat="1">
      <c r="H1218" s="19"/>
    </row>
    <row r="1219" spans="8:8" s="4" customFormat="1">
      <c r="H1219" s="19"/>
    </row>
    <row r="1220" spans="8:8" s="4" customFormat="1">
      <c r="H1220" s="19"/>
    </row>
    <row r="1221" spans="8:8" s="4" customFormat="1">
      <c r="H1221" s="19"/>
    </row>
    <row r="1222" spans="8:8" s="4" customFormat="1">
      <c r="H1222" s="19"/>
    </row>
    <row r="1223" spans="8:8" s="4" customFormat="1">
      <c r="H1223" s="19"/>
    </row>
    <row r="1224" spans="8:8" s="4" customFormat="1">
      <c r="H1224" s="19"/>
    </row>
    <row r="1225" spans="8:8" s="4" customFormat="1">
      <c r="H1225" s="19"/>
    </row>
    <row r="1226" spans="8:8" s="4" customFormat="1">
      <c r="H1226" s="19"/>
    </row>
    <row r="1227" spans="8:8" s="4" customFormat="1">
      <c r="H1227" s="19"/>
    </row>
    <row r="1228" spans="8:8" s="4" customFormat="1">
      <c r="H1228" s="19"/>
    </row>
    <row r="1229" spans="8:8" s="4" customFormat="1">
      <c r="H1229" s="19"/>
    </row>
    <row r="1230" spans="8:8" s="4" customFormat="1">
      <c r="H1230" s="19"/>
    </row>
    <row r="1231" spans="8:8" s="4" customFormat="1">
      <c r="H1231" s="19"/>
    </row>
    <row r="1232" spans="8:8" s="4" customFormat="1">
      <c r="H1232" s="19"/>
    </row>
    <row r="1233" spans="8:8" s="4" customFormat="1">
      <c r="H1233" s="19"/>
    </row>
    <row r="1234" spans="8:8" s="4" customFormat="1">
      <c r="H1234" s="19"/>
    </row>
    <row r="1235" spans="8:8" s="4" customFormat="1">
      <c r="H1235" s="19"/>
    </row>
    <row r="1236" spans="8:8" s="4" customFormat="1">
      <c r="H1236" s="19"/>
    </row>
    <row r="1237" spans="8:8" s="4" customFormat="1">
      <c r="H1237" s="19"/>
    </row>
    <row r="1238" spans="8:8" s="4" customFormat="1">
      <c r="H1238" s="19"/>
    </row>
    <row r="1239" spans="8:8" s="4" customFormat="1">
      <c r="H1239" s="19"/>
    </row>
    <row r="1240" spans="8:8" s="4" customFormat="1">
      <c r="H1240" s="19"/>
    </row>
    <row r="1241" spans="8:8" s="4" customFormat="1">
      <c r="H1241" s="19"/>
    </row>
    <row r="1242" spans="8:8" s="4" customFormat="1">
      <c r="H1242" s="19"/>
    </row>
    <row r="1243" spans="8:8" s="4" customFormat="1">
      <c r="H1243" s="19"/>
    </row>
    <row r="1244" spans="8:8" s="4" customFormat="1">
      <c r="H1244" s="19"/>
    </row>
    <row r="1245" spans="8:8" s="4" customFormat="1">
      <c r="H1245" s="19"/>
    </row>
    <row r="1246" spans="8:8" s="4" customFormat="1">
      <c r="H1246" s="19"/>
    </row>
    <row r="1247" spans="8:8" s="4" customFormat="1">
      <c r="H1247" s="19"/>
    </row>
    <row r="1248" spans="8:8" s="4" customFormat="1">
      <c r="H1248" s="19"/>
    </row>
    <row r="1249" spans="8:8" s="4" customFormat="1">
      <c r="H1249" s="19"/>
    </row>
    <row r="1250" spans="8:8" s="4" customFormat="1">
      <c r="H1250" s="19"/>
    </row>
    <row r="1251" spans="8:8" s="4" customFormat="1">
      <c r="H1251" s="19"/>
    </row>
    <row r="1252" spans="8:8" s="4" customFormat="1">
      <c r="H1252" s="19"/>
    </row>
    <row r="1253" spans="8:8" s="4" customFormat="1">
      <c r="H1253" s="19"/>
    </row>
    <row r="1254" spans="8:8" s="4" customFormat="1">
      <c r="H1254" s="19"/>
    </row>
    <row r="1255" spans="8:8" s="4" customFormat="1">
      <c r="H1255" s="19"/>
    </row>
    <row r="1256" spans="8:8" s="4" customFormat="1">
      <c r="H1256" s="19"/>
    </row>
    <row r="1257" spans="8:8" s="4" customFormat="1">
      <c r="H1257" s="19"/>
    </row>
    <row r="1258" spans="8:8" s="4" customFormat="1">
      <c r="H1258" s="19"/>
    </row>
    <row r="1259" spans="8:8" s="4" customFormat="1">
      <c r="H1259" s="19"/>
    </row>
    <row r="1260" spans="8:8" s="4" customFormat="1">
      <c r="H1260" s="19"/>
    </row>
    <row r="1261" spans="8:8" s="4" customFormat="1">
      <c r="H1261" s="19"/>
    </row>
    <row r="1262" spans="8:8" s="4" customFormat="1">
      <c r="H1262" s="19"/>
    </row>
    <row r="1263" spans="8:8" s="4" customFormat="1">
      <c r="H1263" s="19"/>
    </row>
    <row r="1264" spans="8:8" s="4" customFormat="1">
      <c r="H1264" s="19"/>
    </row>
    <row r="1265" spans="8:8" s="4" customFormat="1">
      <c r="H1265" s="19"/>
    </row>
    <row r="1266" spans="8:8" s="4" customFormat="1">
      <c r="H1266" s="19"/>
    </row>
    <row r="1267" spans="8:8" s="4" customFormat="1">
      <c r="H1267" s="19"/>
    </row>
    <row r="1268" spans="8:8" s="4" customFormat="1">
      <c r="H1268" s="19"/>
    </row>
    <row r="1269" spans="8:8" s="4" customFormat="1">
      <c r="H1269" s="19"/>
    </row>
    <row r="1270" spans="8:8" s="4" customFormat="1">
      <c r="H1270" s="19"/>
    </row>
    <row r="1271" spans="8:8" s="4" customFormat="1">
      <c r="H1271" s="19"/>
    </row>
    <row r="1272" spans="8:8" s="4" customFormat="1">
      <c r="H1272" s="19"/>
    </row>
    <row r="1273" spans="8:8" s="4" customFormat="1">
      <c r="H1273" s="19"/>
    </row>
    <row r="1274" spans="8:8" s="4" customFormat="1">
      <c r="H1274" s="19"/>
    </row>
    <row r="1275" spans="8:8" s="4" customFormat="1">
      <c r="H1275" s="19"/>
    </row>
    <row r="1276" spans="8:8" s="4" customFormat="1">
      <c r="H1276" s="19"/>
    </row>
    <row r="1277" spans="8:8" s="4" customFormat="1">
      <c r="H1277" s="19"/>
    </row>
    <row r="1278" spans="8:8" s="4" customFormat="1">
      <c r="H1278" s="19"/>
    </row>
    <row r="1279" spans="8:8" s="4" customFormat="1">
      <c r="H1279" s="19"/>
    </row>
    <row r="1280" spans="8:8" s="4" customFormat="1">
      <c r="H1280" s="19"/>
    </row>
    <row r="1281" spans="8:8" s="4" customFormat="1">
      <c r="H1281" s="19"/>
    </row>
    <row r="1282" spans="8:8" s="4" customFormat="1">
      <c r="H1282" s="19"/>
    </row>
    <row r="1283" spans="8:8" s="4" customFormat="1">
      <c r="H1283" s="19"/>
    </row>
    <row r="1284" spans="8:8" s="4" customFormat="1">
      <c r="H1284" s="19"/>
    </row>
    <row r="1285" spans="8:8" s="4" customFormat="1">
      <c r="H1285" s="19"/>
    </row>
    <row r="1286" spans="8:8" s="4" customFormat="1">
      <c r="H1286" s="19"/>
    </row>
    <row r="1287" spans="8:8" s="4" customFormat="1">
      <c r="H1287" s="19"/>
    </row>
    <row r="1288" spans="8:8" s="4" customFormat="1">
      <c r="H1288" s="19"/>
    </row>
    <row r="1289" spans="8:8" s="4" customFormat="1">
      <c r="H1289" s="19"/>
    </row>
    <row r="1290" spans="8:8" s="4" customFormat="1">
      <c r="H1290" s="19"/>
    </row>
    <row r="1291" spans="8:8" s="4" customFormat="1">
      <c r="H1291" s="19"/>
    </row>
    <row r="1292" spans="8:8" s="4" customFormat="1">
      <c r="H1292" s="19"/>
    </row>
    <row r="1293" spans="8:8" s="4" customFormat="1">
      <c r="H1293" s="19"/>
    </row>
    <row r="1294" spans="8:8" s="4" customFormat="1">
      <c r="H1294" s="19"/>
    </row>
    <row r="1295" spans="8:8" s="4" customFormat="1">
      <c r="H1295" s="19"/>
    </row>
    <row r="1296" spans="8:8" s="4" customFormat="1">
      <c r="H1296" s="19"/>
    </row>
    <row r="1297" spans="8:8" s="4" customFormat="1">
      <c r="H1297" s="19"/>
    </row>
    <row r="1298" spans="8:8" s="4" customFormat="1">
      <c r="H1298" s="19"/>
    </row>
    <row r="1299" spans="8:8" s="4" customFormat="1">
      <c r="H1299" s="19"/>
    </row>
    <row r="1300" spans="8:8" s="4" customFormat="1">
      <c r="H1300" s="19"/>
    </row>
    <row r="1301" spans="8:8" s="4" customFormat="1">
      <c r="H1301" s="19"/>
    </row>
    <row r="1302" spans="8:8" s="4" customFormat="1">
      <c r="H1302" s="19"/>
    </row>
    <row r="1303" spans="8:8" s="4" customFormat="1">
      <c r="H1303" s="19"/>
    </row>
    <row r="1304" spans="8:8" s="4" customFormat="1">
      <c r="H1304" s="19"/>
    </row>
    <row r="1305" spans="8:8" s="4" customFormat="1">
      <c r="H1305" s="19"/>
    </row>
    <row r="1306" spans="8:8" s="4" customFormat="1">
      <c r="H1306" s="19"/>
    </row>
    <row r="1307" spans="8:8" s="4" customFormat="1">
      <c r="H1307" s="19"/>
    </row>
    <row r="1308" spans="8:8" s="4" customFormat="1">
      <c r="H1308" s="19"/>
    </row>
    <row r="1309" spans="8:8" s="4" customFormat="1">
      <c r="H1309" s="19"/>
    </row>
    <row r="1310" spans="8:8" s="4" customFormat="1">
      <c r="H1310" s="19"/>
    </row>
    <row r="1311" spans="8:8" s="4" customFormat="1">
      <c r="H1311" s="19"/>
    </row>
    <row r="1312" spans="8:8" s="4" customFormat="1">
      <c r="H1312" s="19"/>
    </row>
    <row r="1313" spans="8:8" s="4" customFormat="1">
      <c r="H1313" s="19"/>
    </row>
    <row r="1314" spans="8:8" s="4" customFormat="1">
      <c r="H1314" s="19"/>
    </row>
    <row r="1315" spans="8:8" s="4" customFormat="1">
      <c r="H1315" s="19"/>
    </row>
    <row r="1316" spans="8:8" s="4" customFormat="1">
      <c r="H1316" s="19"/>
    </row>
    <row r="1317" spans="8:8" s="4" customFormat="1">
      <c r="H1317" s="19"/>
    </row>
    <row r="1318" spans="8:8" s="4" customFormat="1">
      <c r="H1318" s="19"/>
    </row>
    <row r="1319" spans="8:8" s="4" customFormat="1">
      <c r="H1319" s="19"/>
    </row>
    <row r="1320" spans="8:8" s="4" customFormat="1">
      <c r="H1320" s="19"/>
    </row>
    <row r="1321" spans="8:8" s="4" customFormat="1">
      <c r="H1321" s="19"/>
    </row>
    <row r="1322" spans="8:8" s="4" customFormat="1">
      <c r="H1322" s="19"/>
    </row>
    <row r="1323" spans="8:8" s="4" customFormat="1">
      <c r="H1323" s="19"/>
    </row>
    <row r="1324" spans="8:8" s="4" customFormat="1">
      <c r="H1324" s="19"/>
    </row>
    <row r="1325" spans="8:8" s="4" customFormat="1">
      <c r="H1325" s="19"/>
    </row>
    <row r="1326" spans="8:8" s="4" customFormat="1">
      <c r="H1326" s="19"/>
    </row>
    <row r="1327" spans="8:8" s="4" customFormat="1">
      <c r="H1327" s="19"/>
    </row>
    <row r="1328" spans="8:8" s="4" customFormat="1">
      <c r="H1328" s="19"/>
    </row>
    <row r="1329" spans="8:8" s="4" customFormat="1">
      <c r="H1329" s="19"/>
    </row>
    <row r="1330" spans="8:8" s="4" customFormat="1">
      <c r="H1330" s="19"/>
    </row>
    <row r="1331" spans="8:8" s="4" customFormat="1">
      <c r="H1331" s="19"/>
    </row>
    <row r="1332" spans="8:8" s="4" customFormat="1">
      <c r="H1332" s="19"/>
    </row>
    <row r="1333" spans="8:8" s="4" customFormat="1">
      <c r="H1333" s="19"/>
    </row>
    <row r="1334" spans="8:8" s="4" customFormat="1">
      <c r="H1334" s="19"/>
    </row>
    <row r="1335" spans="8:8" s="4" customFormat="1">
      <c r="H1335" s="19"/>
    </row>
    <row r="1336" spans="8:8" s="4" customFormat="1">
      <c r="H1336" s="19"/>
    </row>
    <row r="1337" spans="8:8" s="4" customFormat="1">
      <c r="H1337" s="19"/>
    </row>
    <row r="1338" spans="8:8" s="4" customFormat="1">
      <c r="H1338" s="19"/>
    </row>
    <row r="1339" spans="8:8" s="4" customFormat="1">
      <c r="H1339" s="19"/>
    </row>
    <row r="1340" spans="8:8" s="4" customFormat="1">
      <c r="H1340" s="19"/>
    </row>
    <row r="1341" spans="8:8" s="4" customFormat="1">
      <c r="H1341" s="19"/>
    </row>
    <row r="1342" spans="8:8" s="4" customFormat="1">
      <c r="H1342" s="19"/>
    </row>
    <row r="1343" spans="8:8" s="4" customFormat="1">
      <c r="H1343" s="19"/>
    </row>
    <row r="1344" spans="8:8" s="4" customFormat="1">
      <c r="H1344" s="19"/>
    </row>
    <row r="1345" spans="8:8" s="4" customFormat="1">
      <c r="H1345" s="19"/>
    </row>
    <row r="1346" spans="8:8" s="4" customFormat="1">
      <c r="H1346" s="19"/>
    </row>
    <row r="1347" spans="8:8" s="4" customFormat="1">
      <c r="H1347" s="19"/>
    </row>
    <row r="1348" spans="8:8" s="4" customFormat="1">
      <c r="H1348" s="19"/>
    </row>
    <row r="1349" spans="8:8" s="4" customFormat="1">
      <c r="H1349" s="19"/>
    </row>
    <row r="1350" spans="8:8" s="4" customFormat="1">
      <c r="H1350" s="19"/>
    </row>
    <row r="1351" spans="8:8" s="4" customFormat="1">
      <c r="H1351" s="19"/>
    </row>
    <row r="1352" spans="8:8" s="4" customFormat="1">
      <c r="H1352" s="19"/>
    </row>
    <row r="1353" spans="8:8" s="4" customFormat="1">
      <c r="H1353" s="19"/>
    </row>
    <row r="1354" spans="8:8" s="4" customFormat="1">
      <c r="H1354" s="19"/>
    </row>
    <row r="1355" spans="8:8" s="4" customFormat="1">
      <c r="H1355" s="19"/>
    </row>
    <row r="1356" spans="8:8" s="4" customFormat="1">
      <c r="H1356" s="19"/>
    </row>
    <row r="1357" spans="8:8" s="4" customFormat="1">
      <c r="H1357" s="19"/>
    </row>
    <row r="1358" spans="8:8" s="4" customFormat="1">
      <c r="H1358" s="19"/>
    </row>
    <row r="1359" spans="8:8" s="4" customFormat="1">
      <c r="H1359" s="19"/>
    </row>
    <row r="1360" spans="8:8" s="4" customFormat="1">
      <c r="H1360" s="19"/>
    </row>
    <row r="1361" spans="8:8" s="4" customFormat="1">
      <c r="H1361" s="19"/>
    </row>
    <row r="1362" spans="8:8" s="4" customFormat="1">
      <c r="H1362" s="19"/>
    </row>
    <row r="1363" spans="8:8" s="4" customFormat="1">
      <c r="H1363" s="19"/>
    </row>
    <row r="1364" spans="8:8" s="4" customFormat="1">
      <c r="H1364" s="19"/>
    </row>
    <row r="1365" spans="8:8" s="4" customFormat="1">
      <c r="H1365" s="19"/>
    </row>
    <row r="1366" spans="8:8" s="4" customFormat="1">
      <c r="H1366" s="19"/>
    </row>
    <row r="1367" spans="8:8" s="4" customFormat="1">
      <c r="H1367" s="19"/>
    </row>
    <row r="1368" spans="8:8" s="4" customFormat="1">
      <c r="H1368" s="19"/>
    </row>
    <row r="1369" spans="8:8" s="4" customFormat="1">
      <c r="H1369" s="19"/>
    </row>
    <row r="1370" spans="8:8" s="4" customFormat="1">
      <c r="H1370" s="19"/>
    </row>
    <row r="1371" spans="8:8" s="4" customFormat="1">
      <c r="H1371" s="19"/>
    </row>
    <row r="1372" spans="8:8" s="4" customFormat="1">
      <c r="H1372" s="19"/>
    </row>
    <row r="1373" spans="8:8" s="4" customFormat="1">
      <c r="H1373" s="19"/>
    </row>
    <row r="1374" spans="8:8" s="4" customFormat="1">
      <c r="H1374" s="19"/>
    </row>
    <row r="1375" spans="8:8" s="4" customFormat="1">
      <c r="H1375" s="19"/>
    </row>
    <row r="1376" spans="8:8" s="4" customFormat="1">
      <c r="H1376" s="19"/>
    </row>
    <row r="1377" spans="8:8" s="4" customFormat="1">
      <c r="H1377" s="19"/>
    </row>
    <row r="1378" spans="8:8" s="4" customFormat="1">
      <c r="H1378" s="19"/>
    </row>
    <row r="1379" spans="8:8" s="4" customFormat="1">
      <c r="H1379" s="19"/>
    </row>
    <row r="1380" spans="8:8" s="4" customFormat="1">
      <c r="H1380" s="19"/>
    </row>
    <row r="1381" spans="8:8" s="4" customFormat="1">
      <c r="H1381" s="19"/>
    </row>
    <row r="1382" spans="8:8" s="4" customFormat="1">
      <c r="H1382" s="19"/>
    </row>
    <row r="1383" spans="8:8" s="4" customFormat="1">
      <c r="H1383" s="19"/>
    </row>
    <row r="1384" spans="8:8" s="4" customFormat="1">
      <c r="H1384" s="19"/>
    </row>
    <row r="1385" spans="8:8" s="4" customFormat="1">
      <c r="H1385" s="19"/>
    </row>
    <row r="1386" spans="8:8" s="4" customFormat="1">
      <c r="H1386" s="19"/>
    </row>
    <row r="1387" spans="8:8" s="4" customFormat="1">
      <c r="H1387" s="19"/>
    </row>
    <row r="1388" spans="8:8" s="4" customFormat="1">
      <c r="H1388" s="19"/>
    </row>
    <row r="1389" spans="8:8" s="4" customFormat="1">
      <c r="H1389" s="19"/>
    </row>
    <row r="1390" spans="8:8" s="4" customFormat="1">
      <c r="H1390" s="19"/>
    </row>
    <row r="1391" spans="8:8" s="4" customFormat="1">
      <c r="H1391" s="19"/>
    </row>
    <row r="1392" spans="8:8" s="4" customFormat="1">
      <c r="H1392" s="19"/>
    </row>
    <row r="1393" spans="8:8" s="4" customFormat="1">
      <c r="H1393" s="19"/>
    </row>
    <row r="1394" spans="8:8" s="4" customFormat="1">
      <c r="H1394" s="19"/>
    </row>
    <row r="1395" spans="8:8" s="4" customFormat="1">
      <c r="H1395" s="19"/>
    </row>
    <row r="1396" spans="8:8" s="4" customFormat="1">
      <c r="H1396" s="19"/>
    </row>
    <row r="1397" spans="8:8" s="4" customFormat="1">
      <c r="H1397" s="19"/>
    </row>
    <row r="1398" spans="8:8" s="4" customFormat="1">
      <c r="H1398" s="19"/>
    </row>
    <row r="1399" spans="8:8" s="4" customFormat="1">
      <c r="H1399" s="19"/>
    </row>
    <row r="1400" spans="8:8" s="4" customFormat="1">
      <c r="H1400" s="19"/>
    </row>
    <row r="1401" spans="8:8" s="4" customFormat="1">
      <c r="H1401" s="19"/>
    </row>
    <row r="1402" spans="8:8" s="4" customFormat="1">
      <c r="H1402" s="19"/>
    </row>
    <row r="1403" spans="8:8" s="4" customFormat="1">
      <c r="H1403" s="19"/>
    </row>
    <row r="1404" spans="8:8" s="4" customFormat="1">
      <c r="H1404" s="19"/>
    </row>
    <row r="1405" spans="8:8" s="4" customFormat="1">
      <c r="H1405" s="19"/>
    </row>
    <row r="1406" spans="8:8" s="4" customFormat="1">
      <c r="H1406" s="19"/>
    </row>
    <row r="1407" spans="8:8" s="4" customFormat="1">
      <c r="H1407" s="19"/>
    </row>
    <row r="1408" spans="8:8" s="4" customFormat="1">
      <c r="H1408" s="19"/>
    </row>
    <row r="1409" spans="8:8" s="4" customFormat="1">
      <c r="H1409" s="19"/>
    </row>
    <row r="1410" spans="8:8" s="4" customFormat="1">
      <c r="H1410" s="19"/>
    </row>
    <row r="1411" spans="8:8" s="4" customFormat="1">
      <c r="H1411" s="19"/>
    </row>
    <row r="1412" spans="8:8" s="4" customFormat="1">
      <c r="H1412" s="19"/>
    </row>
    <row r="1413" spans="8:8" s="4" customFormat="1">
      <c r="H1413" s="19"/>
    </row>
    <row r="1414" spans="8:8" s="4" customFormat="1">
      <c r="H1414" s="19"/>
    </row>
    <row r="1415" spans="8:8" s="4" customFormat="1">
      <c r="H1415" s="19"/>
    </row>
    <row r="1416" spans="8:8" s="4" customFormat="1">
      <c r="H1416" s="19"/>
    </row>
    <row r="1417" spans="8:8" s="4" customFormat="1">
      <c r="H1417" s="19"/>
    </row>
    <row r="1418" spans="8:8" s="4" customFormat="1">
      <c r="H1418" s="19"/>
    </row>
    <row r="1419" spans="8:8" s="4" customFormat="1">
      <c r="H1419" s="19"/>
    </row>
    <row r="1420" spans="8:8" s="4" customFormat="1">
      <c r="H1420" s="19"/>
    </row>
    <row r="1421" spans="8:8" s="4" customFormat="1">
      <c r="H1421" s="19"/>
    </row>
    <row r="1422" spans="8:8" s="4" customFormat="1">
      <c r="H1422" s="19"/>
    </row>
    <row r="1423" spans="8:8" s="4" customFormat="1">
      <c r="H1423" s="19"/>
    </row>
    <row r="1424" spans="8:8" s="4" customFormat="1">
      <c r="H1424" s="19"/>
    </row>
    <row r="1425" spans="8:8" s="4" customFormat="1">
      <c r="H1425" s="19"/>
    </row>
    <row r="1426" spans="8:8" s="4" customFormat="1">
      <c r="H1426" s="19"/>
    </row>
    <row r="1427" spans="8:8" s="4" customFormat="1">
      <c r="H1427" s="19"/>
    </row>
    <row r="1428" spans="8:8" s="4" customFormat="1">
      <c r="H1428" s="19"/>
    </row>
    <row r="1429" spans="8:8" s="4" customFormat="1">
      <c r="H1429" s="19"/>
    </row>
    <row r="1430" spans="8:8" s="4" customFormat="1">
      <c r="H1430" s="19"/>
    </row>
    <row r="1431" spans="8:8" s="4" customFormat="1">
      <c r="H1431" s="19"/>
    </row>
    <row r="1432" spans="8:8" s="4" customFormat="1">
      <c r="H1432" s="19"/>
    </row>
    <row r="1433" spans="8:8" s="4" customFormat="1">
      <c r="H1433" s="19"/>
    </row>
    <row r="1434" spans="8:8" s="4" customFormat="1">
      <c r="H1434" s="19"/>
    </row>
    <row r="1435" spans="8:8" s="4" customFormat="1">
      <c r="H1435" s="19"/>
    </row>
    <row r="1436" spans="8:8" s="4" customFormat="1">
      <c r="H1436" s="19"/>
    </row>
    <row r="1437" spans="8:8" s="4" customFormat="1">
      <c r="H1437" s="19"/>
    </row>
    <row r="1438" spans="8:8" s="4" customFormat="1">
      <c r="H1438" s="19"/>
    </row>
    <row r="1439" spans="8:8" s="4" customFormat="1">
      <c r="H1439" s="19"/>
    </row>
    <row r="1440" spans="8:8" s="4" customFormat="1">
      <c r="H1440" s="19"/>
    </row>
    <row r="1441" spans="8:8" s="4" customFormat="1">
      <c r="H1441" s="19"/>
    </row>
    <row r="1442" spans="8:8" s="4" customFormat="1">
      <c r="H1442" s="19"/>
    </row>
    <row r="1443" spans="8:8" s="4" customFormat="1">
      <c r="H1443" s="19"/>
    </row>
    <row r="1444" spans="8:8" s="4" customFormat="1">
      <c r="H1444" s="19"/>
    </row>
    <row r="1445" spans="8:8" s="4" customFormat="1">
      <c r="H1445" s="19"/>
    </row>
    <row r="1446" spans="8:8" s="4" customFormat="1">
      <c r="H1446" s="19"/>
    </row>
    <row r="1447" spans="8:8" s="4" customFormat="1">
      <c r="H1447" s="19"/>
    </row>
    <row r="1448" spans="8:8" s="4" customFormat="1">
      <c r="H1448" s="19"/>
    </row>
    <row r="1449" spans="8:8" s="4" customFormat="1">
      <c r="H1449" s="19"/>
    </row>
    <row r="1450" spans="8:8" s="4" customFormat="1">
      <c r="H1450" s="19"/>
    </row>
    <row r="1451" spans="8:8" s="4" customFormat="1">
      <c r="H1451" s="19"/>
    </row>
    <row r="1452" spans="8:8" s="4" customFormat="1">
      <c r="H1452" s="19"/>
    </row>
    <row r="1453" spans="8:8" s="4" customFormat="1">
      <c r="H1453" s="19"/>
    </row>
    <row r="1454" spans="8:8" s="4" customFormat="1">
      <c r="H1454" s="19"/>
    </row>
    <row r="1455" spans="8:8" s="4" customFormat="1">
      <c r="H1455" s="19"/>
    </row>
    <row r="1456" spans="8:8" s="4" customFormat="1">
      <c r="H1456" s="19"/>
    </row>
    <row r="1457" spans="8:8" s="4" customFormat="1">
      <c r="H1457" s="19"/>
    </row>
    <row r="1458" spans="8:8" s="4" customFormat="1">
      <c r="H1458" s="19"/>
    </row>
    <row r="1459" spans="8:8" s="4" customFormat="1">
      <c r="H1459" s="19"/>
    </row>
    <row r="1460" spans="8:8" s="4" customFormat="1">
      <c r="H1460" s="19"/>
    </row>
    <row r="1461" spans="8:8" s="4" customFormat="1">
      <c r="H1461" s="19"/>
    </row>
    <row r="1462" spans="8:8" s="4" customFormat="1">
      <c r="H1462" s="19"/>
    </row>
    <row r="1463" spans="8:8" s="4" customFormat="1">
      <c r="H1463" s="19"/>
    </row>
    <row r="1464" spans="8:8" s="4" customFormat="1">
      <c r="H1464" s="19"/>
    </row>
    <row r="1465" spans="8:8" s="4" customFormat="1">
      <c r="H1465" s="19"/>
    </row>
    <row r="1466" spans="8:8" s="4" customFormat="1">
      <c r="H1466" s="19"/>
    </row>
    <row r="1467" spans="8:8" s="4" customFormat="1">
      <c r="H1467" s="19"/>
    </row>
    <row r="1468" spans="8:8" s="4" customFormat="1">
      <c r="H1468" s="19"/>
    </row>
    <row r="1469" spans="8:8" s="4" customFormat="1">
      <c r="H1469" s="19"/>
    </row>
    <row r="1470" spans="8:8" s="4" customFormat="1">
      <c r="H1470" s="19"/>
    </row>
    <row r="1471" spans="8:8" s="4" customFormat="1">
      <c r="H1471" s="19"/>
    </row>
    <row r="1472" spans="8:8" s="4" customFormat="1">
      <c r="H1472" s="19"/>
    </row>
    <row r="1473" spans="8:8" s="4" customFormat="1">
      <c r="H1473" s="19"/>
    </row>
    <row r="1474" spans="8:8" s="4" customFormat="1">
      <c r="H1474" s="19"/>
    </row>
    <row r="1475" spans="8:8" s="4" customFormat="1">
      <c r="H1475" s="19"/>
    </row>
    <row r="1476" spans="8:8" s="4" customFormat="1">
      <c r="H1476" s="19"/>
    </row>
    <row r="1477" spans="8:8" s="4" customFormat="1">
      <c r="H1477" s="19"/>
    </row>
    <row r="1478" spans="8:8" s="4" customFormat="1">
      <c r="H1478" s="19"/>
    </row>
    <row r="1479" spans="8:8" s="4" customFormat="1">
      <c r="H1479" s="19"/>
    </row>
    <row r="1480" spans="8:8" s="4" customFormat="1">
      <c r="H1480" s="19"/>
    </row>
    <row r="1481" spans="8:8" s="4" customFormat="1">
      <c r="H1481" s="19"/>
    </row>
    <row r="1482" spans="8:8" s="4" customFormat="1">
      <c r="H1482" s="19"/>
    </row>
    <row r="1483" spans="8:8" s="4" customFormat="1">
      <c r="H1483" s="19"/>
    </row>
    <row r="1484" spans="8:8" s="4" customFormat="1">
      <c r="H1484" s="19"/>
    </row>
    <row r="1485" spans="8:8" s="4" customFormat="1">
      <c r="H1485" s="19"/>
    </row>
    <row r="1486" spans="8:8" s="4" customFormat="1">
      <c r="H1486" s="19"/>
    </row>
    <row r="1487" spans="8:8" s="4" customFormat="1">
      <c r="H1487" s="19"/>
    </row>
    <row r="1488" spans="8:8" s="4" customFormat="1">
      <c r="H1488" s="19"/>
    </row>
    <row r="1489" spans="8:8" s="4" customFormat="1">
      <c r="H1489" s="19"/>
    </row>
    <row r="1490" spans="8:8" s="4" customFormat="1">
      <c r="H1490" s="19"/>
    </row>
    <row r="1491" spans="8:8" s="4" customFormat="1">
      <c r="H1491" s="19"/>
    </row>
    <row r="1492" spans="8:8" s="4" customFormat="1">
      <c r="H1492" s="19"/>
    </row>
    <row r="1493" spans="8:8" s="4" customFormat="1">
      <c r="H1493" s="19"/>
    </row>
    <row r="1494" spans="8:8" s="4" customFormat="1">
      <c r="H1494" s="19"/>
    </row>
    <row r="1495" spans="8:8" s="4" customFormat="1">
      <c r="H1495" s="19"/>
    </row>
    <row r="1496" spans="8:8" s="4" customFormat="1">
      <c r="H1496" s="19"/>
    </row>
    <row r="1497" spans="8:8" s="4" customFormat="1">
      <c r="H1497" s="19"/>
    </row>
    <row r="1498" spans="8:8" s="4" customFormat="1">
      <c r="H1498" s="19"/>
    </row>
    <row r="1499" spans="8:8" s="4" customFormat="1">
      <c r="H1499" s="19"/>
    </row>
    <row r="1500" spans="8:8" s="4" customFormat="1">
      <c r="H1500" s="19"/>
    </row>
    <row r="1501" spans="8:8" s="4" customFormat="1">
      <c r="H1501" s="19"/>
    </row>
    <row r="1502" spans="8:8" s="4" customFormat="1">
      <c r="H1502" s="19"/>
    </row>
    <row r="1503" spans="8:8" s="4" customFormat="1">
      <c r="H1503" s="19"/>
    </row>
    <row r="1504" spans="8:8" s="4" customFormat="1">
      <c r="H1504" s="19"/>
    </row>
    <row r="1505" spans="8:8" s="4" customFormat="1">
      <c r="H1505" s="19"/>
    </row>
    <row r="1506" spans="8:8" s="4" customFormat="1">
      <c r="H1506" s="19"/>
    </row>
    <row r="1507" spans="8:8" s="4" customFormat="1">
      <c r="H1507" s="19"/>
    </row>
    <row r="1508" spans="8:8" s="4" customFormat="1">
      <c r="H1508" s="19"/>
    </row>
    <row r="1509" spans="8:8" s="4" customFormat="1">
      <c r="H1509" s="19"/>
    </row>
    <row r="1510" spans="8:8" s="4" customFormat="1">
      <c r="H1510" s="19"/>
    </row>
    <row r="1511" spans="8:8" s="4" customFormat="1">
      <c r="H1511" s="19"/>
    </row>
    <row r="1512" spans="8:8" s="4" customFormat="1">
      <c r="H1512" s="19"/>
    </row>
    <row r="1513" spans="8:8" s="4" customFormat="1">
      <c r="H1513" s="19"/>
    </row>
    <row r="1514" spans="8:8" s="4" customFormat="1">
      <c r="H1514" s="19"/>
    </row>
    <row r="1515" spans="8:8" s="4" customFormat="1">
      <c r="H1515" s="19"/>
    </row>
    <row r="1516" spans="8:8" s="4" customFormat="1">
      <c r="H1516" s="19"/>
    </row>
    <row r="1517" spans="8:8" s="4" customFormat="1">
      <c r="H1517" s="19"/>
    </row>
    <row r="1518" spans="8:8" s="4" customFormat="1">
      <c r="H1518" s="19"/>
    </row>
    <row r="1519" spans="8:8" s="4" customFormat="1">
      <c r="H1519" s="19"/>
    </row>
    <row r="1520" spans="8:8" s="4" customFormat="1">
      <c r="H1520" s="19"/>
    </row>
    <row r="1521" spans="8:8" s="4" customFormat="1">
      <c r="H1521" s="19"/>
    </row>
    <row r="1522" spans="8:8" s="4" customFormat="1">
      <c r="H1522" s="19"/>
    </row>
    <row r="1523" spans="8:8" s="4" customFormat="1">
      <c r="H1523" s="19"/>
    </row>
    <row r="1524" spans="8:8" s="4" customFormat="1">
      <c r="H1524" s="19"/>
    </row>
    <row r="1525" spans="8:8" s="4" customFormat="1">
      <c r="H1525" s="19"/>
    </row>
    <row r="1526" spans="8:8" s="4" customFormat="1">
      <c r="H1526" s="19"/>
    </row>
    <row r="1527" spans="8:8" s="4" customFormat="1">
      <c r="H1527" s="19"/>
    </row>
    <row r="1528" spans="8:8" s="4" customFormat="1">
      <c r="H1528" s="19"/>
    </row>
    <row r="1529" spans="8:8" s="4" customFormat="1">
      <c r="H1529" s="19"/>
    </row>
    <row r="1530" spans="8:8" s="4" customFormat="1">
      <c r="H1530" s="19"/>
    </row>
    <row r="1531" spans="8:8" s="4" customFormat="1">
      <c r="H1531" s="19"/>
    </row>
    <row r="1532" spans="8:8" s="4" customFormat="1">
      <c r="H1532" s="19"/>
    </row>
    <row r="1533" spans="8:8" s="4" customFormat="1">
      <c r="H1533" s="19"/>
    </row>
    <row r="1534" spans="8:8" s="4" customFormat="1">
      <c r="H1534" s="19"/>
    </row>
    <row r="1535" spans="8:8" s="4" customFormat="1">
      <c r="H1535" s="19"/>
    </row>
    <row r="1536" spans="8:8" s="4" customFormat="1">
      <c r="H1536" s="19"/>
    </row>
    <row r="1537" spans="8:8" s="4" customFormat="1">
      <c r="H1537" s="19"/>
    </row>
    <row r="1538" spans="8:8" s="4" customFormat="1">
      <c r="H1538" s="19"/>
    </row>
    <row r="1539" spans="8:8" s="4" customFormat="1">
      <c r="H1539" s="19"/>
    </row>
    <row r="1540" spans="8:8" s="4" customFormat="1">
      <c r="H1540" s="19"/>
    </row>
    <row r="1541" spans="8:8" s="4" customFormat="1">
      <c r="H1541" s="19"/>
    </row>
    <row r="1542" spans="8:8" s="4" customFormat="1">
      <c r="H1542" s="19"/>
    </row>
    <row r="1543" spans="8:8" s="4" customFormat="1">
      <c r="H1543" s="19"/>
    </row>
    <row r="1544" spans="8:8" s="4" customFormat="1">
      <c r="H1544" s="19"/>
    </row>
    <row r="1545" spans="8:8" s="4" customFormat="1">
      <c r="H1545" s="19"/>
    </row>
    <row r="1546" spans="8:8" s="4" customFormat="1">
      <c r="H1546" s="19"/>
    </row>
    <row r="1547" spans="8:8" s="4" customFormat="1">
      <c r="H1547" s="19"/>
    </row>
    <row r="1548" spans="8:8" s="4" customFormat="1">
      <c r="H1548" s="19"/>
    </row>
    <row r="1549" spans="8:8" s="4" customFormat="1">
      <c r="H1549" s="19"/>
    </row>
    <row r="1550" spans="8:8" s="4" customFormat="1">
      <c r="H1550" s="19"/>
    </row>
    <row r="1551" spans="8:8" s="4" customFormat="1">
      <c r="H1551" s="19"/>
    </row>
    <row r="1552" spans="8:8" s="4" customFormat="1">
      <c r="H1552" s="19"/>
    </row>
    <row r="1553" spans="8:8" s="4" customFormat="1">
      <c r="H1553" s="19"/>
    </row>
    <row r="1554" spans="8:8" s="4" customFormat="1">
      <c r="H1554" s="19"/>
    </row>
    <row r="1555" spans="8:8" s="4" customFormat="1">
      <c r="H1555" s="19"/>
    </row>
    <row r="1556" spans="8:8" s="4" customFormat="1">
      <c r="H1556" s="19"/>
    </row>
    <row r="1557" spans="8:8" s="4" customFormat="1">
      <c r="H1557" s="19"/>
    </row>
    <row r="1558" spans="8:8" s="4" customFormat="1">
      <c r="H1558" s="19"/>
    </row>
    <row r="1559" spans="8:8" s="4" customFormat="1">
      <c r="H1559" s="19"/>
    </row>
    <row r="1560" spans="8:8" s="4" customFormat="1">
      <c r="H1560" s="19"/>
    </row>
    <row r="1561" spans="8:8" s="4" customFormat="1">
      <c r="H1561" s="19"/>
    </row>
    <row r="1562" spans="8:8" s="4" customFormat="1">
      <c r="H1562" s="19"/>
    </row>
    <row r="1563" spans="8:8" s="4" customFormat="1">
      <c r="H1563" s="19"/>
    </row>
    <row r="1564" spans="8:8" s="4" customFormat="1">
      <c r="H1564" s="19"/>
    </row>
    <row r="1565" spans="8:8" s="4" customFormat="1">
      <c r="H1565" s="19"/>
    </row>
    <row r="1566" spans="8:8" s="4" customFormat="1">
      <c r="H1566" s="19"/>
    </row>
    <row r="1567" spans="8:8" s="4" customFormat="1">
      <c r="H1567" s="19"/>
    </row>
    <row r="1568" spans="8:8" s="4" customFormat="1">
      <c r="H1568" s="19"/>
    </row>
    <row r="1569" spans="8:8" s="4" customFormat="1">
      <c r="H1569" s="19"/>
    </row>
    <row r="1570" spans="8:8" s="4" customFormat="1">
      <c r="H1570" s="19"/>
    </row>
    <row r="1571" spans="8:8" s="4" customFormat="1">
      <c r="H1571" s="19"/>
    </row>
    <row r="1572" spans="8:8" s="4" customFormat="1">
      <c r="H1572" s="19"/>
    </row>
    <row r="1573" spans="8:8" s="4" customFormat="1">
      <c r="H1573" s="19"/>
    </row>
    <row r="1574" spans="8:8" s="4" customFormat="1">
      <c r="H1574" s="19"/>
    </row>
    <row r="1575" spans="8:8" s="4" customFormat="1">
      <c r="H1575" s="19"/>
    </row>
    <row r="1576" spans="8:8" s="4" customFormat="1">
      <c r="H1576" s="19"/>
    </row>
    <row r="1577" spans="8:8" s="4" customFormat="1">
      <c r="H1577" s="19"/>
    </row>
    <row r="1578" spans="8:8" s="4" customFormat="1">
      <c r="H1578" s="19"/>
    </row>
    <row r="1579" spans="8:8" s="4" customFormat="1">
      <c r="H1579" s="19"/>
    </row>
    <row r="1580" spans="8:8" s="4" customFormat="1">
      <c r="H1580" s="19"/>
    </row>
    <row r="1581" spans="8:8" s="4" customFormat="1">
      <c r="H1581" s="19"/>
    </row>
    <row r="1582" spans="8:8" s="4" customFormat="1">
      <c r="H1582" s="19"/>
    </row>
    <row r="1583" spans="8:8" s="4" customFormat="1">
      <c r="H1583" s="19"/>
    </row>
    <row r="1584" spans="8:8" s="4" customFormat="1">
      <c r="H1584" s="19"/>
    </row>
    <row r="1585" spans="8:8" s="4" customFormat="1">
      <c r="H1585" s="19"/>
    </row>
    <row r="1586" spans="8:8" s="4" customFormat="1">
      <c r="H1586" s="19"/>
    </row>
    <row r="1587" spans="8:8" s="4" customFormat="1">
      <c r="H1587" s="19"/>
    </row>
    <row r="1588" spans="8:8" s="4" customFormat="1">
      <c r="H1588" s="19"/>
    </row>
    <row r="1589" spans="8:8" s="4" customFormat="1">
      <c r="H1589" s="19"/>
    </row>
    <row r="1590" spans="8:8" s="4" customFormat="1">
      <c r="H1590" s="19"/>
    </row>
    <row r="1591" spans="8:8" s="4" customFormat="1">
      <c r="H1591" s="19"/>
    </row>
    <row r="1592" spans="8:8" s="4" customFormat="1">
      <c r="H1592" s="19"/>
    </row>
    <row r="1593" spans="8:8" s="4" customFormat="1">
      <c r="H1593" s="19"/>
    </row>
    <row r="1594" spans="8:8" s="4" customFormat="1">
      <c r="H1594" s="19"/>
    </row>
    <row r="1595" spans="8:8" s="4" customFormat="1">
      <c r="H1595" s="19"/>
    </row>
    <row r="1596" spans="8:8" s="4" customFormat="1">
      <c r="H1596" s="19"/>
    </row>
    <row r="1597" spans="8:8" s="4" customFormat="1">
      <c r="H1597" s="19"/>
    </row>
    <row r="1598" spans="8:8" s="4" customFormat="1">
      <c r="H1598" s="19"/>
    </row>
    <row r="1599" spans="8:8" s="4" customFormat="1">
      <c r="H1599" s="19"/>
    </row>
    <row r="1600" spans="8:8" s="4" customFormat="1">
      <c r="H1600" s="19"/>
    </row>
    <row r="1601" spans="8:8" s="4" customFormat="1">
      <c r="H1601" s="19"/>
    </row>
    <row r="1602" spans="8:8" s="4" customFormat="1">
      <c r="H1602" s="19"/>
    </row>
    <row r="1603" spans="8:8" s="4" customFormat="1">
      <c r="H1603" s="19"/>
    </row>
    <row r="1604" spans="8:8" s="4" customFormat="1">
      <c r="H1604" s="19"/>
    </row>
    <row r="1605" spans="8:8" s="4" customFormat="1">
      <c r="H1605" s="19"/>
    </row>
  </sheetData>
  <mergeCells count="16">
    <mergeCell ref="A10:B10"/>
    <mergeCell ref="A17:B17"/>
    <mergeCell ref="A18:B18"/>
    <mergeCell ref="A11:B11"/>
    <mergeCell ref="A12:B12"/>
    <mergeCell ref="A13:B13"/>
    <mergeCell ref="A14:B14"/>
    <mergeCell ref="A15:B15"/>
    <mergeCell ref="A16:B16"/>
    <mergeCell ref="A7:B7"/>
    <mergeCell ref="A3:B3"/>
    <mergeCell ref="A4:B4"/>
    <mergeCell ref="A5:B5"/>
    <mergeCell ref="A8:B8"/>
    <mergeCell ref="A9:B9"/>
    <mergeCell ref="A6:B6"/>
  </mergeCells>
  <phoneticPr fontId="6" type="noConversion"/>
  <pageMargins left="0.98425196850393704" right="0.31496062992125984" top="0.98425196850393704" bottom="0.51181102362204722" header="0.51181102362204722" footer="0.31496062992125984"/>
  <pageSetup paperSize="9" orientation="landscape" r:id="rId1"/>
  <headerFooter alignWithMargins="0"/>
  <ignoredErrors>
    <ignoredError sqref="D4:D5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M79"/>
  <sheetViews>
    <sheetView showGridLines="0" showZeros="0" zoomScale="90" zoomScaleNormal="90" zoomScaleSheetLayoutView="100" workbookViewId="0">
      <selection activeCell="A16" sqref="A16"/>
    </sheetView>
  </sheetViews>
  <sheetFormatPr defaultColWidth="8.33203125" defaultRowHeight="18" customHeight="1"/>
  <cols>
    <col min="1" max="1" width="22.6640625" style="8" customWidth="1"/>
    <col min="2" max="2" width="10.109375" style="8" customWidth="1"/>
    <col min="3" max="3" width="6" style="8" customWidth="1"/>
    <col min="4" max="4" width="5.5546875" style="9" customWidth="1"/>
    <col min="5" max="5" width="13.77734375" style="14" customWidth="1"/>
    <col min="6" max="6" width="9.77734375" style="14" customWidth="1"/>
    <col min="7" max="7" width="13.77734375" style="14" customWidth="1"/>
    <col min="8" max="8" width="9.77734375" style="14" customWidth="1"/>
    <col min="9" max="9" width="13.77734375" style="14" customWidth="1"/>
    <col min="10" max="10" width="12.21875" style="9" customWidth="1"/>
    <col min="11" max="16384" width="8.33203125" style="8"/>
  </cols>
  <sheetData>
    <row r="1" spans="1:10" s="10" customFormat="1" ht="27" customHeight="1">
      <c r="A1" s="625" t="s">
        <v>484</v>
      </c>
      <c r="B1" s="625"/>
      <c r="C1" s="625"/>
      <c r="D1" s="625"/>
      <c r="E1" s="625"/>
      <c r="F1" s="625"/>
      <c r="G1" s="625"/>
      <c r="H1" s="625"/>
      <c r="I1" s="625"/>
      <c r="J1" s="625"/>
    </row>
    <row r="2" spans="1:10" ht="27" customHeight="1">
      <c r="A2" s="123" t="s">
        <v>1</v>
      </c>
      <c r="B2" s="182">
        <f>+E18</f>
        <v>5075342</v>
      </c>
      <c r="C2" s="182" t="s">
        <v>2</v>
      </c>
      <c r="D2" s="183"/>
      <c r="E2" s="184"/>
      <c r="F2" s="184"/>
      <c r="G2" s="184"/>
      <c r="H2" s="184"/>
      <c r="I2" s="184"/>
      <c r="J2" s="125"/>
    </row>
    <row r="3" spans="1:10" ht="27" customHeight="1">
      <c r="A3" s="628" t="s">
        <v>3</v>
      </c>
      <c r="B3" s="630" t="s">
        <v>5</v>
      </c>
      <c r="C3" s="630" t="s">
        <v>251</v>
      </c>
      <c r="D3" s="630" t="s">
        <v>4</v>
      </c>
      <c r="E3" s="632" t="s">
        <v>7</v>
      </c>
      <c r="F3" s="130" t="s">
        <v>252</v>
      </c>
      <c r="G3" s="131"/>
      <c r="H3" s="130" t="s">
        <v>253</v>
      </c>
      <c r="I3" s="131"/>
      <c r="J3" s="634" t="s">
        <v>8</v>
      </c>
    </row>
    <row r="4" spans="1:10" ht="27" customHeight="1">
      <c r="A4" s="629"/>
      <c r="B4" s="631"/>
      <c r="C4" s="631"/>
      <c r="D4" s="631"/>
      <c r="E4" s="633"/>
      <c r="F4" s="136" t="s">
        <v>9</v>
      </c>
      <c r="G4" s="136" t="s">
        <v>10</v>
      </c>
      <c r="H4" s="136" t="s">
        <v>9</v>
      </c>
      <c r="I4" s="136" t="s">
        <v>10</v>
      </c>
      <c r="J4" s="635"/>
    </row>
    <row r="5" spans="1:10" ht="27" customHeight="1">
      <c r="A5" s="138" t="s">
        <v>203</v>
      </c>
      <c r="B5" s="139"/>
      <c r="C5" s="139">
        <f>'2. 위치 및 조사량'!$G$6</f>
        <v>2</v>
      </c>
      <c r="D5" s="140" t="s">
        <v>0</v>
      </c>
      <c r="E5" s="141">
        <f t="shared" ref="E5:E11" si="0">+G5+I5</f>
        <v>864112</v>
      </c>
      <c r="F5" s="141">
        <f>$G$23</f>
        <v>203270</v>
      </c>
      <c r="G5" s="141">
        <f t="shared" ref="G5:G11" si="1">TRUNC($C5*F5)</f>
        <v>406540</v>
      </c>
      <c r="H5" s="141">
        <f>$I$23</f>
        <v>228786</v>
      </c>
      <c r="I5" s="141">
        <f t="shared" ref="I5:I11" si="2">TRUNC($C5*H5)</f>
        <v>457572</v>
      </c>
      <c r="J5" s="142"/>
    </row>
    <row r="6" spans="1:10" ht="27" customHeight="1">
      <c r="A6" s="143" t="s">
        <v>205</v>
      </c>
      <c r="B6" s="144"/>
      <c r="C6" s="144">
        <f>'2. 위치 및 조사량'!$G$6</f>
        <v>2</v>
      </c>
      <c r="D6" s="145" t="s">
        <v>206</v>
      </c>
      <c r="E6" s="146">
        <f t="shared" si="0"/>
        <v>476720</v>
      </c>
      <c r="F6" s="146">
        <f>$G$24</f>
        <v>111798</v>
      </c>
      <c r="G6" s="146">
        <f>TRUNC($C6*F6)</f>
        <v>223596</v>
      </c>
      <c r="H6" s="146">
        <f>$I$24</f>
        <v>126562</v>
      </c>
      <c r="I6" s="146">
        <f t="shared" si="2"/>
        <v>253124</v>
      </c>
      <c r="J6" s="147"/>
    </row>
    <row r="7" spans="1:10" ht="27" customHeight="1">
      <c r="A7" s="143" t="s">
        <v>207</v>
      </c>
      <c r="B7" s="144"/>
      <c r="C7" s="144">
        <v>0</v>
      </c>
      <c r="D7" s="145" t="s">
        <v>208</v>
      </c>
      <c r="E7" s="146">
        <f>+G7+I7</f>
        <v>0</v>
      </c>
      <c r="F7" s="146">
        <f>$G$25</f>
        <v>83563</v>
      </c>
      <c r="G7" s="146">
        <f>TRUNC($C7*F7)</f>
        <v>0</v>
      </c>
      <c r="H7" s="146">
        <f>$I$25</f>
        <v>91270</v>
      </c>
      <c r="I7" s="146">
        <f>TRUNC($C7*H7)</f>
        <v>0</v>
      </c>
      <c r="J7" s="147"/>
    </row>
    <row r="8" spans="1:10" ht="27" customHeight="1">
      <c r="A8" s="143" t="s">
        <v>210</v>
      </c>
      <c r="B8" s="144"/>
      <c r="C8" s="144">
        <f>'2. 위치 및 조사량'!$H$6</f>
        <v>2</v>
      </c>
      <c r="D8" s="145" t="s">
        <v>208</v>
      </c>
      <c r="E8" s="146">
        <f t="shared" si="0"/>
        <v>1764140</v>
      </c>
      <c r="F8" s="146">
        <f>$G$26</f>
        <v>395290</v>
      </c>
      <c r="G8" s="146">
        <f t="shared" si="1"/>
        <v>790580</v>
      </c>
      <c r="H8" s="146">
        <f>$I$26</f>
        <v>486780</v>
      </c>
      <c r="I8" s="146">
        <f t="shared" si="2"/>
        <v>973560</v>
      </c>
      <c r="J8" s="147"/>
    </row>
    <row r="9" spans="1:10" ht="27" customHeight="1">
      <c r="A9" s="143" t="s">
        <v>211</v>
      </c>
      <c r="B9" s="144"/>
      <c r="C9" s="144">
        <f>$C$8</f>
        <v>2</v>
      </c>
      <c r="D9" s="145" t="s">
        <v>208</v>
      </c>
      <c r="E9" s="146">
        <f t="shared" si="0"/>
        <v>219432</v>
      </c>
      <c r="F9" s="146">
        <f>$G$27</f>
        <v>48869</v>
      </c>
      <c r="G9" s="146">
        <f t="shared" si="1"/>
        <v>97738</v>
      </c>
      <c r="H9" s="146">
        <f>$I$27</f>
        <v>60847</v>
      </c>
      <c r="I9" s="146">
        <f t="shared" si="2"/>
        <v>121694</v>
      </c>
      <c r="J9" s="147"/>
    </row>
    <row r="10" spans="1:10" ht="27" customHeight="1">
      <c r="A10" s="143" t="s">
        <v>212</v>
      </c>
      <c r="B10" s="144"/>
      <c r="C10" s="144">
        <f>'2. 위치 및 조사량'!$I$6</f>
        <v>2</v>
      </c>
      <c r="D10" s="145" t="s">
        <v>213</v>
      </c>
      <c r="E10" s="146">
        <f t="shared" si="0"/>
        <v>194304</v>
      </c>
      <c r="F10" s="146">
        <f>$G$28</f>
        <v>0</v>
      </c>
      <c r="G10" s="146">
        <f t="shared" si="1"/>
        <v>0</v>
      </c>
      <c r="H10" s="146">
        <f>$I$28</f>
        <v>97152</v>
      </c>
      <c r="I10" s="146">
        <f t="shared" si="2"/>
        <v>194304</v>
      </c>
      <c r="J10" s="147"/>
    </row>
    <row r="11" spans="1:10" ht="27" customHeight="1">
      <c r="A11" s="143" t="s">
        <v>254</v>
      </c>
      <c r="B11" s="144"/>
      <c r="C11" s="144">
        <f>'2. 위치 및 조사량'!$J$6</f>
        <v>2</v>
      </c>
      <c r="D11" s="145" t="s">
        <v>206</v>
      </c>
      <c r="E11" s="146">
        <f t="shared" si="0"/>
        <v>1556634</v>
      </c>
      <c r="F11" s="146">
        <f>$G$29</f>
        <v>325232</v>
      </c>
      <c r="G11" s="146">
        <f t="shared" si="1"/>
        <v>650464</v>
      </c>
      <c r="H11" s="146">
        <f>$I$29</f>
        <v>453085</v>
      </c>
      <c r="I11" s="146">
        <f t="shared" si="2"/>
        <v>906170</v>
      </c>
      <c r="J11" s="147"/>
    </row>
    <row r="12" spans="1:10" ht="27" customHeight="1">
      <c r="A12" s="143"/>
      <c r="B12" s="144"/>
      <c r="C12" s="144"/>
      <c r="D12" s="145"/>
      <c r="E12" s="146"/>
      <c r="F12" s="146"/>
      <c r="G12" s="146"/>
      <c r="H12" s="146"/>
      <c r="I12" s="146"/>
      <c r="J12" s="147"/>
    </row>
    <row r="13" spans="1:10" ht="27" customHeight="1">
      <c r="A13" s="143"/>
      <c r="B13" s="144"/>
      <c r="C13" s="144"/>
      <c r="D13" s="145"/>
      <c r="E13" s="146"/>
      <c r="F13" s="146"/>
      <c r="G13" s="146"/>
      <c r="H13" s="146"/>
      <c r="I13" s="146"/>
      <c r="J13" s="147"/>
    </row>
    <row r="14" spans="1:10" ht="27" customHeight="1">
      <c r="A14" s="143"/>
      <c r="B14" s="144"/>
      <c r="C14" s="144"/>
      <c r="D14" s="145"/>
      <c r="E14" s="146"/>
      <c r="F14" s="146"/>
      <c r="G14" s="146"/>
      <c r="H14" s="146"/>
      <c r="I14" s="146"/>
      <c r="J14" s="147"/>
    </row>
    <row r="15" spans="1:10" ht="27" customHeight="1">
      <c r="A15" s="143"/>
      <c r="B15" s="144"/>
      <c r="C15" s="144"/>
      <c r="D15" s="145"/>
      <c r="E15" s="146"/>
      <c r="F15" s="146"/>
      <c r="G15" s="146"/>
      <c r="H15" s="146"/>
      <c r="I15" s="146"/>
      <c r="J15" s="147"/>
    </row>
    <row r="16" spans="1:10" ht="27" customHeight="1">
      <c r="A16" s="143"/>
      <c r="B16" s="144"/>
      <c r="C16" s="144"/>
      <c r="D16" s="145"/>
      <c r="E16" s="146"/>
      <c r="F16" s="146"/>
      <c r="G16" s="146"/>
      <c r="H16" s="146"/>
      <c r="I16" s="146"/>
      <c r="J16" s="147"/>
    </row>
    <row r="17" spans="1:13" ht="27" customHeight="1">
      <c r="A17" s="143"/>
      <c r="B17" s="144"/>
      <c r="C17" s="144"/>
      <c r="D17" s="145"/>
      <c r="E17" s="146"/>
      <c r="F17" s="146"/>
      <c r="G17" s="146"/>
      <c r="H17" s="146"/>
      <c r="I17" s="146"/>
      <c r="J17" s="147"/>
    </row>
    <row r="18" spans="1:13" ht="27" customHeight="1">
      <c r="A18" s="149" t="s">
        <v>12</v>
      </c>
      <c r="B18" s="150"/>
      <c r="C18" s="150"/>
      <c r="D18" s="151"/>
      <c r="E18" s="152">
        <f>SUM(E5:E17)</f>
        <v>5075342</v>
      </c>
      <c r="F18" s="152"/>
      <c r="G18" s="152">
        <f>SUM(G5:G17)</f>
        <v>2168918</v>
      </c>
      <c r="H18" s="152"/>
      <c r="I18" s="152">
        <f>SUM(I5:I17)</f>
        <v>2906424</v>
      </c>
      <c r="J18" s="153"/>
    </row>
    <row r="19" spans="1:13" s="10" customFormat="1" ht="27" customHeight="1">
      <c r="A19" s="626" t="s">
        <v>250</v>
      </c>
      <c r="B19" s="626"/>
      <c r="C19" s="626"/>
      <c r="D19" s="626"/>
      <c r="E19" s="626"/>
      <c r="F19" s="626"/>
      <c r="G19" s="626"/>
      <c r="H19" s="626"/>
      <c r="I19" s="626"/>
      <c r="J19" s="626"/>
    </row>
    <row r="20" spans="1:13" ht="27" customHeight="1">
      <c r="A20" s="123" t="s">
        <v>1</v>
      </c>
      <c r="B20" s="124">
        <f>+E36</f>
        <v>0</v>
      </c>
      <c r="C20" s="124" t="s">
        <v>2</v>
      </c>
      <c r="D20" s="125"/>
      <c r="E20" s="126"/>
      <c r="F20" s="126"/>
      <c r="G20" s="126"/>
      <c r="H20" s="126"/>
      <c r="I20" s="126"/>
      <c r="J20" s="125"/>
    </row>
    <row r="21" spans="1:13" s="9" customFormat="1" ht="27" customHeight="1">
      <c r="A21" s="127" t="s">
        <v>3</v>
      </c>
      <c r="B21" s="128" t="s">
        <v>5</v>
      </c>
      <c r="C21" s="128" t="s">
        <v>6</v>
      </c>
      <c r="D21" s="128" t="s">
        <v>4</v>
      </c>
      <c r="E21" s="129" t="s">
        <v>7</v>
      </c>
      <c r="F21" s="130" t="s">
        <v>217</v>
      </c>
      <c r="G21" s="131"/>
      <c r="H21" s="130" t="s">
        <v>218</v>
      </c>
      <c r="I21" s="131"/>
      <c r="J21" s="132" t="s">
        <v>8</v>
      </c>
    </row>
    <row r="22" spans="1:13" s="9" customFormat="1" ht="27" customHeight="1">
      <c r="A22" s="133"/>
      <c r="B22" s="134"/>
      <c r="C22" s="134"/>
      <c r="D22" s="134"/>
      <c r="E22" s="135"/>
      <c r="F22" s="136" t="s">
        <v>9</v>
      </c>
      <c r="G22" s="136" t="s">
        <v>10</v>
      </c>
      <c r="H22" s="136" t="s">
        <v>9</v>
      </c>
      <c r="I22" s="136" t="s">
        <v>10</v>
      </c>
      <c r="J22" s="137"/>
    </row>
    <row r="23" spans="1:13" ht="27" customHeight="1">
      <c r="A23" s="138" t="s">
        <v>203</v>
      </c>
      <c r="B23" s="139"/>
      <c r="C23" s="139">
        <v>1</v>
      </c>
      <c r="D23" s="140" t="s">
        <v>0</v>
      </c>
      <c r="E23" s="141">
        <f t="shared" ref="E23:E29" si="3">+G23+I23</f>
        <v>432056</v>
      </c>
      <c r="F23" s="141">
        <f>G44*M24</f>
        <v>203270.32</v>
      </c>
      <c r="G23" s="141">
        <f t="shared" ref="G23:G29" si="4">TRUNC($C23*F23)</f>
        <v>203270</v>
      </c>
      <c r="H23" s="141">
        <f>I44*M24</f>
        <v>228786.8</v>
      </c>
      <c r="I23" s="141">
        <f t="shared" ref="I23:I29" si="5">TRUNC($C23*H23)</f>
        <v>228786</v>
      </c>
      <c r="J23" s="142" t="s">
        <v>204</v>
      </c>
      <c r="M23" s="554" t="s">
        <v>482</v>
      </c>
    </row>
    <row r="24" spans="1:13" ht="27" customHeight="1">
      <c r="A24" s="143" t="s">
        <v>205</v>
      </c>
      <c r="B24" s="144"/>
      <c r="C24" s="144">
        <v>1</v>
      </c>
      <c r="D24" s="145" t="s">
        <v>206</v>
      </c>
      <c r="E24" s="146">
        <f t="shared" si="3"/>
        <v>238360</v>
      </c>
      <c r="F24" s="146">
        <f>G49*M24</f>
        <v>111798.72</v>
      </c>
      <c r="G24" s="146">
        <f t="shared" si="4"/>
        <v>111798</v>
      </c>
      <c r="H24" s="146">
        <f>I49*M24</f>
        <v>126562.48</v>
      </c>
      <c r="I24" s="146">
        <f t="shared" si="5"/>
        <v>126562</v>
      </c>
      <c r="J24" s="147" t="s">
        <v>17</v>
      </c>
      <c r="M24" s="555">
        <v>0.88</v>
      </c>
    </row>
    <row r="25" spans="1:13" ht="27" customHeight="1">
      <c r="A25" s="143" t="s">
        <v>207</v>
      </c>
      <c r="B25" s="144"/>
      <c r="C25" s="144">
        <v>1</v>
      </c>
      <c r="D25" s="145" t="s">
        <v>208</v>
      </c>
      <c r="E25" s="146">
        <f>+G25+I25</f>
        <v>174833</v>
      </c>
      <c r="F25" s="148">
        <f>G54*M24</f>
        <v>83563.039999999994</v>
      </c>
      <c r="G25" s="146">
        <f>TRUNC($C25*F25)</f>
        <v>83563</v>
      </c>
      <c r="H25" s="148">
        <f>I54*M24</f>
        <v>91270.96</v>
      </c>
      <c r="I25" s="146">
        <f>TRUNC($C25*H25)</f>
        <v>91270</v>
      </c>
      <c r="J25" s="147" t="s">
        <v>209</v>
      </c>
    </row>
    <row r="26" spans="1:13" ht="27" customHeight="1">
      <c r="A26" s="143" t="s">
        <v>210</v>
      </c>
      <c r="B26" s="144"/>
      <c r="C26" s="144">
        <v>1</v>
      </c>
      <c r="D26" s="145" t="s">
        <v>208</v>
      </c>
      <c r="E26" s="146">
        <f t="shared" si="3"/>
        <v>882070</v>
      </c>
      <c r="F26" s="148">
        <f>G62*M24</f>
        <v>395290.72000000003</v>
      </c>
      <c r="G26" s="146">
        <f t="shared" si="4"/>
        <v>395290</v>
      </c>
      <c r="H26" s="148">
        <f>I62*M24</f>
        <v>486780.8</v>
      </c>
      <c r="I26" s="146">
        <f t="shared" si="5"/>
        <v>486780</v>
      </c>
      <c r="J26" s="147" t="s">
        <v>44</v>
      </c>
    </row>
    <row r="27" spans="1:13" ht="27" customHeight="1">
      <c r="A27" s="143" t="s">
        <v>211</v>
      </c>
      <c r="B27" s="144"/>
      <c r="C27" s="144">
        <v>1</v>
      </c>
      <c r="D27" s="145" t="s">
        <v>208</v>
      </c>
      <c r="E27" s="146">
        <f t="shared" si="3"/>
        <v>109716</v>
      </c>
      <c r="F27" s="146">
        <f>G67*M24</f>
        <v>48869.04</v>
      </c>
      <c r="G27" s="146">
        <f t="shared" si="4"/>
        <v>48869</v>
      </c>
      <c r="H27" s="146">
        <f>I67*M24</f>
        <v>60847.6</v>
      </c>
      <c r="I27" s="146">
        <f t="shared" si="5"/>
        <v>60847</v>
      </c>
      <c r="J27" s="147" t="s">
        <v>42</v>
      </c>
    </row>
    <row r="28" spans="1:13" ht="27" customHeight="1">
      <c r="A28" s="143" t="s">
        <v>212</v>
      </c>
      <c r="B28" s="144"/>
      <c r="C28" s="144">
        <v>1</v>
      </c>
      <c r="D28" s="145" t="s">
        <v>213</v>
      </c>
      <c r="E28" s="146">
        <f t="shared" si="3"/>
        <v>97152</v>
      </c>
      <c r="F28" s="146">
        <f>G71</f>
        <v>0</v>
      </c>
      <c r="G28" s="146">
        <f t="shared" si="4"/>
        <v>0</v>
      </c>
      <c r="H28" s="146">
        <f>I71*M24</f>
        <v>97152</v>
      </c>
      <c r="I28" s="146">
        <f t="shared" si="5"/>
        <v>97152</v>
      </c>
      <c r="J28" s="147" t="s">
        <v>45</v>
      </c>
    </row>
    <row r="29" spans="1:13" ht="27" customHeight="1">
      <c r="A29" s="143" t="s">
        <v>214</v>
      </c>
      <c r="B29" s="145"/>
      <c r="C29" s="144">
        <v>1</v>
      </c>
      <c r="D29" s="145" t="s">
        <v>206</v>
      </c>
      <c r="E29" s="146">
        <f t="shared" si="3"/>
        <v>778317</v>
      </c>
      <c r="F29" s="146">
        <f>G76*M24</f>
        <v>325232.15999999997</v>
      </c>
      <c r="G29" s="146">
        <f t="shared" si="4"/>
        <v>325232</v>
      </c>
      <c r="H29" s="146">
        <f>I76*M24</f>
        <v>453085.6</v>
      </c>
      <c r="I29" s="146">
        <f t="shared" si="5"/>
        <v>453085</v>
      </c>
      <c r="J29" s="147" t="s">
        <v>43</v>
      </c>
    </row>
    <row r="30" spans="1:13" ht="27" customHeight="1">
      <c r="A30" s="143"/>
      <c r="B30" s="145"/>
      <c r="C30" s="144"/>
      <c r="D30" s="145"/>
      <c r="E30" s="146"/>
      <c r="F30" s="148"/>
      <c r="G30" s="146"/>
      <c r="H30" s="146"/>
      <c r="I30" s="146"/>
      <c r="J30" s="147"/>
    </row>
    <row r="31" spans="1:13" ht="27" customHeight="1">
      <c r="A31" s="143"/>
      <c r="B31" s="144"/>
      <c r="C31" s="144"/>
      <c r="D31" s="145"/>
      <c r="E31" s="146"/>
      <c r="F31" s="146"/>
      <c r="G31" s="146"/>
      <c r="H31" s="146"/>
      <c r="I31" s="146"/>
      <c r="J31" s="147"/>
    </row>
    <row r="32" spans="1:13" ht="27" customHeight="1">
      <c r="A32" s="143"/>
      <c r="B32" s="144"/>
      <c r="C32" s="144"/>
      <c r="D32" s="145"/>
      <c r="E32" s="146"/>
      <c r="F32" s="146"/>
      <c r="G32" s="146"/>
      <c r="H32" s="146"/>
      <c r="I32" s="146"/>
      <c r="J32" s="147"/>
    </row>
    <row r="33" spans="1:11" ht="27" customHeight="1">
      <c r="A33" s="143"/>
      <c r="B33" s="144"/>
      <c r="C33" s="144"/>
      <c r="D33" s="145"/>
      <c r="E33" s="146"/>
      <c r="F33" s="146"/>
      <c r="G33" s="146"/>
      <c r="H33" s="146"/>
      <c r="I33" s="146"/>
      <c r="J33" s="147"/>
    </row>
    <row r="34" spans="1:11" ht="27" customHeight="1">
      <c r="A34" s="143"/>
      <c r="B34" s="144"/>
      <c r="C34" s="144"/>
      <c r="D34" s="145"/>
      <c r="E34" s="146"/>
      <c r="F34" s="146"/>
      <c r="G34" s="146"/>
      <c r="H34" s="146"/>
      <c r="I34" s="146"/>
      <c r="J34" s="147"/>
    </row>
    <row r="35" spans="1:11" ht="27" customHeight="1">
      <c r="A35" s="143"/>
      <c r="B35" s="144"/>
      <c r="C35" s="144"/>
      <c r="D35" s="145"/>
      <c r="E35" s="146"/>
      <c r="F35" s="146"/>
      <c r="G35" s="146"/>
      <c r="H35" s="146"/>
      <c r="I35" s="146"/>
      <c r="J35" s="147"/>
    </row>
    <row r="36" spans="1:11" ht="27" customHeight="1">
      <c r="A36" s="149"/>
      <c r="B36" s="150"/>
      <c r="C36" s="150"/>
      <c r="D36" s="151"/>
      <c r="E36" s="152"/>
      <c r="F36" s="152"/>
      <c r="G36" s="152"/>
      <c r="H36" s="152"/>
      <c r="I36" s="152"/>
      <c r="J36" s="153"/>
    </row>
    <row r="37" spans="1:11" ht="27.6" customHeight="1">
      <c r="A37" s="627" t="s">
        <v>215</v>
      </c>
      <c r="B37" s="627"/>
      <c r="C37" s="627"/>
      <c r="D37" s="627"/>
      <c r="E37" s="627"/>
      <c r="F37" s="627"/>
      <c r="G37" s="627"/>
      <c r="H37" s="627"/>
      <c r="I37" s="627"/>
      <c r="J37" s="627"/>
    </row>
    <row r="38" spans="1:11" ht="27.6" customHeight="1">
      <c r="A38" s="628" t="s">
        <v>3</v>
      </c>
      <c r="B38" s="630" t="s">
        <v>5</v>
      </c>
      <c r="C38" s="630" t="s">
        <v>216</v>
      </c>
      <c r="D38" s="630" t="s">
        <v>4</v>
      </c>
      <c r="E38" s="632" t="s">
        <v>7</v>
      </c>
      <c r="F38" s="130" t="s">
        <v>217</v>
      </c>
      <c r="G38" s="131"/>
      <c r="H38" s="130" t="s">
        <v>218</v>
      </c>
      <c r="I38" s="131"/>
      <c r="J38" s="634" t="s">
        <v>8</v>
      </c>
    </row>
    <row r="39" spans="1:11" ht="27.6" customHeight="1">
      <c r="A39" s="629"/>
      <c r="B39" s="631"/>
      <c r="C39" s="631"/>
      <c r="D39" s="631"/>
      <c r="E39" s="633"/>
      <c r="F39" s="136" t="s">
        <v>9</v>
      </c>
      <c r="G39" s="136" t="s">
        <v>10</v>
      </c>
      <c r="H39" s="136" t="s">
        <v>9</v>
      </c>
      <c r="I39" s="136" t="s">
        <v>10</v>
      </c>
      <c r="J39" s="635"/>
    </row>
    <row r="40" spans="1:11" s="10" customFormat="1" ht="27.6" customHeight="1">
      <c r="A40" s="154" t="s">
        <v>204</v>
      </c>
      <c r="B40" s="155" t="s">
        <v>219</v>
      </c>
      <c r="C40" s="156"/>
      <c r="D40" s="156"/>
      <c r="E40" s="157"/>
      <c r="F40" s="157"/>
      <c r="G40" s="157"/>
      <c r="H40" s="157"/>
      <c r="I40" s="158">
        <f>INT(2.4*0.785*100)/100</f>
        <v>1.88</v>
      </c>
      <c r="J40" s="159" t="s">
        <v>220</v>
      </c>
    </row>
    <row r="41" spans="1:11" ht="27.6" customHeight="1">
      <c r="A41" s="143" t="s">
        <v>221</v>
      </c>
      <c r="B41" s="144"/>
      <c r="C41" s="160">
        <f>TRUNC(I40*$K$41,2)</f>
        <v>1.2</v>
      </c>
      <c r="D41" s="145" t="s">
        <v>13</v>
      </c>
      <c r="E41" s="146">
        <f>+G41+I41</f>
        <v>230989</v>
      </c>
      <c r="F41" s="146">
        <f>단가표!E6</f>
        <v>192491</v>
      </c>
      <c r="G41" s="146">
        <f>TRUNC($C41*F41)</f>
        <v>230989</v>
      </c>
      <c r="H41" s="146"/>
      <c r="I41" s="146"/>
      <c r="J41" s="161" t="s">
        <v>222</v>
      </c>
      <c r="K41" s="472">
        <v>0.64</v>
      </c>
    </row>
    <row r="42" spans="1:11" ht="27.6" customHeight="1">
      <c r="A42" s="143" t="s">
        <v>223</v>
      </c>
      <c r="B42" s="144"/>
      <c r="C42" s="160">
        <f>I40</f>
        <v>1.88</v>
      </c>
      <c r="D42" s="145" t="s">
        <v>13</v>
      </c>
      <c r="E42" s="146">
        <f>G42+I42</f>
        <v>259985</v>
      </c>
      <c r="F42" s="146"/>
      <c r="G42" s="146"/>
      <c r="H42" s="146">
        <f>단가표!E12</f>
        <v>138290</v>
      </c>
      <c r="I42" s="146">
        <f>TRUNC($C42*H42)</f>
        <v>259985</v>
      </c>
      <c r="J42" s="161" t="s">
        <v>224</v>
      </c>
    </row>
    <row r="43" spans="1:11" ht="27.6" customHeight="1">
      <c r="A43" s="474"/>
      <c r="B43" s="475"/>
      <c r="C43" s="476"/>
      <c r="D43" s="477"/>
      <c r="E43" s="478"/>
      <c r="F43" s="478"/>
      <c r="G43" s="478"/>
      <c r="H43" s="478"/>
      <c r="I43" s="478"/>
      <c r="J43" s="479"/>
    </row>
    <row r="44" spans="1:11" ht="27.6" customHeight="1">
      <c r="A44" s="149" t="s">
        <v>12</v>
      </c>
      <c r="B44" s="150"/>
      <c r="C44" s="162"/>
      <c r="D44" s="151"/>
      <c r="E44" s="152">
        <f>SUM(E41:E42)</f>
        <v>490974</v>
      </c>
      <c r="F44" s="152"/>
      <c r="G44" s="152">
        <f>SUM(G41:G42)</f>
        <v>230989</v>
      </c>
      <c r="H44" s="152"/>
      <c r="I44" s="152">
        <f>SUM(I41:I42)</f>
        <v>259985</v>
      </c>
      <c r="J44" s="163" t="s">
        <v>225</v>
      </c>
    </row>
    <row r="45" spans="1:11" s="10" customFormat="1" ht="27.6" customHeight="1">
      <c r="A45" s="154" t="s">
        <v>226</v>
      </c>
      <c r="B45" s="155" t="s">
        <v>227</v>
      </c>
      <c r="C45" s="156"/>
      <c r="D45" s="156"/>
      <c r="E45" s="157"/>
      <c r="F45" s="157"/>
      <c r="G45" s="157"/>
      <c r="H45" s="157"/>
      <c r="I45" s="158">
        <f>INT((78.5*2)/150*100)/100</f>
        <v>1.04</v>
      </c>
      <c r="J45" s="159" t="s">
        <v>220</v>
      </c>
    </row>
    <row r="46" spans="1:11" ht="27.6" customHeight="1">
      <c r="A46" s="143" t="s">
        <v>221</v>
      </c>
      <c r="B46" s="144"/>
      <c r="C46" s="160">
        <f>TRUNC(I45*$K$41,2)</f>
        <v>0.66</v>
      </c>
      <c r="D46" s="145" t="s">
        <v>13</v>
      </c>
      <c r="E46" s="146">
        <f>+G46+I46</f>
        <v>127044</v>
      </c>
      <c r="F46" s="146">
        <f>단가표!E6</f>
        <v>192491</v>
      </c>
      <c r="G46" s="146">
        <f>TRUNC($C46*F46)</f>
        <v>127044</v>
      </c>
      <c r="H46" s="146"/>
      <c r="I46" s="146"/>
      <c r="J46" s="161" t="s">
        <v>222</v>
      </c>
    </row>
    <row r="47" spans="1:11" ht="27.6" customHeight="1">
      <c r="A47" s="143" t="s">
        <v>223</v>
      </c>
      <c r="B47" s="144"/>
      <c r="C47" s="160">
        <f>I45</f>
        <v>1.04</v>
      </c>
      <c r="D47" s="145" t="s">
        <v>13</v>
      </c>
      <c r="E47" s="146">
        <f>+G47+I47</f>
        <v>143821</v>
      </c>
      <c r="F47" s="146"/>
      <c r="G47" s="146"/>
      <c r="H47" s="146">
        <f>단가표!E12</f>
        <v>138290</v>
      </c>
      <c r="I47" s="146">
        <f>TRUNC($C47*H47)</f>
        <v>143821</v>
      </c>
      <c r="J47" s="161" t="s">
        <v>228</v>
      </c>
    </row>
    <row r="48" spans="1:11" ht="27.6" customHeight="1">
      <c r="A48" s="474"/>
      <c r="B48" s="475"/>
      <c r="C48" s="476"/>
      <c r="D48" s="477"/>
      <c r="E48" s="478"/>
      <c r="F48" s="478"/>
      <c r="G48" s="478"/>
      <c r="H48" s="478"/>
      <c r="I48" s="478"/>
      <c r="J48" s="479"/>
    </row>
    <row r="49" spans="1:10" ht="27.6" customHeight="1">
      <c r="A49" s="149" t="s">
        <v>12</v>
      </c>
      <c r="B49" s="150"/>
      <c r="C49" s="162"/>
      <c r="D49" s="151"/>
      <c r="E49" s="152">
        <f>SUM(E46:E47)</f>
        <v>270865</v>
      </c>
      <c r="F49" s="152"/>
      <c r="G49" s="152">
        <f>SUM(G46:G47)</f>
        <v>127044</v>
      </c>
      <c r="H49" s="152"/>
      <c r="I49" s="152">
        <f>SUM(I46:I47)</f>
        <v>143821</v>
      </c>
      <c r="J49" s="164" t="s">
        <v>229</v>
      </c>
    </row>
    <row r="50" spans="1:10" s="10" customFormat="1" ht="27.6" customHeight="1">
      <c r="A50" s="165" t="s">
        <v>209</v>
      </c>
      <c r="B50" s="155" t="s">
        <v>230</v>
      </c>
      <c r="C50" s="166"/>
      <c r="D50" s="156"/>
      <c r="E50" s="157"/>
      <c r="F50" s="157"/>
      <c r="G50" s="157"/>
      <c r="H50" s="157"/>
      <c r="I50" s="167">
        <v>0.375</v>
      </c>
      <c r="J50" s="159" t="s">
        <v>231</v>
      </c>
    </row>
    <row r="51" spans="1:10" ht="27.6" customHeight="1">
      <c r="A51" s="143" t="s">
        <v>221</v>
      </c>
      <c r="B51" s="144"/>
      <c r="C51" s="160">
        <f>INT(I50*0.5*100)/100</f>
        <v>0.18</v>
      </c>
      <c r="D51" s="145" t="s">
        <v>13</v>
      </c>
      <c r="E51" s="146">
        <f>+G51+I51</f>
        <v>34648</v>
      </c>
      <c r="F51" s="146">
        <f>단가표!E6</f>
        <v>192491</v>
      </c>
      <c r="G51" s="146">
        <f>INT(C51*F51)</f>
        <v>34648</v>
      </c>
      <c r="H51" s="146"/>
      <c r="I51" s="146"/>
      <c r="J51" s="161" t="s">
        <v>232</v>
      </c>
    </row>
    <row r="52" spans="1:10" ht="27.6" customHeight="1">
      <c r="A52" s="143" t="s">
        <v>404</v>
      </c>
      <c r="B52" s="144"/>
      <c r="C52" s="160">
        <f>INT(I50*1*100)/100</f>
        <v>0.37</v>
      </c>
      <c r="D52" s="145" t="s">
        <v>13</v>
      </c>
      <c r="E52" s="146">
        <f>+G52+I52</f>
        <v>60310</v>
      </c>
      <c r="F52" s="146">
        <f>단가표!E8</f>
        <v>163000</v>
      </c>
      <c r="G52" s="146">
        <f>INT(C52*F52)</f>
        <v>60310</v>
      </c>
      <c r="H52" s="146"/>
      <c r="I52" s="146"/>
      <c r="J52" s="161" t="s">
        <v>233</v>
      </c>
    </row>
    <row r="53" spans="1:10" ht="27.6" customHeight="1">
      <c r="A53" s="143" t="s">
        <v>223</v>
      </c>
      <c r="B53" s="168"/>
      <c r="C53" s="160">
        <f>INT(I50*2*100)/100</f>
        <v>0.75</v>
      </c>
      <c r="D53" s="169" t="s">
        <v>13</v>
      </c>
      <c r="E53" s="146">
        <f>+G53+I53</f>
        <v>103717</v>
      </c>
      <c r="F53" s="146"/>
      <c r="G53" s="146"/>
      <c r="H53" s="146">
        <f>단가표!E12</f>
        <v>138290</v>
      </c>
      <c r="I53" s="146">
        <f>INT(C53*H53)</f>
        <v>103717</v>
      </c>
      <c r="J53" s="161" t="s">
        <v>234</v>
      </c>
    </row>
    <row r="54" spans="1:10" ht="27.6" customHeight="1">
      <c r="A54" s="149" t="s">
        <v>12</v>
      </c>
      <c r="B54" s="150"/>
      <c r="C54" s="162"/>
      <c r="D54" s="151"/>
      <c r="E54" s="152">
        <f>SUM(E51:E53)</f>
        <v>198675</v>
      </c>
      <c r="F54" s="152"/>
      <c r="G54" s="152">
        <f>SUM(G51:G53)</f>
        <v>94958</v>
      </c>
      <c r="H54" s="152"/>
      <c r="I54" s="152">
        <f>SUM(I51:I53)</f>
        <v>103717</v>
      </c>
      <c r="J54" s="163" t="s">
        <v>229</v>
      </c>
    </row>
    <row r="55" spans="1:10" ht="22.5" customHeight="1">
      <c r="A55" s="627" t="s">
        <v>215</v>
      </c>
      <c r="B55" s="627"/>
      <c r="C55" s="627"/>
      <c r="D55" s="627"/>
      <c r="E55" s="627"/>
      <c r="F55" s="627"/>
      <c r="G55" s="627"/>
      <c r="H55" s="627"/>
      <c r="I55" s="627"/>
      <c r="J55" s="627"/>
    </row>
    <row r="56" spans="1:10" ht="22.5" customHeight="1">
      <c r="A56" s="628" t="s">
        <v>3</v>
      </c>
      <c r="B56" s="630" t="s">
        <v>5</v>
      </c>
      <c r="C56" s="630" t="s">
        <v>216</v>
      </c>
      <c r="D56" s="630" t="s">
        <v>4</v>
      </c>
      <c r="E56" s="632" t="s">
        <v>7</v>
      </c>
      <c r="F56" s="130" t="s">
        <v>217</v>
      </c>
      <c r="G56" s="131"/>
      <c r="H56" s="130" t="s">
        <v>218</v>
      </c>
      <c r="I56" s="131"/>
      <c r="J56" s="634" t="s">
        <v>8</v>
      </c>
    </row>
    <row r="57" spans="1:10" ht="22.5" customHeight="1">
      <c r="A57" s="629"/>
      <c r="B57" s="631"/>
      <c r="C57" s="631"/>
      <c r="D57" s="631"/>
      <c r="E57" s="633"/>
      <c r="F57" s="136" t="s">
        <v>9</v>
      </c>
      <c r="G57" s="136" t="s">
        <v>10</v>
      </c>
      <c r="H57" s="136" t="s">
        <v>9</v>
      </c>
      <c r="I57" s="136" t="s">
        <v>10</v>
      </c>
      <c r="J57" s="635"/>
    </row>
    <row r="58" spans="1:10" s="10" customFormat="1" ht="22.5" customHeight="1">
      <c r="A58" s="165" t="s">
        <v>235</v>
      </c>
      <c r="B58" s="155" t="s">
        <v>236</v>
      </c>
      <c r="C58" s="166"/>
      <c r="D58" s="156"/>
      <c r="E58" s="157"/>
      <c r="F58" s="157"/>
      <c r="G58" s="157"/>
      <c r="H58" s="157"/>
      <c r="I58" s="167">
        <v>2</v>
      </c>
      <c r="J58" s="159" t="s">
        <v>231</v>
      </c>
    </row>
    <row r="59" spans="1:10" ht="22.5" customHeight="1">
      <c r="A59" s="143" t="s">
        <v>221</v>
      </c>
      <c r="B59" s="144"/>
      <c r="C59" s="160">
        <f>TRUNC(I58*0.5*$K$41,2)</f>
        <v>0.64</v>
      </c>
      <c r="D59" s="145" t="s">
        <v>13</v>
      </c>
      <c r="E59" s="146">
        <f>+G59+I59</f>
        <v>123194</v>
      </c>
      <c r="F59" s="146">
        <f>F41</f>
        <v>192491</v>
      </c>
      <c r="G59" s="146">
        <f>INT(C59*F59)</f>
        <v>123194</v>
      </c>
      <c r="H59" s="146"/>
      <c r="I59" s="146"/>
      <c r="J59" s="161" t="s">
        <v>237</v>
      </c>
    </row>
    <row r="60" spans="1:10" ht="22.5" customHeight="1">
      <c r="A60" s="143" t="s">
        <v>404</v>
      </c>
      <c r="B60" s="144"/>
      <c r="C60" s="160">
        <f>INT(I58*1*100)/100</f>
        <v>2</v>
      </c>
      <c r="D60" s="145" t="s">
        <v>13</v>
      </c>
      <c r="E60" s="146">
        <f>+G60+I60</f>
        <v>326000</v>
      </c>
      <c r="F60" s="146">
        <f>F52</f>
        <v>163000</v>
      </c>
      <c r="G60" s="146">
        <f>INT(C60*F60)</f>
        <v>326000</v>
      </c>
      <c r="H60" s="146"/>
      <c r="I60" s="146"/>
      <c r="J60" s="161" t="s">
        <v>233</v>
      </c>
    </row>
    <row r="61" spans="1:10" ht="22.5" customHeight="1">
      <c r="A61" s="143" t="s">
        <v>223</v>
      </c>
      <c r="B61" s="168"/>
      <c r="C61" s="160">
        <f>INT(I58*2*100)/100</f>
        <v>4</v>
      </c>
      <c r="D61" s="169" t="s">
        <v>13</v>
      </c>
      <c r="E61" s="146">
        <f>+G61+I61</f>
        <v>553160</v>
      </c>
      <c r="F61" s="146"/>
      <c r="G61" s="146"/>
      <c r="H61" s="146">
        <f>H53</f>
        <v>138290</v>
      </c>
      <c r="I61" s="146">
        <f>INT(C61*H61)</f>
        <v>553160</v>
      </c>
      <c r="J61" s="161" t="s">
        <v>234</v>
      </c>
    </row>
    <row r="62" spans="1:10" ht="22.5" customHeight="1">
      <c r="A62" s="149" t="s">
        <v>12</v>
      </c>
      <c r="B62" s="150"/>
      <c r="C62" s="162"/>
      <c r="D62" s="151"/>
      <c r="E62" s="152">
        <f>SUM(E59:E61)</f>
        <v>1002354</v>
      </c>
      <c r="F62" s="152"/>
      <c r="G62" s="152">
        <f>SUM(G59:G61)</f>
        <v>449194</v>
      </c>
      <c r="H62" s="152"/>
      <c r="I62" s="152">
        <f>SUM(I59:I61)</f>
        <v>553160</v>
      </c>
      <c r="J62" s="163" t="s">
        <v>229</v>
      </c>
    </row>
    <row r="63" spans="1:10" s="10" customFormat="1" ht="22.5" customHeight="1">
      <c r="A63" s="165" t="s">
        <v>238</v>
      </c>
      <c r="B63" s="155" t="s">
        <v>239</v>
      </c>
      <c r="C63" s="166"/>
      <c r="D63" s="156"/>
      <c r="E63" s="157"/>
      <c r="F63" s="157"/>
      <c r="G63" s="157"/>
      <c r="H63" s="157"/>
      <c r="I63" s="167">
        <f>2/8</f>
        <v>0.25</v>
      </c>
      <c r="J63" s="159" t="s">
        <v>231</v>
      </c>
    </row>
    <row r="64" spans="1:10" ht="22.5" customHeight="1">
      <c r="A64" s="143" t="s">
        <v>221</v>
      </c>
      <c r="B64" s="144"/>
      <c r="C64" s="160">
        <f>TRUNC(I63*0.5,2)*$K$41</f>
        <v>7.6799999999999993E-2</v>
      </c>
      <c r="D64" s="145" t="s">
        <v>13</v>
      </c>
      <c r="E64" s="146">
        <f>+G64+I64</f>
        <v>14783</v>
      </c>
      <c r="F64" s="146">
        <f>F59</f>
        <v>192491</v>
      </c>
      <c r="G64" s="473">
        <f>INT($C64*F64)</f>
        <v>14783</v>
      </c>
      <c r="H64" s="146"/>
      <c r="I64" s="146"/>
      <c r="J64" s="161" t="s">
        <v>240</v>
      </c>
    </row>
    <row r="65" spans="1:10" ht="22.5" customHeight="1">
      <c r="A65" s="143" t="s">
        <v>404</v>
      </c>
      <c r="B65" s="144"/>
      <c r="C65" s="160">
        <f>INT(I63*1*100)/100</f>
        <v>0.25</v>
      </c>
      <c r="D65" s="145" t="s">
        <v>13</v>
      </c>
      <c r="E65" s="146">
        <f>+G65+I65</f>
        <v>40750</v>
      </c>
      <c r="F65" s="146">
        <f>F60</f>
        <v>163000</v>
      </c>
      <c r="G65" s="146">
        <f>INT($C65*F65)</f>
        <v>40750</v>
      </c>
      <c r="H65" s="146"/>
      <c r="I65" s="146"/>
      <c r="J65" s="161"/>
    </row>
    <row r="66" spans="1:10" ht="22.5" customHeight="1">
      <c r="A66" s="143" t="s">
        <v>223</v>
      </c>
      <c r="B66" s="168"/>
      <c r="C66" s="160">
        <f>INT(I63*2*100)/100</f>
        <v>0.5</v>
      </c>
      <c r="D66" s="169" t="s">
        <v>13</v>
      </c>
      <c r="E66" s="146">
        <f>+G66+I66</f>
        <v>69145</v>
      </c>
      <c r="F66" s="146"/>
      <c r="G66" s="146"/>
      <c r="H66" s="146">
        <f>H61</f>
        <v>138290</v>
      </c>
      <c r="I66" s="146">
        <f>INT($C66*H66)</f>
        <v>69145</v>
      </c>
      <c r="J66" s="161"/>
    </row>
    <row r="67" spans="1:10" ht="22.5" customHeight="1">
      <c r="A67" s="149" t="s">
        <v>12</v>
      </c>
      <c r="B67" s="150"/>
      <c r="C67" s="162"/>
      <c r="D67" s="151"/>
      <c r="E67" s="152">
        <f>SUM(E64:E66)</f>
        <v>124678</v>
      </c>
      <c r="F67" s="152"/>
      <c r="G67" s="152">
        <f>SUM(G64:G66)</f>
        <v>55533</v>
      </c>
      <c r="H67" s="152"/>
      <c r="I67" s="152">
        <f>SUM(I64:I66)</f>
        <v>69145</v>
      </c>
      <c r="J67" s="164" t="s">
        <v>229</v>
      </c>
    </row>
    <row r="68" spans="1:10" s="10" customFormat="1" ht="22.5" customHeight="1">
      <c r="A68" s="165" t="s">
        <v>241</v>
      </c>
      <c r="B68" s="155" t="s">
        <v>242</v>
      </c>
      <c r="C68" s="166"/>
      <c r="D68" s="156"/>
      <c r="E68" s="157"/>
      <c r="F68" s="157"/>
      <c r="G68" s="157"/>
      <c r="H68" s="157"/>
      <c r="I68" s="170">
        <v>1</v>
      </c>
      <c r="J68" s="159" t="s">
        <v>231</v>
      </c>
    </row>
    <row r="69" spans="1:10" s="11" customFormat="1" ht="22.5" customHeight="1">
      <c r="A69" s="171" t="s">
        <v>243</v>
      </c>
      <c r="B69" s="172" t="s">
        <v>15</v>
      </c>
      <c r="C69" s="173">
        <v>1</v>
      </c>
      <c r="D69" s="174" t="s">
        <v>11</v>
      </c>
      <c r="E69" s="146">
        <f t="shared" ref="E69:E75" si="6">+G69+I69</f>
        <v>109400</v>
      </c>
      <c r="F69" s="146"/>
      <c r="G69" s="146"/>
      <c r="H69" s="146">
        <v>109400</v>
      </c>
      <c r="I69" s="146">
        <f>TRUNC($C69*H69)</f>
        <v>109400</v>
      </c>
      <c r="J69" s="175">
        <v>15</v>
      </c>
    </row>
    <row r="70" spans="1:10" s="11" customFormat="1" ht="22.5" customHeight="1">
      <c r="A70" s="171" t="s">
        <v>244</v>
      </c>
      <c r="B70" s="172" t="s">
        <v>16</v>
      </c>
      <c r="C70" s="173">
        <v>1</v>
      </c>
      <c r="D70" s="174" t="s">
        <v>14</v>
      </c>
      <c r="E70" s="146">
        <f t="shared" si="6"/>
        <v>1000</v>
      </c>
      <c r="F70" s="146"/>
      <c r="G70" s="146"/>
      <c r="H70" s="146">
        <f>TRUNC(1000*1)</f>
        <v>1000</v>
      </c>
      <c r="I70" s="146">
        <f>TRUNC($C70*H70)</f>
        <v>1000</v>
      </c>
      <c r="J70" s="176"/>
    </row>
    <row r="71" spans="1:10" s="11" customFormat="1" ht="22.5" customHeight="1">
      <c r="A71" s="177" t="s">
        <v>12</v>
      </c>
      <c r="B71" s="178"/>
      <c r="C71" s="179"/>
      <c r="D71" s="180"/>
      <c r="E71" s="152">
        <f>SUM(E69:E70)</f>
        <v>110400</v>
      </c>
      <c r="F71" s="152"/>
      <c r="G71" s="152">
        <f>SUM(G69:G70)</f>
        <v>0</v>
      </c>
      <c r="H71" s="152"/>
      <c r="I71" s="152">
        <f>SUM(I69:I70)</f>
        <v>110400</v>
      </c>
      <c r="J71" s="181"/>
    </row>
    <row r="72" spans="1:10" s="10" customFormat="1" ht="22.5" customHeight="1">
      <c r="A72" s="154" t="s">
        <v>245</v>
      </c>
      <c r="B72" s="155" t="s">
        <v>398</v>
      </c>
      <c r="C72" s="166"/>
      <c r="D72" s="156"/>
      <c r="E72" s="157"/>
      <c r="F72" s="157"/>
      <c r="G72" s="157"/>
      <c r="H72" s="157"/>
      <c r="I72" s="170">
        <v>3</v>
      </c>
      <c r="J72" s="159" t="s">
        <v>220</v>
      </c>
    </row>
    <row r="73" spans="1:10" ht="22.5" customHeight="1">
      <c r="A73" s="143" t="s">
        <v>404</v>
      </c>
      <c r="B73" s="144"/>
      <c r="C73" s="160">
        <f>TRUNC(I72*$K$41,2)</f>
        <v>1.92</v>
      </c>
      <c r="D73" s="145" t="s">
        <v>13</v>
      </c>
      <c r="E73" s="146">
        <f t="shared" si="6"/>
        <v>369582</v>
      </c>
      <c r="F73" s="146">
        <f>F59</f>
        <v>192491</v>
      </c>
      <c r="G73" s="146">
        <f>TRUNC($C73*F73)</f>
        <v>369582</v>
      </c>
      <c r="H73" s="146"/>
      <c r="I73" s="146"/>
      <c r="J73" s="161"/>
    </row>
    <row r="74" spans="1:10" ht="22.5" customHeight="1">
      <c r="A74" s="143" t="s">
        <v>223</v>
      </c>
      <c r="B74" s="144"/>
      <c r="C74" s="160">
        <f>I$72</f>
        <v>3</v>
      </c>
      <c r="D74" s="145" t="s">
        <v>246</v>
      </c>
      <c r="E74" s="146">
        <f t="shared" si="6"/>
        <v>414870</v>
      </c>
      <c r="F74" s="146"/>
      <c r="G74" s="146"/>
      <c r="H74" s="146">
        <f>H66</f>
        <v>138290</v>
      </c>
      <c r="I74" s="146">
        <f>TRUNC($C74*H74)</f>
        <v>414870</v>
      </c>
      <c r="J74" s="161"/>
    </row>
    <row r="75" spans="1:10" ht="22.5" customHeight="1">
      <c r="A75" s="143" t="s">
        <v>247</v>
      </c>
      <c r="B75" s="144"/>
      <c r="C75" s="160">
        <v>1</v>
      </c>
      <c r="D75" s="145" t="s">
        <v>248</v>
      </c>
      <c r="E75" s="146">
        <f t="shared" si="6"/>
        <v>100000</v>
      </c>
      <c r="F75" s="146"/>
      <c r="G75" s="146"/>
      <c r="H75" s="146">
        <v>100000</v>
      </c>
      <c r="I75" s="146">
        <f>TRUNC($C75*H75)</f>
        <v>100000</v>
      </c>
      <c r="J75" s="161"/>
    </row>
    <row r="76" spans="1:10" ht="22.5" customHeight="1">
      <c r="A76" s="149" t="s">
        <v>12</v>
      </c>
      <c r="B76" s="150"/>
      <c r="C76" s="162"/>
      <c r="D76" s="151"/>
      <c r="E76" s="152">
        <f>SUM(E73:E75)</f>
        <v>884452</v>
      </c>
      <c r="F76" s="152"/>
      <c r="G76" s="152">
        <f>SUM(G73:G75)</f>
        <v>369582</v>
      </c>
      <c r="H76" s="152"/>
      <c r="I76" s="152">
        <f>SUM(I73:I75)</f>
        <v>514870</v>
      </c>
      <c r="J76" s="163" t="s">
        <v>249</v>
      </c>
    </row>
    <row r="79" spans="1:10" ht="18" customHeight="1">
      <c r="B79" s="17"/>
    </row>
  </sheetData>
  <mergeCells count="22">
    <mergeCell ref="A56:A57"/>
    <mergeCell ref="B56:B57"/>
    <mergeCell ref="C56:C57"/>
    <mergeCell ref="D56:D57"/>
    <mergeCell ref="E56:E57"/>
    <mergeCell ref="J56:J57"/>
    <mergeCell ref="A38:A39"/>
    <mergeCell ref="B38:B39"/>
    <mergeCell ref="C38:C39"/>
    <mergeCell ref="D38:D39"/>
    <mergeCell ref="E38:E39"/>
    <mergeCell ref="J38:J39"/>
    <mergeCell ref="A1:J1"/>
    <mergeCell ref="A19:J19"/>
    <mergeCell ref="A55:J55"/>
    <mergeCell ref="A37:J37"/>
    <mergeCell ref="A3:A4"/>
    <mergeCell ref="B3:B4"/>
    <mergeCell ref="C3:C4"/>
    <mergeCell ref="D3:D4"/>
    <mergeCell ref="E3:E4"/>
    <mergeCell ref="J3:J4"/>
  </mergeCells>
  <phoneticPr fontId="6" type="noConversion"/>
  <pageMargins left="0.78740157480314965" right="0.23622047244094491" top="0.78740157480314965" bottom="0.47" header="0.51181102362204722" footer="0.27559055118110237"/>
  <pageSetup paperSize="9" orientation="landscape" r:id="rId1"/>
  <headerFooter alignWithMargins="0"/>
  <rowBreaks count="3" manualBreakCount="3">
    <brk id="18" max="9" man="1"/>
    <brk id="36" max="9" man="1"/>
    <brk id="54" max="9" man="1"/>
  </rowBreaks>
  <ignoredErrors>
    <ignoredError sqref="G9 G26:G29 G23:G24 G5 G7 G8 G11 G1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N21"/>
  <sheetViews>
    <sheetView showZeros="0" tabSelected="1" zoomScaleNormal="100" zoomScaleSheetLayoutView="100" workbookViewId="0">
      <selection activeCell="A15" sqref="A15:B15"/>
    </sheetView>
  </sheetViews>
  <sheetFormatPr defaultRowHeight="13.5"/>
  <cols>
    <col min="1" max="2" width="10.77734375" style="26" customWidth="1"/>
    <col min="3" max="4" width="5.77734375" style="26" customWidth="1"/>
    <col min="5" max="5" width="10.33203125" style="27" customWidth="1"/>
    <col min="6" max="12" width="10.33203125" style="26" customWidth="1"/>
    <col min="13" max="16384" width="8.88671875" style="26"/>
  </cols>
  <sheetData>
    <row r="1" spans="1:14" ht="27" customHeight="1">
      <c r="A1" s="185" t="s">
        <v>485</v>
      </c>
      <c r="B1" s="186"/>
      <c r="C1" s="187"/>
      <c r="D1" s="187"/>
      <c r="E1" s="188"/>
      <c r="F1" s="189"/>
      <c r="G1" s="189"/>
      <c r="H1" s="189"/>
      <c r="I1" s="187"/>
      <c r="J1" s="187"/>
      <c r="K1" s="187"/>
      <c r="L1" s="187"/>
    </row>
    <row r="2" spans="1:14" ht="21" customHeight="1" thickBot="1">
      <c r="A2" s="190" t="s">
        <v>255</v>
      </c>
      <c r="B2" s="191">
        <f>E21</f>
        <v>7673438</v>
      </c>
      <c r="C2" s="192" t="s">
        <v>2</v>
      </c>
      <c r="D2" s="193"/>
      <c r="E2" s="638"/>
      <c r="F2" s="638"/>
      <c r="G2" s="638"/>
      <c r="H2" s="638"/>
      <c r="I2" s="194"/>
      <c r="J2" s="193"/>
      <c r="K2" s="638"/>
      <c r="L2" s="638"/>
    </row>
    <row r="3" spans="1:14" ht="21" customHeight="1">
      <c r="A3" s="639" t="s">
        <v>256</v>
      </c>
      <c r="B3" s="642" t="s">
        <v>257</v>
      </c>
      <c r="C3" s="642" t="s">
        <v>258</v>
      </c>
      <c r="D3" s="642" t="s">
        <v>4</v>
      </c>
      <c r="E3" s="645" t="s">
        <v>63</v>
      </c>
      <c r="F3" s="651" t="s">
        <v>259</v>
      </c>
      <c r="G3" s="651"/>
      <c r="H3" s="642" t="s">
        <v>188</v>
      </c>
      <c r="I3" s="642"/>
      <c r="J3" s="642"/>
      <c r="K3" s="642"/>
      <c r="L3" s="648"/>
    </row>
    <row r="4" spans="1:14" ht="21" customHeight="1">
      <c r="A4" s="640"/>
      <c r="B4" s="643"/>
      <c r="C4" s="643"/>
      <c r="D4" s="643"/>
      <c r="E4" s="646"/>
      <c r="F4" s="649"/>
      <c r="G4" s="649"/>
      <c r="H4" s="649" t="s">
        <v>260</v>
      </c>
      <c r="I4" s="649"/>
      <c r="J4" s="650" t="s">
        <v>261</v>
      </c>
      <c r="K4" s="650"/>
      <c r="L4" s="195" t="s">
        <v>262</v>
      </c>
    </row>
    <row r="5" spans="1:14" ht="21" customHeight="1" thickBot="1">
      <c r="A5" s="641"/>
      <c r="B5" s="644"/>
      <c r="C5" s="644"/>
      <c r="D5" s="644"/>
      <c r="E5" s="647"/>
      <c r="F5" s="196" t="s">
        <v>9</v>
      </c>
      <c r="G5" s="196" t="s">
        <v>58</v>
      </c>
      <c r="H5" s="196" t="s">
        <v>9</v>
      </c>
      <c r="I5" s="196" t="s">
        <v>57</v>
      </c>
      <c r="J5" s="196" t="s">
        <v>9</v>
      </c>
      <c r="K5" s="196" t="s">
        <v>57</v>
      </c>
      <c r="L5" s="197" t="s">
        <v>263</v>
      </c>
    </row>
    <row r="6" spans="1:14" ht="21" customHeight="1">
      <c r="A6" s="652" t="s">
        <v>264</v>
      </c>
      <c r="B6" s="653"/>
      <c r="C6" s="450">
        <f>'2. 위치 및 조사량'!L6</f>
        <v>2</v>
      </c>
      <c r="D6" s="199" t="s">
        <v>157</v>
      </c>
      <c r="E6" s="452">
        <f>G6+L6</f>
        <v>1012972</v>
      </c>
      <c r="F6" s="452">
        <f>'6-1.사후관리 일위대가표'!G5</f>
        <v>84695</v>
      </c>
      <c r="G6" s="452">
        <f t="shared" ref="G6:G11" si="0">INT($C6*F6)</f>
        <v>169390</v>
      </c>
      <c r="H6" s="453">
        <f>'6-1.사후관리 일위대가표'!I5</f>
        <v>0</v>
      </c>
      <c r="I6" s="454"/>
      <c r="J6" s="452">
        <f>'6-1.사후관리 일위대가표'!K5</f>
        <v>421791</v>
      </c>
      <c r="K6" s="452">
        <f>INT($C6*J6)</f>
        <v>843582</v>
      </c>
      <c r="L6" s="455">
        <f>I6+K6</f>
        <v>843582</v>
      </c>
      <c r="N6" s="556">
        <v>0.88</v>
      </c>
    </row>
    <row r="7" spans="1:14" ht="21" customHeight="1">
      <c r="A7" s="636" t="s">
        <v>265</v>
      </c>
      <c r="B7" s="637"/>
      <c r="C7" s="451">
        <f>'2. 위치 및 조사량'!K6</f>
        <v>2</v>
      </c>
      <c r="D7" s="202" t="s">
        <v>157</v>
      </c>
      <c r="E7" s="456">
        <f>G7+L7</f>
        <v>1989630</v>
      </c>
      <c r="F7" s="456">
        <f>'6-1.사후관리 일위대가표'!G6</f>
        <v>0</v>
      </c>
      <c r="G7" s="456">
        <f t="shared" si="0"/>
        <v>0</v>
      </c>
      <c r="H7" s="457">
        <f>'6-1.사후관리 일위대가표'!I6</f>
        <v>0</v>
      </c>
      <c r="I7" s="456">
        <f>INT($C7*H7)</f>
        <v>0</v>
      </c>
      <c r="J7" s="456">
        <f>'6-1.사후관리 일위대가표'!K6</f>
        <v>994815</v>
      </c>
      <c r="K7" s="456">
        <f>INT($C7*J7)</f>
        <v>1989630</v>
      </c>
      <c r="L7" s="458">
        <f>I7+K7</f>
        <v>1989630</v>
      </c>
    </row>
    <row r="8" spans="1:14" ht="21" customHeight="1">
      <c r="A8" s="636" t="s">
        <v>266</v>
      </c>
      <c r="B8" s="637"/>
      <c r="C8" s="456">
        <f>'2. 위치 및 조사량'!M6</f>
        <v>380</v>
      </c>
      <c r="D8" s="202" t="s">
        <v>158</v>
      </c>
      <c r="E8" s="456">
        <f>G8+L8</f>
        <v>3543120</v>
      </c>
      <c r="F8" s="456">
        <f>'6-1.사후관리 일위대가표'!G7</f>
        <v>1824</v>
      </c>
      <c r="G8" s="456">
        <f t="shared" si="0"/>
        <v>693120</v>
      </c>
      <c r="H8" s="457">
        <f>'6-1.사후관리 일위대가표'!I7</f>
        <v>4838</v>
      </c>
      <c r="I8" s="456">
        <f>INT($C8*H8)</f>
        <v>1838440</v>
      </c>
      <c r="J8" s="456">
        <f>'6-1.사후관리 일위대가표'!K7</f>
        <v>2662</v>
      </c>
      <c r="K8" s="456">
        <f>INT($C8*J8)</f>
        <v>1011560</v>
      </c>
      <c r="L8" s="458">
        <f>I8+K8</f>
        <v>2850000</v>
      </c>
    </row>
    <row r="9" spans="1:14" ht="21" customHeight="1">
      <c r="A9" s="636" t="s">
        <v>267</v>
      </c>
      <c r="B9" s="637"/>
      <c r="C9" s="451">
        <f>'2. 위치 및 조사량'!N6</f>
        <v>2</v>
      </c>
      <c r="D9" s="202" t="s">
        <v>157</v>
      </c>
      <c r="E9" s="456">
        <f>G9+L9</f>
        <v>473756</v>
      </c>
      <c r="F9" s="456">
        <f>'6-1.사후관리 일위대가표'!G8</f>
        <v>84695</v>
      </c>
      <c r="G9" s="456">
        <f t="shared" si="0"/>
        <v>169390</v>
      </c>
      <c r="H9" s="457">
        <f>'6-1.사후관리 일위대가표'!I8</f>
        <v>0</v>
      </c>
      <c r="I9" s="456">
        <f>INT($C9*H9)</f>
        <v>0</v>
      </c>
      <c r="J9" s="456">
        <f>'6-1.사후관리 일위대가표'!K8</f>
        <v>152183</v>
      </c>
      <c r="K9" s="456">
        <f>INT($C9*J9)</f>
        <v>304366</v>
      </c>
      <c r="L9" s="458">
        <f>I9+K9</f>
        <v>304366</v>
      </c>
    </row>
    <row r="10" spans="1:14" ht="21" customHeight="1">
      <c r="A10" s="654" t="s">
        <v>268</v>
      </c>
      <c r="B10" s="655"/>
      <c r="C10" s="451">
        <f>'2. 위치 및 조사량'!O6</f>
        <v>2</v>
      </c>
      <c r="D10" s="202" t="s">
        <v>269</v>
      </c>
      <c r="E10" s="456">
        <f>G10+L10</f>
        <v>653960</v>
      </c>
      <c r="F10" s="456"/>
      <c r="G10" s="456">
        <f t="shared" si="0"/>
        <v>0</v>
      </c>
      <c r="H10" s="457"/>
      <c r="I10" s="456">
        <f>INT($C10*H10)</f>
        <v>0</v>
      </c>
      <c r="J10" s="456">
        <f>'6-1.사후관리 일위대가표'!K9</f>
        <v>326980</v>
      </c>
      <c r="K10" s="456">
        <f>INT($C10*J10)</f>
        <v>653960</v>
      </c>
      <c r="L10" s="458">
        <f>I10+K10</f>
        <v>653960</v>
      </c>
    </row>
    <row r="11" spans="1:14" ht="21" customHeight="1">
      <c r="A11" s="656"/>
      <c r="B11" s="657"/>
      <c r="C11" s="201"/>
      <c r="D11" s="202"/>
      <c r="E11" s="203"/>
      <c r="F11" s="203">
        <f>'6-1.사후관리 일위대가표'!G9</f>
        <v>0</v>
      </c>
      <c r="G11" s="203">
        <f t="shared" si="0"/>
        <v>0</v>
      </c>
      <c r="H11" s="204">
        <f>'6-1.사후관리 일위대가표'!I9</f>
        <v>0</v>
      </c>
      <c r="I11" s="203">
        <f>INT($C11*H11)</f>
        <v>0</v>
      </c>
      <c r="J11" s="203"/>
      <c r="K11" s="203"/>
      <c r="L11" s="205"/>
    </row>
    <row r="12" spans="1:14" ht="21" customHeight="1">
      <c r="A12" s="636"/>
      <c r="B12" s="637"/>
      <c r="C12" s="201"/>
      <c r="D12" s="202"/>
      <c r="E12" s="203"/>
      <c r="F12" s="203"/>
      <c r="G12" s="203"/>
      <c r="H12" s="204"/>
      <c r="I12" s="203"/>
      <c r="J12" s="203"/>
      <c r="K12" s="203"/>
      <c r="L12" s="205"/>
    </row>
    <row r="13" spans="1:14" ht="21" customHeight="1">
      <c r="A13" s="636"/>
      <c r="B13" s="637"/>
      <c r="C13" s="201"/>
      <c r="D13" s="202"/>
      <c r="E13" s="203"/>
      <c r="F13" s="206"/>
      <c r="G13" s="206"/>
      <c r="H13" s="204"/>
      <c r="I13" s="203"/>
      <c r="J13" s="206"/>
      <c r="K13" s="206"/>
      <c r="L13" s="205"/>
    </row>
    <row r="14" spans="1:14" ht="21" customHeight="1">
      <c r="A14" s="636"/>
      <c r="B14" s="637"/>
      <c r="C14" s="207"/>
      <c r="D14" s="207"/>
      <c r="E14" s="203"/>
      <c r="F14" s="206"/>
      <c r="G14" s="206"/>
      <c r="H14" s="206"/>
      <c r="I14" s="206"/>
      <c r="J14" s="203"/>
      <c r="K14" s="206"/>
      <c r="L14" s="208"/>
    </row>
    <row r="15" spans="1:14" ht="21" customHeight="1">
      <c r="A15" s="636"/>
      <c r="B15" s="637"/>
      <c r="C15" s="207"/>
      <c r="D15" s="207"/>
      <c r="E15" s="203"/>
      <c r="F15" s="206"/>
      <c r="G15" s="206"/>
      <c r="H15" s="206"/>
      <c r="I15" s="206"/>
      <c r="J15" s="203"/>
      <c r="K15" s="203"/>
      <c r="L15" s="208"/>
    </row>
    <row r="16" spans="1:14" ht="21" customHeight="1">
      <c r="A16" s="636"/>
      <c r="B16" s="637"/>
      <c r="C16" s="209"/>
      <c r="D16" s="202"/>
      <c r="E16" s="203"/>
      <c r="F16" s="206"/>
      <c r="G16" s="206"/>
      <c r="H16" s="206"/>
      <c r="I16" s="206"/>
      <c r="J16" s="203"/>
      <c r="K16" s="203"/>
      <c r="L16" s="208"/>
    </row>
    <row r="17" spans="1:12" ht="21" customHeight="1">
      <c r="A17" s="636"/>
      <c r="B17" s="637"/>
      <c r="C17" s="209"/>
      <c r="D17" s="207"/>
      <c r="E17" s="203"/>
      <c r="F17" s="206"/>
      <c r="G17" s="206"/>
      <c r="H17" s="206"/>
      <c r="I17" s="206"/>
      <c r="J17" s="203"/>
      <c r="K17" s="203"/>
      <c r="L17" s="210"/>
    </row>
    <row r="18" spans="1:12" ht="21" customHeight="1">
      <c r="A18" s="636"/>
      <c r="B18" s="637"/>
      <c r="C18" s="207"/>
      <c r="D18" s="207"/>
      <c r="E18" s="203"/>
      <c r="F18" s="203"/>
      <c r="G18" s="203"/>
      <c r="H18" s="203"/>
      <c r="I18" s="203"/>
      <c r="J18" s="203"/>
      <c r="K18" s="203"/>
      <c r="L18" s="210"/>
    </row>
    <row r="19" spans="1:12" ht="21" customHeight="1">
      <c r="A19" s="636"/>
      <c r="B19" s="637"/>
      <c r="C19" s="207"/>
      <c r="D19" s="207"/>
      <c r="E19" s="203"/>
      <c r="F19" s="206"/>
      <c r="G19" s="206"/>
      <c r="H19" s="206"/>
      <c r="I19" s="206"/>
      <c r="J19" s="206"/>
      <c r="K19" s="206"/>
      <c r="L19" s="208"/>
    </row>
    <row r="20" spans="1:12" ht="21" customHeight="1">
      <c r="A20" s="636"/>
      <c r="B20" s="637"/>
      <c r="C20" s="211"/>
      <c r="D20" s="212"/>
      <c r="E20" s="203"/>
      <c r="F20" s="206"/>
      <c r="G20" s="206"/>
      <c r="H20" s="206"/>
      <c r="I20" s="203"/>
      <c r="J20" s="206"/>
      <c r="K20" s="206"/>
      <c r="L20" s="208"/>
    </row>
    <row r="21" spans="1:12" ht="21" customHeight="1" thickBot="1">
      <c r="A21" s="213" t="s">
        <v>55</v>
      </c>
      <c r="B21" s="214"/>
      <c r="C21" s="214"/>
      <c r="D21" s="214"/>
      <c r="E21" s="215">
        <f>G21+I21+K21</f>
        <v>7673438</v>
      </c>
      <c r="F21" s="215"/>
      <c r="G21" s="215">
        <f>SUM(G6:G20)</f>
        <v>1031900</v>
      </c>
      <c r="H21" s="216"/>
      <c r="I21" s="215">
        <f>SUM(I6:I20)</f>
        <v>1838440</v>
      </c>
      <c r="J21" s="216"/>
      <c r="K21" s="215">
        <f>SUM(K6:K20)</f>
        <v>4803098</v>
      </c>
      <c r="L21" s="217">
        <f>SUM(L6:L20)</f>
        <v>6641538</v>
      </c>
    </row>
  </sheetData>
  <mergeCells count="26">
    <mergeCell ref="A13:B13"/>
    <mergeCell ref="F3:G4"/>
    <mergeCell ref="A6:B6"/>
    <mergeCell ref="A9:B9"/>
    <mergeCell ref="A10:B10"/>
    <mergeCell ref="A11:B11"/>
    <mergeCell ref="A12:B12"/>
    <mergeCell ref="A7:B7"/>
    <mergeCell ref="A8:B8"/>
    <mergeCell ref="E2:H2"/>
    <mergeCell ref="K2:L2"/>
    <mergeCell ref="A3:A5"/>
    <mergeCell ref="B3:B5"/>
    <mergeCell ref="C3:C5"/>
    <mergeCell ref="D3:D5"/>
    <mergeCell ref="E3:E5"/>
    <mergeCell ref="H3:L3"/>
    <mergeCell ref="H4:I4"/>
    <mergeCell ref="J4:K4"/>
    <mergeCell ref="A20:B20"/>
    <mergeCell ref="A14:B14"/>
    <mergeCell ref="A15:B15"/>
    <mergeCell ref="A16:B16"/>
    <mergeCell ref="A17:B17"/>
    <mergeCell ref="A18:B18"/>
    <mergeCell ref="A19:B19"/>
  </mergeCells>
  <phoneticPr fontId="6" type="noConversion"/>
  <pageMargins left="0.78740157480314965" right="0.39370078740157483" top="0.98425196850393704" bottom="0.78740157480314965" header="0" footer="0"/>
  <pageSetup paperSize="9" orientation="landscape" r:id="rId1"/>
  <headerFooter alignWithMargins="0"/>
  <ignoredErrors>
    <ignoredError sqref="J7:J10 H7:H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68"/>
  <sheetViews>
    <sheetView showZeros="0" view="pageBreakPreview" zoomScaleNormal="85" zoomScaleSheetLayoutView="100" workbookViewId="0">
      <selection activeCell="F6" sqref="F6"/>
    </sheetView>
  </sheetViews>
  <sheetFormatPr defaultRowHeight="13.5"/>
  <cols>
    <col min="1" max="1" width="13.77734375" style="36" customWidth="1"/>
    <col min="2" max="2" width="10.33203125" style="36" customWidth="1"/>
    <col min="3" max="4" width="6.77734375" style="36" customWidth="1"/>
    <col min="5" max="5" width="10.33203125" style="35" customWidth="1"/>
    <col min="6" max="11" width="10.33203125" style="36" customWidth="1"/>
    <col min="12" max="12" width="9.77734375" style="36" customWidth="1"/>
    <col min="13" max="13" width="10.6640625" style="36" bestFit="1" customWidth="1"/>
    <col min="14" max="14" width="12.21875" style="36" customWidth="1"/>
    <col min="15" max="16384" width="8.88671875" style="36"/>
  </cols>
  <sheetData>
    <row r="1" spans="1:14" ht="18.95" customHeight="1">
      <c r="A1" s="190"/>
      <c r="B1" s="218"/>
      <c r="C1" s="193"/>
      <c r="D1" s="193"/>
      <c r="E1" s="702" t="s">
        <v>403</v>
      </c>
      <c r="F1" s="702"/>
      <c r="G1" s="702"/>
      <c r="H1" s="702"/>
      <c r="I1" s="193"/>
      <c r="J1" s="193"/>
      <c r="K1" s="193"/>
      <c r="L1" s="193"/>
    </row>
    <row r="2" spans="1:14" ht="18.95" customHeight="1">
      <c r="A2" s="190" t="s">
        <v>67</v>
      </c>
      <c r="B2" s="191">
        <f>K24</f>
        <v>1898431</v>
      </c>
      <c r="C2" s="192" t="s">
        <v>2</v>
      </c>
      <c r="D2" s="193"/>
      <c r="E2" s="704"/>
      <c r="F2" s="704"/>
      <c r="G2" s="704"/>
      <c r="H2" s="704"/>
      <c r="I2" s="194"/>
      <c r="J2" s="193"/>
      <c r="K2" s="703" t="s">
        <v>99</v>
      </c>
      <c r="L2" s="703"/>
    </row>
    <row r="3" spans="1:14" ht="18.95" customHeight="1">
      <c r="A3" s="688" t="s">
        <v>66</v>
      </c>
      <c r="B3" s="663" t="s">
        <v>65</v>
      </c>
      <c r="C3" s="663" t="s">
        <v>64</v>
      </c>
      <c r="D3" s="663" t="s">
        <v>4</v>
      </c>
      <c r="E3" s="665" t="s">
        <v>63</v>
      </c>
      <c r="F3" s="667" t="s">
        <v>62</v>
      </c>
      <c r="G3" s="679"/>
      <c r="H3" s="667" t="s">
        <v>61</v>
      </c>
      <c r="I3" s="667"/>
      <c r="J3" s="658" t="s">
        <v>60</v>
      </c>
      <c r="K3" s="658"/>
      <c r="L3" s="692" t="s">
        <v>71</v>
      </c>
    </row>
    <row r="4" spans="1:14" ht="18.95" customHeight="1">
      <c r="A4" s="689"/>
      <c r="B4" s="664"/>
      <c r="C4" s="664"/>
      <c r="D4" s="664"/>
      <c r="E4" s="666"/>
      <c r="F4" s="219" t="s">
        <v>9</v>
      </c>
      <c r="G4" s="219" t="s">
        <v>58</v>
      </c>
      <c r="H4" s="219" t="s">
        <v>9</v>
      </c>
      <c r="I4" s="219" t="s">
        <v>57</v>
      </c>
      <c r="J4" s="219" t="s">
        <v>9</v>
      </c>
      <c r="K4" s="219" t="s">
        <v>57</v>
      </c>
      <c r="L4" s="693"/>
    </row>
    <row r="5" spans="1:14" ht="18.95" customHeight="1">
      <c r="A5" s="715" t="s">
        <v>88</v>
      </c>
      <c r="B5" s="716"/>
      <c r="C5" s="198">
        <v>1</v>
      </c>
      <c r="D5" s="199" t="s">
        <v>20</v>
      </c>
      <c r="E5" s="200">
        <f>G5+I5+K5</f>
        <v>506486</v>
      </c>
      <c r="F5" s="200">
        <f>G48*N8</f>
        <v>84695.6</v>
      </c>
      <c r="G5" s="200">
        <f>TRUNC($C5*F5)</f>
        <v>84695</v>
      </c>
      <c r="H5" s="200">
        <f>I48</f>
        <v>0</v>
      </c>
      <c r="I5" s="200">
        <f>TRUNC($C5*H5)</f>
        <v>0</v>
      </c>
      <c r="J5" s="200">
        <f>K48*N8</f>
        <v>421791.04</v>
      </c>
      <c r="K5" s="200">
        <f>TRUNC($C5*J5)</f>
        <v>421791</v>
      </c>
      <c r="L5" s="220" t="s">
        <v>112</v>
      </c>
    </row>
    <row r="6" spans="1:14" ht="18.95" customHeight="1">
      <c r="A6" s="717" t="s">
        <v>113</v>
      </c>
      <c r="B6" s="637"/>
      <c r="C6" s="201">
        <v>1</v>
      </c>
      <c r="D6" s="202" t="s">
        <v>20</v>
      </c>
      <c r="E6" s="203">
        <f>G6+I6+K6</f>
        <v>994815</v>
      </c>
      <c r="F6" s="203">
        <f>G72</f>
        <v>0</v>
      </c>
      <c r="G6" s="203">
        <f>TRUNC($C6*F6)</f>
        <v>0</v>
      </c>
      <c r="H6" s="203">
        <f>I72</f>
        <v>0</v>
      </c>
      <c r="I6" s="203">
        <f>TRUNC($C6*H6)</f>
        <v>0</v>
      </c>
      <c r="J6" s="203">
        <f>K72*N8</f>
        <v>994815.36</v>
      </c>
      <c r="K6" s="203">
        <f>TRUNC($C6*J6)</f>
        <v>994815</v>
      </c>
      <c r="L6" s="221" t="s">
        <v>114</v>
      </c>
    </row>
    <row r="7" spans="1:14" ht="18.95" customHeight="1">
      <c r="A7" s="717" t="s">
        <v>87</v>
      </c>
      <c r="B7" s="637"/>
      <c r="C7" s="201">
        <v>1</v>
      </c>
      <c r="D7" s="202" t="s">
        <v>56</v>
      </c>
      <c r="E7" s="203">
        <f>G7+I7+K7</f>
        <v>9324</v>
      </c>
      <c r="F7" s="203">
        <f>G96*N8</f>
        <v>1824.24</v>
      </c>
      <c r="G7" s="203">
        <f>TRUNC($C7*F7)</f>
        <v>1824</v>
      </c>
      <c r="H7" s="203">
        <f>I96*N8</f>
        <v>4838.24</v>
      </c>
      <c r="I7" s="203">
        <f>TRUNC($C7*H7)</f>
        <v>4838</v>
      </c>
      <c r="J7" s="203">
        <f>K96*N8</f>
        <v>2662</v>
      </c>
      <c r="K7" s="203">
        <f>TRUNC($C7*J7)</f>
        <v>2662</v>
      </c>
      <c r="L7" s="221" t="s">
        <v>115</v>
      </c>
    </row>
    <row r="8" spans="1:14" ht="18.95" customHeight="1">
      <c r="A8" s="717" t="s">
        <v>116</v>
      </c>
      <c r="B8" s="637"/>
      <c r="C8" s="201">
        <v>1</v>
      </c>
      <c r="D8" s="202" t="s">
        <v>20</v>
      </c>
      <c r="E8" s="203">
        <f>G8+I8+K8</f>
        <v>236878</v>
      </c>
      <c r="F8" s="203">
        <f>G120*N8</f>
        <v>84695.6</v>
      </c>
      <c r="G8" s="203">
        <f>TRUNC($C8*F8)</f>
        <v>84695</v>
      </c>
      <c r="H8" s="203">
        <f>I120</f>
        <v>0</v>
      </c>
      <c r="I8" s="203">
        <f>TRUNC($C8*H8)</f>
        <v>0</v>
      </c>
      <c r="J8" s="203">
        <f>K120*N8</f>
        <v>152183.67999999999</v>
      </c>
      <c r="K8" s="203">
        <f>TRUNC($C8*J8)</f>
        <v>152183</v>
      </c>
      <c r="L8" s="221" t="s">
        <v>117</v>
      </c>
      <c r="N8" s="557">
        <v>0.88</v>
      </c>
    </row>
    <row r="9" spans="1:14" ht="18.95" customHeight="1">
      <c r="A9" s="659" t="s">
        <v>119</v>
      </c>
      <c r="B9" s="657"/>
      <c r="C9" s="201">
        <v>1</v>
      </c>
      <c r="D9" s="202" t="s">
        <v>20</v>
      </c>
      <c r="E9" s="203">
        <f>G9+I9+K9</f>
        <v>326980</v>
      </c>
      <c r="F9" s="204">
        <f>G168</f>
        <v>0</v>
      </c>
      <c r="G9" s="203">
        <f>TRUNC($C9*F9)</f>
        <v>0</v>
      </c>
      <c r="H9" s="204">
        <f>I168</f>
        <v>0</v>
      </c>
      <c r="I9" s="203">
        <f>TRUNC($C9*H9)</f>
        <v>0</v>
      </c>
      <c r="J9" s="204">
        <f>K168*N8</f>
        <v>326980.72000000003</v>
      </c>
      <c r="K9" s="203">
        <f>TRUNC($C9*J9)</f>
        <v>326980</v>
      </c>
      <c r="L9" s="221" t="s">
        <v>118</v>
      </c>
    </row>
    <row r="10" spans="1:14" ht="18.95" customHeight="1">
      <c r="A10" s="421"/>
      <c r="B10" s="420"/>
      <c r="C10" s="201"/>
      <c r="D10" s="202"/>
      <c r="E10" s="203"/>
      <c r="F10" s="204"/>
      <c r="G10" s="203"/>
      <c r="H10" s="204"/>
      <c r="I10" s="203"/>
      <c r="J10" s="204"/>
      <c r="K10" s="203"/>
      <c r="L10" s="221"/>
    </row>
    <row r="11" spans="1:14" ht="18.95" customHeight="1">
      <c r="A11" s="421"/>
      <c r="B11" s="420"/>
      <c r="C11" s="201"/>
      <c r="D11" s="202"/>
      <c r="E11" s="203"/>
      <c r="F11" s="204"/>
      <c r="G11" s="203"/>
      <c r="H11" s="204"/>
      <c r="I11" s="203"/>
      <c r="J11" s="204"/>
      <c r="K11" s="203"/>
      <c r="L11" s="221"/>
    </row>
    <row r="12" spans="1:14" ht="18.95" customHeight="1">
      <c r="A12" s="421"/>
      <c r="B12" s="420"/>
      <c r="C12" s="201"/>
      <c r="D12" s="222"/>
      <c r="E12" s="203"/>
      <c r="F12" s="204"/>
      <c r="G12" s="206"/>
      <c r="H12" s="204"/>
      <c r="I12" s="203"/>
      <c r="J12" s="204"/>
      <c r="K12" s="206"/>
      <c r="L12" s="221"/>
    </row>
    <row r="13" spans="1:14" ht="18.95" customHeight="1">
      <c r="A13" s="223"/>
      <c r="B13" s="207"/>
      <c r="C13" s="207"/>
      <c r="D13" s="207"/>
      <c r="E13" s="203"/>
      <c r="F13" s="206"/>
      <c r="G13" s="206"/>
      <c r="H13" s="206"/>
      <c r="I13" s="206"/>
      <c r="J13" s="206"/>
      <c r="K13" s="206"/>
      <c r="L13" s="224"/>
    </row>
    <row r="14" spans="1:14" ht="18.95" customHeight="1">
      <c r="A14" s="223"/>
      <c r="B14" s="207"/>
      <c r="C14" s="207"/>
      <c r="D14" s="207"/>
      <c r="E14" s="203"/>
      <c r="F14" s="206"/>
      <c r="G14" s="206"/>
      <c r="H14" s="206"/>
      <c r="I14" s="206"/>
      <c r="J14" s="206"/>
      <c r="K14" s="206"/>
      <c r="L14" s="224"/>
    </row>
    <row r="15" spans="1:14" ht="18.95" customHeight="1">
      <c r="A15" s="223"/>
      <c r="B15" s="202"/>
      <c r="C15" s="207"/>
      <c r="D15" s="207"/>
      <c r="E15" s="203"/>
      <c r="F15" s="206"/>
      <c r="G15" s="206"/>
      <c r="H15" s="206"/>
      <c r="I15" s="206"/>
      <c r="J15" s="203"/>
      <c r="K15" s="206"/>
      <c r="L15" s="224"/>
    </row>
    <row r="16" spans="1:14" ht="18.95" customHeight="1">
      <c r="A16" s="223"/>
      <c r="B16" s="207"/>
      <c r="C16" s="207"/>
      <c r="D16" s="207"/>
      <c r="E16" s="203"/>
      <c r="F16" s="206"/>
      <c r="G16" s="206"/>
      <c r="H16" s="206"/>
      <c r="I16" s="206"/>
      <c r="J16" s="203"/>
      <c r="K16" s="203"/>
      <c r="L16" s="224"/>
    </row>
    <row r="17" spans="1:14" ht="18.95" customHeight="1">
      <c r="A17" s="223"/>
      <c r="B17" s="207"/>
      <c r="C17" s="207"/>
      <c r="D17" s="207"/>
      <c r="E17" s="203"/>
      <c r="F17" s="206"/>
      <c r="G17" s="206"/>
      <c r="H17" s="206"/>
      <c r="I17" s="206"/>
      <c r="J17" s="203"/>
      <c r="K17" s="203"/>
      <c r="L17" s="224"/>
    </row>
    <row r="18" spans="1:14" ht="18.95" customHeight="1">
      <c r="A18" s="225"/>
      <c r="B18" s="202"/>
      <c r="C18" s="209"/>
      <c r="D18" s="202"/>
      <c r="E18" s="203"/>
      <c r="F18" s="206"/>
      <c r="G18" s="206"/>
      <c r="H18" s="206"/>
      <c r="I18" s="206"/>
      <c r="J18" s="203"/>
      <c r="K18" s="203"/>
      <c r="L18" s="224"/>
    </row>
    <row r="19" spans="1:14" ht="18.95" customHeight="1">
      <c r="A19" s="225"/>
      <c r="B19" s="207"/>
      <c r="C19" s="207"/>
      <c r="D19" s="207"/>
      <c r="E19" s="203"/>
      <c r="F19" s="206"/>
      <c r="G19" s="203"/>
      <c r="H19" s="206"/>
      <c r="I19" s="203"/>
      <c r="J19" s="206"/>
      <c r="K19" s="203"/>
      <c r="L19" s="221"/>
    </row>
    <row r="20" spans="1:14" ht="18.95" customHeight="1">
      <c r="A20" s="223"/>
      <c r="B20" s="202"/>
      <c r="C20" s="209"/>
      <c r="D20" s="207"/>
      <c r="E20" s="203"/>
      <c r="F20" s="206"/>
      <c r="G20" s="206"/>
      <c r="H20" s="206"/>
      <c r="I20" s="206"/>
      <c r="J20" s="203"/>
      <c r="K20" s="203"/>
      <c r="L20" s="221"/>
    </row>
    <row r="21" spans="1:14" ht="18.95" customHeight="1">
      <c r="A21" s="225"/>
      <c r="B21" s="207"/>
      <c r="C21" s="207"/>
      <c r="D21" s="207"/>
      <c r="E21" s="203"/>
      <c r="F21" s="203"/>
      <c r="G21" s="203"/>
      <c r="H21" s="203"/>
      <c r="I21" s="203"/>
      <c r="J21" s="203"/>
      <c r="K21" s="203"/>
      <c r="L21" s="221"/>
    </row>
    <row r="22" spans="1:14" ht="18.95" customHeight="1">
      <c r="A22" s="223"/>
      <c r="B22" s="207"/>
      <c r="C22" s="207"/>
      <c r="D22" s="207"/>
      <c r="E22" s="203"/>
      <c r="F22" s="206"/>
      <c r="G22" s="206"/>
      <c r="H22" s="206"/>
      <c r="I22" s="206"/>
      <c r="J22" s="206"/>
      <c r="K22" s="206"/>
      <c r="L22" s="224"/>
    </row>
    <row r="23" spans="1:14" ht="18.95" customHeight="1">
      <c r="A23" s="225"/>
      <c r="B23" s="207"/>
      <c r="C23" s="211"/>
      <c r="D23" s="212"/>
      <c r="E23" s="203"/>
      <c r="F23" s="206"/>
      <c r="G23" s="206"/>
      <c r="H23" s="206"/>
      <c r="I23" s="203"/>
      <c r="J23" s="206"/>
      <c r="K23" s="206"/>
      <c r="L23" s="224"/>
    </row>
    <row r="24" spans="1:14" ht="18.95" customHeight="1">
      <c r="A24" s="226" t="s">
        <v>55</v>
      </c>
      <c r="B24" s="227"/>
      <c r="C24" s="227"/>
      <c r="D24" s="227"/>
      <c r="E24" s="228">
        <f>G24+I24+K24</f>
        <v>2074483</v>
      </c>
      <c r="F24" s="228"/>
      <c r="G24" s="228">
        <f>SUM(G5:G23)</f>
        <v>171214</v>
      </c>
      <c r="H24" s="229"/>
      <c r="I24" s="228">
        <f>SUM(I5:I23)</f>
        <v>4838</v>
      </c>
      <c r="J24" s="229"/>
      <c r="K24" s="228">
        <f>SUM(K5:K23)</f>
        <v>1898431</v>
      </c>
      <c r="L24" s="230"/>
    </row>
    <row r="25" spans="1:14" s="37" customFormat="1" ht="18.95" customHeight="1">
      <c r="A25" s="231" t="s">
        <v>26</v>
      </c>
      <c r="B25" s="193"/>
      <c r="C25" s="193"/>
      <c r="D25" s="193"/>
      <c r="E25" s="708" t="s">
        <v>120</v>
      </c>
      <c r="F25" s="708"/>
      <c r="G25" s="708"/>
      <c r="H25" s="708"/>
      <c r="I25" s="193"/>
      <c r="J25" s="193"/>
      <c r="K25" s="193"/>
      <c r="L25" s="193"/>
    </row>
    <row r="26" spans="1:14" s="37" customFormat="1" ht="18.95" customHeight="1">
      <c r="A26" s="190" t="s">
        <v>67</v>
      </c>
      <c r="B26" s="191">
        <f>E48</f>
        <v>575553</v>
      </c>
      <c r="C26" s="192" t="s">
        <v>2</v>
      </c>
      <c r="D26" s="193"/>
      <c r="E26" s="670" t="s">
        <v>73</v>
      </c>
      <c r="F26" s="670"/>
      <c r="G26" s="670"/>
      <c r="H26" s="670"/>
      <c r="I26" s="193">
        <v>1</v>
      </c>
      <c r="J26" s="193" t="s">
        <v>111</v>
      </c>
      <c r="K26" s="193"/>
      <c r="L26" s="193"/>
      <c r="N26" s="38"/>
    </row>
    <row r="27" spans="1:14" s="37" customFormat="1" ht="18.95" customHeight="1">
      <c r="A27" s="671" t="s">
        <v>72</v>
      </c>
      <c r="B27" s="663" t="s">
        <v>65</v>
      </c>
      <c r="C27" s="663" t="s">
        <v>64</v>
      </c>
      <c r="D27" s="677" t="s">
        <v>4</v>
      </c>
      <c r="E27" s="668" t="s">
        <v>63</v>
      </c>
      <c r="F27" s="667" t="s">
        <v>62</v>
      </c>
      <c r="G27" s="679"/>
      <c r="H27" s="683" t="s">
        <v>61</v>
      </c>
      <c r="I27" s="683"/>
      <c r="J27" s="662" t="s">
        <v>60</v>
      </c>
      <c r="K27" s="662"/>
      <c r="L27" s="705" t="s">
        <v>71</v>
      </c>
    </row>
    <row r="28" spans="1:14" ht="18.95" customHeight="1">
      <c r="A28" s="672"/>
      <c r="B28" s="664"/>
      <c r="C28" s="664"/>
      <c r="D28" s="678"/>
      <c r="E28" s="701"/>
      <c r="F28" s="232" t="s">
        <v>9</v>
      </c>
      <c r="G28" s="232" t="s">
        <v>58</v>
      </c>
      <c r="H28" s="232" t="s">
        <v>9</v>
      </c>
      <c r="I28" s="232" t="s">
        <v>57</v>
      </c>
      <c r="J28" s="232" t="s">
        <v>9</v>
      </c>
      <c r="K28" s="232" t="s">
        <v>57</v>
      </c>
      <c r="L28" s="691"/>
    </row>
    <row r="29" spans="1:14" ht="18.95" customHeight="1">
      <c r="A29" s="233" t="s">
        <v>46</v>
      </c>
      <c r="B29" s="234"/>
      <c r="C29" s="235">
        <f>INT(0.5/$I$26*1000)/1000</f>
        <v>0.5</v>
      </c>
      <c r="D29" s="236" t="s">
        <v>13</v>
      </c>
      <c r="E29" s="237">
        <f>G29+I29+K29</f>
        <v>96245</v>
      </c>
      <c r="F29" s="237">
        <f>단가표!E6</f>
        <v>192491</v>
      </c>
      <c r="G29" s="237">
        <f>TRUNC(F29*C29)</f>
        <v>96245</v>
      </c>
      <c r="H29" s="238"/>
      <c r="I29" s="238"/>
      <c r="J29" s="237"/>
      <c r="K29" s="237"/>
      <c r="L29" s="239"/>
    </row>
    <row r="30" spans="1:14" ht="18.95" customHeight="1">
      <c r="A30" s="240" t="s">
        <v>121</v>
      </c>
      <c r="B30" s="241"/>
      <c r="C30" s="242">
        <f>INT(1/I$26)</f>
        <v>1</v>
      </c>
      <c r="D30" s="243" t="s">
        <v>13</v>
      </c>
      <c r="E30" s="244">
        <f>G30+I30+K30</f>
        <v>174955</v>
      </c>
      <c r="F30" s="244"/>
      <c r="G30" s="245"/>
      <c r="H30" s="246"/>
      <c r="I30" s="246"/>
      <c r="J30" s="244">
        <f>단가표!E10</f>
        <v>174955</v>
      </c>
      <c r="K30" s="244">
        <f>TRUNC(C30*J30)</f>
        <v>174955</v>
      </c>
      <c r="L30" s="247"/>
    </row>
    <row r="31" spans="1:14" ht="18.95" customHeight="1">
      <c r="A31" s="240" t="s">
        <v>47</v>
      </c>
      <c r="B31" s="248"/>
      <c r="C31" s="242">
        <f>INT(1/I$26)</f>
        <v>1</v>
      </c>
      <c r="D31" s="243" t="s">
        <v>13</v>
      </c>
      <c r="E31" s="244">
        <f>G31+I31+K31</f>
        <v>166063</v>
      </c>
      <c r="F31" s="244"/>
      <c r="G31" s="245"/>
      <c r="H31" s="246"/>
      <c r="I31" s="246"/>
      <c r="J31" s="244">
        <f>단가표!E11</f>
        <v>166063</v>
      </c>
      <c r="K31" s="244">
        <f>TRUNC(C31*J31)</f>
        <v>166063</v>
      </c>
      <c r="L31" s="247"/>
    </row>
    <row r="32" spans="1:14" ht="18.95" customHeight="1">
      <c r="A32" s="240" t="s">
        <v>48</v>
      </c>
      <c r="B32" s="243"/>
      <c r="C32" s="242">
        <f>INT(1/I$26)</f>
        <v>1</v>
      </c>
      <c r="D32" s="243" t="s">
        <v>13</v>
      </c>
      <c r="E32" s="244">
        <f>G32+I32+K32</f>
        <v>138290</v>
      </c>
      <c r="F32" s="244"/>
      <c r="G32" s="245"/>
      <c r="H32" s="246"/>
      <c r="I32" s="246"/>
      <c r="J32" s="244">
        <f>단가표!E12</f>
        <v>138290</v>
      </c>
      <c r="K32" s="244">
        <f>TRUNC(C32*J32)</f>
        <v>138290</v>
      </c>
      <c r="L32" s="247"/>
    </row>
    <row r="33" spans="1:12" ht="18.95" customHeight="1">
      <c r="A33" s="240"/>
      <c r="B33" s="243"/>
      <c r="C33" s="249"/>
      <c r="D33" s="243"/>
      <c r="E33" s="245"/>
      <c r="F33" s="250"/>
      <c r="G33" s="250"/>
      <c r="H33" s="250"/>
      <c r="I33" s="250"/>
      <c r="J33" s="245"/>
      <c r="K33" s="245"/>
      <c r="L33" s="247"/>
    </row>
    <row r="34" spans="1:12" ht="18.95" customHeight="1">
      <c r="A34" s="240"/>
      <c r="B34" s="243"/>
      <c r="C34" s="249"/>
      <c r="D34" s="243"/>
      <c r="E34" s="245"/>
      <c r="F34" s="250"/>
      <c r="G34" s="250"/>
      <c r="H34" s="245"/>
      <c r="I34" s="250"/>
      <c r="J34" s="245"/>
      <c r="K34" s="245"/>
      <c r="L34" s="247"/>
    </row>
    <row r="35" spans="1:12" ht="18.95" customHeight="1">
      <c r="A35" s="240"/>
      <c r="B35" s="241"/>
      <c r="C35" s="241"/>
      <c r="D35" s="241"/>
      <c r="E35" s="244"/>
      <c r="F35" s="246"/>
      <c r="G35" s="246"/>
      <c r="H35" s="246"/>
      <c r="I35" s="246"/>
      <c r="J35" s="246"/>
      <c r="K35" s="246"/>
      <c r="L35" s="247"/>
    </row>
    <row r="36" spans="1:12" ht="18.95" customHeight="1">
      <c r="A36" s="251"/>
      <c r="B36" s="241"/>
      <c r="C36" s="252"/>
      <c r="D36" s="243"/>
      <c r="E36" s="245"/>
      <c r="F36" s="250"/>
      <c r="G36" s="250"/>
      <c r="H36" s="245"/>
      <c r="I36" s="250"/>
      <c r="J36" s="245"/>
      <c r="K36" s="245"/>
      <c r="L36" s="247"/>
    </row>
    <row r="37" spans="1:12" ht="18.95" customHeight="1">
      <c r="A37" s="251"/>
      <c r="B37" s="243"/>
      <c r="C37" s="252"/>
      <c r="D37" s="243"/>
      <c r="E37" s="245"/>
      <c r="F37" s="250"/>
      <c r="G37" s="250"/>
      <c r="H37" s="245"/>
      <c r="I37" s="250"/>
      <c r="J37" s="245"/>
      <c r="K37" s="245"/>
      <c r="L37" s="247"/>
    </row>
    <row r="38" spans="1:12" ht="18.95" customHeight="1">
      <c r="A38" s="253"/>
      <c r="B38" s="243"/>
      <c r="C38" s="252"/>
      <c r="D38" s="243"/>
      <c r="E38" s="245"/>
      <c r="F38" s="250"/>
      <c r="G38" s="250"/>
      <c r="H38" s="250"/>
      <c r="I38" s="250"/>
      <c r="J38" s="245"/>
      <c r="K38" s="245"/>
      <c r="L38" s="247"/>
    </row>
    <row r="39" spans="1:12" ht="18.95" customHeight="1">
      <c r="A39" s="251"/>
      <c r="B39" s="243"/>
      <c r="C39" s="252"/>
      <c r="D39" s="243"/>
      <c r="E39" s="245"/>
      <c r="F39" s="250"/>
      <c r="G39" s="250"/>
      <c r="H39" s="245"/>
      <c r="I39" s="250"/>
      <c r="J39" s="245"/>
      <c r="K39" s="245"/>
      <c r="L39" s="247"/>
    </row>
    <row r="40" spans="1:12" ht="18.95" customHeight="1">
      <c r="A40" s="254"/>
      <c r="B40" s="241"/>
      <c r="C40" s="241"/>
      <c r="D40" s="255"/>
      <c r="E40" s="244"/>
      <c r="F40" s="246"/>
      <c r="G40" s="246"/>
      <c r="H40" s="246"/>
      <c r="I40" s="246"/>
      <c r="J40" s="246"/>
      <c r="K40" s="246"/>
      <c r="L40" s="247"/>
    </row>
    <row r="41" spans="1:12" ht="18.95" customHeight="1">
      <c r="A41" s="254"/>
      <c r="B41" s="241"/>
      <c r="C41" s="241"/>
      <c r="D41" s="241"/>
      <c r="E41" s="244"/>
      <c r="F41" s="246"/>
      <c r="G41" s="246"/>
      <c r="H41" s="246"/>
      <c r="I41" s="246"/>
      <c r="J41" s="246"/>
      <c r="K41" s="246"/>
      <c r="L41" s="247"/>
    </row>
    <row r="42" spans="1:12" ht="18.95" customHeight="1">
      <c r="A42" s="254"/>
      <c r="B42" s="241"/>
      <c r="C42" s="241"/>
      <c r="D42" s="241"/>
      <c r="E42" s="244"/>
      <c r="F42" s="246"/>
      <c r="G42" s="246"/>
      <c r="H42" s="246"/>
      <c r="I42" s="246"/>
      <c r="J42" s="246"/>
      <c r="K42" s="246"/>
      <c r="L42" s="247"/>
    </row>
    <row r="43" spans="1:12" ht="18.95" customHeight="1">
      <c r="A43" s="254"/>
      <c r="B43" s="241"/>
      <c r="C43" s="241"/>
      <c r="D43" s="241"/>
      <c r="E43" s="244"/>
      <c r="F43" s="246"/>
      <c r="G43" s="246"/>
      <c r="H43" s="246"/>
      <c r="I43" s="246"/>
      <c r="J43" s="246"/>
      <c r="K43" s="246"/>
      <c r="L43" s="247"/>
    </row>
    <row r="44" spans="1:12" ht="18.95" customHeight="1">
      <c r="A44" s="251"/>
      <c r="B44" s="241"/>
      <c r="C44" s="241"/>
      <c r="D44" s="241"/>
      <c r="E44" s="244"/>
      <c r="F44" s="246"/>
      <c r="G44" s="244"/>
      <c r="H44" s="246"/>
      <c r="I44" s="244"/>
      <c r="J44" s="246"/>
      <c r="K44" s="244"/>
      <c r="L44" s="247"/>
    </row>
    <row r="45" spans="1:12" ht="18.95" customHeight="1">
      <c r="A45" s="253"/>
      <c r="B45" s="241"/>
      <c r="C45" s="241"/>
      <c r="D45" s="241"/>
      <c r="E45" s="244"/>
      <c r="F45" s="246"/>
      <c r="G45" s="246"/>
      <c r="H45" s="246"/>
      <c r="I45" s="246"/>
      <c r="J45" s="246"/>
      <c r="K45" s="244"/>
      <c r="L45" s="247"/>
    </row>
    <row r="46" spans="1:12" ht="18.95" customHeight="1">
      <c r="A46" s="251"/>
      <c r="B46" s="241"/>
      <c r="C46" s="256"/>
      <c r="D46" s="248"/>
      <c r="E46" s="244"/>
      <c r="F46" s="246"/>
      <c r="G46" s="246"/>
      <c r="H46" s="246"/>
      <c r="I46" s="246"/>
      <c r="J46" s="246"/>
      <c r="K46" s="246"/>
      <c r="L46" s="247"/>
    </row>
    <row r="47" spans="1:12" ht="18.95" customHeight="1">
      <c r="A47" s="253"/>
      <c r="B47" s="241"/>
      <c r="C47" s="241"/>
      <c r="D47" s="241"/>
      <c r="E47" s="244"/>
      <c r="F47" s="246"/>
      <c r="G47" s="246"/>
      <c r="H47" s="246"/>
      <c r="I47" s="246"/>
      <c r="J47" s="246"/>
      <c r="K47" s="246"/>
      <c r="L47" s="247"/>
    </row>
    <row r="48" spans="1:12" ht="18.95" customHeight="1">
      <c r="A48" s="257" t="s">
        <v>55</v>
      </c>
      <c r="B48" s="258"/>
      <c r="C48" s="258"/>
      <c r="D48" s="258"/>
      <c r="E48" s="259">
        <f>G48+I48+K48</f>
        <v>575553</v>
      </c>
      <c r="F48" s="260"/>
      <c r="G48" s="259">
        <f>SUM(G29:G47)</f>
        <v>96245</v>
      </c>
      <c r="H48" s="260"/>
      <c r="I48" s="261">
        <f>SUM(I29:I47)</f>
        <v>0</v>
      </c>
      <c r="J48" s="260"/>
      <c r="K48" s="259">
        <f>SUM(K29:K47)</f>
        <v>479308</v>
      </c>
      <c r="L48" s="262"/>
    </row>
    <row r="49" spans="1:13" ht="18.95" customHeight="1">
      <c r="A49" s="263" t="s">
        <v>27</v>
      </c>
      <c r="B49" s="263"/>
      <c r="C49" s="263"/>
      <c r="D49" s="263"/>
      <c r="E49" s="719" t="s">
        <v>122</v>
      </c>
      <c r="F49" s="719"/>
      <c r="G49" s="719"/>
      <c r="H49" s="719"/>
      <c r="I49" s="263"/>
      <c r="J49" s="263"/>
      <c r="K49" s="263"/>
      <c r="L49" s="263"/>
    </row>
    <row r="50" spans="1:13" ht="18.95" customHeight="1">
      <c r="A50" s="264" t="s">
        <v>67</v>
      </c>
      <c r="B50" s="265">
        <f>E72</f>
        <v>1130472</v>
      </c>
      <c r="C50" s="266" t="s">
        <v>2</v>
      </c>
      <c r="D50" s="231"/>
      <c r="E50" s="670" t="s">
        <v>73</v>
      </c>
      <c r="F50" s="670"/>
      <c r="G50" s="670"/>
      <c r="H50" s="670"/>
      <c r="I50" s="231">
        <v>1</v>
      </c>
      <c r="J50" s="231" t="s">
        <v>111</v>
      </c>
      <c r="K50" s="231"/>
      <c r="L50" s="231"/>
    </row>
    <row r="51" spans="1:13" ht="18.95" customHeight="1">
      <c r="A51" s="671" t="s">
        <v>72</v>
      </c>
      <c r="B51" s="663" t="s">
        <v>65</v>
      </c>
      <c r="C51" s="663" t="s">
        <v>64</v>
      </c>
      <c r="D51" s="677" t="s">
        <v>4</v>
      </c>
      <c r="E51" s="668" t="s">
        <v>63</v>
      </c>
      <c r="F51" s="667" t="s">
        <v>62</v>
      </c>
      <c r="G51" s="679"/>
      <c r="H51" s="683" t="s">
        <v>61</v>
      </c>
      <c r="I51" s="683"/>
      <c r="J51" s="662" t="s">
        <v>60</v>
      </c>
      <c r="K51" s="662"/>
      <c r="L51" s="705" t="s">
        <v>71</v>
      </c>
    </row>
    <row r="52" spans="1:13" ht="18.95" customHeight="1">
      <c r="A52" s="672"/>
      <c r="B52" s="664"/>
      <c r="C52" s="664"/>
      <c r="D52" s="678"/>
      <c r="E52" s="669"/>
      <c r="F52" s="232" t="s">
        <v>9</v>
      </c>
      <c r="G52" s="232" t="s">
        <v>58</v>
      </c>
      <c r="H52" s="232" t="s">
        <v>9</v>
      </c>
      <c r="I52" s="232" t="s">
        <v>57</v>
      </c>
      <c r="J52" s="232" t="s">
        <v>9</v>
      </c>
      <c r="K52" s="232" t="s">
        <v>57</v>
      </c>
      <c r="L52" s="718"/>
    </row>
    <row r="53" spans="1:13" ht="18.95" customHeight="1">
      <c r="A53" s="709" t="s">
        <v>123</v>
      </c>
      <c r="B53" s="710"/>
      <c r="C53" s="710"/>
      <c r="D53" s="236"/>
      <c r="E53" s="267"/>
      <c r="F53" s="267"/>
      <c r="G53" s="267"/>
      <c r="H53" s="268"/>
      <c r="I53" s="268"/>
      <c r="J53" s="267"/>
      <c r="K53" s="267"/>
      <c r="L53" s="239"/>
      <c r="M53" s="36" t="s">
        <v>124</v>
      </c>
    </row>
    <row r="54" spans="1:13" ht="18.95" customHeight="1">
      <c r="A54" s="471" t="s">
        <v>402</v>
      </c>
      <c r="B54" s="241"/>
      <c r="C54" s="269">
        <v>2</v>
      </c>
      <c r="D54" s="243" t="s">
        <v>13</v>
      </c>
      <c r="E54" s="245">
        <f>G54+I54+K54</f>
        <v>371404</v>
      </c>
      <c r="F54" s="250"/>
      <c r="G54" s="250"/>
      <c r="H54" s="250"/>
      <c r="I54" s="250"/>
      <c r="J54" s="245">
        <f>단가표!E9</f>
        <v>185702</v>
      </c>
      <c r="K54" s="245">
        <f>INT(C54*J54)</f>
        <v>371404</v>
      </c>
      <c r="L54" s="247"/>
      <c r="M54" s="36" t="s">
        <v>125</v>
      </c>
    </row>
    <row r="55" spans="1:13" ht="18.95" customHeight="1">
      <c r="A55" s="251" t="s">
        <v>109</v>
      </c>
      <c r="B55" s="241"/>
      <c r="C55" s="270">
        <v>2</v>
      </c>
      <c r="D55" s="243" t="s">
        <v>13</v>
      </c>
      <c r="E55" s="245">
        <f>G55+I55+K55</f>
        <v>276580</v>
      </c>
      <c r="F55" s="245"/>
      <c r="G55" s="245"/>
      <c r="H55" s="250"/>
      <c r="I55" s="250"/>
      <c r="J55" s="245">
        <f>단가표!E12</f>
        <v>138290</v>
      </c>
      <c r="K55" s="245">
        <f>INT(C55*J55)</f>
        <v>276580</v>
      </c>
      <c r="L55" s="247"/>
      <c r="M55" s="36" t="s">
        <v>126</v>
      </c>
    </row>
    <row r="56" spans="1:13" ht="18.95" customHeight="1">
      <c r="A56" s="271" t="s">
        <v>127</v>
      </c>
      <c r="B56" s="207"/>
      <c r="C56" s="272">
        <v>4</v>
      </c>
      <c r="D56" s="202" t="s">
        <v>128</v>
      </c>
      <c r="E56" s="203">
        <f>G56+I56+K56</f>
        <v>159496</v>
      </c>
      <c r="F56" s="203"/>
      <c r="G56" s="203"/>
      <c r="H56" s="206"/>
      <c r="I56" s="203"/>
      <c r="J56" s="203">
        <v>39874</v>
      </c>
      <c r="K56" s="245">
        <f>INT(C56*J56)</f>
        <v>159496</v>
      </c>
      <c r="L56" s="247"/>
      <c r="M56" s="39" t="s">
        <v>132</v>
      </c>
    </row>
    <row r="57" spans="1:13" ht="18.95" customHeight="1">
      <c r="A57" s="251" t="s">
        <v>59</v>
      </c>
      <c r="B57" s="241"/>
      <c r="C57" s="252"/>
      <c r="D57" s="243"/>
      <c r="E57" s="245">
        <f>SUM(E54:E56)</f>
        <v>807480</v>
      </c>
      <c r="F57" s="245"/>
      <c r="G57" s="245">
        <f>SUM(G54:G56)</f>
        <v>0</v>
      </c>
      <c r="H57" s="250"/>
      <c r="I57" s="245"/>
      <c r="J57" s="245"/>
      <c r="K57" s="245">
        <f>SUM(K54:K56)</f>
        <v>807480</v>
      </c>
      <c r="L57" s="247"/>
    </row>
    <row r="58" spans="1:13" ht="18.95" customHeight="1">
      <c r="A58" s="253"/>
      <c r="B58" s="241"/>
      <c r="C58" s="241"/>
      <c r="D58" s="241"/>
      <c r="E58" s="245"/>
      <c r="F58" s="250"/>
      <c r="G58" s="250"/>
      <c r="H58" s="250"/>
      <c r="I58" s="250"/>
      <c r="J58" s="250"/>
      <c r="K58" s="250"/>
      <c r="L58" s="247"/>
    </row>
    <row r="59" spans="1:13" ht="18.95" customHeight="1">
      <c r="A59" s="713" t="s">
        <v>129</v>
      </c>
      <c r="B59" s="714"/>
      <c r="C59" s="714"/>
      <c r="D59" s="714"/>
      <c r="E59" s="245"/>
      <c r="F59" s="245"/>
      <c r="G59" s="245"/>
      <c r="H59" s="250"/>
      <c r="I59" s="250"/>
      <c r="J59" s="245"/>
      <c r="K59" s="245"/>
      <c r="L59" s="247"/>
    </row>
    <row r="60" spans="1:13" ht="18.95" customHeight="1">
      <c r="A60" s="711" t="s">
        <v>130</v>
      </c>
      <c r="B60" s="712"/>
      <c r="C60" s="241">
        <v>140</v>
      </c>
      <c r="D60" s="255" t="s">
        <v>19</v>
      </c>
      <c r="E60" s="245">
        <f>G60+I60+K60</f>
        <v>1130472</v>
      </c>
      <c r="F60" s="245"/>
      <c r="G60" s="245"/>
      <c r="H60" s="250"/>
      <c r="I60" s="250"/>
      <c r="J60" s="245">
        <f>E57</f>
        <v>807480</v>
      </c>
      <c r="K60" s="245">
        <f>INT(C60*J60/100)</f>
        <v>1130472</v>
      </c>
      <c r="L60" s="247"/>
    </row>
    <row r="61" spans="1:13" ht="18.95" customHeight="1">
      <c r="A61" s="251"/>
      <c r="B61" s="241"/>
      <c r="C61" s="252"/>
      <c r="D61" s="243"/>
      <c r="E61" s="245"/>
      <c r="F61" s="245"/>
      <c r="G61" s="245"/>
      <c r="H61" s="250"/>
      <c r="I61" s="250"/>
      <c r="J61" s="245"/>
      <c r="K61" s="245"/>
      <c r="L61" s="247"/>
    </row>
    <row r="62" spans="1:13" ht="18.95" customHeight="1">
      <c r="A62" s="253"/>
      <c r="B62" s="241"/>
      <c r="C62" s="241"/>
      <c r="D62" s="241"/>
      <c r="E62" s="245"/>
      <c r="F62" s="250"/>
      <c r="G62" s="250"/>
      <c r="H62" s="250"/>
      <c r="I62" s="250"/>
      <c r="J62" s="250"/>
      <c r="K62" s="250"/>
      <c r="L62" s="247"/>
    </row>
    <row r="63" spans="1:13" ht="18.95" customHeight="1">
      <c r="A63" s="253"/>
      <c r="B63" s="241"/>
      <c r="C63" s="241"/>
      <c r="D63" s="241"/>
      <c r="E63" s="245"/>
      <c r="F63" s="250"/>
      <c r="G63" s="250"/>
      <c r="H63" s="250"/>
      <c r="I63" s="250"/>
      <c r="J63" s="250"/>
      <c r="K63" s="250"/>
      <c r="L63" s="247"/>
    </row>
    <row r="64" spans="1:13" ht="18.95" customHeight="1">
      <c r="A64" s="273"/>
      <c r="B64" s="255"/>
      <c r="C64" s="241"/>
      <c r="D64" s="255"/>
      <c r="E64" s="245"/>
      <c r="F64" s="274"/>
      <c r="G64" s="245"/>
      <c r="H64" s="250"/>
      <c r="I64" s="250"/>
      <c r="J64" s="275"/>
      <c r="K64" s="245"/>
      <c r="L64" s="247"/>
    </row>
    <row r="65" spans="1:13" ht="18.95" customHeight="1">
      <c r="A65" s="253"/>
      <c r="B65" s="241"/>
      <c r="C65" s="241"/>
      <c r="D65" s="241"/>
      <c r="E65" s="245"/>
      <c r="F65" s="250"/>
      <c r="G65" s="250"/>
      <c r="H65" s="250"/>
      <c r="I65" s="250"/>
      <c r="J65" s="250"/>
      <c r="K65" s="250"/>
      <c r="L65" s="247"/>
    </row>
    <row r="66" spans="1:13" ht="18.95" customHeight="1">
      <c r="A66" s="253"/>
      <c r="B66" s="241"/>
      <c r="C66" s="241"/>
      <c r="D66" s="241"/>
      <c r="E66" s="245"/>
      <c r="F66" s="250"/>
      <c r="G66" s="250"/>
      <c r="H66" s="250"/>
      <c r="I66" s="250"/>
      <c r="J66" s="250"/>
      <c r="K66" s="250"/>
      <c r="L66" s="247"/>
    </row>
    <row r="67" spans="1:13" ht="18.95" customHeight="1">
      <c r="A67" s="253"/>
      <c r="B67" s="241"/>
      <c r="C67" s="241"/>
      <c r="D67" s="241"/>
      <c r="E67" s="245"/>
      <c r="F67" s="250"/>
      <c r="G67" s="250"/>
      <c r="H67" s="250"/>
      <c r="I67" s="250"/>
      <c r="J67" s="250"/>
      <c r="K67" s="250"/>
      <c r="L67" s="247"/>
    </row>
    <row r="68" spans="1:13" ht="18.95" customHeight="1">
      <c r="A68" s="276"/>
      <c r="B68" s="241"/>
      <c r="C68" s="241"/>
      <c r="D68" s="241"/>
      <c r="E68" s="245"/>
      <c r="F68" s="250"/>
      <c r="G68" s="245"/>
      <c r="H68" s="250"/>
      <c r="I68" s="245"/>
      <c r="J68" s="250"/>
      <c r="K68" s="245"/>
      <c r="L68" s="247"/>
    </row>
    <row r="69" spans="1:13" ht="18.95" customHeight="1">
      <c r="A69" s="253"/>
      <c r="B69" s="241"/>
      <c r="C69" s="241"/>
      <c r="D69" s="241"/>
      <c r="E69" s="245"/>
      <c r="F69" s="250"/>
      <c r="G69" s="250"/>
      <c r="H69" s="250"/>
      <c r="I69" s="250"/>
      <c r="J69" s="250"/>
      <c r="K69" s="245"/>
      <c r="L69" s="247"/>
    </row>
    <row r="70" spans="1:13" ht="18.95" customHeight="1">
      <c r="A70" s="251" t="s">
        <v>74</v>
      </c>
      <c r="B70" s="241"/>
      <c r="C70" s="256">
        <v>0.05</v>
      </c>
      <c r="D70" s="243"/>
      <c r="E70" s="245">
        <f>G70+I70+K70</f>
        <v>0</v>
      </c>
      <c r="F70" s="250"/>
      <c r="G70" s="250"/>
      <c r="H70" s="275">
        <f>I57</f>
        <v>0</v>
      </c>
      <c r="I70" s="245">
        <f>INT(H70*C70)</f>
        <v>0</v>
      </c>
      <c r="J70" s="250"/>
      <c r="K70" s="275"/>
      <c r="L70" s="247"/>
    </row>
    <row r="71" spans="1:13" ht="18.95" customHeight="1">
      <c r="A71" s="253"/>
      <c r="B71" s="241"/>
      <c r="C71" s="241"/>
      <c r="D71" s="241"/>
      <c r="E71" s="245"/>
      <c r="F71" s="250"/>
      <c r="G71" s="250"/>
      <c r="H71" s="250"/>
      <c r="I71" s="250"/>
      <c r="J71" s="250"/>
      <c r="K71" s="250"/>
      <c r="L71" s="247"/>
    </row>
    <row r="72" spans="1:13" ht="18.95" customHeight="1">
      <c r="A72" s="277" t="s">
        <v>55</v>
      </c>
      <c r="B72" s="258"/>
      <c r="C72" s="258"/>
      <c r="D72" s="258"/>
      <c r="E72" s="261">
        <f>G72+I72+K72</f>
        <v>1130472</v>
      </c>
      <c r="F72" s="278"/>
      <c r="G72" s="261">
        <f>SUM(G60:G71)</f>
        <v>0</v>
      </c>
      <c r="H72" s="278"/>
      <c r="I72" s="261">
        <f>SUM(I60:I71)</f>
        <v>0</v>
      </c>
      <c r="J72" s="278"/>
      <c r="K72" s="261">
        <f>SUM(K60:K71)</f>
        <v>1130472</v>
      </c>
      <c r="L72" s="262"/>
    </row>
    <row r="73" spans="1:13" ht="18.95" customHeight="1">
      <c r="A73" s="231" t="s">
        <v>270</v>
      </c>
      <c r="B73" s="231"/>
      <c r="C73" s="231"/>
      <c r="D73" s="231"/>
      <c r="E73" s="719" t="s">
        <v>271</v>
      </c>
      <c r="F73" s="719"/>
      <c r="G73" s="719"/>
      <c r="H73" s="719"/>
      <c r="I73" s="231"/>
      <c r="J73" s="231"/>
      <c r="K73" s="231"/>
      <c r="L73" s="231"/>
    </row>
    <row r="74" spans="1:13" ht="18.95" customHeight="1">
      <c r="A74" s="264" t="s">
        <v>272</v>
      </c>
      <c r="B74" s="265">
        <f>E96</f>
        <v>10596</v>
      </c>
      <c r="C74" s="266" t="s">
        <v>2</v>
      </c>
      <c r="D74" s="231"/>
      <c r="E74" s="670" t="s">
        <v>86</v>
      </c>
      <c r="F74" s="670"/>
      <c r="G74" s="670"/>
      <c r="H74" s="670"/>
      <c r="I74" s="279">
        <v>111.23</v>
      </c>
      <c r="J74" s="231" t="s">
        <v>273</v>
      </c>
      <c r="K74" s="720" t="s">
        <v>274</v>
      </c>
      <c r="L74" s="720"/>
    </row>
    <row r="75" spans="1:13" ht="18.95" customHeight="1">
      <c r="A75" s="671" t="s">
        <v>72</v>
      </c>
      <c r="B75" s="663" t="s">
        <v>275</v>
      </c>
      <c r="C75" s="663" t="s">
        <v>276</v>
      </c>
      <c r="D75" s="677" t="s">
        <v>4</v>
      </c>
      <c r="E75" s="668" t="s">
        <v>63</v>
      </c>
      <c r="F75" s="667" t="s">
        <v>277</v>
      </c>
      <c r="G75" s="679"/>
      <c r="H75" s="683" t="s">
        <v>278</v>
      </c>
      <c r="I75" s="683"/>
      <c r="J75" s="662" t="s">
        <v>279</v>
      </c>
      <c r="K75" s="662"/>
      <c r="L75" s="705" t="s">
        <v>71</v>
      </c>
    </row>
    <row r="76" spans="1:13" ht="18.95" customHeight="1">
      <c r="A76" s="672"/>
      <c r="B76" s="664"/>
      <c r="C76" s="664"/>
      <c r="D76" s="678"/>
      <c r="E76" s="701"/>
      <c r="F76" s="232" t="s">
        <v>9</v>
      </c>
      <c r="G76" s="232" t="s">
        <v>58</v>
      </c>
      <c r="H76" s="232" t="s">
        <v>9</v>
      </c>
      <c r="I76" s="232" t="s">
        <v>57</v>
      </c>
      <c r="J76" s="232" t="s">
        <v>9</v>
      </c>
      <c r="K76" s="232" t="s">
        <v>57</v>
      </c>
      <c r="L76" s="691"/>
    </row>
    <row r="77" spans="1:13" ht="18.95" customHeight="1">
      <c r="A77" s="280" t="s">
        <v>280</v>
      </c>
      <c r="B77" s="281"/>
      <c r="C77" s="282">
        <f>INT(0.5/$I$74*1000)/1000</f>
        <v>4.0000000000000001E-3</v>
      </c>
      <c r="D77" s="236" t="s">
        <v>13</v>
      </c>
      <c r="E77" s="267">
        <f t="shared" ref="E77:E83" si="0">G77+I77+K77</f>
        <v>769</v>
      </c>
      <c r="F77" s="267">
        <f>단가표!E6</f>
        <v>192491</v>
      </c>
      <c r="G77" s="267">
        <f>TRUNC(C77*F77)</f>
        <v>769</v>
      </c>
      <c r="H77" s="268"/>
      <c r="I77" s="268"/>
      <c r="J77" s="267"/>
      <c r="K77" s="267"/>
      <c r="L77" s="239"/>
      <c r="M77" s="36" t="s">
        <v>100</v>
      </c>
    </row>
    <row r="78" spans="1:13" ht="18.95" customHeight="1">
      <c r="A78" s="251" t="s">
        <v>429</v>
      </c>
      <c r="B78" s="248"/>
      <c r="C78" s="283">
        <f>INT(1/$I$74*1000)/1000</f>
        <v>8.0000000000000002E-3</v>
      </c>
      <c r="D78" s="243" t="s">
        <v>13</v>
      </c>
      <c r="E78" s="245">
        <f t="shared" si="0"/>
        <v>1304</v>
      </c>
      <c r="F78" s="245">
        <f>단가표!E8</f>
        <v>163000</v>
      </c>
      <c r="G78" s="245">
        <f>TRUNC(C78*F78)</f>
        <v>1304</v>
      </c>
      <c r="H78" s="250"/>
      <c r="I78" s="250"/>
      <c r="J78" s="245"/>
      <c r="K78" s="245"/>
      <c r="L78" s="247"/>
      <c r="M78" s="36" t="s">
        <v>131</v>
      </c>
    </row>
    <row r="79" spans="1:13" ht="18.95" customHeight="1">
      <c r="A79" s="251" t="s">
        <v>85</v>
      </c>
      <c r="B79" s="241"/>
      <c r="C79" s="283">
        <f>INT(1/$I$74*1000)/1000</f>
        <v>8.0000000000000002E-3</v>
      </c>
      <c r="D79" s="243" t="s">
        <v>13</v>
      </c>
      <c r="E79" s="245">
        <f t="shared" si="0"/>
        <v>1399</v>
      </c>
      <c r="F79" s="245"/>
      <c r="G79" s="245"/>
      <c r="H79" s="250"/>
      <c r="I79" s="250"/>
      <c r="J79" s="245">
        <f>단가표!E10</f>
        <v>174955</v>
      </c>
      <c r="K79" s="245">
        <f>TRUNC(C79*J79)</f>
        <v>1399</v>
      </c>
      <c r="L79" s="247"/>
      <c r="M79" s="36" t="s">
        <v>101</v>
      </c>
    </row>
    <row r="80" spans="1:13" ht="18.95" customHeight="1">
      <c r="A80" s="251" t="s">
        <v>84</v>
      </c>
      <c r="B80" s="241"/>
      <c r="C80" s="283">
        <f>INT(1/$I$74*1000)/1000*0</f>
        <v>0</v>
      </c>
      <c r="D80" s="243" t="s">
        <v>13</v>
      </c>
      <c r="E80" s="245">
        <f t="shared" si="0"/>
        <v>0</v>
      </c>
      <c r="F80" s="245"/>
      <c r="G80" s="245"/>
      <c r="H80" s="250"/>
      <c r="I80" s="250"/>
      <c r="J80" s="245">
        <f>단가표!E11</f>
        <v>166063</v>
      </c>
      <c r="K80" s="245">
        <f>TRUNC(C80*J80)</f>
        <v>0</v>
      </c>
      <c r="L80" s="247"/>
    </row>
    <row r="81" spans="1:14" ht="18.95" customHeight="1">
      <c r="A81" s="251" t="s">
        <v>83</v>
      </c>
      <c r="B81" s="241"/>
      <c r="C81" s="283">
        <f>INT(1/$I$74*1000)/1000</f>
        <v>8.0000000000000002E-3</v>
      </c>
      <c r="D81" s="243" t="s">
        <v>13</v>
      </c>
      <c r="E81" s="245">
        <f t="shared" si="0"/>
        <v>1106</v>
      </c>
      <c r="F81" s="245"/>
      <c r="G81" s="245"/>
      <c r="H81" s="250"/>
      <c r="I81" s="250"/>
      <c r="J81" s="245">
        <f>단가표!E12</f>
        <v>138290</v>
      </c>
      <c r="K81" s="245">
        <f>TRUNC(C81*J81)</f>
        <v>1106</v>
      </c>
      <c r="L81" s="247"/>
      <c r="M81" s="36" t="s">
        <v>102</v>
      </c>
    </row>
    <row r="82" spans="1:14" ht="18.95" customHeight="1">
      <c r="A82" s="251" t="s">
        <v>82</v>
      </c>
      <c r="B82" s="241"/>
      <c r="C82" s="252">
        <f>INT(M85/I$74*1000)/1000</f>
        <v>4.0990000000000002</v>
      </c>
      <c r="D82" s="243" t="s">
        <v>81</v>
      </c>
      <c r="E82" s="245">
        <f t="shared" si="0"/>
        <v>4582</v>
      </c>
      <c r="F82" s="250"/>
      <c r="G82" s="250"/>
      <c r="H82" s="245">
        <f>INT(단가표!E14/1.1)</f>
        <v>1118</v>
      </c>
      <c r="I82" s="245">
        <f>TRUNC(C82*H82)</f>
        <v>4582</v>
      </c>
      <c r="J82" s="250"/>
      <c r="K82" s="275"/>
      <c r="L82" s="247"/>
      <c r="M82" s="36" t="s">
        <v>103</v>
      </c>
    </row>
    <row r="83" spans="1:14" ht="18.95" customHeight="1">
      <c r="A83" s="251" t="s">
        <v>80</v>
      </c>
      <c r="B83" s="241"/>
      <c r="C83" s="284">
        <v>0.2</v>
      </c>
      <c r="D83" s="255"/>
      <c r="E83" s="245">
        <f t="shared" si="0"/>
        <v>916</v>
      </c>
      <c r="F83" s="250"/>
      <c r="G83" s="250"/>
      <c r="H83" s="275">
        <f>I82</f>
        <v>4582</v>
      </c>
      <c r="I83" s="245">
        <f>TRUNC(H83*C83)</f>
        <v>916</v>
      </c>
      <c r="J83" s="250"/>
      <c r="K83" s="275"/>
      <c r="L83" s="247"/>
      <c r="M83" s="36" t="s">
        <v>104</v>
      </c>
    </row>
    <row r="84" spans="1:14" ht="18.95" customHeight="1">
      <c r="A84" s="285"/>
      <c r="B84" s="248"/>
      <c r="C84" s="241"/>
      <c r="D84" s="255"/>
      <c r="E84" s="245"/>
      <c r="F84" s="250"/>
      <c r="G84" s="250"/>
      <c r="H84" s="250"/>
      <c r="I84" s="250"/>
      <c r="J84" s="245"/>
      <c r="K84" s="245"/>
      <c r="L84" s="247"/>
      <c r="M84" s="36" t="s">
        <v>105</v>
      </c>
    </row>
    <row r="85" spans="1:14" ht="18.95" customHeight="1">
      <c r="A85" s="251" t="s">
        <v>281</v>
      </c>
      <c r="B85" s="243" t="s">
        <v>78</v>
      </c>
      <c r="C85" s="249">
        <f>INT(1/I74*1000)/1000</f>
        <v>8.0000000000000002E-3</v>
      </c>
      <c r="D85" s="243" t="s">
        <v>75</v>
      </c>
      <c r="E85" s="286">
        <f>G85+I85+K85</f>
        <v>235</v>
      </c>
      <c r="F85" s="250"/>
      <c r="G85" s="250"/>
      <c r="H85" s="250"/>
      <c r="I85" s="250"/>
      <c r="J85" s="245">
        <f>단가표!I33</f>
        <v>29432</v>
      </c>
      <c r="K85" s="245">
        <f>INT(C85*J85)</f>
        <v>235</v>
      </c>
      <c r="L85" s="247"/>
      <c r="M85" s="36">
        <f>INT(383*0.24*5/6*0.75)*8</f>
        <v>456</v>
      </c>
    </row>
    <row r="86" spans="1:14" ht="18.95" customHeight="1">
      <c r="A86" s="253"/>
      <c r="B86" s="243" t="s">
        <v>77</v>
      </c>
      <c r="C86" s="249">
        <f>INT(1/I74*1000)/1000</f>
        <v>8.0000000000000002E-3</v>
      </c>
      <c r="D86" s="255" t="s">
        <v>282</v>
      </c>
      <c r="E86" s="286">
        <f>G86+I86+K86</f>
        <v>130</v>
      </c>
      <c r="F86" s="250"/>
      <c r="G86" s="250"/>
      <c r="H86" s="250"/>
      <c r="I86" s="250"/>
      <c r="J86" s="245">
        <f>단가표!J33</f>
        <v>16360</v>
      </c>
      <c r="K86" s="245">
        <f>INT(C86*J86)</f>
        <v>130</v>
      </c>
      <c r="L86" s="247"/>
    </row>
    <row r="87" spans="1:14" ht="18.95" customHeight="1">
      <c r="A87" s="253"/>
      <c r="B87" s="243" t="s">
        <v>76</v>
      </c>
      <c r="C87" s="249">
        <f>INT(1/I74*1000)/1000</f>
        <v>8.0000000000000002E-3</v>
      </c>
      <c r="D87" s="255" t="s">
        <v>282</v>
      </c>
      <c r="E87" s="286">
        <f>G87+I87+K87</f>
        <v>155</v>
      </c>
      <c r="F87" s="250"/>
      <c r="G87" s="250"/>
      <c r="H87" s="250"/>
      <c r="I87" s="250"/>
      <c r="J87" s="245">
        <f>단가표!K33</f>
        <v>19464</v>
      </c>
      <c r="K87" s="245">
        <f>INT(C87*J87)</f>
        <v>155</v>
      </c>
      <c r="L87" s="247"/>
      <c r="M87" s="40" t="s">
        <v>106</v>
      </c>
      <c r="N87" s="40"/>
    </row>
    <row r="88" spans="1:14" ht="18.95" customHeight="1">
      <c r="A88" s="251" t="s">
        <v>79</v>
      </c>
      <c r="B88" s="241"/>
      <c r="C88" s="241"/>
      <c r="D88" s="255"/>
      <c r="E88" s="245">
        <f>G88+I88+K88</f>
        <v>10596</v>
      </c>
      <c r="F88" s="250"/>
      <c r="G88" s="245">
        <f>SUM(G77:G87)</f>
        <v>2073</v>
      </c>
      <c r="H88" s="250"/>
      <c r="I88" s="245">
        <f>SUM(I77:I87)</f>
        <v>5498</v>
      </c>
      <c r="J88" s="250"/>
      <c r="K88" s="245">
        <f>SUM(K77:K87)</f>
        <v>3025</v>
      </c>
      <c r="L88" s="247"/>
      <c r="M88" s="36" t="s">
        <v>107</v>
      </c>
    </row>
    <row r="89" spans="1:14" ht="18.95" customHeight="1">
      <c r="A89" s="251"/>
      <c r="B89" s="241"/>
      <c r="C89" s="241"/>
      <c r="D89" s="255"/>
      <c r="E89" s="245"/>
      <c r="F89" s="250"/>
      <c r="G89" s="245"/>
      <c r="H89" s="250"/>
      <c r="I89" s="245"/>
      <c r="J89" s="250"/>
      <c r="K89" s="245"/>
      <c r="L89" s="247"/>
    </row>
    <row r="90" spans="1:14" ht="18.95" customHeight="1">
      <c r="A90" s="251"/>
      <c r="B90" s="241"/>
      <c r="C90" s="241"/>
      <c r="D90" s="255"/>
      <c r="E90" s="245"/>
      <c r="F90" s="250"/>
      <c r="G90" s="245"/>
      <c r="H90" s="250"/>
      <c r="I90" s="245"/>
      <c r="J90" s="250"/>
      <c r="K90" s="245"/>
      <c r="L90" s="247"/>
    </row>
    <row r="91" spans="1:14" ht="18.95" customHeight="1">
      <c r="A91" s="251"/>
      <c r="B91" s="241"/>
      <c r="C91" s="241"/>
      <c r="D91" s="255"/>
      <c r="E91" s="245"/>
      <c r="F91" s="250"/>
      <c r="G91" s="245"/>
      <c r="H91" s="250"/>
      <c r="I91" s="245"/>
      <c r="J91" s="250"/>
      <c r="K91" s="245"/>
      <c r="L91" s="247"/>
    </row>
    <row r="92" spans="1:14" ht="18.95" customHeight="1">
      <c r="A92" s="251"/>
      <c r="B92" s="241"/>
      <c r="C92" s="241"/>
      <c r="D92" s="255"/>
      <c r="E92" s="245"/>
      <c r="F92" s="250"/>
      <c r="G92" s="245"/>
      <c r="H92" s="250"/>
      <c r="I92" s="245"/>
      <c r="J92" s="250"/>
      <c r="K92" s="245"/>
      <c r="L92" s="247"/>
    </row>
    <row r="93" spans="1:14" ht="18.95" customHeight="1">
      <c r="A93" s="251"/>
      <c r="B93" s="241"/>
      <c r="C93" s="241"/>
      <c r="D93" s="255"/>
      <c r="E93" s="245"/>
      <c r="F93" s="250"/>
      <c r="G93" s="245"/>
      <c r="H93" s="250"/>
      <c r="I93" s="245"/>
      <c r="J93" s="250"/>
      <c r="K93" s="245"/>
      <c r="L93" s="247"/>
    </row>
    <row r="94" spans="1:14" ht="18.95" customHeight="1">
      <c r="A94" s="251" t="s">
        <v>74</v>
      </c>
      <c r="B94" s="241"/>
      <c r="C94" s="256">
        <v>0</v>
      </c>
      <c r="D94" s="243"/>
      <c r="E94" s="245">
        <f>G94+I94+K94</f>
        <v>0</v>
      </c>
      <c r="F94" s="250"/>
      <c r="G94" s="250"/>
      <c r="H94" s="275">
        <f>I88</f>
        <v>5498</v>
      </c>
      <c r="I94" s="245">
        <f>INT(H94*C94)</f>
        <v>0</v>
      </c>
      <c r="J94" s="250"/>
      <c r="K94" s="275"/>
      <c r="L94" s="247"/>
    </row>
    <row r="95" spans="1:14" ht="18.95" customHeight="1">
      <c r="A95" s="251"/>
      <c r="B95" s="241"/>
      <c r="C95" s="256"/>
      <c r="D95" s="243"/>
      <c r="E95" s="245"/>
      <c r="F95" s="250"/>
      <c r="G95" s="250"/>
      <c r="H95" s="250"/>
      <c r="I95" s="245"/>
      <c r="J95" s="250"/>
      <c r="K95" s="275"/>
      <c r="L95" s="247"/>
    </row>
    <row r="96" spans="1:14" ht="18.95" customHeight="1">
      <c r="A96" s="257" t="s">
        <v>55</v>
      </c>
      <c r="B96" s="258"/>
      <c r="C96" s="258"/>
      <c r="D96" s="287"/>
      <c r="E96" s="261">
        <f>G96+I96+K96</f>
        <v>10596</v>
      </c>
      <c r="F96" s="278"/>
      <c r="G96" s="261">
        <f>SUM(G88:G95)</f>
        <v>2073</v>
      </c>
      <c r="H96" s="278"/>
      <c r="I96" s="261">
        <f>SUM(I88:I95)</f>
        <v>5498</v>
      </c>
      <c r="J96" s="278"/>
      <c r="K96" s="261">
        <f>SUM(K88:K95)</f>
        <v>3025</v>
      </c>
      <c r="L96" s="262"/>
    </row>
    <row r="97" spans="1:14" ht="18.95" customHeight="1">
      <c r="A97" s="231" t="s">
        <v>283</v>
      </c>
      <c r="B97" s="193"/>
      <c r="C97" s="193"/>
      <c r="D97" s="193"/>
      <c r="E97" s="708" t="s">
        <v>284</v>
      </c>
      <c r="F97" s="708"/>
      <c r="G97" s="708"/>
      <c r="H97" s="708"/>
      <c r="I97" s="193"/>
      <c r="J97" s="193"/>
      <c r="K97" s="193"/>
      <c r="L97" s="193"/>
      <c r="N97" s="41"/>
    </row>
    <row r="98" spans="1:14" ht="18.95" customHeight="1">
      <c r="A98" s="190" t="s">
        <v>272</v>
      </c>
      <c r="B98" s="191">
        <f>E120</f>
        <v>269181</v>
      </c>
      <c r="C98" s="192" t="s">
        <v>2</v>
      </c>
      <c r="D98" s="193"/>
      <c r="E98" s="704" t="s">
        <v>285</v>
      </c>
      <c r="F98" s="704"/>
      <c r="G98" s="704"/>
      <c r="H98" s="704"/>
      <c r="I98" s="193">
        <v>2</v>
      </c>
      <c r="J98" s="193" t="s">
        <v>286</v>
      </c>
      <c r="K98" s="193"/>
      <c r="L98" s="193"/>
    </row>
    <row r="99" spans="1:14" ht="18.95" customHeight="1">
      <c r="A99" s="688" t="s">
        <v>72</v>
      </c>
      <c r="B99" s="663" t="s">
        <v>275</v>
      </c>
      <c r="C99" s="663" t="s">
        <v>276</v>
      </c>
      <c r="D99" s="663" t="s">
        <v>4</v>
      </c>
      <c r="E99" s="665" t="s">
        <v>63</v>
      </c>
      <c r="F99" s="667" t="s">
        <v>277</v>
      </c>
      <c r="G99" s="679"/>
      <c r="H99" s="667" t="s">
        <v>278</v>
      </c>
      <c r="I99" s="667"/>
      <c r="J99" s="658" t="s">
        <v>279</v>
      </c>
      <c r="K99" s="658"/>
      <c r="L99" s="692" t="s">
        <v>71</v>
      </c>
    </row>
    <row r="100" spans="1:14" ht="18.95" customHeight="1">
      <c r="A100" s="689"/>
      <c r="B100" s="664"/>
      <c r="C100" s="664"/>
      <c r="D100" s="664"/>
      <c r="E100" s="666"/>
      <c r="F100" s="219" t="s">
        <v>9</v>
      </c>
      <c r="G100" s="219" t="s">
        <v>58</v>
      </c>
      <c r="H100" s="219" t="s">
        <v>9</v>
      </c>
      <c r="I100" s="219" t="s">
        <v>57</v>
      </c>
      <c r="J100" s="219" t="s">
        <v>9</v>
      </c>
      <c r="K100" s="219" t="s">
        <v>57</v>
      </c>
      <c r="L100" s="693"/>
    </row>
    <row r="101" spans="1:14" ht="18.95" customHeight="1">
      <c r="A101" s="288" t="s">
        <v>280</v>
      </c>
      <c r="B101" s="199"/>
      <c r="C101" s="289">
        <f>1/I$98</f>
        <v>0.5</v>
      </c>
      <c r="D101" s="199" t="s">
        <v>13</v>
      </c>
      <c r="E101" s="200">
        <f>G101+I101+K101</f>
        <v>96245</v>
      </c>
      <c r="F101" s="200">
        <f>단가표!E6</f>
        <v>192491</v>
      </c>
      <c r="G101" s="200">
        <f>INT(C101*F101)</f>
        <v>96245</v>
      </c>
      <c r="H101" s="290"/>
      <c r="I101" s="290"/>
      <c r="J101" s="200"/>
      <c r="K101" s="200"/>
      <c r="L101" s="291"/>
    </row>
    <row r="102" spans="1:14" ht="18.95" customHeight="1">
      <c r="A102" s="225" t="s">
        <v>121</v>
      </c>
      <c r="B102" s="207"/>
      <c r="C102" s="292">
        <f>1/I$98</f>
        <v>0.5</v>
      </c>
      <c r="D102" s="202" t="s">
        <v>13</v>
      </c>
      <c r="E102" s="203">
        <f>G102+I102+K102</f>
        <v>87477</v>
      </c>
      <c r="F102" s="203"/>
      <c r="G102" s="203"/>
      <c r="H102" s="206"/>
      <c r="I102" s="206"/>
      <c r="J102" s="203">
        <f>단가표!E10</f>
        <v>174955</v>
      </c>
      <c r="K102" s="203">
        <f>INT(C102*J102)</f>
        <v>87477</v>
      </c>
      <c r="L102" s="224"/>
      <c r="M102" s="36" t="s">
        <v>108</v>
      </c>
    </row>
    <row r="103" spans="1:14" ht="18.95" customHeight="1">
      <c r="A103" s="225" t="s">
        <v>287</v>
      </c>
      <c r="B103" s="207"/>
      <c r="C103" s="292">
        <f>1/I$98</f>
        <v>0.5</v>
      </c>
      <c r="D103" s="202" t="s">
        <v>13</v>
      </c>
      <c r="E103" s="203">
        <f>G103+I103+K103</f>
        <v>69145</v>
      </c>
      <c r="F103" s="206"/>
      <c r="G103" s="206"/>
      <c r="H103" s="206"/>
      <c r="I103" s="206"/>
      <c r="J103" s="203">
        <f>단가표!E12</f>
        <v>138290</v>
      </c>
      <c r="K103" s="203">
        <f>INT(C103*J103)</f>
        <v>69145</v>
      </c>
      <c r="L103" s="224"/>
    </row>
    <row r="104" spans="1:14" ht="18.95" customHeight="1">
      <c r="A104" s="223"/>
      <c r="B104" s="207"/>
      <c r="C104" s="207"/>
      <c r="D104" s="207"/>
      <c r="E104" s="203"/>
      <c r="F104" s="206"/>
      <c r="G104" s="206"/>
      <c r="H104" s="206"/>
      <c r="I104" s="206"/>
      <c r="J104" s="206"/>
      <c r="K104" s="206"/>
      <c r="L104" s="224"/>
    </row>
    <row r="105" spans="1:14" ht="18.95" customHeight="1">
      <c r="A105" s="225" t="s">
        <v>288</v>
      </c>
      <c r="B105" s="202" t="s">
        <v>78</v>
      </c>
      <c r="C105" s="293">
        <f>1/(I$98+L$106)</f>
        <v>0.25</v>
      </c>
      <c r="D105" s="202" t="s">
        <v>75</v>
      </c>
      <c r="E105" s="203">
        <f>G105+I105+K105</f>
        <v>7358</v>
      </c>
      <c r="F105" s="206"/>
      <c r="G105" s="206"/>
      <c r="H105" s="203"/>
      <c r="I105" s="206"/>
      <c r="J105" s="203">
        <f>J85</f>
        <v>29432</v>
      </c>
      <c r="K105" s="203">
        <f>INT(C105*J105)</f>
        <v>7358</v>
      </c>
      <c r="L105" s="224" t="s">
        <v>289</v>
      </c>
      <c r="M105" s="36" t="s">
        <v>110</v>
      </c>
    </row>
    <row r="106" spans="1:14" ht="18.95" customHeight="1">
      <c r="A106" s="223"/>
      <c r="B106" s="202" t="s">
        <v>77</v>
      </c>
      <c r="C106" s="293">
        <f>1/(I$98+L$106)</f>
        <v>0.25</v>
      </c>
      <c r="D106" s="202" t="s">
        <v>282</v>
      </c>
      <c r="E106" s="203">
        <f>G106+I106+K106</f>
        <v>4090</v>
      </c>
      <c r="F106" s="206"/>
      <c r="G106" s="206"/>
      <c r="H106" s="206"/>
      <c r="I106" s="206"/>
      <c r="J106" s="203">
        <f>J86</f>
        <v>16360</v>
      </c>
      <c r="K106" s="203">
        <f>INT(C106*J106)</f>
        <v>4090</v>
      </c>
      <c r="L106" s="294">
        <v>2</v>
      </c>
    </row>
    <row r="107" spans="1:14" ht="18.95" customHeight="1">
      <c r="A107" s="225"/>
      <c r="B107" s="202" t="s">
        <v>76</v>
      </c>
      <c r="C107" s="293">
        <f>1/(I$98+L$106)</f>
        <v>0.25</v>
      </c>
      <c r="D107" s="202" t="s">
        <v>75</v>
      </c>
      <c r="E107" s="203">
        <f>G107+I107+K107</f>
        <v>4866</v>
      </c>
      <c r="F107" s="206"/>
      <c r="G107" s="206"/>
      <c r="H107" s="203"/>
      <c r="I107" s="206"/>
      <c r="J107" s="203">
        <f>J87</f>
        <v>19464</v>
      </c>
      <c r="K107" s="203">
        <f>INT(C107*J107)</f>
        <v>4866</v>
      </c>
      <c r="L107" s="224"/>
    </row>
    <row r="108" spans="1:14" ht="18.95" customHeight="1">
      <c r="A108" s="223"/>
      <c r="B108" s="207"/>
      <c r="C108" s="207"/>
      <c r="D108" s="207"/>
      <c r="E108" s="203"/>
      <c r="F108" s="206"/>
      <c r="G108" s="206"/>
      <c r="H108" s="206"/>
      <c r="I108" s="206"/>
      <c r="J108" s="206"/>
      <c r="K108" s="206"/>
      <c r="L108" s="224"/>
    </row>
    <row r="109" spans="1:14" ht="18.95" customHeight="1">
      <c r="A109" s="225"/>
      <c r="B109" s="207"/>
      <c r="C109" s="209"/>
      <c r="D109" s="202"/>
      <c r="E109" s="203"/>
      <c r="F109" s="203"/>
      <c r="G109" s="203"/>
      <c r="H109" s="206"/>
      <c r="I109" s="206"/>
      <c r="J109" s="206"/>
      <c r="K109" s="206"/>
      <c r="L109" s="224"/>
    </row>
    <row r="110" spans="1:14" ht="18.95" customHeight="1">
      <c r="A110" s="223"/>
      <c r="B110" s="207"/>
      <c r="C110" s="207"/>
      <c r="D110" s="207"/>
      <c r="E110" s="203"/>
      <c r="F110" s="206"/>
      <c r="G110" s="206"/>
      <c r="H110" s="206"/>
      <c r="I110" s="206"/>
      <c r="J110" s="206"/>
      <c r="K110" s="206"/>
      <c r="L110" s="224"/>
    </row>
    <row r="111" spans="1:14" ht="18.95" customHeight="1">
      <c r="A111" s="223"/>
      <c r="B111" s="207"/>
      <c r="C111" s="207"/>
      <c r="D111" s="207"/>
      <c r="E111" s="203"/>
      <c r="F111" s="206"/>
      <c r="G111" s="206"/>
      <c r="H111" s="206"/>
      <c r="I111" s="206"/>
      <c r="J111" s="206"/>
      <c r="K111" s="206"/>
      <c r="L111" s="224"/>
    </row>
    <row r="112" spans="1:14" ht="18.95" customHeight="1">
      <c r="A112" s="223"/>
      <c r="B112" s="207"/>
      <c r="C112" s="207"/>
      <c r="D112" s="207"/>
      <c r="E112" s="203"/>
      <c r="F112" s="206"/>
      <c r="G112" s="206"/>
      <c r="H112" s="206"/>
      <c r="I112" s="206"/>
      <c r="J112" s="206"/>
      <c r="K112" s="206"/>
      <c r="L112" s="224"/>
    </row>
    <row r="113" spans="1:14" ht="18.95" customHeight="1">
      <c r="A113" s="223"/>
      <c r="B113" s="207"/>
      <c r="C113" s="207"/>
      <c r="D113" s="207"/>
      <c r="E113" s="203"/>
      <c r="F113" s="206"/>
      <c r="G113" s="206"/>
      <c r="H113" s="206"/>
      <c r="I113" s="206"/>
      <c r="J113" s="206"/>
      <c r="K113" s="206"/>
      <c r="L113" s="224"/>
    </row>
    <row r="114" spans="1:14" ht="18.95" customHeight="1">
      <c r="A114" s="295"/>
      <c r="B114" s="222"/>
      <c r="C114" s="207"/>
      <c r="D114" s="222"/>
      <c r="E114" s="203"/>
      <c r="F114" s="296"/>
      <c r="G114" s="203"/>
      <c r="H114" s="206"/>
      <c r="I114" s="206"/>
      <c r="J114" s="204"/>
      <c r="K114" s="203"/>
      <c r="L114" s="224"/>
    </row>
    <row r="115" spans="1:14" ht="18.95" customHeight="1">
      <c r="A115" s="223"/>
      <c r="B115" s="207"/>
      <c r="C115" s="207"/>
      <c r="D115" s="207"/>
      <c r="E115" s="203"/>
      <c r="F115" s="206"/>
      <c r="G115" s="206"/>
      <c r="H115" s="206"/>
      <c r="I115" s="206"/>
      <c r="J115" s="206"/>
      <c r="K115" s="206"/>
      <c r="L115" s="224"/>
      <c r="M115" s="40"/>
      <c r="N115" s="40"/>
    </row>
    <row r="116" spans="1:14" ht="18.95" customHeight="1">
      <c r="A116" s="225"/>
      <c r="B116" s="207"/>
      <c r="C116" s="207"/>
      <c r="D116" s="207"/>
      <c r="E116" s="203"/>
      <c r="F116" s="206"/>
      <c r="G116" s="203"/>
      <c r="H116" s="206"/>
      <c r="I116" s="203"/>
      <c r="J116" s="206"/>
      <c r="K116" s="203"/>
      <c r="L116" s="224"/>
    </row>
    <row r="117" spans="1:14" ht="18.95" customHeight="1">
      <c r="A117" s="223"/>
      <c r="B117" s="207"/>
      <c r="C117" s="207"/>
      <c r="D117" s="207"/>
      <c r="E117" s="203"/>
      <c r="F117" s="206"/>
      <c r="G117" s="206"/>
      <c r="H117" s="206"/>
      <c r="I117" s="206"/>
      <c r="J117" s="206"/>
      <c r="K117" s="203"/>
      <c r="L117" s="224"/>
    </row>
    <row r="118" spans="1:14" ht="18.95" customHeight="1">
      <c r="A118" s="225"/>
      <c r="B118" s="207"/>
      <c r="C118" s="211"/>
      <c r="D118" s="212"/>
      <c r="E118" s="203"/>
      <c r="F118" s="206"/>
      <c r="G118" s="206"/>
      <c r="H118" s="206"/>
      <c r="I118" s="206"/>
      <c r="J118" s="206"/>
      <c r="K118" s="206"/>
      <c r="L118" s="224"/>
    </row>
    <row r="119" spans="1:14" ht="18.95" customHeight="1">
      <c r="A119" s="223"/>
      <c r="B119" s="207"/>
      <c r="C119" s="207"/>
      <c r="D119" s="207"/>
      <c r="E119" s="203"/>
      <c r="F119" s="206"/>
      <c r="G119" s="206"/>
      <c r="H119" s="206"/>
      <c r="I119" s="206"/>
      <c r="J119" s="206"/>
      <c r="K119" s="206"/>
      <c r="L119" s="224"/>
    </row>
    <row r="120" spans="1:14" ht="18.95" customHeight="1">
      <c r="A120" s="226" t="s">
        <v>55</v>
      </c>
      <c r="B120" s="227"/>
      <c r="C120" s="227"/>
      <c r="D120" s="227"/>
      <c r="E120" s="228">
        <f>G120+I120+K120</f>
        <v>269181</v>
      </c>
      <c r="F120" s="229"/>
      <c r="G120" s="228">
        <f>SUM(G101:G119)</f>
        <v>96245</v>
      </c>
      <c r="H120" s="229"/>
      <c r="I120" s="228">
        <f>SUM(I102:I119)</f>
        <v>0</v>
      </c>
      <c r="J120" s="229"/>
      <c r="K120" s="228">
        <f>SUM(K101:K119)</f>
        <v>172936</v>
      </c>
      <c r="L120" s="230"/>
    </row>
    <row r="121" spans="1:14" ht="18.95" hidden="1" customHeight="1">
      <c r="A121" s="231" t="s">
        <v>290</v>
      </c>
      <c r="B121" s="193"/>
      <c r="C121" s="193"/>
      <c r="D121" s="193"/>
      <c r="E121" s="708" t="s">
        <v>291</v>
      </c>
      <c r="F121" s="708"/>
      <c r="G121" s="708"/>
      <c r="H121" s="708"/>
      <c r="I121" s="193"/>
      <c r="J121" s="193"/>
      <c r="K121" s="193"/>
      <c r="L121" s="193"/>
    </row>
    <row r="122" spans="1:14" ht="18.95" hidden="1" customHeight="1">
      <c r="A122" s="190" t="s">
        <v>292</v>
      </c>
      <c r="B122" s="191">
        <f>E144</f>
        <v>0</v>
      </c>
      <c r="C122" s="192" t="s">
        <v>2</v>
      </c>
      <c r="D122" s="193"/>
      <c r="E122" s="704" t="s">
        <v>293</v>
      </c>
      <c r="F122" s="704"/>
      <c r="G122" s="704"/>
      <c r="H122" s="704"/>
      <c r="I122" s="193"/>
      <c r="J122" s="193"/>
      <c r="K122" s="193"/>
      <c r="L122" s="193"/>
    </row>
    <row r="123" spans="1:14" ht="18.95" hidden="1" customHeight="1">
      <c r="A123" s="660" t="s">
        <v>72</v>
      </c>
      <c r="B123" s="665" t="s">
        <v>294</v>
      </c>
      <c r="C123" s="665" t="s">
        <v>295</v>
      </c>
      <c r="D123" s="665" t="s">
        <v>4</v>
      </c>
      <c r="E123" s="665" t="s">
        <v>63</v>
      </c>
      <c r="F123" s="706" t="s">
        <v>296</v>
      </c>
      <c r="G123" s="707"/>
      <c r="H123" s="706" t="s">
        <v>297</v>
      </c>
      <c r="I123" s="706"/>
      <c r="J123" s="697" t="s">
        <v>298</v>
      </c>
      <c r="K123" s="697"/>
      <c r="L123" s="694" t="s">
        <v>71</v>
      </c>
    </row>
    <row r="124" spans="1:14" ht="18.95" hidden="1" customHeight="1">
      <c r="A124" s="661"/>
      <c r="B124" s="666"/>
      <c r="C124" s="666"/>
      <c r="D124" s="666"/>
      <c r="E124" s="666"/>
      <c r="F124" s="297" t="s">
        <v>9</v>
      </c>
      <c r="G124" s="297" t="s">
        <v>58</v>
      </c>
      <c r="H124" s="297" t="s">
        <v>9</v>
      </c>
      <c r="I124" s="297" t="s">
        <v>57</v>
      </c>
      <c r="J124" s="297" t="s">
        <v>9</v>
      </c>
      <c r="K124" s="297" t="s">
        <v>57</v>
      </c>
      <c r="L124" s="695"/>
    </row>
    <row r="125" spans="1:14" ht="18.95" hidden="1" customHeight="1">
      <c r="A125" s="298" t="s">
        <v>299</v>
      </c>
      <c r="B125" s="290"/>
      <c r="C125" s="299">
        <v>0</v>
      </c>
      <c r="D125" s="300" t="s">
        <v>300</v>
      </c>
      <c r="E125" s="200">
        <f>G125+I125+K125</f>
        <v>0</v>
      </c>
      <c r="F125" s="200"/>
      <c r="G125" s="200"/>
      <c r="H125" s="301">
        <v>1000</v>
      </c>
      <c r="I125" s="301">
        <f t="shared" ref="I125:I134" si="1">INT(C125*H125)</f>
        <v>0</v>
      </c>
      <c r="J125" s="200"/>
      <c r="K125" s="200"/>
      <c r="L125" s="302"/>
    </row>
    <row r="126" spans="1:14" ht="18.95" hidden="1" customHeight="1">
      <c r="A126" s="303" t="s">
        <v>301</v>
      </c>
      <c r="B126" s="304" t="s">
        <v>302</v>
      </c>
      <c r="C126" s="206"/>
      <c r="D126" s="304" t="s">
        <v>303</v>
      </c>
      <c r="E126" s="203"/>
      <c r="F126" s="206"/>
      <c r="G126" s="206"/>
      <c r="H126" s="305">
        <v>2127500</v>
      </c>
      <c r="I126" s="301">
        <f t="shared" si="1"/>
        <v>0</v>
      </c>
      <c r="J126" s="203"/>
      <c r="K126" s="203"/>
      <c r="L126" s="306" t="s">
        <v>304</v>
      </c>
    </row>
    <row r="127" spans="1:14" ht="18.95" hidden="1" customHeight="1">
      <c r="A127" s="307" t="s">
        <v>305</v>
      </c>
      <c r="B127" s="308" t="s">
        <v>306</v>
      </c>
      <c r="C127" s="309"/>
      <c r="D127" s="308" t="s">
        <v>300</v>
      </c>
      <c r="E127" s="203"/>
      <c r="F127" s="203"/>
      <c r="G127" s="203"/>
      <c r="H127" s="310">
        <f>INT(185000/6)</f>
        <v>30833</v>
      </c>
      <c r="I127" s="301">
        <f t="shared" si="1"/>
        <v>0</v>
      </c>
      <c r="J127" s="203"/>
      <c r="K127" s="203"/>
      <c r="L127" s="306" t="s">
        <v>307</v>
      </c>
    </row>
    <row r="128" spans="1:14" ht="18.95" hidden="1" customHeight="1">
      <c r="A128" s="303" t="s">
        <v>308</v>
      </c>
      <c r="B128" s="308" t="s">
        <v>309</v>
      </c>
      <c r="C128" s="309"/>
      <c r="D128" s="308" t="s">
        <v>300</v>
      </c>
      <c r="E128" s="203"/>
      <c r="F128" s="206"/>
      <c r="G128" s="206"/>
      <c r="H128" s="305">
        <v>3215</v>
      </c>
      <c r="I128" s="301">
        <f t="shared" si="1"/>
        <v>0</v>
      </c>
      <c r="J128" s="206"/>
      <c r="K128" s="206"/>
      <c r="L128" s="306" t="s">
        <v>310</v>
      </c>
    </row>
    <row r="129" spans="1:12" ht="18.95" hidden="1" customHeight="1">
      <c r="A129" s="307" t="s">
        <v>311</v>
      </c>
      <c r="B129" s="308" t="s">
        <v>312</v>
      </c>
      <c r="C129" s="309"/>
      <c r="D129" s="308" t="s">
        <v>300</v>
      </c>
      <c r="E129" s="203"/>
      <c r="F129" s="206"/>
      <c r="G129" s="206"/>
      <c r="H129" s="305">
        <v>1953</v>
      </c>
      <c r="I129" s="301">
        <f t="shared" si="1"/>
        <v>0</v>
      </c>
      <c r="J129" s="203"/>
      <c r="K129" s="203"/>
      <c r="L129" s="306" t="s">
        <v>313</v>
      </c>
    </row>
    <row r="130" spans="1:12" ht="18.95" hidden="1" customHeight="1">
      <c r="A130" s="303" t="s">
        <v>314</v>
      </c>
      <c r="B130" s="308" t="s">
        <v>315</v>
      </c>
      <c r="C130" s="309"/>
      <c r="D130" s="308" t="s">
        <v>316</v>
      </c>
      <c r="E130" s="203"/>
      <c r="F130" s="206"/>
      <c r="G130" s="206"/>
      <c r="H130" s="305">
        <v>29000</v>
      </c>
      <c r="I130" s="301">
        <f t="shared" si="1"/>
        <v>0</v>
      </c>
      <c r="J130" s="203"/>
      <c r="K130" s="203"/>
      <c r="L130" s="306" t="s">
        <v>307</v>
      </c>
    </row>
    <row r="131" spans="1:12" ht="18.95" hidden="1" customHeight="1">
      <c r="A131" s="307" t="s">
        <v>317</v>
      </c>
      <c r="B131" s="308" t="s">
        <v>318</v>
      </c>
      <c r="C131" s="309"/>
      <c r="D131" s="308" t="s">
        <v>316</v>
      </c>
      <c r="E131" s="203"/>
      <c r="F131" s="206"/>
      <c r="G131" s="206"/>
      <c r="H131" s="311">
        <v>763</v>
      </c>
      <c r="I131" s="305">
        <f t="shared" si="1"/>
        <v>0</v>
      </c>
      <c r="J131" s="203"/>
      <c r="K131" s="203"/>
      <c r="L131" s="306" t="s">
        <v>319</v>
      </c>
    </row>
    <row r="132" spans="1:12" ht="18.95" hidden="1" customHeight="1">
      <c r="A132" s="303" t="s">
        <v>320</v>
      </c>
      <c r="B132" s="308" t="s">
        <v>321</v>
      </c>
      <c r="C132" s="206"/>
      <c r="D132" s="308" t="s">
        <v>316</v>
      </c>
      <c r="E132" s="203"/>
      <c r="F132" s="206"/>
      <c r="G132" s="206"/>
      <c r="H132" s="312">
        <f>INT(279.6)</f>
        <v>279</v>
      </c>
      <c r="I132" s="305">
        <f t="shared" si="1"/>
        <v>0</v>
      </c>
      <c r="J132" s="206"/>
      <c r="K132" s="206"/>
      <c r="L132" s="306" t="s">
        <v>322</v>
      </c>
    </row>
    <row r="133" spans="1:12" ht="18.95" hidden="1" customHeight="1">
      <c r="A133" s="307" t="s">
        <v>323</v>
      </c>
      <c r="B133" s="308" t="s">
        <v>321</v>
      </c>
      <c r="C133" s="309"/>
      <c r="D133" s="308" t="s">
        <v>316</v>
      </c>
      <c r="E133" s="203"/>
      <c r="F133" s="203"/>
      <c r="G133" s="203"/>
      <c r="H133" s="311">
        <v>96</v>
      </c>
      <c r="I133" s="305">
        <f t="shared" si="1"/>
        <v>0</v>
      </c>
      <c r="J133" s="206"/>
      <c r="K133" s="206"/>
      <c r="L133" s="306" t="s">
        <v>324</v>
      </c>
    </row>
    <row r="134" spans="1:12" ht="18.95" hidden="1" customHeight="1">
      <c r="A134" s="303" t="s">
        <v>325</v>
      </c>
      <c r="B134" s="308" t="s">
        <v>326</v>
      </c>
      <c r="C134" s="206"/>
      <c r="D134" s="308" t="s">
        <v>316</v>
      </c>
      <c r="E134" s="203"/>
      <c r="F134" s="206"/>
      <c r="G134" s="206"/>
      <c r="H134" s="311">
        <v>352</v>
      </c>
      <c r="I134" s="305">
        <f t="shared" si="1"/>
        <v>0</v>
      </c>
      <c r="J134" s="206"/>
      <c r="K134" s="206"/>
      <c r="L134" s="306" t="s">
        <v>327</v>
      </c>
    </row>
    <row r="135" spans="1:12" ht="18.95" hidden="1" customHeight="1">
      <c r="A135" s="303"/>
      <c r="B135" s="206"/>
      <c r="C135" s="206"/>
      <c r="D135" s="206"/>
      <c r="E135" s="203"/>
      <c r="F135" s="206"/>
      <c r="G135" s="206"/>
      <c r="H135" s="206"/>
      <c r="I135" s="206"/>
      <c r="J135" s="206"/>
      <c r="K135" s="206"/>
      <c r="L135" s="306"/>
    </row>
    <row r="136" spans="1:12" ht="18.95" hidden="1" customHeight="1">
      <c r="A136" s="303"/>
      <c r="B136" s="206"/>
      <c r="C136" s="206"/>
      <c r="D136" s="206"/>
      <c r="E136" s="203"/>
      <c r="F136" s="206"/>
      <c r="G136" s="206"/>
      <c r="H136" s="206"/>
      <c r="I136" s="206"/>
      <c r="J136" s="206"/>
      <c r="K136" s="206"/>
      <c r="L136" s="306"/>
    </row>
    <row r="137" spans="1:12" ht="18.95" hidden="1" customHeight="1">
      <c r="A137" s="303"/>
      <c r="B137" s="304"/>
      <c r="C137" s="206"/>
      <c r="D137" s="304"/>
      <c r="E137" s="203"/>
      <c r="F137" s="296"/>
      <c r="G137" s="203"/>
      <c r="H137" s="206"/>
      <c r="I137" s="206"/>
      <c r="J137" s="204"/>
      <c r="K137" s="203"/>
      <c r="L137" s="306"/>
    </row>
    <row r="138" spans="1:12" ht="18.95" hidden="1" customHeight="1">
      <c r="A138" s="303"/>
      <c r="B138" s="206"/>
      <c r="C138" s="206"/>
      <c r="D138" s="206"/>
      <c r="E138" s="203"/>
      <c r="F138" s="206"/>
      <c r="G138" s="206"/>
      <c r="H138" s="206"/>
      <c r="I138" s="206"/>
      <c r="J138" s="206"/>
      <c r="K138" s="206"/>
      <c r="L138" s="306"/>
    </row>
    <row r="139" spans="1:12" ht="18.95" hidden="1" customHeight="1">
      <c r="A139" s="698" t="s">
        <v>328</v>
      </c>
      <c r="B139" s="699"/>
      <c r="C139" s="699"/>
      <c r="D139" s="699"/>
      <c r="E139" s="203"/>
      <c r="F139" s="206"/>
      <c r="G139" s="206"/>
      <c r="H139" s="206"/>
      <c r="I139" s="206"/>
      <c r="J139" s="206"/>
      <c r="K139" s="206"/>
      <c r="L139" s="306"/>
    </row>
    <row r="140" spans="1:12" ht="18.95" hidden="1" customHeight="1">
      <c r="A140" s="673"/>
      <c r="B140" s="674"/>
      <c r="C140" s="674"/>
      <c r="D140" s="674"/>
      <c r="E140" s="203"/>
      <c r="F140" s="206"/>
      <c r="G140" s="203"/>
      <c r="H140" s="206"/>
      <c r="I140" s="203"/>
      <c r="J140" s="206"/>
      <c r="K140" s="203"/>
      <c r="L140" s="306"/>
    </row>
    <row r="141" spans="1:12" ht="18.95" hidden="1" customHeight="1">
      <c r="A141" s="313"/>
      <c r="B141" s="206"/>
      <c r="C141" s="206"/>
      <c r="D141" s="206"/>
      <c r="E141" s="203"/>
      <c r="F141" s="206"/>
      <c r="G141" s="206"/>
      <c r="H141" s="206"/>
      <c r="I141" s="206"/>
      <c r="J141" s="206"/>
      <c r="K141" s="203"/>
      <c r="L141" s="306"/>
    </row>
    <row r="142" spans="1:12" ht="18.95" hidden="1" customHeight="1">
      <c r="A142" s="307" t="s">
        <v>74</v>
      </c>
      <c r="B142" s="206"/>
      <c r="C142" s="314">
        <v>0.05</v>
      </c>
      <c r="D142" s="315"/>
      <c r="E142" s="203">
        <f>G142+I142+K142</f>
        <v>0</v>
      </c>
      <c r="F142" s="206"/>
      <c r="G142" s="206"/>
      <c r="H142" s="296">
        <f>I144</f>
        <v>0</v>
      </c>
      <c r="I142" s="305">
        <f>INT(H142*0.05)</f>
        <v>0</v>
      </c>
      <c r="J142" s="206"/>
      <c r="K142" s="206"/>
      <c r="L142" s="306"/>
    </row>
    <row r="143" spans="1:12" ht="18.95" hidden="1" customHeight="1">
      <c r="A143" s="313"/>
      <c r="B143" s="206"/>
      <c r="C143" s="206"/>
      <c r="D143" s="206"/>
      <c r="E143" s="203"/>
      <c r="F143" s="206"/>
      <c r="G143" s="206"/>
      <c r="H143" s="206"/>
      <c r="I143" s="206"/>
      <c r="J143" s="206"/>
      <c r="K143" s="206"/>
      <c r="L143" s="306"/>
    </row>
    <row r="144" spans="1:12" ht="18.95" hidden="1" customHeight="1">
      <c r="A144" s="316" t="s">
        <v>55</v>
      </c>
      <c r="B144" s="229"/>
      <c r="C144" s="229"/>
      <c r="D144" s="229"/>
      <c r="E144" s="228">
        <f>G144+I144+K144</f>
        <v>0</v>
      </c>
      <c r="F144" s="229"/>
      <c r="G144" s="228">
        <f>SUM(G125:G143)</f>
        <v>0</v>
      </c>
      <c r="H144" s="229"/>
      <c r="I144" s="228">
        <f>SUM(I125:I140)</f>
        <v>0</v>
      </c>
      <c r="J144" s="229"/>
      <c r="K144" s="228">
        <f>SUM(K125:K143)</f>
        <v>0</v>
      </c>
      <c r="L144" s="317"/>
    </row>
    <row r="145" spans="1:12" s="37" customFormat="1" ht="18.95" customHeight="1">
      <c r="A145" s="231" t="s">
        <v>30</v>
      </c>
      <c r="B145" s="318"/>
      <c r="C145" s="318"/>
      <c r="D145" s="318"/>
      <c r="E145" s="676" t="s">
        <v>329</v>
      </c>
      <c r="F145" s="676"/>
      <c r="G145" s="676"/>
      <c r="H145" s="676"/>
      <c r="I145" s="318"/>
      <c r="J145" s="318"/>
      <c r="K145" s="318"/>
      <c r="L145" s="318"/>
    </row>
    <row r="146" spans="1:12" s="37" customFormat="1" ht="18.95" customHeight="1">
      <c r="A146" s="319" t="s">
        <v>272</v>
      </c>
      <c r="B146" s="320">
        <f>E168</f>
        <v>371569</v>
      </c>
      <c r="C146" s="321" t="s">
        <v>2</v>
      </c>
      <c r="D146" s="318"/>
      <c r="E146" s="682" t="s">
        <v>73</v>
      </c>
      <c r="F146" s="682"/>
      <c r="G146" s="682"/>
      <c r="H146" s="682"/>
      <c r="I146" s="318">
        <v>1</v>
      </c>
      <c r="J146" s="318" t="s">
        <v>330</v>
      </c>
      <c r="K146" s="318"/>
      <c r="L146" s="318"/>
    </row>
    <row r="147" spans="1:12" s="37" customFormat="1" ht="18.95" customHeight="1">
      <c r="A147" s="686" t="s">
        <v>72</v>
      </c>
      <c r="B147" s="663" t="s">
        <v>275</v>
      </c>
      <c r="C147" s="663" t="s">
        <v>276</v>
      </c>
      <c r="D147" s="684" t="s">
        <v>4</v>
      </c>
      <c r="E147" s="700" t="s">
        <v>63</v>
      </c>
      <c r="F147" s="667" t="s">
        <v>277</v>
      </c>
      <c r="G147" s="679"/>
      <c r="H147" s="675" t="s">
        <v>278</v>
      </c>
      <c r="I147" s="675"/>
      <c r="J147" s="696" t="s">
        <v>279</v>
      </c>
      <c r="K147" s="696"/>
      <c r="L147" s="690" t="s">
        <v>71</v>
      </c>
    </row>
    <row r="148" spans="1:12" s="37" customFormat="1" ht="18.95" customHeight="1">
      <c r="A148" s="687"/>
      <c r="B148" s="664"/>
      <c r="C148" s="664"/>
      <c r="D148" s="685"/>
      <c r="E148" s="701"/>
      <c r="F148" s="322" t="s">
        <v>9</v>
      </c>
      <c r="G148" s="322" t="s">
        <v>58</v>
      </c>
      <c r="H148" s="322" t="s">
        <v>9</v>
      </c>
      <c r="I148" s="322" t="s">
        <v>57</v>
      </c>
      <c r="J148" s="322" t="s">
        <v>9</v>
      </c>
      <c r="K148" s="322" t="s">
        <v>57</v>
      </c>
      <c r="L148" s="691"/>
    </row>
    <row r="149" spans="1:12" s="37" customFormat="1" ht="18.95" customHeight="1">
      <c r="A149" s="680" t="s">
        <v>331</v>
      </c>
      <c r="B149" s="681"/>
      <c r="C149" s="323"/>
      <c r="D149" s="324"/>
      <c r="E149" s="325"/>
      <c r="F149" s="325"/>
      <c r="G149" s="325"/>
      <c r="H149" s="326"/>
      <c r="I149" s="326"/>
      <c r="J149" s="325"/>
      <c r="K149" s="325"/>
      <c r="L149" s="327"/>
    </row>
    <row r="150" spans="1:12" s="37" customFormat="1" ht="18.95" customHeight="1">
      <c r="A150" s="328" t="s">
        <v>332</v>
      </c>
      <c r="B150" s="329"/>
      <c r="C150" s="329"/>
      <c r="D150" s="330" t="s">
        <v>333</v>
      </c>
      <c r="E150" s="331">
        <v>50</v>
      </c>
      <c r="F150" s="332" t="s">
        <v>334</v>
      </c>
      <c r="G150" s="333"/>
      <c r="H150" s="333"/>
      <c r="I150" s="334"/>
      <c r="J150" s="333"/>
      <c r="K150" s="334"/>
      <c r="L150" s="335"/>
    </row>
    <row r="151" spans="1:12" s="37" customFormat="1" ht="18.95" customHeight="1">
      <c r="A151" s="336"/>
      <c r="B151" s="329"/>
      <c r="C151" s="329"/>
      <c r="D151" s="330" t="s">
        <v>335</v>
      </c>
      <c r="E151" s="337">
        <v>5</v>
      </c>
      <c r="F151" s="333" t="s">
        <v>336</v>
      </c>
      <c r="G151" s="338">
        <v>1</v>
      </c>
      <c r="H151" s="339" t="s">
        <v>70</v>
      </c>
      <c r="I151" s="334"/>
      <c r="J151" s="333"/>
      <c r="K151" s="334"/>
      <c r="L151" s="335"/>
    </row>
    <row r="152" spans="1:12" s="37" customFormat="1" ht="18.95" customHeight="1">
      <c r="A152" s="328" t="s">
        <v>337</v>
      </c>
      <c r="B152" s="329"/>
      <c r="C152" s="329"/>
      <c r="D152" s="330" t="s">
        <v>338</v>
      </c>
      <c r="E152" s="337">
        <v>2</v>
      </c>
      <c r="F152" s="332" t="s">
        <v>68</v>
      </c>
      <c r="G152" s="332" t="s">
        <v>69</v>
      </c>
      <c r="H152" s="337">
        <v>1</v>
      </c>
      <c r="I152" s="333" t="s">
        <v>339</v>
      </c>
      <c r="J152" s="333"/>
      <c r="K152" s="333"/>
      <c r="L152" s="335"/>
    </row>
    <row r="153" spans="1:12" s="37" customFormat="1" ht="18.95" customHeight="1">
      <c r="A153" s="336"/>
      <c r="B153" s="329"/>
      <c r="C153" s="329"/>
      <c r="D153" s="330" t="s">
        <v>340</v>
      </c>
      <c r="E153" s="337">
        <v>1</v>
      </c>
      <c r="F153" s="332" t="s">
        <v>68</v>
      </c>
      <c r="G153" s="332" t="s">
        <v>341</v>
      </c>
      <c r="H153" s="337">
        <f>E152+H152+E153</f>
        <v>4</v>
      </c>
      <c r="I153" s="333" t="s">
        <v>339</v>
      </c>
      <c r="J153" s="333"/>
      <c r="K153" s="333"/>
      <c r="L153" s="335"/>
    </row>
    <row r="154" spans="1:12" s="37" customFormat="1" ht="18.95" customHeight="1">
      <c r="A154" s="336"/>
      <c r="B154" s="329"/>
      <c r="C154" s="329"/>
      <c r="D154" s="330" t="s">
        <v>342</v>
      </c>
      <c r="E154" s="337">
        <v>1</v>
      </c>
      <c r="F154" s="340" t="s">
        <v>339</v>
      </c>
      <c r="G154" s="340"/>
      <c r="H154" s="333"/>
      <c r="I154" s="334"/>
      <c r="J154" s="333"/>
      <c r="K154" s="334"/>
      <c r="L154" s="335"/>
    </row>
    <row r="155" spans="1:12" s="37" customFormat="1" ht="18.95" customHeight="1">
      <c r="A155" s="328" t="s">
        <v>343</v>
      </c>
      <c r="B155" s="329"/>
      <c r="C155" s="330" t="s">
        <v>344</v>
      </c>
      <c r="D155" s="341"/>
      <c r="E155" s="334">
        <f>단가표!K16</f>
        <v>61500</v>
      </c>
      <c r="F155" s="332" t="s">
        <v>345</v>
      </c>
      <c r="G155" s="338"/>
      <c r="H155" s="333"/>
      <c r="I155" s="334"/>
      <c r="J155" s="333"/>
      <c r="K155" s="334">
        <f>INT(E155*1)</f>
        <v>61500</v>
      </c>
      <c r="L155" s="335"/>
    </row>
    <row r="156" spans="1:12" s="37" customFormat="1" ht="18.95" customHeight="1">
      <c r="A156" s="328" t="s">
        <v>346</v>
      </c>
      <c r="B156" s="329"/>
      <c r="C156" s="330" t="s">
        <v>347</v>
      </c>
      <c r="D156" s="342" t="s">
        <v>348</v>
      </c>
      <c r="E156" s="343" t="s">
        <v>349</v>
      </c>
      <c r="F156" s="344" t="s">
        <v>350</v>
      </c>
      <c r="G156" s="332"/>
      <c r="H156" s="334"/>
      <c r="I156" s="332"/>
      <c r="J156" s="333"/>
      <c r="K156" s="334"/>
      <c r="L156" s="335"/>
    </row>
    <row r="157" spans="1:12" s="37" customFormat="1" ht="18.95" customHeight="1">
      <c r="A157" s="328"/>
      <c r="B157" s="329"/>
      <c r="C157" s="345">
        <v>5810</v>
      </c>
      <c r="D157" s="342" t="s">
        <v>348</v>
      </c>
      <c r="E157" s="346">
        <f>E154</f>
        <v>1</v>
      </c>
      <c r="F157" s="344" t="s">
        <v>350</v>
      </c>
      <c r="G157" s="334"/>
      <c r="H157" s="332"/>
      <c r="I157" s="332"/>
      <c r="J157" s="333"/>
      <c r="K157" s="334">
        <f>INT(C157*2)</f>
        <v>11620</v>
      </c>
      <c r="L157" s="335"/>
    </row>
    <row r="158" spans="1:12" s="37" customFormat="1" ht="18.95" customHeight="1">
      <c r="A158" s="328" t="s">
        <v>351</v>
      </c>
      <c r="B158" s="329"/>
      <c r="C158" s="345" t="s">
        <v>352</v>
      </c>
      <c r="D158" s="347">
        <v>1</v>
      </c>
      <c r="E158" s="348">
        <f>H152/8</f>
        <v>0.125</v>
      </c>
      <c r="F158" s="349">
        <f>단가표!E10</f>
        <v>174955</v>
      </c>
      <c r="G158" s="333" t="s">
        <v>353</v>
      </c>
      <c r="H158" s="350"/>
      <c r="I158" s="333"/>
      <c r="J158" s="334"/>
      <c r="K158" s="334">
        <f>INT(D158*E158*F158)</f>
        <v>21869</v>
      </c>
      <c r="L158" s="335"/>
    </row>
    <row r="159" spans="1:12" s="37" customFormat="1" ht="18.95" customHeight="1">
      <c r="A159" s="328"/>
      <c r="B159" s="329"/>
      <c r="C159" s="330" t="s">
        <v>354</v>
      </c>
      <c r="D159" s="347">
        <v>4</v>
      </c>
      <c r="E159" s="348">
        <f>H153/8</f>
        <v>0.5</v>
      </c>
      <c r="F159" s="349">
        <f>단가표!E12</f>
        <v>138290</v>
      </c>
      <c r="G159" s="333" t="s">
        <v>353</v>
      </c>
      <c r="H159" s="350"/>
      <c r="I159" s="333"/>
      <c r="J159" s="334"/>
      <c r="K159" s="334">
        <f>INT(D159*E159*F159)</f>
        <v>276580</v>
      </c>
      <c r="L159" s="335"/>
    </row>
    <row r="160" spans="1:12" s="37" customFormat="1" ht="18.95" customHeight="1">
      <c r="A160" s="351"/>
      <c r="B160" s="352"/>
      <c r="C160" s="353"/>
      <c r="D160" s="352"/>
      <c r="E160" s="354"/>
      <c r="F160" s="355"/>
      <c r="G160" s="354"/>
      <c r="H160" s="356"/>
      <c r="I160" s="356"/>
      <c r="J160" s="357"/>
      <c r="K160" s="354"/>
      <c r="L160" s="335"/>
    </row>
    <row r="161" spans="1:12" s="37" customFormat="1" ht="18.95" customHeight="1">
      <c r="A161" s="358"/>
      <c r="B161" s="353"/>
      <c r="C161" s="353"/>
      <c r="D161" s="353"/>
      <c r="E161" s="354"/>
      <c r="F161" s="356"/>
      <c r="G161" s="356"/>
      <c r="H161" s="356"/>
      <c r="I161" s="356"/>
      <c r="J161" s="356"/>
      <c r="K161" s="356"/>
      <c r="L161" s="335"/>
    </row>
    <row r="162" spans="1:12" s="37" customFormat="1" ht="18.95" customHeight="1">
      <c r="A162" s="358"/>
      <c r="B162" s="353"/>
      <c r="C162" s="353"/>
      <c r="D162" s="353"/>
      <c r="E162" s="354"/>
      <c r="F162" s="356"/>
      <c r="G162" s="356"/>
      <c r="H162" s="356"/>
      <c r="I162" s="356"/>
      <c r="J162" s="356"/>
      <c r="K162" s="356"/>
      <c r="L162" s="335"/>
    </row>
    <row r="163" spans="1:12" s="37" customFormat="1" ht="18.95" customHeight="1">
      <c r="A163" s="358"/>
      <c r="B163" s="353"/>
      <c r="C163" s="353"/>
      <c r="D163" s="353"/>
      <c r="E163" s="354"/>
      <c r="F163" s="356"/>
      <c r="G163" s="356"/>
      <c r="H163" s="356"/>
      <c r="I163" s="356"/>
      <c r="J163" s="356"/>
      <c r="K163" s="356"/>
      <c r="L163" s="335"/>
    </row>
    <row r="164" spans="1:12" s="37" customFormat="1" ht="18.95" customHeight="1">
      <c r="A164" s="359"/>
      <c r="B164" s="353"/>
      <c r="C164" s="353"/>
      <c r="D164" s="353"/>
      <c r="E164" s="354"/>
      <c r="F164" s="356"/>
      <c r="G164" s="354"/>
      <c r="H164" s="356"/>
      <c r="I164" s="354"/>
      <c r="J164" s="356"/>
      <c r="K164" s="354"/>
      <c r="L164" s="335"/>
    </row>
    <row r="165" spans="1:12" s="37" customFormat="1" ht="18.95" customHeight="1">
      <c r="A165" s="358"/>
      <c r="B165" s="353"/>
      <c r="C165" s="353"/>
      <c r="D165" s="353"/>
      <c r="E165" s="354"/>
      <c r="F165" s="356"/>
      <c r="G165" s="356"/>
      <c r="H165" s="356"/>
      <c r="I165" s="356"/>
      <c r="J165" s="356"/>
      <c r="K165" s="354"/>
      <c r="L165" s="335"/>
    </row>
    <row r="166" spans="1:12" s="37" customFormat="1" ht="18.95" customHeight="1">
      <c r="A166" s="359"/>
      <c r="B166" s="353"/>
      <c r="C166" s="360"/>
      <c r="D166" s="361"/>
      <c r="E166" s="354"/>
      <c r="F166" s="356"/>
      <c r="G166" s="356"/>
      <c r="H166" s="356"/>
      <c r="I166" s="356"/>
      <c r="J166" s="356"/>
      <c r="K166" s="356"/>
      <c r="L166" s="335"/>
    </row>
    <row r="167" spans="1:12" s="37" customFormat="1" ht="18.95" customHeight="1">
      <c r="A167" s="358"/>
      <c r="B167" s="353"/>
      <c r="C167" s="353"/>
      <c r="D167" s="353"/>
      <c r="E167" s="354"/>
      <c r="F167" s="356"/>
      <c r="G167" s="356"/>
      <c r="H167" s="356"/>
      <c r="I167" s="356"/>
      <c r="J167" s="356"/>
      <c r="K167" s="356"/>
      <c r="L167" s="335"/>
    </row>
    <row r="168" spans="1:12" s="37" customFormat="1" ht="18.95" customHeight="1">
      <c r="A168" s="362" t="s">
        <v>55</v>
      </c>
      <c r="B168" s="363"/>
      <c r="C168" s="363"/>
      <c r="D168" s="363"/>
      <c r="E168" s="364">
        <f>G168+I168+K168</f>
        <v>371569</v>
      </c>
      <c r="F168" s="365"/>
      <c r="G168" s="364"/>
      <c r="H168" s="365"/>
      <c r="I168" s="364"/>
      <c r="J168" s="365"/>
      <c r="K168" s="364">
        <f>SUM(K149:K167)</f>
        <v>371569</v>
      </c>
      <c r="L168" s="366"/>
    </row>
  </sheetData>
  <mergeCells count="90">
    <mergeCell ref="J75:K75"/>
    <mergeCell ref="F27:G27"/>
    <mergeCell ref="H27:I27"/>
    <mergeCell ref="A8:B8"/>
    <mergeCell ref="E75:E76"/>
    <mergeCell ref="E49:H49"/>
    <mergeCell ref="E25:H25"/>
    <mergeCell ref="E26:H26"/>
    <mergeCell ref="A27:A28"/>
    <mergeCell ref="B27:B28"/>
    <mergeCell ref="A5:B5"/>
    <mergeCell ref="E98:H98"/>
    <mergeCell ref="F51:G51"/>
    <mergeCell ref="A7:B7"/>
    <mergeCell ref="A6:B6"/>
    <mergeCell ref="L51:L52"/>
    <mergeCell ref="E73:H73"/>
    <mergeCell ref="D51:D52"/>
    <mergeCell ref="K74:L74"/>
    <mergeCell ref="D27:D28"/>
    <mergeCell ref="B51:B52"/>
    <mergeCell ref="C51:C52"/>
    <mergeCell ref="A53:C53"/>
    <mergeCell ref="A60:B60"/>
    <mergeCell ref="A59:D59"/>
    <mergeCell ref="L27:L28"/>
    <mergeCell ref="E27:E28"/>
    <mergeCell ref="H51:I51"/>
    <mergeCell ref="J27:K27"/>
    <mergeCell ref="C27:C28"/>
    <mergeCell ref="L75:L76"/>
    <mergeCell ref="J99:K99"/>
    <mergeCell ref="E123:E124"/>
    <mergeCell ref="F123:G123"/>
    <mergeCell ref="H123:I123"/>
    <mergeCell ref="F99:G99"/>
    <mergeCell ref="E122:H122"/>
    <mergeCell ref="E121:H121"/>
    <mergeCell ref="E97:H97"/>
    <mergeCell ref="E99:E100"/>
    <mergeCell ref="E1:H1"/>
    <mergeCell ref="K2:L2"/>
    <mergeCell ref="A3:A4"/>
    <mergeCell ref="B3:B4"/>
    <mergeCell ref="C3:C4"/>
    <mergeCell ref="D3:D4"/>
    <mergeCell ref="E3:E4"/>
    <mergeCell ref="L3:L4"/>
    <mergeCell ref="E2:H2"/>
    <mergeCell ref="F3:G3"/>
    <mergeCell ref="L147:L148"/>
    <mergeCell ref="L99:L100"/>
    <mergeCell ref="L123:L124"/>
    <mergeCell ref="J147:K147"/>
    <mergeCell ref="J123:K123"/>
    <mergeCell ref="C147:C148"/>
    <mergeCell ref="A139:D139"/>
    <mergeCell ref="E147:E148"/>
    <mergeCell ref="F147:G147"/>
    <mergeCell ref="D123:D124"/>
    <mergeCell ref="A149:B149"/>
    <mergeCell ref="E74:H74"/>
    <mergeCell ref="E146:H146"/>
    <mergeCell ref="H75:I75"/>
    <mergeCell ref="B147:B148"/>
    <mergeCell ref="D147:D148"/>
    <mergeCell ref="B123:B124"/>
    <mergeCell ref="A147:A148"/>
    <mergeCell ref="A99:A100"/>
    <mergeCell ref="B99:B100"/>
    <mergeCell ref="A140:D140"/>
    <mergeCell ref="A75:A76"/>
    <mergeCell ref="B75:B76"/>
    <mergeCell ref="H147:I147"/>
    <mergeCell ref="H99:I99"/>
    <mergeCell ref="E145:H145"/>
    <mergeCell ref="C99:C100"/>
    <mergeCell ref="D75:D76"/>
    <mergeCell ref="D99:D100"/>
    <mergeCell ref="F75:G75"/>
    <mergeCell ref="J3:K3"/>
    <mergeCell ref="A9:B9"/>
    <mergeCell ref="A123:A124"/>
    <mergeCell ref="J51:K51"/>
    <mergeCell ref="C75:C76"/>
    <mergeCell ref="C123:C124"/>
    <mergeCell ref="H3:I3"/>
    <mergeCell ref="E51:E52"/>
    <mergeCell ref="E50:H50"/>
    <mergeCell ref="A51:A52"/>
  </mergeCells>
  <phoneticPr fontId="6" type="noConversion"/>
  <pageMargins left="0.98425196850393704" right="0.39370078740157483" top="1.1811023622047245" bottom="0.98425196850393704" header="0" footer="0"/>
  <pageSetup paperSize="9" scale="94" orientation="landscape" r:id="rId1"/>
  <headerFooter alignWithMargins="0"/>
  <rowBreaks count="5" manualBreakCount="5">
    <brk id="24" max="11" man="1"/>
    <brk id="48" max="11" man="1"/>
    <brk id="72" max="11" man="1"/>
    <brk id="96" max="11" man="1"/>
    <brk id="144" max="11" man="1"/>
  </rowBreaks>
  <colBreaks count="1" manualBreakCount="1">
    <brk id="12" max="1048575" man="1"/>
  </colBreaks>
  <ignoredErrors>
    <ignoredError sqref="C80 I5:I9 G5:G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5"/>
  <sheetViews>
    <sheetView view="pageBreakPreview" zoomScaleNormal="100" zoomScaleSheetLayoutView="100" workbookViewId="0">
      <selection activeCell="N22" sqref="N22"/>
    </sheetView>
  </sheetViews>
  <sheetFormatPr defaultRowHeight="13.5"/>
  <cols>
    <col min="1" max="11" width="12.77734375" customWidth="1"/>
  </cols>
  <sheetData>
    <row r="1" spans="1:11" ht="20.25">
      <c r="A1" s="721" t="s">
        <v>355</v>
      </c>
      <c r="B1" s="721"/>
      <c r="C1" s="721"/>
      <c r="D1" s="721"/>
      <c r="E1" s="721"/>
      <c r="F1" s="721"/>
      <c r="G1" s="721"/>
      <c r="H1" s="721"/>
      <c r="I1" s="721"/>
      <c r="J1" s="721"/>
      <c r="K1" s="721"/>
    </row>
    <row r="2" spans="1:11" ht="16.5">
      <c r="A2" s="367" t="s">
        <v>356</v>
      </c>
      <c r="B2" s="368" t="s">
        <v>357</v>
      </c>
      <c r="C2" s="369" t="s">
        <v>358</v>
      </c>
      <c r="D2" s="369" t="s">
        <v>359</v>
      </c>
      <c r="E2" s="370" t="s">
        <v>360</v>
      </c>
      <c r="F2" s="371" t="s">
        <v>361</v>
      </c>
      <c r="G2" s="722" t="s">
        <v>362</v>
      </c>
      <c r="H2" s="722"/>
      <c r="I2" s="722"/>
      <c r="J2" s="722"/>
      <c r="K2" s="723"/>
    </row>
    <row r="3" spans="1:11" ht="16.5">
      <c r="A3" s="372" t="s">
        <v>363</v>
      </c>
      <c r="B3" s="373" t="s">
        <v>364</v>
      </c>
      <c r="C3" s="374"/>
      <c r="D3" s="375" t="s">
        <v>365</v>
      </c>
      <c r="E3" s="466"/>
      <c r="F3" s="467">
        <v>4.0500000000000001E-2</v>
      </c>
      <c r="G3" s="724"/>
      <c r="H3" s="724"/>
      <c r="I3" s="724"/>
      <c r="J3" s="724"/>
      <c r="K3" s="725"/>
    </row>
    <row r="4" spans="1:11" ht="16.5">
      <c r="A4" s="372" t="s">
        <v>366</v>
      </c>
      <c r="B4" s="373" t="s">
        <v>367</v>
      </c>
      <c r="C4" s="374">
        <v>1</v>
      </c>
      <c r="D4" s="375" t="s">
        <v>368</v>
      </c>
      <c r="E4" s="503">
        <v>278662</v>
      </c>
      <c r="F4" s="403">
        <f>INT(E4/(1+F$3))</f>
        <v>267815</v>
      </c>
      <c r="G4" s="504" t="s">
        <v>462</v>
      </c>
      <c r="H4" s="505"/>
      <c r="I4" s="505"/>
      <c r="J4" s="505"/>
      <c r="K4" s="506"/>
    </row>
    <row r="5" spans="1:11" ht="16.5">
      <c r="A5" s="376" t="s">
        <v>369</v>
      </c>
      <c r="B5" s="373" t="s">
        <v>367</v>
      </c>
      <c r="C5" s="377">
        <v>1</v>
      </c>
      <c r="D5" s="373" t="s">
        <v>368</v>
      </c>
      <c r="E5" s="503">
        <v>232210</v>
      </c>
      <c r="F5" s="403">
        <f>INT(E5/(1+F$3))</f>
        <v>223171</v>
      </c>
      <c r="G5" s="504" t="s">
        <v>463</v>
      </c>
      <c r="H5" s="505"/>
      <c r="I5" s="505"/>
      <c r="J5" s="505"/>
      <c r="K5" s="506"/>
    </row>
    <row r="6" spans="1:11" ht="16.5">
      <c r="A6" s="376" t="s">
        <v>370</v>
      </c>
      <c r="B6" s="373" t="s">
        <v>367</v>
      </c>
      <c r="C6" s="377">
        <v>1</v>
      </c>
      <c r="D6" s="373" t="s">
        <v>368</v>
      </c>
      <c r="E6" s="503">
        <v>192491</v>
      </c>
      <c r="F6" s="403">
        <f>INT(E6/(1+F$3))</f>
        <v>184998</v>
      </c>
      <c r="G6" s="504" t="s">
        <v>464</v>
      </c>
      <c r="H6" s="505"/>
      <c r="I6" s="505"/>
      <c r="J6" s="505"/>
      <c r="K6" s="506"/>
    </row>
    <row r="7" spans="1:11" ht="16.5">
      <c r="A7" s="376" t="s">
        <v>371</v>
      </c>
      <c r="B7" s="373" t="s">
        <v>367</v>
      </c>
      <c r="C7" s="377">
        <v>1</v>
      </c>
      <c r="D7" s="373" t="s">
        <v>413</v>
      </c>
      <c r="E7" s="503">
        <v>164798</v>
      </c>
      <c r="F7" s="403">
        <f>INT(E7/(1+F$3))</f>
        <v>158383</v>
      </c>
      <c r="G7" s="504" t="s">
        <v>465</v>
      </c>
      <c r="H7" s="505"/>
      <c r="I7" s="505"/>
      <c r="J7" s="505"/>
      <c r="K7" s="506"/>
    </row>
    <row r="8" spans="1:11" ht="16.5">
      <c r="A8" s="376" t="s">
        <v>400</v>
      </c>
      <c r="B8" s="373" t="s">
        <v>367</v>
      </c>
      <c r="C8" s="377">
        <v>1</v>
      </c>
      <c r="D8" s="373" t="s">
        <v>413</v>
      </c>
      <c r="E8" s="501">
        <v>163000</v>
      </c>
      <c r="F8" s="403">
        <f>INT(E8/(1+F$3))</f>
        <v>156655</v>
      </c>
      <c r="G8" s="504" t="s">
        <v>466</v>
      </c>
      <c r="H8" s="505"/>
      <c r="I8" s="505"/>
      <c r="J8" s="505"/>
      <c r="K8" s="506"/>
    </row>
    <row r="9" spans="1:11" ht="16.5">
      <c r="A9" s="376" t="s">
        <v>401</v>
      </c>
      <c r="B9" s="373"/>
      <c r="C9" s="377">
        <v>1</v>
      </c>
      <c r="D9" s="373" t="s">
        <v>413</v>
      </c>
      <c r="E9" s="501">
        <v>185702</v>
      </c>
      <c r="F9" s="378"/>
      <c r="G9" s="726" t="s">
        <v>430</v>
      </c>
      <c r="H9" s="726"/>
      <c r="I9" s="726"/>
      <c r="J9" s="726"/>
      <c r="K9" s="727"/>
    </row>
    <row r="10" spans="1:11" ht="16.5">
      <c r="A10" s="376" t="s">
        <v>372</v>
      </c>
      <c r="B10" s="377"/>
      <c r="C10" s="377">
        <v>1</v>
      </c>
      <c r="D10" s="373" t="s">
        <v>413</v>
      </c>
      <c r="E10" s="500">
        <v>174955</v>
      </c>
      <c r="F10" s="378"/>
      <c r="G10" s="728" t="s">
        <v>431</v>
      </c>
      <c r="H10" s="729"/>
      <c r="I10" s="729"/>
      <c r="J10" s="729"/>
      <c r="K10" s="730"/>
    </row>
    <row r="11" spans="1:11" ht="16.5">
      <c r="A11" s="376" t="s">
        <v>373</v>
      </c>
      <c r="B11" s="377"/>
      <c r="C11" s="377">
        <v>1</v>
      </c>
      <c r="D11" s="373" t="s">
        <v>413</v>
      </c>
      <c r="E11" s="500">
        <v>166063</v>
      </c>
      <c r="F11" s="378"/>
      <c r="G11" s="728" t="s">
        <v>432</v>
      </c>
      <c r="H11" s="729"/>
      <c r="I11" s="729"/>
      <c r="J11" s="729"/>
      <c r="K11" s="730"/>
    </row>
    <row r="12" spans="1:11" ht="16.5">
      <c r="A12" s="372" t="s">
        <v>374</v>
      </c>
      <c r="B12" s="375"/>
      <c r="C12" s="374">
        <v>1</v>
      </c>
      <c r="D12" s="375" t="s">
        <v>413</v>
      </c>
      <c r="E12" s="507">
        <v>138290</v>
      </c>
      <c r="F12" s="378"/>
      <c r="G12" s="728" t="s">
        <v>433</v>
      </c>
      <c r="H12" s="729"/>
      <c r="I12" s="729"/>
      <c r="J12" s="729"/>
      <c r="K12" s="730"/>
    </row>
    <row r="13" spans="1:11" ht="16.5">
      <c r="A13" s="379" t="s">
        <v>375</v>
      </c>
      <c r="B13" s="377"/>
      <c r="C13" s="377">
        <v>1</v>
      </c>
      <c r="D13" s="373" t="s">
        <v>413</v>
      </c>
      <c r="E13" s="502">
        <v>223793</v>
      </c>
      <c r="F13" s="378"/>
      <c r="G13" s="726" t="s">
        <v>435</v>
      </c>
      <c r="H13" s="726"/>
      <c r="I13" s="726"/>
      <c r="J13" s="726"/>
      <c r="K13" s="727"/>
    </row>
    <row r="14" spans="1:11" ht="16.5">
      <c r="A14" s="376" t="s">
        <v>376</v>
      </c>
      <c r="B14" s="380"/>
      <c r="C14" s="377">
        <v>1</v>
      </c>
      <c r="D14" s="381" t="s">
        <v>414</v>
      </c>
      <c r="E14" s="468">
        <v>1230</v>
      </c>
      <c r="F14" s="378"/>
      <c r="G14" s="731" t="s">
        <v>434</v>
      </c>
      <c r="H14" s="733"/>
      <c r="I14" s="733"/>
      <c r="J14" s="731"/>
      <c r="K14" s="734"/>
    </row>
    <row r="15" spans="1:11" ht="16.5">
      <c r="A15" s="376" t="s">
        <v>377</v>
      </c>
      <c r="B15" s="380" t="s">
        <v>378</v>
      </c>
      <c r="C15" s="380">
        <v>1</v>
      </c>
      <c r="D15" s="381" t="s">
        <v>415</v>
      </c>
      <c r="E15" s="508">
        <f>I33</f>
        <v>29432</v>
      </c>
      <c r="F15" s="378"/>
      <c r="G15" s="378"/>
      <c r="H15" s="731"/>
      <c r="I15" s="732"/>
      <c r="J15" s="382" t="s">
        <v>416</v>
      </c>
      <c r="K15" s="383" t="s">
        <v>417</v>
      </c>
    </row>
    <row r="16" spans="1:11" ht="16.5">
      <c r="A16" s="384"/>
      <c r="B16" s="380" t="s">
        <v>379</v>
      </c>
      <c r="C16" s="380">
        <v>1</v>
      </c>
      <c r="D16" s="381" t="s">
        <v>415</v>
      </c>
      <c r="E16" s="508">
        <f>J33</f>
        <v>16360</v>
      </c>
      <c r="F16" s="378"/>
      <c r="G16" s="378"/>
      <c r="H16" s="731"/>
      <c r="I16" s="732"/>
      <c r="J16" s="385" t="s">
        <v>418</v>
      </c>
      <c r="K16" s="386">
        <v>61500</v>
      </c>
    </row>
    <row r="17" spans="1:11" ht="16.5">
      <c r="A17" s="384"/>
      <c r="B17" s="380" t="s">
        <v>380</v>
      </c>
      <c r="C17" s="380">
        <v>1</v>
      </c>
      <c r="D17" s="381" t="s">
        <v>415</v>
      </c>
      <c r="E17" s="508">
        <f>K33</f>
        <v>19464</v>
      </c>
      <c r="F17" s="378"/>
      <c r="G17" s="378"/>
      <c r="H17" s="731"/>
      <c r="I17" s="732"/>
      <c r="J17" s="385" t="s">
        <v>419</v>
      </c>
      <c r="K17" s="386">
        <v>75410</v>
      </c>
    </row>
    <row r="18" spans="1:11" ht="16.5">
      <c r="A18" s="376" t="s">
        <v>381</v>
      </c>
      <c r="B18" s="380" t="s">
        <v>378</v>
      </c>
      <c r="C18" s="380">
        <v>1</v>
      </c>
      <c r="D18" s="381" t="s">
        <v>420</v>
      </c>
      <c r="E18" s="508">
        <f>I34</f>
        <v>8102</v>
      </c>
      <c r="F18" s="378"/>
      <c r="G18" s="378"/>
      <c r="H18" s="731"/>
      <c r="I18" s="732"/>
      <c r="J18" s="385" t="s">
        <v>421</v>
      </c>
      <c r="K18" s="386">
        <v>89080</v>
      </c>
    </row>
    <row r="19" spans="1:11" ht="16.5">
      <c r="A19" s="384"/>
      <c r="B19" s="380" t="s">
        <v>379</v>
      </c>
      <c r="C19" s="380">
        <v>1</v>
      </c>
      <c r="D19" s="381" t="s">
        <v>420</v>
      </c>
      <c r="E19" s="508">
        <f>J34</f>
        <v>10803</v>
      </c>
      <c r="F19" s="378"/>
      <c r="G19" s="378"/>
      <c r="H19" s="731"/>
      <c r="I19" s="732"/>
      <c r="J19" s="385" t="s">
        <v>422</v>
      </c>
      <c r="K19" s="386">
        <v>97840</v>
      </c>
    </row>
    <row r="20" spans="1:11" ht="16.5">
      <c r="A20" s="384"/>
      <c r="B20" s="380" t="s">
        <v>380</v>
      </c>
      <c r="C20" s="380">
        <v>1</v>
      </c>
      <c r="D20" s="381" t="s">
        <v>420</v>
      </c>
      <c r="E20" s="508">
        <f>K34</f>
        <v>6103</v>
      </c>
      <c r="F20" s="378"/>
      <c r="G20" s="378"/>
      <c r="H20" s="731"/>
      <c r="I20" s="732"/>
      <c r="J20" s="385" t="s">
        <v>423</v>
      </c>
      <c r="K20" s="386">
        <v>103480</v>
      </c>
    </row>
    <row r="21" spans="1:11" ht="16.5">
      <c r="A21" s="387" t="s">
        <v>382</v>
      </c>
      <c r="B21" s="380" t="s">
        <v>383</v>
      </c>
      <c r="C21" s="380">
        <v>1</v>
      </c>
      <c r="D21" s="381" t="s">
        <v>424</v>
      </c>
      <c r="E21" s="508">
        <v>810</v>
      </c>
      <c r="F21" s="735" t="s">
        <v>436</v>
      </c>
      <c r="G21" s="736"/>
      <c r="H21" s="731"/>
      <c r="I21" s="732"/>
      <c r="J21" s="385" t="s">
        <v>425</v>
      </c>
      <c r="K21" s="386">
        <v>109840</v>
      </c>
    </row>
    <row r="22" spans="1:11" ht="16.5">
      <c r="A22" s="387" t="s">
        <v>384</v>
      </c>
      <c r="B22" s="380" t="s">
        <v>385</v>
      </c>
      <c r="C22" s="380">
        <v>1</v>
      </c>
      <c r="D22" s="381" t="s">
        <v>426</v>
      </c>
      <c r="E22" s="508">
        <v>109400</v>
      </c>
      <c r="F22" s="509" t="s">
        <v>438</v>
      </c>
      <c r="G22" s="510"/>
      <c r="H22" s="469"/>
      <c r="I22" s="470"/>
      <c r="J22" s="385" t="s">
        <v>427</v>
      </c>
      <c r="K22" s="386">
        <v>115890</v>
      </c>
    </row>
    <row r="23" spans="1:11" ht="16.5">
      <c r="A23" s="384"/>
      <c r="B23" s="380" t="s">
        <v>386</v>
      </c>
      <c r="C23" s="380">
        <v>1</v>
      </c>
      <c r="D23" s="381" t="s">
        <v>426</v>
      </c>
      <c r="E23" s="508">
        <v>267700</v>
      </c>
      <c r="F23" s="509" t="s">
        <v>437</v>
      </c>
      <c r="G23" s="509"/>
      <c r="H23" s="731"/>
      <c r="I23" s="732"/>
      <c r="J23" s="385" t="s">
        <v>428</v>
      </c>
      <c r="K23" s="386">
        <v>121700</v>
      </c>
    </row>
    <row r="24" spans="1:11" ht="16.5">
      <c r="A24" s="388"/>
      <c r="B24" s="389"/>
      <c r="C24" s="389"/>
      <c r="D24" s="389"/>
      <c r="E24" s="390"/>
      <c r="F24" s="391"/>
      <c r="G24" s="392"/>
      <c r="H24" s="737"/>
      <c r="I24" s="738"/>
      <c r="J24" s="393" t="s">
        <v>387</v>
      </c>
      <c r="K24" s="394">
        <v>5810</v>
      </c>
    </row>
    <row r="25" spans="1:11" ht="16.5">
      <c r="A25" s="395"/>
      <c r="B25" s="395"/>
      <c r="C25" s="395"/>
      <c r="D25" s="395"/>
      <c r="E25" s="395"/>
      <c r="F25" s="395"/>
      <c r="G25" s="395"/>
      <c r="H25" s="737"/>
      <c r="I25" s="738"/>
      <c r="J25" s="396"/>
      <c r="K25" s="397"/>
    </row>
    <row r="26" spans="1:11" ht="16.5">
      <c r="A26" s="398" t="s">
        <v>388</v>
      </c>
      <c r="B26" s="399" t="s">
        <v>389</v>
      </c>
      <c r="C26" s="400" t="s">
        <v>390</v>
      </c>
      <c r="D26" s="401" t="s">
        <v>391</v>
      </c>
      <c r="E26" s="401" t="s">
        <v>392</v>
      </c>
      <c r="F26" s="401" t="s">
        <v>393</v>
      </c>
      <c r="G26" s="401" t="s">
        <v>394</v>
      </c>
      <c r="H26" s="401" t="s">
        <v>395</v>
      </c>
      <c r="I26" s="401" t="s">
        <v>396</v>
      </c>
      <c r="J26" s="401" t="s">
        <v>397</v>
      </c>
      <c r="K26" s="402" t="s">
        <v>362</v>
      </c>
    </row>
    <row r="27" spans="1:11">
      <c r="A27" s="527" t="s">
        <v>439</v>
      </c>
      <c r="B27" s="528">
        <v>1</v>
      </c>
      <c r="C27" s="529">
        <v>170948803</v>
      </c>
      <c r="D27" s="530">
        <v>1429</v>
      </c>
      <c r="E27" s="530">
        <v>1032</v>
      </c>
      <c r="F27" s="530">
        <v>683</v>
      </c>
      <c r="G27" s="522" t="s">
        <v>440</v>
      </c>
      <c r="H27" s="531">
        <v>268435</v>
      </c>
      <c r="I27" s="532">
        <v>282540039</v>
      </c>
      <c r="J27" s="532">
        <v>170948803</v>
      </c>
      <c r="K27" s="533" t="s">
        <v>441</v>
      </c>
    </row>
    <row r="28" spans="1:11">
      <c r="A28" s="527" t="s">
        <v>442</v>
      </c>
      <c r="B28" s="528">
        <v>1</v>
      </c>
      <c r="C28" s="529">
        <v>49054126</v>
      </c>
      <c r="D28" s="530">
        <v>750</v>
      </c>
      <c r="E28" s="530">
        <v>417</v>
      </c>
      <c r="F28" s="530">
        <v>496</v>
      </c>
      <c r="G28" s="522" t="s">
        <v>443</v>
      </c>
      <c r="H28" s="531">
        <v>77028</v>
      </c>
      <c r="I28" s="532">
        <v>81075471</v>
      </c>
      <c r="J28" s="532">
        <v>49054126</v>
      </c>
      <c r="K28" s="534" t="s">
        <v>444</v>
      </c>
    </row>
    <row r="29" spans="1:11">
      <c r="A29" s="535" t="s">
        <v>445</v>
      </c>
      <c r="B29" s="536"/>
      <c r="C29" s="552">
        <v>1157.8</v>
      </c>
      <c r="D29" s="525"/>
      <c r="E29" s="525"/>
      <c r="F29" s="525"/>
      <c r="G29" s="525"/>
      <c r="H29" s="537" t="s">
        <v>446</v>
      </c>
      <c r="I29" s="538">
        <v>14850000</v>
      </c>
      <c r="J29" s="538">
        <v>9002812</v>
      </c>
      <c r="K29" s="539"/>
    </row>
    <row r="30" spans="1:11">
      <c r="A30" s="540"/>
      <c r="B30" s="540"/>
      <c r="C30" s="541"/>
      <c r="D30" s="542"/>
      <c r="E30" s="541"/>
      <c r="F30" s="541"/>
      <c r="G30" s="541"/>
      <c r="H30" s="541"/>
      <c r="I30" s="543"/>
      <c r="J30" s="543"/>
      <c r="K30" s="543"/>
    </row>
    <row r="31" spans="1:11">
      <c r="A31" s="544" t="s">
        <v>447</v>
      </c>
      <c r="B31" s="526" t="s">
        <v>448</v>
      </c>
      <c r="C31" s="519" t="s">
        <v>449</v>
      </c>
      <c r="D31" s="545" t="s">
        <v>450</v>
      </c>
      <c r="E31" s="519" t="s">
        <v>451</v>
      </c>
      <c r="F31" s="519" t="s">
        <v>452</v>
      </c>
      <c r="G31" s="519" t="s">
        <v>453</v>
      </c>
      <c r="H31" s="519" t="s">
        <v>454</v>
      </c>
      <c r="I31" s="520" t="s">
        <v>455</v>
      </c>
      <c r="J31" s="520" t="s">
        <v>456</v>
      </c>
      <c r="K31" s="546" t="s">
        <v>457</v>
      </c>
    </row>
    <row r="32" spans="1:11">
      <c r="A32" s="521" t="s">
        <v>442</v>
      </c>
      <c r="B32" s="524">
        <v>49054126</v>
      </c>
      <c r="C32" s="524">
        <v>12000</v>
      </c>
      <c r="D32" s="547">
        <v>1200</v>
      </c>
      <c r="E32" s="523">
        <v>10</v>
      </c>
      <c r="F32" s="524">
        <v>750</v>
      </c>
      <c r="G32" s="524">
        <v>417</v>
      </c>
      <c r="H32" s="524">
        <v>496</v>
      </c>
      <c r="I32" s="524">
        <v>3679</v>
      </c>
      <c r="J32" s="524">
        <v>2045</v>
      </c>
      <c r="K32" s="548">
        <v>2433</v>
      </c>
    </row>
    <row r="33" spans="1:11">
      <c r="A33" s="521" t="s">
        <v>458</v>
      </c>
      <c r="B33" s="524"/>
      <c r="C33" s="524"/>
      <c r="D33" s="547"/>
      <c r="E33" s="523"/>
      <c r="F33" s="524"/>
      <c r="G33" s="524"/>
      <c r="H33" s="524"/>
      <c r="I33" s="524">
        <v>29432</v>
      </c>
      <c r="J33" s="524">
        <v>16360</v>
      </c>
      <c r="K33" s="548">
        <v>19464</v>
      </c>
    </row>
    <row r="34" spans="1:11">
      <c r="A34" s="521" t="s">
        <v>459</v>
      </c>
      <c r="B34" s="524">
        <v>9002812</v>
      </c>
      <c r="C34" s="524">
        <v>8000</v>
      </c>
      <c r="D34" s="547">
        <v>1000</v>
      </c>
      <c r="E34" s="523">
        <v>8</v>
      </c>
      <c r="F34" s="524">
        <v>900</v>
      </c>
      <c r="G34" s="524">
        <v>1200</v>
      </c>
      <c r="H34" s="524">
        <v>678</v>
      </c>
      <c r="I34" s="524">
        <v>8102</v>
      </c>
      <c r="J34" s="524">
        <v>10803</v>
      </c>
      <c r="K34" s="548">
        <v>6103</v>
      </c>
    </row>
    <row r="35" spans="1:11">
      <c r="A35" s="549" t="s">
        <v>460</v>
      </c>
      <c r="B35" s="525"/>
      <c r="C35" s="525"/>
      <c r="D35" s="525"/>
      <c r="E35" s="525"/>
      <c r="F35" s="525"/>
      <c r="G35" s="525"/>
      <c r="H35" s="525"/>
      <c r="I35" s="550">
        <v>64816</v>
      </c>
      <c r="J35" s="550">
        <v>86424</v>
      </c>
      <c r="K35" s="551">
        <v>48824</v>
      </c>
    </row>
  </sheetData>
  <mergeCells count="20">
    <mergeCell ref="F21:G21"/>
    <mergeCell ref="H18:I18"/>
    <mergeCell ref="H24:I24"/>
    <mergeCell ref="H25:I25"/>
    <mergeCell ref="H19:I19"/>
    <mergeCell ref="H20:I20"/>
    <mergeCell ref="H21:I21"/>
    <mergeCell ref="H23:I23"/>
    <mergeCell ref="H15:I15"/>
    <mergeCell ref="H16:I16"/>
    <mergeCell ref="H17:I17"/>
    <mergeCell ref="G12:K12"/>
    <mergeCell ref="G13:K13"/>
    <mergeCell ref="G14:K14"/>
    <mergeCell ref="A1:K1"/>
    <mergeCell ref="G2:K2"/>
    <mergeCell ref="G3:K3"/>
    <mergeCell ref="G9:K9"/>
    <mergeCell ref="G10:K10"/>
    <mergeCell ref="G11:K11"/>
  </mergeCells>
  <phoneticPr fontId="6" type="noConversion"/>
  <pageMargins left="0.70866141732283472" right="0.34" top="0.74803149606299213" bottom="0.47" header="0.31496062992125984" footer="0.31496062992125984"/>
  <pageSetup paperSize="9"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"/>
  <sheetViews>
    <sheetView view="pageBreakPreview" zoomScale="115" zoomScaleNormal="100" zoomScaleSheetLayoutView="115" workbookViewId="0"/>
  </sheetViews>
  <sheetFormatPr defaultRowHeight="14.25"/>
  <cols>
    <col min="1" max="1" width="108.109375" style="3" customWidth="1"/>
    <col min="2" max="16384" width="8.88671875" style="3"/>
  </cols>
  <sheetData>
    <row r="1" spans="1:7" ht="21" customHeight="1">
      <c r="A1" s="24" t="s">
        <v>50</v>
      </c>
      <c r="B1" s="23"/>
      <c r="C1" s="23"/>
      <c r="D1" s="23"/>
      <c r="E1" s="23"/>
      <c r="F1" s="23"/>
      <c r="G1" s="23"/>
    </row>
    <row r="2" spans="1:7" ht="21" customHeight="1">
      <c r="A2" s="25" t="s">
        <v>26</v>
      </c>
    </row>
    <row r="3" spans="1:7" ht="21" customHeight="1">
      <c r="A3" s="25" t="s">
        <v>51</v>
      </c>
    </row>
    <row r="4" spans="1:7" ht="21" customHeight="1">
      <c r="A4" s="25" t="s">
        <v>33</v>
      </c>
    </row>
    <row r="5" spans="1:7" ht="21" customHeight="1">
      <c r="A5" s="25" t="s">
        <v>32</v>
      </c>
    </row>
    <row r="6" spans="1:7" ht="21" customHeight="1">
      <c r="A6" s="25" t="s">
        <v>27</v>
      </c>
    </row>
    <row r="7" spans="1:7" ht="21" customHeight="1">
      <c r="A7" s="25" t="s">
        <v>52</v>
      </c>
    </row>
    <row r="8" spans="1:7" ht="21" customHeight="1">
      <c r="A8" s="25" t="s">
        <v>34</v>
      </c>
    </row>
    <row r="9" spans="1:7" ht="21" customHeight="1">
      <c r="A9" s="25" t="s">
        <v>35</v>
      </c>
    </row>
    <row r="10" spans="1:7" ht="21" customHeight="1">
      <c r="A10" s="25" t="s">
        <v>37</v>
      </c>
    </row>
    <row r="11" spans="1:7" ht="21" customHeight="1">
      <c r="A11" s="25" t="s">
        <v>28</v>
      </c>
    </row>
    <row r="12" spans="1:7" ht="21" customHeight="1">
      <c r="A12" s="25" t="s">
        <v>36</v>
      </c>
    </row>
    <row r="13" spans="1:7" ht="21" customHeight="1">
      <c r="A13" s="25" t="s">
        <v>23</v>
      </c>
    </row>
    <row r="14" spans="1:7" ht="21" customHeight="1">
      <c r="A14" s="25" t="s">
        <v>29</v>
      </c>
    </row>
    <row r="15" spans="1:7" ht="21" customHeight="1">
      <c r="A15" s="25" t="s">
        <v>22</v>
      </c>
    </row>
    <row r="16" spans="1:7" ht="21" customHeight="1">
      <c r="A16" s="25" t="s">
        <v>24</v>
      </c>
    </row>
    <row r="17" spans="1:1" ht="21" customHeight="1">
      <c r="A17" s="25" t="s">
        <v>30</v>
      </c>
    </row>
    <row r="18" spans="1:1" ht="21" customHeight="1">
      <c r="A18" s="25" t="s">
        <v>25</v>
      </c>
    </row>
    <row r="19" spans="1:1" ht="21" customHeight="1">
      <c r="A19" s="25" t="s">
        <v>31</v>
      </c>
    </row>
    <row r="20" spans="1:1" ht="21" customHeight="1">
      <c r="A20" s="25" t="s">
        <v>53</v>
      </c>
    </row>
    <row r="21" spans="1:1" ht="21" customHeight="1">
      <c r="A21" s="25" t="s">
        <v>38</v>
      </c>
    </row>
  </sheetData>
  <phoneticPr fontId="6" type="noConversion"/>
  <pageMargins left="1.1811023622047245" right="0.39370078740157483" top="1.1811023622047245" bottom="0.78740157480314965" header="0" footer="0.7874015748031496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3.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1. 개요</vt:lpstr>
      <vt:lpstr>2. 위치 및 조사량</vt:lpstr>
      <vt:lpstr>3. 소요일수산출</vt:lpstr>
      <vt:lpstr>4. 용역비총괄</vt:lpstr>
      <vt:lpstr>5. 영향조사 명세서</vt:lpstr>
      <vt:lpstr>6. 사후관리 명세서</vt:lpstr>
      <vt:lpstr>6-1.사후관리 일위대가표</vt:lpstr>
      <vt:lpstr>단가표</vt:lpstr>
      <vt:lpstr>인용자료참고</vt:lpstr>
      <vt:lpstr>Sheet1</vt:lpstr>
      <vt:lpstr>'1. 개요'!Print_Area</vt:lpstr>
      <vt:lpstr>'2. 위치 및 조사량'!Print_Area</vt:lpstr>
      <vt:lpstr>'4. 용역비총괄'!Print_Area</vt:lpstr>
      <vt:lpstr>'5. 영향조사 명세서'!Print_Area</vt:lpstr>
      <vt:lpstr>'6-1.사후관리 일위대가표'!Print_Area</vt:lpstr>
      <vt:lpstr>단가표!Print_Area</vt:lpstr>
      <vt:lpstr>인용자료참고!Print_Area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2020-03-30T01:40:06Z</cp:lastPrinted>
  <dcterms:created xsi:type="dcterms:W3CDTF">2006-03-22T01:28:03Z</dcterms:created>
  <dcterms:modified xsi:type="dcterms:W3CDTF">2021-01-31T10:55:01Z</dcterms:modified>
</cp:coreProperties>
</file>