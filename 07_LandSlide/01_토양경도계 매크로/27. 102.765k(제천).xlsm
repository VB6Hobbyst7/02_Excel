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8_{A950F435-1C0D-4220-9B16-587284202223}" xr6:coauthVersionLast="46" xr6:coauthVersionMax="46" xr10:uidLastSave="{00000000-0000-0000-0000-000000000000}"/>
  <bookViews>
    <workbookView xWindow="6675" yWindow="2865" windowWidth="24750" windowHeight="17565" tabRatio="966" activeTab="1"/>
  </bookViews>
  <sheets>
    <sheet name="102.765(S-1)" sheetId="46" r:id="rId1"/>
    <sheet name="102.765(S-1) (2)" sheetId="47" r:id="rId2"/>
  </sheets>
  <functionGroups builtInGroupCount="19"/>
  <definedNames>
    <definedName name="_xlnm.Print_Area" localSheetId="0">'102.765(S-1)'!$A$1:$M$34</definedName>
    <definedName name="_xlnm.Print_Area" localSheetId="1">'102.765(S-1) (2)'!$A$1:$M$34</definedName>
  </definedNames>
  <calcPr calcId="191029"/>
</workbook>
</file>

<file path=xl/calcChain.xml><?xml version="1.0" encoding="utf-8"?>
<calcChain xmlns="http://schemas.openxmlformats.org/spreadsheetml/2006/main">
  <c r="O34" i="47" l="1"/>
  <c r="H34" i="47"/>
  <c r="I34" i="47"/>
  <c r="E34" i="47"/>
  <c r="F34" i="47"/>
  <c r="B34" i="47"/>
  <c r="C34" i="47"/>
  <c r="H32" i="47"/>
  <c r="E32" i="47"/>
  <c r="B32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I10" i="46"/>
  <c r="H32" i="46"/>
  <c r="E32" i="46"/>
  <c r="B32" i="46"/>
  <c r="O34" i="46"/>
  <c r="H34" i="46"/>
  <c r="I34" i="46"/>
  <c r="E34" i="46"/>
  <c r="F34" i="46"/>
  <c r="B34" i="46"/>
  <c r="C34" i="46"/>
  <c r="I18" i="46"/>
  <c r="F18" i="46"/>
  <c r="C18" i="46"/>
  <c r="I17" i="46"/>
  <c r="F17" i="46"/>
  <c r="C17" i="46"/>
  <c r="I16" i="46"/>
  <c r="F16" i="46"/>
  <c r="C16" i="46"/>
  <c r="I15" i="46"/>
  <c r="F15" i="46"/>
  <c r="C15" i="46"/>
  <c r="I14" i="46"/>
  <c r="F14" i="46"/>
  <c r="C14" i="46"/>
  <c r="I13" i="46"/>
  <c r="F13" i="46"/>
  <c r="C13" i="46"/>
  <c r="I12" i="46"/>
  <c r="F12" i="46"/>
  <c r="C12" i="46"/>
  <c r="I11" i="46"/>
  <c r="F11" i="46"/>
  <c r="C11" i="46"/>
  <c r="F10" i="46"/>
  <c r="C10" i="46"/>
  <c r="I9" i="46"/>
  <c r="F9" i="46"/>
  <c r="C9" i="46"/>
</calcChain>
</file>

<file path=xl/sharedStrings.xml><?xml version="1.0" encoding="utf-8"?>
<sst xmlns="http://schemas.openxmlformats.org/spreadsheetml/2006/main" count="126" uniqueCount="25">
  <si>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</si>
  <si>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</si>
  <si>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</si>
  <si>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</si>
  <si>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</si>
  <si>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</si>
  <si>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</si>
  <si>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</si>
  <si>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</si>
  <si>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</si>
  <si>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</si>
  <si>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</si>
  <si>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</si>
  <si>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</si>
  <si>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</si>
  <si>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</si>
  <si>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</si>
  <si>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</si>
  <si>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</si>
  <si>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</si>
  <si>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</si>
  <si>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</si>
  <si>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</si>
  <si>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in</t>
    <phoneticPr fontId="1" type="noConversion"/>
  </si>
  <si>
    <t>out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</si>
</sst>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96" formatCode="0_);[Red]\(0\)"/>
    <numFmt numFmtId="198" formatCode="0.0_);[Red]\(0.0\)"/>
  </numFmts>
  <fonts count="12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96" fontId="4" fillId="0" borderId="0" xfId="0" applyNumberFormat="1" applyFont="1" applyAlignment="1">
      <alignment horizontal="center" vertical="center"/>
    </xf>
    <xf numFmtId="19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98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98" fontId="5" fillId="0" borderId="0" xfId="0" applyNumberFormat="1" applyFont="1" applyBorder="1" applyAlignment="1">
      <alignment horizontal="center" vertical="center"/>
    </xf>
    <xf numFmtId="198" fontId="10" fillId="0" borderId="12" xfId="0" applyNumberFormat="1" applyFont="1" applyBorder="1" applyAlignment="1">
      <alignment horizontal="center" vertical="center"/>
    </xf>
    <xf numFmtId="198" fontId="10" fillId="0" borderId="4" xfId="0" applyNumberFormat="1" applyFont="1" applyBorder="1" applyAlignment="1">
      <alignment horizontal="center" vertical="center"/>
    </xf>
    <xf numFmtId="198" fontId="2" fillId="0" borderId="4" xfId="0" applyNumberFormat="1" applyFont="1" applyBorder="1" applyAlignment="1">
      <alignment horizontal="center" vertical="center"/>
    </xf>
    <xf numFmtId="198" fontId="2" fillId="0" borderId="9" xfId="0" applyNumberFormat="1" applyFont="1" applyBorder="1" applyAlignment="1">
      <alignment horizontal="center" vertical="center"/>
    </xf>
    <xf numFmtId="198" fontId="2" fillId="0" borderId="0" xfId="0" applyNumberFormat="1" applyFont="1" applyAlignment="1">
      <alignment horizontal="center"/>
    </xf>
    <xf numFmtId="198" fontId="9" fillId="0" borderId="0" xfId="0" applyNumberFormat="1" applyFont="1" applyBorder="1" applyAlignment="1">
      <alignment horizontal="center" vertical="center"/>
    </xf>
    <xf numFmtId="198" fontId="2" fillId="0" borderId="0" xfId="0" applyNumberFormat="1" applyFont="1"/>
    <xf numFmtId="198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38" fontId="11" fillId="0" borderId="19" xfId="0" applyNumberFormat="1" applyFont="1" applyBorder="1" applyAlignment="1">
      <alignment horizontal="center" vertical="center"/>
    </xf>
    <xf numFmtId="198" fontId="3" fillId="3" borderId="6" xfId="0" applyNumberFormat="1" applyFont="1" applyFill="1" applyBorder="1" applyAlignment="1">
      <alignment horizontal="center" vertical="center" wrapText="1"/>
    </xf>
    <xf numFmtId="198" fontId="2" fillId="0" borderId="0" xfId="0" applyNumberFormat="1" applyFont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3938" name="Picture 1">
          <a:extLst>
            <a:ext uri="{FF2B5EF4-FFF2-40B4-BE49-F238E27FC236}">
              <a16:creationId xmlns:a16="http://schemas.microsoft.com/office/drawing/2014/main" id="{8084FE47-CA2C-4899-B715-EBB05E23B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30</xdr:row>
          <xdr:rowOff>9525</xdr:rowOff>
        </xdr:from>
        <xdr:to>
          <xdr:col>12</xdr:col>
          <xdr:colOff>523875</xdr:colOff>
          <xdr:row>31</xdr:row>
          <xdr:rowOff>190500</xdr:rowOff>
        </xdr:to>
        <xdr:sp macro="" textlink="">
          <xdr:nvSpPr>
            <xdr:cNvPr id="33900" name="CommandButton1" hidden="1">
              <a:extLst>
                <a:ext uri="{63B3BB69-23CF-44E3-9099-C40C66FF867C}">
                  <a14:compatExt spid="_x0000_s33900"/>
                </a:ext>
                <a:ext uri="{FF2B5EF4-FFF2-40B4-BE49-F238E27FC236}">
                  <a16:creationId xmlns:a16="http://schemas.microsoft.com/office/drawing/2014/main" id="{E0388BF4-010E-4126-9EF6-085376768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05" name="Picture 1">
          <a:extLst>
            <a:ext uri="{FF2B5EF4-FFF2-40B4-BE49-F238E27FC236}">
              <a16:creationId xmlns:a16="http://schemas.microsoft.com/office/drawing/2014/main" id="{D971B84D-FC6C-4319-BD28-02D72A717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30</xdr:row>
          <xdr:rowOff>9525</xdr:rowOff>
        </xdr:from>
        <xdr:to>
          <xdr:col>12</xdr:col>
          <xdr:colOff>523875</xdr:colOff>
          <xdr:row>31</xdr:row>
          <xdr:rowOff>190500</xdr:rowOff>
        </xdr:to>
        <xdr:sp macro="" textlink="">
          <xdr:nvSpPr>
            <xdr:cNvPr id="79873" name="CommandButton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B596EE13-1C27-43F6-98C2-B4A32E944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47"/>
  <sheetViews>
    <sheetView zoomScaleNormal="100" zoomScaleSheetLayoutView="100" workbookViewId="0">
      <selection activeCell="X35" sqref="X35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58" t="s">
        <v>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60"/>
    </row>
    <row r="2" spans="1:23" x14ac:dyDescent="0.15">
      <c r="A2" s="61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3"/>
    </row>
    <row r="3" spans="1:23" ht="12.75" customHeight="1" x14ac:dyDescent="0.15">
      <c r="A3" s="64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6"/>
      <c r="N3" s="56"/>
      <c r="O3" s="57"/>
      <c r="P3" s="56"/>
      <c r="Q3" s="57"/>
      <c r="R3" s="56"/>
      <c r="S3" s="57"/>
      <c r="T3" s="54"/>
      <c r="U3" s="55"/>
      <c r="V3" s="54"/>
      <c r="W3" s="55"/>
    </row>
    <row r="4" spans="1:23" ht="21" customHeight="1" x14ac:dyDescent="0.15">
      <c r="A4" s="72" t="s">
        <v>22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4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8" t="s">
        <v>5</v>
      </c>
      <c r="C8" s="15" t="s">
        <v>7</v>
      </c>
      <c r="D8" s="15" t="s">
        <v>6</v>
      </c>
      <c r="E8" s="48" t="s">
        <v>5</v>
      </c>
      <c r="F8" s="15" t="s">
        <v>7</v>
      </c>
      <c r="G8" s="15" t="s">
        <v>6</v>
      </c>
      <c r="H8" s="48" t="s">
        <v>5</v>
      </c>
      <c r="I8" s="15" t="s">
        <v>7</v>
      </c>
      <c r="J8" s="15" t="s">
        <v>6</v>
      </c>
      <c r="K8" s="48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>IF(18.9&lt;=H10,"a",IF(AND(18.9&gt;H10,H10&gt;=14.9),"b",IF(AND(14.9&gt;H10,H10&gt;=12),"c",IF(AND(12&gt;H10,H10&gt;=10.2),"d",IF(10.2&gt;H10,"e","?")))))</f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8">
        <v>14</v>
      </c>
      <c r="C21" s="12"/>
      <c r="D21" s="34"/>
      <c r="E21" s="39">
        <v>17</v>
      </c>
      <c r="F21" s="12"/>
      <c r="G21" s="34"/>
      <c r="H21" s="39">
        <v>17</v>
      </c>
      <c r="I21" s="12"/>
      <c r="J21" s="13"/>
      <c r="K21" s="39"/>
      <c r="L21" s="12"/>
      <c r="M21" s="14"/>
      <c r="U21" s="5"/>
    </row>
    <row r="22" spans="1:21" ht="20.100000000000001" customHeight="1" x14ac:dyDescent="0.15">
      <c r="A22" s="11"/>
      <c r="B22" s="38">
        <v>14.000000000000002</v>
      </c>
      <c r="C22" s="12"/>
      <c r="D22" s="34"/>
      <c r="E22" s="39">
        <v>14</v>
      </c>
      <c r="F22" s="12"/>
      <c r="G22" s="34"/>
      <c r="H22" s="39">
        <v>17</v>
      </c>
      <c r="I22" s="12"/>
      <c r="J22" s="13"/>
      <c r="K22" s="39"/>
      <c r="L22" s="12"/>
      <c r="M22" s="14"/>
      <c r="U22" s="5"/>
    </row>
    <row r="23" spans="1:21" ht="20.100000000000001" customHeight="1" x14ac:dyDescent="0.15">
      <c r="A23" s="11"/>
      <c r="B23" s="38">
        <v>15</v>
      </c>
      <c r="C23" s="12"/>
      <c r="D23" s="34"/>
      <c r="E23" s="39">
        <v>15</v>
      </c>
      <c r="F23" s="12"/>
      <c r="G23" s="34"/>
      <c r="H23" s="39">
        <v>15</v>
      </c>
      <c r="I23" s="12"/>
      <c r="J23" s="13"/>
      <c r="K23" s="39"/>
      <c r="L23" s="12"/>
      <c r="M23" s="14"/>
      <c r="U23" s="5"/>
    </row>
    <row r="24" spans="1:21" ht="20.100000000000001" customHeight="1" x14ac:dyDescent="0.15">
      <c r="A24" s="11"/>
      <c r="B24" s="38">
        <v>17</v>
      </c>
      <c r="C24" s="12"/>
      <c r="D24" s="34"/>
      <c r="E24" s="39">
        <v>15</v>
      </c>
      <c r="F24" s="12"/>
      <c r="G24" s="34"/>
      <c r="H24" s="39">
        <v>14</v>
      </c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>
        <v>16</v>
      </c>
      <c r="C25" s="12"/>
      <c r="D25" s="34"/>
      <c r="E25" s="39">
        <v>14</v>
      </c>
      <c r="F25" s="12"/>
      <c r="G25" s="34"/>
      <c r="H25" s="39">
        <v>14</v>
      </c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>
        <v>14.000000000000002</v>
      </c>
      <c r="C26" s="12"/>
      <c r="D26" s="34"/>
      <c r="E26" s="39">
        <v>14</v>
      </c>
      <c r="F26" s="12"/>
      <c r="G26" s="34"/>
      <c r="H26" s="39">
        <v>16</v>
      </c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>
        <v>14</v>
      </c>
      <c r="C27" s="12"/>
      <c r="D27" s="34"/>
      <c r="E27" s="39">
        <v>12</v>
      </c>
      <c r="F27" s="12"/>
      <c r="G27" s="34"/>
      <c r="H27" s="39">
        <v>13</v>
      </c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>
        <v>15</v>
      </c>
      <c r="C28" s="12"/>
      <c r="D28" s="34"/>
      <c r="E28" s="39">
        <v>16</v>
      </c>
      <c r="F28" s="12"/>
      <c r="G28" s="34"/>
      <c r="H28" s="39">
        <v>12</v>
      </c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>
        <v>14</v>
      </c>
      <c r="C29" s="12"/>
      <c r="D29" s="34"/>
      <c r="E29" s="39">
        <v>15</v>
      </c>
      <c r="F29" s="12"/>
      <c r="G29" s="34"/>
      <c r="H29" s="39">
        <v>16</v>
      </c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>
        <v>16</v>
      </c>
      <c r="C30" s="12"/>
      <c r="D30" s="34"/>
      <c r="E30" s="39">
        <v>13</v>
      </c>
      <c r="F30" s="12"/>
      <c r="G30" s="34"/>
      <c r="H30" s="39">
        <v>14</v>
      </c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 t="s">
        <v>24</v>
      </c>
      <c r="C31" s="39">
        <v>14.000000000000002</v>
      </c>
      <c r="D31" s="34"/>
      <c r="E31" s="39" t="s">
        <v>23</v>
      </c>
      <c r="F31" s="12">
        <v>12.5</v>
      </c>
      <c r="G31" s="34"/>
      <c r="H31" s="39" t="s">
        <v>23</v>
      </c>
      <c r="I31" s="12">
        <v>12.500000000000004</v>
      </c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>
        <f>AVERAGE(B21:B30)</f>
        <v>14.9</v>
      </c>
      <c r="C32" s="12"/>
      <c r="D32" s="34"/>
      <c r="E32" s="39">
        <f>AVERAGE(E21:E30)</f>
        <v>14.5</v>
      </c>
      <c r="F32" s="12"/>
      <c r="G32" s="34"/>
      <c r="H32" s="39">
        <f>AVERAGE(H21:H30)</f>
        <v>14.8</v>
      </c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/>
      <c r="M34" s="47"/>
      <c r="O34" s="49">
        <f>AVERAGE(B9:B18,E9:E18,H9:H18)</f>
        <v>14.733333333333333</v>
      </c>
      <c r="U34" s="5"/>
    </row>
    <row r="35" spans="1:21" ht="30.75" customHeight="1" thickBot="1" x14ac:dyDescent="0.2">
      <c r="A35" s="25"/>
      <c r="B35" s="50">
        <v>14.9</v>
      </c>
      <c r="C35" s="51"/>
      <c r="D35" s="52"/>
      <c r="E35" s="51">
        <v>14.5</v>
      </c>
      <c r="F35" s="51"/>
      <c r="G35" s="52"/>
      <c r="H35" s="51">
        <v>14.8</v>
      </c>
      <c r="I35" s="51"/>
      <c r="J35" s="52"/>
      <c r="K35" s="51"/>
      <c r="L35" s="51"/>
      <c r="M35" s="53"/>
      <c r="U35" s="5"/>
    </row>
    <row r="36" spans="1:21" x14ac:dyDescent="0.15">
      <c r="A36" s="2"/>
      <c r="U36" s="5"/>
    </row>
    <row r="37" spans="1:21" ht="13.5" x14ac:dyDescent="0.1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</row>
    <row r="47" spans="1:21" ht="18" customHeight="1" x14ac:dyDescent="0.1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</row>
  </sheetData>
  <dataConsolidate/>
  <mergeCells count="16">
    <mergeCell ref="V3:W3"/>
    <mergeCell ref="A47:M47"/>
    <mergeCell ref="A37:M37"/>
    <mergeCell ref="A46:M46"/>
    <mergeCell ref="A5:M5"/>
    <mergeCell ref="B7:D7"/>
    <mergeCell ref="E7:G7"/>
    <mergeCell ref="H7:J7"/>
    <mergeCell ref="K7:M7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900" r:id="rId4" name="CommandButton1">
          <controlPr defaultSize="0" autoLine="0" r:id="rId5">
            <anchor moveWithCells="1">
              <from>
                <xdr:col>9</xdr:col>
                <xdr:colOff>647700</xdr:colOff>
                <xdr:row>30</xdr:row>
                <xdr:rowOff>9525</xdr:rowOff>
              </from>
              <to>
                <xdr:col>12</xdr:col>
                <xdr:colOff>523875</xdr:colOff>
                <xdr:row>31</xdr:row>
                <xdr:rowOff>190500</xdr:rowOff>
              </to>
            </anchor>
          </controlPr>
        </control>
      </mc:Choice>
      <mc:Fallback>
        <control shapeId="3390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47"/>
  <sheetViews>
    <sheetView tabSelected="1" view="pageBreakPreview" zoomScaleNormal="100" zoomScaleSheetLayoutView="100" workbookViewId="0">
      <selection activeCell="P4" sqref="P4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58" t="s">
        <v>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60"/>
    </row>
    <row r="2" spans="1:23" x14ac:dyDescent="0.15">
      <c r="A2" s="61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3"/>
    </row>
    <row r="3" spans="1:23" ht="12.75" customHeight="1" x14ac:dyDescent="0.15">
      <c r="A3" s="64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6"/>
      <c r="N3" s="56"/>
      <c r="O3" s="57"/>
      <c r="P3" s="56"/>
      <c r="Q3" s="57"/>
      <c r="R3" s="56"/>
      <c r="S3" s="57"/>
      <c r="T3" s="54"/>
      <c r="U3" s="55"/>
      <c r="V3" s="54"/>
      <c r="W3" s="55"/>
    </row>
    <row r="4" spans="1:23" ht="21" customHeight="1" x14ac:dyDescent="0.15">
      <c r="A4" s="72" t="s">
        <v>22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4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67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70" t="s">
        <v>19</v>
      </c>
      <c r="C7" s="70"/>
      <c r="D7" s="70"/>
      <c r="E7" s="70" t="s">
        <v>20</v>
      </c>
      <c r="F7" s="70"/>
      <c r="G7" s="70"/>
      <c r="H7" s="70" t="s">
        <v>21</v>
      </c>
      <c r="I7" s="70"/>
      <c r="J7" s="70"/>
      <c r="K7" s="70"/>
      <c r="L7" s="70"/>
      <c r="M7" s="7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8" t="s">
        <v>5</v>
      </c>
      <c r="C8" s="15" t="s">
        <v>7</v>
      </c>
      <c r="D8" s="15" t="s">
        <v>6</v>
      </c>
      <c r="E8" s="48" t="s">
        <v>5</v>
      </c>
      <c r="F8" s="15" t="s">
        <v>7</v>
      </c>
      <c r="G8" s="15" t="s">
        <v>6</v>
      </c>
      <c r="H8" s="48" t="s">
        <v>5</v>
      </c>
      <c r="I8" s="15" t="s">
        <v>7</v>
      </c>
      <c r="J8" s="15" t="s">
        <v>6</v>
      </c>
      <c r="K8" s="48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>IF(18.9&lt;=H10,"a",IF(AND(18.9&gt;H10,H10&gt;=14.9),"b",IF(AND(14.9&gt;H10,H10&gt;=12),"c",IF(AND(12&gt;H10,H10&gt;=10.2),"d",IF(10.2&gt;H10,"e","?")))))</f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8">
        <v>16</v>
      </c>
      <c r="C21" s="12"/>
      <c r="D21" s="34"/>
      <c r="E21" s="39">
        <v>14</v>
      </c>
      <c r="F21" s="12"/>
      <c r="G21" s="34"/>
      <c r="H21" s="39">
        <v>16</v>
      </c>
      <c r="I21" s="12"/>
      <c r="J21" s="13"/>
      <c r="K21" s="39"/>
      <c r="L21" s="12"/>
      <c r="M21" s="14"/>
      <c r="U21" s="5"/>
    </row>
    <row r="22" spans="1:21" ht="20.100000000000001" customHeight="1" x14ac:dyDescent="0.15">
      <c r="A22" s="11"/>
      <c r="B22" s="38">
        <v>14</v>
      </c>
      <c r="C22" s="12"/>
      <c r="D22" s="34"/>
      <c r="E22" s="39">
        <v>15</v>
      </c>
      <c r="F22" s="12"/>
      <c r="G22" s="34"/>
      <c r="H22" s="39">
        <v>14</v>
      </c>
      <c r="I22" s="12"/>
      <c r="J22" s="13"/>
      <c r="K22" s="39"/>
      <c r="L22" s="12"/>
      <c r="M22" s="14"/>
      <c r="U22" s="5"/>
    </row>
    <row r="23" spans="1:21" ht="20.100000000000001" customHeight="1" x14ac:dyDescent="0.15">
      <c r="A23" s="11"/>
      <c r="B23" s="38">
        <v>16</v>
      </c>
      <c r="C23" s="12"/>
      <c r="D23" s="34"/>
      <c r="E23" s="39">
        <v>11</v>
      </c>
      <c r="F23" s="12"/>
      <c r="G23" s="34"/>
      <c r="H23" s="39">
        <v>16</v>
      </c>
      <c r="I23" s="12"/>
      <c r="J23" s="13"/>
      <c r="K23" s="39"/>
      <c r="L23" s="12"/>
      <c r="M23" s="14"/>
      <c r="U23" s="5"/>
    </row>
    <row r="24" spans="1:21" ht="20.100000000000001" customHeight="1" x14ac:dyDescent="0.15">
      <c r="A24" s="11"/>
      <c r="B24" s="38">
        <v>14.000000000000002</v>
      </c>
      <c r="C24" s="12"/>
      <c r="D24" s="34"/>
      <c r="E24" s="39">
        <v>16</v>
      </c>
      <c r="F24" s="12"/>
      <c r="G24" s="34"/>
      <c r="H24" s="39">
        <v>16</v>
      </c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>
        <v>16</v>
      </c>
      <c r="C25" s="12"/>
      <c r="D25" s="34"/>
      <c r="E25" s="39">
        <v>17</v>
      </c>
      <c r="F25" s="12"/>
      <c r="G25" s="34"/>
      <c r="H25" s="39">
        <v>14</v>
      </c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>
        <v>14.000000000000002</v>
      </c>
      <c r="C26" s="12"/>
      <c r="D26" s="34"/>
      <c r="E26" s="39">
        <v>17</v>
      </c>
      <c r="F26" s="12"/>
      <c r="G26" s="34"/>
      <c r="H26" s="39">
        <v>15</v>
      </c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>
        <v>14</v>
      </c>
      <c r="C27" s="12"/>
      <c r="D27" s="34"/>
      <c r="E27" s="39">
        <v>11</v>
      </c>
      <c r="F27" s="12"/>
      <c r="G27" s="34"/>
      <c r="H27" s="39">
        <v>14</v>
      </c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>
        <v>16</v>
      </c>
      <c r="C28" s="12"/>
      <c r="D28" s="34"/>
      <c r="E28" s="39">
        <v>14</v>
      </c>
      <c r="F28" s="12"/>
      <c r="G28" s="34"/>
      <c r="H28" s="39">
        <v>14</v>
      </c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>
        <v>15</v>
      </c>
      <c r="C29" s="12"/>
      <c r="D29" s="34"/>
      <c r="E29" s="39">
        <v>14</v>
      </c>
      <c r="F29" s="12"/>
      <c r="G29" s="34"/>
      <c r="H29" s="39">
        <v>16</v>
      </c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>
        <v>14</v>
      </c>
      <c r="C30" s="12"/>
      <c r="D30" s="34"/>
      <c r="E30" s="39">
        <v>16</v>
      </c>
      <c r="F30" s="12"/>
      <c r="G30" s="34"/>
      <c r="H30" s="39">
        <v>13</v>
      </c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 t="s">
        <v>24</v>
      </c>
      <c r="C31" s="39">
        <v>14.000000000000002</v>
      </c>
      <c r="D31" s="34"/>
      <c r="E31" s="39" t="s">
        <v>24</v>
      </c>
      <c r="F31" s="12">
        <v>11</v>
      </c>
      <c r="G31" s="34"/>
      <c r="H31" s="39" t="s">
        <v>23</v>
      </c>
      <c r="I31" s="12">
        <v>13.500000000000004</v>
      </c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>
        <f>AVERAGE(B21:B30)</f>
        <v>14.9</v>
      </c>
      <c r="C32" s="12"/>
      <c r="D32" s="34"/>
      <c r="E32" s="39">
        <f>AVERAGE(E21:E30)</f>
        <v>14.5</v>
      </c>
      <c r="F32" s="12"/>
      <c r="G32" s="34"/>
      <c r="H32" s="39">
        <f>AVERAGE(H21:H30)</f>
        <v>14.8</v>
      </c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/>
      <c r="M34" s="47"/>
      <c r="O34" s="49">
        <f>AVERAGE(B9:B18,E9:E18,H9:H18)</f>
        <v>14.733333333333333</v>
      </c>
      <c r="U34" s="5"/>
    </row>
    <row r="35" spans="1:21" ht="30.75" customHeight="1" thickBot="1" x14ac:dyDescent="0.2">
      <c r="A35" s="25"/>
      <c r="B35" s="50">
        <v>14.9</v>
      </c>
      <c r="C35" s="51"/>
      <c r="D35" s="52"/>
      <c r="E35" s="51">
        <v>14.5</v>
      </c>
      <c r="F35" s="51"/>
      <c r="G35" s="52"/>
      <c r="H35" s="51">
        <v>14.8</v>
      </c>
      <c r="I35" s="51"/>
      <c r="J35" s="52"/>
      <c r="K35" s="51"/>
      <c r="L35" s="51"/>
      <c r="M35" s="53"/>
      <c r="U35" s="5"/>
    </row>
    <row r="36" spans="1:21" x14ac:dyDescent="0.15">
      <c r="A36" s="2"/>
      <c r="U36" s="5"/>
    </row>
    <row r="37" spans="1:21" ht="13.5" x14ac:dyDescent="0.1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</row>
    <row r="47" spans="1:21" ht="18" customHeight="1" x14ac:dyDescent="0.1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</row>
  </sheetData>
  <dataConsolidate/>
  <mergeCells count="16">
    <mergeCell ref="A1:M2"/>
    <mergeCell ref="A3:M3"/>
    <mergeCell ref="N3:O3"/>
    <mergeCell ref="P3:Q3"/>
    <mergeCell ref="R3:S3"/>
    <mergeCell ref="T3:U3"/>
    <mergeCell ref="A37:M37"/>
    <mergeCell ref="A46:M46"/>
    <mergeCell ref="A47:M47"/>
    <mergeCell ref="V3:W3"/>
    <mergeCell ref="A4:M4"/>
    <mergeCell ref="A5:M5"/>
    <mergeCell ref="B7:D7"/>
    <mergeCell ref="E7:G7"/>
    <mergeCell ref="H7:J7"/>
    <mergeCell ref="K7:M7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9873" r:id="rId4" name="CommandButton1">
          <controlPr defaultSize="0" autoLine="0" r:id="rId5">
            <anchor moveWithCells="1">
              <from>
                <xdr:col>9</xdr:col>
                <xdr:colOff>647700</xdr:colOff>
                <xdr:row>30</xdr:row>
                <xdr:rowOff>9525</xdr:rowOff>
              </from>
              <to>
                <xdr:col>12</xdr:col>
                <xdr:colOff>523875</xdr:colOff>
                <xdr:row>31</xdr:row>
                <xdr:rowOff>190500</xdr:rowOff>
              </to>
            </anchor>
          </controlPr>
        </control>
      </mc:Choice>
      <mc:Fallback>
        <control shapeId="798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102.765(S-1)</vt:lpstr>
      <vt:lpstr>102.765(S-1) (2)</vt:lpstr>
      <vt:lpstr>'102.765(S-1)'!Print_Area</vt:lpstr>
      <vt:lpstr>'102.765(S-1) (2)'!Print_Area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2021-01-26T05:22:38Z</dcterms:modified>
</cp:coreProperties>
</file>