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09_hardRain\06_ihanseol - 2021\Z01_소소한작업들\01_토양경도계, 반발강도 매크로\01_토양경도계 매크로\"/>
    </mc:Choice>
  </mc:AlternateContent>
  <xr:revisionPtr revIDLastSave="0" documentId="13_ncr:1_{DB1A1252-7B31-4F2F-AEB9-2383D74250A8}" xr6:coauthVersionLast="46" xr6:coauthVersionMax="46" xr10:uidLastSave="{00000000-0000-0000-0000-000000000000}"/>
  <bookViews>
    <workbookView xWindow="4095" yWindow="2820" windowWidth="23700" windowHeight="17325" tabRatio="966" activeTab="1" xr2:uid="{00000000-000D-0000-FFFF-FFFF00000000}"/>
  </bookViews>
  <sheets>
    <sheet name="102.765(S-1)" sheetId="46" r:id="rId1"/>
    <sheet name="102.765(S-1) (2)" sheetId="47" r:id="rId2"/>
  </sheets>
  <functionGroups builtInGroupCount="19"/>
  <definedNames>
    <definedName name="_xlnm.Print_Area" localSheetId="0">'102.765(S-1)'!$A$1:$M$34</definedName>
    <definedName name="_xlnm.Print_Area" localSheetId="1">'102.765(S-1) (2)'!$A$1:$M$34</definedName>
  </definedNames>
  <calcPr calcId="191029"/>
</workbook>
</file>

<file path=xl/calcChain.xml><?xml version="1.0" encoding="utf-8"?>
<calcChain xmlns="http://schemas.openxmlformats.org/spreadsheetml/2006/main">
  <c r="O34" i="47" l="1"/>
  <c r="H34" i="47"/>
  <c r="I34" i="47"/>
  <c r="E34" i="47"/>
  <c r="F34" i="47"/>
  <c r="B34" i="47"/>
  <c r="C34" i="47"/>
  <c r="H32" i="47"/>
  <c r="E32" i="47"/>
  <c r="B32" i="47"/>
  <c r="I18" i="47"/>
  <c r="F18" i="47"/>
  <c r="C18" i="47"/>
  <c r="I17" i="47"/>
  <c r="F17" i="47"/>
  <c r="C17" i="47"/>
  <c r="I16" i="47"/>
  <c r="F16" i="47"/>
  <c r="C16" i="47"/>
  <c r="I15" i="47"/>
  <c r="F15" i="47"/>
  <c r="C15" i="47"/>
  <c r="I14" i="47"/>
  <c r="F14" i="47"/>
  <c r="C14" i="47"/>
  <c r="I13" i="47"/>
  <c r="F13" i="47"/>
  <c r="C13" i="47"/>
  <c r="I12" i="47"/>
  <c r="F12" i="47"/>
  <c r="C12" i="47"/>
  <c r="I11" i="47"/>
  <c r="F11" i="47"/>
  <c r="C11" i="47"/>
  <c r="I10" i="47"/>
  <c r="F10" i="47"/>
  <c r="C10" i="47"/>
  <c r="I9" i="47"/>
  <c r="F9" i="47"/>
  <c r="C9" i="47"/>
  <c r="I10" i="46"/>
  <c r="H32" i="46"/>
  <c r="E32" i="46"/>
  <c r="B32" i="46"/>
  <c r="O34" i="46"/>
  <c r="H34" i="46"/>
  <c r="I34" i="46"/>
  <c r="E34" i="46"/>
  <c r="F34" i="46"/>
  <c r="B34" i="46"/>
  <c r="C34" i="46"/>
  <c r="I18" i="46"/>
  <c r="F18" i="46"/>
  <c r="C18" i="46"/>
  <c r="I17" i="46"/>
  <c r="F17" i="46"/>
  <c r="C17" i="46"/>
  <c r="I16" i="46"/>
  <c r="F16" i="46"/>
  <c r="C16" i="46"/>
  <c r="I15" i="46"/>
  <c r="F15" i="46"/>
  <c r="C15" i="46"/>
  <c r="I14" i="46"/>
  <c r="F14" i="46"/>
  <c r="C14" i="46"/>
  <c r="I13" i="46"/>
  <c r="F13" i="46"/>
  <c r="C13" i="46"/>
  <c r="I12" i="46"/>
  <c r="F12" i="46"/>
  <c r="C12" i="46"/>
  <c r="I11" i="46"/>
  <c r="F11" i="46"/>
  <c r="C11" i="46"/>
  <c r="F10" i="46"/>
  <c r="C10" i="46"/>
  <c r="I9" i="46"/>
  <c r="F9" i="46"/>
  <c r="C9" i="46"/>
</calcChain>
</file>

<file path=xl/sharedStrings.xml><?xml version="1.0" encoding="utf-8"?>
<sst xmlns="http://schemas.openxmlformats.org/spreadsheetml/2006/main" count="126" uniqueCount="25">
  <si>
    <t>1회</t>
    <phoneticPr fontId="1" type="noConversion"/>
  </si>
  <si>
    <t>토양경도시험</t>
    <phoneticPr fontId="1" type="noConversion"/>
  </si>
  <si>
    <t>토양군</t>
    <phoneticPr fontId="1" type="noConversion"/>
  </si>
  <si>
    <t>2회</t>
    <phoneticPr fontId="1" type="noConversion"/>
  </si>
  <si>
    <t>Result</t>
    <phoneticPr fontId="1" type="noConversion"/>
  </si>
  <si>
    <t>토양
경도(mm)</t>
    <phoneticPr fontId="1" type="noConversion"/>
  </si>
  <si>
    <t>종류</t>
    <phoneticPr fontId="1" type="noConversion"/>
  </si>
  <si>
    <t>등급</t>
    <phoneticPr fontId="1" type="noConversion"/>
  </si>
  <si>
    <t>모래질실트</t>
  </si>
  <si>
    <t>모래질실트</t>
    <phoneticPr fontId="1" type="noConversion"/>
  </si>
  <si>
    <t>3회</t>
    <phoneticPr fontId="1" type="noConversion"/>
  </si>
  <si>
    <t>4회</t>
    <phoneticPr fontId="1" type="noConversion"/>
  </si>
  <si>
    <t>5회</t>
    <phoneticPr fontId="1" type="noConversion"/>
  </si>
  <si>
    <t>6회</t>
    <phoneticPr fontId="1" type="noConversion"/>
  </si>
  <si>
    <t>7회</t>
    <phoneticPr fontId="1" type="noConversion"/>
  </si>
  <si>
    <t>8회</t>
    <phoneticPr fontId="1" type="noConversion"/>
  </si>
  <si>
    <t>9회</t>
    <phoneticPr fontId="1" type="noConversion"/>
  </si>
  <si>
    <t>10회</t>
    <phoneticPr fontId="1" type="noConversion"/>
  </si>
  <si>
    <t xml:space="preserve">              
               구분            
측정 No.</t>
    <phoneticPr fontId="1" type="noConversion"/>
  </si>
  <si>
    <t>상부</t>
    <phoneticPr fontId="1" type="noConversion"/>
  </si>
  <si>
    <t>중부</t>
    <phoneticPr fontId="1" type="noConversion"/>
  </si>
  <si>
    <t>하부</t>
    <phoneticPr fontId="1" type="noConversion"/>
  </si>
  <si>
    <t>* 건명 : 2020년 2권역(충주, 엄정) 절토비탈면·옹벽 정밀안전점검 및 성능평가 용역</t>
    <phoneticPr fontId="1" type="noConversion"/>
  </si>
  <si>
    <t>in</t>
    <phoneticPr fontId="1" type="noConversion"/>
  </si>
  <si>
    <t>out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</si>
</sst>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_);[Red]\(0\)"/>
    <numFmt numFmtId="177" formatCode="0.0_);[Red]\(0.0\)"/>
  </numFmts>
  <fonts count="12" x14ac:knownFonts="1"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color indexed="8"/>
      <name val="돋움"/>
      <family val="3"/>
      <charset val="129"/>
    </font>
    <font>
      <sz val="9"/>
      <color indexed="8"/>
      <name val="돋움"/>
      <family val="3"/>
      <charset val="129"/>
    </font>
    <font>
      <b/>
      <sz val="10"/>
      <color indexed="8"/>
      <name val="돋움"/>
      <family val="3"/>
      <charset val="129"/>
    </font>
    <font>
      <b/>
      <sz val="20"/>
      <color indexed="8"/>
      <name val="돋움"/>
      <family val="3"/>
      <charset val="129"/>
    </font>
    <font>
      <b/>
      <sz val="9"/>
      <color indexed="8"/>
      <name val="돋움"/>
      <family val="3"/>
      <charset val="129"/>
    </font>
    <font>
      <sz val="10"/>
      <color indexed="10"/>
      <name val="돋움"/>
      <family val="3"/>
      <charset val="129"/>
    </font>
    <font>
      <b/>
      <u/>
      <sz val="14"/>
      <color indexed="8"/>
      <name val="돋움"/>
      <family val="3"/>
      <charset val="129"/>
    </font>
    <font>
      <b/>
      <sz val="11"/>
      <color indexed="8"/>
      <name val="돋움"/>
      <family val="3"/>
      <charset val="129"/>
    </font>
    <font>
      <sz val="10"/>
      <name val="돋움"/>
      <family val="3"/>
      <charset val="129"/>
    </font>
    <font>
      <sz val="8"/>
      <color indexed="8"/>
      <name val="돋움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hair">
        <color indexed="64"/>
      </right>
      <top style="thin">
        <color indexed="64"/>
      </top>
      <bottom style="double">
        <color indexed="64"/>
      </bottom>
      <diagonal style="hair">
        <color indexed="64"/>
      </diagonal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7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" fontId="2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left" vertical="top" wrapText="1"/>
    </xf>
    <xf numFmtId="0" fontId="2" fillId="0" borderId="3" xfId="0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38" fontId="2" fillId="0" borderId="4" xfId="0" applyNumberFormat="1" applyFont="1" applyBorder="1" applyAlignment="1">
      <alignment horizontal="center" vertical="center"/>
    </xf>
    <xf numFmtId="38" fontId="2" fillId="0" borderId="5" xfId="0" applyNumberFormat="1" applyFont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38" fontId="2" fillId="0" borderId="9" xfId="0" applyNumberFormat="1" applyFont="1" applyBorder="1" applyAlignment="1">
      <alignment horizontal="center" vertical="center"/>
    </xf>
    <xf numFmtId="38" fontId="2" fillId="0" borderId="10" xfId="0" applyNumberFormat="1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38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38" fontId="2" fillId="0" borderId="14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177" fontId="2" fillId="0" borderId="16" xfId="0" applyNumberFormat="1" applyFont="1" applyBorder="1" applyAlignment="1">
      <alignment horizontal="center" vertical="center"/>
    </xf>
    <xf numFmtId="0" fontId="3" fillId="3" borderId="17" xfId="0" applyFont="1" applyFill="1" applyBorder="1" applyAlignment="1">
      <alignment horizontal="center" vertical="center" wrapText="1"/>
    </xf>
    <xf numFmtId="0" fontId="11" fillId="0" borderId="12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38" fontId="11" fillId="0" borderId="16" xfId="0" applyNumberFormat="1" applyFont="1" applyBorder="1" applyAlignment="1">
      <alignment horizontal="center" vertical="center"/>
    </xf>
    <xf numFmtId="38" fontId="11" fillId="0" borderId="4" xfId="0" applyNumberFormat="1" applyFont="1" applyBorder="1" applyAlignment="1">
      <alignment horizontal="center" vertical="center"/>
    </xf>
    <xf numFmtId="38" fontId="11" fillId="0" borderId="9" xfId="0" applyNumberFormat="1" applyFont="1" applyBorder="1" applyAlignment="1">
      <alignment horizontal="center" vertical="center"/>
    </xf>
    <xf numFmtId="177" fontId="5" fillId="0" borderId="0" xfId="0" applyNumberFormat="1" applyFont="1" applyBorder="1" applyAlignment="1">
      <alignment horizontal="center" vertical="center"/>
    </xf>
    <xf numFmtId="177" fontId="10" fillId="0" borderId="12" xfId="0" applyNumberFormat="1" applyFont="1" applyBorder="1" applyAlignment="1">
      <alignment horizontal="center" vertical="center"/>
    </xf>
    <xf numFmtId="177" fontId="10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177" fontId="2" fillId="0" borderId="9" xfId="0" applyNumberFormat="1" applyFont="1" applyBorder="1" applyAlignment="1">
      <alignment horizontal="center" vertical="center"/>
    </xf>
    <xf numFmtId="177" fontId="2" fillId="0" borderId="0" xfId="0" applyNumberFormat="1" applyFont="1" applyAlignment="1">
      <alignment horizontal="center"/>
    </xf>
    <xf numFmtId="177" fontId="9" fillId="0" borderId="0" xfId="0" applyNumberFormat="1" applyFont="1" applyBorder="1" applyAlignment="1">
      <alignment horizontal="center" vertical="center"/>
    </xf>
    <xf numFmtId="177" fontId="2" fillId="0" borderId="0" xfId="0" applyNumberFormat="1" applyFont="1"/>
    <xf numFmtId="177" fontId="2" fillId="0" borderId="12" xfId="0" applyNumberFormat="1" applyFont="1" applyBorder="1" applyAlignment="1">
      <alignment horizontal="center" vertical="center"/>
    </xf>
    <xf numFmtId="0" fontId="11" fillId="0" borderId="18" xfId="0" applyFont="1" applyBorder="1" applyAlignment="1">
      <alignment horizontal="center" vertical="center"/>
    </xf>
    <xf numFmtId="0" fontId="11" fillId="0" borderId="5" xfId="0" applyFont="1" applyBorder="1" applyAlignment="1">
      <alignment horizontal="center" vertical="center"/>
    </xf>
    <xf numFmtId="38" fontId="11" fillId="0" borderId="19" xfId="0" applyNumberFormat="1" applyFont="1" applyBorder="1" applyAlignment="1">
      <alignment horizontal="center" vertical="center"/>
    </xf>
    <xf numFmtId="177" fontId="3" fillId="3" borderId="6" xfId="0" applyNumberFormat="1" applyFont="1" applyFill="1" applyBorder="1" applyAlignment="1">
      <alignment horizontal="center" vertical="center" wrapText="1"/>
    </xf>
    <xf numFmtId="177" fontId="2" fillId="0" borderId="0" xfId="0" applyNumberFormat="1" applyFont="1" applyAlignment="1">
      <alignment horizontal="center" vertical="center"/>
    </xf>
    <xf numFmtId="0" fontId="4" fillId="0" borderId="20" xfId="0" applyFont="1" applyBorder="1" applyAlignment="1">
      <alignment horizontal="center" vertical="center"/>
    </xf>
    <xf numFmtId="0" fontId="4" fillId="0" borderId="20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7" xfId="0" applyFont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2" fillId="0" borderId="8" xfId="0" applyFont="1" applyBorder="1" applyAlignment="1">
      <alignment horizontal="left" vertical="center"/>
    </xf>
    <xf numFmtId="0" fontId="4" fillId="2" borderId="22" xfId="0" applyFont="1" applyFill="1" applyBorder="1" applyAlignment="1">
      <alignment horizontal="center" vertical="center"/>
    </xf>
    <xf numFmtId="0" fontId="4" fillId="2" borderId="23" xfId="0" applyFont="1" applyFill="1" applyBorder="1" applyAlignment="1">
      <alignment horizontal="center" vertical="center"/>
    </xf>
    <xf numFmtId="0" fontId="2" fillId="0" borderId="7" xfId="0" applyFont="1" applyBorder="1" applyAlignment="1">
      <alignment horizontal="left" vertical="center" wrapText="1"/>
    </xf>
    <xf numFmtId="0" fontId="2" fillId="0" borderId="0" xfId="0" applyFont="1" applyBorder="1" applyAlignment="1">
      <alignment horizontal="left" vertical="center" wrapText="1"/>
    </xf>
    <xf numFmtId="0" fontId="2" fillId="0" borderId="8" xfId="0" applyFont="1" applyBorder="1" applyAlignment="1">
      <alignment horizontal="left" vertical="center" wrapText="1"/>
    </xf>
    <xf numFmtId="0" fontId="5" fillId="0" borderId="0" xfId="0" applyFont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26" xfId="0" applyFont="1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33938" name="Picture 1">
          <a:extLst>
            <a:ext uri="{FF2B5EF4-FFF2-40B4-BE49-F238E27FC236}">
              <a16:creationId xmlns:a16="http://schemas.microsoft.com/office/drawing/2014/main" id="{00000000-0008-0000-0000-00009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30</xdr:row>
          <xdr:rowOff>9525</xdr:rowOff>
        </xdr:from>
        <xdr:to>
          <xdr:col>12</xdr:col>
          <xdr:colOff>523875</xdr:colOff>
          <xdr:row>31</xdr:row>
          <xdr:rowOff>190500</xdr:rowOff>
        </xdr:to>
        <xdr:sp macro="" textlink="">
          <xdr:nvSpPr>
            <xdr:cNvPr id="33900" name="CommandButton1" hidden="1">
              <a:extLst>
                <a:ext uri="{63B3BB69-23CF-44E3-9099-C40C66FF867C}">
                  <a14:compatExt spid="_x0000_s33900"/>
                </a:ext>
                <a:ext uri="{FF2B5EF4-FFF2-40B4-BE49-F238E27FC236}">
                  <a16:creationId xmlns:a16="http://schemas.microsoft.com/office/drawing/2014/main" id="{00000000-0008-0000-0000-00006C8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5</xdr:row>
      <xdr:rowOff>0</xdr:rowOff>
    </xdr:from>
    <xdr:to>
      <xdr:col>28</xdr:col>
      <xdr:colOff>533400</xdr:colOff>
      <xdr:row>30</xdr:row>
      <xdr:rowOff>66675</xdr:rowOff>
    </xdr:to>
    <xdr:pic>
      <xdr:nvPicPr>
        <xdr:cNvPr id="79905" name="Picture 1">
          <a:extLst>
            <a:ext uri="{FF2B5EF4-FFF2-40B4-BE49-F238E27FC236}">
              <a16:creationId xmlns:a16="http://schemas.microsoft.com/office/drawing/2014/main" id="{00000000-0008-0000-0100-0000213801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67600" y="1000125"/>
          <a:ext cx="9486900" cy="64579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647700</xdr:colOff>
          <xdr:row>30</xdr:row>
          <xdr:rowOff>9525</xdr:rowOff>
        </xdr:from>
        <xdr:to>
          <xdr:col>12</xdr:col>
          <xdr:colOff>523875</xdr:colOff>
          <xdr:row>31</xdr:row>
          <xdr:rowOff>190500</xdr:rowOff>
        </xdr:to>
        <xdr:sp macro="" textlink="">
          <xdr:nvSpPr>
            <xdr:cNvPr id="79873" name="CommandButton1" hidden="1">
              <a:extLst>
                <a:ext uri="{63B3BB69-23CF-44E3-9099-C40C66FF867C}">
                  <a14:compatExt spid="_x0000_s79873"/>
                </a:ext>
                <a:ext uri="{FF2B5EF4-FFF2-40B4-BE49-F238E27FC236}">
                  <a16:creationId xmlns:a16="http://schemas.microsoft.com/office/drawing/2014/main" id="{00000000-0008-0000-0100-000001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47"/>
  <sheetViews>
    <sheetView zoomScaleNormal="100" zoomScaleSheetLayoutView="100" workbookViewId="0">
      <selection activeCell="X35" sqref="X35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6" t="s">
        <v>1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8"/>
    </row>
    <row r="2" spans="1:23" x14ac:dyDescent="0.15">
      <c r="A2" s="69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1"/>
    </row>
    <row r="3" spans="1:23" ht="12.75" customHeight="1" x14ac:dyDescent="0.15">
      <c r="A3" s="72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4"/>
      <c r="N3" s="65"/>
      <c r="O3" s="56"/>
      <c r="P3" s="65"/>
      <c r="Q3" s="56"/>
      <c r="R3" s="65"/>
      <c r="S3" s="56"/>
      <c r="T3" s="54"/>
      <c r="U3" s="55"/>
      <c r="V3" s="54"/>
      <c r="W3" s="55"/>
    </row>
    <row r="4" spans="1:23" ht="21" customHeight="1" x14ac:dyDescent="0.15">
      <c r="A4" s="62" t="s">
        <v>22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7">
        <v>0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0" t="s">
        <v>19</v>
      </c>
      <c r="C7" s="60"/>
      <c r="D7" s="60"/>
      <c r="E7" s="60" t="s">
        <v>20</v>
      </c>
      <c r="F7" s="60"/>
      <c r="G7" s="60"/>
      <c r="H7" s="60" t="s">
        <v>21</v>
      </c>
      <c r="I7" s="60"/>
      <c r="J7" s="60"/>
      <c r="K7" s="60"/>
      <c r="L7" s="60"/>
      <c r="M7" s="6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8" t="s">
        <v>5</v>
      </c>
      <c r="C8" s="15" t="s">
        <v>7</v>
      </c>
      <c r="D8" s="15" t="s">
        <v>6</v>
      </c>
      <c r="E8" s="48" t="s">
        <v>5</v>
      </c>
      <c r="F8" s="15" t="s">
        <v>7</v>
      </c>
      <c r="G8" s="15" t="s">
        <v>6</v>
      </c>
      <c r="H8" s="48" t="s">
        <v>5</v>
      </c>
      <c r="I8" s="15" t="s">
        <v>7</v>
      </c>
      <c r="J8" s="15" t="s">
        <v>6</v>
      </c>
      <c r="K8" s="48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>IF(18.9&lt;=H10,"a",IF(AND(18.9&gt;H10,H10&gt;=14.9),"b",IF(AND(14.9&gt;H10,H10&gt;=12),"c",IF(AND(12&gt;H10,H10&gt;=10.2),"d",IF(10.2&gt;H10,"e","?")))))</f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8">
        <v>14</v>
      </c>
      <c r="C21" s="12"/>
      <c r="D21" s="34"/>
      <c r="E21" s="39">
        <v>17</v>
      </c>
      <c r="F21" s="12"/>
      <c r="G21" s="34"/>
      <c r="H21" s="39">
        <v>17</v>
      </c>
      <c r="I21" s="12"/>
      <c r="J21" s="13"/>
      <c r="K21" s="39"/>
      <c r="L21" s="12"/>
      <c r="M21" s="14"/>
      <c r="U21" s="5"/>
    </row>
    <row r="22" spans="1:21" ht="20.100000000000001" customHeight="1" x14ac:dyDescent="0.15">
      <c r="A22" s="11"/>
      <c r="B22" s="38">
        <v>14.000000000000002</v>
      </c>
      <c r="C22" s="12"/>
      <c r="D22" s="34"/>
      <c r="E22" s="39">
        <v>14</v>
      </c>
      <c r="F22" s="12"/>
      <c r="G22" s="34"/>
      <c r="H22" s="39">
        <v>17</v>
      </c>
      <c r="I22" s="12"/>
      <c r="J22" s="13"/>
      <c r="K22" s="39"/>
      <c r="L22" s="12"/>
      <c r="M22" s="14"/>
      <c r="U22" s="5"/>
    </row>
    <row r="23" spans="1:21" ht="20.100000000000001" customHeight="1" x14ac:dyDescent="0.15">
      <c r="A23" s="11"/>
      <c r="B23" s="38">
        <v>15</v>
      </c>
      <c r="C23" s="12"/>
      <c r="D23" s="34"/>
      <c r="E23" s="39">
        <v>15</v>
      </c>
      <c r="F23" s="12"/>
      <c r="G23" s="34"/>
      <c r="H23" s="39">
        <v>15</v>
      </c>
      <c r="I23" s="12"/>
      <c r="J23" s="13"/>
      <c r="K23" s="39"/>
      <c r="L23" s="12"/>
      <c r="M23" s="14"/>
      <c r="U23" s="5"/>
    </row>
    <row r="24" spans="1:21" ht="20.100000000000001" customHeight="1" x14ac:dyDescent="0.15">
      <c r="A24" s="11"/>
      <c r="B24" s="38">
        <v>17</v>
      </c>
      <c r="C24" s="12"/>
      <c r="D24" s="34"/>
      <c r="E24" s="39">
        <v>15</v>
      </c>
      <c r="F24" s="12"/>
      <c r="G24" s="34"/>
      <c r="H24" s="39">
        <v>14</v>
      </c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>
        <v>16</v>
      </c>
      <c r="C25" s="12"/>
      <c r="D25" s="34"/>
      <c r="E25" s="39">
        <v>14</v>
      </c>
      <c r="F25" s="12"/>
      <c r="G25" s="34"/>
      <c r="H25" s="39">
        <v>14</v>
      </c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>
        <v>14.000000000000002</v>
      </c>
      <c r="C26" s="12"/>
      <c r="D26" s="34"/>
      <c r="E26" s="39">
        <v>14</v>
      </c>
      <c r="F26" s="12"/>
      <c r="G26" s="34"/>
      <c r="H26" s="39">
        <v>16</v>
      </c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>
        <v>14</v>
      </c>
      <c r="C27" s="12"/>
      <c r="D27" s="34"/>
      <c r="E27" s="39">
        <v>12</v>
      </c>
      <c r="F27" s="12"/>
      <c r="G27" s="34"/>
      <c r="H27" s="39">
        <v>13</v>
      </c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>
        <v>15</v>
      </c>
      <c r="C28" s="12"/>
      <c r="D28" s="34"/>
      <c r="E28" s="39">
        <v>16</v>
      </c>
      <c r="F28" s="12"/>
      <c r="G28" s="34"/>
      <c r="H28" s="39">
        <v>12</v>
      </c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>
        <v>14</v>
      </c>
      <c r="C29" s="12"/>
      <c r="D29" s="34"/>
      <c r="E29" s="39">
        <v>15</v>
      </c>
      <c r="F29" s="12"/>
      <c r="G29" s="34"/>
      <c r="H29" s="39">
        <v>16</v>
      </c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>
        <v>16</v>
      </c>
      <c r="C30" s="12"/>
      <c r="D30" s="34"/>
      <c r="E30" s="39">
        <v>13</v>
      </c>
      <c r="F30" s="12"/>
      <c r="G30" s="34"/>
      <c r="H30" s="39">
        <v>14</v>
      </c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 t="s">
        <v>24</v>
      </c>
      <c r="C31" s="39">
        <v>14.000000000000002</v>
      </c>
      <c r="D31" s="34"/>
      <c r="E31" s="39" t="s">
        <v>23</v>
      </c>
      <c r="F31" s="12">
        <v>12.5</v>
      </c>
      <c r="G31" s="34"/>
      <c r="H31" s="39" t="s">
        <v>23</v>
      </c>
      <c r="I31" s="12">
        <v>12.500000000000004</v>
      </c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>
        <f>AVERAGE(B21:B30)</f>
        <v>14.9</v>
      </c>
      <c r="C32" s="12"/>
      <c r="D32" s="34"/>
      <c r="E32" s="39">
        <f>AVERAGE(E21:E30)</f>
        <v>14.5</v>
      </c>
      <c r="F32" s="12"/>
      <c r="G32" s="34"/>
      <c r="H32" s="39">
        <f>AVERAGE(H21:H30)</f>
        <v>14.8</v>
      </c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/>
      <c r="M34" s="47"/>
      <c r="O34" s="49">
        <f>AVERAGE(B9:B18,E9:E18,H9:H18)</f>
        <v>14.733333333333333</v>
      </c>
      <c r="U34" s="5"/>
    </row>
    <row r="35" spans="1:21" ht="30.75" customHeight="1" thickBot="1" x14ac:dyDescent="0.2">
      <c r="A35" s="25"/>
      <c r="B35" s="50">
        <v>14.9</v>
      </c>
      <c r="C35" s="51"/>
      <c r="D35" s="52"/>
      <c r="E35" s="51">
        <v>14.5</v>
      </c>
      <c r="F35" s="51"/>
      <c r="G35" s="52"/>
      <c r="H35" s="51">
        <v>14.8</v>
      </c>
      <c r="I35" s="51"/>
      <c r="J35" s="52"/>
      <c r="K35" s="51"/>
      <c r="L35" s="51"/>
      <c r="M35" s="53"/>
      <c r="U35" s="5"/>
    </row>
    <row r="36" spans="1:21" x14ac:dyDescent="0.15">
      <c r="A36" s="2"/>
      <c r="U36" s="5"/>
    </row>
    <row r="37" spans="1:21" ht="13.5" x14ac:dyDescent="0.15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</row>
    <row r="47" spans="1:21" ht="18" customHeight="1" x14ac:dyDescent="0.15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</row>
  </sheetData>
  <dataConsolidate/>
  <mergeCells count="16">
    <mergeCell ref="A1:M2"/>
    <mergeCell ref="A3:M3"/>
    <mergeCell ref="N3:O3"/>
    <mergeCell ref="P3:Q3"/>
    <mergeCell ref="V3:W3"/>
    <mergeCell ref="A47:M47"/>
    <mergeCell ref="A37:M37"/>
    <mergeCell ref="A46:M46"/>
    <mergeCell ref="A5:M5"/>
    <mergeCell ref="B7:D7"/>
    <mergeCell ref="E7:G7"/>
    <mergeCell ref="H7:J7"/>
    <mergeCell ref="K7:M7"/>
    <mergeCell ref="A4:M4"/>
    <mergeCell ref="T3:U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33900" r:id="rId4" name="CommandButton1">
          <controlPr defaultSize="0" autoLine="0" r:id="rId5">
            <anchor moveWithCells="1">
              <from>
                <xdr:col>9</xdr:col>
                <xdr:colOff>647700</xdr:colOff>
                <xdr:row>30</xdr:row>
                <xdr:rowOff>9525</xdr:rowOff>
              </from>
              <to>
                <xdr:col>12</xdr:col>
                <xdr:colOff>523875</xdr:colOff>
                <xdr:row>31</xdr:row>
                <xdr:rowOff>190500</xdr:rowOff>
              </to>
            </anchor>
          </controlPr>
        </control>
      </mc:Choice>
      <mc:Fallback>
        <control shapeId="33900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47"/>
  <sheetViews>
    <sheetView tabSelected="1" view="pageBreakPreview" zoomScaleNormal="100" zoomScaleSheetLayoutView="100" workbookViewId="0">
      <selection activeCell="U4" sqref="U4"/>
    </sheetView>
  </sheetViews>
  <sheetFormatPr defaultRowHeight="12" x14ac:dyDescent="0.15"/>
  <cols>
    <col min="1" max="1" width="12.44140625" style="1" customWidth="1"/>
    <col min="2" max="2" width="4.6640625" style="41" customWidth="1"/>
    <col min="3" max="3" width="4.6640625" style="1" customWidth="1"/>
    <col min="4" max="4" width="7.6640625" style="1" customWidth="1"/>
    <col min="5" max="5" width="4.6640625" style="43" customWidth="1"/>
    <col min="6" max="6" width="4.6640625" style="1" customWidth="1"/>
    <col min="7" max="7" width="7.6640625" style="1" customWidth="1"/>
    <col min="8" max="8" width="4.6640625" style="43" customWidth="1"/>
    <col min="9" max="9" width="4.6640625" style="1" customWidth="1"/>
    <col min="10" max="10" width="7.6640625" style="1" customWidth="1"/>
    <col min="11" max="11" width="4.6640625" style="43" customWidth="1"/>
    <col min="12" max="12" width="4.6640625" style="1" customWidth="1"/>
    <col min="13" max="13" width="7.6640625" style="1" customWidth="1"/>
    <col min="14" max="18" width="6.6640625" style="4" customWidth="1"/>
    <col min="19" max="19" width="6.6640625" style="7" customWidth="1"/>
    <col min="20" max="23" width="6.6640625" style="4" customWidth="1"/>
    <col min="24" max="16384" width="8.88671875" style="1"/>
  </cols>
  <sheetData>
    <row r="1" spans="1:23" x14ac:dyDescent="0.15">
      <c r="A1" s="66" t="s">
        <v>1</v>
      </c>
      <c r="B1" s="67"/>
      <c r="C1" s="67"/>
      <c r="D1" s="67"/>
      <c r="E1" s="67"/>
      <c r="F1" s="67"/>
      <c r="G1" s="67"/>
      <c r="H1" s="67"/>
      <c r="I1" s="67"/>
      <c r="J1" s="67"/>
      <c r="K1" s="67"/>
      <c r="L1" s="67"/>
      <c r="M1" s="68"/>
    </row>
    <row r="2" spans="1:23" x14ac:dyDescent="0.15">
      <c r="A2" s="69"/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1"/>
    </row>
    <row r="3" spans="1:23" ht="12.75" customHeight="1" x14ac:dyDescent="0.15">
      <c r="A3" s="72"/>
      <c r="B3" s="73"/>
      <c r="C3" s="73"/>
      <c r="D3" s="73"/>
      <c r="E3" s="73"/>
      <c r="F3" s="73"/>
      <c r="G3" s="73"/>
      <c r="H3" s="73"/>
      <c r="I3" s="73"/>
      <c r="J3" s="73"/>
      <c r="K3" s="73"/>
      <c r="L3" s="73"/>
      <c r="M3" s="74"/>
      <c r="N3" s="65"/>
      <c r="O3" s="56"/>
      <c r="P3" s="65"/>
      <c r="Q3" s="56"/>
      <c r="R3" s="65"/>
      <c r="S3" s="56"/>
      <c r="T3" s="54"/>
      <c r="U3" s="55"/>
      <c r="V3" s="54"/>
      <c r="W3" s="55"/>
    </row>
    <row r="4" spans="1:23" ht="21" customHeight="1" x14ac:dyDescent="0.15">
      <c r="A4" s="62" t="s">
        <v>22</v>
      </c>
      <c r="B4" s="63"/>
      <c r="C4" s="63"/>
      <c r="D4" s="63"/>
      <c r="E4" s="63"/>
      <c r="F4" s="63"/>
      <c r="G4" s="63"/>
      <c r="H4" s="63"/>
      <c r="I4" s="63"/>
      <c r="J4" s="63"/>
      <c r="K4" s="63"/>
      <c r="L4" s="63"/>
      <c r="M4" s="64"/>
      <c r="N4" s="3"/>
      <c r="O4" s="3"/>
      <c r="P4" s="3"/>
      <c r="Q4" s="3"/>
      <c r="R4" s="3"/>
      <c r="S4" s="6"/>
      <c r="T4" s="3"/>
      <c r="U4" s="3"/>
      <c r="V4" s="3"/>
      <c r="W4" s="3"/>
    </row>
    <row r="5" spans="1:23" ht="21" customHeight="1" x14ac:dyDescent="0.15">
      <c r="A5" s="57">
        <v>0</v>
      </c>
      <c r="B5" s="58"/>
      <c r="C5" s="58"/>
      <c r="D5" s="58"/>
      <c r="E5" s="58"/>
      <c r="F5" s="58"/>
      <c r="G5" s="58"/>
      <c r="H5" s="58"/>
      <c r="I5" s="58"/>
      <c r="J5" s="58"/>
      <c r="K5" s="58"/>
      <c r="L5" s="58"/>
      <c r="M5" s="59"/>
      <c r="N5" s="8"/>
      <c r="O5" s="8"/>
      <c r="P5" s="8"/>
      <c r="Q5" s="8"/>
      <c r="T5" s="8"/>
      <c r="U5" s="8"/>
    </row>
    <row r="6" spans="1:23" ht="15" customHeight="1" thickBot="1" x14ac:dyDescent="0.2">
      <c r="A6" s="16"/>
      <c r="B6" s="36"/>
      <c r="C6" s="17"/>
      <c r="D6" s="18"/>
      <c r="E6" s="42"/>
      <c r="F6" s="18"/>
      <c r="G6" s="18"/>
      <c r="H6" s="42"/>
      <c r="I6" s="18"/>
      <c r="J6" s="18"/>
      <c r="K6" s="36"/>
      <c r="L6" s="17"/>
      <c r="M6" s="19"/>
      <c r="N6" s="8"/>
      <c r="O6" s="8"/>
      <c r="P6" s="8"/>
      <c r="Q6" s="8"/>
      <c r="T6" s="8"/>
      <c r="U6" s="8"/>
    </row>
    <row r="7" spans="1:23" ht="20.100000000000001" customHeight="1" x14ac:dyDescent="0.15">
      <c r="A7" s="9" t="s">
        <v>2</v>
      </c>
      <c r="B7" s="60" t="s">
        <v>19</v>
      </c>
      <c r="C7" s="60"/>
      <c r="D7" s="60"/>
      <c r="E7" s="60" t="s">
        <v>20</v>
      </c>
      <c r="F7" s="60"/>
      <c r="G7" s="60"/>
      <c r="H7" s="60" t="s">
        <v>21</v>
      </c>
      <c r="I7" s="60"/>
      <c r="J7" s="60"/>
      <c r="K7" s="60"/>
      <c r="L7" s="60"/>
      <c r="M7" s="61"/>
      <c r="N7" s="8"/>
      <c r="O7" s="8"/>
      <c r="P7" s="8"/>
      <c r="Q7" s="8"/>
      <c r="T7" s="8"/>
      <c r="U7" s="8"/>
    </row>
    <row r="8" spans="1:23" ht="39.75" customHeight="1" thickBot="1" x14ac:dyDescent="0.2">
      <c r="A8" s="10" t="s">
        <v>18</v>
      </c>
      <c r="B8" s="48" t="s">
        <v>5</v>
      </c>
      <c r="C8" s="15" t="s">
        <v>7</v>
      </c>
      <c r="D8" s="15" t="s">
        <v>6</v>
      </c>
      <c r="E8" s="48" t="s">
        <v>5</v>
      </c>
      <c r="F8" s="15" t="s">
        <v>7</v>
      </c>
      <c r="G8" s="15" t="s">
        <v>6</v>
      </c>
      <c r="H8" s="48" t="s">
        <v>5</v>
      </c>
      <c r="I8" s="15" t="s">
        <v>7</v>
      </c>
      <c r="J8" s="15" t="s">
        <v>6</v>
      </c>
      <c r="K8" s="48"/>
      <c r="L8" s="15"/>
      <c r="M8" s="30"/>
      <c r="N8" s="8"/>
      <c r="O8" s="8"/>
      <c r="P8" s="8"/>
      <c r="Q8" s="8"/>
      <c r="T8" s="8"/>
      <c r="U8" s="8"/>
    </row>
    <row r="9" spans="1:23" ht="20.100000000000001" customHeight="1" thickTop="1" x14ac:dyDescent="0.15">
      <c r="A9" s="23" t="s">
        <v>0</v>
      </c>
      <c r="B9" s="44">
        <v>14</v>
      </c>
      <c r="C9" s="24" t="str">
        <f t="shared" ref="C9:C18" si="0">IF(18.9&lt;=B9,"a",IF(AND(18.9&gt;B9,B9&gt;=14.9),"b",IF(AND(14.9&gt;B9,B9&gt;=12),"c",IF(AND(12&gt;B9,B9&gt;=10.2),"d",IF(10.2&gt;B9,"e","?")))))</f>
        <v>c</v>
      </c>
      <c r="D9" s="31" t="s">
        <v>9</v>
      </c>
      <c r="E9" s="37">
        <v>15</v>
      </c>
      <c r="F9" s="24" t="str">
        <f t="shared" ref="F9:F18" si="1">IF(18.9&lt;=E9,"a",IF(AND(18.9&gt;E9,E9&gt;=14.9),"b",IF(AND(14.9&gt;E9,E9&gt;=12),"c",IF(AND(12&gt;E9,E9&gt;=10.2),"d",IF(10.2&gt;E9,"e","?")))))</f>
        <v>b</v>
      </c>
      <c r="G9" s="31" t="s">
        <v>9</v>
      </c>
      <c r="H9" s="37">
        <v>14</v>
      </c>
      <c r="I9" s="24" t="str">
        <f t="shared" ref="I9:I18" si="2">IF(18.9&lt;=H9,"a",IF(AND(18.9&gt;H9,H9&gt;=14.9),"b",IF(AND(14.9&gt;H9,H9&gt;=12),"c",IF(AND(12&gt;H9,H9&gt;=10.2),"d",IF(10.2&gt;H9,"e","?")))))</f>
        <v>c</v>
      </c>
      <c r="J9" s="31" t="s">
        <v>9</v>
      </c>
      <c r="K9" s="37"/>
      <c r="L9" s="24"/>
      <c r="M9" s="45"/>
      <c r="N9" s="8"/>
      <c r="O9" s="8"/>
      <c r="P9" s="8"/>
      <c r="Q9" s="8"/>
      <c r="T9" s="8"/>
      <c r="U9" s="8"/>
    </row>
    <row r="10" spans="1:23" ht="20.100000000000001" customHeight="1" x14ac:dyDescent="0.15">
      <c r="A10" s="11" t="s">
        <v>3</v>
      </c>
      <c r="B10" s="39">
        <v>17</v>
      </c>
      <c r="C10" s="13" t="str">
        <f t="shared" si="0"/>
        <v>b</v>
      </c>
      <c r="D10" s="32" t="s">
        <v>8</v>
      </c>
      <c r="E10" s="38">
        <v>13</v>
      </c>
      <c r="F10" s="13" t="str">
        <f t="shared" si="1"/>
        <v>c</v>
      </c>
      <c r="G10" s="32" t="s">
        <v>8</v>
      </c>
      <c r="H10" s="38">
        <v>13</v>
      </c>
      <c r="I10" s="13" t="str">
        <f>IF(18.9&lt;=H10,"a",IF(AND(18.9&gt;H10,H10&gt;=14.9),"b",IF(AND(14.9&gt;H10,H10&gt;=12),"c",IF(AND(12&gt;H10,H10&gt;=10.2),"d",IF(10.2&gt;H10,"e","?")))))</f>
        <v>c</v>
      </c>
      <c r="J10" s="32" t="s">
        <v>8</v>
      </c>
      <c r="K10" s="38"/>
      <c r="L10" s="13"/>
      <c r="M10" s="46"/>
      <c r="N10" s="8"/>
      <c r="O10" s="8"/>
      <c r="P10" s="8"/>
      <c r="Q10" s="8"/>
      <c r="T10" s="8"/>
      <c r="U10" s="8"/>
    </row>
    <row r="11" spans="1:23" ht="20.100000000000001" customHeight="1" x14ac:dyDescent="0.15">
      <c r="A11" s="11" t="s">
        <v>10</v>
      </c>
      <c r="B11" s="39">
        <v>17</v>
      </c>
      <c r="C11" s="13" t="str">
        <f t="shared" si="0"/>
        <v>b</v>
      </c>
      <c r="D11" s="32" t="s">
        <v>8</v>
      </c>
      <c r="E11" s="38">
        <v>13</v>
      </c>
      <c r="F11" s="13" t="str">
        <f t="shared" si="1"/>
        <v>c</v>
      </c>
      <c r="G11" s="32" t="s">
        <v>8</v>
      </c>
      <c r="H11" s="38">
        <v>17</v>
      </c>
      <c r="I11" s="13" t="str">
        <f t="shared" si="2"/>
        <v>b</v>
      </c>
      <c r="J11" s="32" t="s">
        <v>8</v>
      </c>
      <c r="K11" s="38"/>
      <c r="L11" s="13"/>
      <c r="M11" s="46"/>
      <c r="N11" s="8"/>
      <c r="O11" s="8"/>
      <c r="P11" s="8"/>
      <c r="Q11" s="8"/>
      <c r="T11" s="8"/>
      <c r="U11" s="8"/>
    </row>
    <row r="12" spans="1:23" ht="20.100000000000001" customHeight="1" x14ac:dyDescent="0.15">
      <c r="A12" s="11" t="s">
        <v>11</v>
      </c>
      <c r="B12" s="39">
        <v>15</v>
      </c>
      <c r="C12" s="13" t="str">
        <f t="shared" si="0"/>
        <v>b</v>
      </c>
      <c r="D12" s="32" t="s">
        <v>8</v>
      </c>
      <c r="E12" s="38">
        <v>14</v>
      </c>
      <c r="F12" s="13" t="str">
        <f t="shared" si="1"/>
        <v>c</v>
      </c>
      <c r="G12" s="32" t="s">
        <v>8</v>
      </c>
      <c r="H12" s="38">
        <v>15</v>
      </c>
      <c r="I12" s="13" t="str">
        <f t="shared" si="2"/>
        <v>b</v>
      </c>
      <c r="J12" s="32" t="s">
        <v>8</v>
      </c>
      <c r="K12" s="38"/>
      <c r="L12" s="13"/>
      <c r="M12" s="46"/>
      <c r="N12" s="8"/>
      <c r="O12" s="8"/>
      <c r="P12" s="8"/>
      <c r="Q12" s="8"/>
      <c r="T12" s="8"/>
      <c r="U12" s="8"/>
    </row>
    <row r="13" spans="1:23" ht="20.100000000000001" customHeight="1" x14ac:dyDescent="0.15">
      <c r="A13" s="11" t="s">
        <v>12</v>
      </c>
      <c r="B13" s="39">
        <v>15</v>
      </c>
      <c r="C13" s="13" t="str">
        <f t="shared" si="0"/>
        <v>b</v>
      </c>
      <c r="D13" s="32" t="s">
        <v>8</v>
      </c>
      <c r="E13" s="38">
        <v>14</v>
      </c>
      <c r="F13" s="13" t="str">
        <f t="shared" si="1"/>
        <v>c</v>
      </c>
      <c r="G13" s="32" t="s">
        <v>8</v>
      </c>
      <c r="H13" s="38">
        <v>16</v>
      </c>
      <c r="I13" s="13" t="str">
        <f t="shared" si="2"/>
        <v>b</v>
      </c>
      <c r="J13" s="32" t="s">
        <v>8</v>
      </c>
      <c r="K13" s="38"/>
      <c r="L13" s="13"/>
      <c r="M13" s="46"/>
      <c r="N13" s="8"/>
      <c r="O13" s="8"/>
      <c r="P13" s="8"/>
      <c r="Q13" s="8"/>
      <c r="T13" s="8"/>
      <c r="U13" s="8"/>
    </row>
    <row r="14" spans="1:23" ht="20.100000000000001" customHeight="1" x14ac:dyDescent="0.15">
      <c r="A14" s="11" t="s">
        <v>13</v>
      </c>
      <c r="B14" s="39">
        <v>14</v>
      </c>
      <c r="C14" s="13" t="str">
        <f t="shared" si="0"/>
        <v>c</v>
      </c>
      <c r="D14" s="32" t="s">
        <v>8</v>
      </c>
      <c r="E14" s="38">
        <v>15</v>
      </c>
      <c r="F14" s="13" t="str">
        <f t="shared" si="1"/>
        <v>b</v>
      </c>
      <c r="G14" s="32" t="s">
        <v>8</v>
      </c>
      <c r="H14" s="38">
        <v>13</v>
      </c>
      <c r="I14" s="13" t="str">
        <f t="shared" si="2"/>
        <v>c</v>
      </c>
      <c r="J14" s="32" t="s">
        <v>8</v>
      </c>
      <c r="K14" s="38"/>
      <c r="L14" s="13"/>
      <c r="M14" s="46"/>
      <c r="N14" s="8"/>
      <c r="O14" s="8"/>
      <c r="P14" s="8"/>
      <c r="Q14" s="8"/>
      <c r="T14" s="8"/>
      <c r="U14" s="8"/>
    </row>
    <row r="15" spans="1:23" ht="20.100000000000001" customHeight="1" x14ac:dyDescent="0.15">
      <c r="A15" s="11" t="s">
        <v>14</v>
      </c>
      <c r="B15" s="39">
        <v>16</v>
      </c>
      <c r="C15" s="13" t="str">
        <f t="shared" si="0"/>
        <v>b</v>
      </c>
      <c r="D15" s="32" t="s">
        <v>8</v>
      </c>
      <c r="E15" s="38">
        <v>16</v>
      </c>
      <c r="F15" s="13" t="str">
        <f t="shared" si="1"/>
        <v>b</v>
      </c>
      <c r="G15" s="32" t="s">
        <v>8</v>
      </c>
      <c r="H15" s="38">
        <v>15</v>
      </c>
      <c r="I15" s="13" t="str">
        <f t="shared" si="2"/>
        <v>b</v>
      </c>
      <c r="J15" s="32" t="s">
        <v>8</v>
      </c>
      <c r="K15" s="38"/>
      <c r="L15" s="13"/>
      <c r="M15" s="46"/>
    </row>
    <row r="16" spans="1:23" ht="20.100000000000001" customHeight="1" x14ac:dyDescent="0.15">
      <c r="A16" s="11" t="s">
        <v>15</v>
      </c>
      <c r="B16" s="39">
        <v>15</v>
      </c>
      <c r="C16" s="13" t="str">
        <f t="shared" si="0"/>
        <v>b</v>
      </c>
      <c r="D16" s="32" t="s">
        <v>8</v>
      </c>
      <c r="E16" s="38">
        <v>13</v>
      </c>
      <c r="F16" s="13" t="str">
        <f t="shared" si="1"/>
        <v>c</v>
      </c>
      <c r="G16" s="32" t="s">
        <v>8</v>
      </c>
      <c r="H16" s="38">
        <v>14</v>
      </c>
      <c r="I16" s="13" t="str">
        <f t="shared" si="2"/>
        <v>c</v>
      </c>
      <c r="J16" s="32" t="s">
        <v>8</v>
      </c>
      <c r="K16" s="38"/>
      <c r="L16" s="13"/>
      <c r="M16" s="46"/>
    </row>
    <row r="17" spans="1:21" ht="20.100000000000001" customHeight="1" x14ac:dyDescent="0.15">
      <c r="A17" s="11" t="s">
        <v>16</v>
      </c>
      <c r="B17" s="39">
        <v>13</v>
      </c>
      <c r="C17" s="13" t="str">
        <f t="shared" si="0"/>
        <v>c</v>
      </c>
      <c r="D17" s="32" t="s">
        <v>8</v>
      </c>
      <c r="E17" s="38">
        <v>16</v>
      </c>
      <c r="F17" s="13" t="str">
        <f t="shared" si="1"/>
        <v>b</v>
      </c>
      <c r="G17" s="32" t="s">
        <v>8</v>
      </c>
      <c r="H17" s="38">
        <v>17</v>
      </c>
      <c r="I17" s="13" t="str">
        <f t="shared" si="2"/>
        <v>b</v>
      </c>
      <c r="J17" s="32" t="s">
        <v>8</v>
      </c>
      <c r="K17" s="38"/>
      <c r="L17" s="13"/>
      <c r="M17" s="46"/>
    </row>
    <row r="18" spans="1:21" ht="20.100000000000001" customHeight="1" x14ac:dyDescent="0.15">
      <c r="A18" s="11" t="s">
        <v>17</v>
      </c>
      <c r="B18" s="39">
        <v>13</v>
      </c>
      <c r="C18" s="13" t="str">
        <f t="shared" si="0"/>
        <v>c</v>
      </c>
      <c r="D18" s="32" t="s">
        <v>8</v>
      </c>
      <c r="E18" s="38">
        <v>16</v>
      </c>
      <c r="F18" s="13" t="str">
        <f t="shared" si="1"/>
        <v>b</v>
      </c>
      <c r="G18" s="32" t="s">
        <v>8</v>
      </c>
      <c r="H18" s="38">
        <v>14</v>
      </c>
      <c r="I18" s="13" t="str">
        <f t="shared" si="2"/>
        <v>c</v>
      </c>
      <c r="J18" s="32" t="s">
        <v>8</v>
      </c>
      <c r="K18" s="38"/>
      <c r="L18" s="13"/>
      <c r="M18" s="46"/>
      <c r="O18" s="5"/>
    </row>
    <row r="19" spans="1:21" ht="20.100000000000001" customHeight="1" x14ac:dyDescent="0.15">
      <c r="A19" s="11"/>
      <c r="B19" s="38"/>
      <c r="C19" s="12"/>
      <c r="D19" s="34"/>
      <c r="E19" s="39"/>
      <c r="F19" s="12"/>
      <c r="G19" s="34"/>
      <c r="H19" s="39"/>
      <c r="I19" s="12"/>
      <c r="J19" s="13"/>
      <c r="K19" s="39"/>
      <c r="L19" s="12"/>
      <c r="M19" s="14"/>
      <c r="U19" s="5"/>
    </row>
    <row r="20" spans="1:21" ht="20.100000000000001" customHeight="1" x14ac:dyDescent="0.15">
      <c r="A20" s="11"/>
      <c r="B20" s="38"/>
      <c r="C20" s="12"/>
      <c r="D20" s="34"/>
      <c r="E20" s="39"/>
      <c r="F20" s="12"/>
      <c r="G20" s="34"/>
      <c r="H20" s="39"/>
      <c r="I20" s="12"/>
      <c r="J20" s="13"/>
      <c r="K20" s="39"/>
      <c r="L20" s="12"/>
      <c r="M20" s="14"/>
      <c r="U20" s="5"/>
    </row>
    <row r="21" spans="1:21" ht="20.100000000000001" customHeight="1" x14ac:dyDescent="0.15">
      <c r="A21" s="11"/>
      <c r="B21" s="38">
        <v>16</v>
      </c>
      <c r="C21" s="12"/>
      <c r="D21" s="34"/>
      <c r="E21" s="39">
        <v>14</v>
      </c>
      <c r="F21" s="12"/>
      <c r="G21" s="34"/>
      <c r="H21" s="39">
        <v>16</v>
      </c>
      <c r="I21" s="12"/>
      <c r="J21" s="13"/>
      <c r="K21" s="39"/>
      <c r="L21" s="12"/>
      <c r="M21" s="14"/>
      <c r="U21" s="5"/>
    </row>
    <row r="22" spans="1:21" ht="20.100000000000001" customHeight="1" x14ac:dyDescent="0.15">
      <c r="A22" s="11"/>
      <c r="B22" s="38">
        <v>14</v>
      </c>
      <c r="C22" s="12"/>
      <c r="D22" s="34"/>
      <c r="E22" s="39">
        <v>15</v>
      </c>
      <c r="F22" s="12"/>
      <c r="G22" s="34"/>
      <c r="H22" s="39">
        <v>14</v>
      </c>
      <c r="I22" s="12"/>
      <c r="J22" s="13"/>
      <c r="K22" s="39"/>
      <c r="L22" s="12"/>
      <c r="M22" s="14"/>
      <c r="U22" s="5"/>
    </row>
    <row r="23" spans="1:21" ht="20.100000000000001" customHeight="1" x14ac:dyDescent="0.15">
      <c r="A23" s="11"/>
      <c r="B23" s="38">
        <v>16</v>
      </c>
      <c r="C23" s="12"/>
      <c r="D23" s="34"/>
      <c r="E23" s="39">
        <v>11</v>
      </c>
      <c r="F23" s="12"/>
      <c r="G23" s="34"/>
      <c r="H23" s="39">
        <v>16</v>
      </c>
      <c r="I23" s="12"/>
      <c r="J23" s="13"/>
      <c r="K23" s="39"/>
      <c r="L23" s="12"/>
      <c r="M23" s="14"/>
      <c r="U23" s="5"/>
    </row>
    <row r="24" spans="1:21" ht="20.100000000000001" customHeight="1" x14ac:dyDescent="0.15">
      <c r="A24" s="11"/>
      <c r="B24" s="38">
        <v>14.000000000000002</v>
      </c>
      <c r="C24" s="12"/>
      <c r="D24" s="34"/>
      <c r="E24" s="39">
        <v>16</v>
      </c>
      <c r="F24" s="12"/>
      <c r="G24" s="34"/>
      <c r="H24" s="39">
        <v>16</v>
      </c>
      <c r="I24" s="12"/>
      <c r="J24" s="13"/>
      <c r="K24" s="39"/>
      <c r="L24" s="12"/>
      <c r="M24" s="14"/>
      <c r="U24" s="5"/>
    </row>
    <row r="25" spans="1:21" ht="20.100000000000001" customHeight="1" x14ac:dyDescent="0.15">
      <c r="A25" s="11"/>
      <c r="B25" s="38">
        <v>16</v>
      </c>
      <c r="C25" s="12"/>
      <c r="D25" s="34"/>
      <c r="E25" s="39">
        <v>17</v>
      </c>
      <c r="F25" s="12"/>
      <c r="G25" s="34"/>
      <c r="H25" s="39">
        <v>14</v>
      </c>
      <c r="I25" s="12"/>
      <c r="J25" s="13"/>
      <c r="K25" s="39"/>
      <c r="L25" s="12"/>
      <c r="M25" s="14"/>
      <c r="U25" s="5"/>
    </row>
    <row r="26" spans="1:21" ht="20.100000000000001" customHeight="1" x14ac:dyDescent="0.15">
      <c r="A26" s="11"/>
      <c r="B26" s="38">
        <v>14.000000000000002</v>
      </c>
      <c r="C26" s="12"/>
      <c r="D26" s="34"/>
      <c r="E26" s="39">
        <v>17</v>
      </c>
      <c r="F26" s="12"/>
      <c r="G26" s="34"/>
      <c r="H26" s="39">
        <v>15</v>
      </c>
      <c r="I26" s="12"/>
      <c r="J26" s="13"/>
      <c r="K26" s="39"/>
      <c r="L26" s="12"/>
      <c r="M26" s="14"/>
      <c r="U26" s="5"/>
    </row>
    <row r="27" spans="1:21" ht="20.100000000000001" customHeight="1" x14ac:dyDescent="0.15">
      <c r="A27" s="11"/>
      <c r="B27" s="38">
        <v>14</v>
      </c>
      <c r="C27" s="12"/>
      <c r="D27" s="34"/>
      <c r="E27" s="39">
        <v>11</v>
      </c>
      <c r="F27" s="12"/>
      <c r="G27" s="34"/>
      <c r="H27" s="39">
        <v>14</v>
      </c>
      <c r="I27" s="12"/>
      <c r="J27" s="13"/>
      <c r="K27" s="39"/>
      <c r="L27" s="12"/>
      <c r="M27" s="14"/>
      <c r="U27" s="5"/>
    </row>
    <row r="28" spans="1:21" ht="20.100000000000001" customHeight="1" x14ac:dyDescent="0.15">
      <c r="A28" s="11"/>
      <c r="B28" s="38">
        <v>16</v>
      </c>
      <c r="C28" s="12"/>
      <c r="D28" s="34"/>
      <c r="E28" s="39">
        <v>14</v>
      </c>
      <c r="F28" s="12"/>
      <c r="G28" s="34"/>
      <c r="H28" s="39">
        <v>14</v>
      </c>
      <c r="I28" s="12"/>
      <c r="J28" s="13"/>
      <c r="K28" s="39"/>
      <c r="L28" s="12"/>
      <c r="M28" s="14"/>
      <c r="U28" s="5"/>
    </row>
    <row r="29" spans="1:21" ht="20.100000000000001" customHeight="1" x14ac:dyDescent="0.15">
      <c r="A29" s="11"/>
      <c r="B29" s="39">
        <v>15</v>
      </c>
      <c r="C29" s="12"/>
      <c r="D29" s="34"/>
      <c r="E29" s="39">
        <v>14</v>
      </c>
      <c r="F29" s="12"/>
      <c r="G29" s="34"/>
      <c r="H29" s="39">
        <v>16</v>
      </c>
      <c r="I29" s="12"/>
      <c r="J29" s="13"/>
      <c r="K29" s="39"/>
      <c r="L29" s="12"/>
      <c r="M29" s="14"/>
      <c r="U29" s="5"/>
    </row>
    <row r="30" spans="1:21" ht="20.100000000000001" customHeight="1" x14ac:dyDescent="0.15">
      <c r="A30" s="11"/>
      <c r="B30" s="39">
        <v>14</v>
      </c>
      <c r="C30" s="12"/>
      <c r="D30" s="34"/>
      <c r="E30" s="39">
        <v>16</v>
      </c>
      <c r="F30" s="12"/>
      <c r="G30" s="34"/>
      <c r="H30" s="39">
        <v>13</v>
      </c>
      <c r="I30" s="12"/>
      <c r="J30" s="13"/>
      <c r="K30" s="39"/>
      <c r="L30" s="12"/>
      <c r="M30" s="14"/>
      <c r="U30" s="5"/>
    </row>
    <row r="31" spans="1:21" ht="20.100000000000001" customHeight="1" x14ac:dyDescent="0.15">
      <c r="A31" s="11"/>
      <c r="B31" s="39" t="s">
        <v>24</v>
      </c>
      <c r="C31" s="39">
        <v>14.000000000000002</v>
      </c>
      <c r="D31" s="34"/>
      <c r="E31" s="39" t="s">
        <v>24</v>
      </c>
      <c r="F31" s="12">
        <v>11</v>
      </c>
      <c r="G31" s="34"/>
      <c r="H31" s="39" t="s">
        <v>23</v>
      </c>
      <c r="I31" s="12">
        <v>13.500000000000004</v>
      </c>
      <c r="J31" s="13"/>
      <c r="K31" s="39"/>
      <c r="L31" s="12"/>
      <c r="M31" s="14"/>
      <c r="U31" s="5"/>
    </row>
    <row r="32" spans="1:21" ht="20.100000000000001" customHeight="1" x14ac:dyDescent="0.15">
      <c r="A32" s="11"/>
      <c r="B32" s="39">
        <f>AVERAGE(B21:B30)</f>
        <v>14.9</v>
      </c>
      <c r="C32" s="12"/>
      <c r="D32" s="34"/>
      <c r="E32" s="39">
        <f>AVERAGE(E21:E30)</f>
        <v>14.5</v>
      </c>
      <c r="F32" s="12"/>
      <c r="G32" s="34"/>
      <c r="H32" s="39">
        <f>AVERAGE(H21:H30)</f>
        <v>14.8</v>
      </c>
      <c r="I32" s="12"/>
      <c r="J32" s="13"/>
      <c r="K32" s="39"/>
      <c r="L32" s="12"/>
      <c r="M32" s="14"/>
      <c r="U32" s="5"/>
    </row>
    <row r="33" spans="1:21" ht="20.100000000000001" customHeight="1" x14ac:dyDescent="0.15">
      <c r="A33" s="27"/>
      <c r="B33" s="40"/>
      <c r="C33" s="20"/>
      <c r="D33" s="35"/>
      <c r="E33" s="40"/>
      <c r="F33" s="20"/>
      <c r="G33" s="35"/>
      <c r="H33" s="40"/>
      <c r="I33" s="20"/>
      <c r="J33" s="21"/>
      <c r="K33" s="40"/>
      <c r="L33" s="20"/>
      <c r="M33" s="22"/>
      <c r="U33" s="5"/>
    </row>
    <row r="34" spans="1:21" ht="28.5" customHeight="1" thickBot="1" x14ac:dyDescent="0.2">
      <c r="A34" s="26" t="s">
        <v>4</v>
      </c>
      <c r="B34" s="29">
        <f>AVERAGE(B9:B18)</f>
        <v>14.9</v>
      </c>
      <c r="C34" s="28" t="str">
        <f>IF(18.9&lt;=B34,"a",IF(AND(18.9&gt;B34,B34&gt;=14.9),"b",IF(AND(14.9&gt;B34,B34&gt;=12),"c",IF(AND(12&gt;B34,B34&gt;=10.2),"d",IF(10.2&gt;B34,"e","?")))))</f>
        <v>b</v>
      </c>
      <c r="D34" s="33" t="s">
        <v>8</v>
      </c>
      <c r="E34" s="29">
        <f>AVERAGE(E9:E18)</f>
        <v>14.5</v>
      </c>
      <c r="F34" s="28" t="str">
        <f>IF(18.9&lt;=E34,"a",IF(AND(18.9&gt;E34,E34&gt;=14.9),"b",IF(AND(14.9&gt;E34,E34&gt;=12),"c",IF(AND(12&gt;E34,E34&gt;=10.2),"d",IF(10.2&gt;E34,"e","?")))))</f>
        <v>c</v>
      </c>
      <c r="G34" s="33" t="s">
        <v>8</v>
      </c>
      <c r="H34" s="29">
        <f>AVERAGE(H9:H18)</f>
        <v>14.8</v>
      </c>
      <c r="I34" s="28" t="str">
        <f>IF(18.9&lt;=H34,"a",IF(AND(18.9&gt;H34,H34&gt;=14.9),"b",IF(AND(14.9&gt;H34,H34&gt;=12),"c",IF(AND(12&gt;H34,H34&gt;=10.2),"d",IF(10.2&gt;H34,"e","?")))))</f>
        <v>c</v>
      </c>
      <c r="J34" s="33" t="s">
        <v>8</v>
      </c>
      <c r="K34" s="29"/>
      <c r="L34" s="28"/>
      <c r="M34" s="47"/>
      <c r="O34" s="49">
        <f>AVERAGE(B9:B18,E9:E18,H9:H18)</f>
        <v>14.733333333333333</v>
      </c>
      <c r="U34" s="5"/>
    </row>
    <row r="35" spans="1:21" ht="30.75" customHeight="1" thickBot="1" x14ac:dyDescent="0.2">
      <c r="A35" s="25"/>
      <c r="B35" s="50">
        <v>14.9</v>
      </c>
      <c r="C35" s="51"/>
      <c r="D35" s="52"/>
      <c r="E35" s="51">
        <v>14.5</v>
      </c>
      <c r="F35" s="51"/>
      <c r="G35" s="52"/>
      <c r="H35" s="51">
        <v>14.8</v>
      </c>
      <c r="I35" s="51"/>
      <c r="J35" s="52"/>
      <c r="K35" s="51"/>
      <c r="L35" s="51"/>
      <c r="M35" s="53"/>
      <c r="U35" s="5"/>
    </row>
    <row r="36" spans="1:21" x14ac:dyDescent="0.15">
      <c r="A36" s="2"/>
      <c r="U36" s="5"/>
    </row>
    <row r="37" spans="1:21" ht="13.5" x14ac:dyDescent="0.15">
      <c r="A37" s="56"/>
      <c r="B37" s="56"/>
      <c r="C37" s="56"/>
      <c r="D37" s="56"/>
      <c r="E37" s="56"/>
      <c r="F37" s="56"/>
      <c r="G37" s="56"/>
      <c r="H37" s="56"/>
      <c r="I37" s="56"/>
      <c r="J37" s="56"/>
      <c r="K37" s="56"/>
      <c r="L37" s="56"/>
      <c r="M37" s="56"/>
      <c r="U37" s="5"/>
    </row>
    <row r="38" spans="1:21" x14ac:dyDescent="0.15">
      <c r="A38" s="2"/>
      <c r="U38" s="5"/>
    </row>
    <row r="39" spans="1:21" x14ac:dyDescent="0.15">
      <c r="A39" s="2"/>
    </row>
    <row r="40" spans="1:21" x14ac:dyDescent="0.15">
      <c r="A40" s="2"/>
    </row>
    <row r="41" spans="1:21" x14ac:dyDescent="0.15">
      <c r="A41" s="2"/>
    </row>
    <row r="42" spans="1:21" x14ac:dyDescent="0.15">
      <c r="A42" s="2"/>
    </row>
    <row r="43" spans="1:21" x14ac:dyDescent="0.15">
      <c r="A43" s="2"/>
    </row>
    <row r="44" spans="1:21" x14ac:dyDescent="0.15">
      <c r="A44" s="2"/>
    </row>
    <row r="45" spans="1:21" x14ac:dyDescent="0.15">
      <c r="A45" s="2"/>
    </row>
    <row r="46" spans="1:21" ht="18" customHeight="1" x14ac:dyDescent="0.15">
      <c r="A46" s="56"/>
      <c r="B46" s="56"/>
      <c r="C46" s="56"/>
      <c r="D46" s="56"/>
      <c r="E46" s="56"/>
      <c r="F46" s="56"/>
      <c r="G46" s="56"/>
      <c r="H46" s="56"/>
      <c r="I46" s="56"/>
      <c r="J46" s="56"/>
      <c r="K46" s="56"/>
      <c r="L46" s="56"/>
      <c r="M46" s="56"/>
    </row>
    <row r="47" spans="1:21" ht="18" customHeight="1" x14ac:dyDescent="0.15">
      <c r="A47" s="56"/>
      <c r="B47" s="56"/>
      <c r="C47" s="56"/>
      <c r="D47" s="56"/>
      <c r="E47" s="56"/>
      <c r="F47" s="56"/>
      <c r="G47" s="56"/>
      <c r="H47" s="56"/>
      <c r="I47" s="56"/>
      <c r="J47" s="56"/>
      <c r="K47" s="56"/>
      <c r="L47" s="56"/>
      <c r="M47" s="56"/>
    </row>
  </sheetData>
  <dataConsolidate/>
  <mergeCells count="16">
    <mergeCell ref="T3:U3"/>
    <mergeCell ref="A37:M37"/>
    <mergeCell ref="A46:M46"/>
    <mergeCell ref="A47:M47"/>
    <mergeCell ref="V3:W3"/>
    <mergeCell ref="A4:M4"/>
    <mergeCell ref="A5:M5"/>
    <mergeCell ref="B7:D7"/>
    <mergeCell ref="E7:G7"/>
    <mergeCell ref="H7:J7"/>
    <mergeCell ref="K7:M7"/>
    <mergeCell ref="A1:M2"/>
    <mergeCell ref="A3:M3"/>
    <mergeCell ref="N3:O3"/>
    <mergeCell ref="P3:Q3"/>
    <mergeCell ref="R3:S3"/>
  </mergeCells>
  <phoneticPr fontId="1" type="noConversion"/>
  <printOptions horizontalCentered="1"/>
  <pageMargins left="0.39370078740157483" right="0.39370078740157483" top="0.39370078740157483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79873" r:id="rId4" name="CommandButton1">
          <controlPr defaultSize="0" autoLine="0" r:id="rId5">
            <anchor moveWithCells="1">
              <from>
                <xdr:col>9</xdr:col>
                <xdr:colOff>647700</xdr:colOff>
                <xdr:row>30</xdr:row>
                <xdr:rowOff>9525</xdr:rowOff>
              </from>
              <to>
                <xdr:col>12</xdr:col>
                <xdr:colOff>523875</xdr:colOff>
                <xdr:row>31</xdr:row>
                <xdr:rowOff>190500</xdr:rowOff>
              </to>
            </anchor>
          </controlPr>
        </control>
      </mc:Choice>
      <mc:Fallback>
        <control shapeId="79873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102.765(S-1)</vt:lpstr>
      <vt:lpstr>102.765(S-1) (2)</vt:lpstr>
      <vt:lpstr>'102.765(S-1)'!Print_Area</vt:lpstr>
      <vt:lpstr>'102.765(S-1) (2)'!Print_Area</vt:lpstr>
    </vt:vector>
  </TitlesOfParts>
  <Company>동아컨설턴트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민경남</dc:creator>
  <cp:lastModifiedBy>minhwasoo</cp:lastModifiedBy>
  <cp:lastPrinted>2018-09-27T07:56:11Z</cp:lastPrinted>
  <dcterms:created xsi:type="dcterms:W3CDTF">2003-04-02T11:09:21Z</dcterms:created>
  <dcterms:modified xsi:type="dcterms:W3CDTF">2021-01-27T03:30:48Z</dcterms:modified>
</cp:coreProperties>
</file>