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0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1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99_Excel\"/>
    </mc:Choice>
  </mc:AlternateContent>
  <xr:revisionPtr revIDLastSave="0" documentId="13_ncr:1_{2B6F2FD5-733E-4595-A5F4-0A60774D10BF}" xr6:coauthVersionLast="47" xr6:coauthVersionMax="47" xr10:uidLastSave="{00000000-0000-0000-0000-000000000000}"/>
  <bookViews>
    <workbookView xWindow="-120" yWindow="-120" windowWidth="29040" windowHeight="15840" tabRatio="668" activeTab="7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31" r:id="rId7"/>
    <sheet name="3" sheetId="132" r:id="rId8"/>
    <sheet name="4" sheetId="133" r:id="rId9"/>
    <sheet name="Q1" sheetId="117" r:id="rId10"/>
    <sheet name="Q2" sheetId="115" r:id="rId11"/>
    <sheet name="w1" sheetId="100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 localSheetId="9">[1]Recharge!$C$27</definedName>
    <definedName name="allow_ratio">Recharge!$C$26</definedName>
    <definedName name="allow_ratio2">Recharge!$D$26</definedName>
    <definedName name="baseTemp" localSheetId="9">'Q1'!$C$7</definedName>
    <definedName name="baseTemp" localSheetId="10">'Q2'!$C$7</definedName>
    <definedName name="baseTemp" localSheetId="11">'w1'!$C$7</definedName>
    <definedName name="baseTemp">#REF!</definedName>
    <definedName name="max" localSheetId="9">[2]지하수함양량!$C$27</definedName>
    <definedName name="max" localSheetId="10">[2]지하수함양량!$C$27</definedName>
    <definedName name="max" localSheetId="11">[3]지하수함양량!$C$30</definedName>
    <definedName name="max">Recharge!$C$25</definedName>
    <definedName name="min" localSheetId="9">[2]지하수함양량!$C$26</definedName>
    <definedName name="min" localSheetId="10">[2]지하수함양량!$C$26</definedName>
    <definedName name="min" localSheetId="11">[3]지하수함양량!$C$29</definedName>
    <definedName name="min">Recharge!$C$24</definedName>
    <definedName name="rf_1" localSheetId="9">[2]지하수함양량!$C$29</definedName>
    <definedName name="rf_1" localSheetId="10">[2]지하수함양량!$C$29</definedName>
    <definedName name="rf_1" localSheetId="11">[3]지하수함양량!$C$32</definedName>
    <definedName name="rf_1">Recharge!$C$28</definedName>
    <definedName name="rf_2" localSheetId="9">[2]지하수함양량!$D$29</definedName>
    <definedName name="rf_2" localSheetId="10">[2]지하수함양량!$D$29</definedName>
    <definedName name="rf_2" localSheetId="11">[3]지하수함양량!$D$32</definedName>
    <definedName name="rf_2">Recharge!$D$28</definedName>
  </definedNames>
  <calcPr calcId="181029"/>
  <fileRecoveryPr autoRecover="0"/>
</workbook>
</file>

<file path=xl/calcChain.xml><?xml version="1.0" encoding="utf-8"?>
<calcChain xmlns="http://schemas.openxmlformats.org/spreadsheetml/2006/main">
  <c r="E26" i="132" l="1"/>
  <c r="G13" i="132"/>
  <c r="F13" i="132"/>
  <c r="E13" i="132"/>
  <c r="G19" i="132"/>
  <c r="G17" i="132"/>
  <c r="F19" i="132"/>
  <c r="F17" i="132"/>
  <c r="E26" i="133"/>
  <c r="G13" i="133"/>
  <c r="F13" i="133"/>
  <c r="E13" i="133"/>
  <c r="G19" i="133"/>
  <c r="G17" i="133"/>
  <c r="F19" i="133"/>
  <c r="F17" i="133"/>
  <c r="E21" i="133"/>
  <c r="F21" i="133"/>
  <c r="E17" i="133"/>
  <c r="C19" i="133"/>
  <c r="C18" i="133"/>
  <c r="C17" i="133"/>
  <c r="C16" i="133"/>
  <c r="C15" i="133"/>
  <c r="C8" i="133"/>
  <c r="C7" i="133"/>
  <c r="C6" i="133"/>
  <c r="C5" i="133"/>
  <c r="C4" i="133"/>
  <c r="C3" i="133"/>
  <c r="C2" i="133"/>
  <c r="E21" i="132"/>
  <c r="E22" i="132" s="1"/>
  <c r="F21" i="132"/>
  <c r="E17" i="132"/>
  <c r="C19" i="132"/>
  <c r="C18" i="132"/>
  <c r="C17" i="132"/>
  <c r="C16" i="132"/>
  <c r="C15" i="132"/>
  <c r="C8" i="132"/>
  <c r="C7" i="132"/>
  <c r="C6" i="132"/>
  <c r="C5" i="132"/>
  <c r="C4" i="132"/>
  <c r="C3" i="132"/>
  <c r="C2" i="132"/>
  <c r="E21" i="131"/>
  <c r="F21" i="131"/>
  <c r="E17" i="131"/>
  <c r="C19" i="131"/>
  <c r="C18" i="131"/>
  <c r="C17" i="131"/>
  <c r="C16" i="131"/>
  <c r="C15" i="131"/>
  <c r="C8" i="131"/>
  <c r="C7" i="131"/>
  <c r="C12" i="131" s="1"/>
  <c r="A13" i="131" s="1"/>
  <c r="A12" i="131" s="1"/>
  <c r="C6" i="131"/>
  <c r="C5" i="131"/>
  <c r="C4" i="131"/>
  <c r="C3" i="131"/>
  <c r="C2" i="131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29" i="133"/>
  <c r="I29" i="133"/>
  <c r="H29" i="133"/>
  <c r="G29" i="133"/>
  <c r="F29" i="133"/>
  <c r="E29" i="133"/>
  <c r="D29" i="133"/>
  <c r="K29" i="133" s="1"/>
  <c r="D26" i="133"/>
  <c r="C22" i="133"/>
  <c r="K16" i="133"/>
  <c r="K17" i="133" s="1"/>
  <c r="K18" i="133" s="1"/>
  <c r="L18" i="133" s="1"/>
  <c r="H26" i="133" s="1"/>
  <c r="G14" i="133"/>
  <c r="L12" i="133"/>
  <c r="F11" i="133"/>
  <c r="E11" i="133"/>
  <c r="C9" i="133"/>
  <c r="G7" i="133"/>
  <c r="E7" i="133"/>
  <c r="C12" i="133"/>
  <c r="A13" i="133" s="1"/>
  <c r="A12" i="133" s="1"/>
  <c r="J29" i="132"/>
  <c r="I29" i="132"/>
  <c r="H29" i="132"/>
  <c r="G29" i="132"/>
  <c r="F29" i="132"/>
  <c r="E29" i="132"/>
  <c r="D29" i="132"/>
  <c r="K29" i="132" s="1"/>
  <c r="D26" i="132"/>
  <c r="C22" i="132"/>
  <c r="K17" i="132"/>
  <c r="K18" i="132" s="1"/>
  <c r="L18" i="132" s="1"/>
  <c r="H26" i="132" s="1"/>
  <c r="K16" i="132"/>
  <c r="G14" i="132"/>
  <c r="L12" i="132"/>
  <c r="F11" i="132"/>
  <c r="E11" i="132"/>
  <c r="C9" i="132"/>
  <c r="G7" i="132"/>
  <c r="E7" i="132"/>
  <c r="C12" i="132"/>
  <c r="A13" i="132" s="1"/>
  <c r="A12" i="132" s="1"/>
  <c r="F17" i="131"/>
  <c r="G17" i="131" s="1"/>
  <c r="J29" i="131"/>
  <c r="I29" i="131"/>
  <c r="H29" i="131"/>
  <c r="G29" i="131"/>
  <c r="F29" i="131"/>
  <c r="E29" i="131"/>
  <c r="D29" i="131"/>
  <c r="K29" i="131" s="1"/>
  <c r="D26" i="131"/>
  <c r="C22" i="131"/>
  <c r="K18" i="131"/>
  <c r="L18" i="131" s="1"/>
  <c r="H26" i="131" s="1"/>
  <c r="K17" i="131"/>
  <c r="K16" i="131"/>
  <c r="G14" i="131"/>
  <c r="G13" i="131"/>
  <c r="F13" i="131"/>
  <c r="E13" i="131"/>
  <c r="L12" i="131"/>
  <c r="F11" i="131"/>
  <c r="E11" i="131"/>
  <c r="C9" i="131"/>
  <c r="G7" i="131"/>
  <c r="E7" i="131"/>
  <c r="D28" i="23"/>
  <c r="C28" i="23"/>
  <c r="G13" i="55"/>
  <c r="E13" i="55"/>
  <c r="D26" i="23"/>
  <c r="C26" i="23"/>
  <c r="D26" i="55"/>
  <c r="I58" i="23"/>
  <c r="I64" i="23" s="1"/>
  <c r="H64" i="23"/>
  <c r="H58" i="23"/>
  <c r="H61" i="23" s="1"/>
  <c r="H62" i="23" s="1"/>
  <c r="G61" i="23"/>
  <c r="G62" i="23" s="1"/>
  <c r="G58" i="23"/>
  <c r="G64" i="23" s="1"/>
  <c r="F58" i="23"/>
  <c r="F64" i="23" s="1"/>
  <c r="E58" i="23"/>
  <c r="E64" i="23" s="1"/>
  <c r="D61" i="23"/>
  <c r="D62" i="23" s="1"/>
  <c r="D58" i="23"/>
  <c r="D64" i="23" s="1"/>
  <c r="C58" i="23"/>
  <c r="C64" i="23" s="1"/>
  <c r="B58" i="23"/>
  <c r="B64" i="23" s="1"/>
  <c r="E22" i="133" l="1"/>
  <c r="E19" i="133"/>
  <c r="C14" i="133"/>
  <c r="J26" i="133" s="1"/>
  <c r="E19" i="132"/>
  <c r="C14" i="132"/>
  <c r="J26" i="132" s="1"/>
  <c r="E22" i="131"/>
  <c r="E19" i="131"/>
  <c r="F19" i="131" s="1"/>
  <c r="G19" i="131" s="1"/>
  <c r="C14" i="131"/>
  <c r="F13" i="55"/>
  <c r="F17" i="55"/>
  <c r="G17" i="55" s="1"/>
  <c r="I61" i="23"/>
  <c r="I62" i="23" s="1"/>
  <c r="F61" i="23"/>
  <c r="F62" i="23" s="1"/>
  <c r="E61" i="23"/>
  <c r="E62" i="23" s="1"/>
  <c r="C61" i="23"/>
  <c r="C62" i="23" s="1"/>
  <c r="B61" i="23"/>
  <c r="B62" i="23" s="1"/>
  <c r="H19" i="133" l="1"/>
  <c r="G21" i="133"/>
  <c r="F5" i="133"/>
  <c r="F6" i="133"/>
  <c r="F7" i="133"/>
  <c r="H19" i="132"/>
  <c r="G21" i="132"/>
  <c r="F6" i="132"/>
  <c r="F5" i="132"/>
  <c r="F7" i="132"/>
  <c r="F6" i="131"/>
  <c r="F5" i="131"/>
  <c r="F7" i="131"/>
  <c r="J26" i="131"/>
  <c r="H19" i="131"/>
  <c r="G21" i="131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9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29" i="55" l="1"/>
  <c r="L17" i="100"/>
  <c r="N17" i="100"/>
  <c r="N15" i="100"/>
  <c r="N14" i="100"/>
  <c r="M19" i="100"/>
  <c r="M15" i="100"/>
  <c r="L23" i="100"/>
  <c r="N18" i="100"/>
  <c r="M16" i="100"/>
  <c r="L20" i="100"/>
  <c r="M14" i="100"/>
  <c r="L15" i="100"/>
  <c r="M20" i="100"/>
  <c r="L18" i="100"/>
  <c r="N22" i="100"/>
  <c r="M18" i="100"/>
  <c r="N20" i="100"/>
  <c r="M17" i="100"/>
  <c r="M22" i="100"/>
  <c r="L14" i="100"/>
  <c r="M23" i="100"/>
  <c r="N21" i="100"/>
  <c r="L16" i="100"/>
  <c r="L21" i="100"/>
  <c r="L22" i="100"/>
  <c r="N23" i="100"/>
  <c r="M21" i="100"/>
  <c r="N19" i="100"/>
  <c r="L19" i="100"/>
  <c r="N16" i="100"/>
  <c r="B23" i="117" l="1"/>
  <c r="B22" i="117"/>
  <c r="B21" i="117"/>
  <c r="B20" i="117"/>
  <c r="B19" i="117"/>
  <c r="B18" i="117"/>
  <c r="B17" i="117"/>
  <c r="B16" i="117"/>
  <c r="B15" i="117"/>
  <c r="B14" i="117"/>
  <c r="F34" i="117"/>
  <c r="F39" i="117"/>
  <c r="H31" i="117"/>
  <c r="J36" i="117"/>
  <c r="H39" i="117"/>
  <c r="D37" i="117"/>
  <c r="D33" i="117"/>
  <c r="E36" i="117"/>
  <c r="E31" i="117"/>
  <c r="J33" i="117"/>
  <c r="J35" i="117"/>
  <c r="F31" i="117"/>
  <c r="F38" i="117"/>
  <c r="E40" i="117"/>
  <c r="H36" i="117"/>
  <c r="H35" i="117"/>
  <c r="I37" i="117"/>
  <c r="F32" i="117"/>
  <c r="H40" i="117"/>
  <c r="I38" i="117"/>
  <c r="I32" i="117"/>
  <c r="I31" i="117"/>
  <c r="H34" i="117"/>
  <c r="H37" i="117"/>
  <c r="D38" i="117"/>
  <c r="F35" i="117"/>
  <c r="H32" i="117"/>
  <c r="D39" i="117"/>
  <c r="H33" i="117"/>
  <c r="F40" i="117"/>
  <c r="E37" i="117"/>
  <c r="E33" i="117"/>
  <c r="J37" i="117"/>
  <c r="J39" i="117"/>
  <c r="E34" i="117"/>
  <c r="E39" i="117"/>
  <c r="D40" i="117"/>
  <c r="J32" i="117"/>
  <c r="H38" i="117"/>
  <c r="J40" i="117"/>
  <c r="F36" i="117"/>
  <c r="D35" i="117"/>
  <c r="E38" i="117"/>
  <c r="I39" i="117"/>
  <c r="I40" i="117"/>
  <c r="F37" i="117"/>
  <c r="E32" i="117"/>
  <c r="I36" i="117"/>
  <c r="E35" i="117"/>
  <c r="D32" i="117"/>
  <c r="D36" i="117"/>
  <c r="D34" i="117"/>
  <c r="F33" i="117"/>
  <c r="J34" i="117"/>
  <c r="I35" i="117"/>
  <c r="I33" i="117"/>
  <c r="D31" i="117"/>
  <c r="I34" i="117"/>
  <c r="J31" i="117"/>
  <c r="J38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E38" i="115"/>
  <c r="E40" i="115"/>
  <c r="M32" i="115"/>
  <c r="D35" i="115"/>
  <c r="D33" i="115"/>
  <c r="L32" i="115"/>
  <c r="H33" i="115"/>
  <c r="I35" i="115"/>
  <c r="H39" i="115"/>
  <c r="J32" i="115"/>
  <c r="N38" i="115"/>
  <c r="M35" i="115"/>
  <c r="H40" i="115"/>
  <c r="D37" i="115"/>
  <c r="F32" i="115"/>
  <c r="D38" i="115"/>
  <c r="L39" i="115"/>
  <c r="I34" i="115"/>
  <c r="M33" i="115"/>
  <c r="E32" i="115"/>
  <c r="N40" i="115"/>
  <c r="L33" i="115"/>
  <c r="L38" i="115"/>
  <c r="N34" i="115"/>
  <c r="L37" i="115"/>
  <c r="F34" i="115"/>
  <c r="I31" i="115"/>
  <c r="M31" i="115"/>
  <c r="I33" i="115"/>
  <c r="H31" i="115"/>
  <c r="E39" i="115"/>
  <c r="N31" i="115"/>
  <c r="D34" i="115"/>
  <c r="D39" i="115"/>
  <c r="H32" i="115"/>
  <c r="F38" i="115"/>
  <c r="H35" i="115"/>
  <c r="E34" i="115"/>
  <c r="E37" i="115"/>
  <c r="M37" i="115"/>
  <c r="L40" i="115"/>
  <c r="M36" i="115"/>
  <c r="F31" i="115"/>
  <c r="E35" i="115"/>
  <c r="I37" i="115"/>
  <c r="I32" i="115"/>
  <c r="N37" i="115"/>
  <c r="D32" i="115"/>
  <c r="J33" i="115"/>
  <c r="F35" i="115"/>
  <c r="I38" i="115"/>
  <c r="M38" i="115"/>
  <c r="E31" i="115"/>
  <c r="H37" i="115"/>
  <c r="E36" i="115"/>
  <c r="J31" i="115"/>
  <c r="I40" i="115"/>
  <c r="J35" i="115"/>
  <c r="J34" i="115"/>
  <c r="F36" i="115"/>
  <c r="E33" i="115"/>
  <c r="D40" i="115"/>
  <c r="J39" i="115"/>
  <c r="F33" i="115"/>
  <c r="F37" i="115"/>
  <c r="H34" i="115"/>
  <c r="F40" i="115"/>
  <c r="M34" i="115"/>
  <c r="J40" i="115"/>
  <c r="J38" i="115"/>
  <c r="J36" i="115"/>
  <c r="I36" i="115"/>
  <c r="L34" i="115"/>
  <c r="L35" i="115"/>
  <c r="D31" i="115"/>
  <c r="L36" i="115"/>
  <c r="L31" i="115"/>
  <c r="H36" i="115"/>
  <c r="N39" i="115"/>
  <c r="N35" i="115"/>
  <c r="J37" i="115"/>
  <c r="I39" i="115"/>
  <c r="F39" i="115"/>
  <c r="M40" i="115"/>
  <c r="D36" i="115"/>
  <c r="N33" i="115"/>
  <c r="N36" i="115"/>
  <c r="H38" i="115"/>
  <c r="N32" i="115"/>
  <c r="M39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29" i="55"/>
  <c r="K16" i="55" l="1"/>
  <c r="K17" i="55" s="1"/>
  <c r="K18" i="55" s="1"/>
  <c r="L18" i="55" s="1"/>
  <c r="L12" i="55"/>
  <c r="H26" i="55" l="1"/>
  <c r="C9" i="55" l="1"/>
  <c r="C27" i="23" l="1"/>
  <c r="I29" i="55" l="1"/>
  <c r="H29" i="55"/>
  <c r="G29" i="55"/>
  <c r="E29" i="55"/>
  <c r="D29" i="55"/>
  <c r="K29" i="55" l="1"/>
  <c r="E19" i="55" l="1"/>
  <c r="F19" i="55" s="1"/>
  <c r="G19" i="55" s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55" l="1"/>
  <c r="D30" i="23"/>
  <c r="C30" i="23"/>
  <c r="C32" i="23"/>
  <c r="C33" i="23" s="1"/>
  <c r="H19" i="55"/>
  <c r="E26" i="131" l="1"/>
  <c r="E26" i="55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CC77721-2D02-4E64-B8A1-48AD068F0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43B9305-C0B6-4962-96E1-20A2E2933E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DFAEE637-A286-41D7-AA2D-41E78C31FB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D7F33B8-82A0-4951-9CB0-ABC683830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08BEC46-B186-4ECA-90F0-55D7794E89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57161B7-C66E-4E26-A710-2EA9CDA00B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C490DC0-CBF0-4D40-89FB-55E8D17319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34B0851-25F1-44BF-937D-230D14257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BF506F1-0DB4-4CA9-A269-A07FE8A9AE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6EFA566-9BD3-4A46-A6ED-33BA764A02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6E092AD1-A985-40E6-8DE5-664FAE2690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325658C7-AE57-412A-B875-4C04DF744C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AC07BB0-3BFA-4101-A26E-BEC3FFD1466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9DE11DC-CF3C-430C-BA75-B82C26D9228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C6DCFC13-E9A0-49CE-85E6-FACFBE9B8E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35213EF-F7FE-4B36-924D-9BB9085D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EBB5346F-168A-487E-99AB-59753F8FCA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D59AA2D-B474-4D6B-B019-4BFD356E98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218326F9-6ED1-4E0B-BC5D-14895A7476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F5B2B679-1BF4-4D7E-A015-52D84C20E2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DDCE67E-2357-416D-803A-97947A931D1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6F850079-5D3D-4A70-8AAC-8B4B5AA311B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7C749E0-5E46-4729-9E8B-386193C2D7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5910A1F6-2BCA-4D86-85EB-5A86891C795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4CFD9AB-4B67-40EB-9A0A-ACA63FA3BC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2B78A86-FF62-47D4-9912-73CDCE99FD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FF53982-79E1-42D3-8C84-49A8D196B6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7C84B2B-3FF1-4B18-B806-A60D23171E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9167405D-3D86-43B1-80E4-B75B9FD4F4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987A8AA-FC6E-4AD7-85AC-9146C2AA3D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<sst xmlns="http://schemas.openxmlformats.org/spreadsheetml/2006/main" count="584" uniqueCount="236">
  <si>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</si>
  <si>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</si>
  <si>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</si>
  <si>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</si>
  <si>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</si>
  <si>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</si>
  <si>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</si>
  <si>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</si>
  <si>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</si>
  <si>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</si>
  <si>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</si>
  <si>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</si>
  <si>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</si>
  <si>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</si>
  <si>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</si>
  <si>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</si>
  <si>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</si>
  <si>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</si>
  <si>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</si>
  <si>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</si>
  <si>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</si>
  <si>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</si>
  <si>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</si>
  <si>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</si>
  <si>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</si>
  <si>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</si>
  <si>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</si>
  <si>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</si>
  <si>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</si>
  <si>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</si>
  <si>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</si>
  <si>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</si>
  <si>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</si>
  <si>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</si>
  <si>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</si>
  <si>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</si>
  <si>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</si>
  <si>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</si>
  <si>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</si>
  <si>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</si>
  <si>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</si>
  <si>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</si>
  <si>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</si>
  <si>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</si>
  <si>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</si>
  <si>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</si>
  <si>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</si>
  <si>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</si>
  <si>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</si>
  <si>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</si>
  <si>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</si>
  <si>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</si>
  <si>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</si>
  <si>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</si>
  <si>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</si>
  <si>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</si>
  <si>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</si>
  <si>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</si>
  <si>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</si>
  <si>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</si>
  <si>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</si>
  <si>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</si>
  <si>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</si>
  <si>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</si>
  <si>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</si>
  <si>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</si>
  <si>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</si>
  <si>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</si>
  <si>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</si>
  <si>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</si>
  <si>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</si>
  <si>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</si>
  <si>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</si>
  <si>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</si>
  <si>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</si>
  <si>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</si>
  <si>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</si>
  <si>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</si>
  <si>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</si>
  <si>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</si>
  <si>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</si>
  <si>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</si>
  <si>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</si>
  <si>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</si>
  <si>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</si>
  <si>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</si>
  <si>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</si>
  <si>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</si>
  <si>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</si>
  <si>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</si>
  <si>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</si>
  <si>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</si>
  <si>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</si>
  <si>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</si>
  <si>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</si>
  <si>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</si>
  <si>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</si>
  <si>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</si>
  <si>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</si>
  <si>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</si>
  <si>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</si>
  <si>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</si>
  <si>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</si>
  <si>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</si>
  <si>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</si>
  <si>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</si>
  <si>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</si>
  <si>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</si>
  <si>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</si>
  <si>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</si>
  <si>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</si>
  <si>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</si>
  <si>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</si>
  <si>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</si>
  <si>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</si>
  <si>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</si>
  <si>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</si>
  <si>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</si>
  <si>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</si>
  <si>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</si>
  <si>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</si>
  <si>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</si>
  <si>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</si>
  <si>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</si>
  <si>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</si>
  <si>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</si>
  <si>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</si>
  <si>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</si>
  <si>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</si>
  <si>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</si>
  <si>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</si>
  <si>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</si>
  <si>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</si>
  <si>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</si>
  <si>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</si>
  <si>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</si>
  <si>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</si>
  <si>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</si>
  <si>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</si>
  <si>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</si>
  <si>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</si>
  <si>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</si>
  <si>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</si>
  <si>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</si>
  <si>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</si>
  <si>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</si>
  <si>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</si>
  <si>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</si>
  <si>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</si>
  <si>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</si>
  <si>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</si>
  <si>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</si>
  <si>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</si>
  <si>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</si>
  <si>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</si>
  <si>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</si>
  <si>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</si>
  <si>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</si>
  <si>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</si>
  <si>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</si>
  <si>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</si>
  <si>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</si>
  <si>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</si>
  <si>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</si>
  <si>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</si>
  <si>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</si>
  <si>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</si>
  <si>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</si>
  <si>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</si>
  <si>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</si>
  <si>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</si>
  <si>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</si>
  <si>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</si>
  <si>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</si>
  <si>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</si>
  <si>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</si>
  <si>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</si>
  <si>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</si>
  <si>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</si>
  <si>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</si>
  <si>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</si>
  <si>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</si>
  <si>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</si>
  <si>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</si>
  <si>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</si>
  <si>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</si>
  <si>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</si>
  <si>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</si>
  <si>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</si>
  <si>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</si>
  <si>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</si>
  <si>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</si>
  <si>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</si>
  <si>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</si>
  <si>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</si>
  <si>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</si>
  <si>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</si>
  <si>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</si>
  <si>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</si>
  <si>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</si>
  <si>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</si>
  <si>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</si>
  <si>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</si>
  <si>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</si>
  <si>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</si>
  <si>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</si>
  <si>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</si>
  <si>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</si>
  <si>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낮음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</si>
  <si>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</si>
  <si>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</si>
  <si>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</si>
  <si>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</si>
  <si>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</si>
  <si>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</si>
  <si>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</si>
  <si>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</si>
  <si>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</si>
  <si>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</si>
  <si>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</si>
  <si>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</si>
  <si>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</si>
  <si>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</si>
  <si>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</si>
  <si>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</si>
  <si>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</si>
  <si>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</si>
  <si>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W-5</t>
  </si>
  <si>
    <t>W-6</t>
  </si>
  <si>
    <t>W-7</t>
  </si>
  <si>
    <t>W-8</t>
  </si>
  <si>
    <t>Massive Shale</t>
  </si>
  <si>
    <t>Silty Loam</t>
  </si>
  <si>
    <t>Shale</t>
  </si>
  <si>
    <t>W-4</t>
    <phoneticPr fontId="7" type="noConversion"/>
  </si>
  <si>
    <t>태화강/한강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</si>
</sst>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rgb="FF00506C"/>
      <name val="맑은 고딕"/>
      <family val="3"/>
      <charset val="129"/>
    </font>
    <font>
      <b/>
      <i/>
      <sz val="11"/>
      <color rgb="FF00506C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6" fillId="19" borderId="0" applyNumberFormat="0" applyBorder="0" applyAlignment="0" applyProtection="0">
      <alignment vertical="center"/>
    </xf>
  </cellStyleXfs>
  <cellXfs count="441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5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4" fontId="15" fillId="0" borderId="0" xfId="19" applyNumberFormat="1" applyFont="1">
      <alignment vertical="center"/>
    </xf>
    <xf numFmtId="185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1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5" fontId="22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5" fontId="22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41" fontId="26" fillId="0" borderId="0" xfId="21" applyFont="1" applyAlignment="1">
      <alignment horizontal="center" vertical="center"/>
    </xf>
    <xf numFmtId="189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6" fillId="0" borderId="0" xfId="17" applyFo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63" xfId="0" applyFont="1" applyBorder="1"/>
    <xf numFmtId="0" fontId="26" fillId="0" borderId="65" xfId="0" applyFont="1" applyBorder="1"/>
    <xf numFmtId="0" fontId="26" fillId="12" borderId="1" xfId="0" applyFont="1" applyFill="1" applyBorder="1"/>
    <xf numFmtId="0" fontId="26" fillId="12" borderId="0" xfId="0" applyFont="1" applyFill="1"/>
    <xf numFmtId="0" fontId="26" fillId="12" borderId="63" xfId="0" applyFont="1" applyFill="1" applyBorder="1"/>
    <xf numFmtId="0" fontId="26" fillId="12" borderId="0" xfId="0" applyFont="1" applyFill="1" applyAlignment="1">
      <alignment horizontal="center" vertical="center"/>
    </xf>
    <xf numFmtId="0" fontId="26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7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87" xfId="0" applyFont="1" applyBorder="1" applyAlignment="1">
      <alignment horizontal="center" vertical="center"/>
    </xf>
    <xf numFmtId="0" fontId="26" fillId="0" borderId="89" xfId="0" applyFont="1" applyBorder="1" applyAlignment="1">
      <alignment horizontal="center" vertical="center"/>
    </xf>
    <xf numFmtId="0" fontId="26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78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6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0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7" fontId="22" fillId="3" borderId="56" xfId="19" applyNumberFormat="1" applyFont="1" applyFill="1" applyBorder="1">
      <alignment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0" fillId="17" borderId="9" xfId="0" applyFont="1" applyFill="1" applyBorder="1" applyAlignment="1">
      <alignment horizontal="center" vertical="center"/>
    </xf>
    <xf numFmtId="0" fontId="30" fillId="17" borderId="10" xfId="0" applyFont="1" applyFill="1" applyBorder="1" applyAlignment="1">
      <alignment horizontal="center" vertical="center"/>
    </xf>
    <xf numFmtId="0" fontId="30" fillId="1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90" fontId="26" fillId="0" borderId="66" xfId="0" applyNumberFormat="1" applyFont="1" applyBorder="1" applyAlignment="1">
      <alignment vertical="center"/>
    </xf>
    <xf numFmtId="190" fontId="26" fillId="0" borderId="68" xfId="0" applyNumberFormat="1" applyFont="1" applyBorder="1" applyAlignment="1">
      <alignment vertical="center"/>
    </xf>
    <xf numFmtId="44" fontId="26" fillId="0" borderId="0" xfId="0" applyNumberFormat="1" applyFont="1" applyAlignment="1">
      <alignment vertical="center"/>
    </xf>
    <xf numFmtId="190" fontId="26" fillId="0" borderId="70" xfId="18" applyNumberFormat="1" applyFont="1" applyBorder="1">
      <alignment vertical="center"/>
    </xf>
    <xf numFmtId="190" fontId="26" fillId="0" borderId="69" xfId="0" applyNumberFormat="1" applyFont="1" applyBorder="1" applyAlignment="1">
      <alignment vertical="center"/>
    </xf>
    <xf numFmtId="190" fontId="26" fillId="0" borderId="70" xfId="0" applyNumberFormat="1" applyFont="1" applyBorder="1" applyAlignment="1">
      <alignment vertical="center"/>
    </xf>
    <xf numFmtId="0" fontId="26" fillId="0" borderId="71" xfId="0" applyFont="1" applyBorder="1" applyAlignment="1">
      <alignment horizontal="center" vertical="center"/>
    </xf>
    <xf numFmtId="190" fontId="26" fillId="0" borderId="73" xfId="18" applyNumberFormat="1" applyFont="1" applyBorder="1">
      <alignment vertical="center"/>
    </xf>
    <xf numFmtId="190" fontId="26" fillId="0" borderId="71" xfId="0" applyNumberFormat="1" applyFont="1" applyBorder="1" applyAlignment="1">
      <alignment vertical="center"/>
    </xf>
    <xf numFmtId="190" fontId="26" fillId="0" borderId="73" xfId="0" applyNumberFormat="1" applyFont="1" applyBorder="1" applyAlignment="1">
      <alignment vertical="center"/>
    </xf>
    <xf numFmtId="190" fontId="26" fillId="0" borderId="74" xfId="18" applyNumberFormat="1" applyFont="1" applyBorder="1">
      <alignment vertical="center"/>
    </xf>
    <xf numFmtId="190" fontId="26" fillId="0" borderId="76" xfId="18" applyNumberFormat="1" applyFont="1" applyBorder="1">
      <alignment vertical="center"/>
    </xf>
    <xf numFmtId="190" fontId="26" fillId="0" borderId="69" xfId="18" applyNumberFormat="1" applyFont="1" applyBorder="1">
      <alignment vertical="center"/>
    </xf>
    <xf numFmtId="190" fontId="26" fillId="0" borderId="77" xfId="18" applyNumberFormat="1" applyFont="1" applyBorder="1">
      <alignment vertical="center"/>
    </xf>
    <xf numFmtId="190" fontId="26" fillId="0" borderId="78" xfId="18" applyNumberFormat="1" applyFont="1" applyBorder="1">
      <alignment vertical="center"/>
    </xf>
    <xf numFmtId="190" fontId="26" fillId="0" borderId="31" xfId="18" applyNumberFormat="1" applyFont="1" applyBorder="1">
      <alignment vertical="center"/>
    </xf>
    <xf numFmtId="190" fontId="26" fillId="0" borderId="80" xfId="18" applyNumberFormat="1" applyFont="1" applyBorder="1">
      <alignment vertical="center"/>
    </xf>
    <xf numFmtId="190" fontId="26" fillId="0" borderId="74" xfId="18" applyNumberFormat="1" applyFont="1" applyBorder="1" applyAlignment="1">
      <alignment horizontal="center" vertical="center"/>
    </xf>
    <xf numFmtId="190" fontId="26" fillId="0" borderId="79" xfId="18" applyNumberFormat="1" applyFont="1" applyBorder="1">
      <alignment vertical="center"/>
    </xf>
    <xf numFmtId="190" fontId="26" fillId="0" borderId="69" xfId="18" applyNumberFormat="1" applyFont="1" applyBorder="1" applyAlignment="1">
      <alignment horizontal="center" vertical="center"/>
    </xf>
    <xf numFmtId="190" fontId="26" fillId="0" borderId="77" xfId="18" applyNumberFormat="1" applyFont="1" applyBorder="1" applyAlignment="1">
      <alignment horizontal="center" vertical="center"/>
    </xf>
    <xf numFmtId="190" fontId="26" fillId="0" borderId="34" xfId="18" applyNumberFormat="1" applyFont="1" applyBorder="1">
      <alignment vertical="center"/>
    </xf>
    <xf numFmtId="0" fontId="19" fillId="0" borderId="0" xfId="17" applyFont="1">
      <alignment vertical="center"/>
    </xf>
    <xf numFmtId="0" fontId="19" fillId="0" borderId="0" xfId="17" applyFont="1" applyAlignment="1">
      <alignment horizontal="left" vertical="center"/>
    </xf>
    <xf numFmtId="0" fontId="19" fillId="17" borderId="74" xfId="25" applyFont="1" applyFill="1" applyBorder="1" applyAlignment="1">
      <alignment horizontal="center" vertical="center"/>
    </xf>
    <xf numFmtId="0" fontId="19" fillId="17" borderId="75" xfId="25" applyFont="1" applyFill="1" applyBorder="1" applyAlignment="1">
      <alignment horizontal="center" vertical="center"/>
    </xf>
    <xf numFmtId="0" fontId="19" fillId="17" borderId="76" xfId="25" applyFont="1" applyFill="1" applyBorder="1" applyAlignment="1">
      <alignment horizontal="center" vertical="center"/>
    </xf>
    <xf numFmtId="0" fontId="19" fillId="0" borderId="69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0" xfId="25" applyFont="1" applyBorder="1" applyAlignment="1">
      <alignment horizontal="center" vertical="center"/>
    </xf>
    <xf numFmtId="0" fontId="19" fillId="17" borderId="69" xfId="25" applyFont="1" applyFill="1" applyBorder="1" applyAlignment="1">
      <alignment horizontal="center" vertical="center"/>
    </xf>
    <xf numFmtId="0" fontId="19" fillId="17" borderId="30" xfId="25" applyFont="1" applyFill="1" applyBorder="1" applyAlignment="1">
      <alignment horizontal="center" vertical="center"/>
    </xf>
    <xf numFmtId="0" fontId="19" fillId="17" borderId="70" xfId="25" applyFont="1" applyFill="1" applyBorder="1" applyAlignment="1">
      <alignment horizontal="center" vertical="center"/>
    </xf>
    <xf numFmtId="0" fontId="19" fillId="17" borderId="32" xfId="25" applyFont="1" applyFill="1" applyBorder="1" applyAlignment="1">
      <alignment horizontal="center" vertical="center"/>
    </xf>
    <xf numFmtId="0" fontId="19" fillId="17" borderId="78" xfId="25" applyFont="1" applyFill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0" borderId="78" xfId="25" applyFont="1" applyBorder="1" applyAlignment="1">
      <alignment horizontal="center" vertical="center"/>
    </xf>
    <xf numFmtId="0" fontId="19" fillId="18" borderId="74" xfId="17" applyFont="1" applyFill="1" applyBorder="1" applyAlignment="1">
      <alignment horizontal="center" vertical="center"/>
    </xf>
    <xf numFmtId="0" fontId="19" fillId="18" borderId="75" xfId="17" applyFont="1" applyFill="1" applyBorder="1" applyAlignment="1">
      <alignment horizontal="center" vertical="center"/>
    </xf>
    <xf numFmtId="0" fontId="19" fillId="18" borderId="76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77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9" fillId="18" borderId="79" xfId="25" applyFont="1" applyFill="1" applyBorder="1" applyAlignment="1">
      <alignment horizontal="center" vertical="center"/>
    </xf>
    <xf numFmtId="0" fontId="19" fillId="18" borderId="75" xfId="25" applyFont="1" applyFill="1" applyBorder="1" applyAlignment="1">
      <alignment horizontal="center" vertical="center"/>
    </xf>
    <xf numFmtId="0" fontId="19" fillId="18" borderId="76" xfId="25" applyFont="1" applyFill="1" applyBorder="1" applyAlignment="1">
      <alignment horizontal="center" vertical="center"/>
    </xf>
    <xf numFmtId="0" fontId="19" fillId="18" borderId="82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0" borderId="72" xfId="25" applyFont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8" borderId="81" xfId="25" applyFont="1" applyFill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75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18" borderId="83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18" borderId="25" xfId="25" applyFont="1" applyFill="1" applyBorder="1" applyAlignment="1">
      <alignment horizontal="center" vertical="center"/>
    </xf>
    <xf numFmtId="185" fontId="19" fillId="0" borderId="84" xfId="25" applyNumberFormat="1" applyFont="1" applyBorder="1" applyAlignment="1">
      <alignment horizontal="center" vertical="center"/>
    </xf>
    <xf numFmtId="185" fontId="19" fillId="0" borderId="85" xfId="25" applyNumberFormat="1" applyFont="1" applyBorder="1" applyAlignment="1">
      <alignment horizontal="center" vertical="center"/>
    </xf>
    <xf numFmtId="0" fontId="19" fillId="0" borderId="85" xfId="25" applyFont="1" applyBorder="1" applyAlignment="1">
      <alignment horizontal="center" vertical="center"/>
    </xf>
    <xf numFmtId="0" fontId="19" fillId="0" borderId="86" xfId="25" applyFont="1" applyBorder="1" applyAlignment="1">
      <alignment horizontal="center" vertical="center"/>
    </xf>
    <xf numFmtId="0" fontId="19" fillId="16" borderId="84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4" fontId="19" fillId="0" borderId="28" xfId="17" applyNumberFormat="1" applyFont="1" applyBorder="1">
      <alignment vertical="center"/>
    </xf>
    <xf numFmtId="190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2" fillId="0" borderId="16" xfId="17" applyFont="1" applyBorder="1" applyAlignment="1">
      <alignment horizontal="center" vertical="center"/>
    </xf>
    <xf numFmtId="184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2" fillId="0" borderId="20" xfId="17" applyFont="1" applyBorder="1" applyAlignment="1">
      <alignment horizontal="center" vertical="center"/>
    </xf>
    <xf numFmtId="0" fontId="19" fillId="0" borderId="21" xfId="17" applyFont="1" applyBorder="1">
      <alignment vertical="center"/>
    </xf>
    <xf numFmtId="193" fontId="19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7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8" fontId="19" fillId="7" borderId="25" xfId="17" applyNumberFormat="1" applyFont="1" applyFill="1" applyBorder="1">
      <alignment vertical="center"/>
    </xf>
    <xf numFmtId="0" fontId="19" fillId="0" borderId="4" xfId="17" applyFont="1" applyBorder="1" applyAlignment="1">
      <alignment horizontal="center" vertical="center"/>
    </xf>
    <xf numFmtId="189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2" fillId="4" borderId="9" xfId="16" applyFont="1" applyFill="1" applyBorder="1" applyAlignment="1">
      <alignment horizontal="center" vertical="center"/>
    </xf>
    <xf numFmtId="185" fontId="33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5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6" fontId="33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2" fillId="4" borderId="9" xfId="17" applyFont="1" applyFill="1" applyBorder="1" applyAlignment="1">
      <alignment horizontal="center" vertical="center"/>
    </xf>
    <xf numFmtId="185" fontId="33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5" fontId="33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89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6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8" fillId="4" borderId="58" xfId="0" applyFont="1" applyFill="1" applyBorder="1" applyAlignment="1">
      <alignment horizontal="center" vertical="center"/>
    </xf>
    <xf numFmtId="192" fontId="28" fillId="4" borderId="54" xfId="0" applyNumberFormat="1" applyFont="1" applyFill="1" applyBorder="1" applyAlignment="1">
      <alignment horizontal="center" vertical="center"/>
    </xf>
    <xf numFmtId="192" fontId="26" fillId="4" borderId="0" xfId="0" applyNumberFormat="1" applyFont="1" applyFill="1" applyAlignment="1">
      <alignment horizontal="center" vertical="center"/>
    </xf>
    <xf numFmtId="0" fontId="26" fillId="4" borderId="58" xfId="0" applyFont="1" applyFill="1" applyBorder="1" applyAlignment="1">
      <alignment horizontal="center" vertical="center"/>
    </xf>
    <xf numFmtId="184" fontId="26" fillId="4" borderId="54" xfId="0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84" fontId="26" fillId="4" borderId="0" xfId="0" applyNumberFormat="1" applyFont="1" applyFill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30" xfId="0" applyFont="1" applyFill="1" applyBorder="1" applyAlignment="1">
      <alignment horizontal="center" vertical="center"/>
    </xf>
    <xf numFmtId="192" fontId="26" fillId="0" borderId="87" xfId="0" applyNumberFormat="1" applyFont="1" applyBorder="1" applyAlignment="1">
      <alignment horizontal="center" vertical="center"/>
    </xf>
    <xf numFmtId="184" fontId="26" fillId="0" borderId="89" xfId="0" applyNumberFormat="1" applyFont="1" applyBorder="1" applyAlignment="1">
      <alignment horizontal="center" vertical="center"/>
    </xf>
    <xf numFmtId="193" fontId="26" fillId="0" borderId="88" xfId="0" applyNumberFormat="1" applyFont="1" applyBorder="1" applyAlignment="1">
      <alignment horizontal="center" vertical="center"/>
    </xf>
    <xf numFmtId="186" fontId="26" fillId="0" borderId="87" xfId="0" applyNumberFormat="1" applyFont="1" applyBorder="1" applyAlignment="1">
      <alignment horizontal="center" vertical="center"/>
    </xf>
    <xf numFmtId="192" fontId="26" fillId="0" borderId="69" xfId="0" applyNumberFormat="1" applyFont="1" applyBorder="1" applyAlignment="1">
      <alignment horizontal="center" vertical="center"/>
    </xf>
    <xf numFmtId="184" fontId="26" fillId="0" borderId="30" xfId="0" applyNumberFormat="1" applyFont="1" applyBorder="1" applyAlignment="1">
      <alignment horizontal="center" vertical="center"/>
    </xf>
    <xf numFmtId="193" fontId="26" fillId="0" borderId="70" xfId="0" applyNumberFormat="1" applyFont="1" applyBorder="1" applyAlignment="1">
      <alignment horizontal="center" vertical="center"/>
    </xf>
    <xf numFmtId="192" fontId="26" fillId="0" borderId="71" xfId="0" applyNumberFormat="1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184" fontId="26" fillId="0" borderId="72" xfId="0" applyNumberFormat="1" applyFont="1" applyBorder="1" applyAlignment="1">
      <alignment horizontal="center" vertical="center"/>
    </xf>
    <xf numFmtId="193" fontId="26" fillId="0" borderId="73" xfId="0" applyNumberFormat="1" applyFont="1" applyBorder="1" applyAlignment="1">
      <alignment horizontal="center" vertical="center"/>
    </xf>
    <xf numFmtId="186" fontId="26" fillId="0" borderId="90" xfId="0" applyNumberFormat="1" applyFont="1" applyBorder="1" applyAlignment="1">
      <alignment horizontal="center" vertical="center"/>
    </xf>
    <xf numFmtId="184" fontId="26" fillId="0" borderId="60" xfId="0" applyNumberFormat="1" applyFont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2" fontId="26" fillId="18" borderId="70" xfId="0" applyNumberFormat="1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32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189" fontId="26" fillId="0" borderId="69" xfId="0" applyNumberFormat="1" applyFont="1" applyBorder="1" applyAlignment="1">
      <alignment horizontal="center" vertical="center"/>
    </xf>
    <xf numFmtId="2" fontId="26" fillId="0" borderId="70" xfId="0" applyNumberFormat="1" applyFont="1" applyBorder="1" applyAlignment="1">
      <alignment horizontal="center" vertical="center"/>
    </xf>
    <xf numFmtId="189" fontId="26" fillId="0" borderId="87" xfId="0" applyNumberFormat="1" applyFont="1" applyBorder="1" applyAlignment="1">
      <alignment horizontal="center" vertical="center"/>
    </xf>
    <xf numFmtId="2" fontId="26" fillId="0" borderId="88" xfId="0" applyNumberFormat="1" applyFont="1" applyBorder="1" applyAlignment="1">
      <alignment horizontal="center" vertical="center"/>
    </xf>
    <xf numFmtId="189" fontId="26" fillId="0" borderId="77" xfId="0" applyNumberFormat="1" applyFont="1" applyBorder="1" applyAlignment="1">
      <alignment horizontal="center" vertical="center"/>
    </xf>
    <xf numFmtId="2" fontId="26" fillId="0" borderId="78" xfId="0" applyNumberFormat="1" applyFont="1" applyBorder="1" applyAlignment="1">
      <alignment horizontal="center" vertical="center"/>
    </xf>
    <xf numFmtId="2" fontId="26" fillId="0" borderId="86" xfId="0" applyNumberFormat="1" applyFont="1" applyBorder="1" applyAlignment="1">
      <alignment horizontal="center" vertical="center"/>
    </xf>
    <xf numFmtId="0" fontId="26" fillId="18" borderId="31" xfId="0" applyFont="1" applyFill="1" applyBorder="1" applyAlignment="1">
      <alignment horizontal="center" vertical="center"/>
    </xf>
    <xf numFmtId="186" fontId="26" fillId="0" borderId="33" xfId="0" applyNumberFormat="1" applyFont="1" applyBorder="1" applyAlignment="1">
      <alignment horizontal="center" vertical="center"/>
    </xf>
    <xf numFmtId="193" fontId="26" fillId="0" borderId="91" xfId="0" applyNumberFormat="1" applyFont="1" applyBorder="1" applyAlignment="1">
      <alignment horizontal="center" vertical="center"/>
    </xf>
    <xf numFmtId="186" fontId="26" fillId="0" borderId="59" xfId="0" applyNumberFormat="1" applyFont="1" applyBorder="1" applyAlignment="1">
      <alignment horizontal="center" vertical="center"/>
    </xf>
    <xf numFmtId="0" fontId="26" fillId="18" borderId="3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192" fontId="26" fillId="4" borderId="54" xfId="0" applyNumberFormat="1" applyFont="1" applyFill="1" applyBorder="1" applyAlignment="1">
      <alignment horizontal="center" vertical="center"/>
    </xf>
    <xf numFmtId="40" fontId="26" fillId="4" borderId="0" xfId="0" applyNumberFormat="1" applyFont="1" applyFill="1" applyAlignment="1">
      <alignment horizontal="center" vertical="center"/>
    </xf>
    <xf numFmtId="198" fontId="26" fillId="0" borderId="87" xfId="0" applyNumberFormat="1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38" fontId="26" fillId="0" borderId="89" xfId="0" applyNumberFormat="1" applyFont="1" applyBorder="1" applyAlignment="1">
      <alignment horizontal="center" vertical="center"/>
    </xf>
    <xf numFmtId="198" fontId="26" fillId="0" borderId="69" xfId="0" applyNumberFormat="1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38" fontId="26" fillId="0" borderId="30" xfId="0" applyNumberFormat="1" applyFont="1" applyBorder="1" applyAlignment="1">
      <alignment horizontal="center" vertical="center"/>
    </xf>
    <xf numFmtId="189" fontId="26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30" fillId="17" borderId="74" xfId="18" applyNumberFormat="1" applyFont="1" applyFill="1" applyBorder="1" applyAlignment="1">
      <alignment horizontal="center" vertical="center"/>
    </xf>
    <xf numFmtId="190" fontId="30" fillId="17" borderId="75" xfId="18" applyNumberFormat="1" applyFont="1" applyFill="1" applyBorder="1" applyAlignment="1">
      <alignment horizontal="center" vertical="center"/>
    </xf>
    <xf numFmtId="190" fontId="30" fillId="17" borderId="76" xfId="18" applyNumberFormat="1" applyFont="1" applyFill="1" applyBorder="1" applyAlignment="1">
      <alignment horizontal="center" vertical="center"/>
    </xf>
    <xf numFmtId="190" fontId="30" fillId="17" borderId="79" xfId="18" applyNumberFormat="1" applyFont="1" applyFill="1" applyBorder="1" applyAlignment="1">
      <alignment horizontal="center" vertical="center"/>
    </xf>
    <xf numFmtId="0" fontId="36" fillId="19" borderId="69" xfId="26" applyBorder="1" applyAlignment="1">
      <alignment horizontal="center" vertical="center"/>
    </xf>
    <xf numFmtId="0" fontId="36" fillId="19" borderId="30" xfId="26" applyBorder="1" applyAlignment="1">
      <alignment horizontal="center" vertical="center"/>
    </xf>
    <xf numFmtId="0" fontId="36" fillId="19" borderId="70" xfId="26" applyBorder="1" applyAlignment="1">
      <alignment horizontal="center" vertical="center"/>
    </xf>
    <xf numFmtId="0" fontId="36" fillId="19" borderId="77" xfId="26" applyBorder="1" applyAlignment="1">
      <alignment horizontal="center" vertical="center"/>
    </xf>
    <xf numFmtId="0" fontId="36" fillId="19" borderId="32" xfId="26" applyBorder="1" applyAlignment="1">
      <alignment horizontal="center" vertical="center"/>
    </xf>
    <xf numFmtId="0" fontId="36" fillId="19" borderId="78" xfId="26" applyBorder="1" applyAlignment="1">
      <alignment horizontal="center" vertical="center"/>
    </xf>
    <xf numFmtId="0" fontId="20" fillId="0" borderId="0" xfId="19" applyFont="1" applyAlignment="1">
      <alignment horizontal="center" vertical="center"/>
    </xf>
    <xf numFmtId="0" fontId="20" fillId="11" borderId="48" xfId="19" applyNumberFormat="1" applyFont="1" applyFill="1" applyBorder="1" applyAlignment="1">
      <alignment horizontal="center" vertical="center"/>
    </xf>
    <xf numFmtId="0" fontId="26" fillId="0" borderId="53" xfId="17" applyFont="1" applyBorder="1" applyAlignment="1">
      <alignment horizontal="center" vertical="center"/>
    </xf>
    <xf numFmtId="0" fontId="26" fillId="0" borderId="24" xfId="17" applyFont="1" applyBorder="1" applyAlignment="1">
      <alignment horizontal="center" vertical="center"/>
    </xf>
    <xf numFmtId="0" fontId="26" fillId="0" borderId="18" xfId="17" applyFont="1" applyBorder="1" applyAlignment="1">
      <alignment horizontal="center" vertical="center"/>
    </xf>
    <xf numFmtId="0" fontId="26" fillId="0" borderId="25" xfId="17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12" borderId="11" xfId="19" applyFont="1" applyFill="1" applyBorder="1" applyAlignment="1">
      <alignment horizontal="center" vertical="center"/>
    </xf>
    <xf numFmtId="0" fontId="20" fillId="11" borderId="11" xfId="19" applyFont="1" applyFill="1" applyBorder="1" applyAlignment="1">
      <alignment horizontal="center" vertical="center"/>
    </xf>
    <xf numFmtId="0" fontId="26" fillId="12" borderId="19" xfId="17" applyFont="1" applyFill="1" applyBorder="1" applyAlignment="1">
      <alignment horizontal="center" vertical="center"/>
    </xf>
    <xf numFmtId="0" fontId="26" fillId="12" borderId="21" xfId="17" applyFont="1" applyFill="1" applyBorder="1" applyAlignment="1">
      <alignment horizontal="center" vertical="center"/>
    </xf>
    <xf numFmtId="195" fontId="26" fillId="0" borderId="21" xfId="17" applyNumberFormat="1" applyFont="1" applyBorder="1" applyAlignment="1">
      <alignment horizontal="center" vertical="center"/>
    </xf>
    <xf numFmtId="0" fontId="26" fillId="0" borderId="23" xfId="17" applyFont="1" applyBorder="1" applyAlignment="1">
      <alignment horizontal="center" vertical="center"/>
    </xf>
    <xf numFmtId="197" fontId="26" fillId="0" borderId="0" xfId="17" applyNumberFormat="1" applyFont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20" fillId="9" borderId="53" xfId="19" applyFont="1" applyFill="1" applyBorder="1" applyAlignment="1">
      <alignment horizontal="center" vertical="center" wrapText="1"/>
    </xf>
    <xf numFmtId="0" fontId="32" fillId="0" borderId="31" xfId="25" applyFont="1" applyBorder="1" applyAlignment="1">
      <alignment horizontal="center" vertical="center"/>
    </xf>
    <xf numFmtId="17" fontId="37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41" fontId="37" fillId="0" borderId="30" xfId="21" applyFont="1" applyBorder="1">
      <alignment vertical="center"/>
    </xf>
    <xf numFmtId="0" fontId="30" fillId="0" borderId="53" xfId="0" applyFont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/>
    </xf>
    <xf numFmtId="189" fontId="32" fillId="12" borderId="53" xfId="0" applyNumberFormat="1" applyFont="1" applyFill="1" applyBorder="1" applyAlignment="1">
      <alignment horizontal="center" vertical="center"/>
    </xf>
    <xf numFmtId="197" fontId="32" fillId="12" borderId="53" xfId="0" applyNumberFormat="1" applyFont="1" applyFill="1" applyBorder="1" applyAlignment="1">
      <alignment horizontal="center" vertical="center"/>
    </xf>
    <xf numFmtId="0" fontId="30" fillId="3" borderId="53" xfId="0" applyFont="1" applyFill="1" applyBorder="1" applyAlignment="1">
      <alignment horizontal="center" vertical="center"/>
    </xf>
    <xf numFmtId="0" fontId="19" fillId="0" borderId="30" xfId="25" applyFont="1" applyFill="1" applyBorder="1" applyAlignment="1">
      <alignment horizontal="center" vertical="center"/>
    </xf>
    <xf numFmtId="0" fontId="19" fillId="3" borderId="0" xfId="17" applyFont="1" applyFill="1">
      <alignment vertical="center"/>
    </xf>
    <xf numFmtId="0" fontId="19" fillId="3" borderId="30" xfId="25" applyFont="1" applyFill="1" applyBorder="1" applyAlignment="1">
      <alignment horizontal="center" vertical="center"/>
    </xf>
    <xf numFmtId="0" fontId="19" fillId="0" borderId="69" xfId="17" applyFont="1" applyBorder="1" applyAlignment="1">
      <alignment horizontal="center" vertical="center"/>
    </xf>
    <xf numFmtId="0" fontId="19" fillId="0" borderId="70" xfId="17" applyFont="1" applyBorder="1" applyAlignment="1">
      <alignment horizontal="center" vertical="center"/>
    </xf>
    <xf numFmtId="0" fontId="19" fillId="0" borderId="77" xfId="17" applyFont="1" applyBorder="1" applyAlignment="1">
      <alignment horizontal="center" vertical="center"/>
    </xf>
    <xf numFmtId="0" fontId="19" fillId="0" borderId="78" xfId="17" applyFont="1" applyBorder="1" applyAlignment="1">
      <alignment horizontal="center" vertical="center"/>
    </xf>
    <xf numFmtId="0" fontId="19" fillId="20" borderId="74" xfId="17" applyFont="1" applyFill="1" applyBorder="1" applyAlignment="1">
      <alignment horizontal="center" vertical="center"/>
    </xf>
    <xf numFmtId="0" fontId="19" fillId="20" borderId="76" xfId="17" applyFont="1" applyFill="1" applyBorder="1" applyAlignment="1">
      <alignment horizontal="center" vertical="center"/>
    </xf>
    <xf numFmtId="0" fontId="19" fillId="0" borderId="69" xfId="25" applyFont="1" applyFill="1" applyBorder="1" applyAlignment="1">
      <alignment horizontal="center" vertical="center"/>
    </xf>
    <xf numFmtId="0" fontId="19" fillId="0" borderId="70" xfId="25" applyFont="1" applyFill="1" applyBorder="1" applyAlignment="1">
      <alignment horizontal="center" vertical="center"/>
    </xf>
    <xf numFmtId="0" fontId="19" fillId="3" borderId="69" xfId="25" applyFont="1" applyFill="1" applyBorder="1" applyAlignment="1">
      <alignment horizontal="center" vertical="center"/>
    </xf>
    <xf numFmtId="0" fontId="19" fillId="3" borderId="70" xfId="25" applyFont="1" applyFill="1" applyBorder="1" applyAlignment="1">
      <alignment horizontal="center" vertical="center"/>
    </xf>
    <xf numFmtId="0" fontId="19" fillId="17" borderId="77" xfId="25" applyFont="1" applyFill="1" applyBorder="1" applyAlignment="1">
      <alignment horizontal="center" vertical="center"/>
    </xf>
    <xf numFmtId="0" fontId="32" fillId="0" borderId="78" xfId="25" applyFont="1" applyBorder="1" applyAlignment="1">
      <alignment horizontal="center" vertical="center"/>
    </xf>
    <xf numFmtId="0" fontId="32" fillId="14" borderId="31" xfId="23" applyFont="1" applyBorder="1" applyAlignment="1">
      <alignment horizontal="center" vertical="center"/>
    </xf>
    <xf numFmtId="0" fontId="32" fillId="0" borderId="79" xfId="25" applyFont="1" applyBorder="1" applyAlignment="1">
      <alignment horizontal="center" vertical="center"/>
    </xf>
    <xf numFmtId="0" fontId="40" fillId="21" borderId="0" xfId="19" applyFont="1" applyFill="1" applyAlignment="1">
      <alignment horizontal="center" vertical="center"/>
    </xf>
    <xf numFmtId="0" fontId="32" fillId="0" borderId="34" xfId="25" applyFont="1" applyBorder="1" applyAlignment="1">
      <alignment horizontal="center" vertical="center"/>
    </xf>
    <xf numFmtId="0" fontId="22" fillId="3" borderId="12" xfId="19" applyFont="1" applyFill="1" applyBorder="1">
      <alignment vertical="center"/>
    </xf>
    <xf numFmtId="0" fontId="22" fillId="3" borderId="5" xfId="19" applyFont="1" applyFill="1" applyBorder="1">
      <alignment vertical="center"/>
    </xf>
    <xf numFmtId="0" fontId="32" fillId="18" borderId="82" xfId="25" applyFont="1" applyFill="1" applyBorder="1" applyAlignment="1">
      <alignment horizontal="center" vertical="center"/>
    </xf>
    <xf numFmtId="184" fontId="32" fillId="0" borderId="41" xfId="17" applyNumberFormat="1" applyFont="1" applyBorder="1">
      <alignment vertical="center"/>
    </xf>
    <xf numFmtId="185" fontId="32" fillId="5" borderId="18" xfId="17" applyNumberFormat="1" applyFont="1" applyFill="1" applyBorder="1">
      <alignment vertical="center"/>
    </xf>
    <xf numFmtId="0" fontId="37" fillId="0" borderId="31" xfId="0" applyFont="1" applyBorder="1" applyAlignment="1">
      <alignment horizontal="center" vertical="center"/>
    </xf>
    <xf numFmtId="199" fontId="26" fillId="0" borderId="66" xfId="0" applyNumberFormat="1" applyFont="1" applyBorder="1" applyAlignment="1">
      <alignment horizontal="center" vertical="center"/>
    </xf>
    <xf numFmtId="199" fontId="26" fillId="0" borderId="69" xfId="0" applyNumberFormat="1" applyFont="1" applyBorder="1" applyAlignment="1">
      <alignment horizontal="center" vertical="center"/>
    </xf>
    <xf numFmtId="199" fontId="26" fillId="0" borderId="71" xfId="0" applyNumberFormat="1" applyFont="1" applyBorder="1" applyAlignment="1">
      <alignment horizontal="center" vertical="center"/>
    </xf>
    <xf numFmtId="200" fontId="26" fillId="0" borderId="67" xfId="18" applyNumberFormat="1" applyFont="1" applyBorder="1">
      <alignment vertical="center"/>
    </xf>
    <xf numFmtId="200" fontId="26" fillId="0" borderId="68" xfId="18" applyNumberFormat="1" applyFont="1" applyBorder="1">
      <alignment vertical="center"/>
    </xf>
    <xf numFmtId="200" fontId="26" fillId="0" borderId="30" xfId="18" applyNumberFormat="1" applyFont="1" applyBorder="1">
      <alignment vertical="center"/>
    </xf>
    <xf numFmtId="200" fontId="26" fillId="0" borderId="70" xfId="18" applyNumberFormat="1" applyFont="1" applyBorder="1">
      <alignment vertical="center"/>
    </xf>
    <xf numFmtId="200" fontId="26" fillId="0" borderId="72" xfId="18" applyNumberFormat="1" applyFont="1" applyBorder="1">
      <alignment vertical="center"/>
    </xf>
    <xf numFmtId="200" fontId="26" fillId="0" borderId="73" xfId="18" applyNumberFormat="1" applyFont="1" applyBorder="1">
      <alignment vertical="center"/>
    </xf>
    <xf numFmtId="199" fontId="26" fillId="0" borderId="69" xfId="18" applyNumberFormat="1" applyFont="1" applyBorder="1" applyAlignment="1">
      <alignment horizontal="center" vertical="center"/>
    </xf>
    <xf numFmtId="189" fontId="26" fillId="0" borderId="75" xfId="18" applyNumberFormat="1" applyFont="1" applyBorder="1">
      <alignment vertical="center"/>
    </xf>
    <xf numFmtId="189" fontId="26" fillId="0" borderId="76" xfId="18" applyNumberFormat="1" applyFont="1" applyBorder="1">
      <alignment vertical="center"/>
    </xf>
    <xf numFmtId="189" fontId="26" fillId="0" borderId="30" xfId="18" applyNumberFormat="1" applyFont="1" applyBorder="1">
      <alignment vertical="center"/>
    </xf>
    <xf numFmtId="189" fontId="26" fillId="0" borderId="70" xfId="18" applyNumberFormat="1" applyFont="1" applyBorder="1">
      <alignment vertical="center"/>
    </xf>
    <xf numFmtId="189" fontId="26" fillId="0" borderId="32" xfId="18" applyNumberFormat="1" applyFont="1" applyBorder="1">
      <alignment vertical="center"/>
    </xf>
    <xf numFmtId="189" fontId="26" fillId="0" borderId="78" xfId="18" applyNumberFormat="1" applyFont="1" applyBorder="1">
      <alignment vertical="center"/>
    </xf>
    <xf numFmtId="200" fontId="26" fillId="0" borderId="75" xfId="0" applyNumberFormat="1" applyFont="1" applyBorder="1" applyAlignment="1">
      <alignment vertical="center"/>
    </xf>
    <xf numFmtId="200" fontId="26" fillId="0" borderId="76" xfId="0" applyNumberFormat="1" applyFont="1" applyBorder="1" applyAlignment="1">
      <alignment vertical="center"/>
    </xf>
    <xf numFmtId="200" fontId="26" fillId="0" borderId="30" xfId="0" applyNumberFormat="1" applyFont="1" applyBorder="1" applyAlignment="1">
      <alignment vertical="center"/>
    </xf>
    <xf numFmtId="200" fontId="26" fillId="0" borderId="70" xfId="0" applyNumberFormat="1" applyFont="1" applyBorder="1" applyAlignment="1">
      <alignment vertical="center"/>
    </xf>
    <xf numFmtId="200" fontId="26" fillId="0" borderId="32" xfId="0" applyNumberFormat="1" applyFont="1" applyBorder="1" applyAlignment="1">
      <alignment vertical="center"/>
    </xf>
    <xf numFmtId="200" fontId="26" fillId="0" borderId="78" xfId="0" applyNumberFormat="1" applyFont="1" applyBorder="1" applyAlignment="1">
      <alignment vertical="center"/>
    </xf>
    <xf numFmtId="0" fontId="26" fillId="0" borderId="30" xfId="0" applyFont="1" applyBorder="1" applyAlignment="1">
      <alignment vertical="center"/>
    </xf>
    <xf numFmtId="0" fontId="26" fillId="0" borderId="31" xfId="0" applyFont="1" applyBorder="1" applyAlignment="1">
      <alignment vertical="center"/>
    </xf>
    <xf numFmtId="0" fontId="0" fillId="0" borderId="94" xfId="0" applyBorder="1"/>
    <xf numFmtId="0" fontId="0" fillId="0" borderId="19" xfId="0" applyBorder="1"/>
    <xf numFmtId="0" fontId="0" fillId="0" borderId="18" xfId="0" applyBorder="1"/>
    <xf numFmtId="0" fontId="42" fillId="0" borderId="95" xfId="0" applyFont="1" applyBorder="1" applyAlignment="1">
      <alignment horizontal="right" vertical="center"/>
    </xf>
    <xf numFmtId="0" fontId="42" fillId="0" borderId="23" xfId="0" applyFont="1" applyBorder="1" applyAlignment="1">
      <alignment horizontal="right" vertical="center"/>
    </xf>
    <xf numFmtId="0" fontId="45" fillId="0" borderId="96" xfId="0" applyFont="1" applyBorder="1" applyAlignment="1">
      <alignment horizontal="right" vertical="center"/>
    </xf>
    <xf numFmtId="0" fontId="45" fillId="0" borderId="97" xfId="0" applyFont="1" applyBorder="1" applyAlignment="1">
      <alignment horizontal="right" vertical="center"/>
    </xf>
    <xf numFmtId="0" fontId="45" fillId="0" borderId="98" xfId="0" applyFont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4" fillId="23" borderId="101" xfId="0" applyFont="1" applyFill="1" applyBorder="1" applyAlignment="1">
      <alignment horizontal="right" vertical="center"/>
    </xf>
    <xf numFmtId="0" fontId="42" fillId="23" borderId="99" xfId="0" applyFont="1" applyFill="1" applyBorder="1" applyAlignment="1">
      <alignment horizontal="right" vertical="center"/>
    </xf>
    <xf numFmtId="0" fontId="42" fillId="23" borderId="100" xfId="0" applyFont="1" applyFill="1" applyBorder="1" applyAlignment="1">
      <alignment horizontal="right" vertical="center"/>
    </xf>
    <xf numFmtId="0" fontId="42" fillId="23" borderId="101" xfId="0" applyFont="1" applyFill="1" applyBorder="1" applyAlignment="1">
      <alignment horizontal="right" vertical="center"/>
    </xf>
    <xf numFmtId="0" fontId="42" fillId="0" borderId="99" xfId="0" applyFont="1" applyBorder="1" applyAlignment="1">
      <alignment horizontal="right" vertical="center"/>
    </xf>
    <xf numFmtId="0" fontId="42" fillId="0" borderId="100" xfId="0" applyFont="1" applyBorder="1" applyAlignment="1">
      <alignment horizontal="right" vertical="center"/>
    </xf>
    <xf numFmtId="0" fontId="42" fillId="0" borderId="101" xfId="0" applyFont="1" applyBorder="1" applyAlignment="1">
      <alignment horizontal="right" vertical="center"/>
    </xf>
    <xf numFmtId="0" fontId="44" fillId="0" borderId="99" xfId="0" applyFont="1" applyBorder="1" applyAlignment="1">
      <alignment horizontal="right" vertical="center"/>
    </xf>
    <xf numFmtId="0" fontId="44" fillId="0" borderId="100" xfId="0" applyFont="1" applyBorder="1" applyAlignment="1">
      <alignment horizontal="right" vertical="center"/>
    </xf>
    <xf numFmtId="0" fontId="44" fillId="0" borderId="101" xfId="0" applyFont="1" applyBorder="1" applyAlignment="1">
      <alignment horizontal="right" vertical="center"/>
    </xf>
    <xf numFmtId="2" fontId="42" fillId="0" borderId="99" xfId="0" applyNumberFormat="1" applyFont="1" applyBorder="1" applyAlignment="1">
      <alignment horizontal="right" vertical="center"/>
    </xf>
    <xf numFmtId="2" fontId="42" fillId="0" borderId="100" xfId="0" applyNumberFormat="1" applyFont="1" applyBorder="1" applyAlignment="1">
      <alignment horizontal="right" vertical="center"/>
    </xf>
    <xf numFmtId="2" fontId="42" fillId="0" borderId="101" xfId="0" applyNumberFormat="1" applyFont="1" applyBorder="1" applyAlignment="1">
      <alignment horizontal="right" vertical="center"/>
    </xf>
    <xf numFmtId="0" fontId="46" fillId="24" borderId="102" xfId="0" applyFont="1" applyFill="1" applyBorder="1" applyAlignment="1">
      <alignment horizontal="right" vertical="center"/>
    </xf>
    <xf numFmtId="0" fontId="46" fillId="24" borderId="103" xfId="0" applyFont="1" applyFill="1" applyBorder="1" applyAlignment="1">
      <alignment horizontal="right" vertical="center"/>
    </xf>
    <xf numFmtId="0" fontId="46" fillId="24" borderId="104" xfId="0" applyFont="1" applyFill="1" applyBorder="1" applyAlignment="1">
      <alignment horizontal="right" vertical="center"/>
    </xf>
    <xf numFmtId="0" fontId="45" fillId="0" borderId="102" xfId="0" applyFont="1" applyBorder="1" applyAlignment="1">
      <alignment horizontal="right" vertical="center"/>
    </xf>
    <xf numFmtId="0" fontId="45" fillId="0" borderId="103" xfId="0" applyFont="1" applyBorder="1" applyAlignment="1">
      <alignment horizontal="right" vertical="center"/>
    </xf>
    <xf numFmtId="0" fontId="45" fillId="0" borderId="104" xfId="0" applyFont="1" applyBorder="1" applyAlignment="1">
      <alignment horizontal="right" vertical="center"/>
    </xf>
    <xf numFmtId="0" fontId="47" fillId="0" borderId="105" xfId="0" applyFont="1" applyBorder="1" applyAlignment="1">
      <alignment horizontal="center" vertical="center"/>
    </xf>
    <xf numFmtId="0" fontId="47" fillId="23" borderId="106" xfId="0" applyFont="1" applyFill="1" applyBorder="1" applyAlignment="1">
      <alignment horizontal="center"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196" fontId="26" fillId="12" borderId="54" xfId="17" applyNumberFormat="1" applyFont="1" applyFill="1" applyBorder="1" applyAlignment="1">
      <alignment horizontal="center" vertical="center"/>
    </xf>
    <xf numFmtId="196" fontId="48" fillId="0" borderId="0" xfId="17" applyNumberFormat="1" applyFont="1">
      <alignment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94" xfId="0" applyFont="1" applyBorder="1" applyAlignment="1">
      <alignment horizontal="center" vertical="center"/>
    </xf>
    <xf numFmtId="0" fontId="37" fillId="0" borderId="74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6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41" fontId="37" fillId="0" borderId="75" xfId="21" applyFont="1" applyBorder="1" applyAlignment="1">
      <alignment horizontal="center" vertical="center" wrapText="1"/>
    </xf>
    <xf numFmtId="41" fontId="37" fillId="0" borderId="30" xfId="21" applyFont="1" applyBorder="1" applyAlignment="1">
      <alignment horizontal="center" vertical="center" wrapText="1"/>
    </xf>
    <xf numFmtId="0" fontId="38" fillId="15" borderId="75" xfId="22" applyFont="1" applyFill="1" applyBorder="1" applyAlignment="1">
      <alignment horizontal="center" vertical="center" wrapText="1"/>
    </xf>
    <xf numFmtId="0" fontId="38" fillId="15" borderId="30" xfId="22" applyFont="1" applyFill="1" applyBorder="1" applyAlignment="1">
      <alignment horizontal="center" vertical="center" wrapText="1"/>
    </xf>
    <xf numFmtId="0" fontId="30" fillId="0" borderId="58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58" xfId="17" applyFont="1" applyBorder="1" applyAlignment="1">
      <alignment horizontal="center" vertical="center"/>
    </xf>
    <xf numFmtId="0" fontId="26" fillId="0" borderId="54" xfId="17" applyFont="1" applyBorder="1" applyAlignment="1">
      <alignment horizontal="center" vertical="center"/>
    </xf>
    <xf numFmtId="0" fontId="41" fillId="22" borderId="58" xfId="19" applyFont="1" applyFill="1" applyBorder="1" applyAlignment="1">
      <alignment horizontal="center" vertical="center" wrapText="1"/>
    </xf>
    <xf numFmtId="0" fontId="41" fillId="22" borderId="54" xfId="19" applyFont="1" applyFill="1" applyBorder="1" applyAlignment="1">
      <alignment horizontal="center" vertical="center" wrapText="1"/>
    </xf>
    <xf numFmtId="0" fontId="26" fillId="18" borderId="74" xfId="0" applyFont="1" applyFill="1" applyBorder="1" applyAlignment="1">
      <alignment horizontal="center" vertical="center"/>
    </xf>
    <xf numFmtId="0" fontId="26" fillId="18" borderId="75" xfId="0" applyFont="1" applyFill="1" applyBorder="1" applyAlignment="1">
      <alignment horizontal="center" vertical="center"/>
    </xf>
    <xf numFmtId="0" fontId="26" fillId="18" borderId="76" xfId="0" applyFont="1" applyFill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0" fontId="26" fillId="18" borderId="79" xfId="0" applyFont="1" applyFill="1" applyBorder="1" applyAlignment="1">
      <alignment horizontal="center" vertical="center"/>
    </xf>
    <xf numFmtId="0" fontId="36" fillId="19" borderId="74" xfId="26" applyBorder="1" applyAlignment="1">
      <alignment horizontal="center" vertical="center"/>
    </xf>
    <xf numFmtId="0" fontId="36" fillId="19" borderId="75" xfId="26" applyBorder="1" applyAlignment="1">
      <alignment horizontal="center" vertical="center"/>
    </xf>
    <xf numFmtId="0" fontId="36" fillId="19" borderId="76" xfId="26" applyBorder="1" applyAlignment="1">
      <alignment horizontal="center" vertical="center"/>
    </xf>
    <xf numFmtId="9" fontId="19" fillId="0" borderId="21" xfId="17" applyNumberFormat="1" applyFont="1" applyBorder="1">
      <alignment vertical="center"/>
    </xf>
    <xf numFmtId="0" fontId="32" fillId="0" borderId="92" xfId="17" applyFont="1" applyBorder="1" applyAlignment="1">
      <alignment horizontal="center" vertical="center"/>
    </xf>
    <xf numFmtId="0" fontId="32" fillId="0" borderId="47" xfId="17" applyFont="1" applyBorder="1" applyAlignment="1">
      <alignment horizontal="center" vertical="center"/>
    </xf>
    <xf numFmtId="9" fontId="49" fillId="0" borderId="11" xfId="17" applyNumberFormat="1" applyFont="1" applyBorder="1">
      <alignment vertical="center"/>
    </xf>
    <xf numFmtId="10" fontId="49" fillId="0" borderId="10" xfId="17" applyNumberFormat="1" applyFont="1" applyBorder="1">
      <alignment vertical="center"/>
    </xf>
    <xf numFmtId="10" fontId="19" fillId="0" borderId="23" xfId="17" applyNumberFormat="1" applyFont="1" applyBorder="1">
      <alignment vertical="center"/>
    </xf>
    <xf numFmtId="0" fontId="50" fillId="0" borderId="93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10" fontId="51" fillId="0" borderId="38" xfId="17" applyNumberFormat="1" applyFont="1" applyBorder="1">
      <alignment vertical="center"/>
    </xf>
    <xf numFmtId="9" fontId="51" fillId="0" borderId="39" xfId="17" applyNumberFormat="1" applyFont="1" applyBorder="1">
      <alignment vertical="center"/>
    </xf>
    <xf numFmtId="0" fontId="20" fillId="6" borderId="11" xfId="19" applyFont="1" applyFill="1" applyBorder="1" applyAlignment="1">
      <alignment horizontal="center" vertical="center"/>
    </xf>
    <xf numFmtId="185" fontId="22" fillId="6" borderId="39" xfId="19" applyNumberFormat="1" applyFont="1" applyFill="1" applyBorder="1">
      <alignment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1233.2</c:v>
                </c:pt>
                <c:pt idx="1">
                  <c:v>1458.1</c:v>
                </c:pt>
                <c:pt idx="2">
                  <c:v>859.4</c:v>
                </c:pt>
                <c:pt idx="3">
                  <c:v>1398.7</c:v>
                </c:pt>
                <c:pt idx="4">
                  <c:v>1043.9000000000001</c:v>
                </c:pt>
                <c:pt idx="5">
                  <c:v>1693.9</c:v>
                </c:pt>
                <c:pt idx="6">
                  <c:v>671.4</c:v>
                </c:pt>
                <c:pt idx="7">
                  <c:v>1416.1</c:v>
                </c:pt>
                <c:pt idx="8">
                  <c:v>1450.1</c:v>
                </c:pt>
                <c:pt idx="9">
                  <c:v>1557.9</c:v>
                </c:pt>
                <c:pt idx="10">
                  <c:v>1278.3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2058.9</c:v>
                </c:pt>
                <c:pt idx="1">
                  <c:v>1155.4000000000001</c:v>
                </c:pt>
                <c:pt idx="2">
                  <c:v>1649.4</c:v>
                </c:pt>
                <c:pt idx="3">
                  <c:v>921.4</c:v>
                </c:pt>
                <c:pt idx="4">
                  <c:v>693</c:v>
                </c:pt>
                <c:pt idx="5">
                  <c:v>1015</c:v>
                </c:pt>
                <c:pt idx="6">
                  <c:v>1198.5999999999999</c:v>
                </c:pt>
                <c:pt idx="7">
                  <c:v>1796</c:v>
                </c:pt>
                <c:pt idx="8">
                  <c:v>1864.9</c:v>
                </c:pt>
                <c:pt idx="9">
                  <c:v>1027.0999999999999</c:v>
                </c:pt>
                <c:pt idx="10">
                  <c:v>869.1</c:v>
                </c:pt>
                <c:pt idx="11">
                  <c:v>1559.8</c:v>
                </c:pt>
                <c:pt idx="12">
                  <c:v>1864.2</c:v>
                </c:pt>
                <c:pt idx="13">
                  <c:v>1250.0999999999999</c:v>
                </c:pt>
                <c:pt idx="14">
                  <c:v>1135.7</c:v>
                </c:pt>
                <c:pt idx="15">
                  <c:v>1393.9</c:v>
                </c:pt>
                <c:pt idx="16">
                  <c:v>1135.8</c:v>
                </c:pt>
                <c:pt idx="17">
                  <c:v>1112.3</c:v>
                </c:pt>
                <c:pt idx="18">
                  <c:v>1133.2</c:v>
                </c:pt>
                <c:pt idx="19">
                  <c:v>1161.5999999999999</c:v>
                </c:pt>
                <c:pt idx="20">
                  <c:v>1233.2</c:v>
                </c:pt>
                <c:pt idx="21">
                  <c:v>1458.1</c:v>
                </c:pt>
                <c:pt idx="22">
                  <c:v>859.4</c:v>
                </c:pt>
                <c:pt idx="23">
                  <c:v>1398.7</c:v>
                </c:pt>
                <c:pt idx="24">
                  <c:v>1043.9000000000001</c:v>
                </c:pt>
                <c:pt idx="25">
                  <c:v>1693.9</c:v>
                </c:pt>
                <c:pt idx="26">
                  <c:v>671.4</c:v>
                </c:pt>
                <c:pt idx="27">
                  <c:v>1416.1</c:v>
                </c:pt>
                <c:pt idx="28">
                  <c:v>1450.1</c:v>
                </c:pt>
                <c:pt idx="29">
                  <c:v>1557.9</c:v>
                </c:pt>
                <c:pt idx="30">
                  <c:v>1292.5999999999999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43.3</c:v>
                </c:pt>
                <c:pt idx="1">
                  <c:v>42.7</c:v>
                </c:pt>
                <c:pt idx="2">
                  <c:v>73.099999999999994</c:v>
                </c:pt>
                <c:pt idx="3">
                  <c:v>111.1</c:v>
                </c:pt>
                <c:pt idx="4">
                  <c:v>74.599999999999994</c:v>
                </c:pt>
                <c:pt idx="5">
                  <c:v>130.30000000000001</c:v>
                </c:pt>
                <c:pt idx="6">
                  <c:v>210.6</c:v>
                </c:pt>
                <c:pt idx="7">
                  <c:v>181.7</c:v>
                </c:pt>
                <c:pt idx="8">
                  <c:v>204.2</c:v>
                </c:pt>
                <c:pt idx="9">
                  <c:v>122.7</c:v>
                </c:pt>
                <c:pt idx="10">
                  <c:v>51.6</c:v>
                </c:pt>
                <c:pt idx="11">
                  <c:v>32.4</c:v>
                </c:pt>
                <c:pt idx="12">
                  <c:v>106.5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7.emf"/><Relationship Id="rId4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14</xdr:row>
          <xdr:rowOff>219075</xdr:rowOff>
        </xdr:from>
        <xdr:to>
          <xdr:col>8</xdr:col>
          <xdr:colOff>666750</xdr:colOff>
          <xdr:row>16</xdr:row>
          <xdr:rowOff>142875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48485" name="CommandButton5" hidden="1">
              <a:extLst>
                <a:ext uri="{63B3BB69-23CF-44E3-9099-C40C66FF867C}">
                  <a14:compatExt spid="_x0000_s148485"/>
                </a:ext>
                <a:ext uri="{FF2B5EF4-FFF2-40B4-BE49-F238E27FC236}">
                  <a16:creationId xmlns:a16="http://schemas.microsoft.com/office/drawing/2014/main" id="{CB22D13B-6464-48B4-B22D-EB18FAEEF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48486" name="Frame1" hidden="1">
              <a:extLst>
                <a:ext uri="{63B3BB69-23CF-44E3-9099-C40C66FF867C}">
                  <a14:compatExt spid="_x0000_s148486"/>
                </a:ext>
                <a:ext uri="{FF2B5EF4-FFF2-40B4-BE49-F238E27FC236}">
                  <a16:creationId xmlns:a16="http://schemas.microsoft.com/office/drawing/2014/main" id="{1C2ED04E-1043-4964-B0DF-48523DB9C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48487" name="CommandButton6" hidden="1">
              <a:extLst>
                <a:ext uri="{63B3BB69-23CF-44E3-9099-C40C66FF867C}">
                  <a14:compatExt spid="_x0000_s148487"/>
                </a:ext>
                <a:ext uri="{FF2B5EF4-FFF2-40B4-BE49-F238E27FC236}">
                  <a16:creationId xmlns:a16="http://schemas.microsoft.com/office/drawing/2014/main" id="{ECC230E4-7463-4CFC-AE55-6951D536E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49505" name="CommandButton5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75D2354D-8C0B-4231-AA97-8DFE12BF7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49506" name="Frame1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5ADAC153-66B0-49F4-B304-4E1393C56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49507" name="CommandButton6" hidden="1">
              <a:extLst>
                <a:ext uri="{63B3BB69-23CF-44E3-9099-C40C66FF867C}">
                  <a14:compatExt spid="_x0000_s149507"/>
                </a:ext>
                <a:ext uri="{FF2B5EF4-FFF2-40B4-BE49-F238E27FC236}">
                  <a16:creationId xmlns:a16="http://schemas.microsoft.com/office/drawing/2014/main" id="{45996604-F2FA-4404-BA2C-EAB1B880C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50529" name="CommandButton5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4C845872-767A-4E97-9F80-CE1DF6A25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50530" name="Frame1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:a16="http://schemas.microsoft.com/office/drawing/2014/main" id="{25D6AA35-E89B-42FC-9093-1904F4B5B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50531" name="CommandButton6" hidden="1">
              <a:extLst>
                <a:ext uri="{63B3BB69-23CF-44E3-9099-C40C66FF867C}">
                  <a14:compatExt spid="_x0000_s150531"/>
                </a:ext>
                <a:ext uri="{FF2B5EF4-FFF2-40B4-BE49-F238E27FC236}">
                  <a16:creationId xmlns:a16="http://schemas.microsoft.com/office/drawing/2014/main" id="{82B350A9-8C65-4B31-B130-B3ABC9D02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10" Type="http://schemas.openxmlformats.org/officeDocument/2006/relationships/comments" Target="../comments3.xml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10" Type="http://schemas.openxmlformats.org/officeDocument/2006/relationships/comments" Target="../comments4.xml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10" Type="http://schemas.openxmlformats.org/officeDocument/2006/relationships/comments" Target="../comments5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9" zoomScaleNormal="100" workbookViewId="0">
      <selection activeCell="R15" sqref="R15"/>
    </sheetView>
  </sheetViews>
  <sheetFormatPr defaultRowHeight="16.5"/>
  <cols>
    <col min="1" max="1" width="8.88671875" style="45"/>
    <col min="2" max="2" width="5.88671875" style="44" customWidth="1"/>
    <col min="3" max="9" width="5.77734375" style="45" customWidth="1"/>
    <col min="10" max="10" width="6.77734375" style="45" customWidth="1"/>
    <col min="11" max="11" width="5.77734375" style="45" customWidth="1"/>
    <col min="12" max="12" width="5.6640625" style="45" customWidth="1"/>
    <col min="13" max="14" width="5.77734375" style="45" customWidth="1"/>
    <col min="15" max="15" width="8.109375" style="45" customWidth="1"/>
    <col min="16" max="16" width="6.44140625" style="45" customWidth="1"/>
    <col min="17" max="17" width="12.21875" style="45" bestFit="1" customWidth="1"/>
    <col min="18" max="16384" width="8.88671875" style="45"/>
  </cols>
  <sheetData>
    <row r="2" spans="2:17" ht="26.25" customHeight="1">
      <c r="B2" s="394" t="s">
        <v>210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</row>
    <row r="3" spans="2:17" ht="17.25" thickBot="1">
      <c r="I3"/>
      <c r="J3"/>
      <c r="K3"/>
    </row>
    <row r="4" spans="2:17" s="105" customFormat="1" ht="22.5" customHeight="1">
      <c r="B4" s="102" t="s">
        <v>52</v>
      </c>
      <c r="C4" s="103" t="s">
        <v>53</v>
      </c>
      <c r="D4" s="103" t="s">
        <v>41</v>
      </c>
      <c r="E4" s="103" t="s">
        <v>42</v>
      </c>
      <c r="F4" s="103" t="s">
        <v>43</v>
      </c>
      <c r="G4" s="103" t="s">
        <v>44</v>
      </c>
      <c r="H4" s="103" t="s">
        <v>12</v>
      </c>
      <c r="I4" s="103" t="s">
        <v>13</v>
      </c>
      <c r="J4" s="103" t="s">
        <v>14</v>
      </c>
      <c r="K4" s="103" t="s">
        <v>15</v>
      </c>
      <c r="L4" s="103" t="s">
        <v>16</v>
      </c>
      <c r="M4" s="103" t="s">
        <v>17</v>
      </c>
      <c r="N4" s="104" t="s">
        <v>18</v>
      </c>
      <c r="O4" s="102" t="s">
        <v>55</v>
      </c>
      <c r="P4" s="104" t="s">
        <v>56</v>
      </c>
    </row>
    <row r="5" spans="2:17" ht="22.5" customHeight="1">
      <c r="B5" s="331">
        <v>1991</v>
      </c>
      <c r="C5" s="334">
        <v>38.200000000000003</v>
      </c>
      <c r="D5" s="334">
        <v>36.6</v>
      </c>
      <c r="E5" s="334">
        <v>108.6</v>
      </c>
      <c r="F5" s="334">
        <v>164.5</v>
      </c>
      <c r="G5" s="334">
        <v>84.8</v>
      </c>
      <c r="H5" s="334">
        <v>171</v>
      </c>
      <c r="I5" s="334">
        <v>449.6</v>
      </c>
      <c r="J5" s="334">
        <v>698.7</v>
      </c>
      <c r="K5" s="334">
        <v>169.1</v>
      </c>
      <c r="L5" s="334">
        <v>2.8</v>
      </c>
      <c r="M5" s="334">
        <v>12.4</v>
      </c>
      <c r="N5" s="335">
        <v>122.6</v>
      </c>
      <c r="O5" s="106">
        <f>ROUND(SUM(C5:N5),1)</f>
        <v>2058.9</v>
      </c>
      <c r="P5" s="107">
        <f>ROUND(O5/12,1)</f>
        <v>171.6</v>
      </c>
      <c r="Q5" s="108"/>
    </row>
    <row r="6" spans="2:17" ht="22.5" customHeight="1">
      <c r="B6" s="332">
        <v>1992</v>
      </c>
      <c r="C6" s="336">
        <v>41.5</v>
      </c>
      <c r="D6" s="336">
        <v>26.9</v>
      </c>
      <c r="E6" s="336">
        <v>96.1</v>
      </c>
      <c r="F6" s="336">
        <v>152.69999999999999</v>
      </c>
      <c r="G6" s="336">
        <v>86.3</v>
      </c>
      <c r="H6" s="336">
        <v>29.2</v>
      </c>
      <c r="I6" s="336">
        <v>103.5</v>
      </c>
      <c r="J6" s="336">
        <v>318.39999999999998</v>
      </c>
      <c r="K6" s="336">
        <v>168</v>
      </c>
      <c r="L6" s="336">
        <v>24.8</v>
      </c>
      <c r="M6" s="336">
        <v>53.6</v>
      </c>
      <c r="N6" s="337">
        <v>54.4</v>
      </c>
      <c r="O6" s="110">
        <f t="shared" ref="O6:O34" si="0">ROUND(SUM(C6:N6),1)</f>
        <v>1155.4000000000001</v>
      </c>
      <c r="P6" s="111">
        <f t="shared" ref="P6:P34" si="1">ROUND(O6/12,1)</f>
        <v>96.3</v>
      </c>
      <c r="Q6" s="108"/>
    </row>
    <row r="7" spans="2:17" ht="22.5" customHeight="1">
      <c r="B7" s="332">
        <v>1993</v>
      </c>
      <c r="C7" s="336">
        <v>52.4</v>
      </c>
      <c r="D7" s="336">
        <v>75.7</v>
      </c>
      <c r="E7" s="336">
        <v>55.4</v>
      </c>
      <c r="F7" s="336">
        <v>22.8</v>
      </c>
      <c r="G7" s="336">
        <v>119.9</v>
      </c>
      <c r="H7" s="336">
        <v>236.7</v>
      </c>
      <c r="I7" s="336">
        <v>327.2</v>
      </c>
      <c r="J7" s="336">
        <v>559.5</v>
      </c>
      <c r="K7" s="336">
        <v>30.1</v>
      </c>
      <c r="L7" s="336">
        <v>78.400000000000006</v>
      </c>
      <c r="M7" s="336">
        <v>69.900000000000006</v>
      </c>
      <c r="N7" s="337">
        <v>21.4</v>
      </c>
      <c r="O7" s="110">
        <f t="shared" si="0"/>
        <v>1649.4</v>
      </c>
      <c r="P7" s="111">
        <f t="shared" si="1"/>
        <v>137.5</v>
      </c>
      <c r="Q7" s="108"/>
    </row>
    <row r="8" spans="2:17" ht="22.5" customHeight="1">
      <c r="B8" s="332">
        <v>1994</v>
      </c>
      <c r="C8" s="336">
        <v>28.2</v>
      </c>
      <c r="D8" s="336">
        <v>44.9</v>
      </c>
      <c r="E8" s="336">
        <v>31</v>
      </c>
      <c r="F8" s="336">
        <v>83.6</v>
      </c>
      <c r="G8" s="336">
        <v>186.9</v>
      </c>
      <c r="H8" s="336">
        <v>122.1</v>
      </c>
      <c r="I8" s="336">
        <v>103.3</v>
      </c>
      <c r="J8" s="336">
        <v>61.2</v>
      </c>
      <c r="K8" s="336">
        <v>68.2</v>
      </c>
      <c r="L8" s="336">
        <v>142.69999999999999</v>
      </c>
      <c r="M8" s="336">
        <v>43</v>
      </c>
      <c r="N8" s="337">
        <v>6.3</v>
      </c>
      <c r="O8" s="110">
        <f t="shared" si="0"/>
        <v>921.4</v>
      </c>
      <c r="P8" s="111">
        <f t="shared" si="1"/>
        <v>76.8</v>
      </c>
      <c r="Q8" s="108"/>
    </row>
    <row r="9" spans="2:17" ht="22.5" customHeight="1">
      <c r="B9" s="332">
        <v>1995</v>
      </c>
      <c r="C9" s="336">
        <v>29.6</v>
      </c>
      <c r="D9" s="336">
        <v>19.100000000000001</v>
      </c>
      <c r="E9" s="336">
        <v>68.5</v>
      </c>
      <c r="F9" s="336">
        <v>64.8</v>
      </c>
      <c r="G9" s="336">
        <v>90.3</v>
      </c>
      <c r="H9" s="336">
        <v>115.1</v>
      </c>
      <c r="I9" s="336">
        <v>110.3</v>
      </c>
      <c r="J9" s="336">
        <v>99.9</v>
      </c>
      <c r="K9" s="336">
        <v>45.5</v>
      </c>
      <c r="L9" s="336">
        <v>47.6</v>
      </c>
      <c r="M9" s="336">
        <v>2.1</v>
      </c>
      <c r="N9" s="337">
        <v>0.2</v>
      </c>
      <c r="O9" s="110">
        <f t="shared" si="0"/>
        <v>693</v>
      </c>
      <c r="P9" s="111">
        <f t="shared" si="1"/>
        <v>57.8</v>
      </c>
      <c r="Q9" s="108"/>
    </row>
    <row r="10" spans="2:17" ht="22.5" customHeight="1">
      <c r="B10" s="332">
        <v>1996</v>
      </c>
      <c r="C10" s="336">
        <v>32.5</v>
      </c>
      <c r="D10" s="336">
        <v>2.5</v>
      </c>
      <c r="E10" s="336">
        <v>160.1</v>
      </c>
      <c r="F10" s="336">
        <v>63.8</v>
      </c>
      <c r="G10" s="336">
        <v>42</v>
      </c>
      <c r="H10" s="336">
        <v>371</v>
      </c>
      <c r="I10" s="336">
        <v>116.8</v>
      </c>
      <c r="J10" s="336">
        <v>74.599999999999994</v>
      </c>
      <c r="K10" s="336">
        <v>26.8</v>
      </c>
      <c r="L10" s="336">
        <v>35.9</v>
      </c>
      <c r="M10" s="336">
        <v>61.7</v>
      </c>
      <c r="N10" s="337">
        <v>27.3</v>
      </c>
      <c r="O10" s="110">
        <f t="shared" si="0"/>
        <v>1015</v>
      </c>
      <c r="P10" s="111">
        <f t="shared" si="1"/>
        <v>84.6</v>
      </c>
      <c r="Q10" s="108"/>
    </row>
    <row r="11" spans="2:17" ht="22.5" customHeight="1">
      <c r="B11" s="332">
        <v>1997</v>
      </c>
      <c r="C11" s="336">
        <v>10.9</v>
      </c>
      <c r="D11" s="336">
        <v>4.4000000000000004</v>
      </c>
      <c r="E11" s="336">
        <v>25.4</v>
      </c>
      <c r="F11" s="336">
        <v>57</v>
      </c>
      <c r="G11" s="336">
        <v>172.9</v>
      </c>
      <c r="H11" s="336">
        <v>282.10000000000002</v>
      </c>
      <c r="I11" s="336">
        <v>188.5</v>
      </c>
      <c r="J11" s="336">
        <v>192.3</v>
      </c>
      <c r="K11" s="336">
        <v>50</v>
      </c>
      <c r="L11" s="336">
        <v>0.7</v>
      </c>
      <c r="M11" s="336">
        <v>151.6</v>
      </c>
      <c r="N11" s="337">
        <v>62.8</v>
      </c>
      <c r="O11" s="110">
        <f t="shared" si="0"/>
        <v>1198.5999999999999</v>
      </c>
      <c r="P11" s="111">
        <f t="shared" si="1"/>
        <v>99.9</v>
      </c>
    </row>
    <row r="12" spans="2:17" ht="22.5" customHeight="1">
      <c r="B12" s="332">
        <v>1998</v>
      </c>
      <c r="C12" s="336">
        <v>119.6</v>
      </c>
      <c r="D12" s="336">
        <v>81.599999999999994</v>
      </c>
      <c r="E12" s="336">
        <v>51.6</v>
      </c>
      <c r="F12" s="336">
        <v>182</v>
      </c>
      <c r="G12" s="336">
        <v>166.5</v>
      </c>
      <c r="H12" s="336">
        <v>268.7</v>
      </c>
      <c r="I12" s="336">
        <v>194.5</v>
      </c>
      <c r="J12" s="336">
        <v>346</v>
      </c>
      <c r="K12" s="336">
        <v>259.60000000000002</v>
      </c>
      <c r="L12" s="336">
        <v>107.1</v>
      </c>
      <c r="M12" s="336">
        <v>18.5</v>
      </c>
      <c r="N12" s="337">
        <v>0.3</v>
      </c>
      <c r="O12" s="110">
        <f t="shared" si="0"/>
        <v>1796</v>
      </c>
      <c r="P12" s="111">
        <f t="shared" si="1"/>
        <v>149.69999999999999</v>
      </c>
    </row>
    <row r="13" spans="2:17" ht="22.5" customHeight="1">
      <c r="B13" s="332">
        <v>1999</v>
      </c>
      <c r="C13" s="336">
        <v>30.6</v>
      </c>
      <c r="D13" s="336">
        <v>29</v>
      </c>
      <c r="E13" s="336">
        <v>122.3</v>
      </c>
      <c r="F13" s="336">
        <v>74.5</v>
      </c>
      <c r="G13" s="336">
        <v>157.1</v>
      </c>
      <c r="H13" s="336">
        <v>229</v>
      </c>
      <c r="I13" s="336">
        <v>296.3</v>
      </c>
      <c r="J13" s="336">
        <v>447.4</v>
      </c>
      <c r="K13" s="336">
        <v>367.3</v>
      </c>
      <c r="L13" s="336">
        <v>89.9</v>
      </c>
      <c r="M13" s="336">
        <v>21.5</v>
      </c>
      <c r="N13" s="337">
        <v>0</v>
      </c>
      <c r="O13" s="110">
        <f t="shared" si="0"/>
        <v>1864.9</v>
      </c>
      <c r="P13" s="111">
        <f t="shared" si="1"/>
        <v>155.4</v>
      </c>
    </row>
    <row r="14" spans="2:17" ht="22.5" customHeight="1">
      <c r="B14" s="332">
        <v>2000</v>
      </c>
      <c r="C14" s="336">
        <v>24</v>
      </c>
      <c r="D14" s="336">
        <v>0.1</v>
      </c>
      <c r="E14" s="336">
        <v>58.5</v>
      </c>
      <c r="F14" s="336">
        <v>62.5</v>
      </c>
      <c r="G14" s="336">
        <v>49.2</v>
      </c>
      <c r="H14" s="336">
        <v>78.400000000000006</v>
      </c>
      <c r="I14" s="336">
        <v>165.4</v>
      </c>
      <c r="J14" s="336">
        <v>262.10000000000002</v>
      </c>
      <c r="K14" s="336">
        <v>217</v>
      </c>
      <c r="L14" s="336">
        <v>41.4</v>
      </c>
      <c r="M14" s="336">
        <v>67.5</v>
      </c>
      <c r="N14" s="337">
        <v>1</v>
      </c>
      <c r="O14" s="110">
        <f t="shared" si="0"/>
        <v>1027.0999999999999</v>
      </c>
      <c r="P14" s="111">
        <f t="shared" si="1"/>
        <v>85.6</v>
      </c>
    </row>
    <row r="15" spans="2:17" ht="22.5" customHeight="1">
      <c r="B15" s="332">
        <v>2001</v>
      </c>
      <c r="C15" s="336">
        <v>59.4</v>
      </c>
      <c r="D15" s="336">
        <v>56.2</v>
      </c>
      <c r="E15" s="336">
        <v>9.4</v>
      </c>
      <c r="F15" s="336">
        <v>28</v>
      </c>
      <c r="G15" s="336">
        <v>55.9</v>
      </c>
      <c r="H15" s="336">
        <v>203.3</v>
      </c>
      <c r="I15" s="336">
        <v>121.6</v>
      </c>
      <c r="J15" s="336">
        <v>87.4</v>
      </c>
      <c r="K15" s="336">
        <v>94.5</v>
      </c>
      <c r="L15" s="336">
        <v>98.3</v>
      </c>
      <c r="M15" s="336">
        <v>13.2</v>
      </c>
      <c r="N15" s="337">
        <v>41.9</v>
      </c>
      <c r="O15" s="110">
        <f t="shared" si="0"/>
        <v>869.1</v>
      </c>
      <c r="P15" s="111">
        <f t="shared" si="1"/>
        <v>72.400000000000006</v>
      </c>
    </row>
    <row r="16" spans="2:17" ht="22.5" customHeight="1">
      <c r="B16" s="332">
        <v>2002</v>
      </c>
      <c r="C16" s="336">
        <v>49.6</v>
      </c>
      <c r="D16" s="336">
        <v>7.2</v>
      </c>
      <c r="E16" s="336">
        <v>86.5</v>
      </c>
      <c r="F16" s="336">
        <v>91.1</v>
      </c>
      <c r="G16" s="336">
        <v>112.9</v>
      </c>
      <c r="H16" s="336">
        <v>52.6</v>
      </c>
      <c r="I16" s="336">
        <v>326.60000000000002</v>
      </c>
      <c r="J16" s="336">
        <v>592.5</v>
      </c>
      <c r="K16" s="336">
        <v>99.9</v>
      </c>
      <c r="L16" s="336">
        <v>89.9</v>
      </c>
      <c r="M16" s="336">
        <v>3.5</v>
      </c>
      <c r="N16" s="337">
        <v>47.5</v>
      </c>
      <c r="O16" s="110">
        <f t="shared" si="0"/>
        <v>1559.8</v>
      </c>
      <c r="P16" s="111">
        <f t="shared" si="1"/>
        <v>130</v>
      </c>
    </row>
    <row r="17" spans="2:16" ht="22.5" customHeight="1">
      <c r="B17" s="332">
        <v>2003</v>
      </c>
      <c r="C17" s="336">
        <v>26.7</v>
      </c>
      <c r="D17" s="336">
        <v>50.6</v>
      </c>
      <c r="E17" s="336">
        <v>40.4</v>
      </c>
      <c r="F17" s="336">
        <v>156.6</v>
      </c>
      <c r="G17" s="336">
        <v>352.8</v>
      </c>
      <c r="H17" s="336">
        <v>269</v>
      </c>
      <c r="I17" s="336">
        <v>469.8</v>
      </c>
      <c r="J17" s="336">
        <v>223.1</v>
      </c>
      <c r="K17" s="336">
        <v>145.19999999999999</v>
      </c>
      <c r="L17" s="336">
        <v>4.5</v>
      </c>
      <c r="M17" s="336">
        <v>114.5</v>
      </c>
      <c r="N17" s="337">
        <v>11</v>
      </c>
      <c r="O17" s="110">
        <f t="shared" si="0"/>
        <v>1864.2</v>
      </c>
      <c r="P17" s="111">
        <f t="shared" si="1"/>
        <v>155.4</v>
      </c>
    </row>
    <row r="18" spans="2:16" ht="22.5" customHeight="1">
      <c r="B18" s="332">
        <v>2004</v>
      </c>
      <c r="C18" s="336">
        <v>10.7</v>
      </c>
      <c r="D18" s="336">
        <v>51.1</v>
      </c>
      <c r="E18" s="336">
        <v>20.5</v>
      </c>
      <c r="F18" s="336">
        <v>124.5</v>
      </c>
      <c r="G18" s="336">
        <v>104</v>
      </c>
      <c r="H18" s="336">
        <v>201.8</v>
      </c>
      <c r="I18" s="336">
        <v>102</v>
      </c>
      <c r="J18" s="336">
        <v>264.89999999999998</v>
      </c>
      <c r="K18" s="336">
        <v>273.60000000000002</v>
      </c>
      <c r="L18" s="336">
        <v>6.7</v>
      </c>
      <c r="M18" s="336">
        <v>64.7</v>
      </c>
      <c r="N18" s="337">
        <v>25.6</v>
      </c>
      <c r="O18" s="110">
        <f t="shared" si="0"/>
        <v>1250.0999999999999</v>
      </c>
      <c r="P18" s="111">
        <f t="shared" si="1"/>
        <v>104.2</v>
      </c>
    </row>
    <row r="19" spans="2:16" ht="22.5" customHeight="1">
      <c r="B19" s="332">
        <v>2005</v>
      </c>
      <c r="C19" s="336">
        <v>36.5</v>
      </c>
      <c r="D19" s="336">
        <v>34.4</v>
      </c>
      <c r="E19" s="336">
        <v>102.9</v>
      </c>
      <c r="F19" s="336">
        <v>48.1</v>
      </c>
      <c r="G19" s="336">
        <v>52.6</v>
      </c>
      <c r="H19" s="336">
        <v>72.5</v>
      </c>
      <c r="I19" s="336">
        <v>148.1</v>
      </c>
      <c r="J19" s="336">
        <v>210.6</v>
      </c>
      <c r="K19" s="336">
        <v>392.2</v>
      </c>
      <c r="L19" s="336">
        <v>12.2</v>
      </c>
      <c r="M19" s="336">
        <v>24.5</v>
      </c>
      <c r="N19" s="337">
        <v>1.1000000000000001</v>
      </c>
      <c r="O19" s="110">
        <f t="shared" si="0"/>
        <v>1135.7</v>
      </c>
      <c r="P19" s="111">
        <f t="shared" si="1"/>
        <v>94.6</v>
      </c>
    </row>
    <row r="20" spans="2:16" ht="22.5" customHeight="1">
      <c r="B20" s="332">
        <v>2006</v>
      </c>
      <c r="C20" s="336">
        <v>27.2</v>
      </c>
      <c r="D20" s="336">
        <v>33.299999999999997</v>
      </c>
      <c r="E20" s="336">
        <v>21</v>
      </c>
      <c r="F20" s="336">
        <v>135.1</v>
      </c>
      <c r="G20" s="336">
        <v>207.1</v>
      </c>
      <c r="H20" s="336">
        <v>100.7</v>
      </c>
      <c r="I20" s="336">
        <v>543.20000000000005</v>
      </c>
      <c r="J20" s="336">
        <v>131.69999999999999</v>
      </c>
      <c r="K20" s="336">
        <v>150</v>
      </c>
      <c r="L20" s="336">
        <v>21</v>
      </c>
      <c r="M20" s="336">
        <v>16.100000000000001</v>
      </c>
      <c r="N20" s="337">
        <v>7.5</v>
      </c>
      <c r="O20" s="110">
        <f t="shared" si="0"/>
        <v>1393.9</v>
      </c>
      <c r="P20" s="111">
        <f t="shared" si="1"/>
        <v>116.2</v>
      </c>
    </row>
    <row r="21" spans="2:16" ht="22.5" customHeight="1">
      <c r="B21" s="332">
        <v>2007</v>
      </c>
      <c r="C21" s="336">
        <v>3</v>
      </c>
      <c r="D21" s="336">
        <v>49.3</v>
      </c>
      <c r="E21" s="336">
        <v>82.1</v>
      </c>
      <c r="F21" s="336">
        <v>30.5</v>
      </c>
      <c r="G21" s="336">
        <v>84.4</v>
      </c>
      <c r="H21" s="336">
        <v>118</v>
      </c>
      <c r="I21" s="336">
        <v>216.3</v>
      </c>
      <c r="J21" s="336">
        <v>171.4</v>
      </c>
      <c r="K21" s="336">
        <v>228.5</v>
      </c>
      <c r="L21" s="336">
        <v>110.7</v>
      </c>
      <c r="M21" s="336">
        <v>2</v>
      </c>
      <c r="N21" s="337">
        <v>39.6</v>
      </c>
      <c r="O21" s="110">
        <f t="shared" si="0"/>
        <v>1135.8</v>
      </c>
      <c r="P21" s="111">
        <f t="shared" si="1"/>
        <v>94.7</v>
      </c>
    </row>
    <row r="22" spans="2:16" ht="22.5" customHeight="1">
      <c r="B22" s="332">
        <v>2008</v>
      </c>
      <c r="C22" s="336">
        <v>73.5</v>
      </c>
      <c r="D22" s="336">
        <v>10</v>
      </c>
      <c r="E22" s="336">
        <v>47.9</v>
      </c>
      <c r="F22" s="336">
        <v>78.2</v>
      </c>
      <c r="G22" s="336">
        <v>121.6</v>
      </c>
      <c r="H22" s="336">
        <v>171.5</v>
      </c>
      <c r="I22" s="336">
        <v>218.2</v>
      </c>
      <c r="J22" s="336">
        <v>305.39999999999998</v>
      </c>
      <c r="K22" s="336">
        <v>49.4</v>
      </c>
      <c r="L22" s="336">
        <v>9.4</v>
      </c>
      <c r="M22" s="336">
        <v>16.7</v>
      </c>
      <c r="N22" s="337">
        <v>10.5</v>
      </c>
      <c r="O22" s="110">
        <f t="shared" si="0"/>
        <v>1112.3</v>
      </c>
      <c r="P22" s="111">
        <f t="shared" si="1"/>
        <v>92.7</v>
      </c>
    </row>
    <row r="23" spans="2:16" ht="22.5" customHeight="1">
      <c r="B23" s="332">
        <v>2009</v>
      </c>
      <c r="C23" s="336">
        <v>14.7</v>
      </c>
      <c r="D23" s="336">
        <v>48.6</v>
      </c>
      <c r="E23" s="336">
        <v>35</v>
      </c>
      <c r="F23" s="336">
        <v>62.9</v>
      </c>
      <c r="G23" s="336">
        <v>92.3</v>
      </c>
      <c r="H23" s="336">
        <v>228.7</v>
      </c>
      <c r="I23" s="336">
        <v>450.7</v>
      </c>
      <c r="J23" s="336">
        <v>43</v>
      </c>
      <c r="K23" s="336">
        <v>50.4</v>
      </c>
      <c r="L23" s="336">
        <v>54.5</v>
      </c>
      <c r="M23" s="336">
        <v>36.299999999999997</v>
      </c>
      <c r="N23" s="337">
        <v>16.100000000000001</v>
      </c>
      <c r="O23" s="110">
        <f t="shared" si="0"/>
        <v>1133.2</v>
      </c>
      <c r="P23" s="111">
        <f t="shared" si="1"/>
        <v>94.4</v>
      </c>
    </row>
    <row r="24" spans="2:16" ht="22.5" customHeight="1">
      <c r="B24" s="332">
        <v>2010</v>
      </c>
      <c r="C24" s="336">
        <v>17</v>
      </c>
      <c r="D24" s="336">
        <v>108</v>
      </c>
      <c r="E24" s="336">
        <v>98.9</v>
      </c>
      <c r="F24" s="336">
        <v>112.8</v>
      </c>
      <c r="G24" s="336">
        <v>137.30000000000001</v>
      </c>
      <c r="H24" s="336">
        <v>40.1</v>
      </c>
      <c r="I24" s="336">
        <v>266.8</v>
      </c>
      <c r="J24" s="336">
        <v>114.5</v>
      </c>
      <c r="K24" s="336">
        <v>182</v>
      </c>
      <c r="L24" s="336">
        <v>38.5</v>
      </c>
      <c r="M24" s="336">
        <v>15.5</v>
      </c>
      <c r="N24" s="337">
        <v>30.2</v>
      </c>
      <c r="O24" s="110">
        <f t="shared" si="0"/>
        <v>1161.5999999999999</v>
      </c>
      <c r="P24" s="111">
        <f t="shared" si="1"/>
        <v>96.8</v>
      </c>
    </row>
    <row r="25" spans="2:16" ht="22.5" customHeight="1">
      <c r="B25" s="332">
        <v>2011</v>
      </c>
      <c r="C25" s="336">
        <v>10.5</v>
      </c>
      <c r="D25" s="336">
        <v>76.099999999999994</v>
      </c>
      <c r="E25" s="336">
        <v>18.5</v>
      </c>
      <c r="F25" s="336">
        <v>83.6</v>
      </c>
      <c r="G25" s="336">
        <v>114.8</v>
      </c>
      <c r="H25" s="336">
        <v>293.5</v>
      </c>
      <c r="I25" s="336">
        <v>284.8</v>
      </c>
      <c r="J25" s="336">
        <v>71</v>
      </c>
      <c r="K25" s="336">
        <v>96.5</v>
      </c>
      <c r="L25" s="336">
        <v>71</v>
      </c>
      <c r="M25" s="336">
        <v>93.9</v>
      </c>
      <c r="N25" s="337">
        <v>19</v>
      </c>
      <c r="O25" s="110">
        <f t="shared" si="0"/>
        <v>1233.2</v>
      </c>
      <c r="P25" s="111">
        <f t="shared" si="1"/>
        <v>102.8</v>
      </c>
    </row>
    <row r="26" spans="2:16" ht="22.5" customHeight="1">
      <c r="B26" s="332">
        <v>2012</v>
      </c>
      <c r="C26" s="336">
        <v>74.2</v>
      </c>
      <c r="D26" s="336">
        <v>12</v>
      </c>
      <c r="E26" s="336">
        <v>103.2</v>
      </c>
      <c r="F26" s="336">
        <v>150.5</v>
      </c>
      <c r="G26" s="336">
        <v>38.1</v>
      </c>
      <c r="H26" s="336">
        <v>76.400000000000006</v>
      </c>
      <c r="I26" s="336">
        <v>221</v>
      </c>
      <c r="J26" s="336">
        <v>220.4</v>
      </c>
      <c r="K26" s="336">
        <v>392.6</v>
      </c>
      <c r="L26" s="336">
        <v>40.6</v>
      </c>
      <c r="M26" s="336">
        <v>65.900000000000006</v>
      </c>
      <c r="N26" s="337">
        <v>63.2</v>
      </c>
      <c r="O26" s="110">
        <f t="shared" si="0"/>
        <v>1458.1</v>
      </c>
      <c r="P26" s="111">
        <f t="shared" si="1"/>
        <v>121.5</v>
      </c>
    </row>
    <row r="27" spans="2:16" ht="22.5" customHeight="1">
      <c r="B27" s="332">
        <v>2013</v>
      </c>
      <c r="C27" s="336">
        <v>22</v>
      </c>
      <c r="D27" s="336">
        <v>26.4</v>
      </c>
      <c r="E27" s="336">
        <v>78</v>
      </c>
      <c r="F27" s="336">
        <v>86.5</v>
      </c>
      <c r="G27" s="336">
        <v>155.1</v>
      </c>
      <c r="H27" s="336">
        <v>79.900000000000006</v>
      </c>
      <c r="I27" s="336">
        <v>130.1</v>
      </c>
      <c r="J27" s="336">
        <v>47.7</v>
      </c>
      <c r="K27" s="336">
        <v>49.6</v>
      </c>
      <c r="L27" s="336">
        <v>130.30000000000001</v>
      </c>
      <c r="M27" s="336">
        <v>41.6</v>
      </c>
      <c r="N27" s="337">
        <v>12.2</v>
      </c>
      <c r="O27" s="110">
        <f t="shared" si="0"/>
        <v>859.4</v>
      </c>
      <c r="P27" s="111">
        <f t="shared" si="1"/>
        <v>71.599999999999994</v>
      </c>
    </row>
    <row r="28" spans="2:16" ht="22.5" customHeight="1">
      <c r="B28" s="332">
        <v>2014</v>
      </c>
      <c r="C28" s="336">
        <v>8.6</v>
      </c>
      <c r="D28" s="336">
        <v>98.5</v>
      </c>
      <c r="E28" s="336">
        <v>122.4</v>
      </c>
      <c r="F28" s="336">
        <v>91.2</v>
      </c>
      <c r="G28" s="336">
        <v>45.7</v>
      </c>
      <c r="H28" s="336">
        <v>73.599999999999994</v>
      </c>
      <c r="I28" s="336">
        <v>96.9</v>
      </c>
      <c r="J28" s="336">
        <v>577.5</v>
      </c>
      <c r="K28" s="336">
        <v>113.2</v>
      </c>
      <c r="L28" s="336">
        <v>120.3</v>
      </c>
      <c r="M28" s="336">
        <v>44.3</v>
      </c>
      <c r="N28" s="337">
        <v>6.5</v>
      </c>
      <c r="O28" s="110">
        <f t="shared" si="0"/>
        <v>1398.7</v>
      </c>
      <c r="P28" s="111">
        <f t="shared" si="1"/>
        <v>116.6</v>
      </c>
    </row>
    <row r="29" spans="2:16" ht="22.5" customHeight="1">
      <c r="B29" s="332">
        <v>2015</v>
      </c>
      <c r="C29" s="336">
        <v>26.3</v>
      </c>
      <c r="D29" s="336">
        <v>20.399999999999999</v>
      </c>
      <c r="E29" s="336">
        <v>51.7</v>
      </c>
      <c r="F29" s="336">
        <v>122.9</v>
      </c>
      <c r="G29" s="336">
        <v>98.3</v>
      </c>
      <c r="H29" s="336">
        <v>77</v>
      </c>
      <c r="I29" s="336">
        <v>176.3</v>
      </c>
      <c r="J29" s="336">
        <v>120.2</v>
      </c>
      <c r="K29" s="336">
        <v>160.6</v>
      </c>
      <c r="L29" s="336">
        <v>39.799999999999997</v>
      </c>
      <c r="M29" s="336">
        <v>102.8</v>
      </c>
      <c r="N29" s="337">
        <v>47.6</v>
      </c>
      <c r="O29" s="110">
        <f t="shared" si="0"/>
        <v>1043.9000000000001</v>
      </c>
      <c r="P29" s="111">
        <f t="shared" si="1"/>
        <v>87</v>
      </c>
    </row>
    <row r="30" spans="2:16" ht="22.5" customHeight="1">
      <c r="B30" s="332">
        <v>2016</v>
      </c>
      <c r="C30" s="336">
        <v>50.6</v>
      </c>
      <c r="D30" s="336">
        <v>32.4</v>
      </c>
      <c r="E30" s="336">
        <v>92.2</v>
      </c>
      <c r="F30" s="336">
        <v>179.2</v>
      </c>
      <c r="G30" s="336">
        <v>86.1</v>
      </c>
      <c r="H30" s="336">
        <v>70.099999999999994</v>
      </c>
      <c r="I30" s="336">
        <v>226.9</v>
      </c>
      <c r="J30" s="336">
        <v>98.2</v>
      </c>
      <c r="K30" s="336">
        <v>364.3</v>
      </c>
      <c r="L30" s="336">
        <v>358.7</v>
      </c>
      <c r="M30" s="336">
        <v>47.1</v>
      </c>
      <c r="N30" s="337">
        <v>88.1</v>
      </c>
      <c r="O30" s="110">
        <f t="shared" si="0"/>
        <v>1693.9</v>
      </c>
      <c r="P30" s="111">
        <f t="shared" si="1"/>
        <v>141.19999999999999</v>
      </c>
    </row>
    <row r="31" spans="2:16" ht="22.5" customHeight="1">
      <c r="B31" s="332">
        <v>2017</v>
      </c>
      <c r="C31" s="336">
        <v>15.3</v>
      </c>
      <c r="D31" s="336">
        <v>23.6</v>
      </c>
      <c r="E31" s="336">
        <v>27.6</v>
      </c>
      <c r="F31" s="336">
        <v>111.9</v>
      </c>
      <c r="G31" s="336">
        <v>26.3</v>
      </c>
      <c r="H31" s="336">
        <v>38.5</v>
      </c>
      <c r="I31" s="336">
        <v>104.6</v>
      </c>
      <c r="J31" s="336">
        <v>69.8</v>
      </c>
      <c r="K31" s="336">
        <v>178</v>
      </c>
      <c r="L31" s="336">
        <v>63.1</v>
      </c>
      <c r="M31" s="336">
        <v>0</v>
      </c>
      <c r="N31" s="337">
        <v>12.7</v>
      </c>
      <c r="O31" s="110">
        <f t="shared" si="0"/>
        <v>671.4</v>
      </c>
      <c r="P31" s="111">
        <f t="shared" si="1"/>
        <v>56</v>
      </c>
    </row>
    <row r="32" spans="2:16" ht="22.5" customHeight="1">
      <c r="B32" s="332">
        <v>2018</v>
      </c>
      <c r="C32" s="336">
        <v>31.3</v>
      </c>
      <c r="D32" s="336">
        <v>44.8</v>
      </c>
      <c r="E32" s="336">
        <v>155.30000000000001</v>
      </c>
      <c r="F32" s="336">
        <v>123.3</v>
      </c>
      <c r="G32" s="336">
        <v>95.4</v>
      </c>
      <c r="H32" s="336">
        <v>127.6</v>
      </c>
      <c r="I32" s="336">
        <v>160.30000000000001</v>
      </c>
      <c r="J32" s="336">
        <v>279.3</v>
      </c>
      <c r="K32" s="336">
        <v>156.9</v>
      </c>
      <c r="L32" s="336">
        <v>162</v>
      </c>
      <c r="M32" s="336">
        <v>51.8</v>
      </c>
      <c r="N32" s="337">
        <v>28.1</v>
      </c>
      <c r="O32" s="110">
        <f t="shared" si="0"/>
        <v>1416.1</v>
      </c>
      <c r="P32" s="111">
        <f t="shared" si="1"/>
        <v>118</v>
      </c>
    </row>
    <row r="33" spans="2:16" ht="22.5" customHeight="1">
      <c r="B33" s="332">
        <v>2019</v>
      </c>
      <c r="C33" s="336">
        <v>15.5</v>
      </c>
      <c r="D33" s="336">
        <v>38.799999999999997</v>
      </c>
      <c r="E33" s="336">
        <v>40.700000000000003</v>
      </c>
      <c r="F33" s="336">
        <v>88.9</v>
      </c>
      <c r="G33" s="336">
        <v>35</v>
      </c>
      <c r="H33" s="336">
        <v>247.5</v>
      </c>
      <c r="I33" s="336">
        <v>206.5</v>
      </c>
      <c r="J33" s="336">
        <v>195.7</v>
      </c>
      <c r="K33" s="336">
        <v>287.5</v>
      </c>
      <c r="L33" s="336">
        <v>222.2</v>
      </c>
      <c r="M33" s="336">
        <v>31</v>
      </c>
      <c r="N33" s="337">
        <v>40.799999999999997</v>
      </c>
      <c r="O33" s="110">
        <f t="shared" si="0"/>
        <v>1450.1</v>
      </c>
      <c r="P33" s="111">
        <f t="shared" si="1"/>
        <v>120.8</v>
      </c>
    </row>
    <row r="34" spans="2:16" ht="22.5" customHeight="1" thickBot="1">
      <c r="B34" s="333">
        <v>2020</v>
      </c>
      <c r="C34" s="338">
        <v>178.7</v>
      </c>
      <c r="D34" s="338">
        <v>53.6</v>
      </c>
      <c r="E34" s="338">
        <v>41.6</v>
      </c>
      <c r="F34" s="338">
        <v>73.2</v>
      </c>
      <c r="G34" s="338">
        <v>51.5</v>
      </c>
      <c r="H34" s="338">
        <v>218.6</v>
      </c>
      <c r="I34" s="338">
        <v>498.3</v>
      </c>
      <c r="J34" s="338">
        <v>137.1</v>
      </c>
      <c r="K34" s="338">
        <v>243</v>
      </c>
      <c r="L34" s="338">
        <v>18.899999999999999</v>
      </c>
      <c r="M34" s="338">
        <v>37.700000000000003</v>
      </c>
      <c r="N34" s="339">
        <v>5.7</v>
      </c>
      <c r="O34" s="114">
        <f t="shared" si="0"/>
        <v>1557.9</v>
      </c>
      <c r="P34" s="115">
        <f t="shared" si="1"/>
        <v>129.80000000000001</v>
      </c>
    </row>
    <row r="35" spans="2:16" ht="22.5" customHeight="1">
      <c r="B35" s="86" t="s">
        <v>45</v>
      </c>
      <c r="C35" s="347">
        <f>ROUND(MAX(C5:C34),1)</f>
        <v>178.7</v>
      </c>
      <c r="D35" s="347">
        <f t="shared" ref="D35:N35" si="2">ROUND(MAX(D5:D34),1)</f>
        <v>108</v>
      </c>
      <c r="E35" s="347">
        <f t="shared" si="2"/>
        <v>160.1</v>
      </c>
      <c r="F35" s="347">
        <f t="shared" si="2"/>
        <v>182</v>
      </c>
      <c r="G35" s="347">
        <f t="shared" si="2"/>
        <v>352.8</v>
      </c>
      <c r="H35" s="347">
        <f t="shared" si="2"/>
        <v>371</v>
      </c>
      <c r="I35" s="347">
        <f t="shared" si="2"/>
        <v>543.20000000000005</v>
      </c>
      <c r="J35" s="347">
        <f t="shared" si="2"/>
        <v>698.7</v>
      </c>
      <c r="K35" s="347">
        <f t="shared" si="2"/>
        <v>392.6</v>
      </c>
      <c r="L35" s="347">
        <f t="shared" si="2"/>
        <v>358.7</v>
      </c>
      <c r="M35" s="347">
        <f t="shared" si="2"/>
        <v>151.6</v>
      </c>
      <c r="N35" s="348">
        <f t="shared" si="2"/>
        <v>122.6</v>
      </c>
      <c r="O35" s="116">
        <f>ROUND(MAX(O5:O34),1)</f>
        <v>2058.9</v>
      </c>
      <c r="P35" s="117">
        <f>ROUND(MAX(P5:P34),1)</f>
        <v>171.6</v>
      </c>
    </row>
    <row r="36" spans="2:16" ht="22.5" customHeight="1">
      <c r="B36" s="77" t="s">
        <v>46</v>
      </c>
      <c r="C36" s="349">
        <f>ROUND(MIN(C5:C34),1)</f>
        <v>3</v>
      </c>
      <c r="D36" s="349">
        <f t="shared" ref="D36:N36" si="3">ROUND(MIN(D5:D34),1)</f>
        <v>0.1</v>
      </c>
      <c r="E36" s="349">
        <f t="shared" si="3"/>
        <v>9.4</v>
      </c>
      <c r="F36" s="349">
        <f t="shared" si="3"/>
        <v>22.8</v>
      </c>
      <c r="G36" s="349">
        <f t="shared" si="3"/>
        <v>26.3</v>
      </c>
      <c r="H36" s="349">
        <f t="shared" si="3"/>
        <v>29.2</v>
      </c>
      <c r="I36" s="349">
        <f t="shared" si="3"/>
        <v>96.9</v>
      </c>
      <c r="J36" s="349">
        <f t="shared" si="3"/>
        <v>43</v>
      </c>
      <c r="K36" s="349">
        <f t="shared" si="3"/>
        <v>26.8</v>
      </c>
      <c r="L36" s="349">
        <f t="shared" si="3"/>
        <v>0.7</v>
      </c>
      <c r="M36" s="349">
        <f t="shared" si="3"/>
        <v>0</v>
      </c>
      <c r="N36" s="350">
        <f t="shared" si="3"/>
        <v>0</v>
      </c>
      <c r="O36" s="118">
        <f>ROUND(MIN(O5:O34),1)</f>
        <v>671.4</v>
      </c>
      <c r="P36" s="109">
        <f>ROUND(MIN(P5:P34),1)</f>
        <v>56</v>
      </c>
    </row>
    <row r="37" spans="2:16" ht="22.5" customHeight="1" thickBot="1">
      <c r="B37" s="87" t="s">
        <v>56</v>
      </c>
      <c r="C37" s="351">
        <f>ROUND(AVERAGE(C5:C34),1)</f>
        <v>38.6</v>
      </c>
      <c r="D37" s="351">
        <f t="shared" ref="D37:N37" si="4">ROUND(AVERAGE(D5:D34),1)</f>
        <v>39.9</v>
      </c>
      <c r="E37" s="351">
        <f t="shared" si="4"/>
        <v>68.400000000000006</v>
      </c>
      <c r="F37" s="351">
        <f t="shared" si="4"/>
        <v>96.9</v>
      </c>
      <c r="G37" s="351">
        <f t="shared" si="4"/>
        <v>107.4</v>
      </c>
      <c r="H37" s="351">
        <f t="shared" si="4"/>
        <v>155.5</v>
      </c>
      <c r="I37" s="351">
        <f t="shared" si="4"/>
        <v>234.1</v>
      </c>
      <c r="J37" s="351">
        <f t="shared" si="4"/>
        <v>234.1</v>
      </c>
      <c r="K37" s="351">
        <f t="shared" si="4"/>
        <v>170.3</v>
      </c>
      <c r="L37" s="351">
        <f t="shared" si="4"/>
        <v>74.8</v>
      </c>
      <c r="M37" s="351">
        <f t="shared" si="4"/>
        <v>44.2</v>
      </c>
      <c r="N37" s="352">
        <f t="shared" si="4"/>
        <v>28.4</v>
      </c>
      <c r="O37" s="119">
        <f>ROUND(AVERAGE(O5:O34),1)</f>
        <v>1292.5999999999999</v>
      </c>
      <c r="P37" s="120">
        <f>ROUND(AVERAGE(P5:P34),1)</f>
        <v>107.7</v>
      </c>
    </row>
    <row r="38" spans="2:16" ht="21.95" customHeight="1"/>
    <row r="39" spans="2:16" ht="21.95" customHeight="1" thickBot="1"/>
    <row r="40" spans="2:16" ht="22.5" customHeight="1">
      <c r="B40" s="267" t="s">
        <v>51</v>
      </c>
      <c r="C40" s="268" t="s">
        <v>40</v>
      </c>
      <c r="D40" s="268" t="s">
        <v>41</v>
      </c>
      <c r="E40" s="268" t="s">
        <v>42</v>
      </c>
      <c r="F40" s="268" t="s">
        <v>43</v>
      </c>
      <c r="G40" s="268" t="s">
        <v>44</v>
      </c>
      <c r="H40" s="268" t="s">
        <v>12</v>
      </c>
      <c r="I40" s="268" t="s">
        <v>13</v>
      </c>
      <c r="J40" s="268" t="s">
        <v>14</v>
      </c>
      <c r="K40" s="268" t="s">
        <v>15</v>
      </c>
      <c r="L40" s="268" t="s">
        <v>16</v>
      </c>
      <c r="M40" s="268" t="s">
        <v>17</v>
      </c>
      <c r="N40" s="269" t="s">
        <v>18</v>
      </c>
      <c r="O40" s="270" t="s">
        <v>54</v>
      </c>
      <c r="P40" s="269" t="s">
        <v>39</v>
      </c>
    </row>
    <row r="41" spans="2:16" ht="22.5" customHeight="1">
      <c r="B41" s="340">
        <v>2011</v>
      </c>
      <c r="C41" s="336">
        <v>10.5</v>
      </c>
      <c r="D41" s="336">
        <v>76.099999999999994</v>
      </c>
      <c r="E41" s="336">
        <v>18.5</v>
      </c>
      <c r="F41" s="336">
        <v>83.6</v>
      </c>
      <c r="G41" s="336">
        <v>114.8</v>
      </c>
      <c r="H41" s="336">
        <v>293.5</v>
      </c>
      <c r="I41" s="336">
        <v>284.8</v>
      </c>
      <c r="J41" s="336">
        <v>71</v>
      </c>
      <c r="K41" s="336">
        <v>96.5</v>
      </c>
      <c r="L41" s="336">
        <v>71</v>
      </c>
      <c r="M41" s="336">
        <v>93.9</v>
      </c>
      <c r="N41" s="337">
        <v>19</v>
      </c>
      <c r="O41" s="121">
        <f>ROUND(SUM(C41:N41),1)</f>
        <v>1233.2</v>
      </c>
      <c r="P41" s="109">
        <f>ROUND(O41/12,1)</f>
        <v>102.8</v>
      </c>
    </row>
    <row r="42" spans="2:16" ht="22.5" customHeight="1">
      <c r="B42" s="340">
        <v>2012</v>
      </c>
      <c r="C42" s="336">
        <v>74.2</v>
      </c>
      <c r="D42" s="336">
        <v>12</v>
      </c>
      <c r="E42" s="336">
        <v>103.2</v>
      </c>
      <c r="F42" s="336">
        <v>150.5</v>
      </c>
      <c r="G42" s="336">
        <v>38.1</v>
      </c>
      <c r="H42" s="336">
        <v>76.400000000000006</v>
      </c>
      <c r="I42" s="336">
        <v>221</v>
      </c>
      <c r="J42" s="336">
        <v>220.4</v>
      </c>
      <c r="K42" s="336">
        <v>392.6</v>
      </c>
      <c r="L42" s="336">
        <v>40.6</v>
      </c>
      <c r="M42" s="336">
        <v>65.900000000000006</v>
      </c>
      <c r="N42" s="337">
        <v>63.2</v>
      </c>
      <c r="O42" s="121">
        <f t="shared" ref="O42:O50" si="5">ROUND(SUM(C42:N42),1)</f>
        <v>1458.1</v>
      </c>
      <c r="P42" s="109">
        <f t="shared" ref="P42:P50" si="6">ROUND(O42/12,1)</f>
        <v>121.5</v>
      </c>
    </row>
    <row r="43" spans="2:16" ht="22.5" customHeight="1">
      <c r="B43" s="340">
        <v>2013</v>
      </c>
      <c r="C43" s="336">
        <v>22</v>
      </c>
      <c r="D43" s="336">
        <v>26.4</v>
      </c>
      <c r="E43" s="336">
        <v>78</v>
      </c>
      <c r="F43" s="336">
        <v>86.5</v>
      </c>
      <c r="G43" s="336">
        <v>155.1</v>
      </c>
      <c r="H43" s="336">
        <v>79.900000000000006</v>
      </c>
      <c r="I43" s="336">
        <v>130.1</v>
      </c>
      <c r="J43" s="336">
        <v>47.7</v>
      </c>
      <c r="K43" s="336">
        <v>49.6</v>
      </c>
      <c r="L43" s="336">
        <v>130.30000000000001</v>
      </c>
      <c r="M43" s="336">
        <v>41.6</v>
      </c>
      <c r="N43" s="337">
        <v>12.2</v>
      </c>
      <c r="O43" s="121">
        <f t="shared" si="5"/>
        <v>859.4</v>
      </c>
      <c r="P43" s="109">
        <f t="shared" si="6"/>
        <v>71.599999999999994</v>
      </c>
    </row>
    <row r="44" spans="2:16" ht="22.5" customHeight="1">
      <c r="B44" s="340">
        <v>2014</v>
      </c>
      <c r="C44" s="336">
        <v>8.6</v>
      </c>
      <c r="D44" s="336">
        <v>98.5</v>
      </c>
      <c r="E44" s="336">
        <v>122.4</v>
      </c>
      <c r="F44" s="336">
        <v>91.2</v>
      </c>
      <c r="G44" s="336">
        <v>45.7</v>
      </c>
      <c r="H44" s="336">
        <v>73.599999999999994</v>
      </c>
      <c r="I44" s="336">
        <v>96.9</v>
      </c>
      <c r="J44" s="336">
        <v>577.5</v>
      </c>
      <c r="K44" s="336">
        <v>113.2</v>
      </c>
      <c r="L44" s="336">
        <v>120.3</v>
      </c>
      <c r="M44" s="336">
        <v>44.3</v>
      </c>
      <c r="N44" s="337">
        <v>6.5</v>
      </c>
      <c r="O44" s="121">
        <f t="shared" si="5"/>
        <v>1398.7</v>
      </c>
      <c r="P44" s="109">
        <f t="shared" si="6"/>
        <v>116.6</v>
      </c>
    </row>
    <row r="45" spans="2:16" ht="22.5" customHeight="1">
      <c r="B45" s="340">
        <v>2015</v>
      </c>
      <c r="C45" s="336">
        <v>26.3</v>
      </c>
      <c r="D45" s="336">
        <v>20.399999999999999</v>
      </c>
      <c r="E45" s="336">
        <v>51.7</v>
      </c>
      <c r="F45" s="336">
        <v>122.9</v>
      </c>
      <c r="G45" s="336">
        <v>98.3</v>
      </c>
      <c r="H45" s="336">
        <v>77</v>
      </c>
      <c r="I45" s="336">
        <v>176.3</v>
      </c>
      <c r="J45" s="336">
        <v>120.2</v>
      </c>
      <c r="K45" s="336">
        <v>160.6</v>
      </c>
      <c r="L45" s="336">
        <v>39.799999999999997</v>
      </c>
      <c r="M45" s="336">
        <v>102.8</v>
      </c>
      <c r="N45" s="337">
        <v>47.6</v>
      </c>
      <c r="O45" s="121">
        <f t="shared" si="5"/>
        <v>1043.9000000000001</v>
      </c>
      <c r="P45" s="109">
        <f t="shared" si="6"/>
        <v>87</v>
      </c>
    </row>
    <row r="46" spans="2:16" ht="22.5" customHeight="1">
      <c r="B46" s="340">
        <v>2016</v>
      </c>
      <c r="C46" s="336">
        <v>50.6</v>
      </c>
      <c r="D46" s="336">
        <v>32.4</v>
      </c>
      <c r="E46" s="336">
        <v>92.2</v>
      </c>
      <c r="F46" s="336">
        <v>179.2</v>
      </c>
      <c r="G46" s="336">
        <v>86.1</v>
      </c>
      <c r="H46" s="336">
        <v>70.099999999999994</v>
      </c>
      <c r="I46" s="336">
        <v>226.9</v>
      </c>
      <c r="J46" s="336">
        <v>98.2</v>
      </c>
      <c r="K46" s="336">
        <v>364.3</v>
      </c>
      <c r="L46" s="336">
        <v>358.7</v>
      </c>
      <c r="M46" s="336">
        <v>47.1</v>
      </c>
      <c r="N46" s="337">
        <v>88.1</v>
      </c>
      <c r="O46" s="121">
        <f t="shared" si="5"/>
        <v>1693.9</v>
      </c>
      <c r="P46" s="109">
        <f t="shared" si="6"/>
        <v>141.19999999999999</v>
      </c>
    </row>
    <row r="47" spans="2:16" ht="22.5" customHeight="1">
      <c r="B47" s="340">
        <v>2017</v>
      </c>
      <c r="C47" s="336">
        <v>15.3</v>
      </c>
      <c r="D47" s="336">
        <v>23.6</v>
      </c>
      <c r="E47" s="336">
        <v>27.6</v>
      </c>
      <c r="F47" s="336">
        <v>111.9</v>
      </c>
      <c r="G47" s="336">
        <v>26.3</v>
      </c>
      <c r="H47" s="336">
        <v>38.5</v>
      </c>
      <c r="I47" s="336">
        <v>104.6</v>
      </c>
      <c r="J47" s="336">
        <v>69.8</v>
      </c>
      <c r="K47" s="336">
        <v>178</v>
      </c>
      <c r="L47" s="336">
        <v>63.1</v>
      </c>
      <c r="M47" s="336">
        <v>0</v>
      </c>
      <c r="N47" s="337">
        <v>12.7</v>
      </c>
      <c r="O47" s="121">
        <f t="shared" si="5"/>
        <v>671.4</v>
      </c>
      <c r="P47" s="109">
        <f t="shared" si="6"/>
        <v>56</v>
      </c>
    </row>
    <row r="48" spans="2:16" ht="22.5" customHeight="1">
      <c r="B48" s="340">
        <v>2018</v>
      </c>
      <c r="C48" s="336">
        <v>31.3</v>
      </c>
      <c r="D48" s="336">
        <v>44.8</v>
      </c>
      <c r="E48" s="336">
        <v>155.30000000000001</v>
      </c>
      <c r="F48" s="336">
        <v>123.3</v>
      </c>
      <c r="G48" s="336">
        <v>95.4</v>
      </c>
      <c r="H48" s="336">
        <v>127.6</v>
      </c>
      <c r="I48" s="336">
        <v>160.30000000000001</v>
      </c>
      <c r="J48" s="336">
        <v>279.3</v>
      </c>
      <c r="K48" s="336">
        <v>156.9</v>
      </c>
      <c r="L48" s="336">
        <v>162</v>
      </c>
      <c r="M48" s="336">
        <v>51.8</v>
      </c>
      <c r="N48" s="337">
        <v>28.1</v>
      </c>
      <c r="O48" s="121">
        <f t="shared" si="5"/>
        <v>1416.1</v>
      </c>
      <c r="P48" s="109">
        <f t="shared" si="6"/>
        <v>118</v>
      </c>
    </row>
    <row r="49" spans="2:16" ht="22.5" customHeight="1">
      <c r="B49" s="340">
        <v>2019</v>
      </c>
      <c r="C49" s="336">
        <v>15.5</v>
      </c>
      <c r="D49" s="336">
        <v>38.799999999999997</v>
      </c>
      <c r="E49" s="336">
        <v>40.700000000000003</v>
      </c>
      <c r="F49" s="336">
        <v>88.9</v>
      </c>
      <c r="G49" s="336">
        <v>35</v>
      </c>
      <c r="H49" s="336">
        <v>247.5</v>
      </c>
      <c r="I49" s="336">
        <v>206.5</v>
      </c>
      <c r="J49" s="336">
        <v>195.7</v>
      </c>
      <c r="K49" s="336">
        <v>287.5</v>
      </c>
      <c r="L49" s="336">
        <v>222.2</v>
      </c>
      <c r="M49" s="336">
        <v>31</v>
      </c>
      <c r="N49" s="337">
        <v>40.799999999999997</v>
      </c>
      <c r="O49" s="121">
        <f t="shared" si="5"/>
        <v>1450.1</v>
      </c>
      <c r="P49" s="109">
        <f t="shared" si="6"/>
        <v>120.8</v>
      </c>
    </row>
    <row r="50" spans="2:16" ht="22.5" customHeight="1" thickBot="1">
      <c r="B50" s="333">
        <v>2020</v>
      </c>
      <c r="C50" s="338">
        <v>178.7</v>
      </c>
      <c r="D50" s="338">
        <v>53.6</v>
      </c>
      <c r="E50" s="338">
        <v>41.6</v>
      </c>
      <c r="F50" s="338">
        <v>73.2</v>
      </c>
      <c r="G50" s="338">
        <v>51.5</v>
      </c>
      <c r="H50" s="338">
        <v>218.6</v>
      </c>
      <c r="I50" s="338">
        <v>498.3</v>
      </c>
      <c r="J50" s="338">
        <v>137.1</v>
      </c>
      <c r="K50" s="338">
        <v>243</v>
      </c>
      <c r="L50" s="338">
        <v>18.899999999999999</v>
      </c>
      <c r="M50" s="338">
        <v>37.700000000000003</v>
      </c>
      <c r="N50" s="339">
        <v>5.7</v>
      </c>
      <c r="O50" s="122">
        <f t="shared" si="5"/>
        <v>1557.9</v>
      </c>
      <c r="P50" s="113">
        <f t="shared" si="6"/>
        <v>129.80000000000001</v>
      </c>
    </row>
    <row r="51" spans="2:16" ht="22.5" customHeight="1">
      <c r="B51" s="123" t="s">
        <v>57</v>
      </c>
      <c r="C51" s="341">
        <f>MAX(C41:C50)</f>
        <v>178.7</v>
      </c>
      <c r="D51" s="341">
        <f t="shared" ref="D51:P51" si="7">MAX(D41:D50)</f>
        <v>98.5</v>
      </c>
      <c r="E51" s="341">
        <f t="shared" si="7"/>
        <v>155.30000000000001</v>
      </c>
      <c r="F51" s="341">
        <f t="shared" si="7"/>
        <v>179.2</v>
      </c>
      <c r="G51" s="341">
        <f t="shared" si="7"/>
        <v>155.1</v>
      </c>
      <c r="H51" s="341">
        <f t="shared" si="7"/>
        <v>293.5</v>
      </c>
      <c r="I51" s="341">
        <f t="shared" si="7"/>
        <v>498.3</v>
      </c>
      <c r="J51" s="341">
        <f t="shared" si="7"/>
        <v>577.5</v>
      </c>
      <c r="K51" s="341">
        <f t="shared" si="7"/>
        <v>392.6</v>
      </c>
      <c r="L51" s="341">
        <f t="shared" si="7"/>
        <v>358.7</v>
      </c>
      <c r="M51" s="341">
        <f t="shared" si="7"/>
        <v>102.8</v>
      </c>
      <c r="N51" s="342">
        <f t="shared" si="7"/>
        <v>88.1</v>
      </c>
      <c r="O51" s="124">
        <f t="shared" si="7"/>
        <v>1693.9</v>
      </c>
      <c r="P51" s="117">
        <f t="shared" si="7"/>
        <v>141.19999999999999</v>
      </c>
    </row>
    <row r="52" spans="2:16" ht="22.5" customHeight="1">
      <c r="B52" s="125" t="s">
        <v>58</v>
      </c>
      <c r="C52" s="343">
        <f>MIN(C41:C50)</f>
        <v>8.6</v>
      </c>
      <c r="D52" s="343">
        <f t="shared" ref="D52:P52" si="8">MIN(D41:D50)</f>
        <v>12</v>
      </c>
      <c r="E52" s="343">
        <f t="shared" si="8"/>
        <v>18.5</v>
      </c>
      <c r="F52" s="343">
        <f t="shared" si="8"/>
        <v>73.2</v>
      </c>
      <c r="G52" s="343">
        <f t="shared" si="8"/>
        <v>26.3</v>
      </c>
      <c r="H52" s="343">
        <f t="shared" si="8"/>
        <v>38.5</v>
      </c>
      <c r="I52" s="343">
        <f t="shared" si="8"/>
        <v>96.9</v>
      </c>
      <c r="J52" s="343">
        <f t="shared" si="8"/>
        <v>47.7</v>
      </c>
      <c r="K52" s="343">
        <f t="shared" si="8"/>
        <v>49.6</v>
      </c>
      <c r="L52" s="343">
        <f t="shared" si="8"/>
        <v>18.899999999999999</v>
      </c>
      <c r="M52" s="343">
        <f t="shared" si="8"/>
        <v>0</v>
      </c>
      <c r="N52" s="344">
        <f t="shared" si="8"/>
        <v>5.7</v>
      </c>
      <c r="O52" s="121">
        <f>MIN(O41:O50)</f>
        <v>671.4</v>
      </c>
      <c r="P52" s="109">
        <f t="shared" si="8"/>
        <v>56</v>
      </c>
    </row>
    <row r="53" spans="2:16" ht="22.5" customHeight="1" thickBot="1">
      <c r="B53" s="126" t="s">
        <v>39</v>
      </c>
      <c r="C53" s="345">
        <f>ROUND(AVERAGE(C41:C50),1)</f>
        <v>43.3</v>
      </c>
      <c r="D53" s="345">
        <f t="shared" ref="D53:N53" si="9">ROUND(AVERAGE(D41:D50),1)</f>
        <v>42.7</v>
      </c>
      <c r="E53" s="345">
        <f t="shared" si="9"/>
        <v>73.099999999999994</v>
      </c>
      <c r="F53" s="345">
        <f t="shared" si="9"/>
        <v>111.1</v>
      </c>
      <c r="G53" s="345">
        <f t="shared" si="9"/>
        <v>74.599999999999994</v>
      </c>
      <c r="H53" s="345">
        <f t="shared" si="9"/>
        <v>130.30000000000001</v>
      </c>
      <c r="I53" s="345">
        <f t="shared" si="9"/>
        <v>210.6</v>
      </c>
      <c r="J53" s="345">
        <f t="shared" si="9"/>
        <v>181.7</v>
      </c>
      <c r="K53" s="345">
        <f t="shared" si="9"/>
        <v>204.2</v>
      </c>
      <c r="L53" s="345">
        <f t="shared" si="9"/>
        <v>122.7</v>
      </c>
      <c r="M53" s="345">
        <f t="shared" si="9"/>
        <v>51.6</v>
      </c>
      <c r="N53" s="346">
        <f t="shared" si="9"/>
        <v>32.4</v>
      </c>
      <c r="O53" s="127">
        <f>ROUND(AVERAGE(O41:O50),1)</f>
        <v>1278.3</v>
      </c>
      <c r="P53" s="120">
        <f>ROUND(AVERAGE(P41:P50),1)</f>
        <v>106.5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8"/>
    <col min="2" max="2" width="8.88671875" style="146"/>
    <col min="3" max="3" width="8" style="146" customWidth="1"/>
    <col min="4" max="16384" width="8.88671875" style="128"/>
  </cols>
  <sheetData>
    <row r="1" spans="2:16" ht="17.25" thickBot="1">
      <c r="I1"/>
      <c r="J1"/>
      <c r="K1"/>
      <c r="O1" s="128" t="s">
        <v>37</v>
      </c>
    </row>
    <row r="2" spans="2:16">
      <c r="B2" s="130"/>
      <c r="C2" s="131" t="s">
        <v>7</v>
      </c>
      <c r="D2" s="131" t="s">
        <v>8</v>
      </c>
      <c r="E2" s="131" t="s">
        <v>9</v>
      </c>
      <c r="F2" s="131" t="s">
        <v>10</v>
      </c>
      <c r="G2" s="131" t="s">
        <v>11</v>
      </c>
      <c r="H2" s="131" t="s">
        <v>12</v>
      </c>
      <c r="I2" s="131" t="s">
        <v>13</v>
      </c>
      <c r="J2" s="131" t="s">
        <v>14</v>
      </c>
      <c r="K2" s="131" t="s">
        <v>15</v>
      </c>
      <c r="L2" s="131" t="s">
        <v>16</v>
      </c>
      <c r="M2" s="131" t="s">
        <v>17</v>
      </c>
      <c r="N2" s="131" t="s">
        <v>18</v>
      </c>
      <c r="O2" s="131" t="s">
        <v>37</v>
      </c>
      <c r="P2" s="132" t="s">
        <v>20</v>
      </c>
    </row>
    <row r="3" spans="2:16">
      <c r="B3" s="315">
        <f>All!B5</f>
        <v>1991</v>
      </c>
      <c r="C3" s="306">
        <f>All!C5</f>
        <v>38.200000000000003</v>
      </c>
      <c r="D3" s="306">
        <f>All!D5</f>
        <v>36.6</v>
      </c>
      <c r="E3" s="306">
        <f>All!E5</f>
        <v>108.6</v>
      </c>
      <c r="F3" s="306">
        <f>All!F5</f>
        <v>164.5</v>
      </c>
      <c r="G3" s="306">
        <f>All!G5</f>
        <v>84.8</v>
      </c>
      <c r="H3" s="306">
        <f>All!H5</f>
        <v>171</v>
      </c>
      <c r="I3" s="306">
        <f>All!I5</f>
        <v>449.6</v>
      </c>
      <c r="J3" s="306">
        <f>All!J5</f>
        <v>698.7</v>
      </c>
      <c r="K3" s="306">
        <f>All!K5</f>
        <v>169.1</v>
      </c>
      <c r="L3" s="306">
        <f>All!L5</f>
        <v>2.8</v>
      </c>
      <c r="M3" s="306">
        <f>All!M5</f>
        <v>12.4</v>
      </c>
      <c r="N3" s="306">
        <f>All!N5</f>
        <v>122.6</v>
      </c>
      <c r="O3" s="306">
        <f>All!O5</f>
        <v>2058.9</v>
      </c>
      <c r="P3" s="316">
        <f>All!P5</f>
        <v>171.6</v>
      </c>
    </row>
    <row r="4" spans="2:16">
      <c r="B4" s="315">
        <f>All!B6</f>
        <v>1992</v>
      </c>
      <c r="C4" s="306">
        <f>All!C6</f>
        <v>41.5</v>
      </c>
      <c r="D4" s="306">
        <f>All!D6</f>
        <v>26.9</v>
      </c>
      <c r="E4" s="306">
        <f>All!E6</f>
        <v>96.1</v>
      </c>
      <c r="F4" s="306">
        <f>All!F6</f>
        <v>152.69999999999999</v>
      </c>
      <c r="G4" s="306">
        <f>All!G6</f>
        <v>86.3</v>
      </c>
      <c r="H4" s="306">
        <f>All!H6</f>
        <v>29.2</v>
      </c>
      <c r="I4" s="306">
        <f>All!I6</f>
        <v>103.5</v>
      </c>
      <c r="J4" s="306">
        <f>All!J6</f>
        <v>318.39999999999998</v>
      </c>
      <c r="K4" s="306">
        <f>All!K6</f>
        <v>168</v>
      </c>
      <c r="L4" s="306">
        <f>All!L6</f>
        <v>24.8</v>
      </c>
      <c r="M4" s="306">
        <f>All!M6</f>
        <v>53.6</v>
      </c>
      <c r="N4" s="306">
        <f>All!N6</f>
        <v>54.4</v>
      </c>
      <c r="O4" s="306">
        <f>All!O6</f>
        <v>1155.4000000000001</v>
      </c>
      <c r="P4" s="316">
        <f>All!P6</f>
        <v>96.3</v>
      </c>
    </row>
    <row r="5" spans="2:16">
      <c r="B5" s="315">
        <f>All!B7</f>
        <v>1993</v>
      </c>
      <c r="C5" s="306">
        <f>All!C7</f>
        <v>52.4</v>
      </c>
      <c r="D5" s="306">
        <f>All!D7</f>
        <v>75.7</v>
      </c>
      <c r="E5" s="306">
        <f>All!E7</f>
        <v>55.4</v>
      </c>
      <c r="F5" s="306">
        <f>All!F7</f>
        <v>22.8</v>
      </c>
      <c r="G5" s="306">
        <f>All!G7</f>
        <v>119.9</v>
      </c>
      <c r="H5" s="306">
        <f>All!H7</f>
        <v>236.7</v>
      </c>
      <c r="I5" s="306">
        <f>All!I7</f>
        <v>327.2</v>
      </c>
      <c r="J5" s="306">
        <f>All!J7</f>
        <v>559.5</v>
      </c>
      <c r="K5" s="306">
        <f>All!K7</f>
        <v>30.1</v>
      </c>
      <c r="L5" s="306">
        <f>All!L7</f>
        <v>78.400000000000006</v>
      </c>
      <c r="M5" s="306">
        <f>All!M7</f>
        <v>69.900000000000006</v>
      </c>
      <c r="N5" s="306">
        <f>All!N7</f>
        <v>21.4</v>
      </c>
      <c r="O5" s="306">
        <f>All!O7</f>
        <v>1649.4</v>
      </c>
      <c r="P5" s="316">
        <f>All!P7</f>
        <v>137.5</v>
      </c>
    </row>
    <row r="6" spans="2:16">
      <c r="B6" s="315">
        <f>All!B8</f>
        <v>1994</v>
      </c>
      <c r="C6" s="306">
        <f>All!C8</f>
        <v>28.2</v>
      </c>
      <c r="D6" s="306">
        <f>All!D8</f>
        <v>44.9</v>
      </c>
      <c r="E6" s="306">
        <f>All!E8</f>
        <v>31</v>
      </c>
      <c r="F6" s="306">
        <f>All!F8</f>
        <v>83.6</v>
      </c>
      <c r="G6" s="306">
        <f>All!G8</f>
        <v>186.9</v>
      </c>
      <c r="H6" s="306">
        <f>All!H8</f>
        <v>122.1</v>
      </c>
      <c r="I6" s="306">
        <f>All!I8</f>
        <v>103.3</v>
      </c>
      <c r="J6" s="306">
        <f>All!J8</f>
        <v>61.2</v>
      </c>
      <c r="K6" s="306">
        <f>All!K8</f>
        <v>68.2</v>
      </c>
      <c r="L6" s="306">
        <f>All!L8</f>
        <v>142.69999999999999</v>
      </c>
      <c r="M6" s="306">
        <f>All!M8</f>
        <v>43</v>
      </c>
      <c r="N6" s="306">
        <f>All!N8</f>
        <v>6.3</v>
      </c>
      <c r="O6" s="306">
        <f>All!O8</f>
        <v>921.4</v>
      </c>
      <c r="P6" s="316">
        <f>All!P8</f>
        <v>76.8</v>
      </c>
    </row>
    <row r="7" spans="2:16">
      <c r="B7" s="315">
        <f>All!B9</f>
        <v>1995</v>
      </c>
      <c r="C7" s="306">
        <f>All!C9</f>
        <v>29.6</v>
      </c>
      <c r="D7" s="306">
        <f>All!D9</f>
        <v>19.100000000000001</v>
      </c>
      <c r="E7" s="306">
        <f>All!E9</f>
        <v>68.5</v>
      </c>
      <c r="F7" s="306">
        <f>All!F9</f>
        <v>64.8</v>
      </c>
      <c r="G7" s="306">
        <f>All!G9</f>
        <v>90.3</v>
      </c>
      <c r="H7" s="306">
        <f>All!H9</f>
        <v>115.1</v>
      </c>
      <c r="I7" s="306">
        <f>All!I9</f>
        <v>110.3</v>
      </c>
      <c r="J7" s="306">
        <f>All!J9</f>
        <v>99.9</v>
      </c>
      <c r="K7" s="306">
        <f>All!K9</f>
        <v>45.5</v>
      </c>
      <c r="L7" s="306">
        <f>All!L9</f>
        <v>47.6</v>
      </c>
      <c r="M7" s="306">
        <f>All!M9</f>
        <v>2.1</v>
      </c>
      <c r="N7" s="306">
        <f>All!N9</f>
        <v>0.2</v>
      </c>
      <c r="O7" s="306">
        <f>All!O9</f>
        <v>693</v>
      </c>
      <c r="P7" s="316">
        <f>All!P9</f>
        <v>57.8</v>
      </c>
    </row>
    <row r="8" spans="2:16">
      <c r="B8" s="315">
        <f>All!B10</f>
        <v>1996</v>
      </c>
      <c r="C8" s="306">
        <f>All!C10</f>
        <v>32.5</v>
      </c>
      <c r="D8" s="306">
        <f>All!D10</f>
        <v>2.5</v>
      </c>
      <c r="E8" s="306">
        <f>All!E10</f>
        <v>160.1</v>
      </c>
      <c r="F8" s="306">
        <f>All!F10</f>
        <v>63.8</v>
      </c>
      <c r="G8" s="306">
        <f>All!G10</f>
        <v>42</v>
      </c>
      <c r="H8" s="306">
        <f>All!H10</f>
        <v>371</v>
      </c>
      <c r="I8" s="306">
        <f>All!I10</f>
        <v>116.8</v>
      </c>
      <c r="J8" s="306">
        <f>All!J10</f>
        <v>74.599999999999994</v>
      </c>
      <c r="K8" s="306">
        <f>All!K10</f>
        <v>26.8</v>
      </c>
      <c r="L8" s="306">
        <f>All!L10</f>
        <v>35.9</v>
      </c>
      <c r="M8" s="306">
        <f>All!M10</f>
        <v>61.7</v>
      </c>
      <c r="N8" s="306">
        <f>All!N10</f>
        <v>27.3</v>
      </c>
      <c r="O8" s="306">
        <f>All!O10</f>
        <v>1015</v>
      </c>
      <c r="P8" s="316">
        <f>All!P10</f>
        <v>84.6</v>
      </c>
    </row>
    <row r="9" spans="2:16">
      <c r="B9" s="315">
        <f>All!B11</f>
        <v>1997</v>
      </c>
      <c r="C9" s="306">
        <f>All!C11</f>
        <v>10.9</v>
      </c>
      <c r="D9" s="306">
        <f>All!D11</f>
        <v>4.4000000000000004</v>
      </c>
      <c r="E9" s="306">
        <f>All!E11</f>
        <v>25.4</v>
      </c>
      <c r="F9" s="306">
        <f>All!F11</f>
        <v>57</v>
      </c>
      <c r="G9" s="306">
        <f>All!G11</f>
        <v>172.9</v>
      </c>
      <c r="H9" s="306">
        <f>All!H11</f>
        <v>282.10000000000002</v>
      </c>
      <c r="I9" s="306">
        <f>All!I11</f>
        <v>188.5</v>
      </c>
      <c r="J9" s="306">
        <f>All!J11</f>
        <v>192.3</v>
      </c>
      <c r="K9" s="306">
        <f>All!K11</f>
        <v>50</v>
      </c>
      <c r="L9" s="306">
        <f>All!L11</f>
        <v>0.7</v>
      </c>
      <c r="M9" s="306">
        <f>All!M11</f>
        <v>151.6</v>
      </c>
      <c r="N9" s="306">
        <f>All!N11</f>
        <v>62.8</v>
      </c>
      <c r="O9" s="306">
        <f>All!O11</f>
        <v>1198.5999999999999</v>
      </c>
      <c r="P9" s="316">
        <f>All!P11</f>
        <v>99.9</v>
      </c>
    </row>
    <row r="10" spans="2:16">
      <c r="B10" s="315">
        <f>All!B12</f>
        <v>1998</v>
      </c>
      <c r="C10" s="306">
        <f>All!C12</f>
        <v>119.6</v>
      </c>
      <c r="D10" s="306">
        <f>All!D12</f>
        <v>81.599999999999994</v>
      </c>
      <c r="E10" s="306">
        <f>All!E12</f>
        <v>51.6</v>
      </c>
      <c r="F10" s="306">
        <f>All!F12</f>
        <v>182</v>
      </c>
      <c r="G10" s="306">
        <f>All!G12</f>
        <v>166.5</v>
      </c>
      <c r="H10" s="306">
        <f>All!H12</f>
        <v>268.7</v>
      </c>
      <c r="I10" s="306">
        <f>All!I12</f>
        <v>194.5</v>
      </c>
      <c r="J10" s="306">
        <f>All!J12</f>
        <v>346</v>
      </c>
      <c r="K10" s="306">
        <f>All!K12</f>
        <v>259.60000000000002</v>
      </c>
      <c r="L10" s="306">
        <f>All!L12</f>
        <v>107.1</v>
      </c>
      <c r="M10" s="306">
        <f>All!M12</f>
        <v>18.5</v>
      </c>
      <c r="N10" s="306">
        <f>All!N12</f>
        <v>0.3</v>
      </c>
      <c r="O10" s="306">
        <f>All!O12</f>
        <v>1796</v>
      </c>
      <c r="P10" s="316">
        <f>All!P12</f>
        <v>149.69999999999999</v>
      </c>
    </row>
    <row r="11" spans="2:16">
      <c r="B11" s="315">
        <f>All!B13</f>
        <v>1999</v>
      </c>
      <c r="C11" s="306">
        <f>All!C13</f>
        <v>30.6</v>
      </c>
      <c r="D11" s="306">
        <f>All!D13</f>
        <v>29</v>
      </c>
      <c r="E11" s="306">
        <f>All!E13</f>
        <v>122.3</v>
      </c>
      <c r="F11" s="306">
        <f>All!F13</f>
        <v>74.5</v>
      </c>
      <c r="G11" s="306">
        <f>All!G13</f>
        <v>157.1</v>
      </c>
      <c r="H11" s="306">
        <f>All!H13</f>
        <v>229</v>
      </c>
      <c r="I11" s="306">
        <f>All!I13</f>
        <v>296.3</v>
      </c>
      <c r="J11" s="306">
        <f>All!J13</f>
        <v>447.4</v>
      </c>
      <c r="K11" s="306">
        <f>All!K13</f>
        <v>367.3</v>
      </c>
      <c r="L11" s="306">
        <f>All!L13</f>
        <v>89.9</v>
      </c>
      <c r="M11" s="306">
        <f>All!M13</f>
        <v>21.5</v>
      </c>
      <c r="N11" s="306">
        <f>All!N13</f>
        <v>0</v>
      </c>
      <c r="O11" s="306">
        <f>All!O13</f>
        <v>1864.9</v>
      </c>
      <c r="P11" s="316">
        <f>All!P13</f>
        <v>155.4</v>
      </c>
    </row>
    <row r="12" spans="2:16">
      <c r="B12" s="315">
        <f>All!B14</f>
        <v>2000</v>
      </c>
      <c r="C12" s="306">
        <f>All!C14</f>
        <v>24</v>
      </c>
      <c r="D12" s="306">
        <f>All!D14</f>
        <v>0.1</v>
      </c>
      <c r="E12" s="306">
        <f>All!E14</f>
        <v>58.5</v>
      </c>
      <c r="F12" s="306">
        <f>All!F14</f>
        <v>62.5</v>
      </c>
      <c r="G12" s="306">
        <f>All!G14</f>
        <v>49.2</v>
      </c>
      <c r="H12" s="306">
        <f>All!H14</f>
        <v>78.400000000000006</v>
      </c>
      <c r="I12" s="306">
        <f>All!I14</f>
        <v>165.4</v>
      </c>
      <c r="J12" s="306">
        <f>All!J14</f>
        <v>262.10000000000002</v>
      </c>
      <c r="K12" s="306">
        <f>All!K14</f>
        <v>217</v>
      </c>
      <c r="L12" s="306">
        <f>All!L14</f>
        <v>41.4</v>
      </c>
      <c r="M12" s="306">
        <f>All!M14</f>
        <v>67.5</v>
      </c>
      <c r="N12" s="306">
        <f>All!N14</f>
        <v>1</v>
      </c>
      <c r="O12" s="306">
        <f>All!O14</f>
        <v>1027.0999999999999</v>
      </c>
      <c r="P12" s="316">
        <f>All!P14</f>
        <v>85.6</v>
      </c>
    </row>
    <row r="13" spans="2:16">
      <c r="B13" s="315">
        <f>All!B15</f>
        <v>2001</v>
      </c>
      <c r="C13" s="306">
        <f>All!C15</f>
        <v>59.4</v>
      </c>
      <c r="D13" s="306">
        <f>All!D15</f>
        <v>56.2</v>
      </c>
      <c r="E13" s="306">
        <f>All!E15</f>
        <v>9.4</v>
      </c>
      <c r="F13" s="306">
        <f>All!F15</f>
        <v>28</v>
      </c>
      <c r="G13" s="306">
        <f>All!G15</f>
        <v>55.9</v>
      </c>
      <c r="H13" s="306">
        <f>All!H15</f>
        <v>203.3</v>
      </c>
      <c r="I13" s="306">
        <f>All!I15</f>
        <v>121.6</v>
      </c>
      <c r="J13" s="306">
        <f>All!J15</f>
        <v>87.4</v>
      </c>
      <c r="K13" s="306">
        <f>All!K15</f>
        <v>94.5</v>
      </c>
      <c r="L13" s="306">
        <f>All!L15</f>
        <v>98.3</v>
      </c>
      <c r="M13" s="306">
        <f>All!M15</f>
        <v>13.2</v>
      </c>
      <c r="N13" s="306">
        <f>All!N15</f>
        <v>41.9</v>
      </c>
      <c r="O13" s="306">
        <f>All!O15</f>
        <v>869.1</v>
      </c>
      <c r="P13" s="316">
        <f>All!P15</f>
        <v>72.400000000000006</v>
      </c>
    </row>
    <row r="14" spans="2:16">
      <c r="B14" s="315">
        <f>All!B16</f>
        <v>2002</v>
      </c>
      <c r="C14" s="306">
        <f>All!C16</f>
        <v>49.6</v>
      </c>
      <c r="D14" s="306">
        <f>All!D16</f>
        <v>7.2</v>
      </c>
      <c r="E14" s="306">
        <f>All!E16</f>
        <v>86.5</v>
      </c>
      <c r="F14" s="306">
        <f>All!F16</f>
        <v>91.1</v>
      </c>
      <c r="G14" s="306">
        <f>All!G16</f>
        <v>112.9</v>
      </c>
      <c r="H14" s="306">
        <f>All!H16</f>
        <v>52.6</v>
      </c>
      <c r="I14" s="306">
        <f>All!I16</f>
        <v>326.60000000000002</v>
      </c>
      <c r="J14" s="306">
        <f>All!J16</f>
        <v>592.5</v>
      </c>
      <c r="K14" s="306">
        <f>All!K16</f>
        <v>99.9</v>
      </c>
      <c r="L14" s="306">
        <f>All!L16</f>
        <v>89.9</v>
      </c>
      <c r="M14" s="306">
        <f>All!M16</f>
        <v>3.5</v>
      </c>
      <c r="N14" s="306">
        <f>All!N16</f>
        <v>47.5</v>
      </c>
      <c r="O14" s="306">
        <f>All!O16</f>
        <v>1559.8</v>
      </c>
      <c r="P14" s="316">
        <f>All!P16</f>
        <v>130</v>
      </c>
    </row>
    <row r="15" spans="2:16">
      <c r="B15" s="315">
        <f>All!B17</f>
        <v>2003</v>
      </c>
      <c r="C15" s="306">
        <f>All!C17</f>
        <v>26.7</v>
      </c>
      <c r="D15" s="306">
        <f>All!D17</f>
        <v>50.6</v>
      </c>
      <c r="E15" s="306">
        <f>All!E17</f>
        <v>40.4</v>
      </c>
      <c r="F15" s="306">
        <f>All!F17</f>
        <v>156.6</v>
      </c>
      <c r="G15" s="306">
        <f>All!G17</f>
        <v>352.8</v>
      </c>
      <c r="H15" s="306">
        <f>All!H17</f>
        <v>269</v>
      </c>
      <c r="I15" s="306">
        <f>All!I17</f>
        <v>469.8</v>
      </c>
      <c r="J15" s="306">
        <f>All!J17</f>
        <v>223.1</v>
      </c>
      <c r="K15" s="306">
        <f>All!K17</f>
        <v>145.19999999999999</v>
      </c>
      <c r="L15" s="306">
        <f>All!L17</f>
        <v>4.5</v>
      </c>
      <c r="M15" s="306">
        <f>All!M17</f>
        <v>114.5</v>
      </c>
      <c r="N15" s="306">
        <f>All!N17</f>
        <v>11</v>
      </c>
      <c r="O15" s="306">
        <f>All!O17</f>
        <v>1864.2</v>
      </c>
      <c r="P15" s="316">
        <f>All!P17</f>
        <v>155.4</v>
      </c>
    </row>
    <row r="16" spans="2:16">
      <c r="B16" s="315">
        <f>All!B18</f>
        <v>2004</v>
      </c>
      <c r="C16" s="306">
        <f>All!C18</f>
        <v>10.7</v>
      </c>
      <c r="D16" s="306">
        <f>All!D18</f>
        <v>51.1</v>
      </c>
      <c r="E16" s="306">
        <f>All!E18</f>
        <v>20.5</v>
      </c>
      <c r="F16" s="306">
        <f>All!F18</f>
        <v>124.5</v>
      </c>
      <c r="G16" s="306">
        <f>All!G18</f>
        <v>104</v>
      </c>
      <c r="H16" s="306">
        <f>All!H18</f>
        <v>201.8</v>
      </c>
      <c r="I16" s="306">
        <f>All!I18</f>
        <v>102</v>
      </c>
      <c r="J16" s="306">
        <f>All!J18</f>
        <v>264.89999999999998</v>
      </c>
      <c r="K16" s="306">
        <f>All!K18</f>
        <v>273.60000000000002</v>
      </c>
      <c r="L16" s="306">
        <f>All!L18</f>
        <v>6.7</v>
      </c>
      <c r="M16" s="306">
        <f>All!M18</f>
        <v>64.7</v>
      </c>
      <c r="N16" s="306">
        <f>All!N18</f>
        <v>25.6</v>
      </c>
      <c r="O16" s="306">
        <f>All!O18</f>
        <v>1250.0999999999999</v>
      </c>
      <c r="P16" s="316">
        <f>All!P18</f>
        <v>104.2</v>
      </c>
    </row>
    <row r="17" spans="2:16">
      <c r="B17" s="315">
        <f>All!B19</f>
        <v>2005</v>
      </c>
      <c r="C17" s="306">
        <f>All!C19</f>
        <v>36.5</v>
      </c>
      <c r="D17" s="306">
        <f>All!D19</f>
        <v>34.4</v>
      </c>
      <c r="E17" s="306">
        <f>All!E19</f>
        <v>102.9</v>
      </c>
      <c r="F17" s="306">
        <f>All!F19</f>
        <v>48.1</v>
      </c>
      <c r="G17" s="306">
        <f>All!G19</f>
        <v>52.6</v>
      </c>
      <c r="H17" s="306">
        <f>All!H19</f>
        <v>72.5</v>
      </c>
      <c r="I17" s="306">
        <f>All!I19</f>
        <v>148.1</v>
      </c>
      <c r="J17" s="306">
        <f>All!J19</f>
        <v>210.6</v>
      </c>
      <c r="K17" s="306">
        <f>All!K19</f>
        <v>392.2</v>
      </c>
      <c r="L17" s="306">
        <f>All!L19</f>
        <v>12.2</v>
      </c>
      <c r="M17" s="306">
        <f>All!M19</f>
        <v>24.5</v>
      </c>
      <c r="N17" s="306">
        <f>All!N19</f>
        <v>1.1000000000000001</v>
      </c>
      <c r="O17" s="306">
        <f>All!O19</f>
        <v>1135.7</v>
      </c>
      <c r="P17" s="316">
        <f>All!P19</f>
        <v>94.6</v>
      </c>
    </row>
    <row r="18" spans="2:16">
      <c r="B18" s="315">
        <f>All!B20</f>
        <v>2006</v>
      </c>
      <c r="C18" s="306">
        <f>All!C20</f>
        <v>27.2</v>
      </c>
      <c r="D18" s="306">
        <f>All!D20</f>
        <v>33.299999999999997</v>
      </c>
      <c r="E18" s="306">
        <f>All!E20</f>
        <v>21</v>
      </c>
      <c r="F18" s="306">
        <f>All!F20</f>
        <v>135.1</v>
      </c>
      <c r="G18" s="306">
        <f>All!G20</f>
        <v>207.1</v>
      </c>
      <c r="H18" s="306">
        <f>All!H20</f>
        <v>100.7</v>
      </c>
      <c r="I18" s="306">
        <f>All!I20</f>
        <v>543.20000000000005</v>
      </c>
      <c r="J18" s="306">
        <f>All!J20</f>
        <v>131.69999999999999</v>
      </c>
      <c r="K18" s="306">
        <f>All!K20</f>
        <v>150</v>
      </c>
      <c r="L18" s="306">
        <f>All!L20</f>
        <v>21</v>
      </c>
      <c r="M18" s="306">
        <f>All!M20</f>
        <v>16.100000000000001</v>
      </c>
      <c r="N18" s="306">
        <f>All!N20</f>
        <v>7.5</v>
      </c>
      <c r="O18" s="306">
        <f>All!O20</f>
        <v>1393.9</v>
      </c>
      <c r="P18" s="316">
        <f>All!P20</f>
        <v>116.2</v>
      </c>
    </row>
    <row r="19" spans="2:16">
      <c r="B19" s="315">
        <f>All!B21</f>
        <v>2007</v>
      </c>
      <c r="C19" s="306">
        <f>All!C21</f>
        <v>3</v>
      </c>
      <c r="D19" s="306">
        <f>All!D21</f>
        <v>49.3</v>
      </c>
      <c r="E19" s="306">
        <f>All!E21</f>
        <v>82.1</v>
      </c>
      <c r="F19" s="306">
        <f>All!F21</f>
        <v>30.5</v>
      </c>
      <c r="G19" s="306">
        <f>All!G21</f>
        <v>84.4</v>
      </c>
      <c r="H19" s="306">
        <f>All!H21</f>
        <v>118</v>
      </c>
      <c r="I19" s="306">
        <f>All!I21</f>
        <v>216.3</v>
      </c>
      <c r="J19" s="306">
        <f>All!J21</f>
        <v>171.4</v>
      </c>
      <c r="K19" s="306">
        <f>All!K21</f>
        <v>228.5</v>
      </c>
      <c r="L19" s="306">
        <f>All!L21</f>
        <v>110.7</v>
      </c>
      <c r="M19" s="306">
        <f>All!M21</f>
        <v>2</v>
      </c>
      <c r="N19" s="306">
        <f>All!N21</f>
        <v>39.6</v>
      </c>
      <c r="O19" s="306">
        <f>All!O21</f>
        <v>1135.8</v>
      </c>
      <c r="P19" s="316">
        <f>All!P21</f>
        <v>94.7</v>
      </c>
    </row>
    <row r="20" spans="2:16">
      <c r="B20" s="315">
        <f>All!B22</f>
        <v>2008</v>
      </c>
      <c r="C20" s="306">
        <f>All!C22</f>
        <v>73.5</v>
      </c>
      <c r="D20" s="306">
        <f>All!D22</f>
        <v>10</v>
      </c>
      <c r="E20" s="306">
        <f>All!E22</f>
        <v>47.9</v>
      </c>
      <c r="F20" s="306">
        <f>All!F22</f>
        <v>78.2</v>
      </c>
      <c r="G20" s="306">
        <f>All!G22</f>
        <v>121.6</v>
      </c>
      <c r="H20" s="306">
        <f>All!H22</f>
        <v>171.5</v>
      </c>
      <c r="I20" s="306">
        <f>All!I22</f>
        <v>218.2</v>
      </c>
      <c r="J20" s="306">
        <f>All!J22</f>
        <v>305.39999999999998</v>
      </c>
      <c r="K20" s="306">
        <f>All!K22</f>
        <v>49.4</v>
      </c>
      <c r="L20" s="306">
        <f>All!L22</f>
        <v>9.4</v>
      </c>
      <c r="M20" s="306">
        <f>All!M22</f>
        <v>16.7</v>
      </c>
      <c r="N20" s="306">
        <f>All!N22</f>
        <v>10.5</v>
      </c>
      <c r="O20" s="306">
        <f>All!O22</f>
        <v>1112.3</v>
      </c>
      <c r="P20" s="316">
        <f>All!P22</f>
        <v>92.7</v>
      </c>
    </row>
    <row r="21" spans="2:16">
      <c r="B21" s="315">
        <f>All!B23</f>
        <v>2009</v>
      </c>
      <c r="C21" s="306">
        <f>All!C23</f>
        <v>14.7</v>
      </c>
      <c r="D21" s="306">
        <f>All!D23</f>
        <v>48.6</v>
      </c>
      <c r="E21" s="306">
        <f>All!E23</f>
        <v>35</v>
      </c>
      <c r="F21" s="306">
        <f>All!F23</f>
        <v>62.9</v>
      </c>
      <c r="G21" s="306">
        <f>All!G23</f>
        <v>92.3</v>
      </c>
      <c r="H21" s="306">
        <f>All!H23</f>
        <v>228.7</v>
      </c>
      <c r="I21" s="306">
        <f>All!I23</f>
        <v>450.7</v>
      </c>
      <c r="J21" s="306">
        <f>All!J23</f>
        <v>43</v>
      </c>
      <c r="K21" s="306">
        <f>All!K23</f>
        <v>50.4</v>
      </c>
      <c r="L21" s="306">
        <f>All!L23</f>
        <v>54.5</v>
      </c>
      <c r="M21" s="306">
        <f>All!M23</f>
        <v>36.299999999999997</v>
      </c>
      <c r="N21" s="306">
        <f>All!N23</f>
        <v>16.100000000000001</v>
      </c>
      <c r="O21" s="306">
        <f>All!O23</f>
        <v>1133.2</v>
      </c>
      <c r="P21" s="316">
        <f>All!P23</f>
        <v>94.4</v>
      </c>
    </row>
    <row r="22" spans="2:16">
      <c r="B22" s="315">
        <f>All!B24</f>
        <v>2010</v>
      </c>
      <c r="C22" s="306">
        <f>All!C24</f>
        <v>17</v>
      </c>
      <c r="D22" s="306">
        <f>All!D24</f>
        <v>108</v>
      </c>
      <c r="E22" s="306">
        <f>All!E24</f>
        <v>98.9</v>
      </c>
      <c r="F22" s="306">
        <f>All!F24</f>
        <v>112.8</v>
      </c>
      <c r="G22" s="306">
        <f>All!G24</f>
        <v>137.30000000000001</v>
      </c>
      <c r="H22" s="306">
        <f>All!H24</f>
        <v>40.1</v>
      </c>
      <c r="I22" s="306">
        <f>All!I24</f>
        <v>266.8</v>
      </c>
      <c r="J22" s="306">
        <f>All!J24</f>
        <v>114.5</v>
      </c>
      <c r="K22" s="306">
        <f>All!K24</f>
        <v>182</v>
      </c>
      <c r="L22" s="306">
        <f>All!L24</f>
        <v>38.5</v>
      </c>
      <c r="M22" s="306">
        <f>All!M24</f>
        <v>15.5</v>
      </c>
      <c r="N22" s="306">
        <f>All!N24</f>
        <v>30.2</v>
      </c>
      <c r="O22" s="306">
        <f>All!O24</f>
        <v>1161.5999999999999</v>
      </c>
      <c r="P22" s="316">
        <f>All!P24</f>
        <v>96.8</v>
      </c>
    </row>
    <row r="23" spans="2:16" s="307" customFormat="1">
      <c r="B23" s="317">
        <f>All!B25</f>
        <v>2011</v>
      </c>
      <c r="C23" s="308">
        <f>All!C25</f>
        <v>10.5</v>
      </c>
      <c r="D23" s="308">
        <f>All!D25</f>
        <v>76.099999999999994</v>
      </c>
      <c r="E23" s="308">
        <f>All!E25</f>
        <v>18.5</v>
      </c>
      <c r="F23" s="308">
        <f>All!F25</f>
        <v>83.6</v>
      </c>
      <c r="G23" s="308">
        <f>All!G25</f>
        <v>114.8</v>
      </c>
      <c r="H23" s="308">
        <f>All!H25</f>
        <v>293.5</v>
      </c>
      <c r="I23" s="308">
        <f>All!I25</f>
        <v>284.8</v>
      </c>
      <c r="J23" s="308">
        <f>All!J25</f>
        <v>71</v>
      </c>
      <c r="K23" s="308">
        <f>All!K25</f>
        <v>96.5</v>
      </c>
      <c r="L23" s="308">
        <f>All!L25</f>
        <v>71</v>
      </c>
      <c r="M23" s="308">
        <f>All!M25</f>
        <v>93.9</v>
      </c>
      <c r="N23" s="308">
        <f>All!N25</f>
        <v>19</v>
      </c>
      <c r="O23" s="308">
        <f>All!O25</f>
        <v>1233.2</v>
      </c>
      <c r="P23" s="318">
        <f>All!P25</f>
        <v>102.8</v>
      </c>
    </row>
    <row r="24" spans="2:16">
      <c r="B24" s="315">
        <f>All!B26</f>
        <v>2012</v>
      </c>
      <c r="C24" s="306">
        <f>All!C26</f>
        <v>74.2</v>
      </c>
      <c r="D24" s="306">
        <f>All!D26</f>
        <v>12</v>
      </c>
      <c r="E24" s="306">
        <f>All!E26</f>
        <v>103.2</v>
      </c>
      <c r="F24" s="306">
        <f>All!F26</f>
        <v>150.5</v>
      </c>
      <c r="G24" s="306">
        <f>All!G26</f>
        <v>38.1</v>
      </c>
      <c r="H24" s="306">
        <f>All!H26</f>
        <v>76.400000000000006</v>
      </c>
      <c r="I24" s="306">
        <f>All!I26</f>
        <v>221</v>
      </c>
      <c r="J24" s="306">
        <f>All!J26</f>
        <v>220.4</v>
      </c>
      <c r="K24" s="306">
        <f>All!K26</f>
        <v>392.6</v>
      </c>
      <c r="L24" s="306">
        <f>All!L26</f>
        <v>40.6</v>
      </c>
      <c r="M24" s="306">
        <f>All!M26</f>
        <v>65.900000000000006</v>
      </c>
      <c r="N24" s="306">
        <f>All!N26</f>
        <v>63.2</v>
      </c>
      <c r="O24" s="306">
        <f>All!O26</f>
        <v>1458.1</v>
      </c>
      <c r="P24" s="316">
        <f>All!P26</f>
        <v>121.5</v>
      </c>
    </row>
    <row r="25" spans="2:16">
      <c r="B25" s="315">
        <f>All!B27</f>
        <v>2013</v>
      </c>
      <c r="C25" s="306">
        <f>All!C27</f>
        <v>22</v>
      </c>
      <c r="D25" s="306">
        <f>All!D27</f>
        <v>26.4</v>
      </c>
      <c r="E25" s="306">
        <f>All!E27</f>
        <v>78</v>
      </c>
      <c r="F25" s="306">
        <f>All!F27</f>
        <v>86.5</v>
      </c>
      <c r="G25" s="306">
        <f>All!G27</f>
        <v>155.1</v>
      </c>
      <c r="H25" s="306">
        <f>All!H27</f>
        <v>79.900000000000006</v>
      </c>
      <c r="I25" s="306">
        <f>All!I27</f>
        <v>130.1</v>
      </c>
      <c r="J25" s="306">
        <f>All!J27</f>
        <v>47.7</v>
      </c>
      <c r="K25" s="306">
        <f>All!K27</f>
        <v>49.6</v>
      </c>
      <c r="L25" s="306">
        <f>All!L27</f>
        <v>130.30000000000001</v>
      </c>
      <c r="M25" s="306">
        <f>All!M27</f>
        <v>41.6</v>
      </c>
      <c r="N25" s="306">
        <f>All!N27</f>
        <v>12.2</v>
      </c>
      <c r="O25" s="306">
        <f>All!O27</f>
        <v>859.4</v>
      </c>
      <c r="P25" s="316">
        <f>All!P27</f>
        <v>71.599999999999994</v>
      </c>
    </row>
    <row r="26" spans="2:16">
      <c r="B26" s="315">
        <f>All!B28</f>
        <v>2014</v>
      </c>
      <c r="C26" s="306">
        <f>All!C28</f>
        <v>8.6</v>
      </c>
      <c r="D26" s="306">
        <f>All!D28</f>
        <v>98.5</v>
      </c>
      <c r="E26" s="306">
        <f>All!E28</f>
        <v>122.4</v>
      </c>
      <c r="F26" s="306">
        <f>All!F28</f>
        <v>91.2</v>
      </c>
      <c r="G26" s="306">
        <f>All!G28</f>
        <v>45.7</v>
      </c>
      <c r="H26" s="306">
        <f>All!H28</f>
        <v>73.599999999999994</v>
      </c>
      <c r="I26" s="306">
        <f>All!I28</f>
        <v>96.9</v>
      </c>
      <c r="J26" s="306">
        <f>All!J28</f>
        <v>577.5</v>
      </c>
      <c r="K26" s="306">
        <f>All!K28</f>
        <v>113.2</v>
      </c>
      <c r="L26" s="306">
        <f>All!L28</f>
        <v>120.3</v>
      </c>
      <c r="M26" s="306">
        <f>All!M28</f>
        <v>44.3</v>
      </c>
      <c r="N26" s="306">
        <f>All!N28</f>
        <v>6.5</v>
      </c>
      <c r="O26" s="306">
        <f>All!O28</f>
        <v>1398.7</v>
      </c>
      <c r="P26" s="316">
        <f>All!P28</f>
        <v>116.6</v>
      </c>
    </row>
    <row r="27" spans="2:16">
      <c r="B27" s="315">
        <f>All!B29</f>
        <v>2015</v>
      </c>
      <c r="C27" s="306">
        <f>All!C29</f>
        <v>26.3</v>
      </c>
      <c r="D27" s="306">
        <f>All!D29</f>
        <v>20.399999999999999</v>
      </c>
      <c r="E27" s="306">
        <f>All!E29</f>
        <v>51.7</v>
      </c>
      <c r="F27" s="306">
        <f>All!F29</f>
        <v>122.9</v>
      </c>
      <c r="G27" s="306">
        <f>All!G29</f>
        <v>98.3</v>
      </c>
      <c r="H27" s="306">
        <f>All!H29</f>
        <v>77</v>
      </c>
      <c r="I27" s="306">
        <f>All!I29</f>
        <v>176.3</v>
      </c>
      <c r="J27" s="306">
        <f>All!J29</f>
        <v>120.2</v>
      </c>
      <c r="K27" s="306">
        <f>All!K29</f>
        <v>160.6</v>
      </c>
      <c r="L27" s="306">
        <f>All!L29</f>
        <v>39.799999999999997</v>
      </c>
      <c r="M27" s="306">
        <f>All!M29</f>
        <v>102.8</v>
      </c>
      <c r="N27" s="306">
        <f>All!N29</f>
        <v>47.6</v>
      </c>
      <c r="O27" s="306">
        <f>All!O29</f>
        <v>1043.9000000000001</v>
      </c>
      <c r="P27" s="316">
        <f>All!P29</f>
        <v>87</v>
      </c>
    </row>
    <row r="28" spans="2:16">
      <c r="B28" s="315">
        <f>All!B30</f>
        <v>2016</v>
      </c>
      <c r="C28" s="306">
        <f>All!C30</f>
        <v>50.6</v>
      </c>
      <c r="D28" s="306">
        <f>All!D30</f>
        <v>32.4</v>
      </c>
      <c r="E28" s="306">
        <f>All!E30</f>
        <v>92.2</v>
      </c>
      <c r="F28" s="306">
        <f>All!F30</f>
        <v>179.2</v>
      </c>
      <c r="G28" s="306">
        <f>All!G30</f>
        <v>86.1</v>
      </c>
      <c r="H28" s="306">
        <f>All!H30</f>
        <v>70.099999999999994</v>
      </c>
      <c r="I28" s="306">
        <f>All!I30</f>
        <v>226.9</v>
      </c>
      <c r="J28" s="306">
        <f>All!J30</f>
        <v>98.2</v>
      </c>
      <c r="K28" s="306">
        <f>All!K30</f>
        <v>364.3</v>
      </c>
      <c r="L28" s="306">
        <f>All!L30</f>
        <v>358.7</v>
      </c>
      <c r="M28" s="306">
        <f>All!M30</f>
        <v>47.1</v>
      </c>
      <c r="N28" s="306">
        <f>All!N30</f>
        <v>88.1</v>
      </c>
      <c r="O28" s="306">
        <f>All!O30</f>
        <v>1693.9</v>
      </c>
      <c r="P28" s="316">
        <f>All!P30</f>
        <v>141.19999999999999</v>
      </c>
    </row>
    <row r="29" spans="2:16">
      <c r="B29" s="315">
        <f>All!B31</f>
        <v>2017</v>
      </c>
      <c r="C29" s="306">
        <f>All!C31</f>
        <v>15.3</v>
      </c>
      <c r="D29" s="306">
        <f>All!D31</f>
        <v>23.6</v>
      </c>
      <c r="E29" s="306">
        <f>All!E31</f>
        <v>27.6</v>
      </c>
      <c r="F29" s="306">
        <f>All!F31</f>
        <v>111.9</v>
      </c>
      <c r="G29" s="306">
        <f>All!G31</f>
        <v>26.3</v>
      </c>
      <c r="H29" s="306">
        <f>All!H31</f>
        <v>38.5</v>
      </c>
      <c r="I29" s="306">
        <f>All!I31</f>
        <v>104.6</v>
      </c>
      <c r="J29" s="306">
        <f>All!J31</f>
        <v>69.8</v>
      </c>
      <c r="K29" s="306">
        <f>All!K31</f>
        <v>178</v>
      </c>
      <c r="L29" s="306">
        <f>All!L31</f>
        <v>63.1</v>
      </c>
      <c r="M29" s="306">
        <f>All!M31</f>
        <v>0</v>
      </c>
      <c r="N29" s="306">
        <f>All!N31</f>
        <v>12.7</v>
      </c>
      <c r="O29" s="306">
        <f>All!O31</f>
        <v>671.4</v>
      </c>
      <c r="P29" s="316">
        <f>All!P31</f>
        <v>56</v>
      </c>
    </row>
    <row r="30" spans="2:16">
      <c r="B30" s="315">
        <f>All!B32</f>
        <v>2018</v>
      </c>
      <c r="C30" s="306">
        <f>All!C32</f>
        <v>31.3</v>
      </c>
      <c r="D30" s="306">
        <f>All!D32</f>
        <v>44.8</v>
      </c>
      <c r="E30" s="306">
        <f>All!E32</f>
        <v>155.30000000000001</v>
      </c>
      <c r="F30" s="306">
        <f>All!F32</f>
        <v>123.3</v>
      </c>
      <c r="G30" s="306">
        <f>All!G32</f>
        <v>95.4</v>
      </c>
      <c r="H30" s="306">
        <f>All!H32</f>
        <v>127.6</v>
      </c>
      <c r="I30" s="306">
        <f>All!I32</f>
        <v>160.30000000000001</v>
      </c>
      <c r="J30" s="306">
        <f>All!J32</f>
        <v>279.3</v>
      </c>
      <c r="K30" s="306">
        <f>All!K32</f>
        <v>156.9</v>
      </c>
      <c r="L30" s="306">
        <f>All!L32</f>
        <v>162</v>
      </c>
      <c r="M30" s="306">
        <f>All!M32</f>
        <v>51.8</v>
      </c>
      <c r="N30" s="306">
        <f>All!N32</f>
        <v>28.1</v>
      </c>
      <c r="O30" s="306">
        <f>All!O32</f>
        <v>1416.1</v>
      </c>
      <c r="P30" s="316">
        <f>All!P32</f>
        <v>118</v>
      </c>
    </row>
    <row r="31" spans="2:16">
      <c r="B31" s="315">
        <f>All!B33</f>
        <v>2019</v>
      </c>
      <c r="C31" s="306">
        <f>All!C33</f>
        <v>15.5</v>
      </c>
      <c r="D31" s="306">
        <f>All!D33</f>
        <v>38.799999999999997</v>
      </c>
      <c r="E31" s="306">
        <f>All!E33</f>
        <v>40.700000000000003</v>
      </c>
      <c r="F31" s="306">
        <f>All!F33</f>
        <v>88.9</v>
      </c>
      <c r="G31" s="306">
        <f>All!G33</f>
        <v>35</v>
      </c>
      <c r="H31" s="306">
        <f>All!H33</f>
        <v>247.5</v>
      </c>
      <c r="I31" s="306">
        <f>All!I33</f>
        <v>206.5</v>
      </c>
      <c r="J31" s="306">
        <f>All!J33</f>
        <v>195.7</v>
      </c>
      <c r="K31" s="306">
        <f>All!K33</f>
        <v>287.5</v>
      </c>
      <c r="L31" s="306">
        <f>All!L33</f>
        <v>222.2</v>
      </c>
      <c r="M31" s="306">
        <f>All!M33</f>
        <v>31</v>
      </c>
      <c r="N31" s="306">
        <f>All!N33</f>
        <v>40.799999999999997</v>
      </c>
      <c r="O31" s="306">
        <f>All!O33</f>
        <v>1450.1</v>
      </c>
      <c r="P31" s="316">
        <f>All!P33</f>
        <v>120.8</v>
      </c>
    </row>
    <row r="32" spans="2:16">
      <c r="B32" s="315">
        <f>All!B34</f>
        <v>2020</v>
      </c>
      <c r="C32" s="306">
        <f>All!C34</f>
        <v>178.7</v>
      </c>
      <c r="D32" s="306">
        <f>All!D34</f>
        <v>53.6</v>
      </c>
      <c r="E32" s="306">
        <f>All!E34</f>
        <v>41.6</v>
      </c>
      <c r="F32" s="306">
        <f>All!F34</f>
        <v>73.2</v>
      </c>
      <c r="G32" s="306">
        <f>All!G34</f>
        <v>51.5</v>
      </c>
      <c r="H32" s="306">
        <f>All!H34</f>
        <v>218.6</v>
      </c>
      <c r="I32" s="306">
        <f>All!I34</f>
        <v>498.3</v>
      </c>
      <c r="J32" s="306">
        <f>All!J34</f>
        <v>137.1</v>
      </c>
      <c r="K32" s="306">
        <f>All!K34</f>
        <v>243</v>
      </c>
      <c r="L32" s="306">
        <f>All!L34</f>
        <v>18.899999999999999</v>
      </c>
      <c r="M32" s="306">
        <f>All!M34</f>
        <v>37.700000000000003</v>
      </c>
      <c r="N32" s="306">
        <f>All!N34</f>
        <v>5.7</v>
      </c>
      <c r="O32" s="306">
        <f>All!O34</f>
        <v>1557.9</v>
      </c>
      <c r="P32" s="316">
        <f>All!P34</f>
        <v>129.80000000000001</v>
      </c>
    </row>
    <row r="33" spans="2:17">
      <c r="B33" s="136" t="s">
        <v>206</v>
      </c>
      <c r="C33" s="137">
        <f>ROUND(SUM(C23:C32)/10,1)</f>
        <v>43.3</v>
      </c>
      <c r="D33" s="137">
        <f t="shared" ref="D33:P33" si="0">ROUND(SUM(D23:D32)/10,1)</f>
        <v>42.7</v>
      </c>
      <c r="E33" s="137">
        <f t="shared" si="0"/>
        <v>73.099999999999994</v>
      </c>
      <c r="F33" s="137">
        <f t="shared" si="0"/>
        <v>111.1</v>
      </c>
      <c r="G33" s="137">
        <f t="shared" si="0"/>
        <v>74.599999999999994</v>
      </c>
      <c r="H33" s="137">
        <f t="shared" si="0"/>
        <v>130.30000000000001</v>
      </c>
      <c r="I33" s="137">
        <f t="shared" si="0"/>
        <v>210.6</v>
      </c>
      <c r="J33" s="137">
        <f t="shared" si="0"/>
        <v>181.7</v>
      </c>
      <c r="K33" s="137">
        <f t="shared" si="0"/>
        <v>204.2</v>
      </c>
      <c r="L33" s="137">
        <f t="shared" si="0"/>
        <v>122.7</v>
      </c>
      <c r="M33" s="137">
        <f t="shared" si="0"/>
        <v>51.6</v>
      </c>
      <c r="N33" s="137">
        <f t="shared" si="0"/>
        <v>32.4</v>
      </c>
      <c r="O33" s="137">
        <f t="shared" si="0"/>
        <v>1278.3</v>
      </c>
      <c r="P33" s="138">
        <f t="shared" si="0"/>
        <v>106.5</v>
      </c>
    </row>
    <row r="34" spans="2:17" ht="17.25" thickBot="1">
      <c r="B34" s="319" t="s">
        <v>205</v>
      </c>
      <c r="C34" s="139">
        <f>All!C37</f>
        <v>38.6</v>
      </c>
      <c r="D34" s="139">
        <f>All!D37</f>
        <v>39.9</v>
      </c>
      <c r="E34" s="139">
        <f>All!E37</f>
        <v>68.400000000000006</v>
      </c>
      <c r="F34" s="139">
        <f>All!F37</f>
        <v>96.9</v>
      </c>
      <c r="G34" s="139">
        <f>All!G37</f>
        <v>107.4</v>
      </c>
      <c r="H34" s="139">
        <f>All!H37</f>
        <v>155.5</v>
      </c>
      <c r="I34" s="139">
        <f>All!I37</f>
        <v>234.1</v>
      </c>
      <c r="J34" s="139">
        <f>All!J37</f>
        <v>234.1</v>
      </c>
      <c r="K34" s="139">
        <f>All!K37</f>
        <v>170.3</v>
      </c>
      <c r="L34" s="139">
        <f>All!L37</f>
        <v>74.8</v>
      </c>
      <c r="M34" s="139">
        <f>All!M37</f>
        <v>44.2</v>
      </c>
      <c r="N34" s="139">
        <f>All!N37</f>
        <v>28.4</v>
      </c>
      <c r="O34" s="139">
        <f>All!O37</f>
        <v>1292.5999999999999</v>
      </c>
      <c r="P34" s="140">
        <f>All!P37</f>
        <v>107.7</v>
      </c>
    </row>
    <row r="36" spans="2:17" ht="17.25" thickBot="1"/>
    <row r="37" spans="2:17">
      <c r="B37" s="130" t="s">
        <v>38</v>
      </c>
      <c r="C37" s="132" t="s">
        <v>182</v>
      </c>
      <c r="D37" s="143"/>
      <c r="E37" s="144" t="s">
        <v>40</v>
      </c>
      <c r="F37" s="144" t="s">
        <v>41</v>
      </c>
      <c r="G37" s="144" t="s">
        <v>42</v>
      </c>
      <c r="H37" s="144" t="s">
        <v>43</v>
      </c>
      <c r="I37" s="144" t="s">
        <v>44</v>
      </c>
      <c r="J37" s="144" t="s">
        <v>12</v>
      </c>
      <c r="K37" s="151" t="s">
        <v>13</v>
      </c>
      <c r="L37" s="151" t="s">
        <v>14</v>
      </c>
      <c r="M37" s="151" t="s">
        <v>15</v>
      </c>
      <c r="N37" s="144" t="s">
        <v>16</v>
      </c>
      <c r="O37" s="144" t="s">
        <v>17</v>
      </c>
      <c r="P37" s="144" t="s">
        <v>18</v>
      </c>
      <c r="Q37" s="145" t="s">
        <v>39</v>
      </c>
    </row>
    <row r="38" spans="2:17" ht="17.25" thickBot="1">
      <c r="B38" s="133">
        <f>B23</f>
        <v>2011</v>
      </c>
      <c r="C38" s="135">
        <f>O23</f>
        <v>1233.2</v>
      </c>
      <c r="D38" s="147" t="s">
        <v>39</v>
      </c>
      <c r="E38" s="148">
        <f>All!C53</f>
        <v>43.3</v>
      </c>
      <c r="F38" s="148">
        <f>All!D53</f>
        <v>42.7</v>
      </c>
      <c r="G38" s="148">
        <f>All!E53</f>
        <v>73.099999999999994</v>
      </c>
      <c r="H38" s="148">
        <f>All!F53</f>
        <v>111.1</v>
      </c>
      <c r="I38" s="148">
        <f>All!G53</f>
        <v>74.599999999999994</v>
      </c>
      <c r="J38" s="148">
        <f>All!H53</f>
        <v>130.30000000000001</v>
      </c>
      <c r="K38" s="148">
        <f>All!I53</f>
        <v>210.6</v>
      </c>
      <c r="L38" s="148">
        <f>All!J53</f>
        <v>181.7</v>
      </c>
      <c r="M38" s="148">
        <f>All!K53</f>
        <v>204.2</v>
      </c>
      <c r="N38" s="148">
        <f>All!L53</f>
        <v>122.7</v>
      </c>
      <c r="O38" s="148">
        <f>All!M53</f>
        <v>51.6</v>
      </c>
      <c r="P38" s="148">
        <f>All!N53</f>
        <v>32.4</v>
      </c>
      <c r="Q38" s="148">
        <f>All!P53</f>
        <v>106.5</v>
      </c>
    </row>
    <row r="39" spans="2:17">
      <c r="B39" s="133">
        <f t="shared" ref="B39:B48" si="1">B24</f>
        <v>2012</v>
      </c>
      <c r="C39" s="135">
        <f t="shared" ref="C39:C48" si="2">O24</f>
        <v>1458.1</v>
      </c>
    </row>
    <row r="40" spans="2:17">
      <c r="B40" s="133">
        <f t="shared" si="1"/>
        <v>2013</v>
      </c>
      <c r="C40" s="135">
        <f t="shared" si="2"/>
        <v>859.4</v>
      </c>
    </row>
    <row r="41" spans="2:17">
      <c r="B41" s="133">
        <f t="shared" si="1"/>
        <v>2014</v>
      </c>
      <c r="C41" s="135">
        <f t="shared" si="2"/>
        <v>1398.7</v>
      </c>
    </row>
    <row r="42" spans="2:17">
      <c r="B42" s="133">
        <f t="shared" si="1"/>
        <v>2015</v>
      </c>
      <c r="C42" s="135">
        <f t="shared" si="2"/>
        <v>1043.9000000000001</v>
      </c>
    </row>
    <row r="43" spans="2:17">
      <c r="B43" s="133">
        <f t="shared" si="1"/>
        <v>2016</v>
      </c>
      <c r="C43" s="135">
        <f t="shared" si="2"/>
        <v>1693.9</v>
      </c>
    </row>
    <row r="44" spans="2:17">
      <c r="B44" s="133">
        <f t="shared" si="1"/>
        <v>2017</v>
      </c>
      <c r="C44" s="135">
        <f t="shared" si="2"/>
        <v>671.4</v>
      </c>
    </row>
    <row r="45" spans="2:17">
      <c r="B45" s="133">
        <f t="shared" si="1"/>
        <v>2018</v>
      </c>
      <c r="C45" s="135">
        <f t="shared" si="2"/>
        <v>1416.1</v>
      </c>
    </row>
    <row r="46" spans="2:17">
      <c r="B46" s="133">
        <f t="shared" si="1"/>
        <v>2019</v>
      </c>
      <c r="C46" s="135">
        <f t="shared" si="2"/>
        <v>1450.1</v>
      </c>
    </row>
    <row r="47" spans="2:17">
      <c r="B47" s="133">
        <f t="shared" si="1"/>
        <v>2020</v>
      </c>
      <c r="C47" s="135">
        <f t="shared" si="2"/>
        <v>1557.9</v>
      </c>
    </row>
    <row r="48" spans="2:17" ht="17.25" thickBot="1">
      <c r="B48" s="141" t="str">
        <f t="shared" si="1"/>
        <v>10년평균</v>
      </c>
      <c r="C48" s="142">
        <f t="shared" si="2"/>
        <v>1278.3</v>
      </c>
    </row>
    <row r="50" spans="2:3" ht="17.25" thickBot="1"/>
    <row r="51" spans="2:3">
      <c r="B51" s="313" t="s">
        <v>207</v>
      </c>
      <c r="C51" s="314" t="s">
        <v>182</v>
      </c>
    </row>
    <row r="52" spans="2:3">
      <c r="B52" s="309">
        <f>B3</f>
        <v>1991</v>
      </c>
      <c r="C52" s="310">
        <f>O3</f>
        <v>2058.9</v>
      </c>
    </row>
    <row r="53" spans="2:3">
      <c r="B53" s="309">
        <f t="shared" ref="B53:B81" si="3">B4</f>
        <v>1992</v>
      </c>
      <c r="C53" s="310">
        <f t="shared" ref="C53:C81" si="4">O4</f>
        <v>1155.4000000000001</v>
      </c>
    </row>
    <row r="54" spans="2:3">
      <c r="B54" s="309">
        <f t="shared" si="3"/>
        <v>1993</v>
      </c>
      <c r="C54" s="310">
        <f t="shared" si="4"/>
        <v>1649.4</v>
      </c>
    </row>
    <row r="55" spans="2:3">
      <c r="B55" s="309">
        <f t="shared" si="3"/>
        <v>1994</v>
      </c>
      <c r="C55" s="310">
        <f t="shared" si="4"/>
        <v>921.4</v>
      </c>
    </row>
    <row r="56" spans="2:3">
      <c r="B56" s="309">
        <f t="shared" si="3"/>
        <v>1995</v>
      </c>
      <c r="C56" s="310">
        <f t="shared" si="4"/>
        <v>693</v>
      </c>
    </row>
    <row r="57" spans="2:3">
      <c r="B57" s="309">
        <f t="shared" si="3"/>
        <v>1996</v>
      </c>
      <c r="C57" s="310">
        <f t="shared" si="4"/>
        <v>1015</v>
      </c>
    </row>
    <row r="58" spans="2:3">
      <c r="B58" s="309">
        <f t="shared" si="3"/>
        <v>1997</v>
      </c>
      <c r="C58" s="310">
        <f t="shared" si="4"/>
        <v>1198.5999999999999</v>
      </c>
    </row>
    <row r="59" spans="2:3">
      <c r="B59" s="309">
        <f t="shared" si="3"/>
        <v>1998</v>
      </c>
      <c r="C59" s="310">
        <f t="shared" si="4"/>
        <v>1796</v>
      </c>
    </row>
    <row r="60" spans="2:3">
      <c r="B60" s="309">
        <f t="shared" si="3"/>
        <v>1999</v>
      </c>
      <c r="C60" s="310">
        <f t="shared" si="4"/>
        <v>1864.9</v>
      </c>
    </row>
    <row r="61" spans="2:3">
      <c r="B61" s="309">
        <f t="shared" si="3"/>
        <v>2000</v>
      </c>
      <c r="C61" s="310">
        <f t="shared" si="4"/>
        <v>1027.0999999999999</v>
      </c>
    </row>
    <row r="62" spans="2:3">
      <c r="B62" s="309">
        <f t="shared" si="3"/>
        <v>2001</v>
      </c>
      <c r="C62" s="310">
        <f t="shared" si="4"/>
        <v>869.1</v>
      </c>
    </row>
    <row r="63" spans="2:3">
      <c r="B63" s="309">
        <f t="shared" si="3"/>
        <v>2002</v>
      </c>
      <c r="C63" s="310">
        <f t="shared" si="4"/>
        <v>1559.8</v>
      </c>
    </row>
    <row r="64" spans="2:3">
      <c r="B64" s="309">
        <f t="shared" si="3"/>
        <v>2003</v>
      </c>
      <c r="C64" s="310">
        <f t="shared" si="4"/>
        <v>1864.2</v>
      </c>
    </row>
    <row r="65" spans="2:3">
      <c r="B65" s="309">
        <f t="shared" si="3"/>
        <v>2004</v>
      </c>
      <c r="C65" s="310">
        <f t="shared" si="4"/>
        <v>1250.0999999999999</v>
      </c>
    </row>
    <row r="66" spans="2:3">
      <c r="B66" s="309">
        <f t="shared" si="3"/>
        <v>2005</v>
      </c>
      <c r="C66" s="310">
        <f t="shared" si="4"/>
        <v>1135.7</v>
      </c>
    </row>
    <row r="67" spans="2:3">
      <c r="B67" s="309">
        <f t="shared" si="3"/>
        <v>2006</v>
      </c>
      <c r="C67" s="310">
        <f t="shared" si="4"/>
        <v>1393.9</v>
      </c>
    </row>
    <row r="68" spans="2:3">
      <c r="B68" s="309">
        <f t="shared" si="3"/>
        <v>2007</v>
      </c>
      <c r="C68" s="310">
        <f t="shared" si="4"/>
        <v>1135.8</v>
      </c>
    </row>
    <row r="69" spans="2:3">
      <c r="B69" s="309">
        <f t="shared" si="3"/>
        <v>2008</v>
      </c>
      <c r="C69" s="310">
        <f t="shared" si="4"/>
        <v>1112.3</v>
      </c>
    </row>
    <row r="70" spans="2:3">
      <c r="B70" s="309">
        <f t="shared" si="3"/>
        <v>2009</v>
      </c>
      <c r="C70" s="310">
        <f t="shared" si="4"/>
        <v>1133.2</v>
      </c>
    </row>
    <row r="71" spans="2:3">
      <c r="B71" s="309">
        <f t="shared" si="3"/>
        <v>2010</v>
      </c>
      <c r="C71" s="310">
        <f t="shared" si="4"/>
        <v>1161.5999999999999</v>
      </c>
    </row>
    <row r="72" spans="2:3">
      <c r="B72" s="309">
        <f t="shared" si="3"/>
        <v>2011</v>
      </c>
      <c r="C72" s="310">
        <f t="shared" si="4"/>
        <v>1233.2</v>
      </c>
    </row>
    <row r="73" spans="2:3">
      <c r="B73" s="309">
        <f t="shared" si="3"/>
        <v>2012</v>
      </c>
      <c r="C73" s="310">
        <f t="shared" si="4"/>
        <v>1458.1</v>
      </c>
    </row>
    <row r="74" spans="2:3">
      <c r="B74" s="309">
        <f t="shared" si="3"/>
        <v>2013</v>
      </c>
      <c r="C74" s="310">
        <f t="shared" si="4"/>
        <v>859.4</v>
      </c>
    </row>
    <row r="75" spans="2:3">
      <c r="B75" s="309">
        <f t="shared" si="3"/>
        <v>2014</v>
      </c>
      <c r="C75" s="310">
        <f t="shared" si="4"/>
        <v>1398.7</v>
      </c>
    </row>
    <row r="76" spans="2:3">
      <c r="B76" s="309">
        <f t="shared" si="3"/>
        <v>2015</v>
      </c>
      <c r="C76" s="310">
        <f t="shared" si="4"/>
        <v>1043.9000000000001</v>
      </c>
    </row>
    <row r="77" spans="2:3">
      <c r="B77" s="309">
        <f t="shared" si="3"/>
        <v>2016</v>
      </c>
      <c r="C77" s="310">
        <f t="shared" si="4"/>
        <v>1693.9</v>
      </c>
    </row>
    <row r="78" spans="2:3">
      <c r="B78" s="309">
        <f>B29</f>
        <v>2017</v>
      </c>
      <c r="C78" s="310">
        <f t="shared" si="4"/>
        <v>671.4</v>
      </c>
    </row>
    <row r="79" spans="2:3">
      <c r="B79" s="309">
        <f t="shared" si="3"/>
        <v>2018</v>
      </c>
      <c r="C79" s="310">
        <f t="shared" si="4"/>
        <v>1416.1</v>
      </c>
    </row>
    <row r="80" spans="2:3">
      <c r="B80" s="309">
        <f t="shared" si="3"/>
        <v>2019</v>
      </c>
      <c r="C80" s="310">
        <f t="shared" si="4"/>
        <v>1450.1</v>
      </c>
    </row>
    <row r="81" spans="2:3">
      <c r="B81" s="309">
        <f t="shared" si="3"/>
        <v>2020</v>
      </c>
      <c r="C81" s="310">
        <f t="shared" si="4"/>
        <v>1557.9</v>
      </c>
    </row>
    <row r="82" spans="2:3" ht="17.25" thickBot="1">
      <c r="B82" s="311" t="str">
        <f>B34</f>
        <v>30년평균</v>
      </c>
      <c r="C82" s="312">
        <f>O34</f>
        <v>1292.5999999999999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8"/>
  <sheetViews>
    <sheetView topLeftCell="A16" zoomScaleNormal="100" workbookViewId="0">
      <selection activeCell="I28" sqref="I28"/>
    </sheetView>
  </sheetViews>
  <sheetFormatPr defaultColWidth="8.88671875" defaultRowHeight="16.5"/>
  <cols>
    <col min="1" max="1" width="17" style="128" customWidth="1"/>
    <col min="2" max="2" width="19.5546875" style="128" customWidth="1"/>
    <col min="3" max="16" width="10.109375" style="128" customWidth="1"/>
    <col min="17" max="16384" width="8.88671875" style="128"/>
  </cols>
  <sheetData>
    <row r="2" spans="2:16">
      <c r="B2" s="129" t="s">
        <v>189</v>
      </c>
    </row>
    <row r="3" spans="2:16" ht="17.25" thickBot="1">
      <c r="I3"/>
      <c r="J3"/>
      <c r="K3"/>
    </row>
    <row r="4" spans="2:16" ht="23.25" customHeight="1">
      <c r="B4" s="149"/>
      <c r="C4" s="150" t="s">
        <v>7</v>
      </c>
      <c r="D4" s="151" t="s">
        <v>8</v>
      </c>
      <c r="E4" s="151" t="s">
        <v>9</v>
      </c>
      <c r="F4" s="151" t="s">
        <v>10</v>
      </c>
      <c r="G4" s="151" t="s">
        <v>11</v>
      </c>
      <c r="H4" s="151" t="s">
        <v>12</v>
      </c>
      <c r="I4" s="151" t="s">
        <v>13</v>
      </c>
      <c r="J4" s="151" t="s">
        <v>14</v>
      </c>
      <c r="K4" s="151" t="s">
        <v>15</v>
      </c>
      <c r="L4" s="151" t="s">
        <v>16</v>
      </c>
      <c r="M4" s="151" t="s">
        <v>17</v>
      </c>
      <c r="N4" s="152" t="s">
        <v>18</v>
      </c>
      <c r="O4" s="150" t="s">
        <v>19</v>
      </c>
      <c r="P4" s="152" t="s">
        <v>20</v>
      </c>
    </row>
    <row r="5" spans="2:16" ht="22.15" customHeight="1">
      <c r="B5" s="153">
        <f>All!B41</f>
        <v>2011</v>
      </c>
      <c r="C5" s="154">
        <f>All!C41</f>
        <v>10.5</v>
      </c>
      <c r="D5" s="134">
        <f>All!D41</f>
        <v>76.099999999999994</v>
      </c>
      <c r="E5" s="134">
        <f>All!E41</f>
        <v>18.5</v>
      </c>
      <c r="F5" s="134">
        <f>All!F41</f>
        <v>83.6</v>
      </c>
      <c r="G5" s="134">
        <f>All!G41</f>
        <v>114.8</v>
      </c>
      <c r="H5" s="134">
        <f>All!H41</f>
        <v>293.5</v>
      </c>
      <c r="I5" s="134">
        <f>All!I41</f>
        <v>284.8</v>
      </c>
      <c r="J5" s="134">
        <f>All!J41</f>
        <v>71</v>
      </c>
      <c r="K5" s="134">
        <f>All!K41</f>
        <v>96.5</v>
      </c>
      <c r="L5" s="134">
        <f>All!L41</f>
        <v>71</v>
      </c>
      <c r="M5" s="134">
        <f>All!M41</f>
        <v>93.9</v>
      </c>
      <c r="N5" s="135">
        <f>All!N41</f>
        <v>19</v>
      </c>
      <c r="O5" s="154">
        <f>All!O41</f>
        <v>1233.2</v>
      </c>
      <c r="P5" s="135">
        <f>All!P41</f>
        <v>102.8</v>
      </c>
    </row>
    <row r="6" spans="2:16" ht="22.15" customHeight="1">
      <c r="B6" s="153">
        <f>All!B42</f>
        <v>2012</v>
      </c>
      <c r="C6" s="154">
        <f>All!C42</f>
        <v>74.2</v>
      </c>
      <c r="D6" s="134">
        <f>All!D42</f>
        <v>12</v>
      </c>
      <c r="E6" s="134">
        <f>All!E42</f>
        <v>103.2</v>
      </c>
      <c r="F6" s="134">
        <f>All!F42</f>
        <v>150.5</v>
      </c>
      <c r="G6" s="134">
        <f>All!G42</f>
        <v>38.1</v>
      </c>
      <c r="H6" s="134">
        <f>All!H42</f>
        <v>76.400000000000006</v>
      </c>
      <c r="I6" s="134">
        <f>All!I42</f>
        <v>221</v>
      </c>
      <c r="J6" s="134">
        <f>All!J42</f>
        <v>220.4</v>
      </c>
      <c r="K6" s="134">
        <f>All!K42</f>
        <v>392.6</v>
      </c>
      <c r="L6" s="134">
        <f>All!L42</f>
        <v>40.6</v>
      </c>
      <c r="M6" s="134">
        <f>All!M42</f>
        <v>65.900000000000006</v>
      </c>
      <c r="N6" s="135">
        <f>All!N42</f>
        <v>63.2</v>
      </c>
      <c r="O6" s="154">
        <f>All!O42</f>
        <v>1458.1</v>
      </c>
      <c r="P6" s="135">
        <f>All!P42</f>
        <v>121.5</v>
      </c>
    </row>
    <row r="7" spans="2:16" ht="22.15" customHeight="1">
      <c r="B7" s="153">
        <f>All!B43</f>
        <v>2013</v>
      </c>
      <c r="C7" s="154">
        <f>All!C43</f>
        <v>22</v>
      </c>
      <c r="D7" s="134">
        <f>All!D43</f>
        <v>26.4</v>
      </c>
      <c r="E7" s="134">
        <f>All!E43</f>
        <v>78</v>
      </c>
      <c r="F7" s="134">
        <f>All!F43</f>
        <v>86.5</v>
      </c>
      <c r="G7" s="134">
        <f>All!G43</f>
        <v>155.1</v>
      </c>
      <c r="H7" s="134">
        <f>All!H43</f>
        <v>79.900000000000006</v>
      </c>
      <c r="I7" s="134">
        <f>All!I43</f>
        <v>130.1</v>
      </c>
      <c r="J7" s="134">
        <f>All!J43</f>
        <v>47.7</v>
      </c>
      <c r="K7" s="134">
        <f>All!K43</f>
        <v>49.6</v>
      </c>
      <c r="L7" s="134">
        <f>All!L43</f>
        <v>130.30000000000001</v>
      </c>
      <c r="M7" s="134">
        <f>All!M43</f>
        <v>41.6</v>
      </c>
      <c r="N7" s="135">
        <f>All!N43</f>
        <v>12.2</v>
      </c>
      <c r="O7" s="154">
        <f>All!O43</f>
        <v>859.4</v>
      </c>
      <c r="P7" s="135">
        <f>All!P43</f>
        <v>71.599999999999994</v>
      </c>
    </row>
    <row r="8" spans="2:16" ht="22.15" customHeight="1">
      <c r="B8" s="153">
        <f>All!B44</f>
        <v>2014</v>
      </c>
      <c r="C8" s="154">
        <f>All!C44</f>
        <v>8.6</v>
      </c>
      <c r="D8" s="134">
        <f>All!D44</f>
        <v>98.5</v>
      </c>
      <c r="E8" s="134">
        <f>All!E44</f>
        <v>122.4</v>
      </c>
      <c r="F8" s="134">
        <f>All!F44</f>
        <v>91.2</v>
      </c>
      <c r="G8" s="134">
        <f>All!G44</f>
        <v>45.7</v>
      </c>
      <c r="H8" s="134">
        <f>All!H44</f>
        <v>73.599999999999994</v>
      </c>
      <c r="I8" s="134">
        <f>All!I44</f>
        <v>96.9</v>
      </c>
      <c r="J8" s="134">
        <f>All!J44</f>
        <v>577.5</v>
      </c>
      <c r="K8" s="134">
        <f>All!K44</f>
        <v>113.2</v>
      </c>
      <c r="L8" s="134">
        <f>All!L44</f>
        <v>120.3</v>
      </c>
      <c r="M8" s="134">
        <f>All!M44</f>
        <v>44.3</v>
      </c>
      <c r="N8" s="135">
        <f>All!N44</f>
        <v>6.5</v>
      </c>
      <c r="O8" s="154">
        <f>All!O44</f>
        <v>1398.7</v>
      </c>
      <c r="P8" s="135">
        <f>All!P44</f>
        <v>116.6</v>
      </c>
    </row>
    <row r="9" spans="2:16" ht="22.15" customHeight="1">
      <c r="B9" s="153">
        <f>All!B45</f>
        <v>2015</v>
      </c>
      <c r="C9" s="154">
        <f>All!C45</f>
        <v>26.3</v>
      </c>
      <c r="D9" s="134">
        <f>All!D45</f>
        <v>20.399999999999999</v>
      </c>
      <c r="E9" s="134">
        <f>All!E45</f>
        <v>51.7</v>
      </c>
      <c r="F9" s="134">
        <f>All!F45</f>
        <v>122.9</v>
      </c>
      <c r="G9" s="134">
        <f>All!G45</f>
        <v>98.3</v>
      </c>
      <c r="H9" s="134">
        <f>All!H45</f>
        <v>77</v>
      </c>
      <c r="I9" s="134">
        <f>All!I45</f>
        <v>176.3</v>
      </c>
      <c r="J9" s="134">
        <f>All!J45</f>
        <v>120.2</v>
      </c>
      <c r="K9" s="134">
        <f>All!K45</f>
        <v>160.6</v>
      </c>
      <c r="L9" s="134">
        <f>All!L45</f>
        <v>39.799999999999997</v>
      </c>
      <c r="M9" s="134">
        <f>All!M45</f>
        <v>102.8</v>
      </c>
      <c r="N9" s="135">
        <f>All!N45</f>
        <v>47.6</v>
      </c>
      <c r="O9" s="154">
        <f>All!O45</f>
        <v>1043.9000000000001</v>
      </c>
      <c r="P9" s="135">
        <f>All!P45</f>
        <v>87</v>
      </c>
    </row>
    <row r="10" spans="2:16" ht="22.15" customHeight="1">
      <c r="B10" s="327">
        <f>All!B46</f>
        <v>2016</v>
      </c>
      <c r="C10" s="154">
        <f>All!C46</f>
        <v>50.6</v>
      </c>
      <c r="D10" s="134">
        <f>All!D46</f>
        <v>32.4</v>
      </c>
      <c r="E10" s="134">
        <f>All!E46</f>
        <v>92.2</v>
      </c>
      <c r="F10" s="134">
        <f>All!F46</f>
        <v>179.2</v>
      </c>
      <c r="G10" s="134">
        <f>All!G46</f>
        <v>86.1</v>
      </c>
      <c r="H10" s="134">
        <f>All!H46</f>
        <v>70.099999999999994</v>
      </c>
      <c r="I10" s="134">
        <f>All!I46</f>
        <v>226.9</v>
      </c>
      <c r="J10" s="134">
        <f>All!J46</f>
        <v>98.2</v>
      </c>
      <c r="K10" s="134">
        <f>All!K46</f>
        <v>364.3</v>
      </c>
      <c r="L10" s="134">
        <f>All!L46</f>
        <v>358.7</v>
      </c>
      <c r="M10" s="134">
        <f>All!M46</f>
        <v>47.1</v>
      </c>
      <c r="N10" s="135">
        <f>All!N46</f>
        <v>88.1</v>
      </c>
      <c r="O10" s="295">
        <f>All!O46</f>
        <v>1693.9</v>
      </c>
      <c r="P10" s="135">
        <f>All!P46</f>
        <v>141.19999999999999</v>
      </c>
    </row>
    <row r="11" spans="2:16" ht="22.15" customHeight="1">
      <c r="B11" s="327">
        <f>All!B47</f>
        <v>2017</v>
      </c>
      <c r="C11" s="154">
        <f>All!C47</f>
        <v>15.3</v>
      </c>
      <c r="D11" s="134">
        <f>All!D47</f>
        <v>23.6</v>
      </c>
      <c r="E11" s="134">
        <f>All!E47</f>
        <v>27.6</v>
      </c>
      <c r="F11" s="134">
        <f>All!F47</f>
        <v>111.9</v>
      </c>
      <c r="G11" s="134">
        <f>All!G47</f>
        <v>26.3</v>
      </c>
      <c r="H11" s="134">
        <f>All!H47</f>
        <v>38.5</v>
      </c>
      <c r="I11" s="134">
        <f>All!I47</f>
        <v>104.6</v>
      </c>
      <c r="J11" s="134">
        <f>All!J47</f>
        <v>69.8</v>
      </c>
      <c r="K11" s="134">
        <f>All!K47</f>
        <v>178</v>
      </c>
      <c r="L11" s="134">
        <f>All!L47</f>
        <v>63.1</v>
      </c>
      <c r="M11" s="134">
        <f>All!M47</f>
        <v>0</v>
      </c>
      <c r="N11" s="135">
        <f>All!N47</f>
        <v>12.7</v>
      </c>
      <c r="O11" s="295">
        <f>All!O47</f>
        <v>671.4</v>
      </c>
      <c r="P11" s="135">
        <f>All!P47</f>
        <v>56</v>
      </c>
    </row>
    <row r="12" spans="2:16" ht="22.15" customHeight="1">
      <c r="B12" s="153">
        <f>All!B48</f>
        <v>2018</v>
      </c>
      <c r="C12" s="154">
        <f>All!C48</f>
        <v>31.3</v>
      </c>
      <c r="D12" s="134">
        <f>All!D48</f>
        <v>44.8</v>
      </c>
      <c r="E12" s="134">
        <f>All!E48</f>
        <v>155.30000000000001</v>
      </c>
      <c r="F12" s="134">
        <f>All!F48</f>
        <v>123.3</v>
      </c>
      <c r="G12" s="134">
        <f>All!G48</f>
        <v>95.4</v>
      </c>
      <c r="H12" s="134">
        <f>All!H48</f>
        <v>127.6</v>
      </c>
      <c r="I12" s="134">
        <f>All!I48</f>
        <v>160.30000000000001</v>
      </c>
      <c r="J12" s="134">
        <f>All!J48</f>
        <v>279.3</v>
      </c>
      <c r="K12" s="134">
        <f>All!K48</f>
        <v>156.9</v>
      </c>
      <c r="L12" s="134">
        <f>All!L48</f>
        <v>162</v>
      </c>
      <c r="M12" s="134">
        <f>All!M48</f>
        <v>51.8</v>
      </c>
      <c r="N12" s="135">
        <f>All!N48</f>
        <v>28.1</v>
      </c>
      <c r="O12" s="154">
        <f>All!O48</f>
        <v>1416.1</v>
      </c>
      <c r="P12" s="135">
        <f>All!P48</f>
        <v>118</v>
      </c>
    </row>
    <row r="13" spans="2:16" ht="22.15" customHeight="1">
      <c r="B13" s="153">
        <f>All!B49</f>
        <v>2019</v>
      </c>
      <c r="C13" s="154">
        <f>All!C49</f>
        <v>15.5</v>
      </c>
      <c r="D13" s="134">
        <f>All!D49</f>
        <v>38.799999999999997</v>
      </c>
      <c r="E13" s="134">
        <f>All!E49</f>
        <v>40.700000000000003</v>
      </c>
      <c r="F13" s="134">
        <f>All!F49</f>
        <v>88.9</v>
      </c>
      <c r="G13" s="134">
        <f>All!G49</f>
        <v>35</v>
      </c>
      <c r="H13" s="134">
        <f>All!H49</f>
        <v>247.5</v>
      </c>
      <c r="I13" s="134">
        <f>All!I49</f>
        <v>206.5</v>
      </c>
      <c r="J13" s="134">
        <f>All!J49</f>
        <v>195.7</v>
      </c>
      <c r="K13" s="134">
        <f>All!K49</f>
        <v>287.5</v>
      </c>
      <c r="L13" s="134">
        <f>All!L49</f>
        <v>222.2</v>
      </c>
      <c r="M13" s="134">
        <f>All!M49</f>
        <v>31</v>
      </c>
      <c r="N13" s="135">
        <f>All!N49</f>
        <v>40.799999999999997</v>
      </c>
      <c r="O13" s="154">
        <f>All!O49</f>
        <v>1450.1</v>
      </c>
      <c r="P13" s="135">
        <f>All!P49</f>
        <v>120.8</v>
      </c>
    </row>
    <row r="14" spans="2:16" ht="22.15" customHeight="1" thickBot="1">
      <c r="B14" s="153">
        <f>All!B50</f>
        <v>2020</v>
      </c>
      <c r="C14" s="155">
        <f>All!C50</f>
        <v>178.7</v>
      </c>
      <c r="D14" s="156">
        <f>All!D50</f>
        <v>53.6</v>
      </c>
      <c r="E14" s="156">
        <f>All!E50</f>
        <v>41.6</v>
      </c>
      <c r="F14" s="156">
        <f>All!F50</f>
        <v>73.2</v>
      </c>
      <c r="G14" s="156">
        <f>All!G50</f>
        <v>51.5</v>
      </c>
      <c r="H14" s="156">
        <f>All!H50</f>
        <v>218.6</v>
      </c>
      <c r="I14" s="156">
        <f>All!I50</f>
        <v>498.3</v>
      </c>
      <c r="J14" s="156">
        <f>All!J50</f>
        <v>137.1</v>
      </c>
      <c r="K14" s="156">
        <f>All!K50</f>
        <v>243</v>
      </c>
      <c r="L14" s="156">
        <f>All!L50</f>
        <v>18.899999999999999</v>
      </c>
      <c r="M14" s="156">
        <f>All!M50</f>
        <v>37.700000000000003</v>
      </c>
      <c r="N14" s="157">
        <f>All!N50</f>
        <v>5.7</v>
      </c>
      <c r="O14" s="155">
        <f>All!O50</f>
        <v>1557.9</v>
      </c>
      <c r="P14" s="157">
        <f>All!P50</f>
        <v>129.80000000000001</v>
      </c>
    </row>
    <row r="15" spans="2:16" ht="22.15" customHeight="1">
      <c r="B15" s="158" t="s">
        <v>21</v>
      </c>
      <c r="C15" s="159">
        <f>All!C51</f>
        <v>178.7</v>
      </c>
      <c r="D15" s="160">
        <f>All!D51</f>
        <v>98.5</v>
      </c>
      <c r="E15" s="160">
        <f>All!E51</f>
        <v>155.30000000000001</v>
      </c>
      <c r="F15" s="160">
        <f>All!F51</f>
        <v>179.2</v>
      </c>
      <c r="G15" s="160">
        <f>All!G51</f>
        <v>155.1</v>
      </c>
      <c r="H15" s="160">
        <f>All!H51</f>
        <v>293.5</v>
      </c>
      <c r="I15" s="160">
        <f>All!I51</f>
        <v>498.3</v>
      </c>
      <c r="J15" s="160">
        <f>All!J51</f>
        <v>577.5</v>
      </c>
      <c r="K15" s="160">
        <f>All!K51</f>
        <v>392.6</v>
      </c>
      <c r="L15" s="160">
        <f>All!L51</f>
        <v>358.7</v>
      </c>
      <c r="M15" s="160">
        <f>All!M51</f>
        <v>102.8</v>
      </c>
      <c r="N15" s="161">
        <f>All!N51</f>
        <v>88.1</v>
      </c>
      <c r="O15" s="322">
        <f>All!O51</f>
        <v>1693.9</v>
      </c>
      <c r="P15" s="161">
        <f>All!P51</f>
        <v>141.19999999999999</v>
      </c>
    </row>
    <row r="16" spans="2:16" ht="22.15" customHeight="1">
      <c r="B16" s="153" t="s">
        <v>22</v>
      </c>
      <c r="C16" s="154">
        <f>All!C52</f>
        <v>8.6</v>
      </c>
      <c r="D16" s="134">
        <f>All!D52</f>
        <v>12</v>
      </c>
      <c r="E16" s="134">
        <f>All!E52</f>
        <v>18.5</v>
      </c>
      <c r="F16" s="134">
        <f>All!F52</f>
        <v>73.2</v>
      </c>
      <c r="G16" s="134">
        <f>All!G52</f>
        <v>26.3</v>
      </c>
      <c r="H16" s="134">
        <f>All!H52</f>
        <v>38.5</v>
      </c>
      <c r="I16" s="134">
        <f>All!I52</f>
        <v>96.9</v>
      </c>
      <c r="J16" s="134">
        <f>All!J52</f>
        <v>47.7</v>
      </c>
      <c r="K16" s="134">
        <f>All!K52</f>
        <v>49.6</v>
      </c>
      <c r="L16" s="134">
        <f>All!L52</f>
        <v>18.899999999999999</v>
      </c>
      <c r="M16" s="134">
        <f>All!M52</f>
        <v>0</v>
      </c>
      <c r="N16" s="135">
        <f>All!N52</f>
        <v>5.7</v>
      </c>
      <c r="O16" s="321">
        <f>All!O52</f>
        <v>671.4</v>
      </c>
      <c r="P16" s="135">
        <f>All!P52</f>
        <v>56</v>
      </c>
    </row>
    <row r="17" spans="1:16" ht="22.15" customHeight="1" thickBot="1">
      <c r="B17" s="162" t="s">
        <v>20</v>
      </c>
      <c r="C17" s="163">
        <f>All!C53</f>
        <v>43.3</v>
      </c>
      <c r="D17" s="164">
        <f>All!D53</f>
        <v>42.7</v>
      </c>
      <c r="E17" s="164">
        <f>All!E53</f>
        <v>73.099999999999994</v>
      </c>
      <c r="F17" s="164">
        <f>All!F53</f>
        <v>111.1</v>
      </c>
      <c r="G17" s="165">
        <f>All!G53</f>
        <v>74.599999999999994</v>
      </c>
      <c r="H17" s="165">
        <f>All!H53</f>
        <v>130.30000000000001</v>
      </c>
      <c r="I17" s="165">
        <f>All!I53</f>
        <v>210.6</v>
      </c>
      <c r="J17" s="165">
        <f>All!J53</f>
        <v>181.7</v>
      </c>
      <c r="K17" s="165">
        <f>All!K53</f>
        <v>204.2</v>
      </c>
      <c r="L17" s="164">
        <f>All!L53</f>
        <v>122.7</v>
      </c>
      <c r="M17" s="164">
        <f>All!M53</f>
        <v>51.6</v>
      </c>
      <c r="N17" s="142">
        <f>All!N53</f>
        <v>32.4</v>
      </c>
      <c r="O17" s="324">
        <f>All!O53</f>
        <v>1278.3</v>
      </c>
      <c r="P17" s="320">
        <f>All!P53</f>
        <v>106.5</v>
      </c>
    </row>
    <row r="18" spans="1:16" ht="22.15" customHeight="1" thickBot="1">
      <c r="B18" s="166" t="s">
        <v>23</v>
      </c>
      <c r="C18" s="167">
        <f>All!C37</f>
        <v>38.6</v>
      </c>
      <c r="D18" s="168">
        <f>All!D37</f>
        <v>39.9</v>
      </c>
      <c r="E18" s="168">
        <f>All!E37</f>
        <v>68.400000000000006</v>
      </c>
      <c r="F18" s="168">
        <f>All!F37</f>
        <v>96.9</v>
      </c>
      <c r="G18" s="168">
        <f>All!G37</f>
        <v>107.4</v>
      </c>
      <c r="H18" s="168">
        <f>All!H37</f>
        <v>155.5</v>
      </c>
      <c r="I18" s="169">
        <f>All!I37</f>
        <v>234.1</v>
      </c>
      <c r="J18" s="169">
        <f>All!J37</f>
        <v>234.1</v>
      </c>
      <c r="K18" s="169">
        <f>All!K37</f>
        <v>170.3</v>
      </c>
      <c r="L18" s="169">
        <f>All!L37</f>
        <v>74.8</v>
      </c>
      <c r="M18" s="169">
        <f>All!M37</f>
        <v>44.2</v>
      </c>
      <c r="N18" s="170">
        <f>All!N37</f>
        <v>28.4</v>
      </c>
      <c r="O18" s="171">
        <f>All!O37</f>
        <v>1292.5999999999999</v>
      </c>
      <c r="P18" s="170">
        <f>All!P37</f>
        <v>107.7</v>
      </c>
    </row>
    <row r="19" spans="1:16" ht="22.15" customHeight="1" thickBot="1"/>
    <row r="20" spans="1:16" ht="17.25" thickTop="1">
      <c r="B20" s="172" t="s">
        <v>24</v>
      </c>
      <c r="C20" s="173"/>
      <c r="D20" s="174">
        <f>SUM(G17:K17)</f>
        <v>801.40000000000009</v>
      </c>
      <c r="F20" s="175"/>
    </row>
    <row r="21" spans="1:16">
      <c r="B21" s="176" t="s">
        <v>190</v>
      </c>
      <c r="D21" s="328">
        <f>O17</f>
        <v>1278.3</v>
      </c>
    </row>
    <row r="22" spans="1:16" ht="17.25" thickBot="1">
      <c r="B22" s="177"/>
      <c r="C22" s="178"/>
      <c r="D22" s="179">
        <f>D20/D21</f>
        <v>0.62692638660721278</v>
      </c>
    </row>
    <row r="23" spans="1:16" ht="18" thickTop="1" thickBot="1">
      <c r="D23" s="180"/>
    </row>
    <row r="24" spans="1:16">
      <c r="A24" s="128" t="s">
        <v>181</v>
      </c>
      <c r="B24" s="181" t="s">
        <v>108</v>
      </c>
      <c r="C24" s="182">
        <f>O16</f>
        <v>671.4</v>
      </c>
      <c r="D24" s="183" t="s">
        <v>30</v>
      </c>
      <c r="G24" s="430" t="s">
        <v>213</v>
      </c>
      <c r="H24" s="431"/>
      <c r="I24" s="433">
        <v>0.13200000000000001</v>
      </c>
      <c r="J24" s="432">
        <v>0.63</v>
      </c>
      <c r="K24" s="146"/>
    </row>
    <row r="25" spans="1:16" ht="17.25" thickBot="1">
      <c r="B25" s="184" t="s">
        <v>27</v>
      </c>
      <c r="C25" s="329">
        <f>O18</f>
        <v>1292.5999999999999</v>
      </c>
      <c r="D25" s="185" t="s">
        <v>29</v>
      </c>
      <c r="G25" s="435" t="s">
        <v>235</v>
      </c>
      <c r="H25" s="436"/>
      <c r="I25" s="437">
        <v>0.122</v>
      </c>
      <c r="J25" s="438">
        <v>0.67</v>
      </c>
      <c r="K25" s="146"/>
    </row>
    <row r="26" spans="1:16">
      <c r="B26" s="184" t="s">
        <v>188</v>
      </c>
      <c r="C26" s="186">
        <f>J24</f>
        <v>0.63</v>
      </c>
      <c r="D26" s="429">
        <f>J25</f>
        <v>0.67</v>
      </c>
    </row>
    <row r="27" spans="1:16">
      <c r="B27" s="187" t="s">
        <v>28</v>
      </c>
      <c r="C27" s="188">
        <f>Well!P4</f>
        <v>3532684</v>
      </c>
      <c r="D27" s="185" t="s">
        <v>31</v>
      </c>
    </row>
    <row r="28" spans="1:16" ht="16.5" customHeight="1" thickBot="1">
      <c r="B28" s="189" t="s">
        <v>32</v>
      </c>
      <c r="C28" s="190">
        <f>I24</f>
        <v>0.13200000000000001</v>
      </c>
      <c r="D28" s="434">
        <f>I25</f>
        <v>0.122</v>
      </c>
    </row>
    <row r="29" spans="1:16">
      <c r="E29" s="180"/>
    </row>
    <row r="30" spans="1:16" ht="22.15" customHeight="1">
      <c r="B30" s="191" t="s">
        <v>191</v>
      </c>
      <c r="C30" s="192">
        <f>max*rf_1/10</f>
        <v>17.06232</v>
      </c>
      <c r="D30" s="192">
        <f>max*rf_2/10</f>
        <v>15.769719999999998</v>
      </c>
      <c r="E30" s="193" t="s">
        <v>113</v>
      </c>
    </row>
    <row r="31" spans="1:16" ht="22.15" customHeight="1" thickBot="1">
      <c r="E31" s="180"/>
    </row>
    <row r="32" spans="1:16" ht="22.15" customHeight="1">
      <c r="B32" s="194" t="s">
        <v>25</v>
      </c>
      <c r="C32" s="195">
        <f>(C25*C27*C28)/1000</f>
        <v>602757.84866879997</v>
      </c>
      <c r="D32" s="196" t="s">
        <v>36</v>
      </c>
      <c r="F32" s="197"/>
    </row>
    <row r="33" spans="1:4" ht="22.15" customHeight="1" thickBot="1">
      <c r="B33" s="198"/>
      <c r="C33" s="199">
        <f>C32/365</f>
        <v>1651.3913662158902</v>
      </c>
      <c r="D33" s="200" t="s">
        <v>33</v>
      </c>
    </row>
    <row r="34" spans="1:4" ht="22.15" customHeight="1" thickBot="1"/>
    <row r="35" spans="1:4" ht="22.15" customHeight="1">
      <c r="B35" s="201" t="s">
        <v>26</v>
      </c>
      <c r="C35" s="202">
        <f>C24*C27*C28/1000</f>
        <v>313083.41296319995</v>
      </c>
      <c r="D35" s="203" t="s">
        <v>34</v>
      </c>
    </row>
    <row r="36" spans="1:4" ht="22.15" customHeight="1" thickBot="1">
      <c r="B36" s="204"/>
      <c r="C36" s="205">
        <f>C35/365</f>
        <v>857.76277524164368</v>
      </c>
      <c r="D36" s="206" t="s">
        <v>35</v>
      </c>
    </row>
    <row r="37" spans="1:4" ht="18" thickTop="1" thickBot="1">
      <c r="B37" s="207" t="s">
        <v>192</v>
      </c>
      <c r="C37" s="208">
        <f>(C36/C33)*100</f>
        <v>51.94182268296457</v>
      </c>
      <c r="D37" s="209" t="s">
        <v>59</v>
      </c>
    </row>
    <row r="38" spans="1:4" ht="17.25" thickTop="1"/>
    <row r="39" spans="1:4">
      <c r="A39" s="128" t="s">
        <v>193</v>
      </c>
      <c r="C39" s="210">
        <v>115</v>
      </c>
      <c r="D39" s="211">
        <v>120</v>
      </c>
    </row>
    <row r="40" spans="1:4">
      <c r="A40" s="128" t="s">
        <v>194</v>
      </c>
      <c r="C40" s="212">
        <v>75</v>
      </c>
      <c r="D40" s="212">
        <v>80</v>
      </c>
    </row>
    <row r="41" spans="1:4">
      <c r="A41" s="128" t="s">
        <v>195</v>
      </c>
      <c r="C41" s="210">
        <v>95</v>
      </c>
      <c r="D41" s="211">
        <v>100</v>
      </c>
    </row>
    <row r="42" spans="1:4">
      <c r="A42" s="128" t="s">
        <v>196</v>
      </c>
      <c r="C42" s="210">
        <v>90</v>
      </c>
      <c r="D42" s="211">
        <v>95</v>
      </c>
    </row>
    <row r="43" spans="1:4">
      <c r="A43" s="128" t="s">
        <v>197</v>
      </c>
    </row>
    <row r="45" spans="1:4">
      <c r="A45" s="128" t="s">
        <v>111</v>
      </c>
    </row>
    <row r="47" spans="1:4">
      <c r="A47" s="128" t="s">
        <v>198</v>
      </c>
    </row>
    <row r="48" spans="1:4">
      <c r="A48" s="128" t="s">
        <v>199</v>
      </c>
    </row>
    <row r="50" spans="1:9" ht="18" customHeight="1"/>
    <row r="51" spans="1:9" ht="17.25" thickBot="1"/>
    <row r="52" spans="1:9" customFormat="1" ht="17.25">
      <c r="A52" s="395" t="s">
        <v>214</v>
      </c>
      <c r="B52" s="396"/>
      <c r="C52" s="355"/>
      <c r="D52" s="355"/>
      <c r="E52" s="355"/>
      <c r="F52" s="355"/>
      <c r="G52" s="355"/>
      <c r="H52" s="355"/>
      <c r="I52" s="356"/>
    </row>
    <row r="53" spans="1:9" customFormat="1" ht="18" thickBot="1">
      <c r="A53" s="357"/>
      <c r="B53" s="358" t="s">
        <v>181</v>
      </c>
      <c r="C53" s="358" t="s">
        <v>224</v>
      </c>
      <c r="D53" s="358" t="s">
        <v>225</v>
      </c>
      <c r="E53" s="358" t="s">
        <v>226</v>
      </c>
      <c r="F53" s="358" t="s">
        <v>227</v>
      </c>
      <c r="G53" s="358" t="s">
        <v>228</v>
      </c>
      <c r="H53" s="358" t="s">
        <v>229</v>
      </c>
      <c r="I53" s="359" t="s">
        <v>230</v>
      </c>
    </row>
    <row r="54" spans="1:9" customFormat="1" ht="17.25">
      <c r="A54" s="384" t="s">
        <v>215</v>
      </c>
      <c r="B54" s="360">
        <v>470</v>
      </c>
      <c r="C54" s="361">
        <v>470</v>
      </c>
      <c r="D54" s="361">
        <v>470</v>
      </c>
      <c r="E54" s="361">
        <v>470</v>
      </c>
      <c r="F54" s="361">
        <v>470</v>
      </c>
      <c r="G54" s="361">
        <v>470</v>
      </c>
      <c r="H54" s="361">
        <v>470</v>
      </c>
      <c r="I54" s="362">
        <v>470</v>
      </c>
    </row>
    <row r="55" spans="1:9" customFormat="1" ht="17.25">
      <c r="A55" s="385" t="s">
        <v>216</v>
      </c>
      <c r="B55" s="363">
        <v>87</v>
      </c>
      <c r="C55" s="364">
        <v>86</v>
      </c>
      <c r="D55" s="364">
        <v>88</v>
      </c>
      <c r="E55" s="364">
        <v>87</v>
      </c>
      <c r="F55" s="364">
        <v>90</v>
      </c>
      <c r="G55" s="364">
        <v>88</v>
      </c>
      <c r="H55" s="364">
        <v>89</v>
      </c>
      <c r="I55" s="365">
        <v>91</v>
      </c>
    </row>
    <row r="56" spans="1:9" customFormat="1" ht="17.25">
      <c r="A56" s="385" t="s">
        <v>217</v>
      </c>
      <c r="B56" s="366">
        <v>60</v>
      </c>
      <c r="C56" s="367">
        <v>60</v>
      </c>
      <c r="D56" s="367">
        <v>60</v>
      </c>
      <c r="E56" s="367">
        <v>60</v>
      </c>
      <c r="F56" s="367">
        <v>60</v>
      </c>
      <c r="G56" s="367">
        <v>60</v>
      </c>
      <c r="H56" s="367">
        <v>60</v>
      </c>
      <c r="I56" s="368">
        <v>60</v>
      </c>
    </row>
    <row r="57" spans="1:9" customFormat="1" ht="17.25">
      <c r="A57" s="386" t="s">
        <v>218</v>
      </c>
      <c r="B57" s="369">
        <v>6</v>
      </c>
      <c r="C57" s="370">
        <v>6</v>
      </c>
      <c r="D57" s="370">
        <v>6</v>
      </c>
      <c r="E57" s="370">
        <v>6</v>
      </c>
      <c r="F57" s="370">
        <v>6</v>
      </c>
      <c r="G57" s="370">
        <v>6</v>
      </c>
      <c r="H57" s="370">
        <v>6</v>
      </c>
      <c r="I57" s="371">
        <v>6</v>
      </c>
    </row>
    <row r="58" spans="1:9" customFormat="1" ht="17.25">
      <c r="A58" s="386" t="s">
        <v>219</v>
      </c>
      <c r="B58" s="372">
        <f t="shared" ref="B58:I58" si="0">B56+B57</f>
        <v>66</v>
      </c>
      <c r="C58" s="373">
        <f t="shared" si="0"/>
        <v>66</v>
      </c>
      <c r="D58" s="373">
        <f t="shared" si="0"/>
        <v>66</v>
      </c>
      <c r="E58" s="373">
        <f t="shared" si="0"/>
        <v>66</v>
      </c>
      <c r="F58" s="373">
        <f t="shared" si="0"/>
        <v>66</v>
      </c>
      <c r="G58" s="373">
        <f t="shared" si="0"/>
        <v>66</v>
      </c>
      <c r="H58" s="373">
        <f t="shared" si="0"/>
        <v>66</v>
      </c>
      <c r="I58" s="374">
        <f t="shared" si="0"/>
        <v>66</v>
      </c>
    </row>
    <row r="59" spans="1:9" customFormat="1" ht="17.25">
      <c r="A59" s="386" t="s">
        <v>220</v>
      </c>
      <c r="B59" s="375">
        <v>0.45</v>
      </c>
      <c r="C59" s="376">
        <v>0.42</v>
      </c>
      <c r="D59" s="376">
        <v>0.45</v>
      </c>
      <c r="E59" s="376">
        <v>0.45</v>
      </c>
      <c r="F59" s="376">
        <v>0.45</v>
      </c>
      <c r="G59" s="376">
        <v>0.45</v>
      </c>
      <c r="H59" s="376">
        <v>0.45</v>
      </c>
      <c r="I59" s="377">
        <v>0.45</v>
      </c>
    </row>
    <row r="60" spans="1:9" customFormat="1" ht="17.25">
      <c r="A60" s="386"/>
      <c r="B60" s="369"/>
      <c r="C60" s="370"/>
      <c r="D60" s="370"/>
      <c r="E60" s="370"/>
      <c r="F60" s="370"/>
      <c r="G60" s="370"/>
      <c r="H60" s="370"/>
      <c r="I60" s="371"/>
    </row>
    <row r="61" spans="1:9" customFormat="1" ht="17.25">
      <c r="A61" s="386" t="s">
        <v>221</v>
      </c>
      <c r="B61" s="369">
        <f t="shared" ref="B61:I61" si="1">ROUND((B55*B58)/(6572.5*B59),4)</f>
        <v>1.9414</v>
      </c>
      <c r="C61" s="370">
        <f t="shared" si="1"/>
        <v>2.0562</v>
      </c>
      <c r="D61" s="370">
        <f t="shared" si="1"/>
        <v>1.9637</v>
      </c>
      <c r="E61" s="370">
        <f t="shared" si="1"/>
        <v>1.9414</v>
      </c>
      <c r="F61" s="370">
        <f t="shared" si="1"/>
        <v>2.0084</v>
      </c>
      <c r="G61" s="370">
        <f t="shared" si="1"/>
        <v>1.9637</v>
      </c>
      <c r="H61" s="370">
        <f t="shared" si="1"/>
        <v>1.9861</v>
      </c>
      <c r="I61" s="371">
        <f t="shared" si="1"/>
        <v>2.0306999999999999</v>
      </c>
    </row>
    <row r="62" spans="1:9" customFormat="1" ht="21" thickBot="1">
      <c r="A62" s="387"/>
      <c r="B62" s="378">
        <f t="shared" ref="B62:I62" si="2">ROUNDUP(B61,0)</f>
        <v>2</v>
      </c>
      <c r="C62" s="379">
        <f t="shared" si="2"/>
        <v>3</v>
      </c>
      <c r="D62" s="379">
        <f t="shared" si="2"/>
        <v>2</v>
      </c>
      <c r="E62" s="379">
        <f t="shared" si="2"/>
        <v>2</v>
      </c>
      <c r="F62" s="379">
        <f t="shared" si="2"/>
        <v>3</v>
      </c>
      <c r="G62" s="379">
        <f t="shared" si="2"/>
        <v>2</v>
      </c>
      <c r="H62" s="379">
        <f t="shared" si="2"/>
        <v>2</v>
      </c>
      <c r="I62" s="380">
        <f t="shared" si="2"/>
        <v>3</v>
      </c>
    </row>
    <row r="63" spans="1:9" customFormat="1" ht="17.25">
      <c r="A63" s="384" t="s">
        <v>222</v>
      </c>
      <c r="B63" s="360">
        <v>5</v>
      </c>
      <c r="C63" s="361">
        <v>5</v>
      </c>
      <c r="D63" s="361">
        <v>5</v>
      </c>
      <c r="E63" s="361">
        <v>5</v>
      </c>
      <c r="F63" s="361">
        <v>5</v>
      </c>
      <c r="G63" s="361">
        <v>5</v>
      </c>
      <c r="H63" s="361">
        <v>5</v>
      </c>
      <c r="I63" s="362">
        <v>5</v>
      </c>
    </row>
    <row r="64" spans="1:9" customFormat="1" ht="18" thickBot="1">
      <c r="A64" s="387" t="s">
        <v>223</v>
      </c>
      <c r="B64" s="381">
        <f t="shared" ref="B64:I64" si="3">ROUND((B63*B59*6572.5)/B58,1)</f>
        <v>224.1</v>
      </c>
      <c r="C64" s="382">
        <f t="shared" si="3"/>
        <v>209.1</v>
      </c>
      <c r="D64" s="382">
        <f t="shared" si="3"/>
        <v>224.1</v>
      </c>
      <c r="E64" s="382">
        <f t="shared" si="3"/>
        <v>224.1</v>
      </c>
      <c r="F64" s="382">
        <f t="shared" si="3"/>
        <v>224.1</v>
      </c>
      <c r="G64" s="382">
        <f t="shared" si="3"/>
        <v>224.1</v>
      </c>
      <c r="H64" s="382">
        <f t="shared" si="3"/>
        <v>224.1</v>
      </c>
      <c r="I64" s="383">
        <f t="shared" si="3"/>
        <v>224.1</v>
      </c>
    </row>
    <row r="65" customFormat="1" ht="13.5"/>
    <row r="66" customFormat="1" ht="13.5"/>
    <row r="67" customFormat="1" ht="13.5"/>
    <row r="68" customFormat="1" ht="13.5"/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51" customWidth="1"/>
    <col min="2" max="2" width="14.5546875" style="44" customWidth="1"/>
    <col min="3" max="3" width="4.77734375" style="51" customWidth="1"/>
    <col min="4" max="4" width="31.5546875" style="51" customWidth="1"/>
    <col min="5" max="5" width="8.88671875" style="52"/>
    <col min="6" max="6" width="8.88671875" style="51"/>
    <col min="7" max="7" width="36" style="51" customWidth="1"/>
    <col min="8" max="16384" width="8.88671875" style="51"/>
  </cols>
  <sheetData>
    <row r="2" spans="1:11" s="60" customFormat="1">
      <c r="A2" s="60" t="s">
        <v>170</v>
      </c>
      <c r="B2" s="61" t="s">
        <v>166</v>
      </c>
      <c r="D2" s="60" t="s">
        <v>169</v>
      </c>
      <c r="E2" s="62" t="s">
        <v>167</v>
      </c>
      <c r="G2" s="60" t="s">
        <v>168</v>
      </c>
    </row>
    <row r="3" spans="1:11">
      <c r="A3" s="51" t="s">
        <v>142</v>
      </c>
      <c r="I3"/>
      <c r="J3"/>
      <c r="K3"/>
    </row>
    <row r="4" spans="1:11" s="56" customFormat="1">
      <c r="A4" s="55" t="s">
        <v>153</v>
      </c>
      <c r="B4" s="63">
        <v>2</v>
      </c>
      <c r="D4" s="55" t="s">
        <v>155</v>
      </c>
      <c r="E4" s="67">
        <v>10</v>
      </c>
      <c r="G4" s="55" t="s">
        <v>171</v>
      </c>
      <c r="H4" s="71">
        <v>1</v>
      </c>
      <c r="I4"/>
      <c r="J4"/>
      <c r="K4"/>
    </row>
    <row r="5" spans="1:11">
      <c r="A5" s="53" t="s">
        <v>144</v>
      </c>
      <c r="B5" s="64">
        <v>3</v>
      </c>
      <c r="D5" s="53" t="s">
        <v>156</v>
      </c>
      <c r="E5" s="68">
        <v>10</v>
      </c>
      <c r="G5" s="53" t="s">
        <v>172</v>
      </c>
      <c r="H5" s="72">
        <v>3</v>
      </c>
      <c r="I5"/>
      <c r="J5"/>
      <c r="K5"/>
    </row>
    <row r="6" spans="1:11" s="56" customFormat="1">
      <c r="A6" s="57" t="s">
        <v>145</v>
      </c>
      <c r="B6" s="65">
        <v>4</v>
      </c>
      <c r="D6" s="57" t="s">
        <v>157</v>
      </c>
      <c r="E6" s="69">
        <v>9</v>
      </c>
      <c r="G6" s="57" t="s">
        <v>143</v>
      </c>
      <c r="H6" s="73">
        <v>3</v>
      </c>
      <c r="I6"/>
      <c r="J6"/>
      <c r="K6"/>
    </row>
    <row r="7" spans="1:11">
      <c r="A7" s="53" t="s">
        <v>146</v>
      </c>
      <c r="B7" s="64">
        <v>5</v>
      </c>
      <c r="D7" s="53" t="s">
        <v>158</v>
      </c>
      <c r="E7" s="68">
        <v>8</v>
      </c>
      <c r="G7" s="53" t="s">
        <v>148</v>
      </c>
      <c r="H7" s="72">
        <v>6</v>
      </c>
    </row>
    <row r="8" spans="1:11" s="56" customFormat="1">
      <c r="A8" s="57" t="s">
        <v>147</v>
      </c>
      <c r="B8" s="65">
        <v>6</v>
      </c>
      <c r="D8" s="57" t="s">
        <v>159</v>
      </c>
      <c r="E8" s="69">
        <v>7</v>
      </c>
      <c r="G8" s="57" t="s">
        <v>173</v>
      </c>
      <c r="H8" s="73">
        <v>6</v>
      </c>
    </row>
    <row r="9" spans="1:11">
      <c r="A9" s="53" t="s">
        <v>154</v>
      </c>
      <c r="B9" s="64">
        <v>6</v>
      </c>
      <c r="D9" s="53" t="s">
        <v>160</v>
      </c>
      <c r="E9" s="68">
        <v>6</v>
      </c>
      <c r="G9" s="53" t="s">
        <v>174</v>
      </c>
      <c r="H9" s="72">
        <v>6</v>
      </c>
    </row>
    <row r="10" spans="1:11" s="56" customFormat="1">
      <c r="A10" s="57" t="s">
        <v>152</v>
      </c>
      <c r="B10" s="65">
        <v>6</v>
      </c>
      <c r="D10" s="57" t="s">
        <v>161</v>
      </c>
      <c r="E10" s="69">
        <v>5</v>
      </c>
      <c r="G10" s="57" t="s">
        <v>175</v>
      </c>
      <c r="H10" s="73">
        <v>6</v>
      </c>
    </row>
    <row r="11" spans="1:11">
      <c r="A11" s="53" t="s">
        <v>149</v>
      </c>
      <c r="B11" s="64">
        <v>8</v>
      </c>
      <c r="D11" s="53" t="s">
        <v>162</v>
      </c>
      <c r="E11" s="68">
        <v>4</v>
      </c>
      <c r="G11" s="53" t="s">
        <v>144</v>
      </c>
      <c r="H11" s="72">
        <v>4</v>
      </c>
    </row>
    <row r="12" spans="1:11" s="56" customFormat="1">
      <c r="A12" s="57" t="s">
        <v>150</v>
      </c>
      <c r="B12" s="65">
        <v>9</v>
      </c>
      <c r="D12" s="57" t="s">
        <v>163</v>
      </c>
      <c r="E12" s="69">
        <v>3</v>
      </c>
      <c r="G12" s="57" t="s">
        <v>149</v>
      </c>
      <c r="H12" s="73">
        <v>8</v>
      </c>
    </row>
    <row r="13" spans="1:11">
      <c r="A13" s="54" t="s">
        <v>151</v>
      </c>
      <c r="B13" s="66">
        <v>10</v>
      </c>
      <c r="D13" s="53" t="s">
        <v>164</v>
      </c>
      <c r="E13" s="68">
        <v>2</v>
      </c>
      <c r="G13" s="53" t="s">
        <v>150</v>
      </c>
      <c r="H13" s="72">
        <v>9</v>
      </c>
    </row>
    <row r="14" spans="1:11" s="56" customFormat="1">
      <c r="B14" s="58"/>
      <c r="D14" s="59" t="s">
        <v>165</v>
      </c>
      <c r="E14" s="70">
        <v>1</v>
      </c>
      <c r="G14" s="59" t="s">
        <v>151</v>
      </c>
      <c r="H14" s="74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9"/>
  <sheetViews>
    <sheetView workbookViewId="0">
      <selection activeCell="A7" sqref="A7:XFD7"/>
    </sheetView>
  </sheetViews>
  <sheetFormatPr defaultColWidth="8.88671875" defaultRowHeight="16.5"/>
  <cols>
    <col min="1" max="1" width="5.21875" style="45" customWidth="1"/>
    <col min="2" max="2" width="14.5546875" style="44" customWidth="1"/>
    <col min="3" max="3" width="9.109375" style="44" customWidth="1"/>
    <col min="4" max="4" width="25.109375" style="44" customWidth="1"/>
    <col min="5" max="5" width="9.6640625" style="44" customWidth="1"/>
    <col min="6" max="6" width="9" style="44" customWidth="1"/>
    <col min="7" max="7" width="8.109375" style="44" customWidth="1"/>
    <col min="8" max="8" width="9.33203125" style="44" customWidth="1"/>
    <col min="9" max="9" width="7.77734375" style="44" customWidth="1"/>
    <col min="10" max="10" width="7.77734375" style="266" customWidth="1"/>
    <col min="11" max="11" width="8.109375" style="44" customWidth="1"/>
    <col min="12" max="12" width="5.33203125" style="44" customWidth="1"/>
    <col min="13" max="13" width="6.33203125" style="44" customWidth="1"/>
    <col min="14" max="14" width="6.5546875" style="44" customWidth="1"/>
    <col min="15" max="15" width="8.44140625" style="44" customWidth="1"/>
    <col min="16" max="16" width="9.77734375" style="47" customWidth="1"/>
    <col min="17" max="17" width="15.6640625" style="44" customWidth="1"/>
    <col min="18" max="18" width="15" style="44" customWidth="1"/>
    <col min="19" max="16384" width="8.88671875" style="45"/>
  </cols>
  <sheetData>
    <row r="1" spans="1:19" ht="49.5" customHeight="1" thickBot="1">
      <c r="D1" s="75"/>
      <c r="E1" s="75"/>
      <c r="F1" s="46" t="s">
        <v>212</v>
      </c>
      <c r="J1" s="76"/>
    </row>
    <row r="2" spans="1:19" s="292" customFormat="1" ht="23.1" customHeight="1">
      <c r="A2" s="397" t="s">
        <v>0</v>
      </c>
      <c r="B2" s="399" t="s">
        <v>49</v>
      </c>
      <c r="C2" s="399" t="s">
        <v>6</v>
      </c>
      <c r="D2" s="399" t="s">
        <v>47</v>
      </c>
      <c r="E2" s="399" t="s">
        <v>137</v>
      </c>
      <c r="F2" s="399" t="s">
        <v>48</v>
      </c>
      <c r="G2" s="403" t="s">
        <v>1</v>
      </c>
      <c r="H2" s="403" t="s">
        <v>2</v>
      </c>
      <c r="I2" s="403" t="s">
        <v>202</v>
      </c>
      <c r="J2" s="407" t="s">
        <v>203</v>
      </c>
      <c r="K2" s="403" t="s">
        <v>204</v>
      </c>
      <c r="L2" s="403" t="s">
        <v>3</v>
      </c>
      <c r="M2" s="403" t="s">
        <v>4</v>
      </c>
      <c r="N2" s="403" t="s">
        <v>5</v>
      </c>
      <c r="O2" s="403" t="s">
        <v>112</v>
      </c>
      <c r="P2" s="405" t="s">
        <v>50</v>
      </c>
      <c r="Q2" s="399" t="s">
        <v>180</v>
      </c>
      <c r="R2" s="401" t="s">
        <v>105</v>
      </c>
      <c r="S2" s="330"/>
    </row>
    <row r="3" spans="1:19" s="292" customFormat="1" ht="27" customHeight="1">
      <c r="A3" s="398"/>
      <c r="B3" s="400"/>
      <c r="C3" s="400"/>
      <c r="D3" s="400"/>
      <c r="E3" s="400"/>
      <c r="F3" s="400"/>
      <c r="G3" s="404"/>
      <c r="H3" s="404"/>
      <c r="I3" s="404"/>
      <c r="J3" s="408"/>
      <c r="K3" s="404"/>
      <c r="L3" s="404"/>
      <c r="M3" s="404"/>
      <c r="N3" s="404"/>
      <c r="O3" s="404"/>
      <c r="P3" s="406"/>
      <c r="Q3" s="400"/>
      <c r="R3" s="402"/>
      <c r="S3" s="330"/>
    </row>
    <row r="4" spans="1:19" s="353" customFormat="1" ht="23.1" customHeight="1">
      <c r="A4" s="291" t="s">
        <v>176</v>
      </c>
      <c r="B4" s="292" t="s">
        <v>209</v>
      </c>
      <c r="C4" s="296"/>
      <c r="D4" s="292" t="s">
        <v>211</v>
      </c>
      <c r="E4" s="292"/>
      <c r="F4" s="292"/>
      <c r="G4" s="292">
        <v>200</v>
      </c>
      <c r="H4" s="292">
        <v>470</v>
      </c>
      <c r="I4" s="292">
        <v>15</v>
      </c>
      <c r="J4" s="292">
        <v>87</v>
      </c>
      <c r="K4" s="292">
        <v>200</v>
      </c>
      <c r="L4" s="292">
        <v>5</v>
      </c>
      <c r="M4" s="292">
        <v>60</v>
      </c>
      <c r="N4" s="297">
        <v>50</v>
      </c>
      <c r="O4" s="298">
        <v>92.2</v>
      </c>
      <c r="P4" s="299">
        <v>3532684</v>
      </c>
      <c r="Q4" s="292"/>
      <c r="R4" s="293"/>
      <c r="S4" s="354"/>
    </row>
    <row r="5" spans="1:19" s="353" customFormat="1" ht="23.1" customHeight="1">
      <c r="A5" s="392" t="s">
        <v>176</v>
      </c>
      <c r="B5" s="390" t="s">
        <v>209</v>
      </c>
      <c r="C5" s="296"/>
      <c r="D5" s="390" t="s">
        <v>211</v>
      </c>
      <c r="E5" s="390"/>
      <c r="F5" s="390"/>
      <c r="G5" s="390">
        <v>200</v>
      </c>
      <c r="H5" s="390">
        <v>470</v>
      </c>
      <c r="I5" s="390">
        <v>15</v>
      </c>
      <c r="J5" s="390">
        <v>87</v>
      </c>
      <c r="K5" s="390">
        <v>200</v>
      </c>
      <c r="L5" s="390">
        <v>5</v>
      </c>
      <c r="M5" s="390">
        <v>60</v>
      </c>
      <c r="N5" s="297">
        <v>50</v>
      </c>
      <c r="O5" s="298">
        <v>92.2</v>
      </c>
      <c r="P5" s="299">
        <v>3532684</v>
      </c>
      <c r="Q5" s="390"/>
      <c r="R5" s="391"/>
      <c r="S5" s="354"/>
    </row>
    <row r="6" spans="1:19" s="353" customFormat="1" ht="23.1" customHeight="1">
      <c r="A6" s="392" t="s">
        <v>176</v>
      </c>
      <c r="B6" s="390" t="s">
        <v>209</v>
      </c>
      <c r="C6" s="296"/>
      <c r="D6" s="390" t="s">
        <v>211</v>
      </c>
      <c r="E6" s="390"/>
      <c r="F6" s="390"/>
      <c r="G6" s="390">
        <v>200</v>
      </c>
      <c r="H6" s="390">
        <v>470</v>
      </c>
      <c r="I6" s="390">
        <v>15</v>
      </c>
      <c r="J6" s="390">
        <v>87</v>
      </c>
      <c r="K6" s="390">
        <v>200</v>
      </c>
      <c r="L6" s="390">
        <v>5</v>
      </c>
      <c r="M6" s="390">
        <v>60</v>
      </c>
      <c r="N6" s="297">
        <v>50</v>
      </c>
      <c r="O6" s="298">
        <v>92.2</v>
      </c>
      <c r="P6" s="299">
        <v>3532684</v>
      </c>
      <c r="Q6" s="390"/>
      <c r="R6" s="391"/>
      <c r="S6" s="354"/>
    </row>
    <row r="7" spans="1:19" s="353" customFormat="1" ht="23.1" customHeight="1">
      <c r="A7" s="392" t="s">
        <v>176</v>
      </c>
      <c r="B7" s="390" t="s">
        <v>209</v>
      </c>
      <c r="C7" s="296"/>
      <c r="D7" s="390" t="s">
        <v>211</v>
      </c>
      <c r="E7" s="390"/>
      <c r="F7" s="390"/>
      <c r="G7" s="390">
        <v>200</v>
      </c>
      <c r="H7" s="390">
        <v>470</v>
      </c>
      <c r="I7" s="390">
        <v>15</v>
      </c>
      <c r="J7" s="390">
        <v>87</v>
      </c>
      <c r="K7" s="390">
        <v>200</v>
      </c>
      <c r="L7" s="390">
        <v>5</v>
      </c>
      <c r="M7" s="390">
        <v>60</v>
      </c>
      <c r="N7" s="297">
        <v>50</v>
      </c>
      <c r="O7" s="298">
        <v>92.2</v>
      </c>
      <c r="P7" s="299">
        <v>3532684</v>
      </c>
      <c r="Q7" s="390"/>
      <c r="R7" s="391"/>
      <c r="S7" s="354"/>
    </row>
    <row r="8" spans="1:19" ht="23.25" customHeight="1">
      <c r="A8" s="45" t="s">
        <v>142</v>
      </c>
    </row>
    <row r="9" spans="1:19" ht="23.25" customHeight="1">
      <c r="I9" s="44">
        <f>SUM(I4:I8)</f>
        <v>60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M39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177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8">
        <f>Well!C4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Well!Q4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Well!D4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Well!H4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Well!G4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14" t="s">
        <v>136</v>
      </c>
      <c r="K11" s="415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88">
        <v>108</v>
      </c>
      <c r="L12" s="389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Well!I4</f>
        <v>15</v>
      </c>
      <c r="E15" s="49">
        <v>1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Well!J4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Well!L4</f>
        <v>5</v>
      </c>
      <c r="E17" s="97">
        <f>Well!P4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Well!M4</f>
        <v>60</v>
      </c>
      <c r="E18" s="2" t="s">
        <v>85</v>
      </c>
      <c r="F18" s="35" t="s">
        <v>86</v>
      </c>
      <c r="G18" s="33" t="s">
        <v>87</v>
      </c>
      <c r="H18" s="439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Well!N4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440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Well!$I$4</f>
        <v>15</v>
      </c>
      <c r="F21" s="326">
        <f>Well!O4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16">
        <f>E21+F21</f>
        <v>107.2</v>
      </c>
      <c r="F22" s="417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09" t="s">
        <v>114</v>
      </c>
      <c r="C25" s="410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00" t="s">
        <v>118</v>
      </c>
      <c r="K25" s="300" t="s">
        <v>119</v>
      </c>
    </row>
    <row r="26" spans="2:12" ht="25.5" customHeight="1" thickBot="1">
      <c r="B26" s="411" t="s">
        <v>120</v>
      </c>
      <c r="C26" s="301" t="s">
        <v>121</v>
      </c>
      <c r="D26" s="302">
        <f>C20</f>
        <v>31.7</v>
      </c>
      <c r="E26" s="303">
        <f>Recharge!C30</f>
        <v>17.06232</v>
      </c>
      <c r="F26" s="393" t="s">
        <v>231</v>
      </c>
      <c r="G26" s="302" t="s">
        <v>232</v>
      </c>
      <c r="H26" s="304">
        <f>L18</f>
        <v>-1.1348205625606207</v>
      </c>
      <c r="I26" s="302" t="s">
        <v>233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12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12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13"/>
      <c r="C29" s="301" t="s">
        <v>124</v>
      </c>
      <c r="D29" s="100">
        <f t="shared" ref="D29:I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ref="J29" si="1">J27*J28</f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B25:C25"/>
    <mergeCell ref="B26:B29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6" r:id="rId4" name="CommandButton5">
          <controlPr defaultSize="0" autoLine="0" autoPict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4" name="CommandButton5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8" name="CommandButton2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5" r:id="rId12" name="CommandButton4">
          <controlPr defaultSize="0" autoLine="0" r:id="rId13">
            <anchor moveWithCells="1">
              <from>
                <xdr:col>7</xdr:col>
                <xdr:colOff>133350</xdr:colOff>
                <xdr:row>14</xdr:row>
                <xdr:rowOff>219075</xdr:rowOff>
              </from>
              <to>
                <xdr:col>8</xdr:col>
                <xdr:colOff>666750</xdr:colOff>
                <xdr:row>16</xdr:row>
                <xdr:rowOff>142875</xdr:rowOff>
              </to>
            </anchor>
          </controlPr>
        </control>
      </mc:Choice>
      <mc:Fallback>
        <control shapeId="3095" r:id="rId12" name="CommandButton4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r:id="rId15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r:id="rId17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86B2E-9473-4EB0-9B30-7CA7C793AAD6}">
  <sheetPr codeName="Sheet7">
    <tabColor rgb="FFFF0000"/>
  </sheetPr>
  <dimension ref="A1:M39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178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Well!C5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Well!Q5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Well!D5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Well!H5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Well!G5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14" t="s">
        <v>136</v>
      </c>
      <c r="K11" s="415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88">
        <v>108</v>
      </c>
      <c r="L12" s="389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Well!I5</f>
        <v>15</v>
      </c>
      <c r="E15" s="49">
        <v>2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Well!J5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Well!L5</f>
        <v>5</v>
      </c>
      <c r="E17" s="97">
        <f>Well!P5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Well!M5</f>
        <v>60</v>
      </c>
      <c r="E18" s="2" t="s">
        <v>85</v>
      </c>
      <c r="F18" s="35" t="s">
        <v>86</v>
      </c>
      <c r="G18" s="33" t="s">
        <v>87</v>
      </c>
      <c r="H18" s="439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Well!N5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440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Well!$I$5</f>
        <v>15</v>
      </c>
      <c r="F21" s="326">
        <f>Well!O5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16">
        <f>E21+F21</f>
        <v>107.2</v>
      </c>
      <c r="F22" s="417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09" t="s">
        <v>114</v>
      </c>
      <c r="C25" s="410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00" t="s">
        <v>118</v>
      </c>
      <c r="K25" s="300" t="s">
        <v>119</v>
      </c>
    </row>
    <row r="26" spans="2:12" ht="25.5" customHeight="1" thickBot="1">
      <c r="B26" s="411" t="s">
        <v>61</v>
      </c>
      <c r="C26" s="301" t="s">
        <v>121</v>
      </c>
      <c r="D26" s="302">
        <f>C20</f>
        <v>31.7</v>
      </c>
      <c r="E26" s="303">
        <f>Recharge!C30</f>
        <v>17.06232</v>
      </c>
      <c r="F26" s="393" t="s">
        <v>231</v>
      </c>
      <c r="G26" s="302" t="s">
        <v>232</v>
      </c>
      <c r="H26" s="304">
        <f>L18</f>
        <v>-1.1348205625606207</v>
      </c>
      <c r="I26" s="302" t="s">
        <v>233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12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12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13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4848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48487" r:id="rId4" name="CommandButton6"/>
      </mc:Fallback>
    </mc:AlternateContent>
    <mc:AlternateContent xmlns:mc="http://schemas.openxmlformats.org/markup-compatibility/2006">
      <mc:Choice Requires="x14">
        <control shapeId="14848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48486" r:id="rId6" name="Frame1"/>
      </mc:Fallback>
    </mc:AlternateContent>
    <mc:AlternateContent xmlns:mc="http://schemas.openxmlformats.org/markup-compatibility/2006">
      <mc:Choice Requires="x14">
        <control shapeId="14848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4848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EC204E-B3B2-486F-9B3B-181B52FCEE3A}">
          <x14:formula1>
            <xm:f>drastic!$G$4:$G$14</xm:f>
          </x14:formula1>
          <xm:sqref>I26</xm:sqref>
        </x14:dataValidation>
        <x14:dataValidation type="list" allowBlank="1" showInputMessage="1" showErrorMessage="1" xr:uid="{1E904C0D-B462-458C-89D5-24E36CDBC260}">
          <x14:formula1>
            <xm:f>drastic!$D$4:$D$14</xm:f>
          </x14:formula1>
          <xm:sqref>G26</xm:sqref>
        </x14:dataValidation>
        <x14:dataValidation type="list" allowBlank="1" showInputMessage="1" showErrorMessage="1" xr:uid="{6B227622-FC6F-46C5-B92B-02E8E46F14D3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A8E3C-C1A9-4206-8DD4-22CE8830DF5B}">
  <sheetPr codeName="Sheet8">
    <tabColor rgb="FFFF0000"/>
  </sheetPr>
  <dimension ref="A1:M39"/>
  <sheetViews>
    <sheetView tabSelected="1" workbookViewId="0">
      <selection activeCell="G23" sqref="G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179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Well!C6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Well!Q6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Well!D6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Well!H6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Well!G6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14" t="s">
        <v>136</v>
      </c>
      <c r="K11" s="415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88">
        <v>108</v>
      </c>
      <c r="L12" s="389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Recharge!G25</f>
        <v>태화강/한강</v>
      </c>
      <c r="F13" s="20">
        <f>rf_2</f>
        <v>0.122</v>
      </c>
      <c r="G13" s="20">
        <f>allow_ratio2</f>
        <v>0.67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Well!I6</f>
        <v>15</v>
      </c>
      <c r="E15" s="49">
        <v>3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Well!J6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Well!L6</f>
        <v>5</v>
      </c>
      <c r="E17" s="97">
        <f>Well!P6</f>
        <v>3532684</v>
      </c>
      <c r="F17" s="36">
        <f>(max*rf_2*E17/1000)</f>
        <v>557094.37528479996</v>
      </c>
      <c r="G17" s="34">
        <f>F17*allow_ratio2</f>
        <v>373253.23144081602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Well!M6</f>
        <v>60</v>
      </c>
      <c r="E18" s="2" t="s">
        <v>85</v>
      </c>
      <c r="F18" s="35" t="s">
        <v>86</v>
      </c>
      <c r="G18" s="33" t="s">
        <v>87</v>
      </c>
      <c r="H18" s="439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Well!N6</f>
        <v>50</v>
      </c>
      <c r="E19" s="97">
        <f>E17</f>
        <v>3532684</v>
      </c>
      <c r="F19" s="36">
        <f>(max*rf_2*E19/1000)/365</f>
        <v>1526.2859596843834</v>
      </c>
      <c r="G19" s="34">
        <f>F19*allow_ratio2</f>
        <v>1022.6115929885369</v>
      </c>
      <c r="H19" s="440">
        <f>G19-F21</f>
        <v>930.41159298853688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Well!$I$6</f>
        <v>15</v>
      </c>
      <c r="F21" s="326">
        <f>Well!O6</f>
        <v>92.2</v>
      </c>
      <c r="G21" s="34">
        <f>G19-E21-F21</f>
        <v>915.41159298853688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16">
        <f>E21+F21</f>
        <v>107.2</v>
      </c>
      <c r="F22" s="417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09" t="s">
        <v>114</v>
      </c>
      <c r="C25" s="410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00" t="s">
        <v>118</v>
      </c>
      <c r="K25" s="300" t="s">
        <v>119</v>
      </c>
    </row>
    <row r="26" spans="2:12" ht="25.5" customHeight="1" thickBot="1">
      <c r="B26" s="411" t="s">
        <v>61</v>
      </c>
      <c r="C26" s="301" t="s">
        <v>121</v>
      </c>
      <c r="D26" s="302">
        <f>C20</f>
        <v>31.7</v>
      </c>
      <c r="E26" s="303">
        <f>Recharge!D30</f>
        <v>15.769719999999998</v>
      </c>
      <c r="F26" s="393" t="s">
        <v>231</v>
      </c>
      <c r="G26" s="302" t="s">
        <v>232</v>
      </c>
      <c r="H26" s="304">
        <f>L18</f>
        <v>-1.1348205625606207</v>
      </c>
      <c r="I26" s="302" t="s">
        <v>233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12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12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13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4950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49507" r:id="rId4" name="CommandButton6"/>
      </mc:Fallback>
    </mc:AlternateContent>
    <mc:AlternateContent xmlns:mc="http://schemas.openxmlformats.org/markup-compatibility/2006">
      <mc:Choice Requires="x14">
        <control shapeId="14950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49506" r:id="rId6" name="Frame1"/>
      </mc:Fallback>
    </mc:AlternateContent>
    <mc:AlternateContent xmlns:mc="http://schemas.openxmlformats.org/markup-compatibility/2006">
      <mc:Choice Requires="x14">
        <control shapeId="14950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4950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400932-5F4B-4A55-B748-148B35EC47FF}">
          <x14:formula1>
            <xm:f>drastic!$A$4:$A$13</xm:f>
          </x14:formula1>
          <xm:sqref>F26</xm:sqref>
        </x14:dataValidation>
        <x14:dataValidation type="list" allowBlank="1" showInputMessage="1" showErrorMessage="1" xr:uid="{581039DD-CE49-45AA-8BCB-F3981C38884D}">
          <x14:formula1>
            <xm:f>drastic!$D$4:$D$14</xm:f>
          </x14:formula1>
          <xm:sqref>G26</xm:sqref>
        </x14:dataValidation>
        <x14:dataValidation type="list" allowBlank="1" showInputMessage="1" showErrorMessage="1" xr:uid="{89913B95-AC02-4C67-B993-6D32ABEE6B6D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B5800-7F71-440F-AF10-80CF67D4F79A}">
  <sheetPr codeName="Sheet9">
    <tabColor rgb="FFFF0000"/>
  </sheetPr>
  <dimension ref="A1:M39"/>
  <sheetViews>
    <sheetView workbookViewId="0">
      <selection activeCell="D18" sqref="D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234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Well!C7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Well!Q7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Well!D7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Well!H7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Well!G7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14" t="s">
        <v>136</v>
      </c>
      <c r="K11" s="415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88">
        <v>108</v>
      </c>
      <c r="L12" s="389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Recharge!G25</f>
        <v>태화강/한강</v>
      </c>
      <c r="F13" s="20">
        <f>rf_2</f>
        <v>0.122</v>
      </c>
      <c r="G13" s="20">
        <f>allow_ratio2</f>
        <v>0.67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Well!I7</f>
        <v>15</v>
      </c>
      <c r="E15" s="49">
        <v>4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Well!J7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Well!L7</f>
        <v>5</v>
      </c>
      <c r="E17" s="97">
        <f>Well!P7</f>
        <v>3532684</v>
      </c>
      <c r="F17" s="36">
        <f>(max*rf_2*E17/1000)</f>
        <v>557094.37528479996</v>
      </c>
      <c r="G17" s="34">
        <f>F17*allow_ratio2</f>
        <v>373253.23144081602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Well!M7</f>
        <v>60</v>
      </c>
      <c r="E18" s="2" t="s">
        <v>85</v>
      </c>
      <c r="F18" s="35" t="s">
        <v>86</v>
      </c>
      <c r="G18" s="33" t="s">
        <v>87</v>
      </c>
      <c r="H18" s="439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Well!N7</f>
        <v>50</v>
      </c>
      <c r="E19" s="97">
        <f>E17</f>
        <v>3532684</v>
      </c>
      <c r="F19" s="36">
        <f>(max*rf_2*E19/1000)/365</f>
        <v>1526.2859596843834</v>
      </c>
      <c r="G19" s="34">
        <f>F19*allow_ratio2</f>
        <v>1022.6115929885369</v>
      </c>
      <c r="H19" s="440">
        <f>G19-F21</f>
        <v>930.41159298853688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Well!$I$7</f>
        <v>15</v>
      </c>
      <c r="F21" s="326">
        <f>Well!O7</f>
        <v>92.2</v>
      </c>
      <c r="G21" s="34">
        <f>G19-E21-F21</f>
        <v>915.41159298853688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16">
        <f>E21+F21</f>
        <v>107.2</v>
      </c>
      <c r="F22" s="417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09" t="s">
        <v>114</v>
      </c>
      <c r="C25" s="410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00" t="s">
        <v>118</v>
      </c>
      <c r="K25" s="300" t="s">
        <v>119</v>
      </c>
    </row>
    <row r="26" spans="2:12" ht="25.5" customHeight="1" thickBot="1">
      <c r="B26" s="411" t="s">
        <v>61</v>
      </c>
      <c r="C26" s="301" t="s">
        <v>121</v>
      </c>
      <c r="D26" s="302">
        <f>C20</f>
        <v>31.7</v>
      </c>
      <c r="E26" s="303">
        <f>Recharge!D30</f>
        <v>15.769719999999998</v>
      </c>
      <c r="F26" s="393" t="s">
        <v>231</v>
      </c>
      <c r="G26" s="302" t="s">
        <v>232</v>
      </c>
      <c r="H26" s="304">
        <f>L18</f>
        <v>-1.1348205625606207</v>
      </c>
      <c r="I26" s="302" t="s">
        <v>233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12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12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13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5053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50531" r:id="rId4" name="CommandButton6"/>
      </mc:Fallback>
    </mc:AlternateContent>
    <mc:AlternateContent xmlns:mc="http://schemas.openxmlformats.org/markup-compatibility/2006">
      <mc:Choice Requires="x14">
        <control shapeId="15053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50530" r:id="rId6" name="Frame1"/>
      </mc:Fallback>
    </mc:AlternateContent>
    <mc:AlternateContent xmlns:mc="http://schemas.openxmlformats.org/markup-compatibility/2006">
      <mc:Choice Requires="x14">
        <control shapeId="15052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5052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AFB9709-10B4-42DE-B5A4-6FFEE6E91EBA}">
          <x14:formula1>
            <xm:f>drastic!$A$4:$A$13</xm:f>
          </x14:formula1>
          <xm:sqref>F26</xm:sqref>
        </x14:dataValidation>
        <x14:dataValidation type="list" allowBlank="1" showInputMessage="1" showErrorMessage="1" xr:uid="{4A43E9FE-AC2C-44D0-988B-79F480F43F85}">
          <x14:formula1>
            <xm:f>drastic!$D$4:$D$14</xm:f>
          </x14:formula1>
          <xm:sqref>G26</xm:sqref>
        </x14:dataValidation>
        <x14:dataValidation type="list" allowBlank="1" showInputMessage="1" showErrorMessage="1" xr:uid="{23814AE6-D4CF-44FE-99D6-6F6C49C1A66B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" style="51" customWidth="1"/>
    <col min="4" max="4" width="8.77734375" style="51" customWidth="1"/>
    <col min="5" max="6" width="8.77734375" style="52" customWidth="1"/>
    <col min="7" max="13" width="8.77734375" style="51" customWidth="1"/>
    <col min="14" max="16384" width="8.88671875" style="51"/>
  </cols>
  <sheetData>
    <row r="1" spans="2:9" s="45" customFormat="1" ht="18" customHeight="1">
      <c r="E1" s="44"/>
      <c r="F1" s="44"/>
    </row>
    <row r="2" spans="2:9" s="45" customFormat="1" ht="18" customHeight="1">
      <c r="B2" s="45" t="s">
        <v>93</v>
      </c>
      <c r="E2" s="44"/>
      <c r="F2" s="44"/>
    </row>
    <row r="3" spans="2:9" s="45" customFormat="1" ht="18" customHeight="1">
      <c r="E3" s="44"/>
      <c r="F3" s="44"/>
    </row>
    <row r="4" spans="2:9" s="45" customFormat="1" ht="18" customHeight="1">
      <c r="B4" s="61" t="s">
        <v>106</v>
      </c>
      <c r="E4" s="44"/>
      <c r="F4" s="44"/>
    </row>
    <row r="5" spans="2:9" s="45" customFormat="1" ht="18" customHeight="1" thickBot="1">
      <c r="E5" s="44"/>
      <c r="F5" s="44"/>
    </row>
    <row r="6" spans="2:9" s="45" customFormat="1" ht="26.1" customHeight="1" thickBot="1">
      <c r="B6" s="213" t="s">
        <v>94</v>
      </c>
      <c r="C6" s="214">
        <v>43577.375</v>
      </c>
      <c r="D6" s="215"/>
      <c r="E6" s="44"/>
      <c r="F6" s="44"/>
    </row>
    <row r="7" spans="2:9" s="45" customFormat="1" ht="26.1" customHeight="1" thickBot="1">
      <c r="B7" s="216" t="s">
        <v>95</v>
      </c>
      <c r="C7" s="217">
        <v>14</v>
      </c>
      <c r="D7" s="215"/>
      <c r="E7" s="44"/>
      <c r="F7" s="44"/>
    </row>
    <row r="8" spans="2:9" s="45" customFormat="1" ht="26.1" customHeight="1">
      <c r="B8" s="218" t="s">
        <v>96</v>
      </c>
      <c r="C8" s="219">
        <v>226</v>
      </c>
      <c r="D8" s="218">
        <v>229</v>
      </c>
      <c r="E8" s="44"/>
      <c r="F8" s="44"/>
    </row>
    <row r="9" spans="2:9" s="45" customFormat="1" ht="26.1" customHeight="1">
      <c r="B9" s="218" t="s">
        <v>97</v>
      </c>
      <c r="C9" s="219">
        <v>7.9</v>
      </c>
      <c r="D9" s="218">
        <v>7.8</v>
      </c>
      <c r="E9" s="44"/>
      <c r="F9" s="44"/>
    </row>
    <row r="10" spans="2:9" s="45" customFormat="1" ht="26.1" customHeight="1">
      <c r="B10" s="218"/>
      <c r="C10" s="219"/>
      <c r="D10" s="215"/>
      <c r="E10" s="44"/>
      <c r="F10" s="44"/>
    </row>
    <row r="11" spans="2:9" s="45" customFormat="1" ht="18" customHeight="1" thickBot="1">
      <c r="E11" s="44"/>
      <c r="F11" s="44"/>
    </row>
    <row r="12" spans="2:9" s="44" customFormat="1" ht="26.1" customHeight="1">
      <c r="B12" s="418" t="s">
        <v>98</v>
      </c>
      <c r="C12" s="420"/>
      <c r="D12" s="418" t="s">
        <v>99</v>
      </c>
      <c r="E12" s="419"/>
      <c r="F12" s="420"/>
      <c r="G12" s="418" t="s">
        <v>178</v>
      </c>
      <c r="H12" s="419"/>
      <c r="I12" s="420"/>
    </row>
    <row r="13" spans="2:9" s="44" customFormat="1" ht="26.1" customHeight="1">
      <c r="B13" s="236" t="s">
        <v>94</v>
      </c>
      <c r="C13" s="237" t="s">
        <v>100</v>
      </c>
      <c r="D13" s="236" t="s">
        <v>101</v>
      </c>
      <c r="E13" s="222" t="s">
        <v>102</v>
      </c>
      <c r="F13" s="237" t="s">
        <v>103</v>
      </c>
      <c r="G13" s="236" t="s">
        <v>101</v>
      </c>
      <c r="H13" s="222" t="s">
        <v>102</v>
      </c>
      <c r="I13" s="237" t="s">
        <v>103</v>
      </c>
    </row>
    <row r="14" spans="2:9" s="44" customFormat="1" ht="26.1" customHeight="1">
      <c r="B14" s="223">
        <f>$C$6+C14/1440</f>
        <v>43577.378472222219</v>
      </c>
      <c r="C14" s="82">
        <v>5</v>
      </c>
      <c r="D14" s="80">
        <f t="shared" ref="D14:D23" ca="1" si="0">baseTemp+D31</f>
        <v>14.2</v>
      </c>
      <c r="E14" s="224">
        <f t="shared" ref="E14:E23" ca="1" si="1">$C$8+E31</f>
        <v>229</v>
      </c>
      <c r="F14" s="225">
        <f t="shared" ref="F14:F23" ca="1" si="2">$C$9+F31</f>
        <v>7.79</v>
      </c>
      <c r="G14" s="226">
        <f t="shared" ref="G14:G23" ca="1" si="3">baseTemp+H31</f>
        <v>14.3</v>
      </c>
      <c r="H14" s="224">
        <f ca="1">$D$8+I31</f>
        <v>230</v>
      </c>
      <c r="I14" s="225">
        <f ca="1">$D$9+J31</f>
        <v>7.72</v>
      </c>
    </row>
    <row r="15" spans="2:9" s="44" customFormat="1" ht="26.1" customHeight="1">
      <c r="B15" s="227">
        <f t="shared" ref="B15:B23" si="4">$C$6+C15/1440</f>
        <v>43577.395833333336</v>
      </c>
      <c r="C15" s="79">
        <v>30</v>
      </c>
      <c r="D15" s="77">
        <f t="shared" ca="1" si="0"/>
        <v>14.1</v>
      </c>
      <c r="E15" s="228">
        <f t="shared" ca="1" si="1"/>
        <v>227</v>
      </c>
      <c r="F15" s="229">
        <f t="shared" ca="1" si="2"/>
        <v>7.83</v>
      </c>
      <c r="G15" s="226">
        <f t="shared" ca="1" si="3"/>
        <v>14.2</v>
      </c>
      <c r="H15" s="224">
        <f t="shared" ref="H15:H23" ca="1" si="5">$D$8+I32</f>
        <v>226</v>
      </c>
      <c r="I15" s="225">
        <f t="shared" ref="I15:I22" ca="1" si="6">$D$9+J32</f>
        <v>7.91</v>
      </c>
    </row>
    <row r="16" spans="2:9" s="44" customFormat="1" ht="26.1" customHeight="1">
      <c r="B16" s="227">
        <f t="shared" si="4"/>
        <v>43577.416666666664</v>
      </c>
      <c r="C16" s="79">
        <v>60</v>
      </c>
      <c r="D16" s="77">
        <f t="shared" ca="1" si="0"/>
        <v>13.8</v>
      </c>
      <c r="E16" s="228">
        <f t="shared" ca="1" si="1"/>
        <v>227</v>
      </c>
      <c r="F16" s="229">
        <f t="shared" ca="1" si="2"/>
        <v>7.8100000000000005</v>
      </c>
      <c r="G16" s="226">
        <f t="shared" ca="1" si="3"/>
        <v>14.2</v>
      </c>
      <c r="H16" s="224">
        <f t="shared" ca="1" si="5"/>
        <v>226</v>
      </c>
      <c r="I16" s="225">
        <f t="shared" ca="1" si="6"/>
        <v>7.8999999999999995</v>
      </c>
    </row>
    <row r="17" spans="2:10" s="44" customFormat="1" ht="26.1" customHeight="1">
      <c r="B17" s="227">
        <f t="shared" si="4"/>
        <v>43577.458333333336</v>
      </c>
      <c r="C17" s="79">
        <v>120</v>
      </c>
      <c r="D17" s="77">
        <f t="shared" ca="1" si="0"/>
        <v>13.9</v>
      </c>
      <c r="E17" s="228">
        <f t="shared" ca="1" si="1"/>
        <v>229</v>
      </c>
      <c r="F17" s="229">
        <f t="shared" ca="1" si="2"/>
        <v>8.01</v>
      </c>
      <c r="G17" s="226">
        <f t="shared" ca="1" si="3"/>
        <v>13.8</v>
      </c>
      <c r="H17" s="224">
        <f t="shared" ca="1" si="5"/>
        <v>226</v>
      </c>
      <c r="I17" s="225">
        <f t="shared" ca="1" si="6"/>
        <v>7.88</v>
      </c>
    </row>
    <row r="18" spans="2:10" s="44" customFormat="1" ht="26.1" customHeight="1">
      <c r="B18" s="227">
        <f t="shared" si="4"/>
        <v>43577.541666666664</v>
      </c>
      <c r="C18" s="79">
        <v>240</v>
      </c>
      <c r="D18" s="77">
        <f t="shared" ca="1" si="0"/>
        <v>13.9</v>
      </c>
      <c r="E18" s="228">
        <f t="shared" ca="1" si="1"/>
        <v>225</v>
      </c>
      <c r="F18" s="229">
        <f t="shared" ca="1" si="2"/>
        <v>7.79</v>
      </c>
      <c r="G18" s="226">
        <f t="shared" ca="1" si="3"/>
        <v>14.3</v>
      </c>
      <c r="H18" s="224">
        <f t="shared" ca="1" si="5"/>
        <v>230</v>
      </c>
      <c r="I18" s="225">
        <f t="shared" ca="1" si="6"/>
        <v>7.7</v>
      </c>
    </row>
    <row r="19" spans="2:10" s="44" customFormat="1" ht="26.1" customHeight="1">
      <c r="B19" s="227">
        <f t="shared" si="4"/>
        <v>43577.708333333336</v>
      </c>
      <c r="C19" s="79">
        <v>480</v>
      </c>
      <c r="D19" s="77">
        <f t="shared" ca="1" si="0"/>
        <v>13.9</v>
      </c>
      <c r="E19" s="228">
        <f t="shared" ca="1" si="1"/>
        <v>225</v>
      </c>
      <c r="F19" s="229">
        <f t="shared" ca="1" si="2"/>
        <v>7.98</v>
      </c>
      <c r="G19" s="226">
        <f t="shared" ca="1" si="3"/>
        <v>13.8</v>
      </c>
      <c r="H19" s="224">
        <f t="shared" ca="1" si="5"/>
        <v>232</v>
      </c>
      <c r="I19" s="225">
        <f t="shared" ca="1" si="6"/>
        <v>7.7299999999999995</v>
      </c>
    </row>
    <row r="20" spans="2:10" s="45" customFormat="1" ht="26.1" customHeight="1">
      <c r="B20" s="227">
        <f t="shared" si="4"/>
        <v>43578.375</v>
      </c>
      <c r="C20" s="79">
        <v>1440</v>
      </c>
      <c r="D20" s="77">
        <f t="shared" ca="1" si="0"/>
        <v>13.7</v>
      </c>
      <c r="E20" s="228">
        <f t="shared" ca="1" si="1"/>
        <v>223</v>
      </c>
      <c r="F20" s="229">
        <f t="shared" ca="1" si="2"/>
        <v>7.8100000000000005</v>
      </c>
      <c r="G20" s="226">
        <f t="shared" ca="1" si="3"/>
        <v>14.3</v>
      </c>
      <c r="H20" s="224">
        <f t="shared" ca="1" si="5"/>
        <v>228</v>
      </c>
      <c r="I20" s="225">
        <f t="shared" ca="1" si="6"/>
        <v>7.88</v>
      </c>
    </row>
    <row r="21" spans="2:10" s="45" customFormat="1" ht="26.1" customHeight="1">
      <c r="B21" s="227">
        <f t="shared" si="4"/>
        <v>43578.541666666664</v>
      </c>
      <c r="C21" s="79">
        <v>1680</v>
      </c>
      <c r="D21" s="77">
        <f t="shared" ca="1" si="0"/>
        <v>14.2</v>
      </c>
      <c r="E21" s="228">
        <f t="shared" ca="1" si="1"/>
        <v>228</v>
      </c>
      <c r="F21" s="229">
        <f t="shared" ca="1" si="2"/>
        <v>7.99</v>
      </c>
      <c r="G21" s="226">
        <f t="shared" ca="1" si="3"/>
        <v>13.9</v>
      </c>
      <c r="H21" s="224">
        <f t="shared" ca="1" si="5"/>
        <v>230</v>
      </c>
      <c r="I21" s="225">
        <f t="shared" ca="1" si="6"/>
        <v>7.6899999999999995</v>
      </c>
    </row>
    <row r="22" spans="2:10" s="45" customFormat="1" ht="26.1" customHeight="1">
      <c r="B22" s="227">
        <f t="shared" si="4"/>
        <v>43578.708333333336</v>
      </c>
      <c r="C22" s="79">
        <v>1920</v>
      </c>
      <c r="D22" s="77">
        <f t="shared" ca="1" si="0"/>
        <v>13.7</v>
      </c>
      <c r="E22" s="228">
        <f t="shared" ca="1" si="1"/>
        <v>229</v>
      </c>
      <c r="F22" s="229">
        <f t="shared" ca="1" si="2"/>
        <v>8.01</v>
      </c>
      <c r="G22" s="226">
        <f t="shared" ca="1" si="3"/>
        <v>13.9</v>
      </c>
      <c r="H22" s="224">
        <f t="shared" ca="1" si="5"/>
        <v>231</v>
      </c>
      <c r="I22" s="225">
        <f t="shared" ca="1" si="6"/>
        <v>7.91</v>
      </c>
    </row>
    <row r="23" spans="2:10" s="45" customFormat="1" ht="26.1" customHeight="1">
      <c r="B23" s="230">
        <f t="shared" si="4"/>
        <v>43579.375</v>
      </c>
      <c r="C23" s="231">
        <v>2880</v>
      </c>
      <c r="D23" s="112">
        <f t="shared" ca="1" si="0"/>
        <v>14.1</v>
      </c>
      <c r="E23" s="232">
        <f t="shared" ca="1" si="1"/>
        <v>225</v>
      </c>
      <c r="F23" s="233">
        <f t="shared" ca="1" si="2"/>
        <v>7.78</v>
      </c>
      <c r="G23" s="234">
        <f t="shared" ca="1" si="3"/>
        <v>14.3</v>
      </c>
      <c r="H23" s="235">
        <f t="shared" ca="1" si="5"/>
        <v>231</v>
      </c>
      <c r="I23" s="233">
        <f t="shared" ref="I23" ca="1" si="7">$D$9+J40-0.02</f>
        <v>7.6800000000000006</v>
      </c>
    </row>
    <row r="24" spans="2:10" s="45" customFormat="1" ht="26.1" customHeight="1">
      <c r="B24" s="421" t="s">
        <v>45</v>
      </c>
      <c r="C24" s="422"/>
      <c r="D24" s="236">
        <f ca="1">MAX(D14:D23)</f>
        <v>14.2</v>
      </c>
      <c r="E24" s="222">
        <f t="shared" ref="E24:F24" ca="1" si="8">MAX(E14:E23)</f>
        <v>229</v>
      </c>
      <c r="F24" s="237">
        <f t="shared" ca="1" si="8"/>
        <v>8.01</v>
      </c>
      <c r="G24" s="236">
        <f ca="1">MAX(G14:G23)</f>
        <v>14.3</v>
      </c>
      <c r="H24" s="222">
        <f t="shared" ref="H24:I24" ca="1" si="9">MAX(H14:H23)</f>
        <v>232</v>
      </c>
      <c r="I24" s="237">
        <f t="shared" ca="1" si="9"/>
        <v>7.91</v>
      </c>
      <c r="J24" s="44"/>
    </row>
    <row r="25" spans="2:10" s="45" customFormat="1" ht="26.1" customHeight="1">
      <c r="B25" s="421" t="s">
        <v>46</v>
      </c>
      <c r="C25" s="422"/>
      <c r="D25" s="236">
        <f ca="1">MIN(D14:D23)</f>
        <v>13.7</v>
      </c>
      <c r="E25" s="222">
        <f t="shared" ref="E25:F25" ca="1" si="10">MIN(E14:E23)</f>
        <v>223</v>
      </c>
      <c r="F25" s="238">
        <f t="shared" ca="1" si="10"/>
        <v>7.78</v>
      </c>
      <c r="G25" s="236">
        <f ca="1">MIN(G14:G23)</f>
        <v>13.8</v>
      </c>
      <c r="H25" s="222">
        <f t="shared" ref="H25:I25" ca="1" si="11">MIN(H14:H23)</f>
        <v>226</v>
      </c>
      <c r="I25" s="237">
        <f t="shared" ca="1" si="11"/>
        <v>7.6800000000000006</v>
      </c>
      <c r="J25" s="44"/>
    </row>
    <row r="26" spans="2:10" s="45" customFormat="1" ht="26.1" customHeight="1" thickBot="1">
      <c r="B26" s="423" t="s">
        <v>104</v>
      </c>
      <c r="C26" s="424"/>
      <c r="D26" s="239">
        <f ca="1">D24-D25</f>
        <v>0.5</v>
      </c>
      <c r="E26" s="240">
        <f t="shared" ref="E26:F26" ca="1" si="12">E24-E25</f>
        <v>6</v>
      </c>
      <c r="F26" s="241">
        <f t="shared" ca="1" si="12"/>
        <v>0.22999999999999954</v>
      </c>
      <c r="G26" s="239">
        <f ca="1">G24-G25</f>
        <v>0.5</v>
      </c>
      <c r="H26" s="240">
        <f t="shared" ref="H26:I26" ca="1" si="13">H24-H25</f>
        <v>6</v>
      </c>
      <c r="I26" s="241">
        <f t="shared" ca="1" si="13"/>
        <v>0.22999999999999954</v>
      </c>
      <c r="J26" s="44"/>
    </row>
    <row r="27" spans="2:10" s="45" customFormat="1" ht="18" customHeight="1">
      <c r="E27" s="44"/>
      <c r="F27" s="44"/>
    </row>
    <row r="28" spans="2:10" s="45" customFormat="1" ht="18" customHeight="1" thickBot="1">
      <c r="E28" s="44"/>
      <c r="F28" s="44"/>
    </row>
    <row r="29" spans="2:10" s="45" customFormat="1" ht="18" customHeight="1">
      <c r="D29" s="418" t="s">
        <v>99</v>
      </c>
      <c r="E29" s="419"/>
      <c r="F29" s="420"/>
      <c r="H29" s="418" t="s">
        <v>178</v>
      </c>
      <c r="I29" s="419"/>
      <c r="J29" s="420"/>
    </row>
    <row r="30" spans="2:10" s="45" customFormat="1" ht="18" customHeight="1">
      <c r="D30" s="236" t="s">
        <v>101</v>
      </c>
      <c r="E30" s="222" t="s">
        <v>102</v>
      </c>
      <c r="F30" s="237" t="s">
        <v>103</v>
      </c>
      <c r="H30" s="236" t="s">
        <v>101</v>
      </c>
      <c r="I30" s="222" t="s">
        <v>102</v>
      </c>
      <c r="J30" s="237" t="s">
        <v>103</v>
      </c>
    </row>
    <row r="31" spans="2:10" s="45" customFormat="1" ht="18" customHeight="1">
      <c r="D31" s="242">
        <f ca="1">ROUND(myRandBetween(1,3,10), 1)</f>
        <v>0.2</v>
      </c>
      <c r="E31" s="78">
        <f ca="1">myRandBetween(1,3,1)</f>
        <v>3</v>
      </c>
      <c r="F31" s="243">
        <f ca="1">ROUND(myRandBetween(7,12,100), 2)</f>
        <v>-0.11</v>
      </c>
      <c r="H31" s="244">
        <f ca="1">ROUND(myRandBetween(1,3,10), 1)</f>
        <v>0.3</v>
      </c>
      <c r="I31" s="81">
        <f ca="1">myRandBetween(1,3,1)</f>
        <v>1</v>
      </c>
      <c r="J31" s="245">
        <f ca="1">ROUND(myRandBetween(7,12,100), 2)</f>
        <v>-0.08</v>
      </c>
    </row>
    <row r="32" spans="2:10" s="45" customFormat="1" ht="18" customHeight="1">
      <c r="D32" s="242">
        <f t="shared" ref="D32:D40" ca="1" si="14">ROUND(myRandBetween(1,3,10), 1)</f>
        <v>0.1</v>
      </c>
      <c r="E32" s="78">
        <f t="shared" ref="E32:E40" ca="1" si="15">myRandBetween(1,3,1)</f>
        <v>1</v>
      </c>
      <c r="F32" s="243">
        <f t="shared" ref="F32:F40" ca="1" si="16">ROUND(myRandBetween(7,12,100), 2)</f>
        <v>-7.0000000000000007E-2</v>
      </c>
      <c r="H32" s="242">
        <f t="shared" ref="H32:H40" ca="1" si="17">ROUND(myRandBetween(1,3,10), 1)</f>
        <v>0.2</v>
      </c>
      <c r="I32" s="78">
        <f t="shared" ref="I32:I40" ca="1" si="18">myRandBetween(1,3,1)</f>
        <v>-3</v>
      </c>
      <c r="J32" s="245">
        <f t="shared" ref="J32:J40" ca="1" si="19">ROUND(myRandBetween(7,12,100), 2)</f>
        <v>0.11</v>
      </c>
    </row>
    <row r="33" spans="4:10" s="45" customFormat="1" ht="18" customHeight="1">
      <c r="D33" s="242">
        <f ca="1">ROUND(myRandBetween(1,3,10), 1)</f>
        <v>-0.2</v>
      </c>
      <c r="E33" s="78">
        <f t="shared" ca="1" si="15"/>
        <v>1</v>
      </c>
      <c r="F33" s="243">
        <f t="shared" ca="1" si="16"/>
        <v>-0.09</v>
      </c>
      <c r="H33" s="242">
        <f t="shared" ca="1" si="17"/>
        <v>0.2</v>
      </c>
      <c r="I33" s="78">
        <f t="shared" ca="1" si="18"/>
        <v>-3</v>
      </c>
      <c r="J33" s="245">
        <f t="shared" ca="1" si="19"/>
        <v>0.1</v>
      </c>
    </row>
    <row r="34" spans="4:10" s="45" customFormat="1" ht="18" customHeight="1">
      <c r="D34" s="242">
        <f t="shared" ca="1" si="14"/>
        <v>-0.1</v>
      </c>
      <c r="E34" s="78">
        <f t="shared" ca="1" si="15"/>
        <v>3</v>
      </c>
      <c r="F34" s="243">
        <f t="shared" ca="1" si="16"/>
        <v>0.11</v>
      </c>
      <c r="H34" s="242">
        <f t="shared" ca="1" si="17"/>
        <v>-0.2</v>
      </c>
      <c r="I34" s="78">
        <f t="shared" ca="1" si="18"/>
        <v>-3</v>
      </c>
      <c r="J34" s="245">
        <f t="shared" ca="1" si="19"/>
        <v>0.08</v>
      </c>
    </row>
    <row r="35" spans="4:10" s="45" customFormat="1" ht="18" customHeight="1">
      <c r="D35" s="242">
        <f t="shared" ca="1" si="14"/>
        <v>-0.1</v>
      </c>
      <c r="E35" s="78">
        <f t="shared" ca="1" si="15"/>
        <v>-1</v>
      </c>
      <c r="F35" s="243">
        <f t="shared" ca="1" si="16"/>
        <v>-0.11</v>
      </c>
      <c r="H35" s="242">
        <f t="shared" ca="1" si="17"/>
        <v>0.3</v>
      </c>
      <c r="I35" s="78">
        <f t="shared" ca="1" si="18"/>
        <v>1</v>
      </c>
      <c r="J35" s="245">
        <f t="shared" ca="1" si="19"/>
        <v>-0.1</v>
      </c>
    </row>
    <row r="36" spans="4:10" s="45" customFormat="1" ht="18" customHeight="1">
      <c r="D36" s="242">
        <f t="shared" ca="1" si="14"/>
        <v>-0.1</v>
      </c>
      <c r="E36" s="78">
        <f t="shared" ca="1" si="15"/>
        <v>-1</v>
      </c>
      <c r="F36" s="243">
        <f t="shared" ca="1" si="16"/>
        <v>0.08</v>
      </c>
      <c r="H36" s="242">
        <f t="shared" ca="1" si="17"/>
        <v>-0.2</v>
      </c>
      <c r="I36" s="78">
        <f t="shared" ca="1" si="18"/>
        <v>3</v>
      </c>
      <c r="J36" s="245">
        <f t="shared" ca="1" si="19"/>
        <v>-7.0000000000000007E-2</v>
      </c>
    </row>
    <row r="37" spans="4:10" s="45" customFormat="1" ht="18" customHeight="1">
      <c r="D37" s="242">
        <f t="shared" ca="1" si="14"/>
        <v>-0.3</v>
      </c>
      <c r="E37" s="78">
        <f t="shared" ca="1" si="15"/>
        <v>-3</v>
      </c>
      <c r="F37" s="243">
        <f t="shared" ca="1" si="16"/>
        <v>-0.09</v>
      </c>
      <c r="H37" s="242">
        <f t="shared" ca="1" si="17"/>
        <v>0.3</v>
      </c>
      <c r="I37" s="78">
        <f t="shared" ca="1" si="18"/>
        <v>-1</v>
      </c>
      <c r="J37" s="245">
        <f t="shared" ca="1" si="19"/>
        <v>0.08</v>
      </c>
    </row>
    <row r="38" spans="4:10" ht="18" customHeight="1">
      <c r="D38" s="242">
        <f t="shared" ca="1" si="14"/>
        <v>0.2</v>
      </c>
      <c r="E38" s="78">
        <f t="shared" ca="1" si="15"/>
        <v>2</v>
      </c>
      <c r="F38" s="243">
        <f t="shared" ca="1" si="16"/>
        <v>0.09</v>
      </c>
      <c r="H38" s="242">
        <f t="shared" ca="1" si="17"/>
        <v>-0.1</v>
      </c>
      <c r="I38" s="78">
        <f t="shared" ca="1" si="18"/>
        <v>1</v>
      </c>
      <c r="J38" s="245">
        <f t="shared" ca="1" si="19"/>
        <v>-0.11</v>
      </c>
    </row>
    <row r="39" spans="4:10" ht="18" customHeight="1">
      <c r="D39" s="242">
        <f t="shared" ca="1" si="14"/>
        <v>-0.3</v>
      </c>
      <c r="E39" s="78">
        <f t="shared" ca="1" si="15"/>
        <v>3</v>
      </c>
      <c r="F39" s="243">
        <f t="shared" ca="1" si="16"/>
        <v>0.11</v>
      </c>
      <c r="H39" s="242">
        <f t="shared" ca="1" si="17"/>
        <v>-0.1</v>
      </c>
      <c r="I39" s="78">
        <f t="shared" ca="1" si="18"/>
        <v>2</v>
      </c>
      <c r="J39" s="245">
        <f t="shared" ca="1" si="19"/>
        <v>0.11</v>
      </c>
    </row>
    <row r="40" spans="4:10" ht="18" customHeight="1" thickBot="1">
      <c r="D40" s="246">
        <f t="shared" ca="1" si="14"/>
        <v>0.1</v>
      </c>
      <c r="E40" s="101">
        <f t="shared" ca="1" si="15"/>
        <v>-1</v>
      </c>
      <c r="F40" s="247">
        <f t="shared" ca="1" si="16"/>
        <v>-0.12</v>
      </c>
      <c r="H40" s="246">
        <f t="shared" ca="1" si="17"/>
        <v>0.3</v>
      </c>
      <c r="I40" s="101">
        <f t="shared" ca="1" si="18"/>
        <v>2</v>
      </c>
      <c r="J40" s="248">
        <f t="shared" ca="1" si="19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.77734375" style="51" bestFit="1" customWidth="1"/>
    <col min="4" max="4" width="7.33203125" style="51" customWidth="1"/>
    <col min="5" max="6" width="7.33203125" style="52" customWidth="1"/>
    <col min="7" max="12" width="7.33203125" style="51" customWidth="1"/>
    <col min="13" max="23" width="6.77734375" style="51" customWidth="1"/>
    <col min="24" max="16384" width="8.88671875" style="51"/>
  </cols>
  <sheetData>
    <row r="1" spans="2:12" s="45" customFormat="1" ht="18" customHeight="1">
      <c r="E1" s="44"/>
      <c r="F1" s="44"/>
    </row>
    <row r="2" spans="2:12" s="45" customFormat="1" ht="18" customHeight="1">
      <c r="B2" s="45" t="s">
        <v>93</v>
      </c>
      <c r="E2" s="44"/>
      <c r="F2" s="44"/>
    </row>
    <row r="3" spans="2:12" s="45" customFormat="1" ht="18" customHeight="1">
      <c r="E3" s="44" t="s">
        <v>183</v>
      </c>
      <c r="F3" s="44"/>
    </row>
    <row r="4" spans="2:12" s="45" customFormat="1" ht="18" customHeight="1">
      <c r="B4" s="61" t="s">
        <v>106</v>
      </c>
      <c r="E4" s="44"/>
      <c r="F4" s="44"/>
    </row>
    <row r="5" spans="2:12" s="45" customFormat="1" ht="18" customHeight="1" thickBot="1">
      <c r="E5" s="44"/>
      <c r="F5" s="44"/>
    </row>
    <row r="6" spans="2:12" s="45" customFormat="1" ht="26.1" customHeight="1" thickBot="1">
      <c r="B6" s="213" t="s">
        <v>94</v>
      </c>
      <c r="C6" s="214">
        <v>43580.375</v>
      </c>
      <c r="D6" s="215"/>
      <c r="E6" s="44"/>
      <c r="F6" s="44"/>
    </row>
    <row r="7" spans="2:12" s="45" customFormat="1" ht="26.1" customHeight="1" thickBot="1">
      <c r="B7" s="216" t="s">
        <v>95</v>
      </c>
      <c r="C7" s="217">
        <v>14</v>
      </c>
      <c r="D7" s="215"/>
      <c r="E7" s="44"/>
      <c r="F7" s="44"/>
      <c r="I7" s="45">
        <f ca="1">RAND()</f>
        <v>0.50426479755058473</v>
      </c>
    </row>
    <row r="8" spans="2:12" s="45" customFormat="1" ht="26.1" customHeight="1">
      <c r="B8" s="218" t="s">
        <v>96</v>
      </c>
      <c r="C8" s="219">
        <v>233</v>
      </c>
      <c r="D8" s="218">
        <v>238</v>
      </c>
      <c r="E8" s="44">
        <v>231</v>
      </c>
      <c r="F8" s="44"/>
    </row>
    <row r="9" spans="2:12" s="45" customFormat="1" ht="26.1" customHeight="1">
      <c r="B9" s="218" t="s">
        <v>97</v>
      </c>
      <c r="C9" s="219">
        <v>6.2</v>
      </c>
      <c r="D9" s="218">
        <v>6.3</v>
      </c>
      <c r="E9" s="44">
        <v>6.7</v>
      </c>
      <c r="F9" s="44"/>
    </row>
    <row r="10" spans="2:12" s="45" customFormat="1" ht="26.1" customHeight="1">
      <c r="B10" s="218"/>
      <c r="C10" s="219"/>
      <c r="D10" s="215"/>
      <c r="E10" s="44"/>
      <c r="F10" s="44"/>
    </row>
    <row r="11" spans="2:12" s="45" customFormat="1" ht="18" customHeight="1" thickBot="1">
      <c r="E11" s="44"/>
      <c r="F11" s="44"/>
    </row>
    <row r="12" spans="2:12" s="44" customFormat="1" ht="27" customHeight="1">
      <c r="B12" s="418" t="s">
        <v>98</v>
      </c>
      <c r="C12" s="420"/>
      <c r="D12" s="418" t="s">
        <v>99</v>
      </c>
      <c r="E12" s="419"/>
      <c r="F12" s="420"/>
      <c r="G12" s="418" t="s">
        <v>178</v>
      </c>
      <c r="H12" s="419"/>
      <c r="I12" s="420"/>
      <c r="J12" s="425" t="s">
        <v>179</v>
      </c>
      <c r="K12" s="419"/>
      <c r="L12" s="420"/>
    </row>
    <row r="13" spans="2:12" s="44" customFormat="1" ht="27" customHeight="1">
      <c r="B13" s="220" t="s">
        <v>94</v>
      </c>
      <c r="C13" s="221" t="s">
        <v>100</v>
      </c>
      <c r="D13" s="220" t="s">
        <v>184</v>
      </c>
      <c r="E13" s="222" t="s">
        <v>200</v>
      </c>
      <c r="F13" s="221" t="s">
        <v>103</v>
      </c>
      <c r="G13" s="220" t="s">
        <v>184</v>
      </c>
      <c r="H13" s="222" t="s">
        <v>200</v>
      </c>
      <c r="I13" s="221" t="s">
        <v>103</v>
      </c>
      <c r="J13" s="249" t="s">
        <v>184</v>
      </c>
      <c r="K13" s="222" t="s">
        <v>200</v>
      </c>
      <c r="L13" s="221" t="s">
        <v>103</v>
      </c>
    </row>
    <row r="14" spans="2:12" s="44" customFormat="1" ht="27" customHeight="1">
      <c r="B14" s="223">
        <f>$C$6+C14/1440</f>
        <v>43580.378472222219</v>
      </c>
      <c r="C14" s="82">
        <v>5</v>
      </c>
      <c r="D14" s="80">
        <f t="shared" ref="D14:D23" ca="1" si="0">baseTemp+D31</f>
        <v>14.1</v>
      </c>
      <c r="E14" s="224">
        <f t="shared" ref="E14:E23" ca="1" si="1">$C$8+E31</f>
        <v>234</v>
      </c>
      <c r="F14" s="225">
        <f t="shared" ref="F14:F23" ca="1" si="2">$C$9+F31</f>
        <v>6.2700000000000005</v>
      </c>
      <c r="G14" s="226">
        <f t="shared" ref="G14:G23" ca="1" si="3">baseTemp+H31</f>
        <v>13.8</v>
      </c>
      <c r="H14" s="224">
        <f ca="1">$D$8+I31</f>
        <v>235</v>
      </c>
      <c r="I14" s="225">
        <f ca="1">$D$9+J31</f>
        <v>6.1899999999999995</v>
      </c>
      <c r="J14" s="250">
        <f t="shared" ref="J14:J23" ca="1" si="4">baseTemp+L31</f>
        <v>13.8</v>
      </c>
      <c r="K14" s="224">
        <f ca="1">$E$8+M31</f>
        <v>228</v>
      </c>
      <c r="L14" s="225">
        <f ca="1">$E$9+N31</f>
        <v>6.59</v>
      </c>
    </row>
    <row r="15" spans="2:12" s="44" customFormat="1" ht="27" customHeight="1">
      <c r="B15" s="227">
        <f t="shared" ref="B15:B23" si="5">$C$6+C15/1440</f>
        <v>43580.395833333336</v>
      </c>
      <c r="C15" s="79">
        <v>30</v>
      </c>
      <c r="D15" s="77">
        <f t="shared" ca="1" si="0"/>
        <v>13.8</v>
      </c>
      <c r="E15" s="228">
        <f t="shared" ca="1" si="1"/>
        <v>235</v>
      </c>
      <c r="F15" s="229">
        <f t="shared" ca="1" si="2"/>
        <v>6.29</v>
      </c>
      <c r="G15" s="226">
        <f t="shared" ca="1" si="3"/>
        <v>14.1</v>
      </c>
      <c r="H15" s="224">
        <f t="shared" ref="H15:H23" ca="1" si="6">$D$8+I32</f>
        <v>237</v>
      </c>
      <c r="I15" s="225">
        <f t="shared" ref="I15:I23" ca="1" si="7">$D$9+J32</f>
        <v>6.1899999999999995</v>
      </c>
      <c r="J15" s="250">
        <f t="shared" ca="1" si="4"/>
        <v>13.7</v>
      </c>
      <c r="K15" s="224">
        <f t="shared" ref="K15:K23" ca="1" si="8">$E$8+M32</f>
        <v>232</v>
      </c>
      <c r="L15" s="225">
        <f t="shared" ref="L15:L23" ca="1" si="9">$E$9+N32</f>
        <v>6.59</v>
      </c>
    </row>
    <row r="16" spans="2:12" s="44" customFormat="1" ht="27" customHeight="1">
      <c r="B16" s="227">
        <f t="shared" si="5"/>
        <v>43580.416666666664</v>
      </c>
      <c r="C16" s="79">
        <v>60</v>
      </c>
      <c r="D16" s="77">
        <f t="shared" ca="1" si="0"/>
        <v>14.3</v>
      </c>
      <c r="E16" s="228">
        <f t="shared" ca="1" si="1"/>
        <v>231</v>
      </c>
      <c r="F16" s="229">
        <f t="shared" ca="1" si="2"/>
        <v>6.3100000000000005</v>
      </c>
      <c r="G16" s="226">
        <f t="shared" ca="1" si="3"/>
        <v>13.8</v>
      </c>
      <c r="H16" s="224">
        <f t="shared" ca="1" si="6"/>
        <v>235</v>
      </c>
      <c r="I16" s="225">
        <f t="shared" ca="1" si="7"/>
        <v>6.3999999999999995</v>
      </c>
      <c r="J16" s="250">
        <f t="shared" ca="1" si="4"/>
        <v>14.3</v>
      </c>
      <c r="K16" s="224">
        <f t="shared" ca="1" si="8"/>
        <v>234</v>
      </c>
      <c r="L16" s="225">
        <f t="shared" ca="1" si="9"/>
        <v>6.62</v>
      </c>
    </row>
    <row r="17" spans="2:14" s="44" customFormat="1" ht="27" customHeight="1">
      <c r="B17" s="227">
        <f t="shared" si="5"/>
        <v>43580.458333333336</v>
      </c>
      <c r="C17" s="79">
        <v>120</v>
      </c>
      <c r="D17" s="77">
        <f t="shared" ca="1" si="0"/>
        <v>14.1</v>
      </c>
      <c r="E17" s="228">
        <f t="shared" ca="1" si="1"/>
        <v>236</v>
      </c>
      <c r="F17" s="229">
        <f t="shared" ca="1" si="2"/>
        <v>6.11</v>
      </c>
      <c r="G17" s="226">
        <f t="shared" ca="1" si="3"/>
        <v>13.7</v>
      </c>
      <c r="H17" s="224">
        <f t="shared" ca="1" si="6"/>
        <v>240</v>
      </c>
      <c r="I17" s="225">
        <f t="shared" ca="1" si="7"/>
        <v>6.22</v>
      </c>
      <c r="J17" s="250">
        <f t="shared" ca="1" si="4"/>
        <v>14.3</v>
      </c>
      <c r="K17" s="224">
        <f t="shared" ca="1" si="8"/>
        <v>233</v>
      </c>
      <c r="L17" s="225">
        <f t="shared" ca="1" si="9"/>
        <v>6.63</v>
      </c>
    </row>
    <row r="18" spans="2:14" s="44" customFormat="1" ht="27" customHeight="1">
      <c r="B18" s="227">
        <f t="shared" si="5"/>
        <v>43580.541666666664</v>
      </c>
      <c r="C18" s="79">
        <v>240</v>
      </c>
      <c r="D18" s="77">
        <f t="shared" ca="1" si="0"/>
        <v>14.1</v>
      </c>
      <c r="E18" s="228">
        <f t="shared" ca="1" si="1"/>
        <v>231</v>
      </c>
      <c r="F18" s="229">
        <f t="shared" ca="1" si="2"/>
        <v>6.3100000000000005</v>
      </c>
      <c r="G18" s="226">
        <f t="shared" ca="1" si="3"/>
        <v>13.7</v>
      </c>
      <c r="H18" s="224">
        <f t="shared" ca="1" si="6"/>
        <v>236</v>
      </c>
      <c r="I18" s="225">
        <f t="shared" ca="1" si="7"/>
        <v>6.41</v>
      </c>
      <c r="J18" s="250">
        <f t="shared" ca="1" si="4"/>
        <v>13.8</v>
      </c>
      <c r="K18" s="224">
        <f t="shared" ca="1" si="8"/>
        <v>228</v>
      </c>
      <c r="L18" s="225">
        <f t="shared" ca="1" si="9"/>
        <v>6.82</v>
      </c>
    </row>
    <row r="19" spans="2:14" s="44" customFormat="1" ht="27" customHeight="1">
      <c r="B19" s="227">
        <f t="shared" si="5"/>
        <v>43580.708333333336</v>
      </c>
      <c r="C19" s="79">
        <v>480</v>
      </c>
      <c r="D19" s="77">
        <f t="shared" ca="1" si="0"/>
        <v>14.3</v>
      </c>
      <c r="E19" s="228">
        <f t="shared" ca="1" si="1"/>
        <v>236</v>
      </c>
      <c r="F19" s="229">
        <f t="shared" ca="1" si="2"/>
        <v>6.2700000000000005</v>
      </c>
      <c r="G19" s="226">
        <f t="shared" ca="1" si="3"/>
        <v>14.3</v>
      </c>
      <c r="H19" s="224">
        <f t="shared" ca="1" si="6"/>
        <v>240</v>
      </c>
      <c r="I19" s="225">
        <f t="shared" ca="1" si="7"/>
        <v>6.42</v>
      </c>
      <c r="J19" s="250">
        <f t="shared" ca="1" si="4"/>
        <v>13.8</v>
      </c>
      <c r="K19" s="224">
        <f t="shared" ca="1" si="8"/>
        <v>229</v>
      </c>
      <c r="L19" s="225">
        <f t="shared" ca="1" si="9"/>
        <v>6.58</v>
      </c>
    </row>
    <row r="20" spans="2:14" s="45" customFormat="1" ht="27" customHeight="1">
      <c r="B20" s="227">
        <f t="shared" si="5"/>
        <v>43581.375</v>
      </c>
      <c r="C20" s="79">
        <v>1440</v>
      </c>
      <c r="D20" s="77">
        <f t="shared" ca="1" si="0"/>
        <v>14.1</v>
      </c>
      <c r="E20" s="228">
        <f t="shared" ca="1" si="1"/>
        <v>230</v>
      </c>
      <c r="F20" s="229">
        <f t="shared" ca="1" si="2"/>
        <v>6.09</v>
      </c>
      <c r="G20" s="226">
        <f t="shared" ca="1" si="3"/>
        <v>14.3</v>
      </c>
      <c r="H20" s="224">
        <f t="shared" ca="1" si="6"/>
        <v>235</v>
      </c>
      <c r="I20" s="225">
        <f t="shared" ca="1" si="7"/>
        <v>6.18</v>
      </c>
      <c r="J20" s="250">
        <f t="shared" ca="1" si="4"/>
        <v>13.7</v>
      </c>
      <c r="K20" s="224">
        <f t="shared" ca="1" si="8"/>
        <v>234</v>
      </c>
      <c r="L20" s="225">
        <f t="shared" ca="1" si="9"/>
        <v>6.8</v>
      </c>
    </row>
    <row r="21" spans="2:14" s="45" customFormat="1" ht="27" customHeight="1">
      <c r="B21" s="227">
        <f t="shared" si="5"/>
        <v>43581.541666666664</v>
      </c>
      <c r="C21" s="79">
        <v>1680</v>
      </c>
      <c r="D21" s="77">
        <f t="shared" ca="1" si="0"/>
        <v>13.9</v>
      </c>
      <c r="E21" s="228">
        <f t="shared" ca="1" si="1"/>
        <v>231</v>
      </c>
      <c r="F21" s="229">
        <f t="shared" ca="1" si="2"/>
        <v>6.29</v>
      </c>
      <c r="G21" s="226">
        <f t="shared" ca="1" si="3"/>
        <v>14.3</v>
      </c>
      <c r="H21" s="224">
        <f t="shared" ca="1" si="6"/>
        <v>240</v>
      </c>
      <c r="I21" s="225">
        <f t="shared" ca="1" si="7"/>
        <v>6.37</v>
      </c>
      <c r="J21" s="250">
        <f t="shared" ca="1" si="4"/>
        <v>13.9</v>
      </c>
      <c r="K21" s="224">
        <f t="shared" ca="1" si="8"/>
        <v>232</v>
      </c>
      <c r="L21" s="225">
        <f t="shared" ca="1" si="9"/>
        <v>6.82</v>
      </c>
    </row>
    <row r="22" spans="2:14" s="45" customFormat="1" ht="27" customHeight="1">
      <c r="B22" s="227">
        <f t="shared" si="5"/>
        <v>43581.708333333336</v>
      </c>
      <c r="C22" s="79">
        <v>1920</v>
      </c>
      <c r="D22" s="77">
        <f t="shared" ca="1" si="0"/>
        <v>13.7</v>
      </c>
      <c r="E22" s="228">
        <f t="shared" ca="1" si="1"/>
        <v>235</v>
      </c>
      <c r="F22" s="229">
        <f t="shared" ca="1" si="2"/>
        <v>6.3100000000000005</v>
      </c>
      <c r="G22" s="226">
        <f t="shared" ca="1" si="3"/>
        <v>13.7</v>
      </c>
      <c r="H22" s="224">
        <f t="shared" ca="1" si="6"/>
        <v>241</v>
      </c>
      <c r="I22" s="225">
        <f t="shared" ca="1" si="7"/>
        <v>6.18</v>
      </c>
      <c r="J22" s="250">
        <f t="shared" ca="1" si="4"/>
        <v>14.3</v>
      </c>
      <c r="K22" s="224">
        <f t="shared" ca="1" si="8"/>
        <v>230</v>
      </c>
      <c r="L22" s="225">
        <f t="shared" ca="1" si="9"/>
        <v>6.78</v>
      </c>
    </row>
    <row r="23" spans="2:14" s="45" customFormat="1" ht="27" customHeight="1">
      <c r="B23" s="230">
        <f t="shared" si="5"/>
        <v>43582.375</v>
      </c>
      <c r="C23" s="231">
        <v>2880</v>
      </c>
      <c r="D23" s="112">
        <f t="shared" ca="1" si="0"/>
        <v>13.7</v>
      </c>
      <c r="E23" s="232">
        <f t="shared" ca="1" si="1"/>
        <v>235</v>
      </c>
      <c r="F23" s="233">
        <f t="shared" ca="1" si="2"/>
        <v>6.32</v>
      </c>
      <c r="G23" s="234">
        <f t="shared" ca="1" si="3"/>
        <v>14.2</v>
      </c>
      <c r="H23" s="235">
        <f t="shared" ca="1" si="6"/>
        <v>236</v>
      </c>
      <c r="I23" s="251">
        <f t="shared" ca="1" si="7"/>
        <v>6.22</v>
      </c>
      <c r="J23" s="252">
        <f t="shared" ca="1" si="4"/>
        <v>13.8</v>
      </c>
      <c r="K23" s="235">
        <f t="shared" ca="1" si="8"/>
        <v>229</v>
      </c>
      <c r="L23" s="251">
        <f t="shared" ca="1" si="9"/>
        <v>6.61</v>
      </c>
    </row>
    <row r="24" spans="2:14" s="45" customFormat="1" ht="27" customHeight="1">
      <c r="B24" s="421" t="s">
        <v>45</v>
      </c>
      <c r="C24" s="422"/>
      <c r="D24" s="220">
        <f ca="1">MAX(D14:D23)</f>
        <v>14.3</v>
      </c>
      <c r="E24" s="222">
        <f t="shared" ref="E24:F24" ca="1" si="10">MAX(E14:E23)</f>
        <v>236</v>
      </c>
      <c r="F24" s="221">
        <f t="shared" ca="1" si="10"/>
        <v>6.32</v>
      </c>
      <c r="G24" s="220">
        <f ca="1">MAX(G14:G23)</f>
        <v>14.3</v>
      </c>
      <c r="H24" s="222">
        <f t="shared" ref="H24:I24" ca="1" si="11">MAX(H14:H23)</f>
        <v>241</v>
      </c>
      <c r="I24" s="221">
        <f t="shared" ca="1" si="11"/>
        <v>6.42</v>
      </c>
      <c r="J24" s="249">
        <f ca="1">MAX(J14:J23)</f>
        <v>14.3</v>
      </c>
      <c r="K24" s="222">
        <f t="shared" ref="K24:L24" ca="1" si="12">MAX(K14:K23)</f>
        <v>234</v>
      </c>
      <c r="L24" s="221">
        <f t="shared" ca="1" si="12"/>
        <v>6.82</v>
      </c>
    </row>
    <row r="25" spans="2:14" s="45" customFormat="1" ht="27" customHeight="1">
      <c r="B25" s="421" t="s">
        <v>46</v>
      </c>
      <c r="C25" s="422"/>
      <c r="D25" s="220">
        <f ca="1">MIN(D14:D23)</f>
        <v>13.7</v>
      </c>
      <c r="E25" s="222">
        <f t="shared" ref="E25:F25" ca="1" si="13">MIN(E14:E23)</f>
        <v>230</v>
      </c>
      <c r="F25" s="221">
        <f t="shared" ca="1" si="13"/>
        <v>6.09</v>
      </c>
      <c r="G25" s="220">
        <f ca="1">MIN(G14:G23)</f>
        <v>13.7</v>
      </c>
      <c r="H25" s="222">
        <f t="shared" ref="H25:I25" ca="1" si="14">MIN(H14:H23)</f>
        <v>235</v>
      </c>
      <c r="I25" s="221">
        <f t="shared" ca="1" si="14"/>
        <v>6.18</v>
      </c>
      <c r="J25" s="249">
        <f ca="1">MIN(J14:J23)</f>
        <v>13.7</v>
      </c>
      <c r="K25" s="222">
        <f t="shared" ref="K25:L25" ca="1" si="15">MIN(K14:K23)</f>
        <v>228</v>
      </c>
      <c r="L25" s="221">
        <f t="shared" ca="1" si="15"/>
        <v>6.58</v>
      </c>
    </row>
    <row r="26" spans="2:14" s="45" customFormat="1" ht="27" customHeight="1" thickBot="1">
      <c r="B26" s="423" t="s">
        <v>104</v>
      </c>
      <c r="C26" s="424"/>
      <c r="D26" s="239">
        <f ca="1">D24-D25</f>
        <v>0.60000000000000142</v>
      </c>
      <c r="E26" s="240">
        <f t="shared" ref="E26:F26" ca="1" si="16">E24-E25</f>
        <v>6</v>
      </c>
      <c r="F26" s="241">
        <f t="shared" ca="1" si="16"/>
        <v>0.23000000000000043</v>
      </c>
      <c r="G26" s="239">
        <f ca="1">G24-G25</f>
        <v>0.60000000000000142</v>
      </c>
      <c r="H26" s="240">
        <f t="shared" ref="H26:I26" ca="1" si="17">H24-H25</f>
        <v>6</v>
      </c>
      <c r="I26" s="241">
        <f t="shared" ca="1" si="17"/>
        <v>0.24000000000000021</v>
      </c>
      <c r="J26" s="253">
        <f ca="1">J24-J25</f>
        <v>0.60000000000000142</v>
      </c>
      <c r="K26" s="240">
        <f t="shared" ref="K26:L26" ca="1" si="18">K24-K25</f>
        <v>6</v>
      </c>
      <c r="L26" s="241">
        <f t="shared" ca="1" si="18"/>
        <v>0.24000000000000021</v>
      </c>
    </row>
    <row r="27" spans="2:14" s="45" customFormat="1" ht="18" customHeight="1">
      <c r="E27" s="44"/>
      <c r="F27" s="44"/>
    </row>
    <row r="28" spans="2:14" s="45" customFormat="1" ht="18" customHeight="1" thickBot="1">
      <c r="E28" s="44"/>
      <c r="F28" s="44"/>
    </row>
    <row r="29" spans="2:14" s="45" customFormat="1" ht="18" customHeight="1">
      <c r="D29" s="418" t="s">
        <v>99</v>
      </c>
      <c r="E29" s="419"/>
      <c r="F29" s="420"/>
      <c r="H29" s="418" t="s">
        <v>178</v>
      </c>
      <c r="I29" s="419"/>
      <c r="J29" s="420"/>
      <c r="L29" s="418" t="s">
        <v>179</v>
      </c>
      <c r="M29" s="419"/>
      <c r="N29" s="420"/>
    </row>
    <row r="30" spans="2:14" s="45" customFormat="1" ht="18" customHeight="1">
      <c r="D30" s="220" t="s">
        <v>185</v>
      </c>
      <c r="E30" s="222" t="s">
        <v>186</v>
      </c>
      <c r="F30" s="221" t="s">
        <v>103</v>
      </c>
      <c r="H30" s="220" t="s">
        <v>185</v>
      </c>
      <c r="I30" s="222" t="s">
        <v>186</v>
      </c>
      <c r="J30" s="221" t="s">
        <v>103</v>
      </c>
      <c r="L30" s="220" t="s">
        <v>185</v>
      </c>
      <c r="M30" s="222" t="s">
        <v>186</v>
      </c>
      <c r="N30" s="221" t="s">
        <v>103</v>
      </c>
    </row>
    <row r="31" spans="2:14" s="45" customFormat="1" ht="18" customHeight="1">
      <c r="D31" s="242">
        <f ca="1">ROUND(myRandBetween(1,3,10), 1)</f>
        <v>0.1</v>
      </c>
      <c r="E31" s="78">
        <f ca="1">myRandBetween(1,3,1)</f>
        <v>1</v>
      </c>
      <c r="F31" s="243">
        <f ca="1">ROUND(myRandBetween(7,12,100), 2)</f>
        <v>7.0000000000000007E-2</v>
      </c>
      <c r="H31" s="242">
        <f ca="1">ROUND(myRandBetween(1,3,10), 1)</f>
        <v>-0.2</v>
      </c>
      <c r="I31" s="78">
        <f ca="1">myRandBetween(1,3,1)</f>
        <v>-3</v>
      </c>
      <c r="J31" s="243">
        <f ca="1">ROUND(myRandBetween(7,12,100), 2)</f>
        <v>-0.11</v>
      </c>
      <c r="L31" s="242">
        <f ca="1">ROUND(myRandBetween(1,3,10), 1)</f>
        <v>-0.2</v>
      </c>
      <c r="M31" s="78">
        <f ca="1">myRandBetween(1,3,1)</f>
        <v>-3</v>
      </c>
      <c r="N31" s="243">
        <f ca="1">ROUND(myRandBetween(7,12,100), 2)</f>
        <v>-0.11</v>
      </c>
    </row>
    <row r="32" spans="2:14" s="45" customFormat="1" ht="18" customHeight="1">
      <c r="D32" s="242">
        <f t="shared" ref="D32:D40" ca="1" si="19">ROUND(myRandBetween(1,3,10), 1)</f>
        <v>-0.2</v>
      </c>
      <c r="E32" s="78">
        <f t="shared" ref="E32:E40" ca="1" si="20">myRandBetween(1,3,1)</f>
        <v>2</v>
      </c>
      <c r="F32" s="243">
        <f t="shared" ref="F32:F40" ca="1" si="21">ROUND(myRandBetween(7,12,100), 2)</f>
        <v>0.09</v>
      </c>
      <c r="H32" s="242">
        <f t="shared" ref="H32:H40" ca="1" si="22">ROUND(myRandBetween(1,3,10), 1)</f>
        <v>0.1</v>
      </c>
      <c r="I32" s="78">
        <f t="shared" ref="I32:I40" ca="1" si="23">myRandBetween(1,3,1)</f>
        <v>-1</v>
      </c>
      <c r="J32" s="243">
        <f t="shared" ref="J32:J40" ca="1" si="24">ROUND(myRandBetween(7,12,100), 2)</f>
        <v>-0.11</v>
      </c>
      <c r="L32" s="242">
        <f t="shared" ref="L32:L40" ca="1" si="25">ROUND(myRandBetween(1,3,10), 1)</f>
        <v>-0.3</v>
      </c>
      <c r="M32" s="78">
        <f t="shared" ref="M32:M40" ca="1" si="26">myRandBetween(1,3,1)</f>
        <v>1</v>
      </c>
      <c r="N32" s="243">
        <f t="shared" ref="N32:N40" ca="1" si="27">ROUND(myRandBetween(7,12,100), 2)</f>
        <v>-0.11</v>
      </c>
    </row>
    <row r="33" spans="4:14" s="45" customFormat="1" ht="18" customHeight="1">
      <c r="D33" s="242">
        <f t="shared" ca="1" si="19"/>
        <v>0.3</v>
      </c>
      <c r="E33" s="78">
        <f t="shared" ca="1" si="20"/>
        <v>-2</v>
      </c>
      <c r="F33" s="243">
        <f t="shared" ca="1" si="21"/>
        <v>0.11</v>
      </c>
      <c r="H33" s="242">
        <f t="shared" ca="1" si="22"/>
        <v>-0.2</v>
      </c>
      <c r="I33" s="78">
        <f t="shared" ca="1" si="23"/>
        <v>-3</v>
      </c>
      <c r="J33" s="243">
        <f t="shared" ca="1" si="24"/>
        <v>0.1</v>
      </c>
      <c r="L33" s="242">
        <f t="shared" ca="1" si="25"/>
        <v>0.3</v>
      </c>
      <c r="M33" s="78">
        <f t="shared" ca="1" si="26"/>
        <v>3</v>
      </c>
      <c r="N33" s="243">
        <f t="shared" ca="1" si="27"/>
        <v>-0.08</v>
      </c>
    </row>
    <row r="34" spans="4:14" s="45" customFormat="1" ht="18" customHeight="1">
      <c r="D34" s="242">
        <f t="shared" ca="1" si="19"/>
        <v>0.1</v>
      </c>
      <c r="E34" s="78">
        <f t="shared" ca="1" si="20"/>
        <v>3</v>
      </c>
      <c r="F34" s="243">
        <f t="shared" ca="1" si="21"/>
        <v>-0.09</v>
      </c>
      <c r="H34" s="242">
        <f t="shared" ca="1" si="22"/>
        <v>-0.3</v>
      </c>
      <c r="I34" s="78">
        <f t="shared" ca="1" si="23"/>
        <v>2</v>
      </c>
      <c r="J34" s="243">
        <f t="shared" ca="1" si="24"/>
        <v>-0.08</v>
      </c>
      <c r="L34" s="242">
        <f t="shared" ca="1" si="25"/>
        <v>0.3</v>
      </c>
      <c r="M34" s="78">
        <f t="shared" ca="1" si="26"/>
        <v>2</v>
      </c>
      <c r="N34" s="243">
        <f t="shared" ca="1" si="27"/>
        <v>-7.0000000000000007E-2</v>
      </c>
    </row>
    <row r="35" spans="4:14" s="45" customFormat="1" ht="18" customHeight="1">
      <c r="D35" s="242">
        <f t="shared" ca="1" si="19"/>
        <v>0.1</v>
      </c>
      <c r="E35" s="78">
        <f t="shared" ca="1" si="20"/>
        <v>-2</v>
      </c>
      <c r="F35" s="243">
        <f t="shared" ca="1" si="21"/>
        <v>0.11</v>
      </c>
      <c r="H35" s="242">
        <f t="shared" ca="1" si="22"/>
        <v>-0.3</v>
      </c>
      <c r="I35" s="78">
        <f t="shared" ca="1" si="23"/>
        <v>-2</v>
      </c>
      <c r="J35" s="243">
        <f t="shared" ca="1" si="24"/>
        <v>0.11</v>
      </c>
      <c r="L35" s="242">
        <f t="shared" ca="1" si="25"/>
        <v>-0.2</v>
      </c>
      <c r="M35" s="78">
        <f t="shared" ca="1" si="26"/>
        <v>-3</v>
      </c>
      <c r="N35" s="243">
        <f t="shared" ca="1" si="27"/>
        <v>0.12</v>
      </c>
    </row>
    <row r="36" spans="4:14" s="45" customFormat="1" ht="18" customHeight="1">
      <c r="D36" s="242">
        <f t="shared" ca="1" si="19"/>
        <v>0.3</v>
      </c>
      <c r="E36" s="78">
        <f t="shared" ca="1" si="20"/>
        <v>3</v>
      </c>
      <c r="F36" s="243">
        <f t="shared" ca="1" si="21"/>
        <v>7.0000000000000007E-2</v>
      </c>
      <c r="H36" s="242">
        <f t="shared" ca="1" si="22"/>
        <v>0.3</v>
      </c>
      <c r="I36" s="78">
        <f t="shared" ca="1" si="23"/>
        <v>2</v>
      </c>
      <c r="J36" s="243">
        <f t="shared" ca="1" si="24"/>
        <v>0.12</v>
      </c>
      <c r="L36" s="242">
        <f t="shared" ca="1" si="25"/>
        <v>-0.2</v>
      </c>
      <c r="M36" s="78">
        <f t="shared" ca="1" si="26"/>
        <v>-2</v>
      </c>
      <c r="N36" s="243">
        <f t="shared" ca="1" si="27"/>
        <v>-0.12</v>
      </c>
    </row>
    <row r="37" spans="4:14" s="45" customFormat="1" ht="18" customHeight="1">
      <c r="D37" s="242">
        <f t="shared" ca="1" si="19"/>
        <v>0.1</v>
      </c>
      <c r="E37" s="78">
        <f t="shared" ca="1" si="20"/>
        <v>-3</v>
      </c>
      <c r="F37" s="243">
        <f t="shared" ca="1" si="21"/>
        <v>-0.11</v>
      </c>
      <c r="H37" s="242">
        <f t="shared" ca="1" si="22"/>
        <v>0.3</v>
      </c>
      <c r="I37" s="78">
        <f t="shared" ca="1" si="23"/>
        <v>-3</v>
      </c>
      <c r="J37" s="243">
        <f t="shared" ca="1" si="24"/>
        <v>-0.12</v>
      </c>
      <c r="L37" s="242">
        <f t="shared" ca="1" si="25"/>
        <v>-0.3</v>
      </c>
      <c r="M37" s="78">
        <f t="shared" ca="1" si="26"/>
        <v>3</v>
      </c>
      <c r="N37" s="243">
        <f t="shared" ca="1" si="27"/>
        <v>0.1</v>
      </c>
    </row>
    <row r="38" spans="4:14" ht="18" customHeight="1">
      <c r="D38" s="242">
        <f t="shared" ca="1" si="19"/>
        <v>-0.1</v>
      </c>
      <c r="E38" s="78">
        <f t="shared" ca="1" si="20"/>
        <v>-2</v>
      </c>
      <c r="F38" s="243">
        <f t="shared" ca="1" si="21"/>
        <v>0.09</v>
      </c>
      <c r="H38" s="242">
        <f t="shared" ca="1" si="22"/>
        <v>0.3</v>
      </c>
      <c r="I38" s="78">
        <f t="shared" ca="1" si="23"/>
        <v>2</v>
      </c>
      <c r="J38" s="243">
        <f t="shared" ca="1" si="24"/>
        <v>7.0000000000000007E-2</v>
      </c>
      <c r="L38" s="242">
        <f t="shared" ca="1" si="25"/>
        <v>-0.1</v>
      </c>
      <c r="M38" s="78">
        <f t="shared" ca="1" si="26"/>
        <v>1</v>
      </c>
      <c r="N38" s="243">
        <f t="shared" ca="1" si="27"/>
        <v>0.12</v>
      </c>
    </row>
    <row r="39" spans="4:14" ht="18" customHeight="1">
      <c r="D39" s="242">
        <f t="shared" ca="1" si="19"/>
        <v>-0.3</v>
      </c>
      <c r="E39" s="78">
        <f t="shared" ca="1" si="20"/>
        <v>2</v>
      </c>
      <c r="F39" s="243">
        <f t="shared" ca="1" si="21"/>
        <v>0.11</v>
      </c>
      <c r="H39" s="242">
        <f t="shared" ca="1" si="22"/>
        <v>-0.3</v>
      </c>
      <c r="I39" s="78">
        <f t="shared" ca="1" si="23"/>
        <v>3</v>
      </c>
      <c r="J39" s="243">
        <f t="shared" ca="1" si="24"/>
        <v>-0.12</v>
      </c>
      <c r="L39" s="242">
        <f t="shared" ca="1" si="25"/>
        <v>0.3</v>
      </c>
      <c r="M39" s="78">
        <f t="shared" ca="1" si="26"/>
        <v>-1</v>
      </c>
      <c r="N39" s="243">
        <f t="shared" ca="1" si="27"/>
        <v>0.08</v>
      </c>
    </row>
    <row r="40" spans="4:14" ht="18" customHeight="1" thickBot="1">
      <c r="D40" s="246">
        <f t="shared" ca="1" si="19"/>
        <v>-0.3</v>
      </c>
      <c r="E40" s="84">
        <f t="shared" ca="1" si="20"/>
        <v>2</v>
      </c>
      <c r="F40" s="247">
        <f t="shared" ca="1" si="21"/>
        <v>0.12</v>
      </c>
      <c r="H40" s="246">
        <f t="shared" ca="1" si="22"/>
        <v>0.2</v>
      </c>
      <c r="I40" s="84">
        <f t="shared" ca="1" si="23"/>
        <v>-2</v>
      </c>
      <c r="J40" s="247">
        <f t="shared" ca="1" si="24"/>
        <v>-0.08</v>
      </c>
      <c r="L40" s="246">
        <f t="shared" ca="1" si="25"/>
        <v>-0.2</v>
      </c>
      <c r="M40" s="84">
        <f t="shared" ca="1" si="26"/>
        <v>-2</v>
      </c>
      <c r="N40" s="247">
        <f t="shared" ca="1" si="27"/>
        <v>-0.09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51"/>
    <col min="2" max="2" width="16.6640625" style="51" customWidth="1"/>
    <col min="3" max="4" width="14.6640625" style="51" customWidth="1"/>
    <col min="5" max="5" width="12" style="52" customWidth="1"/>
    <col min="6" max="6" width="12.33203125" style="52" customWidth="1"/>
    <col min="7" max="7" width="8.88671875" style="51"/>
    <col min="8" max="8" width="9.88671875" style="51" customWidth="1"/>
    <col min="9" max="9" width="8.33203125" style="51" customWidth="1"/>
    <col min="10" max="10" width="8.77734375" style="51" customWidth="1"/>
    <col min="11" max="16384" width="8.88671875" style="51"/>
  </cols>
  <sheetData>
    <row r="1" spans="2:14" s="45" customFormat="1" ht="18" customHeight="1">
      <c r="E1" s="44"/>
      <c r="F1" s="44"/>
    </row>
    <row r="2" spans="2:14" s="45" customFormat="1" ht="18" customHeight="1">
      <c r="B2" s="45" t="s">
        <v>93</v>
      </c>
      <c r="E2" s="44"/>
      <c r="F2" s="44"/>
    </row>
    <row r="3" spans="2:14" s="45" customFormat="1" ht="18" customHeight="1">
      <c r="E3" s="44"/>
      <c r="F3" s="44"/>
    </row>
    <row r="4" spans="2:14" s="256" customFormat="1" ht="26.25" customHeight="1">
      <c r="B4" s="254" t="s">
        <v>106</v>
      </c>
      <c r="C4" s="255" t="s">
        <v>99</v>
      </c>
      <c r="E4" s="255"/>
      <c r="F4" s="255"/>
    </row>
    <row r="5" spans="2:14" s="45" customFormat="1" ht="18" customHeight="1" thickBot="1">
      <c r="E5" s="44"/>
      <c r="F5" s="44"/>
    </row>
    <row r="6" spans="2:14" s="45" customFormat="1" ht="26.1" customHeight="1" thickBot="1">
      <c r="B6" s="216" t="s">
        <v>94</v>
      </c>
      <c r="C6" s="257">
        <v>43486.375</v>
      </c>
      <c r="D6" s="215"/>
      <c r="E6" s="44"/>
      <c r="F6" s="44"/>
    </row>
    <row r="7" spans="2:14" s="45" customFormat="1" ht="26.1" customHeight="1" thickBot="1">
      <c r="B7" s="216" t="s">
        <v>95</v>
      </c>
      <c r="C7" s="217">
        <v>14.6</v>
      </c>
      <c r="D7" s="215"/>
      <c r="E7" s="44"/>
      <c r="F7" s="44"/>
    </row>
    <row r="8" spans="2:14" s="45" customFormat="1" ht="26.1" customHeight="1">
      <c r="B8" s="218" t="s">
        <v>96</v>
      </c>
      <c r="C8" s="219">
        <v>211</v>
      </c>
      <c r="D8" s="215"/>
      <c r="E8" s="44"/>
      <c r="F8" s="44"/>
    </row>
    <row r="9" spans="2:14" s="45" customFormat="1" ht="26.1" customHeight="1">
      <c r="B9" s="218" t="s">
        <v>97</v>
      </c>
      <c r="C9" s="258">
        <v>6.7</v>
      </c>
      <c r="D9" s="215"/>
      <c r="E9" s="44"/>
      <c r="F9" s="44"/>
    </row>
    <row r="10" spans="2:14" s="45" customFormat="1" ht="26.1" customHeight="1">
      <c r="B10" s="218"/>
      <c r="C10" s="219"/>
      <c r="D10" s="215"/>
      <c r="E10" s="44"/>
      <c r="F10" s="44"/>
    </row>
    <row r="11" spans="2:14" s="45" customFormat="1" ht="18" customHeight="1" thickBot="1">
      <c r="E11" s="44"/>
      <c r="F11" s="44"/>
    </row>
    <row r="12" spans="2:14" s="44" customFormat="1" ht="26.1" customHeight="1">
      <c r="B12" s="418" t="s">
        <v>98</v>
      </c>
      <c r="C12" s="420"/>
      <c r="D12" s="425" t="s">
        <v>99</v>
      </c>
      <c r="E12" s="419"/>
      <c r="F12" s="420"/>
      <c r="H12" s="418" t="s">
        <v>99</v>
      </c>
      <c r="I12" s="419"/>
      <c r="J12" s="420"/>
      <c r="L12" s="426" t="s">
        <v>99</v>
      </c>
      <c r="M12" s="427"/>
      <c r="N12" s="428"/>
    </row>
    <row r="13" spans="2:14" s="44" customFormat="1" ht="26.1" customHeight="1">
      <c r="B13" s="220" t="s">
        <v>94</v>
      </c>
      <c r="C13" s="221" t="s">
        <v>100</v>
      </c>
      <c r="D13" s="249" t="s">
        <v>101</v>
      </c>
      <c r="E13" s="222" t="s">
        <v>102</v>
      </c>
      <c r="F13" s="221" t="s">
        <v>103</v>
      </c>
      <c r="H13" s="220" t="s">
        <v>101</v>
      </c>
      <c r="I13" s="222" t="s">
        <v>102</v>
      </c>
      <c r="J13" s="221" t="s">
        <v>103</v>
      </c>
      <c r="L13" s="271" t="s">
        <v>101</v>
      </c>
      <c r="M13" s="272" t="s">
        <v>102</v>
      </c>
      <c r="N13" s="273" t="s">
        <v>103</v>
      </c>
    </row>
    <row r="14" spans="2:14" s="44" customFormat="1" ht="26.1" customHeight="1">
      <c r="B14" s="259">
        <f>$C$6+C14/1440</f>
        <v>43486.378472222219</v>
      </c>
      <c r="C14" s="82">
        <v>5</v>
      </c>
      <c r="D14" s="260">
        <f t="shared" ref="D14:D23" si="0">baseTemp+H14</f>
        <v>14.799999999999999</v>
      </c>
      <c r="E14" s="261">
        <f>$C$8+I14</f>
        <v>208</v>
      </c>
      <c r="F14" s="225">
        <f>$C$9+J14</f>
        <v>6.59</v>
      </c>
      <c r="H14" s="77">
        <v>0.2</v>
      </c>
      <c r="I14" s="78">
        <v>-3</v>
      </c>
      <c r="J14" s="79">
        <v>-0.11</v>
      </c>
      <c r="L14" s="271">
        <f ca="1">ROUND(myRandBetween(1,3,10), 1)</f>
        <v>-0.3</v>
      </c>
      <c r="M14" s="272">
        <f ca="1">myRandBetween(1,3,1)</f>
        <v>3</v>
      </c>
      <c r="N14" s="273">
        <f ca="1">ROUND(myRandBetween(7,12,100), 2)</f>
        <v>-0.1</v>
      </c>
    </row>
    <row r="15" spans="2:14" s="44" customFormat="1" ht="26.1" customHeight="1">
      <c r="B15" s="262">
        <f t="shared" ref="B15:B23" si="1">$C$6+C15/1440</f>
        <v>43486.395833333336</v>
      </c>
      <c r="C15" s="79">
        <v>30</v>
      </c>
      <c r="D15" s="263">
        <f t="shared" si="0"/>
        <v>14.4</v>
      </c>
      <c r="E15" s="264">
        <f t="shared" ref="E15:E23" si="2">$C$8+I15</f>
        <v>214</v>
      </c>
      <c r="F15" s="229">
        <f t="shared" ref="F15:F23" si="3">$C$9+J15</f>
        <v>6.8</v>
      </c>
      <c r="H15" s="77">
        <v>-0.2</v>
      </c>
      <c r="I15" s="78">
        <v>3</v>
      </c>
      <c r="J15" s="79">
        <v>0.1</v>
      </c>
      <c r="L15" s="271">
        <f t="shared" ref="L15:L23" ca="1" si="4">ROUND(myRandBetween(1,3,10), 1)</f>
        <v>0.2</v>
      </c>
      <c r="M15" s="272">
        <f t="shared" ref="M15:M23" ca="1" si="5">myRandBetween(1,3,1)</f>
        <v>1</v>
      </c>
      <c r="N15" s="273">
        <f t="shared" ref="N15:N23" ca="1" si="6">ROUND(myRandBetween(7,12,100), 2)</f>
        <v>-0.09</v>
      </c>
    </row>
    <row r="16" spans="2:14" s="44" customFormat="1" ht="26.1" customHeight="1">
      <c r="B16" s="262">
        <f t="shared" si="1"/>
        <v>43486.416666666664</v>
      </c>
      <c r="C16" s="79">
        <v>60</v>
      </c>
      <c r="D16" s="263">
        <f t="shared" si="0"/>
        <v>14.4</v>
      </c>
      <c r="E16" s="264">
        <f t="shared" si="2"/>
        <v>213</v>
      </c>
      <c r="F16" s="229">
        <f t="shared" si="3"/>
        <v>6.61</v>
      </c>
      <c r="H16" s="77">
        <v>-0.2</v>
      </c>
      <c r="I16" s="78">
        <v>2</v>
      </c>
      <c r="J16" s="79">
        <v>-0.09</v>
      </c>
      <c r="L16" s="271">
        <f t="shared" ca="1" si="4"/>
        <v>0.3</v>
      </c>
      <c r="M16" s="272">
        <f t="shared" ca="1" si="5"/>
        <v>-3</v>
      </c>
      <c r="N16" s="273">
        <f t="shared" ca="1" si="6"/>
        <v>-0.12</v>
      </c>
    </row>
    <row r="17" spans="2:14" s="44" customFormat="1" ht="26.1" customHeight="1">
      <c r="B17" s="262">
        <f t="shared" si="1"/>
        <v>43486.458333333336</v>
      </c>
      <c r="C17" s="79">
        <v>120</v>
      </c>
      <c r="D17" s="263">
        <f t="shared" si="0"/>
        <v>14.9</v>
      </c>
      <c r="E17" s="264">
        <f t="shared" si="2"/>
        <v>209</v>
      </c>
      <c r="F17" s="229">
        <f t="shared" si="3"/>
        <v>6.58</v>
      </c>
      <c r="H17" s="77">
        <v>0.3</v>
      </c>
      <c r="I17" s="78">
        <v>-2</v>
      </c>
      <c r="J17" s="79">
        <v>-0.12</v>
      </c>
      <c r="L17" s="271">
        <f t="shared" ca="1" si="4"/>
        <v>0.2</v>
      </c>
      <c r="M17" s="272">
        <f t="shared" ca="1" si="5"/>
        <v>-3</v>
      </c>
      <c r="N17" s="273">
        <f t="shared" ca="1" si="6"/>
        <v>-0.11</v>
      </c>
    </row>
    <row r="18" spans="2:14" s="44" customFormat="1" ht="26.1" customHeight="1">
      <c r="B18" s="262">
        <f t="shared" si="1"/>
        <v>43486.541666666664</v>
      </c>
      <c r="C18" s="79">
        <v>240</v>
      </c>
      <c r="D18" s="263">
        <f t="shared" si="0"/>
        <v>14.299999999999999</v>
      </c>
      <c r="E18" s="264">
        <f t="shared" si="2"/>
        <v>210</v>
      </c>
      <c r="F18" s="229">
        <f t="shared" si="3"/>
        <v>6.63</v>
      </c>
      <c r="H18" s="77">
        <v>-0.3</v>
      </c>
      <c r="I18" s="78">
        <v>-1</v>
      </c>
      <c r="J18" s="79">
        <v>-7.0000000000000007E-2</v>
      </c>
      <c r="L18" s="271">
        <f t="shared" ca="1" si="4"/>
        <v>-0.2</v>
      </c>
      <c r="M18" s="272">
        <f t="shared" ca="1" si="5"/>
        <v>2</v>
      </c>
      <c r="N18" s="273">
        <f t="shared" ca="1" si="6"/>
        <v>0.11</v>
      </c>
    </row>
    <row r="19" spans="2:14" s="44" customFormat="1" ht="26.1" customHeight="1">
      <c r="B19" s="262">
        <f t="shared" si="1"/>
        <v>43486.708333333336</v>
      </c>
      <c r="C19" s="79">
        <v>480</v>
      </c>
      <c r="D19" s="265">
        <f t="shared" si="0"/>
        <v>14.799999999999999</v>
      </c>
      <c r="E19" s="264">
        <f t="shared" si="2"/>
        <v>213</v>
      </c>
      <c r="F19" s="229">
        <f t="shared" si="3"/>
        <v>6.6000000000000005</v>
      </c>
      <c r="H19" s="77">
        <v>0.2</v>
      </c>
      <c r="I19" s="78">
        <v>2</v>
      </c>
      <c r="J19" s="79">
        <v>-0.1</v>
      </c>
      <c r="L19" s="271">
        <f t="shared" ca="1" si="4"/>
        <v>-0.2</v>
      </c>
      <c r="M19" s="272">
        <f t="shared" ca="1" si="5"/>
        <v>1</v>
      </c>
      <c r="N19" s="273">
        <f t="shared" ca="1" si="6"/>
        <v>-7.0000000000000007E-2</v>
      </c>
    </row>
    <row r="20" spans="2:14" s="45" customFormat="1" ht="26.1" customHeight="1">
      <c r="B20" s="262">
        <f t="shared" si="1"/>
        <v>43487.375</v>
      </c>
      <c r="C20" s="79">
        <v>1440</v>
      </c>
      <c r="D20" s="263">
        <f t="shared" si="0"/>
        <v>14.799999999999999</v>
      </c>
      <c r="E20" s="264">
        <f t="shared" si="2"/>
        <v>208</v>
      </c>
      <c r="F20" s="229">
        <f t="shared" si="3"/>
        <v>6.79</v>
      </c>
      <c r="H20" s="77">
        <v>0.2</v>
      </c>
      <c r="I20" s="78">
        <v>-3</v>
      </c>
      <c r="J20" s="79">
        <v>0.09</v>
      </c>
      <c r="L20" s="271">
        <f t="shared" ca="1" si="4"/>
        <v>-0.3</v>
      </c>
      <c r="M20" s="272">
        <f t="shared" ca="1" si="5"/>
        <v>2</v>
      </c>
      <c r="N20" s="273">
        <f t="shared" ca="1" si="6"/>
        <v>0.08</v>
      </c>
    </row>
    <row r="21" spans="2:14" s="45" customFormat="1" ht="26.1" customHeight="1">
      <c r="B21" s="262">
        <f t="shared" si="1"/>
        <v>43487.541666666664</v>
      </c>
      <c r="C21" s="79">
        <v>1680</v>
      </c>
      <c r="D21" s="263">
        <f t="shared" si="0"/>
        <v>14.7</v>
      </c>
      <c r="E21" s="264">
        <f t="shared" si="2"/>
        <v>210</v>
      </c>
      <c r="F21" s="229">
        <f t="shared" si="3"/>
        <v>6.59</v>
      </c>
      <c r="H21" s="77">
        <v>0.1</v>
      </c>
      <c r="I21" s="78">
        <v>-1</v>
      </c>
      <c r="J21" s="79">
        <v>-0.11</v>
      </c>
      <c r="L21" s="271">
        <f t="shared" ca="1" si="4"/>
        <v>-0.2</v>
      </c>
      <c r="M21" s="272">
        <f t="shared" ca="1" si="5"/>
        <v>-3</v>
      </c>
      <c r="N21" s="273">
        <f t="shared" ca="1" si="6"/>
        <v>0.09</v>
      </c>
    </row>
    <row r="22" spans="2:14" s="45" customFormat="1" ht="26.1" customHeight="1">
      <c r="B22" s="262">
        <f t="shared" si="1"/>
        <v>43487.708333333336</v>
      </c>
      <c r="C22" s="79">
        <v>1920</v>
      </c>
      <c r="D22" s="263">
        <f t="shared" si="0"/>
        <v>14.799999999999999</v>
      </c>
      <c r="E22" s="264">
        <f t="shared" si="2"/>
        <v>210</v>
      </c>
      <c r="F22" s="229">
        <f t="shared" si="3"/>
        <v>6.82</v>
      </c>
      <c r="H22" s="77">
        <v>0.2</v>
      </c>
      <c r="I22" s="78">
        <v>-1</v>
      </c>
      <c r="J22" s="79">
        <v>0.12</v>
      </c>
      <c r="L22" s="271">
        <f t="shared" ca="1" si="4"/>
        <v>0.3</v>
      </c>
      <c r="M22" s="272">
        <f t="shared" ca="1" si="5"/>
        <v>-2</v>
      </c>
      <c r="N22" s="273">
        <f t="shared" ca="1" si="6"/>
        <v>-7.0000000000000007E-2</v>
      </c>
    </row>
    <row r="23" spans="2:14" s="45" customFormat="1" ht="26.1" customHeight="1" thickBot="1">
      <c r="B23" s="262">
        <f t="shared" si="1"/>
        <v>43488.375</v>
      </c>
      <c r="C23" s="79">
        <v>2880</v>
      </c>
      <c r="D23" s="263">
        <f t="shared" si="0"/>
        <v>14.5</v>
      </c>
      <c r="E23" s="264">
        <f t="shared" si="2"/>
        <v>210</v>
      </c>
      <c r="F23" s="229">
        <f t="shared" si="3"/>
        <v>6.82</v>
      </c>
      <c r="H23" s="87">
        <v>-0.1</v>
      </c>
      <c r="I23" s="84">
        <v>-1</v>
      </c>
      <c r="J23" s="85">
        <v>0.12</v>
      </c>
      <c r="L23" s="274">
        <f t="shared" ca="1" si="4"/>
        <v>0.2</v>
      </c>
      <c r="M23" s="275">
        <f t="shared" ca="1" si="5"/>
        <v>3</v>
      </c>
      <c r="N23" s="276">
        <f t="shared" ca="1" si="6"/>
        <v>-0.12</v>
      </c>
    </row>
    <row r="24" spans="2:14" s="45" customFormat="1" ht="26.1" customHeight="1">
      <c r="B24" s="421" t="s">
        <v>45</v>
      </c>
      <c r="C24" s="422"/>
      <c r="D24" s="249">
        <f>MAX(D14:D23)</f>
        <v>14.9</v>
      </c>
      <c r="E24" s="222">
        <f t="shared" ref="E24:F24" si="7">MAX(E14:E23)</f>
        <v>214</v>
      </c>
      <c r="F24" s="221">
        <f t="shared" si="7"/>
        <v>6.82</v>
      </c>
      <c r="H24" s="44"/>
      <c r="I24" s="44"/>
      <c r="J24" s="44"/>
    </row>
    <row r="25" spans="2:14" s="45" customFormat="1" ht="26.1" customHeight="1">
      <c r="B25" s="421" t="s">
        <v>46</v>
      </c>
      <c r="C25" s="422"/>
      <c r="D25" s="249">
        <f>MIN(D14:D23)</f>
        <v>14.299999999999999</v>
      </c>
      <c r="E25" s="222">
        <f t="shared" ref="E25:F25" si="8">MIN(E14:E23)</f>
        <v>208</v>
      </c>
      <c r="F25" s="221">
        <f t="shared" si="8"/>
        <v>6.58</v>
      </c>
      <c r="H25" s="44"/>
      <c r="I25" s="44"/>
      <c r="J25" s="44"/>
    </row>
    <row r="26" spans="2:14" s="45" customFormat="1" ht="26.1" customHeight="1" thickBot="1">
      <c r="B26" s="423" t="s">
        <v>104</v>
      </c>
      <c r="C26" s="424"/>
      <c r="D26" s="253">
        <f>D24-D25</f>
        <v>0.60000000000000142</v>
      </c>
      <c r="E26" s="240">
        <f t="shared" ref="E26:F26" si="9">E24-E25</f>
        <v>6</v>
      </c>
      <c r="F26" s="241">
        <f t="shared" si="9"/>
        <v>0.24000000000000021</v>
      </c>
      <c r="H26" s="44"/>
      <c r="I26" s="44"/>
      <c r="J26" s="44"/>
    </row>
    <row r="27" spans="2:14" s="45" customFormat="1" ht="18" customHeight="1">
      <c r="E27" s="44"/>
      <c r="F27" s="44"/>
    </row>
    <row r="28" spans="2:14" s="45" customFormat="1" ht="18" customHeight="1">
      <c r="E28" s="44"/>
      <c r="F28" s="44"/>
    </row>
    <row r="29" spans="2:14" s="45" customFormat="1" ht="18" customHeight="1">
      <c r="E29" s="44"/>
      <c r="F29" s="44"/>
    </row>
    <row r="30" spans="2:14" s="45" customFormat="1" ht="18" customHeight="1">
      <c r="E30" s="44"/>
      <c r="F30" s="44"/>
    </row>
    <row r="31" spans="2:14" s="45" customFormat="1" ht="18" customHeight="1">
      <c r="E31" s="44"/>
      <c r="F31" s="44"/>
    </row>
    <row r="32" spans="2:14" s="45" customFormat="1" ht="18" customHeight="1">
      <c r="E32" s="44"/>
      <c r="F32" s="44"/>
    </row>
    <row r="33" spans="5:6" s="45" customFormat="1" ht="18" customHeight="1">
      <c r="E33" s="44"/>
      <c r="F33" s="44"/>
    </row>
    <row r="34" spans="5:6" s="45" customFormat="1" ht="18" customHeight="1">
      <c r="E34" s="44"/>
      <c r="F34" s="44"/>
    </row>
    <row r="35" spans="5:6" s="45" customFormat="1" ht="18" customHeight="1">
      <c r="E35" s="44"/>
      <c r="F35" s="44"/>
    </row>
    <row r="36" spans="5:6" s="45" customFormat="1" ht="18" customHeight="1">
      <c r="E36" s="44"/>
      <c r="F36" s="44"/>
    </row>
    <row r="37" spans="5:6" s="45" customFormat="1" ht="18" customHeight="1">
      <c r="E37" s="44"/>
      <c r="F37" s="4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9</vt:i4>
      </vt:variant>
    </vt:vector>
  </HeadingPairs>
  <TitlesOfParts>
    <vt:vector size="21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2021-06-22T17:00:17Z</dcterms:modified>
</cp:coreProperties>
</file>