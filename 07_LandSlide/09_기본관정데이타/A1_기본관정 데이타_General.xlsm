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drawings/drawing15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6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8B94A372-21FB-4247-92AC-7B24B76FC197}" xr6:coauthVersionLast="47" xr6:coauthVersionMax="47" xr10:uidLastSave="{00000000-0000-0000-0000-000000000000}"/>
  <bookViews>
    <workbookView xWindow="-120" yWindow="-120" windowWidth="29040" windowHeight="15840" tabRatio="668" activeTab="5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40" r:id="rId7"/>
    <sheet name="3" sheetId="141" r:id="rId8"/>
    <sheet name="4" sheetId="142" r:id="rId9"/>
    <sheet name="5" sheetId="143" r:id="rId10"/>
    <sheet name="6" sheetId="144" r:id="rId11"/>
    <sheet name="7" sheetId="145" r:id="rId12"/>
    <sheet name="8" sheetId="146" r:id="rId13"/>
    <sheet name="9" sheetId="147" r:id="rId14"/>
    <sheet name="Q1" sheetId="117" r:id="rId15"/>
    <sheet name="Q2" sheetId="115" r:id="rId16"/>
    <sheet name="w1" sheetId="100" r:id="rId17"/>
  </sheets>
  <functionGroups builtInGroupCount="19"/>
  <externalReferences>
    <externalReference r:id="rId18"/>
    <externalReference r:id="rId19"/>
    <externalReference r:id="rId20"/>
  </externalReferences>
  <definedNames>
    <definedName name="allow_ratio" localSheetId="14">[1]Recharge!$C$27</definedName>
    <definedName name="allow_ratio">Recharge!$C$26</definedName>
    <definedName name="allow_ratio2">Recharge!$D$26</definedName>
    <definedName name="baseTemp" localSheetId="14">'Q1'!$C$7</definedName>
    <definedName name="baseTemp" localSheetId="15">'Q2'!$C$7</definedName>
    <definedName name="baseTemp" localSheetId="16">'w1'!$C$7</definedName>
    <definedName name="baseTemp">#REF!</definedName>
    <definedName name="max" localSheetId="14">[2]지하수함양량!$C$27</definedName>
    <definedName name="max" localSheetId="15">[2]지하수함양량!$C$27</definedName>
    <definedName name="max" localSheetId="16">[3]지하수함양량!$C$30</definedName>
    <definedName name="max">Recharge!$C$25</definedName>
    <definedName name="min" localSheetId="14">[2]지하수함양량!$C$26</definedName>
    <definedName name="min" localSheetId="15">[2]지하수함양량!$C$26</definedName>
    <definedName name="min" localSheetId="16">[3]지하수함양량!$C$29</definedName>
    <definedName name="min">Recharge!$C$24</definedName>
    <definedName name="rf_1" localSheetId="14">[2]지하수함양량!$C$29</definedName>
    <definedName name="rf_1" localSheetId="15">[2]지하수함양량!$C$29</definedName>
    <definedName name="rf_1" localSheetId="16">[3]지하수함양량!$C$32</definedName>
    <definedName name="rf_1">Recharge!$C$28</definedName>
    <definedName name="rf_2" localSheetId="14">[2]지하수함양량!$D$29</definedName>
    <definedName name="rf_2" localSheetId="15">[2]지하수함양량!$D$29</definedName>
    <definedName name="rf_2" localSheetId="16">[3]지하수함양량!$D$32</definedName>
    <definedName name="rf_2">Recharge!$D$28</definedName>
  </definedNames>
  <calcPr calcId="181029"/>
  <fileRecoveryPr autoRecover="0"/>
</workbook>
</file>

<file path=xl/calcChain.xml><?xml version="1.0" encoding="utf-8"?>
<calcChain xmlns="http://schemas.openxmlformats.org/spreadsheetml/2006/main">
  <c r="J64" i="23" l="1"/>
  <c r="J62" i="23"/>
  <c r="J61" i="23"/>
  <c r="J58" i="23"/>
  <c r="J57" i="23"/>
  <c r="I64" i="23"/>
  <c r="I62" i="23"/>
  <c r="I61" i="23"/>
  <c r="I58" i="23"/>
  <c r="I57" i="23"/>
  <c r="H64" i="23"/>
  <c r="H62" i="23"/>
  <c r="H61" i="23"/>
  <c r="H58" i="23"/>
  <c r="H57" i="23"/>
  <c r="G64" i="23"/>
  <c r="G62" i="23"/>
  <c r="G61" i="23"/>
  <c r="G58" i="23"/>
  <c r="G57" i="23"/>
  <c r="F64" i="23"/>
  <c r="F62" i="23"/>
  <c r="F61" i="23"/>
  <c r="F58" i="23"/>
  <c r="F57" i="23"/>
  <c r="E64" i="23"/>
  <c r="E62" i="23"/>
  <c r="E61" i="23"/>
  <c r="E58" i="23"/>
  <c r="E57" i="23"/>
  <c r="D64" i="23"/>
  <c r="D62" i="23"/>
  <c r="D61" i="23"/>
  <c r="D58" i="23"/>
  <c r="D57" i="23"/>
  <c r="C64" i="23"/>
  <c r="C62" i="23"/>
  <c r="C61" i="23"/>
  <c r="C58" i="23"/>
  <c r="C57" i="23"/>
  <c r="B64" i="23"/>
  <c r="B62" i="23"/>
  <c r="B61" i="23"/>
  <c r="B58" i="23"/>
  <c r="B57" i="23"/>
  <c r="E21" i="147"/>
  <c r="F21" i="147"/>
  <c r="E17" i="147"/>
  <c r="C19" i="147"/>
  <c r="C18" i="147"/>
  <c r="C17" i="147"/>
  <c r="C16" i="147"/>
  <c r="C15" i="147"/>
  <c r="C8" i="147"/>
  <c r="C7" i="147"/>
  <c r="C14" i="147" s="1"/>
  <c r="C6" i="147"/>
  <c r="C5" i="147"/>
  <c r="C4" i="147"/>
  <c r="C3" i="147"/>
  <c r="C2" i="147"/>
  <c r="J29" i="147"/>
  <c r="I29" i="147"/>
  <c r="H29" i="147"/>
  <c r="G29" i="147"/>
  <c r="K29" i="147" s="1"/>
  <c r="F29" i="147"/>
  <c r="E29" i="147"/>
  <c r="D29" i="147"/>
  <c r="D26" i="147"/>
  <c r="C22" i="147"/>
  <c r="K17" i="147"/>
  <c r="K18" i="147" s="1"/>
  <c r="L18" i="147" s="1"/>
  <c r="H26" i="147" s="1"/>
  <c r="E19" i="147"/>
  <c r="F19" i="147" s="1"/>
  <c r="G19" i="147" s="1"/>
  <c r="K16" i="147"/>
  <c r="G14" i="147"/>
  <c r="G13" i="147"/>
  <c r="F13" i="147"/>
  <c r="E13" i="147"/>
  <c r="L12" i="147"/>
  <c r="F11" i="147"/>
  <c r="E11" i="147"/>
  <c r="C9" i="147"/>
  <c r="G7" i="147"/>
  <c r="E7" i="147"/>
  <c r="E21" i="146"/>
  <c r="F21" i="146"/>
  <c r="E22" i="146" s="1"/>
  <c r="E17" i="146"/>
  <c r="C19" i="146"/>
  <c r="C18" i="146"/>
  <c r="C17" i="146"/>
  <c r="C16" i="146"/>
  <c r="C15" i="146"/>
  <c r="C8" i="146"/>
  <c r="C7" i="146"/>
  <c r="C14" i="146" s="1"/>
  <c r="C6" i="146"/>
  <c r="C5" i="146"/>
  <c r="C4" i="146"/>
  <c r="C3" i="146"/>
  <c r="C2" i="146"/>
  <c r="J29" i="146"/>
  <c r="I29" i="146"/>
  <c r="H29" i="146"/>
  <c r="G29" i="146"/>
  <c r="F29" i="146"/>
  <c r="E29" i="146"/>
  <c r="D29" i="146"/>
  <c r="K29" i="146" s="1"/>
  <c r="D26" i="146"/>
  <c r="C22" i="146"/>
  <c r="F17" i="146"/>
  <c r="G17" i="146" s="1"/>
  <c r="K16" i="146"/>
  <c r="K17" i="146" s="1"/>
  <c r="K18" i="146" s="1"/>
  <c r="L18" i="146" s="1"/>
  <c r="H26" i="146" s="1"/>
  <c r="G14" i="146"/>
  <c r="G13" i="146"/>
  <c r="F13" i="146"/>
  <c r="E13" i="146"/>
  <c r="L12" i="146"/>
  <c r="F11" i="146"/>
  <c r="E11" i="146"/>
  <c r="C9" i="146"/>
  <c r="G7" i="146"/>
  <c r="E7" i="146"/>
  <c r="E21" i="145"/>
  <c r="F21" i="145"/>
  <c r="E17" i="145"/>
  <c r="E19" i="145" s="1"/>
  <c r="F19" i="145" s="1"/>
  <c r="G19" i="145" s="1"/>
  <c r="C19" i="145"/>
  <c r="C18" i="145"/>
  <c r="C17" i="145"/>
  <c r="C16" i="145"/>
  <c r="C15" i="145"/>
  <c r="C8" i="145"/>
  <c r="C7" i="145"/>
  <c r="C14" i="145" s="1"/>
  <c r="C6" i="145"/>
  <c r="C5" i="145"/>
  <c r="C4" i="145"/>
  <c r="C3" i="145"/>
  <c r="C2" i="145"/>
  <c r="J29" i="145"/>
  <c r="I29" i="145"/>
  <c r="H29" i="145"/>
  <c r="G29" i="145"/>
  <c r="F29" i="145"/>
  <c r="K29" i="145" s="1"/>
  <c r="E29" i="145"/>
  <c r="D29" i="145"/>
  <c r="D26" i="145"/>
  <c r="C22" i="145"/>
  <c r="K17" i="145"/>
  <c r="K18" i="145" s="1"/>
  <c r="L18" i="145" s="1"/>
  <c r="H26" i="145" s="1"/>
  <c r="K16" i="145"/>
  <c r="G14" i="145"/>
  <c r="G13" i="145"/>
  <c r="F13" i="145"/>
  <c r="E13" i="145"/>
  <c r="L12" i="145"/>
  <c r="F11" i="145"/>
  <c r="E11" i="145"/>
  <c r="C9" i="145"/>
  <c r="G7" i="145"/>
  <c r="E7" i="145"/>
  <c r="E21" i="144"/>
  <c r="F21" i="144"/>
  <c r="E17" i="144"/>
  <c r="E19" i="144" s="1"/>
  <c r="F19" i="144" s="1"/>
  <c r="G19" i="144" s="1"/>
  <c r="C19" i="144"/>
  <c r="C18" i="144"/>
  <c r="C17" i="144"/>
  <c r="C16" i="144"/>
  <c r="C15" i="144"/>
  <c r="C8" i="144"/>
  <c r="C7" i="144"/>
  <c r="C14" i="144" s="1"/>
  <c r="C6" i="144"/>
  <c r="C5" i="144"/>
  <c r="C4" i="144"/>
  <c r="C3" i="144"/>
  <c r="C2" i="144"/>
  <c r="E21" i="143"/>
  <c r="F21" i="143"/>
  <c r="E17" i="143"/>
  <c r="F17" i="143" s="1"/>
  <c r="G17" i="143" s="1"/>
  <c r="C19" i="143"/>
  <c r="C18" i="143"/>
  <c r="C17" i="143"/>
  <c r="C16" i="143"/>
  <c r="C15" i="143"/>
  <c r="C8" i="143"/>
  <c r="C7" i="143"/>
  <c r="C12" i="143" s="1"/>
  <c r="A13" i="143" s="1"/>
  <c r="A12" i="143" s="1"/>
  <c r="C6" i="143"/>
  <c r="C5" i="143"/>
  <c r="C4" i="143"/>
  <c r="C3" i="143"/>
  <c r="C2" i="143"/>
  <c r="E21" i="142"/>
  <c r="F21" i="142"/>
  <c r="E17" i="142"/>
  <c r="E19" i="142" s="1"/>
  <c r="F19" i="142" s="1"/>
  <c r="G19" i="142" s="1"/>
  <c r="C19" i="142"/>
  <c r="C18" i="142"/>
  <c r="C17" i="142"/>
  <c r="C16" i="142"/>
  <c r="C15" i="142"/>
  <c r="C8" i="142"/>
  <c r="C7" i="142"/>
  <c r="C12" i="142" s="1"/>
  <c r="A13" i="142" s="1"/>
  <c r="A12" i="142" s="1"/>
  <c r="C6" i="142"/>
  <c r="C5" i="142"/>
  <c r="C4" i="142"/>
  <c r="C3" i="142"/>
  <c r="C2" i="142"/>
  <c r="E21" i="141"/>
  <c r="F21" i="141"/>
  <c r="E17" i="141"/>
  <c r="E19" i="141" s="1"/>
  <c r="F19" i="141" s="1"/>
  <c r="G19" i="141" s="1"/>
  <c r="C19" i="141"/>
  <c r="C18" i="141"/>
  <c r="C17" i="141"/>
  <c r="C16" i="141"/>
  <c r="C15" i="141"/>
  <c r="C8" i="141"/>
  <c r="C7" i="141"/>
  <c r="C12" i="141" s="1"/>
  <c r="A13" i="141" s="1"/>
  <c r="A12" i="141" s="1"/>
  <c r="C6" i="141"/>
  <c r="C5" i="141"/>
  <c r="C4" i="141"/>
  <c r="C3" i="141"/>
  <c r="C2" i="141"/>
  <c r="E21" i="140"/>
  <c r="F21" i="140"/>
  <c r="E17" i="140"/>
  <c r="F17" i="140" s="1"/>
  <c r="G17" i="140" s="1"/>
  <c r="C19" i="140"/>
  <c r="C18" i="140"/>
  <c r="C17" i="140"/>
  <c r="C16" i="140"/>
  <c r="C15" i="140"/>
  <c r="C8" i="140"/>
  <c r="C7" i="140"/>
  <c r="C12" i="140" s="1"/>
  <c r="A13" i="140" s="1"/>
  <c r="A12" i="140" s="1"/>
  <c r="C6" i="140"/>
  <c r="C5" i="140"/>
  <c r="C4" i="140"/>
  <c r="C3" i="140"/>
  <c r="C2" i="140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29" i="144"/>
  <c r="I29" i="144"/>
  <c r="H29" i="144"/>
  <c r="G29" i="144"/>
  <c r="F29" i="144"/>
  <c r="K29" i="144" s="1"/>
  <c r="E29" i="144"/>
  <c r="D29" i="144"/>
  <c r="D26" i="144"/>
  <c r="C22" i="144"/>
  <c r="K17" i="144"/>
  <c r="K18" i="144" s="1"/>
  <c r="L18" i="144" s="1"/>
  <c r="H26" i="144" s="1"/>
  <c r="K16" i="144"/>
  <c r="G14" i="144"/>
  <c r="G13" i="144"/>
  <c r="F13" i="144"/>
  <c r="E13" i="144"/>
  <c r="L12" i="144"/>
  <c r="F11" i="144"/>
  <c r="E11" i="144"/>
  <c r="C9" i="144"/>
  <c r="G7" i="144"/>
  <c r="E7" i="144"/>
  <c r="J29" i="143"/>
  <c r="I29" i="143"/>
  <c r="H29" i="143"/>
  <c r="G29" i="143"/>
  <c r="K29" i="143" s="1"/>
  <c r="F29" i="143"/>
  <c r="E29" i="143"/>
  <c r="D29" i="143"/>
  <c r="D26" i="143"/>
  <c r="C22" i="143"/>
  <c r="K17" i="143"/>
  <c r="K18" i="143" s="1"/>
  <c r="L18" i="143" s="1"/>
  <c r="H26" i="143" s="1"/>
  <c r="K16" i="143"/>
  <c r="G14" i="143"/>
  <c r="G13" i="143"/>
  <c r="F13" i="143"/>
  <c r="E13" i="143"/>
  <c r="L12" i="143"/>
  <c r="F11" i="143"/>
  <c r="E11" i="143"/>
  <c r="C9" i="143"/>
  <c r="G7" i="143"/>
  <c r="E7" i="143"/>
  <c r="J29" i="142"/>
  <c r="I29" i="142"/>
  <c r="H29" i="142"/>
  <c r="G29" i="142"/>
  <c r="F29" i="142"/>
  <c r="E29" i="142"/>
  <c r="D29" i="142"/>
  <c r="K29" i="142" s="1"/>
  <c r="D26" i="142"/>
  <c r="C22" i="142"/>
  <c r="K17" i="142"/>
  <c r="K18" i="142" s="1"/>
  <c r="L18" i="142" s="1"/>
  <c r="H26" i="142" s="1"/>
  <c r="K16" i="142"/>
  <c r="G14" i="142"/>
  <c r="G13" i="142"/>
  <c r="F13" i="142"/>
  <c r="E13" i="142"/>
  <c r="L12" i="142"/>
  <c r="F11" i="142"/>
  <c r="E11" i="142"/>
  <c r="C9" i="142"/>
  <c r="G7" i="142"/>
  <c r="E7" i="142"/>
  <c r="F17" i="141"/>
  <c r="G17" i="141" s="1"/>
  <c r="J29" i="141"/>
  <c r="I29" i="141"/>
  <c r="H29" i="141"/>
  <c r="K29" i="141" s="1"/>
  <c r="G29" i="141"/>
  <c r="F29" i="141"/>
  <c r="E29" i="141"/>
  <c r="D29" i="141"/>
  <c r="D26" i="141"/>
  <c r="C22" i="141"/>
  <c r="K17" i="141"/>
  <c r="K18" i="141" s="1"/>
  <c r="L18" i="141" s="1"/>
  <c r="H26" i="141" s="1"/>
  <c r="K16" i="141"/>
  <c r="G14" i="141"/>
  <c r="G13" i="141"/>
  <c r="F13" i="141"/>
  <c r="E13" i="141"/>
  <c r="L12" i="141"/>
  <c r="F11" i="141"/>
  <c r="E11" i="141"/>
  <c r="C9" i="141"/>
  <c r="G7" i="141"/>
  <c r="E7" i="141"/>
  <c r="J29" i="140"/>
  <c r="I29" i="140"/>
  <c r="K29" i="140" s="1"/>
  <c r="H29" i="140"/>
  <c r="G29" i="140"/>
  <c r="F29" i="140"/>
  <c r="E29" i="140"/>
  <c r="D29" i="140"/>
  <c r="D26" i="140"/>
  <c r="C22" i="140"/>
  <c r="K17" i="140"/>
  <c r="K18" i="140" s="1"/>
  <c r="L18" i="140" s="1"/>
  <c r="H26" i="140" s="1"/>
  <c r="K16" i="140"/>
  <c r="G14" i="140"/>
  <c r="G13" i="140"/>
  <c r="F13" i="140"/>
  <c r="E13" i="140"/>
  <c r="L12" i="140"/>
  <c r="F11" i="140"/>
  <c r="E11" i="140"/>
  <c r="C9" i="140"/>
  <c r="G7" i="140"/>
  <c r="E7" i="140"/>
  <c r="D28" i="23"/>
  <c r="C28" i="23"/>
  <c r="E13" i="55"/>
  <c r="D26" i="23"/>
  <c r="C26" i="23"/>
  <c r="D26" i="55"/>
  <c r="J26" i="147" l="1"/>
  <c r="F5" i="147"/>
  <c r="E22" i="147"/>
  <c r="C12" i="147"/>
  <c r="A13" i="147" s="1"/>
  <c r="A12" i="147" s="1"/>
  <c r="F7" i="147"/>
  <c r="H19" i="147"/>
  <c r="G21" i="147"/>
  <c r="F17" i="147"/>
  <c r="G17" i="147" s="1"/>
  <c r="F6" i="147"/>
  <c r="C12" i="146"/>
  <c r="A13" i="146" s="1"/>
  <c r="A12" i="146" s="1"/>
  <c r="F6" i="146"/>
  <c r="F5" i="146"/>
  <c r="J26" i="146"/>
  <c r="F7" i="146"/>
  <c r="E19" i="146"/>
  <c r="F19" i="146" s="1"/>
  <c r="G19" i="146" s="1"/>
  <c r="C14" i="143"/>
  <c r="C12" i="145"/>
  <c r="A13" i="145" s="1"/>
  <c r="A12" i="145" s="1"/>
  <c r="J26" i="145"/>
  <c r="F5" i="145"/>
  <c r="F7" i="145"/>
  <c r="E22" i="145"/>
  <c r="H19" i="145"/>
  <c r="G21" i="145"/>
  <c r="F17" i="145"/>
  <c r="G17" i="145" s="1"/>
  <c r="F6" i="145"/>
  <c r="C12" i="144"/>
  <c r="A13" i="144" s="1"/>
  <c r="A12" i="144" s="1"/>
  <c r="E22" i="144"/>
  <c r="G21" i="144"/>
  <c r="H19" i="144"/>
  <c r="F6" i="144"/>
  <c r="F5" i="144"/>
  <c r="J26" i="144"/>
  <c r="F7" i="144"/>
  <c r="F17" i="144"/>
  <c r="G17" i="144" s="1"/>
  <c r="E22" i="143"/>
  <c r="F6" i="143"/>
  <c r="F5" i="143"/>
  <c r="J26" i="143"/>
  <c r="F7" i="143"/>
  <c r="E19" i="143"/>
  <c r="F19" i="143" s="1"/>
  <c r="G19" i="143" s="1"/>
  <c r="E22" i="140"/>
  <c r="C14" i="142"/>
  <c r="F5" i="142" s="1"/>
  <c r="E22" i="142"/>
  <c r="H19" i="142"/>
  <c r="G21" i="142"/>
  <c r="F17" i="142"/>
  <c r="G17" i="142" s="1"/>
  <c r="E19" i="140"/>
  <c r="F19" i="140" s="1"/>
  <c r="G19" i="140" s="1"/>
  <c r="H19" i="140" s="1"/>
  <c r="E22" i="141"/>
  <c r="H19" i="141"/>
  <c r="G21" i="141"/>
  <c r="C14" i="141"/>
  <c r="C14" i="140"/>
  <c r="F7" i="140" s="1"/>
  <c r="G13" i="55"/>
  <c r="F13" i="55"/>
  <c r="G21" i="146" l="1"/>
  <c r="H19" i="146"/>
  <c r="J26" i="142"/>
  <c r="F7" i="142"/>
  <c r="F6" i="142"/>
  <c r="G21" i="143"/>
  <c r="H19" i="143"/>
  <c r="G21" i="140"/>
  <c r="F6" i="141"/>
  <c r="F5" i="141"/>
  <c r="F7" i="141"/>
  <c r="J26" i="141"/>
  <c r="F6" i="140"/>
  <c r="F5" i="140"/>
  <c r="J26" i="140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4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L23" i="100"/>
  <c r="M17" i="100"/>
  <c r="N17" i="100"/>
  <c r="L19" i="100"/>
  <c r="N20" i="100"/>
  <c r="M16" i="100"/>
  <c r="N18" i="100"/>
  <c r="L20" i="100"/>
  <c r="M19" i="100"/>
  <c r="L22" i="100"/>
  <c r="N23" i="100"/>
  <c r="N21" i="100"/>
  <c r="M22" i="100"/>
  <c r="M18" i="100"/>
  <c r="N15" i="100"/>
  <c r="M23" i="100"/>
  <c r="L21" i="100"/>
  <c r="N16" i="100"/>
  <c r="L15" i="100"/>
  <c r="N19" i="100"/>
  <c r="L16" i="100"/>
  <c r="M20" i="100"/>
  <c r="M15" i="100"/>
  <c r="L14" i="100"/>
  <c r="L17" i="100"/>
  <c r="M21" i="100"/>
  <c r="M14" i="100"/>
  <c r="L18" i="100"/>
  <c r="N14" i="100"/>
  <c r="N22" i="100"/>
  <c r="B23" i="117" l="1"/>
  <c r="B22" i="117"/>
  <c r="B21" i="117"/>
  <c r="B20" i="117"/>
  <c r="B19" i="117"/>
  <c r="B18" i="117"/>
  <c r="B17" i="117"/>
  <c r="B16" i="117"/>
  <c r="B15" i="117"/>
  <c r="B14" i="117"/>
  <c r="D36" i="117"/>
  <c r="D34" i="117"/>
  <c r="E36" i="117"/>
  <c r="D38" i="117"/>
  <c r="J40" i="117"/>
  <c r="F40" i="117"/>
  <c r="J36" i="117"/>
  <c r="D35" i="117"/>
  <c r="D40" i="117"/>
  <c r="E34" i="117"/>
  <c r="I37" i="117"/>
  <c r="I36" i="117"/>
  <c r="I38" i="117"/>
  <c r="F36" i="117"/>
  <c r="H39" i="117"/>
  <c r="I39" i="117"/>
  <c r="E40" i="117"/>
  <c r="J35" i="117"/>
  <c r="D39" i="117"/>
  <c r="E39" i="117"/>
  <c r="H33" i="117"/>
  <c r="E32" i="117"/>
  <c r="I40" i="117"/>
  <c r="D37" i="117"/>
  <c r="J32" i="117"/>
  <c r="H40" i="117"/>
  <c r="J34" i="117"/>
  <c r="D31" i="117"/>
  <c r="I31" i="117"/>
  <c r="D33" i="117"/>
  <c r="H32" i="117"/>
  <c r="F32" i="117"/>
  <c r="J33" i="117"/>
  <c r="H36" i="117"/>
  <c r="E38" i="117"/>
  <c r="E31" i="117"/>
  <c r="J38" i="117"/>
  <c r="F31" i="117"/>
  <c r="F34" i="117"/>
  <c r="F35" i="117"/>
  <c r="I34" i="117"/>
  <c r="H31" i="117"/>
  <c r="F39" i="117"/>
  <c r="E33" i="117"/>
  <c r="E37" i="117"/>
  <c r="I35" i="117"/>
  <c r="E35" i="117"/>
  <c r="H37" i="117"/>
  <c r="H34" i="117"/>
  <c r="F38" i="117"/>
  <c r="D32" i="117"/>
  <c r="J31" i="117"/>
  <c r="H38" i="117"/>
  <c r="I32" i="117"/>
  <c r="F33" i="117"/>
  <c r="J39" i="117"/>
  <c r="J37" i="117"/>
  <c r="I33" i="117"/>
  <c r="F37" i="117"/>
  <c r="H35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H33" i="115"/>
  <c r="E34" i="115"/>
  <c r="E39" i="115"/>
  <c r="N32" i="115"/>
  <c r="L36" i="115"/>
  <c r="I32" i="115"/>
  <c r="F37" i="115"/>
  <c r="M39" i="115"/>
  <c r="N35" i="115"/>
  <c r="E31" i="115"/>
  <c r="I35" i="115"/>
  <c r="N36" i="115"/>
  <c r="E38" i="115"/>
  <c r="M33" i="115"/>
  <c r="J34" i="115"/>
  <c r="N31" i="115"/>
  <c r="I37" i="115"/>
  <c r="J33" i="115"/>
  <c r="H40" i="115"/>
  <c r="I36" i="115"/>
  <c r="D35" i="115"/>
  <c r="D31" i="115"/>
  <c r="L37" i="115"/>
  <c r="E40" i="115"/>
  <c r="F39" i="115"/>
  <c r="F38" i="115"/>
  <c r="F34" i="115"/>
  <c r="L32" i="115"/>
  <c r="N38" i="115"/>
  <c r="F31" i="115"/>
  <c r="M34" i="115"/>
  <c r="J31" i="115"/>
  <c r="I33" i="115"/>
  <c r="N40" i="115"/>
  <c r="J35" i="115"/>
  <c r="L40" i="115"/>
  <c r="H31" i="115"/>
  <c r="J38" i="115"/>
  <c r="J40" i="115"/>
  <c r="F40" i="115"/>
  <c r="D39" i="115"/>
  <c r="H36" i="115"/>
  <c r="E35" i="115"/>
  <c r="N37" i="115"/>
  <c r="D36" i="115"/>
  <c r="F32" i="115"/>
  <c r="N39" i="115"/>
  <c r="D37" i="115"/>
  <c r="J39" i="115"/>
  <c r="I31" i="115"/>
  <c r="H39" i="115"/>
  <c r="E36" i="115"/>
  <c r="H34" i="115"/>
  <c r="F33" i="115"/>
  <c r="H38" i="115"/>
  <c r="D38" i="115"/>
  <c r="E32" i="115"/>
  <c r="F36" i="115"/>
  <c r="I39" i="115"/>
  <c r="H37" i="115"/>
  <c r="L33" i="115"/>
  <c r="I40" i="115"/>
  <c r="H35" i="115"/>
  <c r="L38" i="115"/>
  <c r="D33" i="115"/>
  <c r="M31" i="115"/>
  <c r="N33" i="115"/>
  <c r="J37" i="115"/>
  <c r="L39" i="115"/>
  <c r="M38" i="115"/>
  <c r="M35" i="115"/>
  <c r="L31" i="115"/>
  <c r="E37" i="115"/>
  <c r="J32" i="115"/>
  <c r="M40" i="115"/>
  <c r="F35" i="115"/>
  <c r="L35" i="115"/>
  <c r="M36" i="115"/>
  <c r="I34" i="115"/>
  <c r="D32" i="115"/>
  <c r="M32" i="115"/>
  <c r="I38" i="115"/>
  <c r="E33" i="115"/>
  <c r="J36" i="115"/>
  <c r="N34" i="115"/>
  <c r="M37" i="115"/>
  <c r="L34" i="115"/>
  <c r="H32" i="115"/>
  <c r="D34" i="115"/>
  <c r="D40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G14" i="55"/>
  <c r="D30" i="23"/>
  <c r="C30" i="23"/>
  <c r="C32" i="23"/>
  <c r="C33" i="23" s="1"/>
  <c r="E26" i="146" l="1"/>
  <c r="E26" i="147"/>
  <c r="E26" i="144"/>
  <c r="E26" i="145"/>
  <c r="E26" i="142"/>
  <c r="E26" i="143"/>
  <c r="E26" i="140"/>
  <c r="E26" i="141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61A30E-A23C-42B7-9AB9-D6627286B3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8EB065D-FE94-4588-9E74-1DDA053AB1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CC033DF-A3AF-464C-A4D6-DEE6B2EC726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60B5D29-5DD9-4D6D-82DF-12B931DE99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E24937F9-D739-4636-BC11-E88AFE66A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4853EF2-7B31-4645-BF29-F362D708D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6762D3B-56F1-47AD-A835-1A8957C0ED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E4CE77-D2EF-4C35-B5CB-F30058708E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D959A05-676A-48A9-8501-521ED26DD8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644384-75F9-4AB1-9E4B-68B721E186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546DE7C-DDEA-4F4F-A631-8995401F6C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F4DD89D-13E8-4BB4-96C6-08D72D8262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EBC86A9-3D29-45C7-9286-34D8C7F2AE0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E8B9FD3-4330-4B32-8E2D-890E0E8019B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A9F2686-9F09-4F5B-8705-5A0811FF41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C371855-F9D3-489E-82AC-8C847722CC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6B30928-E15A-429D-A77C-61BB3C4493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DA632B8-DC41-41F3-B86A-569F99E84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77569D1-C693-445D-8CC9-CB0341553E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1F0EF7E-D2F2-4E7B-8E24-746D75D2A9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20AA9C4-E857-40E5-A86B-793F6E10CA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118AF9-15AD-4374-A6C5-1D9C01633C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8EA9A52-0ED6-4EE7-B2A2-76C20AA369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29F2465-9E17-403B-8634-D807F2F1C72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0D61E5-3E75-4039-8544-1E9B82A93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BB865A0-A605-40A2-85C6-178FABCF81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909A83F7-6344-4BB2-B5E0-019F213015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10BD3B9-06C9-45A1-A9F8-A64C15DEE7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F563280-9976-4608-B2EC-A60BC8C53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B58BFBA-2F0E-456E-9149-53316D43FB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407E6A5-AF3A-402B-8BC5-D633D0EF14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62FA045-A34A-4584-AD18-8AEB4CAE44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D2089AB0-AE05-45DB-91C7-DE1E85A646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EC00664-C904-412A-9DE2-93689052E3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2F7A527-B57F-40E1-AD74-AD07C8294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430BD478-FD17-43B2-B877-94D32D4C50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7FD563B-0D54-4052-B87C-72342B17F8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F88786-1F25-408E-9692-C9720DA6B7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1B4DB92-87D3-4EB9-A99E-22242787F2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F9D0491-681E-4E4D-AF39-E6864A8C16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542F7F0-353C-4688-A9A9-D6ABA5D7ED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B0594A7-7AD5-448E-8ACE-163582DB3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46DC4ED-C9B0-43D1-91BF-91C48E66A72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803B6A1-053E-4CEC-A9B7-AB3E69D752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E74F9B3-0564-4477-A668-5CFFFB2377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B799CA1-357E-4391-A271-CDA73EB200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820891A-1DAF-4AD1-B161-4656554C32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86EACF2-BCFC-4276-AF9A-EB8B0A244F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9E60B12A-9877-47EB-B505-FA9E6E7292E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A97D44F3-6DC3-4789-A51B-024E1FD5E0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279B43C-AC95-4814-993C-D6AC639ADD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C937A8E3-78CE-4A32-A68D-CE6DD6C710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208C882-2355-4295-9932-B8927876F1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F8F145B-44A0-4DD2-898D-A30563CDACB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EA8B743-E718-4595-B279-D0D4276628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D429161-249C-4DF0-A138-43BF1E35FB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C91B8D8-44B6-4F94-86B1-AD5D72E26A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E6E2659-62A9-4934-8491-065B5ECAD2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8289669-9EF2-4EA6-97DC-D356A3F347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A879F4-7DFC-4CE1-8559-D6C9F33EF2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EBD3318-FD67-4108-BF05-83D72E55A6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A5F720A-3B1B-41BF-9D13-3A38BA2073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7113A7C-9F8D-4342-B70D-44B86FF036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088B33F-7EEC-48E7-92FA-9D5F2923B3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347BB37-D764-49B8-9E02-6ACF6D4E2F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D4131AE7-9AC2-4E52-AD4D-AE0B4AD41D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89F8759-A457-4376-B02D-A54C262178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4A39A3A-0A92-4A33-ACEC-BFEDBC1043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C9E97334-8816-4EA1-A15B-4F4ECCE86E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9B1157B8-D1BC-4903-ABD1-74155976A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CAB9FDC-55E4-438D-AA96-5408B42C81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6805336-370B-46CF-9743-260A8DE71E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7ED5EBFC-BB15-444C-8971-78CA3B4BDFA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0AE3423-E2A5-4E3A-9EE8-1624D532CA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063ACD6-E548-4E9C-90C9-461D7B3E95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677873A-EFA0-479E-AE25-A6DE6061EB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97F35E6-7CBC-49B8-A947-1888CAAC8ED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B84F5428-75FB-4CDB-8F58-9B4CB4665B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63FF6C-6D7F-4907-BD20-89C3CC95C4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9262936-59E6-4D30-889B-EC8EF37090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<sst xmlns="http://schemas.openxmlformats.org/spreadsheetml/2006/main" count="955" uniqueCount="241">
  <si>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</si>
  <si>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</si>
  <si>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</si>
  <si>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</si>
  <si>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</si>
  <si>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</si>
  <si>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</si>
  <si>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</si>
  <si>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</si>
  <si>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</si>
  <si>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</si>
  <si>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</si>
  <si>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</si>
  <si>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</si>
  <si>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</si>
  <si>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</si>
  <si>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</si>
  <si>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</si>
  <si>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</si>
  <si>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</si>
  <si>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</si>
  <si>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</si>
  <si>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</si>
  <si>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</si>
  <si>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</si>
  <si>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</si>
  <si>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</si>
  <si>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</si>
  <si>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</si>
  <si>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</si>
  <si>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</si>
  <si>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</si>
  <si>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</si>
  <si>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</si>
  <si>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</si>
  <si>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</si>
  <si>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</si>
  <si>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</si>
  <si>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</si>
  <si>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</si>
  <si>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</si>
  <si>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</si>
  <si>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</si>
  <si>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</si>
  <si>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</si>
  <si>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</si>
  <si>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</si>
  <si>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</si>
  <si>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</si>
  <si>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</si>
  <si>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</si>
  <si>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</si>
  <si>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</si>
  <si>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</si>
  <si>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</si>
  <si>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</si>
  <si>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</si>
  <si>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</si>
  <si>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</si>
  <si>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</si>
  <si>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</si>
  <si>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</si>
  <si>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</si>
  <si>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</si>
  <si>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</si>
  <si>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</si>
  <si>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</si>
  <si>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</si>
  <si>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</si>
  <si>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</si>
  <si>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</si>
  <si>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</si>
  <si>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</si>
  <si>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</si>
  <si>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</si>
  <si>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</si>
  <si>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</si>
  <si>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</si>
  <si>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</si>
  <si>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</si>
  <si>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</si>
  <si>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</si>
  <si>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</si>
  <si>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</si>
  <si>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</si>
  <si>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</si>
  <si>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</si>
  <si>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</si>
  <si>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</si>
  <si>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</si>
  <si>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</si>
  <si>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</si>
  <si>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</si>
  <si>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</si>
  <si>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</si>
  <si>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</si>
  <si>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</si>
  <si>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</si>
  <si>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</si>
  <si>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</si>
  <si>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</si>
  <si>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</si>
  <si>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</si>
  <si>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</si>
  <si>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</si>
  <si>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</si>
  <si>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</si>
  <si>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</si>
  <si>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</si>
  <si>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</si>
  <si>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</si>
  <si>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</si>
  <si>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</si>
  <si>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</si>
  <si>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</si>
  <si>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</si>
  <si>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</si>
  <si>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</si>
  <si>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</si>
  <si>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</si>
  <si>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</si>
  <si>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</si>
  <si>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</si>
  <si>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</si>
  <si>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</si>
  <si>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</si>
  <si>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</si>
  <si>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</si>
  <si>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</si>
  <si>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</si>
  <si>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</si>
  <si>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</si>
  <si>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</si>
  <si>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</si>
  <si>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</si>
  <si>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</si>
  <si>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</si>
  <si>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</si>
  <si>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</si>
  <si>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</si>
  <si>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</si>
  <si>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</si>
  <si>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</si>
  <si>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</si>
  <si>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</si>
  <si>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</si>
  <si>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</si>
  <si>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</si>
  <si>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</si>
  <si>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</si>
  <si>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</si>
  <si>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</si>
  <si>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</si>
  <si>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</si>
  <si>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</si>
  <si>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</si>
  <si>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</si>
  <si>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</si>
  <si>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</si>
  <si>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</si>
  <si>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</si>
  <si>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</si>
  <si>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</si>
  <si>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</si>
  <si>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</si>
  <si>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</si>
  <si>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</si>
  <si>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</si>
  <si>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</si>
  <si>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</si>
  <si>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</si>
  <si>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</si>
  <si>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</si>
  <si>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</si>
  <si>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</si>
  <si>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</si>
  <si>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</si>
  <si>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</si>
  <si>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</si>
  <si>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</si>
  <si>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</si>
  <si>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</si>
  <si>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</si>
  <si>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</si>
  <si>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</si>
  <si>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</si>
  <si>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</si>
  <si>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</si>
  <si>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</si>
  <si>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</si>
  <si>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</si>
  <si>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</si>
  <si>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</si>
  <si>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</si>
  <si>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</si>
  <si>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</si>
  <si>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</si>
  <si>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</si>
  <si>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</si>
  <si>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</si>
  <si>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</si>
  <si>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</si>
  <si>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</si>
  <si>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</si>
  <si>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</si>
  <si>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</si>
  <si>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</si>
  <si>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</si>
  <si>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</si>
  <si>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</si>
  <si>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</si>
  <si>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</si>
  <si>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</si>
  <si>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</si>
  <si>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</si>
  <si>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</si>
  <si>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</si>
  <si>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</si>
  <si>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</si>
  <si>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</si>
  <si>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</si>
  <si>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</si>
  <si>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</si>
  <si>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</si>
  <si>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</si>
  <si>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</si>
  <si>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</si>
  <si>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</si>
  <si>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</si>
  <si>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</si>
  <si>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</si>
  <si>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</si>
  <si>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</si>
  <si>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</si>
  <si>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</si>
  <si>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</si>
  <si>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W-5</t>
  </si>
  <si>
    <t>W-6</t>
  </si>
  <si>
    <t>W-7</t>
  </si>
  <si>
    <t>W-8</t>
  </si>
  <si>
    <t>W-9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</si>
</sst>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0_);[Red]\(0\)"/>
    <numFmt numFmtId="200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6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1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5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4" fontId="15" fillId="0" borderId="0" xfId="19" applyNumberFormat="1" applyFont="1">
      <alignment vertical="center"/>
    </xf>
    <xf numFmtId="185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5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5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4" fontId="16" fillId="0" borderId="8" xfId="19" applyNumberFormat="1" applyFont="1" applyBorder="1" applyAlignment="1">
      <alignment horizontal="center" vertical="center" wrapText="1"/>
    </xf>
    <xf numFmtId="194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41" fontId="26" fillId="0" borderId="0" xfId="21" applyFont="1" applyAlignment="1">
      <alignment horizontal="center" vertical="center"/>
    </xf>
    <xf numFmtId="189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7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0" fontId="26" fillId="0" borderId="66" xfId="0" applyNumberFormat="1" applyFont="1" applyBorder="1" applyAlignment="1">
      <alignment vertical="center"/>
    </xf>
    <xf numFmtId="190" fontId="26" fillId="0" borderId="68" xfId="0" applyNumberFormat="1" applyFont="1" applyBorder="1" applyAlignment="1">
      <alignment vertical="center"/>
    </xf>
    <xf numFmtId="44" fontId="26" fillId="0" borderId="0" xfId="0" applyNumberFormat="1" applyFont="1" applyAlignment="1">
      <alignment vertical="center"/>
    </xf>
    <xf numFmtId="190" fontId="26" fillId="0" borderId="70" xfId="18" applyNumberFormat="1" applyFont="1" applyBorder="1">
      <alignment vertical="center"/>
    </xf>
    <xf numFmtId="190" fontId="26" fillId="0" borderId="69" xfId="0" applyNumberFormat="1" applyFont="1" applyBorder="1" applyAlignment="1">
      <alignment vertical="center"/>
    </xf>
    <xf numFmtId="190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0" fontId="26" fillId="0" borderId="73" xfId="18" applyNumberFormat="1" applyFont="1" applyBorder="1">
      <alignment vertical="center"/>
    </xf>
    <xf numFmtId="190" fontId="26" fillId="0" borderId="71" xfId="0" applyNumberFormat="1" applyFont="1" applyBorder="1" applyAlignment="1">
      <alignment vertical="center"/>
    </xf>
    <xf numFmtId="190" fontId="26" fillId="0" borderId="73" xfId="0" applyNumberFormat="1" applyFont="1" applyBorder="1" applyAlignment="1">
      <alignment vertical="center"/>
    </xf>
    <xf numFmtId="190" fontId="26" fillId="0" borderId="74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69" xfId="18" applyNumberFormat="1" applyFont="1" applyBorder="1">
      <alignment vertical="center"/>
    </xf>
    <xf numFmtId="190" fontId="26" fillId="0" borderId="77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190" fontId="26" fillId="0" borderId="31" xfId="18" applyNumberFormat="1" applyFont="1" applyBorder="1">
      <alignment vertical="center"/>
    </xf>
    <xf numFmtId="190" fontId="26" fillId="0" borderId="80" xfId="18" applyNumberFormat="1" applyFont="1" applyBorder="1">
      <alignment vertical="center"/>
    </xf>
    <xf numFmtId="190" fontId="26" fillId="0" borderId="74" xfId="18" applyNumberFormat="1" applyFont="1" applyBorder="1" applyAlignment="1">
      <alignment horizontal="center" vertical="center"/>
    </xf>
    <xf numFmtId="190" fontId="26" fillId="0" borderId="79" xfId="18" applyNumberFormat="1" applyFont="1" applyBorder="1">
      <alignment vertical="center"/>
    </xf>
    <xf numFmtId="190" fontId="26" fillId="0" borderId="69" xfId="18" applyNumberFormat="1" applyFont="1" applyBorder="1" applyAlignment="1">
      <alignment horizontal="center" vertical="center"/>
    </xf>
    <xf numFmtId="190" fontId="26" fillId="0" borderId="77" xfId="18" applyNumberFormat="1" applyFont="1" applyBorder="1" applyAlignment="1">
      <alignment horizontal="center" vertical="center"/>
    </xf>
    <xf numFmtId="190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5" fontId="19" fillId="0" borderId="84" xfId="25" applyNumberFormat="1" applyFont="1" applyBorder="1" applyAlignment="1">
      <alignment horizontal="center" vertical="center"/>
    </xf>
    <xf numFmtId="185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4" fontId="19" fillId="0" borderId="28" xfId="17" applyNumberFormat="1" applyFont="1" applyBorder="1">
      <alignment vertical="center"/>
    </xf>
    <xf numFmtId="190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4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3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7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8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89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5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5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6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5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5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89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2" fontId="28" fillId="4" borderId="54" xfId="0" applyNumberFormat="1" applyFont="1" applyFill="1" applyBorder="1" applyAlignment="1">
      <alignment horizontal="center" vertical="center"/>
    </xf>
    <xf numFmtId="192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4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4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2" fontId="26" fillId="0" borderId="87" xfId="0" applyNumberFormat="1" applyFont="1" applyBorder="1" applyAlignment="1">
      <alignment horizontal="center" vertical="center"/>
    </xf>
    <xf numFmtId="184" fontId="26" fillId="0" borderId="89" xfId="0" applyNumberFormat="1" applyFont="1" applyBorder="1" applyAlignment="1">
      <alignment horizontal="center" vertical="center"/>
    </xf>
    <xf numFmtId="193" fontId="26" fillId="0" borderId="88" xfId="0" applyNumberFormat="1" applyFont="1" applyBorder="1" applyAlignment="1">
      <alignment horizontal="center" vertical="center"/>
    </xf>
    <xf numFmtId="186" fontId="26" fillId="0" borderId="87" xfId="0" applyNumberFormat="1" applyFont="1" applyBorder="1" applyAlignment="1">
      <alignment horizontal="center" vertical="center"/>
    </xf>
    <xf numFmtId="192" fontId="26" fillId="0" borderId="69" xfId="0" applyNumberFormat="1" applyFont="1" applyBorder="1" applyAlignment="1">
      <alignment horizontal="center" vertical="center"/>
    </xf>
    <xf numFmtId="184" fontId="26" fillId="0" borderId="30" xfId="0" applyNumberFormat="1" applyFont="1" applyBorder="1" applyAlignment="1">
      <alignment horizontal="center" vertical="center"/>
    </xf>
    <xf numFmtId="193" fontId="26" fillId="0" borderId="70" xfId="0" applyNumberFormat="1" applyFont="1" applyBorder="1" applyAlignment="1">
      <alignment horizontal="center" vertical="center"/>
    </xf>
    <xf numFmtId="192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4" fontId="26" fillId="0" borderId="72" xfId="0" applyNumberFormat="1" applyFont="1" applyBorder="1" applyAlignment="1">
      <alignment horizontal="center" vertical="center"/>
    </xf>
    <xf numFmtId="193" fontId="26" fillId="0" borderId="73" xfId="0" applyNumberFormat="1" applyFont="1" applyBorder="1" applyAlignment="1">
      <alignment horizontal="center" vertical="center"/>
    </xf>
    <xf numFmtId="186" fontId="26" fillId="0" borderId="90" xfId="0" applyNumberFormat="1" applyFont="1" applyBorder="1" applyAlignment="1">
      <alignment horizontal="center" vertical="center"/>
    </xf>
    <xf numFmtId="184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89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89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89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6" fontId="26" fillId="0" borderId="33" xfId="0" applyNumberFormat="1" applyFont="1" applyBorder="1" applyAlignment="1">
      <alignment horizontal="center" vertical="center"/>
    </xf>
    <xf numFmtId="193" fontId="26" fillId="0" borderId="91" xfId="0" applyNumberFormat="1" applyFont="1" applyBorder="1" applyAlignment="1">
      <alignment horizontal="center" vertical="center"/>
    </xf>
    <xf numFmtId="186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2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8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8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89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0" fontId="30" fillId="17" borderId="74" xfId="18" applyNumberFormat="1" applyFont="1" applyFill="1" applyBorder="1" applyAlignment="1">
      <alignment horizontal="center" vertical="center"/>
    </xf>
    <xf numFmtId="190" fontId="30" fillId="17" borderId="75" xfId="18" applyNumberFormat="1" applyFont="1" applyFill="1" applyBorder="1" applyAlignment="1">
      <alignment horizontal="center" vertical="center"/>
    </xf>
    <xf numFmtId="190" fontId="30" fillId="17" borderId="76" xfId="18" applyNumberFormat="1" applyFont="1" applyFill="1" applyBorder="1" applyAlignment="1">
      <alignment horizontal="center" vertical="center"/>
    </xf>
    <xf numFmtId="190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5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7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41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89" fontId="32" fillId="12" borderId="53" xfId="0" applyNumberFormat="1" applyFont="1" applyFill="1" applyBorder="1" applyAlignment="1">
      <alignment horizontal="center" vertical="center"/>
    </xf>
    <xf numFmtId="197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4" fontId="32" fillId="0" borderId="41" xfId="17" applyNumberFormat="1" applyFont="1" applyBorder="1">
      <alignment vertical="center"/>
    </xf>
    <xf numFmtId="185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199" fontId="26" fillId="0" borderId="66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199" fontId="26" fillId="0" borderId="71" xfId="0" applyNumberFormat="1" applyFont="1" applyBorder="1" applyAlignment="1">
      <alignment horizontal="center" vertical="center"/>
    </xf>
    <xf numFmtId="200" fontId="26" fillId="0" borderId="67" xfId="18" applyNumberFormat="1" applyFont="1" applyBorder="1">
      <alignment vertical="center"/>
    </xf>
    <xf numFmtId="200" fontId="26" fillId="0" borderId="68" xfId="18" applyNumberFormat="1" applyFont="1" applyBorder="1">
      <alignment vertical="center"/>
    </xf>
    <xf numFmtId="200" fontId="26" fillId="0" borderId="30" xfId="18" applyNumberFormat="1" applyFont="1" applyBorder="1">
      <alignment vertical="center"/>
    </xf>
    <xf numFmtId="200" fontId="26" fillId="0" borderId="70" xfId="18" applyNumberFormat="1" applyFont="1" applyBorder="1">
      <alignment vertical="center"/>
    </xf>
    <xf numFmtId="200" fontId="26" fillId="0" borderId="72" xfId="18" applyNumberFormat="1" applyFont="1" applyBorder="1">
      <alignment vertical="center"/>
    </xf>
    <xf numFmtId="200" fontId="26" fillId="0" borderId="73" xfId="18" applyNumberFormat="1" applyFont="1" applyBorder="1">
      <alignment vertical="center"/>
    </xf>
    <xf numFmtId="199" fontId="26" fillId="0" borderId="69" xfId="18" applyNumberFormat="1" applyFont="1" applyBorder="1" applyAlignment="1">
      <alignment horizontal="center" vertical="center"/>
    </xf>
    <xf numFmtId="189" fontId="26" fillId="0" borderId="75" xfId="18" applyNumberFormat="1" applyFont="1" applyBorder="1">
      <alignment vertical="center"/>
    </xf>
    <xf numFmtId="189" fontId="26" fillId="0" borderId="76" xfId="18" applyNumberFormat="1" applyFont="1" applyBorder="1">
      <alignment vertical="center"/>
    </xf>
    <xf numFmtId="189" fontId="26" fillId="0" borderId="30" xfId="18" applyNumberFormat="1" applyFont="1" applyBorder="1">
      <alignment vertical="center"/>
    </xf>
    <xf numFmtId="189" fontId="26" fillId="0" borderId="70" xfId="18" applyNumberFormat="1" applyFont="1" applyBorder="1">
      <alignment vertical="center"/>
    </xf>
    <xf numFmtId="189" fontId="26" fillId="0" borderId="32" xfId="18" applyNumberFormat="1" applyFont="1" applyBorder="1">
      <alignment vertical="center"/>
    </xf>
    <xf numFmtId="189" fontId="26" fillId="0" borderId="78" xfId="18" applyNumberFormat="1" applyFont="1" applyBorder="1">
      <alignment vertical="center"/>
    </xf>
    <xf numFmtId="200" fontId="26" fillId="0" borderId="75" xfId="0" applyNumberFormat="1" applyFont="1" applyBorder="1" applyAlignment="1">
      <alignment vertical="center"/>
    </xf>
    <xf numFmtId="200" fontId="26" fillId="0" borderId="76" xfId="0" applyNumberFormat="1" applyFont="1" applyBorder="1" applyAlignment="1">
      <alignment vertical="center"/>
    </xf>
    <xf numFmtId="200" fontId="26" fillId="0" borderId="30" xfId="0" applyNumberFormat="1" applyFont="1" applyBorder="1" applyAlignment="1">
      <alignment vertical="center"/>
    </xf>
    <xf numFmtId="200" fontId="26" fillId="0" borderId="70" xfId="0" applyNumberFormat="1" applyFont="1" applyBorder="1" applyAlignment="1">
      <alignment vertical="center"/>
    </xf>
    <xf numFmtId="200" fontId="26" fillId="0" borderId="32" xfId="0" applyNumberFormat="1" applyFont="1" applyBorder="1" applyAlignment="1">
      <alignment vertical="center"/>
    </xf>
    <xf numFmtId="200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196" fontId="26" fillId="12" borderId="54" xfId="17" applyNumberFormat="1" applyFont="1" applyFill="1" applyBorder="1" applyAlignment="1">
      <alignment horizontal="center" vertical="center"/>
    </xf>
    <xf numFmtId="196" fontId="48" fillId="0" borderId="0" xfId="17" applyNumberFormat="1" applyFont="1">
      <alignment vertical="center"/>
    </xf>
    <xf numFmtId="9" fontId="19" fillId="0" borderId="21" xfId="17" applyNumberFormat="1" applyFont="1" applyBorder="1">
      <alignment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5" fontId="22" fillId="6" borderId="39" xfId="19" applyNumberFormat="1" applyFont="1" applyFill="1" applyBorder="1">
      <alignment vertical="center"/>
    </xf>
    <xf numFmtId="0" fontId="20" fillId="12" borderId="53" xfId="0" applyFont="1" applyFill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17" fontId="15" fillId="3" borderId="45" xfId="19" applyNumberFormat="1" applyFont="1" applyFill="1" applyBorder="1" applyAlignment="1">
      <alignment horizontal="center"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41" fontId="37" fillId="0" borderId="75" xfId="21" applyFont="1" applyBorder="1" applyAlignment="1">
      <alignment horizontal="center" vertical="center" wrapText="1"/>
    </xf>
    <xf numFmtId="41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4869" name="CommandButton5" hidden="1">
              <a:extLst>
                <a:ext uri="{63B3BB69-23CF-44E3-9099-C40C66FF867C}">
                  <a14:compatExt spid="_x0000_s164869"/>
                </a:ext>
                <a:ext uri="{FF2B5EF4-FFF2-40B4-BE49-F238E27FC236}">
                  <a16:creationId xmlns:a16="http://schemas.microsoft.com/office/drawing/2014/main" id="{00000000-0008-0000-0600-000005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4870" name="Frame1" hidden="1">
              <a:extLst>
                <a:ext uri="{63B3BB69-23CF-44E3-9099-C40C66FF867C}">
                  <a14:compatExt spid="_x0000_s164870"/>
                </a:ext>
                <a:ext uri="{FF2B5EF4-FFF2-40B4-BE49-F238E27FC236}">
                  <a16:creationId xmlns:a16="http://schemas.microsoft.com/office/drawing/2014/main" id="{00000000-0008-0000-0600-000006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4871" name="CommandButton6" hidden="1">
              <a:extLst>
                <a:ext uri="{63B3BB69-23CF-44E3-9099-C40C66FF867C}">
                  <a14:compatExt spid="_x0000_s164871"/>
                </a:ext>
                <a:ext uri="{FF2B5EF4-FFF2-40B4-BE49-F238E27FC236}">
                  <a16:creationId xmlns:a16="http://schemas.microsoft.com/office/drawing/2014/main" id="{00000000-0008-0000-0600-000007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5889" name="CommandButton5" hidden="1">
              <a:extLst>
                <a:ext uri="{63B3BB69-23CF-44E3-9099-C40C66FF867C}">
                  <a14:compatExt spid="_x0000_s165889"/>
                </a:ext>
                <a:ext uri="{FF2B5EF4-FFF2-40B4-BE49-F238E27FC236}">
                  <a16:creationId xmlns:a16="http://schemas.microsoft.com/office/drawing/2014/main" id="{00000000-0008-0000-0700-000001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5890" name="Frame1" hidden="1">
              <a:extLst>
                <a:ext uri="{63B3BB69-23CF-44E3-9099-C40C66FF867C}">
                  <a14:compatExt spid="_x0000_s165890"/>
                </a:ext>
                <a:ext uri="{FF2B5EF4-FFF2-40B4-BE49-F238E27FC236}">
                  <a16:creationId xmlns:a16="http://schemas.microsoft.com/office/drawing/2014/main" id="{00000000-0008-0000-0700-000002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5891" name="CommandButton6" hidden="1">
              <a:extLst>
                <a:ext uri="{63B3BB69-23CF-44E3-9099-C40C66FF867C}">
                  <a14:compatExt spid="_x0000_s165891"/>
                </a:ext>
                <a:ext uri="{FF2B5EF4-FFF2-40B4-BE49-F238E27FC236}">
                  <a16:creationId xmlns:a16="http://schemas.microsoft.com/office/drawing/2014/main" id="{00000000-0008-0000-0700-0000038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6913" name="CommandButton5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8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6914" name="Frame1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8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6915" name="CommandButton6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00000000-0008-0000-0800-00000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7937" name="CommandButton5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9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7938" name="Frame1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9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7939" name="CommandButton6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9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68961" name="CommandButton5" hidden="1">
              <a:extLst>
                <a:ext uri="{63B3BB69-23CF-44E3-9099-C40C66FF867C}">
                  <a14:compatExt spid="_x0000_s168961"/>
                </a:ext>
                <a:ext uri="{FF2B5EF4-FFF2-40B4-BE49-F238E27FC236}">
                  <a16:creationId xmlns:a16="http://schemas.microsoft.com/office/drawing/2014/main" id="{00000000-0008-0000-0A00-000001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68962" name="Frame1" hidden="1">
              <a:extLst>
                <a:ext uri="{63B3BB69-23CF-44E3-9099-C40C66FF867C}">
                  <a14:compatExt spid="_x0000_s168962"/>
                </a:ext>
                <a:ext uri="{FF2B5EF4-FFF2-40B4-BE49-F238E27FC236}">
                  <a16:creationId xmlns:a16="http://schemas.microsoft.com/office/drawing/2014/main" id="{00000000-0008-0000-0A00-000002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68963" name="CommandButton6" hidden="1">
              <a:extLst>
                <a:ext uri="{63B3BB69-23CF-44E3-9099-C40C66FF867C}">
                  <a14:compatExt spid="_x0000_s168963"/>
                </a:ext>
                <a:ext uri="{FF2B5EF4-FFF2-40B4-BE49-F238E27FC236}">
                  <a16:creationId xmlns:a16="http://schemas.microsoft.com/office/drawing/2014/main" id="{00000000-0008-0000-0A00-0000039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3057" name="CommandButton5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B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3058" name="Frame1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B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3059" name="CommandButton6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B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4081" name="CommandButton5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0C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4082" name="Frame1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0C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4083" name="CommandButton6" hidden="1">
              <a:extLst>
                <a:ext uri="{63B3BB69-23CF-44E3-9099-C40C66FF867C}">
                  <a14:compatExt spid="_x0000_s174083"/>
                </a:ext>
                <a:ext uri="{FF2B5EF4-FFF2-40B4-BE49-F238E27FC236}">
                  <a16:creationId xmlns:a16="http://schemas.microsoft.com/office/drawing/2014/main" id="{00000000-0008-0000-0C00-000003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5105" name="CommandButton5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0D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5106" name="Frame1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0D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5107" name="CommandButton6" hidden="1">
              <a:extLst>
                <a:ext uri="{63B3BB69-23CF-44E3-9099-C40C66FF867C}">
                  <a14:compatExt spid="_x0000_s175107"/>
                </a:ext>
                <a:ext uri="{FF2B5EF4-FFF2-40B4-BE49-F238E27FC236}">
                  <a16:creationId xmlns:a16="http://schemas.microsoft.com/office/drawing/2014/main" id="{00000000-0008-0000-0D00-000003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E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F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9.xml"/><Relationship Id="rId5" Type="http://schemas.openxmlformats.org/officeDocument/2006/relationships/image" Target="../media/image30.emf"/><Relationship Id="rId10" Type="http://schemas.openxmlformats.org/officeDocument/2006/relationships/comments" Target="../comments8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33.emf"/><Relationship Id="rId10" Type="http://schemas.openxmlformats.org/officeDocument/2006/relationships/comments" Target="../comments9.xml"/><Relationship Id="rId4" Type="http://schemas.openxmlformats.org/officeDocument/2006/relationships/control" Target="../activeX/activeX31.xml"/><Relationship Id="rId9" Type="http://schemas.openxmlformats.org/officeDocument/2006/relationships/image" Target="../media/image3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3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5.xml"/><Relationship Id="rId5" Type="http://schemas.openxmlformats.org/officeDocument/2006/relationships/image" Target="../media/image36.emf"/><Relationship Id="rId10" Type="http://schemas.openxmlformats.org/officeDocument/2006/relationships/comments" Target="../comments10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9.emf"/><Relationship Id="rId4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40.emf"/><Relationship Id="rId4" Type="http://schemas.openxmlformats.org/officeDocument/2006/relationships/control" Target="../activeX/activeX3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41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407" t="s">
        <v>210</v>
      </c>
      <c r="C2" s="407"/>
      <c r="D2" s="407"/>
      <c r="E2" s="407"/>
      <c r="F2" s="407"/>
      <c r="G2" s="407"/>
      <c r="H2" s="407"/>
      <c r="I2" s="407"/>
      <c r="J2" s="407"/>
      <c r="K2" s="407"/>
      <c r="L2" s="407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1992</v>
      </c>
      <c r="C5" s="334">
        <v>41.5</v>
      </c>
      <c r="D5" s="334">
        <v>26.9</v>
      </c>
      <c r="E5" s="334">
        <v>96.1</v>
      </c>
      <c r="F5" s="334">
        <v>152.69999999999999</v>
      </c>
      <c r="G5" s="334">
        <v>86.3</v>
      </c>
      <c r="H5" s="334">
        <v>29.2</v>
      </c>
      <c r="I5" s="334">
        <v>103.5</v>
      </c>
      <c r="J5" s="334">
        <v>318.39999999999998</v>
      </c>
      <c r="K5" s="334">
        <v>168</v>
      </c>
      <c r="L5" s="334">
        <v>24.8</v>
      </c>
      <c r="M5" s="334">
        <v>53.6</v>
      </c>
      <c r="N5" s="335">
        <v>54.4</v>
      </c>
      <c r="O5" s="106">
        <f>ROUND(SUM(C5:N5),1)</f>
        <v>1155.4000000000001</v>
      </c>
      <c r="P5" s="107">
        <f>ROUND(O5/12,1)</f>
        <v>96.3</v>
      </c>
      <c r="Q5" s="108"/>
    </row>
    <row r="6" spans="2:17" ht="22.5" customHeight="1">
      <c r="B6" s="332">
        <v>1993</v>
      </c>
      <c r="C6" s="336">
        <v>52.4</v>
      </c>
      <c r="D6" s="336">
        <v>75.7</v>
      </c>
      <c r="E6" s="336">
        <v>55.4</v>
      </c>
      <c r="F6" s="336">
        <v>22.8</v>
      </c>
      <c r="G6" s="336">
        <v>119.9</v>
      </c>
      <c r="H6" s="336">
        <v>236.7</v>
      </c>
      <c r="I6" s="336">
        <v>327.2</v>
      </c>
      <c r="J6" s="336">
        <v>559.5</v>
      </c>
      <c r="K6" s="336">
        <v>30.1</v>
      </c>
      <c r="L6" s="336">
        <v>78.400000000000006</v>
      </c>
      <c r="M6" s="336">
        <v>69.900000000000006</v>
      </c>
      <c r="N6" s="337">
        <v>21.4</v>
      </c>
      <c r="O6" s="110">
        <f t="shared" ref="O6:O34" si="0">ROUND(SUM(C6:N6),1)</f>
        <v>1649.4</v>
      </c>
      <c r="P6" s="111">
        <f t="shared" ref="P6:P34" si="1">ROUND(O6/12,1)</f>
        <v>137.5</v>
      </c>
      <c r="Q6" s="108"/>
    </row>
    <row r="7" spans="2:17" ht="22.5" customHeight="1">
      <c r="B7" s="332">
        <v>1994</v>
      </c>
      <c r="C7" s="336">
        <v>28.2</v>
      </c>
      <c r="D7" s="336">
        <v>44.9</v>
      </c>
      <c r="E7" s="336">
        <v>31</v>
      </c>
      <c r="F7" s="336">
        <v>83.6</v>
      </c>
      <c r="G7" s="336">
        <v>186.9</v>
      </c>
      <c r="H7" s="336">
        <v>122.1</v>
      </c>
      <c r="I7" s="336">
        <v>103.3</v>
      </c>
      <c r="J7" s="336">
        <v>61.2</v>
      </c>
      <c r="K7" s="336">
        <v>68.2</v>
      </c>
      <c r="L7" s="336">
        <v>142.69999999999999</v>
      </c>
      <c r="M7" s="336">
        <v>43</v>
      </c>
      <c r="N7" s="337">
        <v>6.3</v>
      </c>
      <c r="O7" s="110">
        <f t="shared" si="0"/>
        <v>921.4</v>
      </c>
      <c r="P7" s="111">
        <f t="shared" si="1"/>
        <v>76.8</v>
      </c>
      <c r="Q7" s="108"/>
    </row>
    <row r="8" spans="2:17" ht="22.5" customHeight="1">
      <c r="B8" s="332">
        <v>1995</v>
      </c>
      <c r="C8" s="336">
        <v>29.6</v>
      </c>
      <c r="D8" s="336">
        <v>19.100000000000001</v>
      </c>
      <c r="E8" s="336">
        <v>68.5</v>
      </c>
      <c r="F8" s="336">
        <v>64.8</v>
      </c>
      <c r="G8" s="336">
        <v>90.3</v>
      </c>
      <c r="H8" s="336">
        <v>115.1</v>
      </c>
      <c r="I8" s="336">
        <v>110.3</v>
      </c>
      <c r="J8" s="336">
        <v>99.9</v>
      </c>
      <c r="K8" s="336">
        <v>45.5</v>
      </c>
      <c r="L8" s="336">
        <v>47.6</v>
      </c>
      <c r="M8" s="336">
        <v>2.1</v>
      </c>
      <c r="N8" s="337">
        <v>0.2</v>
      </c>
      <c r="O8" s="110">
        <f t="shared" si="0"/>
        <v>693</v>
      </c>
      <c r="P8" s="111">
        <f t="shared" si="1"/>
        <v>57.8</v>
      </c>
      <c r="Q8" s="108"/>
    </row>
    <row r="9" spans="2:17" ht="22.5" customHeight="1">
      <c r="B9" s="332">
        <v>1996</v>
      </c>
      <c r="C9" s="336">
        <v>32.5</v>
      </c>
      <c r="D9" s="336">
        <v>2.5</v>
      </c>
      <c r="E9" s="336">
        <v>160.1</v>
      </c>
      <c r="F9" s="336">
        <v>63.8</v>
      </c>
      <c r="G9" s="336">
        <v>42</v>
      </c>
      <c r="H9" s="336">
        <v>371</v>
      </c>
      <c r="I9" s="336">
        <v>116.8</v>
      </c>
      <c r="J9" s="336">
        <v>74.599999999999994</v>
      </c>
      <c r="K9" s="336">
        <v>26.8</v>
      </c>
      <c r="L9" s="336">
        <v>35.9</v>
      </c>
      <c r="M9" s="336">
        <v>61.7</v>
      </c>
      <c r="N9" s="337">
        <v>27.3</v>
      </c>
      <c r="O9" s="110">
        <f t="shared" si="0"/>
        <v>1015</v>
      </c>
      <c r="P9" s="111">
        <f t="shared" si="1"/>
        <v>84.6</v>
      </c>
      <c r="Q9" s="108"/>
    </row>
    <row r="10" spans="2:17" ht="22.5" customHeight="1">
      <c r="B10" s="332">
        <v>1997</v>
      </c>
      <c r="C10" s="336">
        <v>10.9</v>
      </c>
      <c r="D10" s="336">
        <v>4.4000000000000004</v>
      </c>
      <c r="E10" s="336">
        <v>25.4</v>
      </c>
      <c r="F10" s="336">
        <v>57</v>
      </c>
      <c r="G10" s="336">
        <v>172.9</v>
      </c>
      <c r="H10" s="336">
        <v>282.10000000000002</v>
      </c>
      <c r="I10" s="336">
        <v>188.5</v>
      </c>
      <c r="J10" s="336">
        <v>192.3</v>
      </c>
      <c r="K10" s="336">
        <v>50</v>
      </c>
      <c r="L10" s="336">
        <v>0.7</v>
      </c>
      <c r="M10" s="336">
        <v>151.6</v>
      </c>
      <c r="N10" s="337">
        <v>62.8</v>
      </c>
      <c r="O10" s="110">
        <f t="shared" si="0"/>
        <v>1198.5999999999999</v>
      </c>
      <c r="P10" s="111">
        <f t="shared" si="1"/>
        <v>99.9</v>
      </c>
      <c r="Q10" s="108"/>
    </row>
    <row r="11" spans="2:17" ht="22.5" customHeight="1">
      <c r="B11" s="332">
        <v>1998</v>
      </c>
      <c r="C11" s="336">
        <v>119.6</v>
      </c>
      <c r="D11" s="336">
        <v>81.599999999999994</v>
      </c>
      <c r="E11" s="336">
        <v>51.6</v>
      </c>
      <c r="F11" s="336">
        <v>182</v>
      </c>
      <c r="G11" s="336">
        <v>166.5</v>
      </c>
      <c r="H11" s="336">
        <v>268.7</v>
      </c>
      <c r="I11" s="336">
        <v>194.5</v>
      </c>
      <c r="J11" s="336">
        <v>346</v>
      </c>
      <c r="K11" s="336">
        <v>259.60000000000002</v>
      </c>
      <c r="L11" s="336">
        <v>107.1</v>
      </c>
      <c r="M11" s="336">
        <v>18.5</v>
      </c>
      <c r="N11" s="337">
        <v>0.3</v>
      </c>
      <c r="O11" s="110">
        <f t="shared" si="0"/>
        <v>1796</v>
      </c>
      <c r="P11" s="111">
        <f t="shared" si="1"/>
        <v>149.69999999999999</v>
      </c>
    </row>
    <row r="12" spans="2:17" ht="22.5" customHeight="1">
      <c r="B12" s="332">
        <v>1999</v>
      </c>
      <c r="C12" s="336">
        <v>30.6</v>
      </c>
      <c r="D12" s="336">
        <v>29</v>
      </c>
      <c r="E12" s="336">
        <v>122.3</v>
      </c>
      <c r="F12" s="336">
        <v>74.5</v>
      </c>
      <c r="G12" s="336">
        <v>157.1</v>
      </c>
      <c r="H12" s="336">
        <v>229</v>
      </c>
      <c r="I12" s="336">
        <v>296.3</v>
      </c>
      <c r="J12" s="336">
        <v>447.4</v>
      </c>
      <c r="K12" s="336">
        <v>367.3</v>
      </c>
      <c r="L12" s="336">
        <v>89.9</v>
      </c>
      <c r="M12" s="336">
        <v>21.5</v>
      </c>
      <c r="N12" s="337">
        <v>0</v>
      </c>
      <c r="O12" s="110">
        <f t="shared" si="0"/>
        <v>1864.9</v>
      </c>
      <c r="P12" s="111">
        <f t="shared" si="1"/>
        <v>155.4</v>
      </c>
    </row>
    <row r="13" spans="2:17" ht="22.5" customHeight="1">
      <c r="B13" s="332">
        <v>2000</v>
      </c>
      <c r="C13" s="336">
        <v>24</v>
      </c>
      <c r="D13" s="336">
        <v>0.1</v>
      </c>
      <c r="E13" s="336">
        <v>58.5</v>
      </c>
      <c r="F13" s="336">
        <v>62.5</v>
      </c>
      <c r="G13" s="336">
        <v>49.2</v>
      </c>
      <c r="H13" s="336">
        <v>78.400000000000006</v>
      </c>
      <c r="I13" s="336">
        <v>165.4</v>
      </c>
      <c r="J13" s="336">
        <v>262.10000000000002</v>
      </c>
      <c r="K13" s="336">
        <v>217</v>
      </c>
      <c r="L13" s="336">
        <v>41.4</v>
      </c>
      <c r="M13" s="336">
        <v>67.5</v>
      </c>
      <c r="N13" s="337">
        <v>1</v>
      </c>
      <c r="O13" s="110">
        <f t="shared" si="0"/>
        <v>1027.0999999999999</v>
      </c>
      <c r="P13" s="111">
        <f t="shared" si="1"/>
        <v>85.6</v>
      </c>
    </row>
    <row r="14" spans="2:17" ht="22.5" customHeight="1">
      <c r="B14" s="332">
        <v>2001</v>
      </c>
      <c r="C14" s="336">
        <v>59.4</v>
      </c>
      <c r="D14" s="336">
        <v>56.2</v>
      </c>
      <c r="E14" s="336">
        <v>9.4</v>
      </c>
      <c r="F14" s="336">
        <v>28</v>
      </c>
      <c r="G14" s="336">
        <v>55.9</v>
      </c>
      <c r="H14" s="336">
        <v>203.3</v>
      </c>
      <c r="I14" s="336">
        <v>121.6</v>
      </c>
      <c r="J14" s="336">
        <v>87.4</v>
      </c>
      <c r="K14" s="336">
        <v>94.5</v>
      </c>
      <c r="L14" s="336">
        <v>98.3</v>
      </c>
      <c r="M14" s="336">
        <v>13.2</v>
      </c>
      <c r="N14" s="337">
        <v>41.9</v>
      </c>
      <c r="O14" s="110">
        <f t="shared" si="0"/>
        <v>869.1</v>
      </c>
      <c r="P14" s="111">
        <f t="shared" si="1"/>
        <v>72.400000000000006</v>
      </c>
    </row>
    <row r="15" spans="2:17" ht="22.5" customHeight="1">
      <c r="B15" s="332">
        <v>2002</v>
      </c>
      <c r="C15" s="336">
        <v>49.6</v>
      </c>
      <c r="D15" s="336">
        <v>7.2</v>
      </c>
      <c r="E15" s="336">
        <v>86.5</v>
      </c>
      <c r="F15" s="336">
        <v>91.1</v>
      </c>
      <c r="G15" s="336">
        <v>112.9</v>
      </c>
      <c r="H15" s="336">
        <v>52.6</v>
      </c>
      <c r="I15" s="336">
        <v>326.60000000000002</v>
      </c>
      <c r="J15" s="336">
        <v>592.5</v>
      </c>
      <c r="K15" s="336">
        <v>99.9</v>
      </c>
      <c r="L15" s="336">
        <v>89.9</v>
      </c>
      <c r="M15" s="336">
        <v>3.5</v>
      </c>
      <c r="N15" s="337">
        <v>47.5</v>
      </c>
      <c r="O15" s="110">
        <f t="shared" si="0"/>
        <v>1559.8</v>
      </c>
      <c r="P15" s="111">
        <f t="shared" si="1"/>
        <v>130</v>
      </c>
    </row>
    <row r="16" spans="2:17" ht="22.5" customHeight="1">
      <c r="B16" s="332">
        <v>2003</v>
      </c>
      <c r="C16" s="336">
        <v>26.7</v>
      </c>
      <c r="D16" s="336">
        <v>50.6</v>
      </c>
      <c r="E16" s="336">
        <v>40.4</v>
      </c>
      <c r="F16" s="336">
        <v>156.6</v>
      </c>
      <c r="G16" s="336">
        <v>352.8</v>
      </c>
      <c r="H16" s="336">
        <v>269</v>
      </c>
      <c r="I16" s="336">
        <v>469.8</v>
      </c>
      <c r="J16" s="336">
        <v>223.1</v>
      </c>
      <c r="K16" s="336">
        <v>145.19999999999999</v>
      </c>
      <c r="L16" s="336">
        <v>4.5</v>
      </c>
      <c r="M16" s="336">
        <v>114.5</v>
      </c>
      <c r="N16" s="337">
        <v>11</v>
      </c>
      <c r="O16" s="110">
        <f t="shared" si="0"/>
        <v>1864.2</v>
      </c>
      <c r="P16" s="111">
        <f t="shared" si="1"/>
        <v>155.4</v>
      </c>
    </row>
    <row r="17" spans="2:16" ht="22.5" customHeight="1">
      <c r="B17" s="332">
        <v>2004</v>
      </c>
      <c r="C17" s="336">
        <v>10.7</v>
      </c>
      <c r="D17" s="336">
        <v>51.1</v>
      </c>
      <c r="E17" s="336">
        <v>20.5</v>
      </c>
      <c r="F17" s="336">
        <v>124.5</v>
      </c>
      <c r="G17" s="336">
        <v>104</v>
      </c>
      <c r="H17" s="336">
        <v>201.8</v>
      </c>
      <c r="I17" s="336">
        <v>102</v>
      </c>
      <c r="J17" s="336">
        <v>264.89999999999998</v>
      </c>
      <c r="K17" s="336">
        <v>273.60000000000002</v>
      </c>
      <c r="L17" s="336">
        <v>6.7</v>
      </c>
      <c r="M17" s="336">
        <v>64.7</v>
      </c>
      <c r="N17" s="337">
        <v>25.6</v>
      </c>
      <c r="O17" s="110">
        <f t="shared" si="0"/>
        <v>1250.0999999999999</v>
      </c>
      <c r="P17" s="111">
        <f t="shared" si="1"/>
        <v>104.2</v>
      </c>
    </row>
    <row r="18" spans="2:16" ht="22.5" customHeight="1">
      <c r="B18" s="332">
        <v>2005</v>
      </c>
      <c r="C18" s="336">
        <v>36.5</v>
      </c>
      <c r="D18" s="336">
        <v>34.4</v>
      </c>
      <c r="E18" s="336">
        <v>102.9</v>
      </c>
      <c r="F18" s="336">
        <v>48.1</v>
      </c>
      <c r="G18" s="336">
        <v>52.6</v>
      </c>
      <c r="H18" s="336">
        <v>72.5</v>
      </c>
      <c r="I18" s="336">
        <v>148.1</v>
      </c>
      <c r="J18" s="336">
        <v>210.6</v>
      </c>
      <c r="K18" s="336">
        <v>392.2</v>
      </c>
      <c r="L18" s="336">
        <v>12.2</v>
      </c>
      <c r="M18" s="336">
        <v>24.5</v>
      </c>
      <c r="N18" s="337">
        <v>1.1000000000000001</v>
      </c>
      <c r="O18" s="110">
        <f t="shared" si="0"/>
        <v>1135.7</v>
      </c>
      <c r="P18" s="111">
        <f t="shared" si="1"/>
        <v>94.6</v>
      </c>
    </row>
    <row r="19" spans="2:16" ht="22.5" customHeight="1">
      <c r="B19" s="332">
        <v>2006</v>
      </c>
      <c r="C19" s="336">
        <v>27.2</v>
      </c>
      <c r="D19" s="336">
        <v>33.299999999999997</v>
      </c>
      <c r="E19" s="336">
        <v>21</v>
      </c>
      <c r="F19" s="336">
        <v>135.1</v>
      </c>
      <c r="G19" s="336">
        <v>207.1</v>
      </c>
      <c r="H19" s="336">
        <v>100.7</v>
      </c>
      <c r="I19" s="336">
        <v>543.20000000000005</v>
      </c>
      <c r="J19" s="336">
        <v>131.69999999999999</v>
      </c>
      <c r="K19" s="336">
        <v>150</v>
      </c>
      <c r="L19" s="336">
        <v>21</v>
      </c>
      <c r="M19" s="336">
        <v>16.100000000000001</v>
      </c>
      <c r="N19" s="337">
        <v>7.5</v>
      </c>
      <c r="O19" s="110">
        <f t="shared" si="0"/>
        <v>1393.9</v>
      </c>
      <c r="P19" s="111">
        <f t="shared" si="1"/>
        <v>116.2</v>
      </c>
    </row>
    <row r="20" spans="2:16" ht="22.5" customHeight="1">
      <c r="B20" s="332">
        <v>2007</v>
      </c>
      <c r="C20" s="336">
        <v>3</v>
      </c>
      <c r="D20" s="336">
        <v>49.3</v>
      </c>
      <c r="E20" s="336">
        <v>82.1</v>
      </c>
      <c r="F20" s="336">
        <v>30.5</v>
      </c>
      <c r="G20" s="336">
        <v>84.4</v>
      </c>
      <c r="H20" s="336">
        <v>118</v>
      </c>
      <c r="I20" s="336">
        <v>216.3</v>
      </c>
      <c r="J20" s="336">
        <v>171.4</v>
      </c>
      <c r="K20" s="336">
        <v>228.5</v>
      </c>
      <c r="L20" s="336">
        <v>110.7</v>
      </c>
      <c r="M20" s="336">
        <v>2</v>
      </c>
      <c r="N20" s="337">
        <v>39.6</v>
      </c>
      <c r="O20" s="110">
        <f t="shared" si="0"/>
        <v>1135.8</v>
      </c>
      <c r="P20" s="111">
        <f t="shared" si="1"/>
        <v>94.7</v>
      </c>
    </row>
    <row r="21" spans="2:16" ht="22.5" customHeight="1">
      <c r="B21" s="332">
        <v>2008</v>
      </c>
      <c r="C21" s="336">
        <v>73.5</v>
      </c>
      <c r="D21" s="336">
        <v>10</v>
      </c>
      <c r="E21" s="336">
        <v>47.9</v>
      </c>
      <c r="F21" s="336">
        <v>78.2</v>
      </c>
      <c r="G21" s="336">
        <v>121.6</v>
      </c>
      <c r="H21" s="336">
        <v>171.5</v>
      </c>
      <c r="I21" s="336">
        <v>218.2</v>
      </c>
      <c r="J21" s="336">
        <v>305.39999999999998</v>
      </c>
      <c r="K21" s="336">
        <v>49.4</v>
      </c>
      <c r="L21" s="336">
        <v>9.4</v>
      </c>
      <c r="M21" s="336">
        <v>16.7</v>
      </c>
      <c r="N21" s="337">
        <v>10.5</v>
      </c>
      <c r="O21" s="110">
        <f t="shared" si="0"/>
        <v>1112.3</v>
      </c>
      <c r="P21" s="111">
        <f t="shared" si="1"/>
        <v>92.7</v>
      </c>
    </row>
    <row r="22" spans="2:16" ht="22.5" customHeight="1">
      <c r="B22" s="332">
        <v>2009</v>
      </c>
      <c r="C22" s="336">
        <v>14.7</v>
      </c>
      <c r="D22" s="336">
        <v>48.6</v>
      </c>
      <c r="E22" s="336">
        <v>35</v>
      </c>
      <c r="F22" s="336">
        <v>62.9</v>
      </c>
      <c r="G22" s="336">
        <v>92.3</v>
      </c>
      <c r="H22" s="336">
        <v>228.7</v>
      </c>
      <c r="I22" s="336">
        <v>450.7</v>
      </c>
      <c r="J22" s="336">
        <v>43</v>
      </c>
      <c r="K22" s="336">
        <v>50.4</v>
      </c>
      <c r="L22" s="336">
        <v>54.5</v>
      </c>
      <c r="M22" s="336">
        <v>36.299999999999997</v>
      </c>
      <c r="N22" s="337">
        <v>16.100000000000001</v>
      </c>
      <c r="O22" s="110">
        <f t="shared" si="0"/>
        <v>1133.2</v>
      </c>
      <c r="P22" s="111">
        <f t="shared" si="1"/>
        <v>94.4</v>
      </c>
    </row>
    <row r="23" spans="2:16" ht="22.5" customHeight="1">
      <c r="B23" s="332">
        <v>2010</v>
      </c>
      <c r="C23" s="336">
        <v>17</v>
      </c>
      <c r="D23" s="336">
        <v>108</v>
      </c>
      <c r="E23" s="336">
        <v>98.9</v>
      </c>
      <c r="F23" s="336">
        <v>112.8</v>
      </c>
      <c r="G23" s="336">
        <v>137.30000000000001</v>
      </c>
      <c r="H23" s="336">
        <v>40.1</v>
      </c>
      <c r="I23" s="336">
        <v>266.8</v>
      </c>
      <c r="J23" s="336">
        <v>114.5</v>
      </c>
      <c r="K23" s="336">
        <v>182</v>
      </c>
      <c r="L23" s="336">
        <v>38.5</v>
      </c>
      <c r="M23" s="336">
        <v>15.5</v>
      </c>
      <c r="N23" s="337">
        <v>30.2</v>
      </c>
      <c r="O23" s="110">
        <f t="shared" si="0"/>
        <v>1161.5999999999999</v>
      </c>
      <c r="P23" s="111">
        <f t="shared" si="1"/>
        <v>96.8</v>
      </c>
    </row>
    <row r="24" spans="2:16" ht="22.5" customHeight="1">
      <c r="B24" s="332">
        <v>2011</v>
      </c>
      <c r="C24" s="336">
        <v>10.5</v>
      </c>
      <c r="D24" s="336">
        <v>76.099999999999994</v>
      </c>
      <c r="E24" s="336">
        <v>18.5</v>
      </c>
      <c r="F24" s="336">
        <v>83.6</v>
      </c>
      <c r="G24" s="336">
        <v>114.8</v>
      </c>
      <c r="H24" s="336">
        <v>293.5</v>
      </c>
      <c r="I24" s="336">
        <v>284.8</v>
      </c>
      <c r="J24" s="336">
        <v>71</v>
      </c>
      <c r="K24" s="336">
        <v>96.5</v>
      </c>
      <c r="L24" s="336">
        <v>71</v>
      </c>
      <c r="M24" s="336">
        <v>93.9</v>
      </c>
      <c r="N24" s="337">
        <v>19</v>
      </c>
      <c r="O24" s="110">
        <f t="shared" si="0"/>
        <v>1233.2</v>
      </c>
      <c r="P24" s="111">
        <f t="shared" si="1"/>
        <v>102.8</v>
      </c>
    </row>
    <row r="25" spans="2:16" ht="22.5" customHeight="1">
      <c r="B25" s="332">
        <v>2012</v>
      </c>
      <c r="C25" s="336">
        <v>74.2</v>
      </c>
      <c r="D25" s="336">
        <v>12</v>
      </c>
      <c r="E25" s="336">
        <v>103.2</v>
      </c>
      <c r="F25" s="336">
        <v>150.5</v>
      </c>
      <c r="G25" s="336">
        <v>38.1</v>
      </c>
      <c r="H25" s="336">
        <v>76.400000000000006</v>
      </c>
      <c r="I25" s="336">
        <v>221</v>
      </c>
      <c r="J25" s="336">
        <v>220.4</v>
      </c>
      <c r="K25" s="336">
        <v>392.6</v>
      </c>
      <c r="L25" s="336">
        <v>40.6</v>
      </c>
      <c r="M25" s="336">
        <v>65.900000000000006</v>
      </c>
      <c r="N25" s="337">
        <v>63.2</v>
      </c>
      <c r="O25" s="110">
        <f t="shared" si="0"/>
        <v>1458.1</v>
      </c>
      <c r="P25" s="111">
        <f t="shared" si="1"/>
        <v>121.5</v>
      </c>
    </row>
    <row r="26" spans="2:16" ht="22.5" customHeight="1">
      <c r="B26" s="332">
        <v>2013</v>
      </c>
      <c r="C26" s="336">
        <v>22</v>
      </c>
      <c r="D26" s="336">
        <v>26.4</v>
      </c>
      <c r="E26" s="336">
        <v>78</v>
      </c>
      <c r="F26" s="336">
        <v>86.5</v>
      </c>
      <c r="G26" s="336">
        <v>155.1</v>
      </c>
      <c r="H26" s="336">
        <v>79.900000000000006</v>
      </c>
      <c r="I26" s="336">
        <v>130.1</v>
      </c>
      <c r="J26" s="336">
        <v>47.7</v>
      </c>
      <c r="K26" s="336">
        <v>49.6</v>
      </c>
      <c r="L26" s="336">
        <v>130.30000000000001</v>
      </c>
      <c r="M26" s="336">
        <v>41.6</v>
      </c>
      <c r="N26" s="337">
        <v>12.2</v>
      </c>
      <c r="O26" s="110">
        <f t="shared" si="0"/>
        <v>859.4</v>
      </c>
      <c r="P26" s="111">
        <f t="shared" si="1"/>
        <v>71.599999999999994</v>
      </c>
    </row>
    <row r="27" spans="2:16" ht="22.5" customHeight="1">
      <c r="B27" s="332">
        <v>2014</v>
      </c>
      <c r="C27" s="336">
        <v>8.6</v>
      </c>
      <c r="D27" s="336">
        <v>98.5</v>
      </c>
      <c r="E27" s="336">
        <v>122.4</v>
      </c>
      <c r="F27" s="336">
        <v>91.2</v>
      </c>
      <c r="G27" s="336">
        <v>45.7</v>
      </c>
      <c r="H27" s="336">
        <v>73.599999999999994</v>
      </c>
      <c r="I27" s="336">
        <v>96.9</v>
      </c>
      <c r="J27" s="336">
        <v>577.5</v>
      </c>
      <c r="K27" s="336">
        <v>113.2</v>
      </c>
      <c r="L27" s="336">
        <v>120.3</v>
      </c>
      <c r="M27" s="336">
        <v>44.3</v>
      </c>
      <c r="N27" s="337">
        <v>6.5</v>
      </c>
      <c r="O27" s="110">
        <f t="shared" si="0"/>
        <v>1398.7</v>
      </c>
      <c r="P27" s="111">
        <f t="shared" si="1"/>
        <v>116.6</v>
      </c>
    </row>
    <row r="28" spans="2:16" ht="22.5" customHeight="1">
      <c r="B28" s="332">
        <v>2015</v>
      </c>
      <c r="C28" s="336">
        <v>26.3</v>
      </c>
      <c r="D28" s="336">
        <v>20.399999999999999</v>
      </c>
      <c r="E28" s="336">
        <v>51.7</v>
      </c>
      <c r="F28" s="336">
        <v>122.9</v>
      </c>
      <c r="G28" s="336">
        <v>98.3</v>
      </c>
      <c r="H28" s="336">
        <v>77</v>
      </c>
      <c r="I28" s="336">
        <v>176.3</v>
      </c>
      <c r="J28" s="336">
        <v>120.2</v>
      </c>
      <c r="K28" s="336">
        <v>160.6</v>
      </c>
      <c r="L28" s="336">
        <v>39.799999999999997</v>
      </c>
      <c r="M28" s="336">
        <v>102.8</v>
      </c>
      <c r="N28" s="337">
        <v>47.6</v>
      </c>
      <c r="O28" s="110">
        <f t="shared" si="0"/>
        <v>1043.9000000000001</v>
      </c>
      <c r="P28" s="111">
        <f t="shared" si="1"/>
        <v>87</v>
      </c>
    </row>
    <row r="29" spans="2:16" ht="22.5" customHeight="1">
      <c r="B29" s="332">
        <v>2016</v>
      </c>
      <c r="C29" s="336">
        <v>50.6</v>
      </c>
      <c r="D29" s="336">
        <v>32.4</v>
      </c>
      <c r="E29" s="336">
        <v>92.2</v>
      </c>
      <c r="F29" s="336">
        <v>179.2</v>
      </c>
      <c r="G29" s="336">
        <v>86.1</v>
      </c>
      <c r="H29" s="336">
        <v>70.099999999999994</v>
      </c>
      <c r="I29" s="336">
        <v>226.9</v>
      </c>
      <c r="J29" s="336">
        <v>98.2</v>
      </c>
      <c r="K29" s="336">
        <v>364.3</v>
      </c>
      <c r="L29" s="336">
        <v>358.7</v>
      </c>
      <c r="M29" s="336">
        <v>47.1</v>
      </c>
      <c r="N29" s="337">
        <v>88.1</v>
      </c>
      <c r="O29" s="110">
        <f t="shared" si="0"/>
        <v>1693.9</v>
      </c>
      <c r="P29" s="111">
        <f t="shared" si="1"/>
        <v>141.19999999999999</v>
      </c>
    </row>
    <row r="30" spans="2:16" ht="22.5" customHeight="1">
      <c r="B30" s="332">
        <v>2017</v>
      </c>
      <c r="C30" s="336">
        <v>15.3</v>
      </c>
      <c r="D30" s="336">
        <v>23.6</v>
      </c>
      <c r="E30" s="336">
        <v>27.6</v>
      </c>
      <c r="F30" s="336">
        <v>111.9</v>
      </c>
      <c r="G30" s="336">
        <v>26.3</v>
      </c>
      <c r="H30" s="336">
        <v>38.5</v>
      </c>
      <c r="I30" s="336">
        <v>104.6</v>
      </c>
      <c r="J30" s="336">
        <v>69.8</v>
      </c>
      <c r="K30" s="336">
        <v>178</v>
      </c>
      <c r="L30" s="336">
        <v>63.1</v>
      </c>
      <c r="M30" s="336">
        <v>0</v>
      </c>
      <c r="N30" s="337">
        <v>12.7</v>
      </c>
      <c r="O30" s="110">
        <f t="shared" si="0"/>
        <v>671.4</v>
      </c>
      <c r="P30" s="111">
        <f t="shared" si="1"/>
        <v>56</v>
      </c>
    </row>
    <row r="31" spans="2:16" ht="22.5" customHeight="1">
      <c r="B31" s="332">
        <v>2018</v>
      </c>
      <c r="C31" s="336">
        <v>31.3</v>
      </c>
      <c r="D31" s="336">
        <v>44.8</v>
      </c>
      <c r="E31" s="336">
        <v>155.30000000000001</v>
      </c>
      <c r="F31" s="336">
        <v>123.3</v>
      </c>
      <c r="G31" s="336">
        <v>95.4</v>
      </c>
      <c r="H31" s="336">
        <v>127.6</v>
      </c>
      <c r="I31" s="336">
        <v>160.30000000000001</v>
      </c>
      <c r="J31" s="336">
        <v>279.3</v>
      </c>
      <c r="K31" s="336">
        <v>156.9</v>
      </c>
      <c r="L31" s="336">
        <v>162</v>
      </c>
      <c r="M31" s="336">
        <v>51.8</v>
      </c>
      <c r="N31" s="337">
        <v>28.1</v>
      </c>
      <c r="O31" s="110">
        <f t="shared" si="0"/>
        <v>1416.1</v>
      </c>
      <c r="P31" s="111">
        <f t="shared" si="1"/>
        <v>118</v>
      </c>
    </row>
    <row r="32" spans="2:16" ht="22.5" customHeight="1">
      <c r="B32" s="332">
        <v>2019</v>
      </c>
      <c r="C32" s="336">
        <v>15.5</v>
      </c>
      <c r="D32" s="336">
        <v>38.799999999999997</v>
      </c>
      <c r="E32" s="336">
        <v>40.700000000000003</v>
      </c>
      <c r="F32" s="336">
        <v>88.9</v>
      </c>
      <c r="G32" s="336">
        <v>35</v>
      </c>
      <c r="H32" s="336">
        <v>247.5</v>
      </c>
      <c r="I32" s="336">
        <v>206.5</v>
      </c>
      <c r="J32" s="336">
        <v>195.7</v>
      </c>
      <c r="K32" s="336">
        <v>287.5</v>
      </c>
      <c r="L32" s="336">
        <v>222.2</v>
      </c>
      <c r="M32" s="336">
        <v>31</v>
      </c>
      <c r="N32" s="337">
        <v>40.799999999999997</v>
      </c>
      <c r="O32" s="110">
        <f t="shared" si="0"/>
        <v>1450.1</v>
      </c>
      <c r="P32" s="111">
        <f t="shared" si="1"/>
        <v>120.8</v>
      </c>
    </row>
    <row r="33" spans="2:16" ht="22.5" customHeight="1">
      <c r="B33" s="332">
        <v>2020</v>
      </c>
      <c r="C33" s="336">
        <v>178.7</v>
      </c>
      <c r="D33" s="336">
        <v>53.6</v>
      </c>
      <c r="E33" s="336">
        <v>41.6</v>
      </c>
      <c r="F33" s="336">
        <v>73.2</v>
      </c>
      <c r="G33" s="336">
        <v>51.5</v>
      </c>
      <c r="H33" s="336">
        <v>218.6</v>
      </c>
      <c r="I33" s="336">
        <v>498.3</v>
      </c>
      <c r="J33" s="336">
        <v>137.1</v>
      </c>
      <c r="K33" s="336">
        <v>243</v>
      </c>
      <c r="L33" s="336">
        <v>18.899999999999999</v>
      </c>
      <c r="M33" s="336">
        <v>37.700000000000003</v>
      </c>
      <c r="N33" s="337">
        <v>5.7</v>
      </c>
      <c r="O33" s="110">
        <f t="shared" si="0"/>
        <v>1557.9</v>
      </c>
      <c r="P33" s="111">
        <f t="shared" si="1"/>
        <v>129.80000000000001</v>
      </c>
    </row>
    <row r="34" spans="2:16" ht="22.5" customHeight="1" thickBot="1">
      <c r="B34" s="333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9"/>
      <c r="O34" s="114">
        <f t="shared" si="0"/>
        <v>0</v>
      </c>
      <c r="P34" s="115">
        <f t="shared" si="1"/>
        <v>0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592.5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88.1</v>
      </c>
      <c r="O35" s="116">
        <f>ROUND(MAX(O5:O34),1)</f>
        <v>1864.9</v>
      </c>
      <c r="P35" s="117">
        <f>ROUND(MAX(P5:P34),1)</f>
        <v>155.4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0</v>
      </c>
      <c r="P36" s="109">
        <f>ROUND(MIN(P5:P34),1)</f>
        <v>0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40</v>
      </c>
      <c r="E37" s="351">
        <f t="shared" si="4"/>
        <v>67.099999999999994</v>
      </c>
      <c r="F37" s="351">
        <f t="shared" si="4"/>
        <v>94.6</v>
      </c>
      <c r="G37" s="351">
        <f t="shared" si="4"/>
        <v>108.2</v>
      </c>
      <c r="H37" s="351">
        <f t="shared" si="4"/>
        <v>154.9</v>
      </c>
      <c r="I37" s="351">
        <f t="shared" si="4"/>
        <v>226.7</v>
      </c>
      <c r="J37" s="351">
        <f t="shared" si="4"/>
        <v>218</v>
      </c>
      <c r="K37" s="351">
        <f t="shared" si="4"/>
        <v>170.4</v>
      </c>
      <c r="L37" s="351">
        <f t="shared" si="4"/>
        <v>77.3</v>
      </c>
      <c r="M37" s="351">
        <f t="shared" si="4"/>
        <v>45.3</v>
      </c>
      <c r="N37" s="352">
        <f t="shared" si="4"/>
        <v>25.1</v>
      </c>
      <c r="O37" s="119">
        <f>ROUND(AVERAGE(O5:O34),1)</f>
        <v>1224</v>
      </c>
      <c r="P37" s="120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2012</v>
      </c>
      <c r="C41" s="336">
        <v>74.2</v>
      </c>
      <c r="D41" s="336">
        <v>12</v>
      </c>
      <c r="E41" s="336">
        <v>103.2</v>
      </c>
      <c r="F41" s="336">
        <v>150.5</v>
      </c>
      <c r="G41" s="336">
        <v>38.1</v>
      </c>
      <c r="H41" s="336">
        <v>76.400000000000006</v>
      </c>
      <c r="I41" s="336">
        <v>221</v>
      </c>
      <c r="J41" s="336">
        <v>220.4</v>
      </c>
      <c r="K41" s="336">
        <v>392.6</v>
      </c>
      <c r="L41" s="336">
        <v>40.6</v>
      </c>
      <c r="M41" s="336">
        <v>65.900000000000006</v>
      </c>
      <c r="N41" s="337">
        <v>63.2</v>
      </c>
      <c r="O41" s="121">
        <f>ROUND(SUM(C41:N41),1)</f>
        <v>1458.1</v>
      </c>
      <c r="P41" s="109">
        <f>ROUND(O41/12,1)</f>
        <v>121.5</v>
      </c>
    </row>
    <row r="42" spans="2:16" ht="22.5" customHeight="1">
      <c r="B42" s="340">
        <v>2013</v>
      </c>
      <c r="C42" s="336">
        <v>22</v>
      </c>
      <c r="D42" s="336">
        <v>26.4</v>
      </c>
      <c r="E42" s="336">
        <v>78</v>
      </c>
      <c r="F42" s="336">
        <v>86.5</v>
      </c>
      <c r="G42" s="336">
        <v>155.1</v>
      </c>
      <c r="H42" s="336">
        <v>79.900000000000006</v>
      </c>
      <c r="I42" s="336">
        <v>130.1</v>
      </c>
      <c r="J42" s="336">
        <v>47.7</v>
      </c>
      <c r="K42" s="336">
        <v>49.6</v>
      </c>
      <c r="L42" s="336">
        <v>130.30000000000001</v>
      </c>
      <c r="M42" s="336">
        <v>41.6</v>
      </c>
      <c r="N42" s="337">
        <v>12.2</v>
      </c>
      <c r="O42" s="121">
        <f t="shared" ref="O42:O50" si="5">ROUND(SUM(C42:N42),1)</f>
        <v>859.4</v>
      </c>
      <c r="P42" s="109">
        <f t="shared" ref="P42:P50" si="6">ROUND(O42/12,1)</f>
        <v>71.599999999999994</v>
      </c>
    </row>
    <row r="43" spans="2:16" ht="22.5" customHeight="1">
      <c r="B43" s="340">
        <v>2014</v>
      </c>
      <c r="C43" s="336">
        <v>8.6</v>
      </c>
      <c r="D43" s="336">
        <v>98.5</v>
      </c>
      <c r="E43" s="336">
        <v>122.4</v>
      </c>
      <c r="F43" s="336">
        <v>91.2</v>
      </c>
      <c r="G43" s="336">
        <v>45.7</v>
      </c>
      <c r="H43" s="336">
        <v>73.599999999999994</v>
      </c>
      <c r="I43" s="336">
        <v>96.9</v>
      </c>
      <c r="J43" s="336">
        <v>577.5</v>
      </c>
      <c r="K43" s="336">
        <v>113.2</v>
      </c>
      <c r="L43" s="336">
        <v>120.3</v>
      </c>
      <c r="M43" s="336">
        <v>44.3</v>
      </c>
      <c r="N43" s="337">
        <v>6.5</v>
      </c>
      <c r="O43" s="121">
        <f t="shared" si="5"/>
        <v>1398.7</v>
      </c>
      <c r="P43" s="109">
        <f t="shared" si="6"/>
        <v>116.6</v>
      </c>
    </row>
    <row r="44" spans="2:16" ht="22.5" customHeight="1">
      <c r="B44" s="340">
        <v>2015</v>
      </c>
      <c r="C44" s="336">
        <v>26.3</v>
      </c>
      <c r="D44" s="336">
        <v>20.399999999999999</v>
      </c>
      <c r="E44" s="336">
        <v>51.7</v>
      </c>
      <c r="F44" s="336">
        <v>122.9</v>
      </c>
      <c r="G44" s="336">
        <v>98.3</v>
      </c>
      <c r="H44" s="336">
        <v>77</v>
      </c>
      <c r="I44" s="336">
        <v>176.3</v>
      </c>
      <c r="J44" s="336">
        <v>120.2</v>
      </c>
      <c r="K44" s="336">
        <v>160.6</v>
      </c>
      <c r="L44" s="336">
        <v>39.799999999999997</v>
      </c>
      <c r="M44" s="336">
        <v>102.8</v>
      </c>
      <c r="N44" s="337">
        <v>47.6</v>
      </c>
      <c r="O44" s="121">
        <f t="shared" si="5"/>
        <v>1043.9000000000001</v>
      </c>
      <c r="P44" s="109">
        <f t="shared" si="6"/>
        <v>87</v>
      </c>
    </row>
    <row r="45" spans="2:16" ht="22.5" customHeight="1">
      <c r="B45" s="340">
        <v>2016</v>
      </c>
      <c r="C45" s="336">
        <v>50.6</v>
      </c>
      <c r="D45" s="336">
        <v>32.4</v>
      </c>
      <c r="E45" s="336">
        <v>92.2</v>
      </c>
      <c r="F45" s="336">
        <v>179.2</v>
      </c>
      <c r="G45" s="336">
        <v>86.1</v>
      </c>
      <c r="H45" s="336">
        <v>70.099999999999994</v>
      </c>
      <c r="I45" s="336">
        <v>226.9</v>
      </c>
      <c r="J45" s="336">
        <v>98.2</v>
      </c>
      <c r="K45" s="336">
        <v>364.3</v>
      </c>
      <c r="L45" s="336">
        <v>358.7</v>
      </c>
      <c r="M45" s="336">
        <v>47.1</v>
      </c>
      <c r="N45" s="337">
        <v>88.1</v>
      </c>
      <c r="O45" s="121">
        <f t="shared" si="5"/>
        <v>1693.9</v>
      </c>
      <c r="P45" s="109">
        <f t="shared" si="6"/>
        <v>141.19999999999999</v>
      </c>
    </row>
    <row r="46" spans="2:16" ht="22.5" customHeight="1">
      <c r="B46" s="340">
        <v>2017</v>
      </c>
      <c r="C46" s="336">
        <v>15.3</v>
      </c>
      <c r="D46" s="336">
        <v>23.6</v>
      </c>
      <c r="E46" s="336">
        <v>27.6</v>
      </c>
      <c r="F46" s="336">
        <v>111.9</v>
      </c>
      <c r="G46" s="336">
        <v>26.3</v>
      </c>
      <c r="H46" s="336">
        <v>38.5</v>
      </c>
      <c r="I46" s="336">
        <v>104.6</v>
      </c>
      <c r="J46" s="336">
        <v>69.8</v>
      </c>
      <c r="K46" s="336">
        <v>178</v>
      </c>
      <c r="L46" s="336">
        <v>63.1</v>
      </c>
      <c r="M46" s="336">
        <v>0</v>
      </c>
      <c r="N46" s="337">
        <v>12.7</v>
      </c>
      <c r="O46" s="121">
        <f t="shared" si="5"/>
        <v>671.4</v>
      </c>
      <c r="P46" s="109">
        <f t="shared" si="6"/>
        <v>56</v>
      </c>
    </row>
    <row r="47" spans="2:16" ht="22.5" customHeight="1">
      <c r="B47" s="340">
        <v>2018</v>
      </c>
      <c r="C47" s="336">
        <v>31.3</v>
      </c>
      <c r="D47" s="336">
        <v>44.8</v>
      </c>
      <c r="E47" s="336">
        <v>155.30000000000001</v>
      </c>
      <c r="F47" s="336">
        <v>123.3</v>
      </c>
      <c r="G47" s="336">
        <v>95.4</v>
      </c>
      <c r="H47" s="336">
        <v>127.6</v>
      </c>
      <c r="I47" s="336">
        <v>160.30000000000001</v>
      </c>
      <c r="J47" s="336">
        <v>279.3</v>
      </c>
      <c r="K47" s="336">
        <v>156.9</v>
      </c>
      <c r="L47" s="336">
        <v>162</v>
      </c>
      <c r="M47" s="336">
        <v>51.8</v>
      </c>
      <c r="N47" s="337">
        <v>28.1</v>
      </c>
      <c r="O47" s="121">
        <f t="shared" si="5"/>
        <v>1416.1</v>
      </c>
      <c r="P47" s="109">
        <f t="shared" si="6"/>
        <v>118</v>
      </c>
    </row>
    <row r="48" spans="2:16" ht="22.5" customHeight="1">
      <c r="B48" s="340">
        <v>2019</v>
      </c>
      <c r="C48" s="336">
        <v>15.5</v>
      </c>
      <c r="D48" s="336">
        <v>38.799999999999997</v>
      </c>
      <c r="E48" s="336">
        <v>40.700000000000003</v>
      </c>
      <c r="F48" s="336">
        <v>88.9</v>
      </c>
      <c r="G48" s="336">
        <v>35</v>
      </c>
      <c r="H48" s="336">
        <v>247.5</v>
      </c>
      <c r="I48" s="336">
        <v>206.5</v>
      </c>
      <c r="J48" s="336">
        <v>195.7</v>
      </c>
      <c r="K48" s="336">
        <v>287.5</v>
      </c>
      <c r="L48" s="336">
        <v>222.2</v>
      </c>
      <c r="M48" s="336">
        <v>31</v>
      </c>
      <c r="N48" s="337">
        <v>40.799999999999997</v>
      </c>
      <c r="O48" s="121">
        <f t="shared" si="5"/>
        <v>1450.1</v>
      </c>
      <c r="P48" s="109">
        <f t="shared" si="6"/>
        <v>120.8</v>
      </c>
    </row>
    <row r="49" spans="2:16" ht="22.5" customHeight="1">
      <c r="B49" s="340">
        <v>2020</v>
      </c>
      <c r="C49" s="336">
        <v>178.7</v>
      </c>
      <c r="D49" s="336">
        <v>53.6</v>
      </c>
      <c r="E49" s="336">
        <v>41.6</v>
      </c>
      <c r="F49" s="336">
        <v>73.2</v>
      </c>
      <c r="G49" s="336">
        <v>51.5</v>
      </c>
      <c r="H49" s="336">
        <v>218.6</v>
      </c>
      <c r="I49" s="336">
        <v>498.3</v>
      </c>
      <c r="J49" s="336">
        <v>137.1</v>
      </c>
      <c r="K49" s="336">
        <v>243</v>
      </c>
      <c r="L49" s="336">
        <v>18.899999999999999</v>
      </c>
      <c r="M49" s="336">
        <v>37.700000000000003</v>
      </c>
      <c r="N49" s="337">
        <v>5.7</v>
      </c>
      <c r="O49" s="121">
        <f t="shared" si="5"/>
        <v>1557.9</v>
      </c>
      <c r="P49" s="109">
        <f t="shared" si="6"/>
        <v>129.80000000000001</v>
      </c>
    </row>
    <row r="50" spans="2:16" ht="22.5" customHeight="1" thickBot="1">
      <c r="B50" s="333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9"/>
      <c r="O50" s="122">
        <f t="shared" si="5"/>
        <v>0</v>
      </c>
      <c r="P50" s="113">
        <f t="shared" si="6"/>
        <v>0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247.5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27.6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0</v>
      </c>
      <c r="P52" s="109">
        <f t="shared" si="8"/>
        <v>0</v>
      </c>
    </row>
    <row r="53" spans="2:16" ht="22.5" customHeight="1" thickBot="1">
      <c r="B53" s="126" t="s">
        <v>39</v>
      </c>
      <c r="C53" s="345">
        <f>ROUND(AVERAGE(C41:C50),1)</f>
        <v>46.9</v>
      </c>
      <c r="D53" s="345">
        <f t="shared" ref="D53:N53" si="9">ROUND(AVERAGE(D41:D50),1)</f>
        <v>38.9</v>
      </c>
      <c r="E53" s="345">
        <f t="shared" si="9"/>
        <v>79.2</v>
      </c>
      <c r="F53" s="345">
        <f t="shared" si="9"/>
        <v>114.2</v>
      </c>
      <c r="G53" s="345">
        <f t="shared" si="9"/>
        <v>70.2</v>
      </c>
      <c r="H53" s="345">
        <f t="shared" si="9"/>
        <v>112.1</v>
      </c>
      <c r="I53" s="345">
        <f t="shared" si="9"/>
        <v>202.3</v>
      </c>
      <c r="J53" s="345">
        <f t="shared" si="9"/>
        <v>194</v>
      </c>
      <c r="K53" s="345">
        <f t="shared" si="9"/>
        <v>216.2</v>
      </c>
      <c r="L53" s="345">
        <f t="shared" si="9"/>
        <v>128.4</v>
      </c>
      <c r="M53" s="345">
        <f t="shared" si="9"/>
        <v>46.9</v>
      </c>
      <c r="N53" s="346">
        <f t="shared" si="9"/>
        <v>33.9</v>
      </c>
      <c r="O53" s="127">
        <f>ROUND(AVERAGE(O41:O50),1)</f>
        <v>1155</v>
      </c>
      <c r="P53" s="120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1992</v>
      </c>
      <c r="C3" s="306">
        <f>All!C5</f>
        <v>41.5</v>
      </c>
      <c r="D3" s="306">
        <f>All!D5</f>
        <v>26.9</v>
      </c>
      <c r="E3" s="306">
        <f>All!E5</f>
        <v>96.1</v>
      </c>
      <c r="F3" s="306">
        <f>All!F5</f>
        <v>152.69999999999999</v>
      </c>
      <c r="G3" s="306">
        <f>All!G5</f>
        <v>86.3</v>
      </c>
      <c r="H3" s="306">
        <f>All!H5</f>
        <v>29.2</v>
      </c>
      <c r="I3" s="306">
        <f>All!I5</f>
        <v>103.5</v>
      </c>
      <c r="J3" s="306">
        <f>All!J5</f>
        <v>318.39999999999998</v>
      </c>
      <c r="K3" s="306">
        <f>All!K5</f>
        <v>168</v>
      </c>
      <c r="L3" s="306">
        <f>All!L5</f>
        <v>24.8</v>
      </c>
      <c r="M3" s="306">
        <f>All!M5</f>
        <v>53.6</v>
      </c>
      <c r="N3" s="306">
        <f>All!N5</f>
        <v>54.4</v>
      </c>
      <c r="O3" s="306">
        <f>All!O5</f>
        <v>1155.4000000000001</v>
      </c>
      <c r="P3" s="316">
        <f>All!P5</f>
        <v>96.3</v>
      </c>
    </row>
    <row r="4" spans="2:16">
      <c r="B4" s="315">
        <f>All!B6</f>
        <v>1993</v>
      </c>
      <c r="C4" s="306">
        <f>All!C6</f>
        <v>52.4</v>
      </c>
      <c r="D4" s="306">
        <f>All!D6</f>
        <v>75.7</v>
      </c>
      <c r="E4" s="306">
        <f>All!E6</f>
        <v>55.4</v>
      </c>
      <c r="F4" s="306">
        <f>All!F6</f>
        <v>22.8</v>
      </c>
      <c r="G4" s="306">
        <f>All!G6</f>
        <v>119.9</v>
      </c>
      <c r="H4" s="306">
        <f>All!H6</f>
        <v>236.7</v>
      </c>
      <c r="I4" s="306">
        <f>All!I6</f>
        <v>327.2</v>
      </c>
      <c r="J4" s="306">
        <f>All!J6</f>
        <v>559.5</v>
      </c>
      <c r="K4" s="306">
        <f>All!K6</f>
        <v>30.1</v>
      </c>
      <c r="L4" s="306">
        <f>All!L6</f>
        <v>78.400000000000006</v>
      </c>
      <c r="M4" s="306">
        <f>All!M6</f>
        <v>69.900000000000006</v>
      </c>
      <c r="N4" s="306">
        <f>All!N6</f>
        <v>21.4</v>
      </c>
      <c r="O4" s="306">
        <f>All!O6</f>
        <v>1649.4</v>
      </c>
      <c r="P4" s="316">
        <f>All!P6</f>
        <v>137.5</v>
      </c>
    </row>
    <row r="5" spans="2:16">
      <c r="B5" s="315">
        <f>All!B7</f>
        <v>1994</v>
      </c>
      <c r="C5" s="306">
        <f>All!C7</f>
        <v>28.2</v>
      </c>
      <c r="D5" s="306">
        <f>All!D7</f>
        <v>44.9</v>
      </c>
      <c r="E5" s="306">
        <f>All!E7</f>
        <v>31</v>
      </c>
      <c r="F5" s="306">
        <f>All!F7</f>
        <v>83.6</v>
      </c>
      <c r="G5" s="306">
        <f>All!G7</f>
        <v>186.9</v>
      </c>
      <c r="H5" s="306">
        <f>All!H7</f>
        <v>122.1</v>
      </c>
      <c r="I5" s="306">
        <f>All!I7</f>
        <v>103.3</v>
      </c>
      <c r="J5" s="306">
        <f>All!J7</f>
        <v>61.2</v>
      </c>
      <c r="K5" s="306">
        <f>All!K7</f>
        <v>68.2</v>
      </c>
      <c r="L5" s="306">
        <f>All!L7</f>
        <v>142.69999999999999</v>
      </c>
      <c r="M5" s="306">
        <f>All!M7</f>
        <v>43</v>
      </c>
      <c r="N5" s="306">
        <f>All!N7</f>
        <v>6.3</v>
      </c>
      <c r="O5" s="306">
        <f>All!O7</f>
        <v>921.4</v>
      </c>
      <c r="P5" s="316">
        <f>All!P7</f>
        <v>76.8</v>
      </c>
    </row>
    <row r="6" spans="2:16">
      <c r="B6" s="315">
        <f>All!B8</f>
        <v>1995</v>
      </c>
      <c r="C6" s="306">
        <f>All!C8</f>
        <v>29.6</v>
      </c>
      <c r="D6" s="306">
        <f>All!D8</f>
        <v>19.100000000000001</v>
      </c>
      <c r="E6" s="306">
        <f>All!E8</f>
        <v>68.5</v>
      </c>
      <c r="F6" s="306">
        <f>All!F8</f>
        <v>64.8</v>
      </c>
      <c r="G6" s="306">
        <f>All!G8</f>
        <v>90.3</v>
      </c>
      <c r="H6" s="306">
        <f>All!H8</f>
        <v>115.1</v>
      </c>
      <c r="I6" s="306">
        <f>All!I8</f>
        <v>110.3</v>
      </c>
      <c r="J6" s="306">
        <f>All!J8</f>
        <v>99.9</v>
      </c>
      <c r="K6" s="306">
        <f>All!K8</f>
        <v>45.5</v>
      </c>
      <c r="L6" s="306">
        <f>All!L8</f>
        <v>47.6</v>
      </c>
      <c r="M6" s="306">
        <f>All!M8</f>
        <v>2.1</v>
      </c>
      <c r="N6" s="306">
        <f>All!N8</f>
        <v>0.2</v>
      </c>
      <c r="O6" s="306">
        <f>All!O8</f>
        <v>693</v>
      </c>
      <c r="P6" s="316">
        <f>All!P8</f>
        <v>57.8</v>
      </c>
    </row>
    <row r="7" spans="2:16">
      <c r="B7" s="315">
        <f>All!B9</f>
        <v>1996</v>
      </c>
      <c r="C7" s="306">
        <f>All!C9</f>
        <v>32.5</v>
      </c>
      <c r="D7" s="306">
        <f>All!D9</f>
        <v>2.5</v>
      </c>
      <c r="E7" s="306">
        <f>All!E9</f>
        <v>160.1</v>
      </c>
      <c r="F7" s="306">
        <f>All!F9</f>
        <v>63.8</v>
      </c>
      <c r="G7" s="306">
        <f>All!G9</f>
        <v>42</v>
      </c>
      <c r="H7" s="306">
        <f>All!H9</f>
        <v>371</v>
      </c>
      <c r="I7" s="306">
        <f>All!I9</f>
        <v>116.8</v>
      </c>
      <c r="J7" s="306">
        <f>All!J9</f>
        <v>74.599999999999994</v>
      </c>
      <c r="K7" s="306">
        <f>All!K9</f>
        <v>26.8</v>
      </c>
      <c r="L7" s="306">
        <f>All!L9</f>
        <v>35.9</v>
      </c>
      <c r="M7" s="306">
        <f>All!M9</f>
        <v>61.7</v>
      </c>
      <c r="N7" s="306">
        <f>All!N9</f>
        <v>27.3</v>
      </c>
      <c r="O7" s="306">
        <f>All!O9</f>
        <v>1015</v>
      </c>
      <c r="P7" s="316">
        <f>All!P9</f>
        <v>84.6</v>
      </c>
    </row>
    <row r="8" spans="2:16">
      <c r="B8" s="315">
        <f>All!B10</f>
        <v>1997</v>
      </c>
      <c r="C8" s="306">
        <f>All!C10</f>
        <v>10.9</v>
      </c>
      <c r="D8" s="306">
        <f>All!D10</f>
        <v>4.4000000000000004</v>
      </c>
      <c r="E8" s="306">
        <f>All!E10</f>
        <v>25.4</v>
      </c>
      <c r="F8" s="306">
        <f>All!F10</f>
        <v>57</v>
      </c>
      <c r="G8" s="306">
        <f>All!G10</f>
        <v>172.9</v>
      </c>
      <c r="H8" s="306">
        <f>All!H10</f>
        <v>282.10000000000002</v>
      </c>
      <c r="I8" s="306">
        <f>All!I10</f>
        <v>188.5</v>
      </c>
      <c r="J8" s="306">
        <f>All!J10</f>
        <v>192.3</v>
      </c>
      <c r="K8" s="306">
        <f>All!K10</f>
        <v>50</v>
      </c>
      <c r="L8" s="306">
        <f>All!L10</f>
        <v>0.7</v>
      </c>
      <c r="M8" s="306">
        <f>All!M10</f>
        <v>151.6</v>
      </c>
      <c r="N8" s="306">
        <f>All!N10</f>
        <v>62.8</v>
      </c>
      <c r="O8" s="306">
        <f>All!O10</f>
        <v>1198.5999999999999</v>
      </c>
      <c r="P8" s="316">
        <f>All!P10</f>
        <v>99.9</v>
      </c>
    </row>
    <row r="9" spans="2:16">
      <c r="B9" s="315">
        <f>All!B11</f>
        <v>1998</v>
      </c>
      <c r="C9" s="306">
        <f>All!C11</f>
        <v>119.6</v>
      </c>
      <c r="D9" s="306">
        <f>All!D11</f>
        <v>81.599999999999994</v>
      </c>
      <c r="E9" s="306">
        <f>All!E11</f>
        <v>51.6</v>
      </c>
      <c r="F9" s="306">
        <f>All!F11</f>
        <v>182</v>
      </c>
      <c r="G9" s="306">
        <f>All!G11</f>
        <v>166.5</v>
      </c>
      <c r="H9" s="306">
        <f>All!H11</f>
        <v>268.7</v>
      </c>
      <c r="I9" s="306">
        <f>All!I11</f>
        <v>194.5</v>
      </c>
      <c r="J9" s="306">
        <f>All!J11</f>
        <v>346</v>
      </c>
      <c r="K9" s="306">
        <f>All!K11</f>
        <v>259.60000000000002</v>
      </c>
      <c r="L9" s="306">
        <f>All!L11</f>
        <v>107.1</v>
      </c>
      <c r="M9" s="306">
        <f>All!M11</f>
        <v>18.5</v>
      </c>
      <c r="N9" s="306">
        <f>All!N11</f>
        <v>0.3</v>
      </c>
      <c r="O9" s="306">
        <f>All!O11</f>
        <v>1796</v>
      </c>
      <c r="P9" s="316">
        <f>All!P11</f>
        <v>149.69999999999999</v>
      </c>
    </row>
    <row r="10" spans="2:16">
      <c r="B10" s="315">
        <f>All!B12</f>
        <v>1999</v>
      </c>
      <c r="C10" s="306">
        <f>All!C12</f>
        <v>30.6</v>
      </c>
      <c r="D10" s="306">
        <f>All!D12</f>
        <v>29</v>
      </c>
      <c r="E10" s="306">
        <f>All!E12</f>
        <v>122.3</v>
      </c>
      <c r="F10" s="306">
        <f>All!F12</f>
        <v>74.5</v>
      </c>
      <c r="G10" s="306">
        <f>All!G12</f>
        <v>157.1</v>
      </c>
      <c r="H10" s="306">
        <f>All!H12</f>
        <v>229</v>
      </c>
      <c r="I10" s="306">
        <f>All!I12</f>
        <v>296.3</v>
      </c>
      <c r="J10" s="306">
        <f>All!J12</f>
        <v>447.4</v>
      </c>
      <c r="K10" s="306">
        <f>All!K12</f>
        <v>367.3</v>
      </c>
      <c r="L10" s="306">
        <f>All!L12</f>
        <v>89.9</v>
      </c>
      <c r="M10" s="306">
        <f>All!M12</f>
        <v>21.5</v>
      </c>
      <c r="N10" s="306">
        <f>All!N12</f>
        <v>0</v>
      </c>
      <c r="O10" s="306">
        <f>All!O12</f>
        <v>1864.9</v>
      </c>
      <c r="P10" s="316">
        <f>All!P12</f>
        <v>155.4</v>
      </c>
    </row>
    <row r="11" spans="2:16">
      <c r="B11" s="315">
        <f>All!B13</f>
        <v>2000</v>
      </c>
      <c r="C11" s="306">
        <f>All!C13</f>
        <v>24</v>
      </c>
      <c r="D11" s="306">
        <f>All!D13</f>
        <v>0.1</v>
      </c>
      <c r="E11" s="306">
        <f>All!E13</f>
        <v>58.5</v>
      </c>
      <c r="F11" s="306">
        <f>All!F13</f>
        <v>62.5</v>
      </c>
      <c r="G11" s="306">
        <f>All!G13</f>
        <v>49.2</v>
      </c>
      <c r="H11" s="306">
        <f>All!H13</f>
        <v>78.400000000000006</v>
      </c>
      <c r="I11" s="306">
        <f>All!I13</f>
        <v>165.4</v>
      </c>
      <c r="J11" s="306">
        <f>All!J13</f>
        <v>262.10000000000002</v>
      </c>
      <c r="K11" s="306">
        <f>All!K13</f>
        <v>217</v>
      </c>
      <c r="L11" s="306">
        <f>All!L13</f>
        <v>41.4</v>
      </c>
      <c r="M11" s="306">
        <f>All!M13</f>
        <v>67.5</v>
      </c>
      <c r="N11" s="306">
        <f>All!N13</f>
        <v>1</v>
      </c>
      <c r="O11" s="306">
        <f>All!O13</f>
        <v>1027.0999999999999</v>
      </c>
      <c r="P11" s="316">
        <f>All!P13</f>
        <v>85.6</v>
      </c>
    </row>
    <row r="12" spans="2:16">
      <c r="B12" s="315">
        <f>All!B14</f>
        <v>2001</v>
      </c>
      <c r="C12" s="306">
        <f>All!C14</f>
        <v>59.4</v>
      </c>
      <c r="D12" s="306">
        <f>All!D14</f>
        <v>56.2</v>
      </c>
      <c r="E12" s="306">
        <f>All!E14</f>
        <v>9.4</v>
      </c>
      <c r="F12" s="306">
        <f>All!F14</f>
        <v>28</v>
      </c>
      <c r="G12" s="306">
        <f>All!G14</f>
        <v>55.9</v>
      </c>
      <c r="H12" s="306">
        <f>All!H14</f>
        <v>203.3</v>
      </c>
      <c r="I12" s="306">
        <f>All!I14</f>
        <v>121.6</v>
      </c>
      <c r="J12" s="306">
        <f>All!J14</f>
        <v>87.4</v>
      </c>
      <c r="K12" s="306">
        <f>All!K14</f>
        <v>94.5</v>
      </c>
      <c r="L12" s="306">
        <f>All!L14</f>
        <v>98.3</v>
      </c>
      <c r="M12" s="306">
        <f>All!M14</f>
        <v>13.2</v>
      </c>
      <c r="N12" s="306">
        <f>All!N14</f>
        <v>41.9</v>
      </c>
      <c r="O12" s="306">
        <f>All!O14</f>
        <v>869.1</v>
      </c>
      <c r="P12" s="316">
        <f>All!P14</f>
        <v>72.400000000000006</v>
      </c>
    </row>
    <row r="13" spans="2:16">
      <c r="B13" s="315">
        <f>All!B15</f>
        <v>2002</v>
      </c>
      <c r="C13" s="306">
        <f>All!C15</f>
        <v>49.6</v>
      </c>
      <c r="D13" s="306">
        <f>All!D15</f>
        <v>7.2</v>
      </c>
      <c r="E13" s="306">
        <f>All!E15</f>
        <v>86.5</v>
      </c>
      <c r="F13" s="306">
        <f>All!F15</f>
        <v>91.1</v>
      </c>
      <c r="G13" s="306">
        <f>All!G15</f>
        <v>112.9</v>
      </c>
      <c r="H13" s="306">
        <f>All!H15</f>
        <v>52.6</v>
      </c>
      <c r="I13" s="306">
        <f>All!I15</f>
        <v>326.60000000000002</v>
      </c>
      <c r="J13" s="306">
        <f>All!J15</f>
        <v>592.5</v>
      </c>
      <c r="K13" s="306">
        <f>All!K15</f>
        <v>99.9</v>
      </c>
      <c r="L13" s="306">
        <f>All!L15</f>
        <v>89.9</v>
      </c>
      <c r="M13" s="306">
        <f>All!M15</f>
        <v>3.5</v>
      </c>
      <c r="N13" s="306">
        <f>All!N15</f>
        <v>47.5</v>
      </c>
      <c r="O13" s="306">
        <f>All!O15</f>
        <v>1559.8</v>
      </c>
      <c r="P13" s="316">
        <f>All!P15</f>
        <v>130</v>
      </c>
    </row>
    <row r="14" spans="2:16">
      <c r="B14" s="315">
        <f>All!B16</f>
        <v>2003</v>
      </c>
      <c r="C14" s="306">
        <f>All!C16</f>
        <v>26.7</v>
      </c>
      <c r="D14" s="306">
        <f>All!D16</f>
        <v>50.6</v>
      </c>
      <c r="E14" s="306">
        <f>All!E16</f>
        <v>40.4</v>
      </c>
      <c r="F14" s="306">
        <f>All!F16</f>
        <v>156.6</v>
      </c>
      <c r="G14" s="306">
        <f>All!G16</f>
        <v>352.8</v>
      </c>
      <c r="H14" s="306">
        <f>All!H16</f>
        <v>269</v>
      </c>
      <c r="I14" s="306">
        <f>All!I16</f>
        <v>469.8</v>
      </c>
      <c r="J14" s="306">
        <f>All!J16</f>
        <v>223.1</v>
      </c>
      <c r="K14" s="306">
        <f>All!K16</f>
        <v>145.19999999999999</v>
      </c>
      <c r="L14" s="306">
        <f>All!L16</f>
        <v>4.5</v>
      </c>
      <c r="M14" s="306">
        <f>All!M16</f>
        <v>114.5</v>
      </c>
      <c r="N14" s="306">
        <f>All!N16</f>
        <v>11</v>
      </c>
      <c r="O14" s="306">
        <f>All!O16</f>
        <v>1864.2</v>
      </c>
      <c r="P14" s="316">
        <f>All!P16</f>
        <v>155.4</v>
      </c>
    </row>
    <row r="15" spans="2:16">
      <c r="B15" s="315">
        <f>All!B17</f>
        <v>2004</v>
      </c>
      <c r="C15" s="306">
        <f>All!C17</f>
        <v>10.7</v>
      </c>
      <c r="D15" s="306">
        <f>All!D17</f>
        <v>51.1</v>
      </c>
      <c r="E15" s="306">
        <f>All!E17</f>
        <v>20.5</v>
      </c>
      <c r="F15" s="306">
        <f>All!F17</f>
        <v>124.5</v>
      </c>
      <c r="G15" s="306">
        <f>All!G17</f>
        <v>104</v>
      </c>
      <c r="H15" s="306">
        <f>All!H17</f>
        <v>201.8</v>
      </c>
      <c r="I15" s="306">
        <f>All!I17</f>
        <v>102</v>
      </c>
      <c r="J15" s="306">
        <f>All!J17</f>
        <v>264.89999999999998</v>
      </c>
      <c r="K15" s="306">
        <f>All!K17</f>
        <v>273.60000000000002</v>
      </c>
      <c r="L15" s="306">
        <f>All!L17</f>
        <v>6.7</v>
      </c>
      <c r="M15" s="306">
        <f>All!M17</f>
        <v>64.7</v>
      </c>
      <c r="N15" s="306">
        <f>All!N17</f>
        <v>25.6</v>
      </c>
      <c r="O15" s="306">
        <f>All!O17</f>
        <v>1250.0999999999999</v>
      </c>
      <c r="P15" s="316">
        <f>All!P17</f>
        <v>104.2</v>
      </c>
    </row>
    <row r="16" spans="2:16">
      <c r="B16" s="315">
        <f>All!B18</f>
        <v>2005</v>
      </c>
      <c r="C16" s="306">
        <f>All!C18</f>
        <v>36.5</v>
      </c>
      <c r="D16" s="306">
        <f>All!D18</f>
        <v>34.4</v>
      </c>
      <c r="E16" s="306">
        <f>All!E18</f>
        <v>102.9</v>
      </c>
      <c r="F16" s="306">
        <f>All!F18</f>
        <v>48.1</v>
      </c>
      <c r="G16" s="306">
        <f>All!G18</f>
        <v>52.6</v>
      </c>
      <c r="H16" s="306">
        <f>All!H18</f>
        <v>72.5</v>
      </c>
      <c r="I16" s="306">
        <f>All!I18</f>
        <v>148.1</v>
      </c>
      <c r="J16" s="306">
        <f>All!J18</f>
        <v>210.6</v>
      </c>
      <c r="K16" s="306">
        <f>All!K18</f>
        <v>392.2</v>
      </c>
      <c r="L16" s="306">
        <f>All!L18</f>
        <v>12.2</v>
      </c>
      <c r="M16" s="306">
        <f>All!M18</f>
        <v>24.5</v>
      </c>
      <c r="N16" s="306">
        <f>All!N18</f>
        <v>1.1000000000000001</v>
      </c>
      <c r="O16" s="306">
        <f>All!O18</f>
        <v>1135.7</v>
      </c>
      <c r="P16" s="316">
        <f>All!P18</f>
        <v>94.6</v>
      </c>
    </row>
    <row r="17" spans="2:16">
      <c r="B17" s="315">
        <f>All!B19</f>
        <v>2006</v>
      </c>
      <c r="C17" s="306">
        <f>All!C19</f>
        <v>27.2</v>
      </c>
      <c r="D17" s="306">
        <f>All!D19</f>
        <v>33.299999999999997</v>
      </c>
      <c r="E17" s="306">
        <f>All!E19</f>
        <v>21</v>
      </c>
      <c r="F17" s="306">
        <f>All!F19</f>
        <v>135.1</v>
      </c>
      <c r="G17" s="306">
        <f>All!G19</f>
        <v>207.1</v>
      </c>
      <c r="H17" s="306">
        <f>All!H19</f>
        <v>100.7</v>
      </c>
      <c r="I17" s="306">
        <f>All!I19</f>
        <v>543.20000000000005</v>
      </c>
      <c r="J17" s="306">
        <f>All!J19</f>
        <v>131.69999999999999</v>
      </c>
      <c r="K17" s="306">
        <f>All!K19</f>
        <v>150</v>
      </c>
      <c r="L17" s="306">
        <f>All!L19</f>
        <v>21</v>
      </c>
      <c r="M17" s="306">
        <f>All!M19</f>
        <v>16.100000000000001</v>
      </c>
      <c r="N17" s="306">
        <f>All!N19</f>
        <v>7.5</v>
      </c>
      <c r="O17" s="306">
        <f>All!O19</f>
        <v>1393.9</v>
      </c>
      <c r="P17" s="316">
        <f>All!P19</f>
        <v>116.2</v>
      </c>
    </row>
    <row r="18" spans="2:16">
      <c r="B18" s="315">
        <f>All!B20</f>
        <v>2007</v>
      </c>
      <c r="C18" s="306">
        <f>All!C20</f>
        <v>3</v>
      </c>
      <c r="D18" s="306">
        <f>All!D20</f>
        <v>49.3</v>
      </c>
      <c r="E18" s="306">
        <f>All!E20</f>
        <v>82.1</v>
      </c>
      <c r="F18" s="306">
        <f>All!F20</f>
        <v>30.5</v>
      </c>
      <c r="G18" s="306">
        <f>All!G20</f>
        <v>84.4</v>
      </c>
      <c r="H18" s="306">
        <f>All!H20</f>
        <v>118</v>
      </c>
      <c r="I18" s="306">
        <f>All!I20</f>
        <v>216.3</v>
      </c>
      <c r="J18" s="306">
        <f>All!J20</f>
        <v>171.4</v>
      </c>
      <c r="K18" s="306">
        <f>All!K20</f>
        <v>228.5</v>
      </c>
      <c r="L18" s="306">
        <f>All!L20</f>
        <v>110.7</v>
      </c>
      <c r="M18" s="306">
        <f>All!M20</f>
        <v>2</v>
      </c>
      <c r="N18" s="306">
        <f>All!N20</f>
        <v>39.6</v>
      </c>
      <c r="O18" s="306">
        <f>All!O20</f>
        <v>1135.8</v>
      </c>
      <c r="P18" s="316">
        <f>All!P20</f>
        <v>94.7</v>
      </c>
    </row>
    <row r="19" spans="2:16">
      <c r="B19" s="315">
        <f>All!B21</f>
        <v>2008</v>
      </c>
      <c r="C19" s="306">
        <f>All!C21</f>
        <v>73.5</v>
      </c>
      <c r="D19" s="306">
        <f>All!D21</f>
        <v>10</v>
      </c>
      <c r="E19" s="306">
        <f>All!E21</f>
        <v>47.9</v>
      </c>
      <c r="F19" s="306">
        <f>All!F21</f>
        <v>78.2</v>
      </c>
      <c r="G19" s="306">
        <f>All!G21</f>
        <v>121.6</v>
      </c>
      <c r="H19" s="306">
        <f>All!H21</f>
        <v>171.5</v>
      </c>
      <c r="I19" s="306">
        <f>All!I21</f>
        <v>218.2</v>
      </c>
      <c r="J19" s="306">
        <f>All!J21</f>
        <v>305.39999999999998</v>
      </c>
      <c r="K19" s="306">
        <f>All!K21</f>
        <v>49.4</v>
      </c>
      <c r="L19" s="306">
        <f>All!L21</f>
        <v>9.4</v>
      </c>
      <c r="M19" s="306">
        <f>All!M21</f>
        <v>16.7</v>
      </c>
      <c r="N19" s="306">
        <f>All!N21</f>
        <v>10.5</v>
      </c>
      <c r="O19" s="306">
        <f>All!O21</f>
        <v>1112.3</v>
      </c>
      <c r="P19" s="316">
        <f>All!P21</f>
        <v>92.7</v>
      </c>
    </row>
    <row r="20" spans="2:16">
      <c r="B20" s="315">
        <f>All!B22</f>
        <v>2009</v>
      </c>
      <c r="C20" s="306">
        <f>All!C22</f>
        <v>14.7</v>
      </c>
      <c r="D20" s="306">
        <f>All!D22</f>
        <v>48.6</v>
      </c>
      <c r="E20" s="306">
        <f>All!E22</f>
        <v>35</v>
      </c>
      <c r="F20" s="306">
        <f>All!F22</f>
        <v>62.9</v>
      </c>
      <c r="G20" s="306">
        <f>All!G22</f>
        <v>92.3</v>
      </c>
      <c r="H20" s="306">
        <f>All!H22</f>
        <v>228.7</v>
      </c>
      <c r="I20" s="306">
        <f>All!I22</f>
        <v>450.7</v>
      </c>
      <c r="J20" s="306">
        <f>All!J22</f>
        <v>43</v>
      </c>
      <c r="K20" s="306">
        <f>All!K22</f>
        <v>50.4</v>
      </c>
      <c r="L20" s="306">
        <f>All!L22</f>
        <v>54.5</v>
      </c>
      <c r="M20" s="306">
        <f>All!M22</f>
        <v>36.299999999999997</v>
      </c>
      <c r="N20" s="306">
        <f>All!N22</f>
        <v>16.100000000000001</v>
      </c>
      <c r="O20" s="306">
        <f>All!O22</f>
        <v>1133.2</v>
      </c>
      <c r="P20" s="316">
        <f>All!P22</f>
        <v>94.4</v>
      </c>
    </row>
    <row r="21" spans="2:16">
      <c r="B21" s="315">
        <f>All!B23</f>
        <v>2010</v>
      </c>
      <c r="C21" s="306">
        <f>All!C23</f>
        <v>17</v>
      </c>
      <c r="D21" s="306">
        <f>All!D23</f>
        <v>108</v>
      </c>
      <c r="E21" s="306">
        <f>All!E23</f>
        <v>98.9</v>
      </c>
      <c r="F21" s="306">
        <f>All!F23</f>
        <v>112.8</v>
      </c>
      <c r="G21" s="306">
        <f>All!G23</f>
        <v>137.30000000000001</v>
      </c>
      <c r="H21" s="306">
        <f>All!H23</f>
        <v>40.1</v>
      </c>
      <c r="I21" s="306">
        <f>All!I23</f>
        <v>266.8</v>
      </c>
      <c r="J21" s="306">
        <f>All!J23</f>
        <v>114.5</v>
      </c>
      <c r="K21" s="306">
        <f>All!K23</f>
        <v>182</v>
      </c>
      <c r="L21" s="306">
        <f>All!L23</f>
        <v>38.5</v>
      </c>
      <c r="M21" s="306">
        <f>All!M23</f>
        <v>15.5</v>
      </c>
      <c r="N21" s="306">
        <f>All!N23</f>
        <v>30.2</v>
      </c>
      <c r="O21" s="306">
        <f>All!O23</f>
        <v>1161.5999999999999</v>
      </c>
      <c r="P21" s="316">
        <f>All!P23</f>
        <v>96.8</v>
      </c>
    </row>
    <row r="22" spans="2:16">
      <c r="B22" s="315">
        <f>All!B24</f>
        <v>2011</v>
      </c>
      <c r="C22" s="306">
        <f>All!C24</f>
        <v>10.5</v>
      </c>
      <c r="D22" s="306">
        <f>All!D24</f>
        <v>76.099999999999994</v>
      </c>
      <c r="E22" s="306">
        <f>All!E24</f>
        <v>18.5</v>
      </c>
      <c r="F22" s="306">
        <f>All!F24</f>
        <v>83.6</v>
      </c>
      <c r="G22" s="306">
        <f>All!G24</f>
        <v>114.8</v>
      </c>
      <c r="H22" s="306">
        <f>All!H24</f>
        <v>293.5</v>
      </c>
      <c r="I22" s="306">
        <f>All!I24</f>
        <v>284.8</v>
      </c>
      <c r="J22" s="306">
        <f>All!J24</f>
        <v>71</v>
      </c>
      <c r="K22" s="306">
        <f>All!K24</f>
        <v>96.5</v>
      </c>
      <c r="L22" s="306">
        <f>All!L24</f>
        <v>71</v>
      </c>
      <c r="M22" s="306">
        <f>All!M24</f>
        <v>93.9</v>
      </c>
      <c r="N22" s="306">
        <f>All!N24</f>
        <v>19</v>
      </c>
      <c r="O22" s="306">
        <f>All!O24</f>
        <v>1233.2</v>
      </c>
      <c r="P22" s="316">
        <f>All!P24</f>
        <v>102.8</v>
      </c>
    </row>
    <row r="23" spans="2:16" s="307" customFormat="1">
      <c r="B23" s="317">
        <f>All!B25</f>
        <v>2012</v>
      </c>
      <c r="C23" s="308">
        <f>All!C25</f>
        <v>74.2</v>
      </c>
      <c r="D23" s="308">
        <f>All!D25</f>
        <v>12</v>
      </c>
      <c r="E23" s="308">
        <f>All!E25</f>
        <v>103.2</v>
      </c>
      <c r="F23" s="308">
        <f>All!F25</f>
        <v>150.5</v>
      </c>
      <c r="G23" s="308">
        <f>All!G25</f>
        <v>38.1</v>
      </c>
      <c r="H23" s="308">
        <f>All!H25</f>
        <v>76.400000000000006</v>
      </c>
      <c r="I23" s="308">
        <f>All!I25</f>
        <v>221</v>
      </c>
      <c r="J23" s="308">
        <f>All!J25</f>
        <v>220.4</v>
      </c>
      <c r="K23" s="308">
        <f>All!K25</f>
        <v>392.6</v>
      </c>
      <c r="L23" s="308">
        <f>All!L25</f>
        <v>40.6</v>
      </c>
      <c r="M23" s="308">
        <f>All!M25</f>
        <v>65.900000000000006</v>
      </c>
      <c r="N23" s="308">
        <f>All!N25</f>
        <v>63.2</v>
      </c>
      <c r="O23" s="308">
        <f>All!O25</f>
        <v>1458.1</v>
      </c>
      <c r="P23" s="318">
        <f>All!P25</f>
        <v>121.5</v>
      </c>
    </row>
    <row r="24" spans="2:16">
      <c r="B24" s="315">
        <f>All!B26</f>
        <v>2013</v>
      </c>
      <c r="C24" s="306">
        <f>All!C26</f>
        <v>22</v>
      </c>
      <c r="D24" s="306">
        <f>All!D26</f>
        <v>26.4</v>
      </c>
      <c r="E24" s="306">
        <f>All!E26</f>
        <v>78</v>
      </c>
      <c r="F24" s="306">
        <f>All!F26</f>
        <v>86.5</v>
      </c>
      <c r="G24" s="306">
        <f>All!G26</f>
        <v>155.1</v>
      </c>
      <c r="H24" s="306">
        <f>All!H26</f>
        <v>79.900000000000006</v>
      </c>
      <c r="I24" s="306">
        <f>All!I26</f>
        <v>130.1</v>
      </c>
      <c r="J24" s="306">
        <f>All!J26</f>
        <v>47.7</v>
      </c>
      <c r="K24" s="306">
        <f>All!K26</f>
        <v>49.6</v>
      </c>
      <c r="L24" s="306">
        <f>All!L26</f>
        <v>130.30000000000001</v>
      </c>
      <c r="M24" s="306">
        <f>All!M26</f>
        <v>41.6</v>
      </c>
      <c r="N24" s="306">
        <f>All!N26</f>
        <v>12.2</v>
      </c>
      <c r="O24" s="306">
        <f>All!O26</f>
        <v>859.4</v>
      </c>
      <c r="P24" s="316">
        <f>All!P26</f>
        <v>71.599999999999994</v>
      </c>
    </row>
    <row r="25" spans="2:16">
      <c r="B25" s="315">
        <f>All!B27</f>
        <v>2014</v>
      </c>
      <c r="C25" s="306">
        <f>All!C27</f>
        <v>8.6</v>
      </c>
      <c r="D25" s="306">
        <f>All!D27</f>
        <v>98.5</v>
      </c>
      <c r="E25" s="306">
        <f>All!E27</f>
        <v>122.4</v>
      </c>
      <c r="F25" s="306">
        <f>All!F27</f>
        <v>91.2</v>
      </c>
      <c r="G25" s="306">
        <f>All!G27</f>
        <v>45.7</v>
      </c>
      <c r="H25" s="306">
        <f>All!H27</f>
        <v>73.599999999999994</v>
      </c>
      <c r="I25" s="306">
        <f>All!I27</f>
        <v>96.9</v>
      </c>
      <c r="J25" s="306">
        <f>All!J27</f>
        <v>577.5</v>
      </c>
      <c r="K25" s="306">
        <f>All!K27</f>
        <v>113.2</v>
      </c>
      <c r="L25" s="306">
        <f>All!L27</f>
        <v>120.3</v>
      </c>
      <c r="M25" s="306">
        <f>All!M27</f>
        <v>44.3</v>
      </c>
      <c r="N25" s="306">
        <f>All!N27</f>
        <v>6.5</v>
      </c>
      <c r="O25" s="306">
        <f>All!O27</f>
        <v>1398.7</v>
      </c>
      <c r="P25" s="316">
        <f>All!P27</f>
        <v>116.6</v>
      </c>
    </row>
    <row r="26" spans="2:16">
      <c r="B26" s="315">
        <f>All!B28</f>
        <v>2015</v>
      </c>
      <c r="C26" s="306">
        <f>All!C28</f>
        <v>26.3</v>
      </c>
      <c r="D26" s="306">
        <f>All!D28</f>
        <v>20.399999999999999</v>
      </c>
      <c r="E26" s="306">
        <f>All!E28</f>
        <v>51.7</v>
      </c>
      <c r="F26" s="306">
        <f>All!F28</f>
        <v>122.9</v>
      </c>
      <c r="G26" s="306">
        <f>All!G28</f>
        <v>98.3</v>
      </c>
      <c r="H26" s="306">
        <f>All!H28</f>
        <v>77</v>
      </c>
      <c r="I26" s="306">
        <f>All!I28</f>
        <v>176.3</v>
      </c>
      <c r="J26" s="306">
        <f>All!J28</f>
        <v>120.2</v>
      </c>
      <c r="K26" s="306">
        <f>All!K28</f>
        <v>160.6</v>
      </c>
      <c r="L26" s="306">
        <f>All!L28</f>
        <v>39.799999999999997</v>
      </c>
      <c r="M26" s="306">
        <f>All!M28</f>
        <v>102.8</v>
      </c>
      <c r="N26" s="306">
        <f>All!N28</f>
        <v>47.6</v>
      </c>
      <c r="O26" s="306">
        <f>All!O28</f>
        <v>1043.9000000000001</v>
      </c>
      <c r="P26" s="316">
        <f>All!P28</f>
        <v>87</v>
      </c>
    </row>
    <row r="27" spans="2:16">
      <c r="B27" s="315">
        <f>All!B29</f>
        <v>2016</v>
      </c>
      <c r="C27" s="306">
        <f>All!C29</f>
        <v>50.6</v>
      </c>
      <c r="D27" s="306">
        <f>All!D29</f>
        <v>32.4</v>
      </c>
      <c r="E27" s="306">
        <f>All!E29</f>
        <v>92.2</v>
      </c>
      <c r="F27" s="306">
        <f>All!F29</f>
        <v>179.2</v>
      </c>
      <c r="G27" s="306">
        <f>All!G29</f>
        <v>86.1</v>
      </c>
      <c r="H27" s="306">
        <f>All!H29</f>
        <v>70.099999999999994</v>
      </c>
      <c r="I27" s="306">
        <f>All!I29</f>
        <v>226.9</v>
      </c>
      <c r="J27" s="306">
        <f>All!J29</f>
        <v>98.2</v>
      </c>
      <c r="K27" s="306">
        <f>All!K29</f>
        <v>364.3</v>
      </c>
      <c r="L27" s="306">
        <f>All!L29</f>
        <v>358.7</v>
      </c>
      <c r="M27" s="306">
        <f>All!M29</f>
        <v>47.1</v>
      </c>
      <c r="N27" s="306">
        <f>All!N29</f>
        <v>88.1</v>
      </c>
      <c r="O27" s="306">
        <f>All!O29</f>
        <v>1693.9</v>
      </c>
      <c r="P27" s="316">
        <f>All!P29</f>
        <v>141.19999999999999</v>
      </c>
    </row>
    <row r="28" spans="2:16">
      <c r="B28" s="315">
        <f>All!B30</f>
        <v>2017</v>
      </c>
      <c r="C28" s="306">
        <f>All!C30</f>
        <v>15.3</v>
      </c>
      <c r="D28" s="306">
        <f>All!D30</f>
        <v>23.6</v>
      </c>
      <c r="E28" s="306">
        <f>All!E30</f>
        <v>27.6</v>
      </c>
      <c r="F28" s="306">
        <f>All!F30</f>
        <v>111.9</v>
      </c>
      <c r="G28" s="306">
        <f>All!G30</f>
        <v>26.3</v>
      </c>
      <c r="H28" s="306">
        <f>All!H30</f>
        <v>38.5</v>
      </c>
      <c r="I28" s="306">
        <f>All!I30</f>
        <v>104.6</v>
      </c>
      <c r="J28" s="306">
        <f>All!J30</f>
        <v>69.8</v>
      </c>
      <c r="K28" s="306">
        <f>All!K30</f>
        <v>178</v>
      </c>
      <c r="L28" s="306">
        <f>All!L30</f>
        <v>63.1</v>
      </c>
      <c r="M28" s="306">
        <f>All!M30</f>
        <v>0</v>
      </c>
      <c r="N28" s="306">
        <f>All!N30</f>
        <v>12.7</v>
      </c>
      <c r="O28" s="306">
        <f>All!O30</f>
        <v>671.4</v>
      </c>
      <c r="P28" s="316">
        <f>All!P30</f>
        <v>56</v>
      </c>
    </row>
    <row r="29" spans="2:16">
      <c r="B29" s="315">
        <f>All!B31</f>
        <v>2018</v>
      </c>
      <c r="C29" s="306">
        <f>All!C31</f>
        <v>31.3</v>
      </c>
      <c r="D29" s="306">
        <f>All!D31</f>
        <v>44.8</v>
      </c>
      <c r="E29" s="306">
        <f>All!E31</f>
        <v>155.30000000000001</v>
      </c>
      <c r="F29" s="306">
        <f>All!F31</f>
        <v>123.3</v>
      </c>
      <c r="G29" s="306">
        <f>All!G31</f>
        <v>95.4</v>
      </c>
      <c r="H29" s="306">
        <f>All!H31</f>
        <v>127.6</v>
      </c>
      <c r="I29" s="306">
        <f>All!I31</f>
        <v>160.30000000000001</v>
      </c>
      <c r="J29" s="306">
        <f>All!J31</f>
        <v>279.3</v>
      </c>
      <c r="K29" s="306">
        <f>All!K31</f>
        <v>156.9</v>
      </c>
      <c r="L29" s="306">
        <f>All!L31</f>
        <v>162</v>
      </c>
      <c r="M29" s="306">
        <f>All!M31</f>
        <v>51.8</v>
      </c>
      <c r="N29" s="306">
        <f>All!N31</f>
        <v>28.1</v>
      </c>
      <c r="O29" s="306">
        <f>All!O31</f>
        <v>1416.1</v>
      </c>
      <c r="P29" s="316">
        <f>All!P31</f>
        <v>118</v>
      </c>
    </row>
    <row r="30" spans="2:16">
      <c r="B30" s="315">
        <f>All!B32</f>
        <v>2019</v>
      </c>
      <c r="C30" s="306">
        <f>All!C32</f>
        <v>15.5</v>
      </c>
      <c r="D30" s="306">
        <f>All!D32</f>
        <v>38.799999999999997</v>
      </c>
      <c r="E30" s="306">
        <f>All!E32</f>
        <v>40.700000000000003</v>
      </c>
      <c r="F30" s="306">
        <f>All!F32</f>
        <v>88.9</v>
      </c>
      <c r="G30" s="306">
        <f>All!G32</f>
        <v>35</v>
      </c>
      <c r="H30" s="306">
        <f>All!H32</f>
        <v>247.5</v>
      </c>
      <c r="I30" s="306">
        <f>All!I32</f>
        <v>206.5</v>
      </c>
      <c r="J30" s="306">
        <f>All!J32</f>
        <v>195.7</v>
      </c>
      <c r="K30" s="306">
        <f>All!K32</f>
        <v>287.5</v>
      </c>
      <c r="L30" s="306">
        <f>All!L32</f>
        <v>222.2</v>
      </c>
      <c r="M30" s="306">
        <f>All!M32</f>
        <v>31</v>
      </c>
      <c r="N30" s="306">
        <f>All!N32</f>
        <v>40.799999999999997</v>
      </c>
      <c r="O30" s="306">
        <f>All!O32</f>
        <v>1450.1</v>
      </c>
      <c r="P30" s="316">
        <f>All!P32</f>
        <v>120.8</v>
      </c>
    </row>
    <row r="31" spans="2:16">
      <c r="B31" s="315">
        <f>All!B33</f>
        <v>2020</v>
      </c>
      <c r="C31" s="306">
        <f>All!C33</f>
        <v>178.7</v>
      </c>
      <c r="D31" s="306">
        <f>All!D33</f>
        <v>53.6</v>
      </c>
      <c r="E31" s="306">
        <f>All!E33</f>
        <v>41.6</v>
      </c>
      <c r="F31" s="306">
        <f>All!F33</f>
        <v>73.2</v>
      </c>
      <c r="G31" s="306">
        <f>All!G33</f>
        <v>51.5</v>
      </c>
      <c r="H31" s="306">
        <f>All!H33</f>
        <v>218.6</v>
      </c>
      <c r="I31" s="306">
        <f>All!I33</f>
        <v>498.3</v>
      </c>
      <c r="J31" s="306">
        <f>All!J33</f>
        <v>137.1</v>
      </c>
      <c r="K31" s="306">
        <f>All!K33</f>
        <v>243</v>
      </c>
      <c r="L31" s="306">
        <f>All!L33</f>
        <v>18.899999999999999</v>
      </c>
      <c r="M31" s="306">
        <f>All!M33</f>
        <v>37.700000000000003</v>
      </c>
      <c r="N31" s="306">
        <f>All!N33</f>
        <v>5.7</v>
      </c>
      <c r="O31" s="306">
        <f>All!O33</f>
        <v>1557.9</v>
      </c>
      <c r="P31" s="316">
        <f>All!P33</f>
        <v>129.80000000000001</v>
      </c>
    </row>
    <row r="32" spans="2:16">
      <c r="B32" s="315">
        <f>All!B34</f>
        <v>0</v>
      </c>
      <c r="C32" s="306">
        <f>All!C34</f>
        <v>0</v>
      </c>
      <c r="D32" s="306">
        <f>All!D34</f>
        <v>0</v>
      </c>
      <c r="E32" s="306">
        <f>All!E34</f>
        <v>0</v>
      </c>
      <c r="F32" s="306">
        <f>All!F34</f>
        <v>0</v>
      </c>
      <c r="G32" s="306">
        <f>All!G34</f>
        <v>0</v>
      </c>
      <c r="H32" s="306">
        <f>All!H34</f>
        <v>0</v>
      </c>
      <c r="I32" s="306">
        <f>All!I34</f>
        <v>0</v>
      </c>
      <c r="J32" s="306">
        <f>All!J34</f>
        <v>0</v>
      </c>
      <c r="K32" s="306">
        <f>All!K34</f>
        <v>0</v>
      </c>
      <c r="L32" s="306">
        <f>All!L34</f>
        <v>0</v>
      </c>
      <c r="M32" s="306">
        <f>All!M34</f>
        <v>0</v>
      </c>
      <c r="N32" s="306">
        <f>All!N34</f>
        <v>0</v>
      </c>
      <c r="O32" s="306">
        <f>All!O34</f>
        <v>0</v>
      </c>
      <c r="P32" s="316">
        <f>All!P34</f>
        <v>0</v>
      </c>
    </row>
    <row r="33" spans="2:17">
      <c r="B33" s="136" t="s">
        <v>206</v>
      </c>
      <c r="C33" s="137">
        <f>ROUND(SUM(C23:C32)/10,1)</f>
        <v>42.3</v>
      </c>
      <c r="D33" s="137">
        <f t="shared" ref="D33:P33" si="0">ROUND(SUM(D23:D32)/10,1)</f>
        <v>35.1</v>
      </c>
      <c r="E33" s="137">
        <f t="shared" si="0"/>
        <v>71.3</v>
      </c>
      <c r="F33" s="137">
        <f t="shared" si="0"/>
        <v>102.8</v>
      </c>
      <c r="G33" s="137">
        <f t="shared" si="0"/>
        <v>63.2</v>
      </c>
      <c r="H33" s="137">
        <f t="shared" si="0"/>
        <v>100.9</v>
      </c>
      <c r="I33" s="137">
        <f t="shared" si="0"/>
        <v>182.1</v>
      </c>
      <c r="J33" s="137">
        <f t="shared" si="0"/>
        <v>174.6</v>
      </c>
      <c r="K33" s="137">
        <f t="shared" si="0"/>
        <v>194.6</v>
      </c>
      <c r="L33" s="137">
        <f t="shared" si="0"/>
        <v>115.6</v>
      </c>
      <c r="M33" s="137">
        <f t="shared" si="0"/>
        <v>42.2</v>
      </c>
      <c r="N33" s="137">
        <f t="shared" si="0"/>
        <v>30.5</v>
      </c>
      <c r="O33" s="137">
        <f t="shared" si="0"/>
        <v>1155</v>
      </c>
      <c r="P33" s="138">
        <f t="shared" si="0"/>
        <v>96.3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40</v>
      </c>
      <c r="E34" s="139">
        <f>All!E37</f>
        <v>67.099999999999994</v>
      </c>
      <c r="F34" s="139">
        <f>All!F37</f>
        <v>94.6</v>
      </c>
      <c r="G34" s="139">
        <f>All!G37</f>
        <v>108.2</v>
      </c>
      <c r="H34" s="139">
        <f>All!H37</f>
        <v>154.9</v>
      </c>
      <c r="I34" s="139">
        <f>All!I37</f>
        <v>226.7</v>
      </c>
      <c r="J34" s="139">
        <f>All!J37</f>
        <v>218</v>
      </c>
      <c r="K34" s="139">
        <f>All!K37</f>
        <v>170.4</v>
      </c>
      <c r="L34" s="139">
        <f>All!L37</f>
        <v>77.3</v>
      </c>
      <c r="M34" s="139">
        <f>All!M37</f>
        <v>45.3</v>
      </c>
      <c r="N34" s="139">
        <f>All!N37</f>
        <v>25.1</v>
      </c>
      <c r="O34" s="139">
        <f>All!O37</f>
        <v>1224</v>
      </c>
      <c r="P34" s="140">
        <f>All!P37</f>
        <v>102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2012</v>
      </c>
      <c r="C38" s="135">
        <f>O23</f>
        <v>1458.1</v>
      </c>
      <c r="D38" s="147" t="s">
        <v>39</v>
      </c>
      <c r="E38" s="148">
        <f>All!C53</f>
        <v>46.9</v>
      </c>
      <c r="F38" s="148">
        <f>All!D53</f>
        <v>38.9</v>
      </c>
      <c r="G38" s="148">
        <f>All!E53</f>
        <v>79.2</v>
      </c>
      <c r="H38" s="148">
        <f>All!F53</f>
        <v>114.2</v>
      </c>
      <c r="I38" s="148">
        <f>All!G53</f>
        <v>70.2</v>
      </c>
      <c r="J38" s="148">
        <f>All!H53</f>
        <v>112.1</v>
      </c>
      <c r="K38" s="148">
        <f>All!I53</f>
        <v>202.3</v>
      </c>
      <c r="L38" s="148">
        <f>All!J53</f>
        <v>194</v>
      </c>
      <c r="M38" s="148">
        <f>All!K53</f>
        <v>216.2</v>
      </c>
      <c r="N38" s="148">
        <f>All!L53</f>
        <v>128.4</v>
      </c>
      <c r="O38" s="148">
        <f>All!M53</f>
        <v>46.9</v>
      </c>
      <c r="P38" s="148">
        <f>All!N53</f>
        <v>33.9</v>
      </c>
      <c r="Q38" s="148">
        <f>All!P53</f>
        <v>96.3</v>
      </c>
    </row>
    <row r="39" spans="2:17">
      <c r="B39" s="133">
        <f t="shared" ref="B39:B48" si="1">B24</f>
        <v>2013</v>
      </c>
      <c r="C39" s="135">
        <f t="shared" ref="C39:C48" si="2">O24</f>
        <v>859.4</v>
      </c>
    </row>
    <row r="40" spans="2:17">
      <c r="B40" s="133">
        <f t="shared" si="1"/>
        <v>2014</v>
      </c>
      <c r="C40" s="135">
        <f t="shared" si="2"/>
        <v>1398.7</v>
      </c>
    </row>
    <row r="41" spans="2:17">
      <c r="B41" s="133">
        <f t="shared" si="1"/>
        <v>2015</v>
      </c>
      <c r="C41" s="135">
        <f t="shared" si="2"/>
        <v>1043.9000000000001</v>
      </c>
    </row>
    <row r="42" spans="2:17">
      <c r="B42" s="133">
        <f t="shared" si="1"/>
        <v>2016</v>
      </c>
      <c r="C42" s="135">
        <f t="shared" si="2"/>
        <v>1693.9</v>
      </c>
    </row>
    <row r="43" spans="2:17">
      <c r="B43" s="133">
        <f t="shared" si="1"/>
        <v>2017</v>
      </c>
      <c r="C43" s="135">
        <f t="shared" si="2"/>
        <v>671.4</v>
      </c>
    </row>
    <row r="44" spans="2:17">
      <c r="B44" s="133">
        <f t="shared" si="1"/>
        <v>2018</v>
      </c>
      <c r="C44" s="135">
        <f t="shared" si="2"/>
        <v>1416.1</v>
      </c>
    </row>
    <row r="45" spans="2:17">
      <c r="B45" s="133">
        <f t="shared" si="1"/>
        <v>2019</v>
      </c>
      <c r="C45" s="135">
        <f t="shared" si="2"/>
        <v>1450.1</v>
      </c>
    </row>
    <row r="46" spans="2:17">
      <c r="B46" s="133">
        <f t="shared" si="1"/>
        <v>2020</v>
      </c>
      <c r="C46" s="135">
        <f t="shared" si="2"/>
        <v>1557.9</v>
      </c>
    </row>
    <row r="47" spans="2:17">
      <c r="B47" s="133">
        <f t="shared" si="1"/>
        <v>0</v>
      </c>
      <c r="C47" s="135">
        <f t="shared" si="2"/>
        <v>0</v>
      </c>
    </row>
    <row r="48" spans="2:17" ht="17.25" thickBot="1">
      <c r="B48" s="141" t="str">
        <f t="shared" si="1"/>
        <v>10년평균</v>
      </c>
      <c r="C48" s="142">
        <f t="shared" si="2"/>
        <v>1155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1992</v>
      </c>
      <c r="C52" s="310">
        <f>O3</f>
        <v>1155.4000000000001</v>
      </c>
    </row>
    <row r="53" spans="2:3">
      <c r="B53" s="309">
        <f t="shared" ref="B53:B81" si="3">B4</f>
        <v>1993</v>
      </c>
      <c r="C53" s="310">
        <f t="shared" ref="C53:C81" si="4">O4</f>
        <v>1649.4</v>
      </c>
    </row>
    <row r="54" spans="2:3">
      <c r="B54" s="309">
        <f t="shared" si="3"/>
        <v>1994</v>
      </c>
      <c r="C54" s="310">
        <f t="shared" si="4"/>
        <v>921.4</v>
      </c>
    </row>
    <row r="55" spans="2:3">
      <c r="B55" s="309">
        <f t="shared" si="3"/>
        <v>1995</v>
      </c>
      <c r="C55" s="310">
        <f t="shared" si="4"/>
        <v>693</v>
      </c>
    </row>
    <row r="56" spans="2:3">
      <c r="B56" s="309">
        <f t="shared" si="3"/>
        <v>1996</v>
      </c>
      <c r="C56" s="310">
        <f t="shared" si="4"/>
        <v>1015</v>
      </c>
    </row>
    <row r="57" spans="2:3">
      <c r="B57" s="309">
        <f t="shared" si="3"/>
        <v>1997</v>
      </c>
      <c r="C57" s="310">
        <f t="shared" si="4"/>
        <v>1198.5999999999999</v>
      </c>
    </row>
    <row r="58" spans="2:3">
      <c r="B58" s="309">
        <f t="shared" si="3"/>
        <v>1998</v>
      </c>
      <c r="C58" s="310">
        <f t="shared" si="4"/>
        <v>1796</v>
      </c>
    </row>
    <row r="59" spans="2:3">
      <c r="B59" s="309">
        <f t="shared" si="3"/>
        <v>1999</v>
      </c>
      <c r="C59" s="310">
        <f t="shared" si="4"/>
        <v>1864.9</v>
      </c>
    </row>
    <row r="60" spans="2:3">
      <c r="B60" s="309">
        <f t="shared" si="3"/>
        <v>2000</v>
      </c>
      <c r="C60" s="310">
        <f t="shared" si="4"/>
        <v>1027.0999999999999</v>
      </c>
    </row>
    <row r="61" spans="2:3">
      <c r="B61" s="309">
        <f t="shared" si="3"/>
        <v>2001</v>
      </c>
      <c r="C61" s="310">
        <f t="shared" si="4"/>
        <v>869.1</v>
      </c>
    </row>
    <row r="62" spans="2:3">
      <c r="B62" s="309">
        <f t="shared" si="3"/>
        <v>2002</v>
      </c>
      <c r="C62" s="310">
        <f t="shared" si="4"/>
        <v>1559.8</v>
      </c>
    </row>
    <row r="63" spans="2:3">
      <c r="B63" s="309">
        <f t="shared" si="3"/>
        <v>2003</v>
      </c>
      <c r="C63" s="310">
        <f t="shared" si="4"/>
        <v>1864.2</v>
      </c>
    </row>
    <row r="64" spans="2:3">
      <c r="B64" s="309">
        <f t="shared" si="3"/>
        <v>2004</v>
      </c>
      <c r="C64" s="310">
        <f t="shared" si="4"/>
        <v>1250.0999999999999</v>
      </c>
    </row>
    <row r="65" spans="2:3">
      <c r="B65" s="309">
        <f t="shared" si="3"/>
        <v>2005</v>
      </c>
      <c r="C65" s="310">
        <f t="shared" si="4"/>
        <v>1135.7</v>
      </c>
    </row>
    <row r="66" spans="2:3">
      <c r="B66" s="309">
        <f t="shared" si="3"/>
        <v>2006</v>
      </c>
      <c r="C66" s="310">
        <f t="shared" si="4"/>
        <v>1393.9</v>
      </c>
    </row>
    <row r="67" spans="2:3">
      <c r="B67" s="309">
        <f t="shared" si="3"/>
        <v>2007</v>
      </c>
      <c r="C67" s="310">
        <f t="shared" si="4"/>
        <v>1135.8</v>
      </c>
    </row>
    <row r="68" spans="2:3">
      <c r="B68" s="309">
        <f t="shared" si="3"/>
        <v>2008</v>
      </c>
      <c r="C68" s="310">
        <f t="shared" si="4"/>
        <v>1112.3</v>
      </c>
    </row>
    <row r="69" spans="2:3">
      <c r="B69" s="309">
        <f t="shared" si="3"/>
        <v>2009</v>
      </c>
      <c r="C69" s="310">
        <f t="shared" si="4"/>
        <v>1133.2</v>
      </c>
    </row>
    <row r="70" spans="2:3">
      <c r="B70" s="309">
        <f t="shared" si="3"/>
        <v>2010</v>
      </c>
      <c r="C70" s="310">
        <f t="shared" si="4"/>
        <v>1161.5999999999999</v>
      </c>
    </row>
    <row r="71" spans="2:3">
      <c r="B71" s="309">
        <f t="shared" si="3"/>
        <v>2011</v>
      </c>
      <c r="C71" s="310">
        <f t="shared" si="4"/>
        <v>1233.2</v>
      </c>
    </row>
    <row r="72" spans="2:3">
      <c r="B72" s="309">
        <f t="shared" si="3"/>
        <v>2012</v>
      </c>
      <c r="C72" s="310">
        <f t="shared" si="4"/>
        <v>1458.1</v>
      </c>
    </row>
    <row r="73" spans="2:3">
      <c r="B73" s="309">
        <f t="shared" si="3"/>
        <v>2013</v>
      </c>
      <c r="C73" s="310">
        <f t="shared" si="4"/>
        <v>859.4</v>
      </c>
    </row>
    <row r="74" spans="2:3">
      <c r="B74" s="309">
        <f t="shared" si="3"/>
        <v>2014</v>
      </c>
      <c r="C74" s="310">
        <f t="shared" si="4"/>
        <v>1398.7</v>
      </c>
    </row>
    <row r="75" spans="2:3">
      <c r="B75" s="309">
        <f t="shared" si="3"/>
        <v>2015</v>
      </c>
      <c r="C75" s="310">
        <f t="shared" si="4"/>
        <v>1043.9000000000001</v>
      </c>
    </row>
    <row r="76" spans="2:3">
      <c r="B76" s="309">
        <f t="shared" si="3"/>
        <v>2016</v>
      </c>
      <c r="C76" s="310">
        <f t="shared" si="4"/>
        <v>1693.9</v>
      </c>
    </row>
    <row r="77" spans="2:3">
      <c r="B77" s="309">
        <f t="shared" si="3"/>
        <v>2017</v>
      </c>
      <c r="C77" s="310">
        <f t="shared" si="4"/>
        <v>671.4</v>
      </c>
    </row>
    <row r="78" spans="2:3">
      <c r="B78" s="309">
        <f>B29</f>
        <v>2018</v>
      </c>
      <c r="C78" s="310">
        <f t="shared" si="4"/>
        <v>1416.1</v>
      </c>
    </row>
    <row r="79" spans="2:3">
      <c r="B79" s="309">
        <f t="shared" si="3"/>
        <v>2019</v>
      </c>
      <c r="C79" s="310">
        <f t="shared" si="4"/>
        <v>1450.1</v>
      </c>
    </row>
    <row r="80" spans="2:3">
      <c r="B80" s="309">
        <f t="shared" si="3"/>
        <v>2020</v>
      </c>
      <c r="C80" s="310">
        <f t="shared" si="4"/>
        <v>1557.9</v>
      </c>
    </row>
    <row r="81" spans="2:3">
      <c r="B81" s="309">
        <f t="shared" si="3"/>
        <v>0</v>
      </c>
      <c r="C81" s="310">
        <f t="shared" si="4"/>
        <v>0</v>
      </c>
    </row>
    <row r="82" spans="2:3" ht="17.25" thickBot="1">
      <c r="B82" s="311" t="str">
        <f>B34</f>
        <v>30년평균</v>
      </c>
      <c r="C82" s="312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7" zoomScaleNormal="100" workbookViewId="0">
      <selection activeCell="J49" sqref="J49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2012</v>
      </c>
      <c r="C5" s="154">
        <f>All!C41</f>
        <v>74.2</v>
      </c>
      <c r="D5" s="134">
        <f>All!D41</f>
        <v>12</v>
      </c>
      <c r="E5" s="134">
        <f>All!E41</f>
        <v>103.2</v>
      </c>
      <c r="F5" s="134">
        <f>All!F41</f>
        <v>150.5</v>
      </c>
      <c r="G5" s="134">
        <f>All!G41</f>
        <v>38.1</v>
      </c>
      <c r="H5" s="134">
        <f>All!H41</f>
        <v>76.400000000000006</v>
      </c>
      <c r="I5" s="134">
        <f>All!I41</f>
        <v>221</v>
      </c>
      <c r="J5" s="134">
        <f>All!J41</f>
        <v>220.4</v>
      </c>
      <c r="K5" s="134">
        <f>All!K41</f>
        <v>392.6</v>
      </c>
      <c r="L5" s="134">
        <f>All!L41</f>
        <v>40.6</v>
      </c>
      <c r="M5" s="134">
        <f>All!M41</f>
        <v>65.900000000000006</v>
      </c>
      <c r="N5" s="135">
        <f>All!N41</f>
        <v>63.2</v>
      </c>
      <c r="O5" s="154">
        <f>All!O41</f>
        <v>1458.1</v>
      </c>
      <c r="P5" s="135">
        <f>All!P41</f>
        <v>121.5</v>
      </c>
    </row>
    <row r="6" spans="2:16" ht="22.15" customHeight="1">
      <c r="B6" s="153">
        <f>All!B42</f>
        <v>2013</v>
      </c>
      <c r="C6" s="154">
        <f>All!C42</f>
        <v>22</v>
      </c>
      <c r="D6" s="134">
        <f>All!D42</f>
        <v>26.4</v>
      </c>
      <c r="E6" s="134">
        <f>All!E42</f>
        <v>78</v>
      </c>
      <c r="F6" s="134">
        <f>All!F42</f>
        <v>86.5</v>
      </c>
      <c r="G6" s="134">
        <f>All!G42</f>
        <v>155.1</v>
      </c>
      <c r="H6" s="134">
        <f>All!H42</f>
        <v>79.900000000000006</v>
      </c>
      <c r="I6" s="134">
        <f>All!I42</f>
        <v>130.1</v>
      </c>
      <c r="J6" s="134">
        <f>All!J42</f>
        <v>47.7</v>
      </c>
      <c r="K6" s="134">
        <f>All!K42</f>
        <v>49.6</v>
      </c>
      <c r="L6" s="134">
        <f>All!L42</f>
        <v>130.30000000000001</v>
      </c>
      <c r="M6" s="134">
        <f>All!M42</f>
        <v>41.6</v>
      </c>
      <c r="N6" s="135">
        <f>All!N42</f>
        <v>12.2</v>
      </c>
      <c r="O6" s="154">
        <f>All!O42</f>
        <v>859.4</v>
      </c>
      <c r="P6" s="135">
        <f>All!P42</f>
        <v>71.599999999999994</v>
      </c>
    </row>
    <row r="7" spans="2:16" ht="22.15" customHeight="1">
      <c r="B7" s="153">
        <f>All!B43</f>
        <v>2014</v>
      </c>
      <c r="C7" s="154">
        <f>All!C43</f>
        <v>8.6</v>
      </c>
      <c r="D7" s="134">
        <f>All!D43</f>
        <v>98.5</v>
      </c>
      <c r="E7" s="134">
        <f>All!E43</f>
        <v>122.4</v>
      </c>
      <c r="F7" s="134">
        <f>All!F43</f>
        <v>91.2</v>
      </c>
      <c r="G7" s="134">
        <f>All!G43</f>
        <v>45.7</v>
      </c>
      <c r="H7" s="134">
        <f>All!H43</f>
        <v>73.599999999999994</v>
      </c>
      <c r="I7" s="134">
        <f>All!I43</f>
        <v>96.9</v>
      </c>
      <c r="J7" s="134">
        <f>All!J43</f>
        <v>577.5</v>
      </c>
      <c r="K7" s="134">
        <f>All!K43</f>
        <v>113.2</v>
      </c>
      <c r="L7" s="134">
        <f>All!L43</f>
        <v>120.3</v>
      </c>
      <c r="M7" s="134">
        <f>All!M43</f>
        <v>44.3</v>
      </c>
      <c r="N7" s="135">
        <f>All!N43</f>
        <v>6.5</v>
      </c>
      <c r="O7" s="154">
        <f>All!O43</f>
        <v>1398.7</v>
      </c>
      <c r="P7" s="135">
        <f>All!P43</f>
        <v>116.6</v>
      </c>
    </row>
    <row r="8" spans="2:16" ht="22.15" customHeight="1">
      <c r="B8" s="153">
        <f>All!B44</f>
        <v>2015</v>
      </c>
      <c r="C8" s="154">
        <f>All!C44</f>
        <v>26.3</v>
      </c>
      <c r="D8" s="134">
        <f>All!D44</f>
        <v>20.399999999999999</v>
      </c>
      <c r="E8" s="134">
        <f>All!E44</f>
        <v>51.7</v>
      </c>
      <c r="F8" s="134">
        <f>All!F44</f>
        <v>122.9</v>
      </c>
      <c r="G8" s="134">
        <f>All!G44</f>
        <v>98.3</v>
      </c>
      <c r="H8" s="134">
        <f>All!H44</f>
        <v>77</v>
      </c>
      <c r="I8" s="134">
        <f>All!I44</f>
        <v>176.3</v>
      </c>
      <c r="J8" s="134">
        <f>All!J44</f>
        <v>120.2</v>
      </c>
      <c r="K8" s="134">
        <f>All!K44</f>
        <v>160.6</v>
      </c>
      <c r="L8" s="134">
        <f>All!L44</f>
        <v>39.799999999999997</v>
      </c>
      <c r="M8" s="134">
        <f>All!M44</f>
        <v>102.8</v>
      </c>
      <c r="N8" s="135">
        <f>All!N44</f>
        <v>47.6</v>
      </c>
      <c r="O8" s="154">
        <f>All!O44</f>
        <v>1043.9000000000001</v>
      </c>
      <c r="P8" s="135">
        <f>All!P44</f>
        <v>87</v>
      </c>
    </row>
    <row r="9" spans="2:16" ht="22.15" customHeight="1">
      <c r="B9" s="153">
        <f>All!B45</f>
        <v>2016</v>
      </c>
      <c r="C9" s="154">
        <f>All!C45</f>
        <v>50.6</v>
      </c>
      <c r="D9" s="134">
        <f>All!D45</f>
        <v>32.4</v>
      </c>
      <c r="E9" s="134">
        <f>All!E45</f>
        <v>92.2</v>
      </c>
      <c r="F9" s="134">
        <f>All!F45</f>
        <v>179.2</v>
      </c>
      <c r="G9" s="134">
        <f>All!G45</f>
        <v>86.1</v>
      </c>
      <c r="H9" s="134">
        <f>All!H45</f>
        <v>70.099999999999994</v>
      </c>
      <c r="I9" s="134">
        <f>All!I45</f>
        <v>226.9</v>
      </c>
      <c r="J9" s="134">
        <f>All!J45</f>
        <v>98.2</v>
      </c>
      <c r="K9" s="134">
        <f>All!K45</f>
        <v>364.3</v>
      </c>
      <c r="L9" s="134">
        <f>All!L45</f>
        <v>358.7</v>
      </c>
      <c r="M9" s="134">
        <f>All!M45</f>
        <v>47.1</v>
      </c>
      <c r="N9" s="135">
        <f>All!N45</f>
        <v>88.1</v>
      </c>
      <c r="O9" s="154">
        <f>All!O45</f>
        <v>1693.9</v>
      </c>
      <c r="P9" s="135">
        <f>All!P45</f>
        <v>141.19999999999999</v>
      </c>
    </row>
    <row r="10" spans="2:16" ht="22.15" customHeight="1">
      <c r="B10" s="327">
        <f>All!B46</f>
        <v>2017</v>
      </c>
      <c r="C10" s="154">
        <f>All!C46</f>
        <v>15.3</v>
      </c>
      <c r="D10" s="134">
        <f>All!D46</f>
        <v>23.6</v>
      </c>
      <c r="E10" s="134">
        <f>All!E46</f>
        <v>27.6</v>
      </c>
      <c r="F10" s="134">
        <f>All!F46</f>
        <v>111.9</v>
      </c>
      <c r="G10" s="134">
        <f>All!G46</f>
        <v>26.3</v>
      </c>
      <c r="H10" s="134">
        <f>All!H46</f>
        <v>38.5</v>
      </c>
      <c r="I10" s="134">
        <f>All!I46</f>
        <v>104.6</v>
      </c>
      <c r="J10" s="134">
        <f>All!J46</f>
        <v>69.8</v>
      </c>
      <c r="K10" s="134">
        <f>All!K46</f>
        <v>178</v>
      </c>
      <c r="L10" s="134">
        <f>All!L46</f>
        <v>63.1</v>
      </c>
      <c r="M10" s="134">
        <f>All!M46</f>
        <v>0</v>
      </c>
      <c r="N10" s="135">
        <f>All!N46</f>
        <v>12.7</v>
      </c>
      <c r="O10" s="295">
        <f>All!O46</f>
        <v>671.4</v>
      </c>
      <c r="P10" s="135">
        <f>All!P46</f>
        <v>56</v>
      </c>
    </row>
    <row r="11" spans="2:16" ht="22.15" customHeight="1">
      <c r="B11" s="327">
        <f>All!B47</f>
        <v>2018</v>
      </c>
      <c r="C11" s="154">
        <f>All!C47</f>
        <v>31.3</v>
      </c>
      <c r="D11" s="134">
        <f>All!D47</f>
        <v>44.8</v>
      </c>
      <c r="E11" s="134">
        <f>All!E47</f>
        <v>155.30000000000001</v>
      </c>
      <c r="F11" s="134">
        <f>All!F47</f>
        <v>123.3</v>
      </c>
      <c r="G11" s="134">
        <f>All!G47</f>
        <v>95.4</v>
      </c>
      <c r="H11" s="134">
        <f>All!H47</f>
        <v>127.6</v>
      </c>
      <c r="I11" s="134">
        <f>All!I47</f>
        <v>160.30000000000001</v>
      </c>
      <c r="J11" s="134">
        <f>All!J47</f>
        <v>279.3</v>
      </c>
      <c r="K11" s="134">
        <f>All!K47</f>
        <v>156.9</v>
      </c>
      <c r="L11" s="134">
        <f>All!L47</f>
        <v>162</v>
      </c>
      <c r="M11" s="134">
        <f>All!M47</f>
        <v>51.8</v>
      </c>
      <c r="N11" s="135">
        <f>All!N47</f>
        <v>28.1</v>
      </c>
      <c r="O11" s="295">
        <f>All!O47</f>
        <v>1416.1</v>
      </c>
      <c r="P11" s="135">
        <f>All!P47</f>
        <v>118</v>
      </c>
    </row>
    <row r="12" spans="2:16" ht="22.15" customHeight="1">
      <c r="B12" s="153">
        <f>All!B48</f>
        <v>2019</v>
      </c>
      <c r="C12" s="154">
        <f>All!C48</f>
        <v>15.5</v>
      </c>
      <c r="D12" s="134">
        <f>All!D48</f>
        <v>38.799999999999997</v>
      </c>
      <c r="E12" s="134">
        <f>All!E48</f>
        <v>40.700000000000003</v>
      </c>
      <c r="F12" s="134">
        <f>All!F48</f>
        <v>88.9</v>
      </c>
      <c r="G12" s="134">
        <f>All!G48</f>
        <v>35</v>
      </c>
      <c r="H12" s="134">
        <f>All!H48</f>
        <v>247.5</v>
      </c>
      <c r="I12" s="134">
        <f>All!I48</f>
        <v>206.5</v>
      </c>
      <c r="J12" s="134">
        <f>All!J48</f>
        <v>195.7</v>
      </c>
      <c r="K12" s="134">
        <f>All!K48</f>
        <v>287.5</v>
      </c>
      <c r="L12" s="134">
        <f>All!L48</f>
        <v>222.2</v>
      </c>
      <c r="M12" s="134">
        <f>All!M48</f>
        <v>31</v>
      </c>
      <c r="N12" s="135">
        <f>All!N48</f>
        <v>40.799999999999997</v>
      </c>
      <c r="O12" s="154">
        <f>All!O48</f>
        <v>1450.1</v>
      </c>
      <c r="P12" s="135">
        <f>All!P48</f>
        <v>120.8</v>
      </c>
    </row>
    <row r="13" spans="2:16" ht="22.15" customHeight="1">
      <c r="B13" s="153">
        <f>All!B49</f>
        <v>2020</v>
      </c>
      <c r="C13" s="154">
        <f>All!C49</f>
        <v>178.7</v>
      </c>
      <c r="D13" s="134">
        <f>All!D49</f>
        <v>53.6</v>
      </c>
      <c r="E13" s="134">
        <f>All!E49</f>
        <v>41.6</v>
      </c>
      <c r="F13" s="134">
        <f>All!F49</f>
        <v>73.2</v>
      </c>
      <c r="G13" s="134">
        <f>All!G49</f>
        <v>51.5</v>
      </c>
      <c r="H13" s="134">
        <f>All!H49</f>
        <v>218.6</v>
      </c>
      <c r="I13" s="134">
        <f>All!I49</f>
        <v>498.3</v>
      </c>
      <c r="J13" s="134">
        <f>All!J49</f>
        <v>137.1</v>
      </c>
      <c r="K13" s="134">
        <f>All!K49</f>
        <v>243</v>
      </c>
      <c r="L13" s="134">
        <f>All!L49</f>
        <v>18.899999999999999</v>
      </c>
      <c r="M13" s="134">
        <f>All!M49</f>
        <v>37.700000000000003</v>
      </c>
      <c r="N13" s="135">
        <f>All!N49</f>
        <v>5.7</v>
      </c>
      <c r="O13" s="154">
        <f>All!O49</f>
        <v>1557.9</v>
      </c>
      <c r="P13" s="135">
        <f>All!P49</f>
        <v>129.80000000000001</v>
      </c>
    </row>
    <row r="14" spans="2:16" ht="22.15" customHeight="1" thickBot="1">
      <c r="B14" s="153">
        <f>All!B50</f>
        <v>0</v>
      </c>
      <c r="C14" s="155">
        <f>All!C50</f>
        <v>0</v>
      </c>
      <c r="D14" s="156">
        <f>All!D50</f>
        <v>0</v>
      </c>
      <c r="E14" s="156">
        <f>All!E50</f>
        <v>0</v>
      </c>
      <c r="F14" s="156">
        <f>All!F50</f>
        <v>0</v>
      </c>
      <c r="G14" s="156">
        <f>All!G50</f>
        <v>0</v>
      </c>
      <c r="H14" s="156">
        <f>All!H50</f>
        <v>0</v>
      </c>
      <c r="I14" s="156">
        <f>All!I50</f>
        <v>0</v>
      </c>
      <c r="J14" s="156">
        <f>All!J50</f>
        <v>0</v>
      </c>
      <c r="K14" s="156">
        <f>All!K50</f>
        <v>0</v>
      </c>
      <c r="L14" s="156">
        <f>All!L50</f>
        <v>0</v>
      </c>
      <c r="M14" s="156">
        <f>All!M50</f>
        <v>0</v>
      </c>
      <c r="N14" s="157">
        <f>All!N50</f>
        <v>0</v>
      </c>
      <c r="O14" s="155">
        <f>All!O50</f>
        <v>0</v>
      </c>
      <c r="P14" s="157">
        <f>All!P50</f>
        <v>0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247.5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27.6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0</v>
      </c>
      <c r="P16" s="135">
        <f>All!P52</f>
        <v>0</v>
      </c>
    </row>
    <row r="17" spans="1:16" ht="22.15" customHeight="1" thickBot="1">
      <c r="B17" s="162" t="s">
        <v>20</v>
      </c>
      <c r="C17" s="163">
        <f>All!C53</f>
        <v>46.9</v>
      </c>
      <c r="D17" s="164">
        <f>All!D53</f>
        <v>38.9</v>
      </c>
      <c r="E17" s="164">
        <f>All!E53</f>
        <v>79.2</v>
      </c>
      <c r="F17" s="164">
        <f>All!F53</f>
        <v>114.2</v>
      </c>
      <c r="G17" s="165">
        <f>All!G53</f>
        <v>70.2</v>
      </c>
      <c r="H17" s="165">
        <f>All!H53</f>
        <v>112.1</v>
      </c>
      <c r="I17" s="165">
        <f>All!I53</f>
        <v>202.3</v>
      </c>
      <c r="J17" s="165">
        <f>All!J53</f>
        <v>194</v>
      </c>
      <c r="K17" s="165">
        <f>All!K53</f>
        <v>216.2</v>
      </c>
      <c r="L17" s="164">
        <f>All!L53</f>
        <v>128.4</v>
      </c>
      <c r="M17" s="164">
        <f>All!M53</f>
        <v>46.9</v>
      </c>
      <c r="N17" s="142">
        <f>All!N53</f>
        <v>33.9</v>
      </c>
      <c r="O17" s="324">
        <f>All!O53</f>
        <v>1155</v>
      </c>
      <c r="P17" s="320">
        <f>All!P53</f>
        <v>96.3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40</v>
      </c>
      <c r="E18" s="168">
        <f>All!E37</f>
        <v>67.099999999999994</v>
      </c>
      <c r="F18" s="168">
        <f>All!F37</f>
        <v>94.6</v>
      </c>
      <c r="G18" s="168">
        <f>All!G37</f>
        <v>108.2</v>
      </c>
      <c r="H18" s="168">
        <f>All!H37</f>
        <v>154.9</v>
      </c>
      <c r="I18" s="169">
        <f>All!I37</f>
        <v>226.7</v>
      </c>
      <c r="J18" s="169">
        <f>All!J37</f>
        <v>218</v>
      </c>
      <c r="K18" s="169">
        <f>All!K37</f>
        <v>170.4</v>
      </c>
      <c r="L18" s="169">
        <f>All!L37</f>
        <v>77.3</v>
      </c>
      <c r="M18" s="169">
        <f>All!M37</f>
        <v>45.3</v>
      </c>
      <c r="N18" s="170">
        <f>All!N37</f>
        <v>25.1</v>
      </c>
      <c r="O18" s="171">
        <f>All!O37</f>
        <v>1224</v>
      </c>
      <c r="P18" s="170">
        <f>All!P37</f>
        <v>102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794.8</v>
      </c>
      <c r="F20" s="175"/>
    </row>
    <row r="21" spans="1:16">
      <c r="B21" s="176" t="s">
        <v>190</v>
      </c>
      <c r="D21" s="328">
        <f>O17</f>
        <v>1155</v>
      </c>
    </row>
    <row r="22" spans="1:16" ht="17.25" thickBot="1">
      <c r="B22" s="177"/>
      <c r="C22" s="178"/>
      <c r="D22" s="179">
        <f>D20/D21</f>
        <v>0.68813852813852805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0</v>
      </c>
      <c r="D24" s="183" t="s">
        <v>30</v>
      </c>
      <c r="G24" s="410" t="s">
        <v>213</v>
      </c>
      <c r="H24" s="411"/>
      <c r="I24" s="359">
        <v>0.13200000000000001</v>
      </c>
      <c r="J24" s="358">
        <v>0.63</v>
      </c>
      <c r="K24" s="146"/>
    </row>
    <row r="25" spans="1:16" ht="17.25" thickBot="1">
      <c r="B25" s="184" t="s">
        <v>27</v>
      </c>
      <c r="C25" s="329">
        <f>O18</f>
        <v>1224</v>
      </c>
      <c r="D25" s="185" t="s">
        <v>29</v>
      </c>
      <c r="G25" s="408" t="s">
        <v>229</v>
      </c>
      <c r="H25" s="409"/>
      <c r="I25" s="361">
        <v>0.122</v>
      </c>
      <c r="J25" s="362">
        <v>0.67</v>
      </c>
      <c r="K25" s="146"/>
    </row>
    <row r="26" spans="1:16">
      <c r="B26" s="184" t="s">
        <v>188</v>
      </c>
      <c r="C26" s="186">
        <f>J24</f>
        <v>0.63</v>
      </c>
      <c r="D26" s="357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360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16.1568</v>
      </c>
      <c r="D30" s="192">
        <f>max*rf_2/10</f>
        <v>14.9328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570768.68851200014</v>
      </c>
      <c r="D32" s="196" t="s">
        <v>36</v>
      </c>
      <c r="F32" s="197"/>
    </row>
    <row r="33" spans="1:4" ht="22.15" customHeight="1" thickBot="1">
      <c r="B33" s="198"/>
      <c r="C33" s="199">
        <f>C32/365</f>
        <v>1563.7498315397263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0</v>
      </c>
      <c r="D35" s="203" t="s">
        <v>34</v>
      </c>
    </row>
    <row r="36" spans="1:4" ht="22.15" customHeight="1" thickBot="1">
      <c r="B36" s="204"/>
      <c r="C36" s="205">
        <f>C35/365</f>
        <v>0</v>
      </c>
      <c r="D36" s="206" t="s">
        <v>35</v>
      </c>
    </row>
    <row r="37" spans="1:4" ht="18" thickTop="1" thickBot="1">
      <c r="B37" s="207" t="s">
        <v>192</v>
      </c>
      <c r="C37" s="208">
        <f>(C36/C33)*100</f>
        <v>0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10" ht="18" customHeight="1"/>
    <row r="51" spans="1:10" ht="17.25" thickBot="1"/>
    <row r="52" spans="1:10" customFormat="1" ht="17.25">
      <c r="A52" s="412" t="s">
        <v>214</v>
      </c>
      <c r="B52" s="413"/>
      <c r="C52" s="374"/>
      <c r="D52" s="374"/>
      <c r="E52" s="374"/>
      <c r="F52" s="374"/>
      <c r="G52" s="374"/>
      <c r="H52" s="374"/>
      <c r="I52" s="374"/>
      <c r="J52" s="375"/>
    </row>
    <row r="53" spans="1:10" customFormat="1" ht="18" thickBot="1">
      <c r="A53" s="376"/>
      <c r="B53" s="377" t="s">
        <v>181</v>
      </c>
      <c r="C53" s="377" t="s">
        <v>224</v>
      </c>
      <c r="D53" s="377" t="s">
        <v>225</v>
      </c>
      <c r="E53" s="377" t="s">
        <v>226</v>
      </c>
      <c r="F53" s="377" t="s">
        <v>236</v>
      </c>
      <c r="G53" s="377" t="s">
        <v>237</v>
      </c>
      <c r="H53" s="377" t="s">
        <v>238</v>
      </c>
      <c r="I53" s="377" t="s">
        <v>239</v>
      </c>
      <c r="J53" s="378" t="s">
        <v>240</v>
      </c>
    </row>
    <row r="54" spans="1:10" customFormat="1" ht="17.25">
      <c r="A54" s="403" t="s">
        <v>215</v>
      </c>
      <c r="B54" s="379">
        <v>470</v>
      </c>
      <c r="C54" s="380">
        <v>470</v>
      </c>
      <c r="D54" s="380">
        <v>470</v>
      </c>
      <c r="E54" s="380">
        <v>470</v>
      </c>
      <c r="F54" s="380">
        <v>470</v>
      </c>
      <c r="G54" s="380">
        <v>470</v>
      </c>
      <c r="H54" s="380">
        <v>470</v>
      </c>
      <c r="I54" s="380">
        <v>470</v>
      </c>
      <c r="J54" s="381">
        <v>470</v>
      </c>
    </row>
    <row r="55" spans="1:10" customFormat="1" ht="17.25">
      <c r="A55" s="404" t="s">
        <v>216</v>
      </c>
      <c r="B55" s="382">
        <v>87</v>
      </c>
      <c r="C55" s="383">
        <v>87</v>
      </c>
      <c r="D55" s="383">
        <v>87</v>
      </c>
      <c r="E55" s="383">
        <v>87</v>
      </c>
      <c r="F55" s="383">
        <v>87</v>
      </c>
      <c r="G55" s="383">
        <v>87</v>
      </c>
      <c r="H55" s="383">
        <v>87</v>
      </c>
      <c r="I55" s="383">
        <v>87</v>
      </c>
      <c r="J55" s="384">
        <v>87</v>
      </c>
    </row>
    <row r="56" spans="1:10" customFormat="1" ht="17.25">
      <c r="A56" s="404" t="s">
        <v>217</v>
      </c>
      <c r="B56" s="385">
        <v>60</v>
      </c>
      <c r="C56" s="386">
        <v>60</v>
      </c>
      <c r="D56" s="386">
        <v>60</v>
      </c>
      <c r="E56" s="386">
        <v>60</v>
      </c>
      <c r="F56" s="386">
        <v>60</v>
      </c>
      <c r="G56" s="386">
        <v>60</v>
      </c>
      <c r="H56" s="386">
        <v>60</v>
      </c>
      <c r="I56" s="386">
        <v>60</v>
      </c>
      <c r="J56" s="387">
        <v>60</v>
      </c>
    </row>
    <row r="57" spans="1:10" customFormat="1" ht="17.25">
      <c r="A57" s="405" t="s">
        <v>218</v>
      </c>
      <c r="B57" s="388">
        <f t="shared" ref="B57:J57" si="0">ROUND(B56/10,1)</f>
        <v>6</v>
      </c>
      <c r="C57" s="389">
        <f t="shared" si="0"/>
        <v>6</v>
      </c>
      <c r="D57" s="389">
        <f t="shared" si="0"/>
        <v>6</v>
      </c>
      <c r="E57" s="389">
        <f t="shared" si="0"/>
        <v>6</v>
      </c>
      <c r="F57" s="389">
        <f t="shared" si="0"/>
        <v>6</v>
      </c>
      <c r="G57" s="389">
        <f t="shared" si="0"/>
        <v>6</v>
      </c>
      <c r="H57" s="389">
        <f t="shared" si="0"/>
        <v>6</v>
      </c>
      <c r="I57" s="389">
        <f t="shared" si="0"/>
        <v>6</v>
      </c>
      <c r="J57" s="390">
        <f t="shared" si="0"/>
        <v>6</v>
      </c>
    </row>
    <row r="58" spans="1:10" customFormat="1" ht="17.25">
      <c r="A58" s="405" t="s">
        <v>219</v>
      </c>
      <c r="B58" s="391">
        <f t="shared" ref="B58:J58" si="1">B56+B57</f>
        <v>66</v>
      </c>
      <c r="C58" s="392">
        <f t="shared" si="1"/>
        <v>66</v>
      </c>
      <c r="D58" s="392">
        <f t="shared" si="1"/>
        <v>66</v>
      </c>
      <c r="E58" s="392">
        <f t="shared" si="1"/>
        <v>66</v>
      </c>
      <c r="F58" s="392">
        <f t="shared" si="1"/>
        <v>66</v>
      </c>
      <c r="G58" s="392">
        <f t="shared" si="1"/>
        <v>66</v>
      </c>
      <c r="H58" s="392">
        <f t="shared" si="1"/>
        <v>66</v>
      </c>
      <c r="I58" s="392">
        <f t="shared" si="1"/>
        <v>66</v>
      </c>
      <c r="J58" s="393">
        <f t="shared" si="1"/>
        <v>66</v>
      </c>
    </row>
    <row r="59" spans="1:10" customFormat="1" ht="17.25">
      <c r="A59" s="405" t="s">
        <v>220</v>
      </c>
      <c r="B59" s="394">
        <v>0.45</v>
      </c>
      <c r="C59" s="395">
        <v>0.45</v>
      </c>
      <c r="D59" s="395">
        <v>0.45</v>
      </c>
      <c r="E59" s="395">
        <v>0.45</v>
      </c>
      <c r="F59" s="395">
        <v>0.45</v>
      </c>
      <c r="G59" s="395">
        <v>0.45</v>
      </c>
      <c r="H59" s="395">
        <v>0.45</v>
      </c>
      <c r="I59" s="395">
        <v>0.45</v>
      </c>
      <c r="J59" s="396">
        <v>0.45</v>
      </c>
    </row>
    <row r="60" spans="1:10" customFormat="1" ht="17.25">
      <c r="A60" s="405"/>
      <c r="B60" s="388"/>
      <c r="C60" s="389"/>
      <c r="D60" s="389"/>
      <c r="E60" s="389"/>
      <c r="F60" s="389"/>
      <c r="G60" s="389"/>
      <c r="H60" s="389"/>
      <c r="I60" s="389"/>
      <c r="J60" s="390"/>
    </row>
    <row r="61" spans="1:10" customFormat="1" ht="17.25">
      <c r="A61" s="405" t="s">
        <v>221</v>
      </c>
      <c r="B61" s="388">
        <f t="shared" ref="B61:J61" si="2">ROUND((B55*B58)/(6572.5*B59),4)</f>
        <v>1.9414</v>
      </c>
      <c r="C61" s="389">
        <f t="shared" si="2"/>
        <v>1.9414</v>
      </c>
      <c r="D61" s="389">
        <f t="shared" si="2"/>
        <v>1.9414</v>
      </c>
      <c r="E61" s="389">
        <f t="shared" si="2"/>
        <v>1.9414</v>
      </c>
      <c r="F61" s="389">
        <f t="shared" si="2"/>
        <v>1.9414</v>
      </c>
      <c r="G61" s="389">
        <f t="shared" si="2"/>
        <v>1.9414</v>
      </c>
      <c r="H61" s="389">
        <f t="shared" si="2"/>
        <v>1.9414</v>
      </c>
      <c r="I61" s="389">
        <f t="shared" si="2"/>
        <v>1.9414</v>
      </c>
      <c r="J61" s="390">
        <f t="shared" si="2"/>
        <v>1.9414</v>
      </c>
    </row>
    <row r="62" spans="1:10" customFormat="1" ht="21" thickBot="1">
      <c r="A62" s="406"/>
      <c r="B62" s="397">
        <f t="shared" ref="B62:J62" si="3">ROUNDUP(B61,0)</f>
        <v>2</v>
      </c>
      <c r="C62" s="398">
        <f t="shared" si="3"/>
        <v>2</v>
      </c>
      <c r="D62" s="398">
        <f t="shared" si="3"/>
        <v>2</v>
      </c>
      <c r="E62" s="398">
        <f t="shared" si="3"/>
        <v>2</v>
      </c>
      <c r="F62" s="398">
        <f t="shared" si="3"/>
        <v>2</v>
      </c>
      <c r="G62" s="398">
        <f t="shared" si="3"/>
        <v>2</v>
      </c>
      <c r="H62" s="398">
        <f t="shared" si="3"/>
        <v>2</v>
      </c>
      <c r="I62" s="398">
        <f t="shared" si="3"/>
        <v>2</v>
      </c>
      <c r="J62" s="399">
        <f t="shared" si="3"/>
        <v>2</v>
      </c>
    </row>
    <row r="63" spans="1:10" customFormat="1" ht="17.25">
      <c r="A63" s="403" t="s">
        <v>222</v>
      </c>
      <c r="B63" s="379">
        <v>5</v>
      </c>
      <c r="C63" s="380">
        <v>5</v>
      </c>
      <c r="D63" s="380">
        <v>5</v>
      </c>
      <c r="E63" s="380">
        <v>5</v>
      </c>
      <c r="F63" s="380">
        <v>5</v>
      </c>
      <c r="G63" s="380">
        <v>5</v>
      </c>
      <c r="H63" s="380">
        <v>5</v>
      </c>
      <c r="I63" s="380">
        <v>5</v>
      </c>
      <c r="J63" s="381">
        <v>5</v>
      </c>
    </row>
    <row r="64" spans="1:10" customFormat="1" ht="18" thickBot="1">
      <c r="A64" s="406" t="s">
        <v>223</v>
      </c>
      <c r="B64" s="400">
        <f t="shared" ref="B64:J64" si="4">ROUND((B63*B59*6572.5)/B58,1)</f>
        <v>224.1</v>
      </c>
      <c r="C64" s="401">
        <f t="shared" si="4"/>
        <v>224.1</v>
      </c>
      <c r="D64" s="401">
        <f t="shared" si="4"/>
        <v>224.1</v>
      </c>
      <c r="E64" s="401">
        <f t="shared" si="4"/>
        <v>224.1</v>
      </c>
      <c r="F64" s="401">
        <f t="shared" si="4"/>
        <v>224.1</v>
      </c>
      <c r="G64" s="401">
        <f t="shared" si="4"/>
        <v>224.1</v>
      </c>
      <c r="H64" s="401">
        <f t="shared" si="4"/>
        <v>224.1</v>
      </c>
      <c r="I64" s="401">
        <f t="shared" si="4"/>
        <v>224.1</v>
      </c>
      <c r="J64" s="402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4"/>
  <sheetViews>
    <sheetView workbookViewId="0">
      <selection activeCell="G17" sqref="G17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414" t="s">
        <v>0</v>
      </c>
      <c r="B2" s="416" t="s">
        <v>49</v>
      </c>
      <c r="C2" s="416" t="s">
        <v>6</v>
      </c>
      <c r="D2" s="416" t="s">
        <v>47</v>
      </c>
      <c r="E2" s="416" t="s">
        <v>137</v>
      </c>
      <c r="F2" s="416" t="s">
        <v>48</v>
      </c>
      <c r="G2" s="420" t="s">
        <v>1</v>
      </c>
      <c r="H2" s="420" t="s">
        <v>2</v>
      </c>
      <c r="I2" s="420" t="s">
        <v>202</v>
      </c>
      <c r="J2" s="424" t="s">
        <v>203</v>
      </c>
      <c r="K2" s="420" t="s">
        <v>204</v>
      </c>
      <c r="L2" s="420" t="s">
        <v>3</v>
      </c>
      <c r="M2" s="420" t="s">
        <v>4</v>
      </c>
      <c r="N2" s="420" t="s">
        <v>5</v>
      </c>
      <c r="O2" s="420" t="s">
        <v>112</v>
      </c>
      <c r="P2" s="422" t="s">
        <v>50</v>
      </c>
      <c r="Q2" s="416" t="s">
        <v>180</v>
      </c>
      <c r="R2" s="418" t="s">
        <v>105</v>
      </c>
      <c r="S2" s="330"/>
    </row>
    <row r="3" spans="1:19" s="292" customFormat="1" ht="27" customHeight="1">
      <c r="A3" s="415"/>
      <c r="B3" s="417"/>
      <c r="C3" s="417"/>
      <c r="D3" s="417"/>
      <c r="E3" s="417"/>
      <c r="F3" s="417"/>
      <c r="G3" s="421"/>
      <c r="H3" s="421"/>
      <c r="I3" s="421"/>
      <c r="J3" s="425"/>
      <c r="K3" s="421"/>
      <c r="L3" s="421"/>
      <c r="M3" s="421"/>
      <c r="N3" s="421"/>
      <c r="O3" s="421"/>
      <c r="P3" s="423"/>
      <c r="Q3" s="417"/>
      <c r="R3" s="419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369" t="s">
        <v>176</v>
      </c>
      <c r="B5" s="367" t="s">
        <v>209</v>
      </c>
      <c r="C5" s="296"/>
      <c r="D5" s="367" t="s">
        <v>211</v>
      </c>
      <c r="E5" s="367"/>
      <c r="F5" s="367"/>
      <c r="G5" s="367">
        <v>200</v>
      </c>
      <c r="H5" s="367">
        <v>470</v>
      </c>
      <c r="I5" s="367">
        <v>15</v>
      </c>
      <c r="J5" s="367">
        <v>87</v>
      </c>
      <c r="K5" s="367">
        <v>200</v>
      </c>
      <c r="L5" s="367">
        <v>5</v>
      </c>
      <c r="M5" s="367">
        <v>60</v>
      </c>
      <c r="N5" s="297">
        <v>50</v>
      </c>
      <c r="O5" s="298">
        <v>92.2</v>
      </c>
      <c r="P5" s="299">
        <v>3532684</v>
      </c>
      <c r="Q5" s="367"/>
      <c r="R5" s="368"/>
      <c r="S5" s="354"/>
    </row>
    <row r="6" spans="1:19" s="353" customFormat="1" ht="23.1" customHeight="1">
      <c r="A6" s="369" t="s">
        <v>176</v>
      </c>
      <c r="B6" s="367" t="s">
        <v>209</v>
      </c>
      <c r="C6" s="296"/>
      <c r="D6" s="367" t="s">
        <v>211</v>
      </c>
      <c r="E6" s="367"/>
      <c r="F6" s="367"/>
      <c r="G6" s="367">
        <v>200</v>
      </c>
      <c r="H6" s="367">
        <v>470</v>
      </c>
      <c r="I6" s="367">
        <v>15</v>
      </c>
      <c r="J6" s="367">
        <v>87</v>
      </c>
      <c r="K6" s="367">
        <v>200</v>
      </c>
      <c r="L6" s="367">
        <v>5</v>
      </c>
      <c r="M6" s="367">
        <v>60</v>
      </c>
      <c r="N6" s="297">
        <v>50</v>
      </c>
      <c r="O6" s="298">
        <v>92.2</v>
      </c>
      <c r="P6" s="299">
        <v>3532684</v>
      </c>
      <c r="Q6" s="367"/>
      <c r="R6" s="368"/>
      <c r="S6" s="354"/>
    </row>
    <row r="7" spans="1:19" s="353" customFormat="1" ht="23.1" customHeight="1">
      <c r="A7" s="369" t="s">
        <v>176</v>
      </c>
      <c r="B7" s="367" t="s">
        <v>209</v>
      </c>
      <c r="C7" s="296"/>
      <c r="D7" s="367" t="s">
        <v>211</v>
      </c>
      <c r="E7" s="367"/>
      <c r="F7" s="367"/>
      <c r="G7" s="367">
        <v>200</v>
      </c>
      <c r="H7" s="367">
        <v>470</v>
      </c>
      <c r="I7" s="367">
        <v>15</v>
      </c>
      <c r="J7" s="367">
        <v>87</v>
      </c>
      <c r="K7" s="367">
        <v>200</v>
      </c>
      <c r="L7" s="367">
        <v>5</v>
      </c>
      <c r="M7" s="367">
        <v>60</v>
      </c>
      <c r="N7" s="297">
        <v>50</v>
      </c>
      <c r="O7" s="298">
        <v>92.2</v>
      </c>
      <c r="P7" s="299">
        <v>3532684</v>
      </c>
      <c r="Q7" s="367"/>
      <c r="R7" s="368"/>
      <c r="S7" s="354"/>
    </row>
    <row r="8" spans="1:19" s="353" customFormat="1" ht="23.1" customHeight="1">
      <c r="A8" s="369" t="s">
        <v>176</v>
      </c>
      <c r="B8" s="367" t="s">
        <v>209</v>
      </c>
      <c r="C8" s="296"/>
      <c r="D8" s="367" t="s">
        <v>211</v>
      </c>
      <c r="E8" s="367"/>
      <c r="F8" s="367"/>
      <c r="G8" s="367">
        <v>200</v>
      </c>
      <c r="H8" s="367">
        <v>470</v>
      </c>
      <c r="I8" s="367">
        <v>15</v>
      </c>
      <c r="J8" s="367">
        <v>87</v>
      </c>
      <c r="K8" s="367">
        <v>200</v>
      </c>
      <c r="L8" s="367">
        <v>5</v>
      </c>
      <c r="M8" s="367">
        <v>60</v>
      </c>
      <c r="N8" s="297">
        <v>50</v>
      </c>
      <c r="O8" s="298">
        <v>92.2</v>
      </c>
      <c r="P8" s="299">
        <v>3532684</v>
      </c>
      <c r="Q8" s="367"/>
      <c r="R8" s="368"/>
      <c r="S8" s="354"/>
    </row>
    <row r="9" spans="1:19" s="353" customFormat="1" ht="23.1" customHeight="1">
      <c r="A9" s="369" t="s">
        <v>176</v>
      </c>
      <c r="B9" s="367" t="s">
        <v>209</v>
      </c>
      <c r="C9" s="296"/>
      <c r="D9" s="367" t="s">
        <v>211</v>
      </c>
      <c r="E9" s="367"/>
      <c r="F9" s="367"/>
      <c r="G9" s="367">
        <v>200</v>
      </c>
      <c r="H9" s="367">
        <v>470</v>
      </c>
      <c r="I9" s="367">
        <v>15</v>
      </c>
      <c r="J9" s="367">
        <v>87</v>
      </c>
      <c r="K9" s="367">
        <v>200</v>
      </c>
      <c r="L9" s="367">
        <v>5</v>
      </c>
      <c r="M9" s="367">
        <v>60</v>
      </c>
      <c r="N9" s="297">
        <v>50</v>
      </c>
      <c r="O9" s="298">
        <v>92.2</v>
      </c>
      <c r="P9" s="299">
        <v>3532684</v>
      </c>
      <c r="Q9" s="367"/>
      <c r="R9" s="368"/>
      <c r="S9" s="354"/>
    </row>
    <row r="10" spans="1:19" s="353" customFormat="1" ht="23.1" customHeight="1">
      <c r="A10" s="370" t="s">
        <v>176</v>
      </c>
      <c r="B10" s="371" t="s">
        <v>209</v>
      </c>
      <c r="C10" s="296"/>
      <c r="D10" s="371" t="s">
        <v>211</v>
      </c>
      <c r="E10" s="371"/>
      <c r="F10" s="371"/>
      <c r="G10" s="371">
        <v>200</v>
      </c>
      <c r="H10" s="371">
        <v>470</v>
      </c>
      <c r="I10" s="371">
        <v>15</v>
      </c>
      <c r="J10" s="371">
        <v>87</v>
      </c>
      <c r="K10" s="371">
        <v>200</v>
      </c>
      <c r="L10" s="371">
        <v>5</v>
      </c>
      <c r="M10" s="371">
        <v>60</v>
      </c>
      <c r="N10" s="297">
        <v>50</v>
      </c>
      <c r="O10" s="298">
        <v>92.2</v>
      </c>
      <c r="P10" s="299">
        <v>3532684</v>
      </c>
      <c r="Q10" s="371"/>
      <c r="R10" s="372"/>
      <c r="S10" s="354"/>
    </row>
    <row r="11" spans="1:19" s="353" customFormat="1" ht="23.1" customHeight="1">
      <c r="A11" s="370" t="s">
        <v>176</v>
      </c>
      <c r="B11" s="371" t="s">
        <v>209</v>
      </c>
      <c r="C11" s="296"/>
      <c r="D11" s="371" t="s">
        <v>211</v>
      </c>
      <c r="E11" s="371"/>
      <c r="F11" s="371"/>
      <c r="G11" s="371">
        <v>200</v>
      </c>
      <c r="H11" s="371">
        <v>470</v>
      </c>
      <c r="I11" s="371">
        <v>15</v>
      </c>
      <c r="J11" s="371">
        <v>87</v>
      </c>
      <c r="K11" s="371">
        <v>200</v>
      </c>
      <c r="L11" s="371">
        <v>5</v>
      </c>
      <c r="M11" s="371">
        <v>60</v>
      </c>
      <c r="N11" s="297">
        <v>50</v>
      </c>
      <c r="O11" s="298">
        <v>92.2</v>
      </c>
      <c r="P11" s="299">
        <v>3532684</v>
      </c>
      <c r="Q11" s="371"/>
      <c r="R11" s="372"/>
      <c r="S11" s="354"/>
    </row>
    <row r="12" spans="1:19" s="353" customFormat="1" ht="23.1" customHeight="1">
      <c r="A12" s="370" t="s">
        <v>176</v>
      </c>
      <c r="B12" s="371" t="s">
        <v>209</v>
      </c>
      <c r="C12" s="296"/>
      <c r="D12" s="371" t="s">
        <v>211</v>
      </c>
      <c r="E12" s="371"/>
      <c r="F12" s="371"/>
      <c r="G12" s="371">
        <v>200</v>
      </c>
      <c r="H12" s="371">
        <v>470</v>
      </c>
      <c r="I12" s="371">
        <v>15</v>
      </c>
      <c r="J12" s="371">
        <v>87</v>
      </c>
      <c r="K12" s="371">
        <v>200</v>
      </c>
      <c r="L12" s="371">
        <v>5</v>
      </c>
      <c r="M12" s="371">
        <v>60</v>
      </c>
      <c r="N12" s="297">
        <v>50</v>
      </c>
      <c r="O12" s="298">
        <v>92.2</v>
      </c>
      <c r="P12" s="299">
        <v>3532684</v>
      </c>
      <c r="Q12" s="371"/>
      <c r="R12" s="372"/>
      <c r="S12" s="354"/>
    </row>
    <row r="13" spans="1:19" ht="23.25" customHeight="1">
      <c r="A13" s="45" t="s">
        <v>142</v>
      </c>
    </row>
    <row r="14" spans="1:19" ht="23.25" customHeight="1">
      <c r="I14" s="44">
        <f>SUM(I4:I13)</f>
        <v>135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39"/>
  <sheetViews>
    <sheetView tabSelected="1" workbookViewId="0">
      <selection activeCell="K2" sqref="K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120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r:id="rId1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DAFE5-31A3-41DA-B016-E7C567901AC8}">
  <sheetPr codeName="Sheet7">
    <tabColor rgb="FFC00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487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4871" r:id="rId4" name="CommandButton6"/>
      </mc:Fallback>
    </mc:AlternateContent>
    <mc:AlternateContent xmlns:mc="http://schemas.openxmlformats.org/markup-compatibility/2006">
      <mc:Choice Requires="x14">
        <control shapeId="16487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4870" r:id="rId6" name="Frame1"/>
      </mc:Fallback>
    </mc:AlternateContent>
    <mc:AlternateContent xmlns:mc="http://schemas.openxmlformats.org/markup-compatibility/2006">
      <mc:Choice Requires="x14">
        <control shapeId="16486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486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F337F10-FAFF-4620-90B1-B6BB6B35A5AE}">
          <x14:formula1>
            <xm:f>drastic!$G$4:$G$14</xm:f>
          </x14:formula1>
          <xm:sqref>I26</xm:sqref>
        </x14:dataValidation>
        <x14:dataValidation type="list" allowBlank="1" showInputMessage="1" showErrorMessage="1" xr:uid="{3AEAC37D-09D0-4763-BD8B-3016D7A5F987}">
          <x14:formula1>
            <xm:f>drastic!$D$4:$D$14</xm:f>
          </x14:formula1>
          <xm:sqref>G26</xm:sqref>
        </x14:dataValidation>
        <x14:dataValidation type="list" allowBlank="1" showInputMessage="1" showErrorMessage="1" xr:uid="{BBED0748-55C2-45D3-8E5C-059D2D76FA86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8345B-176B-49E1-BFA3-63549B906E7E}">
  <sheetPr codeName="Sheet8">
    <tabColor rgb="FFC00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589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5891" r:id="rId4" name="CommandButton6"/>
      </mc:Fallback>
    </mc:AlternateContent>
    <mc:AlternateContent xmlns:mc="http://schemas.openxmlformats.org/markup-compatibility/2006">
      <mc:Choice Requires="x14">
        <control shapeId="16589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5890" r:id="rId6" name="Frame1"/>
      </mc:Fallback>
    </mc:AlternateContent>
    <mc:AlternateContent xmlns:mc="http://schemas.openxmlformats.org/markup-compatibility/2006">
      <mc:Choice Requires="x14">
        <control shapeId="16588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588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0090DD-122B-4BE0-BACE-AD2CF0235DEC}">
          <x14:formula1>
            <xm:f>drastic!$A$4:$A$13</xm:f>
          </x14:formula1>
          <xm:sqref>F26</xm:sqref>
        </x14:dataValidation>
        <x14:dataValidation type="list" allowBlank="1" showInputMessage="1" showErrorMessage="1" xr:uid="{EC20DCF5-B32B-41AE-B400-05B1F9CD332F}">
          <x14:formula1>
            <xm:f>drastic!$D$4:$D$14</xm:f>
          </x14:formula1>
          <xm:sqref>G26</xm:sqref>
        </x14:dataValidation>
        <x14:dataValidation type="list" allowBlank="1" showInputMessage="1" showErrorMessage="1" xr:uid="{31FAEB3A-1A70-4A31-8479-A8C4C1E39DAD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35C25-F12F-4501-BFDE-BA8C1E3F16C1}">
  <sheetPr codeName="Sheet9">
    <tabColor rgb="FF00B05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228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6915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6915" r:id="rId4" name="CommandButton6"/>
      </mc:Fallback>
    </mc:AlternateContent>
    <mc:AlternateContent xmlns:mc="http://schemas.openxmlformats.org/markup-compatibility/2006">
      <mc:Choice Requires="x14">
        <control shapeId="16691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6914" r:id="rId6" name="Frame1"/>
      </mc:Fallback>
    </mc:AlternateContent>
    <mc:AlternateContent xmlns:mc="http://schemas.openxmlformats.org/markup-compatibility/2006">
      <mc:Choice Requires="x14">
        <control shapeId="166913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6913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1CCD1B-E162-435B-A163-B5A6BA797DCD}">
          <x14:formula1>
            <xm:f>drastic!$A$4:$A$13</xm:f>
          </x14:formula1>
          <xm:sqref>F26</xm:sqref>
        </x14:dataValidation>
        <x14:dataValidation type="list" allowBlank="1" showInputMessage="1" showErrorMessage="1" xr:uid="{1D446B3F-BC35-4946-8AA1-E14F36EE3E84}">
          <x14:formula1>
            <xm:f>drastic!$D$4:$D$14</xm:f>
          </x14:formula1>
          <xm:sqref>G26</xm:sqref>
        </x14:dataValidation>
        <x14:dataValidation type="list" allowBlank="1" showInputMessage="1" showErrorMessage="1" xr:uid="{D4B8E085-2088-4047-BCEE-3D33501DB282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496C-090C-4CFA-9420-8F945AD66903}">
  <sheetPr codeName="Sheet10">
    <tabColor rgb="FF00B05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231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Well!C8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Well!Q8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Well!D8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Well!H8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Well!G8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Well!I8</f>
        <v>15</v>
      </c>
      <c r="E15" s="49">
        <v>5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Well!J8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Well!L8</f>
        <v>5</v>
      </c>
      <c r="E17" s="97">
        <f>Well!P8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Well!M8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Well!N8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Well!$I$8</f>
        <v>15</v>
      </c>
      <c r="F21" s="326">
        <f>Well!O8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793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7939" r:id="rId4" name="CommandButton6"/>
      </mc:Fallback>
    </mc:AlternateContent>
    <mc:AlternateContent xmlns:mc="http://schemas.openxmlformats.org/markup-compatibility/2006">
      <mc:Choice Requires="x14">
        <control shapeId="16793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7938" r:id="rId6" name="Frame1"/>
      </mc:Fallback>
    </mc:AlternateContent>
    <mc:AlternateContent xmlns:mc="http://schemas.openxmlformats.org/markup-compatibility/2006">
      <mc:Choice Requires="x14">
        <control shapeId="16793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793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4BFB963-10B9-4A90-AF13-A579FEE8E507}">
          <x14:formula1>
            <xm:f>drastic!$A$4:$A$13</xm:f>
          </x14:formula1>
          <xm:sqref>F26</xm:sqref>
        </x14:dataValidation>
        <x14:dataValidation type="list" allowBlank="1" showInputMessage="1" showErrorMessage="1" xr:uid="{70736C55-24B3-4661-8001-5A52130CF963}">
          <x14:formula1>
            <xm:f>drastic!$D$4:$D$14</xm:f>
          </x14:formula1>
          <xm:sqref>G26</xm:sqref>
        </x14:dataValidation>
        <x14:dataValidation type="list" allowBlank="1" showInputMessage="1" showErrorMessage="1" xr:uid="{1CC2DA89-15EB-4BF5-B41D-08BC06B72183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9B668-50D4-4ED2-BCAD-6F9804454A65}">
  <sheetPr codeName="Sheet11">
    <tabColor rgb="FFFFC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232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Well!C9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Well!Q9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Well!D9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Well!H9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Well!G9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Well!I9</f>
        <v>15</v>
      </c>
      <c r="E15" s="49">
        <v>6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Well!J9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Well!L9</f>
        <v>5</v>
      </c>
      <c r="E17" s="97">
        <f>Well!P9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Well!M9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Well!N9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Well!$I$9</f>
        <v>15</v>
      </c>
      <c r="F21" s="326">
        <f>Well!O9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68963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68963" r:id="rId4" name="CommandButton6"/>
      </mc:Fallback>
    </mc:AlternateContent>
    <mc:AlternateContent xmlns:mc="http://schemas.openxmlformats.org/markup-compatibility/2006">
      <mc:Choice Requires="x14">
        <control shapeId="16896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68962" r:id="rId6" name="Frame1"/>
      </mc:Fallback>
    </mc:AlternateContent>
    <mc:AlternateContent xmlns:mc="http://schemas.openxmlformats.org/markup-compatibility/2006">
      <mc:Choice Requires="x14">
        <control shapeId="168961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68961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F4AA540-B40A-459B-B8D5-8175D2A84D9F}">
          <x14:formula1>
            <xm:f>drastic!$A$4:$A$13</xm:f>
          </x14:formula1>
          <xm:sqref>F26</xm:sqref>
        </x14:dataValidation>
        <x14:dataValidation type="list" allowBlank="1" showInputMessage="1" showErrorMessage="1" xr:uid="{1A7FFF76-4647-4BAF-A5B3-09A370592369}">
          <x14:formula1>
            <xm:f>drastic!$D$4:$D$14</xm:f>
          </x14:formula1>
          <xm:sqref>G26</xm:sqref>
        </x14:dataValidation>
        <x14:dataValidation type="list" allowBlank="1" showInputMessage="1" showErrorMessage="1" xr:uid="{80442F8C-2142-462D-843D-50E7B0756AF2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A783-2ED5-4A8A-8AED-80596BFDEC08}">
  <sheetPr codeName="Sheet12">
    <tabColor rgb="FFFFC00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233</v>
      </c>
      <c r="C2" s="1" t="str">
        <f>Well!D10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Well!C10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Well!R10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Well!Q10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Well!D10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Well!H10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Well!G10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Well!I10</f>
        <v>15</v>
      </c>
      <c r="E15" s="49">
        <v>7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Well!J10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Well!L10</f>
        <v>5</v>
      </c>
      <c r="E17" s="97">
        <f>Well!P10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Well!M10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Well!N10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Well!$I$10</f>
        <v>15</v>
      </c>
      <c r="F21" s="326">
        <f>Well!O10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30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3057" r:id="rId4" name="CommandButton5"/>
      </mc:Fallback>
    </mc:AlternateContent>
    <mc:AlternateContent xmlns:mc="http://schemas.openxmlformats.org/markup-compatibility/2006">
      <mc:Choice Requires="x14">
        <control shapeId="17305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3058" r:id="rId6" name="Frame1"/>
      </mc:Fallback>
    </mc:AlternateContent>
    <mc:AlternateContent xmlns:mc="http://schemas.openxmlformats.org/markup-compatibility/2006">
      <mc:Choice Requires="x14">
        <control shapeId="173059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3059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EFF3F7-C82E-4E6D-9AAC-122BC7C30B90}">
          <x14:formula1>
            <xm:f>drastic!$A$4:$A$13</xm:f>
          </x14:formula1>
          <xm:sqref>F26</xm:sqref>
        </x14:dataValidation>
        <x14:dataValidation type="list" allowBlank="1" showInputMessage="1" showErrorMessage="1" xr:uid="{88ABEAF3-FEED-4B2F-99EE-E2F41D3F75A0}">
          <x14:formula1>
            <xm:f>drastic!$D$4:$D$14</xm:f>
          </x14:formula1>
          <xm:sqref>G26</xm:sqref>
        </x14:dataValidation>
        <x14:dataValidation type="list" allowBlank="1" showInputMessage="1" showErrorMessage="1" xr:uid="{6DC6CFF3-9F17-4C87-B598-6B449EEB066B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3FBE-0481-460E-BBA6-D24146EACEA7}">
  <sheetPr codeName="Sheet13">
    <tabColor rgb="FF7030A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234</v>
      </c>
      <c r="C2" s="1" t="str">
        <f>Well!D11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Well!C11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Well!R11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Well!Q11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Well!D11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Well!H11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Well!G11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Well!I11</f>
        <v>15</v>
      </c>
      <c r="E15" s="49">
        <v>8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Well!J11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Well!L11</f>
        <v>5</v>
      </c>
      <c r="E17" s="97">
        <f>Well!P11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Well!M11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Well!N11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Well!$I$11</f>
        <v>15</v>
      </c>
      <c r="F21" s="326">
        <f>Well!O11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40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4081" r:id="rId4" name="CommandButton5"/>
      </mc:Fallback>
    </mc:AlternateContent>
    <mc:AlternateContent xmlns:mc="http://schemas.openxmlformats.org/markup-compatibility/2006">
      <mc:Choice Requires="x14">
        <control shapeId="174082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4082" r:id="rId6" name="Frame1"/>
      </mc:Fallback>
    </mc:AlternateContent>
    <mc:AlternateContent xmlns:mc="http://schemas.openxmlformats.org/markup-compatibility/2006">
      <mc:Choice Requires="x14">
        <control shapeId="174083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4083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56AFBC-00A6-4C7F-85F5-822E079DDC86}">
          <x14:formula1>
            <xm:f>drastic!$A$4:$A$13</xm:f>
          </x14:formula1>
          <xm:sqref>F26</xm:sqref>
        </x14:dataValidation>
        <x14:dataValidation type="list" allowBlank="1" showInputMessage="1" showErrorMessage="1" xr:uid="{36A22163-7A63-47FA-80CA-FE50E3A7F9C2}">
          <x14:formula1>
            <xm:f>drastic!$D$4:$D$14</xm:f>
          </x14:formula1>
          <xm:sqref>G26</xm:sqref>
        </x14:dataValidation>
        <x14:dataValidation type="list" allowBlank="1" showInputMessage="1" showErrorMessage="1" xr:uid="{7BE0BDCA-2874-4A15-AF55-DD21AEE095AD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6E34-1412-42EC-9369-2BB50FF6F363}">
  <sheetPr codeName="Sheet14">
    <tabColor rgb="FF7030A0"/>
  </sheetPr>
  <dimension ref="A1:M39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235</v>
      </c>
      <c r="C2" s="1" t="str">
        <f>Well!D12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373">
        <f>Well!C12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Well!R12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Well!Q12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Well!D12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Well!H12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Well!G12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31" t="s">
        <v>136</v>
      </c>
      <c r="K11" s="432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Well!I12</f>
        <v>15</v>
      </c>
      <c r="E15" s="49">
        <v>9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Well!J12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Well!L12</f>
        <v>5</v>
      </c>
      <c r="E17" s="97">
        <f>Well!P12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Well!M12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Well!N12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Well!$I$12</f>
        <v>15</v>
      </c>
      <c r="F21" s="326">
        <f>Well!O12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33">
        <f>E21+F21</f>
        <v>107.2</v>
      </c>
      <c r="F22" s="434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6" t="s">
        <v>114</v>
      </c>
      <c r="C25" s="427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8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9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9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30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51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5105" r:id="rId4" name="CommandButton5"/>
      </mc:Fallback>
    </mc:AlternateContent>
    <mc:AlternateContent xmlns:mc="http://schemas.openxmlformats.org/markup-compatibility/2006">
      <mc:Choice Requires="x14">
        <control shapeId="17510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5106" r:id="rId6" name="Frame1"/>
      </mc:Fallback>
    </mc:AlternateContent>
    <mc:AlternateContent xmlns:mc="http://schemas.openxmlformats.org/markup-compatibility/2006">
      <mc:Choice Requires="x14">
        <control shapeId="175107" r:id="rId8" name="CommandButton6">
          <controlPr defaultSize="0" autoLine="0" r:id="rId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5107" r:id="rId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8B0D27C-260F-4595-B863-F78905709203}">
          <x14:formula1>
            <xm:f>drastic!$A$4:$A$13</xm:f>
          </x14:formula1>
          <xm:sqref>F26</xm:sqref>
        </x14:dataValidation>
        <x14:dataValidation type="list" allowBlank="1" showInputMessage="1" showErrorMessage="1" xr:uid="{11E6666E-44DC-48D2-845D-B51FA7A1FF74}">
          <x14:formula1>
            <xm:f>drastic!$D$4:$D$14</xm:f>
          </x14:formula1>
          <xm:sqref>G26</xm:sqref>
        </x14:dataValidation>
        <x14:dataValidation type="list" allowBlank="1" showInputMessage="1" showErrorMessage="1" xr:uid="{2806E03B-03E7-46C4-836C-950F382B07C9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35" t="s">
        <v>98</v>
      </c>
      <c r="C12" s="437"/>
      <c r="D12" s="435" t="s">
        <v>99</v>
      </c>
      <c r="E12" s="436"/>
      <c r="F12" s="437"/>
      <c r="G12" s="435" t="s">
        <v>178</v>
      </c>
      <c r="H12" s="436"/>
      <c r="I12" s="437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14.1</v>
      </c>
      <c r="E14" s="224">
        <f t="shared" ref="E14:E23" ca="1" si="1">$C$8+E31</f>
        <v>227</v>
      </c>
      <c r="F14" s="225">
        <f t="shared" ref="F14:F23" ca="1" si="2">$C$9+F31</f>
        <v>8.01</v>
      </c>
      <c r="G14" s="226">
        <f t="shared" ref="G14:G23" ca="1" si="3">baseTemp+H31</f>
        <v>13.8</v>
      </c>
      <c r="H14" s="224">
        <f ca="1">$D$8+I31</f>
        <v>227</v>
      </c>
      <c r="I14" s="225">
        <f ca="1">$D$9+J31</f>
        <v>7.7299999999999995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13.7</v>
      </c>
      <c r="E15" s="228">
        <f t="shared" ca="1" si="1"/>
        <v>225</v>
      </c>
      <c r="F15" s="229">
        <f t="shared" ca="1" si="2"/>
        <v>8.01</v>
      </c>
      <c r="G15" s="226">
        <f t="shared" ca="1" si="3"/>
        <v>14.3</v>
      </c>
      <c r="H15" s="224">
        <f t="shared" ref="H15:H23" ca="1" si="5">$D$8+I32</f>
        <v>228</v>
      </c>
      <c r="I15" s="225">
        <f t="shared" ref="I15:I22" ca="1" si="6">$D$9+J32</f>
        <v>7.8999999999999995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13.7</v>
      </c>
      <c r="E16" s="228">
        <f t="shared" ca="1" si="1"/>
        <v>228</v>
      </c>
      <c r="F16" s="229">
        <f t="shared" ca="1" si="2"/>
        <v>8</v>
      </c>
      <c r="G16" s="226">
        <f t="shared" ca="1" si="3"/>
        <v>13.7</v>
      </c>
      <c r="H16" s="224">
        <f t="shared" ca="1" si="5"/>
        <v>230</v>
      </c>
      <c r="I16" s="225">
        <f t="shared" ca="1" si="6"/>
        <v>7.68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14.2</v>
      </c>
      <c r="E17" s="228">
        <f t="shared" ca="1" si="1"/>
        <v>225</v>
      </c>
      <c r="F17" s="229">
        <f t="shared" ca="1" si="2"/>
        <v>7.9700000000000006</v>
      </c>
      <c r="G17" s="226">
        <f t="shared" ca="1" si="3"/>
        <v>14.3</v>
      </c>
      <c r="H17" s="224">
        <f t="shared" ca="1" si="5"/>
        <v>231</v>
      </c>
      <c r="I17" s="225">
        <f t="shared" ca="1" si="6"/>
        <v>7.7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14.2</v>
      </c>
      <c r="E18" s="228">
        <f t="shared" ca="1" si="1"/>
        <v>223</v>
      </c>
      <c r="F18" s="229">
        <f t="shared" ca="1" si="2"/>
        <v>8</v>
      </c>
      <c r="G18" s="226">
        <f t="shared" ca="1" si="3"/>
        <v>14.2</v>
      </c>
      <c r="H18" s="224">
        <f t="shared" ca="1" si="5"/>
        <v>228</v>
      </c>
      <c r="I18" s="225">
        <f t="shared" ca="1" si="6"/>
        <v>7.7299999999999995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13.8</v>
      </c>
      <c r="E19" s="228">
        <f t="shared" ca="1" si="1"/>
        <v>224</v>
      </c>
      <c r="F19" s="229">
        <f t="shared" ca="1" si="2"/>
        <v>8.02</v>
      </c>
      <c r="G19" s="226">
        <f t="shared" ca="1" si="3"/>
        <v>14.1</v>
      </c>
      <c r="H19" s="224">
        <f t="shared" ca="1" si="5"/>
        <v>230</v>
      </c>
      <c r="I19" s="225">
        <f t="shared" ca="1" si="6"/>
        <v>7.87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13.7</v>
      </c>
      <c r="E20" s="228">
        <f t="shared" ca="1" si="1"/>
        <v>229</v>
      </c>
      <c r="F20" s="229">
        <f t="shared" ca="1" si="2"/>
        <v>8</v>
      </c>
      <c r="G20" s="226">
        <f t="shared" ca="1" si="3"/>
        <v>14.1</v>
      </c>
      <c r="H20" s="224">
        <f t="shared" ca="1" si="5"/>
        <v>226</v>
      </c>
      <c r="I20" s="225">
        <f t="shared" ca="1" si="6"/>
        <v>7.89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13.9</v>
      </c>
      <c r="E21" s="228">
        <f t="shared" ca="1" si="1"/>
        <v>223</v>
      </c>
      <c r="F21" s="229">
        <f t="shared" ca="1" si="2"/>
        <v>7.98</v>
      </c>
      <c r="G21" s="226">
        <f t="shared" ca="1" si="3"/>
        <v>13.9</v>
      </c>
      <c r="H21" s="224">
        <f t="shared" ca="1" si="5"/>
        <v>228</v>
      </c>
      <c r="I21" s="225">
        <f t="shared" ca="1" si="6"/>
        <v>7.92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14.1</v>
      </c>
      <c r="E22" s="228">
        <f t="shared" ca="1" si="1"/>
        <v>228</v>
      </c>
      <c r="F22" s="229">
        <f t="shared" ca="1" si="2"/>
        <v>7.79</v>
      </c>
      <c r="G22" s="226">
        <f t="shared" ca="1" si="3"/>
        <v>14.3</v>
      </c>
      <c r="H22" s="224">
        <f t="shared" ca="1" si="5"/>
        <v>226</v>
      </c>
      <c r="I22" s="225">
        <f t="shared" ca="1" si="6"/>
        <v>7.91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13.7</v>
      </c>
      <c r="E23" s="232">
        <f t="shared" ca="1" si="1"/>
        <v>229</v>
      </c>
      <c r="F23" s="233">
        <f t="shared" ca="1" si="2"/>
        <v>8.01</v>
      </c>
      <c r="G23" s="234">
        <f t="shared" ca="1" si="3"/>
        <v>13.9</v>
      </c>
      <c r="H23" s="235">
        <f t="shared" ca="1" si="5"/>
        <v>230</v>
      </c>
      <c r="I23" s="233">
        <f t="shared" ref="I23" ca="1" si="7">$D$9+J40-0.02</f>
        <v>7.86</v>
      </c>
    </row>
    <row r="24" spans="2:10" s="45" customFormat="1" ht="26.1" customHeight="1">
      <c r="B24" s="438" t="s">
        <v>45</v>
      </c>
      <c r="C24" s="439"/>
      <c r="D24" s="236">
        <f ca="1">MAX(D14:D23)</f>
        <v>14.2</v>
      </c>
      <c r="E24" s="222">
        <f t="shared" ref="E24:F24" ca="1" si="8">MAX(E14:E23)</f>
        <v>229</v>
      </c>
      <c r="F24" s="237">
        <f t="shared" ca="1" si="8"/>
        <v>8.02</v>
      </c>
      <c r="G24" s="236">
        <f ca="1">MAX(G14:G23)</f>
        <v>14.3</v>
      </c>
      <c r="H24" s="222">
        <f t="shared" ref="H24:I24" ca="1" si="9">MAX(H14:H23)</f>
        <v>231</v>
      </c>
      <c r="I24" s="237">
        <f t="shared" ca="1" si="9"/>
        <v>7.92</v>
      </c>
      <c r="J24" s="44"/>
    </row>
    <row r="25" spans="2:10" s="45" customFormat="1" ht="26.1" customHeight="1">
      <c r="B25" s="438" t="s">
        <v>46</v>
      </c>
      <c r="C25" s="439"/>
      <c r="D25" s="236">
        <f ca="1">MIN(D14:D23)</f>
        <v>13.7</v>
      </c>
      <c r="E25" s="222">
        <f t="shared" ref="E25:F25" ca="1" si="10">MIN(E14:E23)</f>
        <v>223</v>
      </c>
      <c r="F25" s="238">
        <f t="shared" ca="1" si="10"/>
        <v>7.79</v>
      </c>
      <c r="G25" s="236">
        <f ca="1">MIN(G14:G23)</f>
        <v>13.7</v>
      </c>
      <c r="H25" s="222">
        <f t="shared" ref="H25:I25" ca="1" si="11">MIN(H14:H23)</f>
        <v>226</v>
      </c>
      <c r="I25" s="237">
        <f t="shared" ca="1" si="11"/>
        <v>7.68</v>
      </c>
      <c r="J25" s="44"/>
    </row>
    <row r="26" spans="2:10" s="45" customFormat="1" ht="26.1" customHeight="1" thickBot="1">
      <c r="B26" s="440" t="s">
        <v>104</v>
      </c>
      <c r="C26" s="441"/>
      <c r="D26" s="239">
        <f ca="1">D24-D25</f>
        <v>0.5</v>
      </c>
      <c r="E26" s="240">
        <f t="shared" ref="E26:F26" ca="1" si="12">E24-E25</f>
        <v>6</v>
      </c>
      <c r="F26" s="241">
        <f t="shared" ca="1" si="12"/>
        <v>0.22999999999999954</v>
      </c>
      <c r="G26" s="239">
        <f ca="1">G24-G25</f>
        <v>0.60000000000000142</v>
      </c>
      <c r="H26" s="240">
        <f t="shared" ref="H26:I26" ca="1" si="13">H24-H25</f>
        <v>5</v>
      </c>
      <c r="I26" s="241">
        <f t="shared" ca="1" si="13"/>
        <v>0.24000000000000021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35" t="s">
        <v>99</v>
      </c>
      <c r="E29" s="436"/>
      <c r="F29" s="437"/>
      <c r="H29" s="435" t="s">
        <v>178</v>
      </c>
      <c r="I29" s="436"/>
      <c r="J29" s="437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0.1</v>
      </c>
      <c r="E31" s="78">
        <f ca="1">myRandBetween(1,3,1)</f>
        <v>1</v>
      </c>
      <c r="F31" s="243">
        <f ca="1">ROUND(myRandBetween(7,12,100), 2)</f>
        <v>0.11</v>
      </c>
      <c r="H31" s="244">
        <f ca="1">ROUND(myRandBetween(1,3,10), 1)</f>
        <v>-0.2</v>
      </c>
      <c r="I31" s="81">
        <f ca="1">myRandBetween(1,3,1)</f>
        <v>-2</v>
      </c>
      <c r="J31" s="245">
        <f ca="1">ROUND(myRandBetween(7,12,100), 2)</f>
        <v>-7.0000000000000007E-2</v>
      </c>
    </row>
    <row r="32" spans="2:10" s="45" customFormat="1" ht="18" customHeight="1">
      <c r="D32" s="242">
        <f t="shared" ref="D32:D40" ca="1" si="14">ROUND(myRandBetween(1,3,10), 1)</f>
        <v>-0.3</v>
      </c>
      <c r="E32" s="78">
        <f t="shared" ref="E32:E40" ca="1" si="15">myRandBetween(1,3,1)</f>
        <v>-1</v>
      </c>
      <c r="F32" s="243">
        <f t="shared" ref="F32:F40" ca="1" si="16">ROUND(myRandBetween(7,12,100), 2)</f>
        <v>0.11</v>
      </c>
      <c r="H32" s="242">
        <f t="shared" ref="H32:H40" ca="1" si="17">ROUND(myRandBetween(1,3,10), 1)</f>
        <v>0.3</v>
      </c>
      <c r="I32" s="78">
        <f t="shared" ref="I32:I40" ca="1" si="18">myRandBetween(1,3,1)</f>
        <v>-1</v>
      </c>
      <c r="J32" s="245">
        <f t="shared" ref="J32:J40" ca="1" si="19">ROUND(myRandBetween(7,12,100), 2)</f>
        <v>0.1</v>
      </c>
    </row>
    <row r="33" spans="4:10" s="45" customFormat="1" ht="18" customHeight="1">
      <c r="D33" s="242">
        <f ca="1">ROUND(myRandBetween(1,3,10), 1)</f>
        <v>-0.3</v>
      </c>
      <c r="E33" s="78">
        <f t="shared" ca="1" si="15"/>
        <v>2</v>
      </c>
      <c r="F33" s="243">
        <f t="shared" ca="1" si="16"/>
        <v>0.1</v>
      </c>
      <c r="H33" s="242">
        <f t="shared" ca="1" si="17"/>
        <v>-0.3</v>
      </c>
      <c r="I33" s="78">
        <f t="shared" ca="1" si="18"/>
        <v>1</v>
      </c>
      <c r="J33" s="245">
        <f t="shared" ca="1" si="19"/>
        <v>-0.12</v>
      </c>
    </row>
    <row r="34" spans="4:10" s="45" customFormat="1" ht="18" customHeight="1">
      <c r="D34" s="242">
        <f t="shared" ca="1" si="14"/>
        <v>0.2</v>
      </c>
      <c r="E34" s="78">
        <f t="shared" ca="1" si="15"/>
        <v>-1</v>
      </c>
      <c r="F34" s="243">
        <f t="shared" ca="1" si="16"/>
        <v>7.0000000000000007E-2</v>
      </c>
      <c r="H34" s="242">
        <f t="shared" ca="1" si="17"/>
        <v>0.3</v>
      </c>
      <c r="I34" s="78">
        <f t="shared" ca="1" si="18"/>
        <v>2</v>
      </c>
      <c r="J34" s="245">
        <f t="shared" ca="1" si="19"/>
        <v>-0.1</v>
      </c>
    </row>
    <row r="35" spans="4:10" s="45" customFormat="1" ht="18" customHeight="1">
      <c r="D35" s="242">
        <f t="shared" ca="1" si="14"/>
        <v>0.2</v>
      </c>
      <c r="E35" s="78">
        <f t="shared" ca="1" si="15"/>
        <v>-3</v>
      </c>
      <c r="F35" s="243">
        <f t="shared" ca="1" si="16"/>
        <v>0.1</v>
      </c>
      <c r="H35" s="242">
        <f t="shared" ca="1" si="17"/>
        <v>0.2</v>
      </c>
      <c r="I35" s="78">
        <f t="shared" ca="1" si="18"/>
        <v>-1</v>
      </c>
      <c r="J35" s="245">
        <f t="shared" ca="1" si="19"/>
        <v>-7.0000000000000007E-2</v>
      </c>
    </row>
    <row r="36" spans="4:10" s="45" customFormat="1" ht="18" customHeight="1">
      <c r="D36" s="242">
        <f t="shared" ca="1" si="14"/>
        <v>-0.2</v>
      </c>
      <c r="E36" s="78">
        <f t="shared" ca="1" si="15"/>
        <v>-2</v>
      </c>
      <c r="F36" s="243">
        <f t="shared" ca="1" si="16"/>
        <v>0.12</v>
      </c>
      <c r="H36" s="242">
        <f t="shared" ca="1" si="17"/>
        <v>0.1</v>
      </c>
      <c r="I36" s="78">
        <f t="shared" ca="1" si="18"/>
        <v>1</v>
      </c>
      <c r="J36" s="245">
        <f t="shared" ca="1" si="19"/>
        <v>7.0000000000000007E-2</v>
      </c>
    </row>
    <row r="37" spans="4:10" s="45" customFormat="1" ht="18" customHeight="1">
      <c r="D37" s="242">
        <f t="shared" ca="1" si="14"/>
        <v>-0.3</v>
      </c>
      <c r="E37" s="78">
        <f t="shared" ca="1" si="15"/>
        <v>3</v>
      </c>
      <c r="F37" s="243">
        <f t="shared" ca="1" si="16"/>
        <v>0.1</v>
      </c>
      <c r="H37" s="242">
        <f t="shared" ca="1" si="17"/>
        <v>0.1</v>
      </c>
      <c r="I37" s="78">
        <f t="shared" ca="1" si="18"/>
        <v>-3</v>
      </c>
      <c r="J37" s="245">
        <f t="shared" ca="1" si="19"/>
        <v>0.09</v>
      </c>
    </row>
    <row r="38" spans="4:10" ht="18" customHeight="1">
      <c r="D38" s="242">
        <f t="shared" ca="1" si="14"/>
        <v>-0.1</v>
      </c>
      <c r="E38" s="78">
        <f t="shared" ca="1" si="15"/>
        <v>-3</v>
      </c>
      <c r="F38" s="243">
        <f t="shared" ca="1" si="16"/>
        <v>0.08</v>
      </c>
      <c r="H38" s="242">
        <f t="shared" ca="1" si="17"/>
        <v>-0.1</v>
      </c>
      <c r="I38" s="78">
        <f t="shared" ca="1" si="18"/>
        <v>-1</v>
      </c>
      <c r="J38" s="245">
        <f t="shared" ca="1" si="19"/>
        <v>0.12</v>
      </c>
    </row>
    <row r="39" spans="4:10" ht="18" customHeight="1">
      <c r="D39" s="242">
        <f t="shared" ca="1" si="14"/>
        <v>0.1</v>
      </c>
      <c r="E39" s="78">
        <f t="shared" ca="1" si="15"/>
        <v>2</v>
      </c>
      <c r="F39" s="243">
        <f t="shared" ca="1" si="16"/>
        <v>-0.11</v>
      </c>
      <c r="H39" s="242">
        <f t="shared" ca="1" si="17"/>
        <v>0.3</v>
      </c>
      <c r="I39" s="78">
        <f t="shared" ca="1" si="18"/>
        <v>-3</v>
      </c>
      <c r="J39" s="245">
        <f t="shared" ca="1" si="19"/>
        <v>0.11</v>
      </c>
    </row>
    <row r="40" spans="4:10" ht="18" customHeight="1" thickBot="1">
      <c r="D40" s="246">
        <f t="shared" ca="1" si="14"/>
        <v>-0.3</v>
      </c>
      <c r="E40" s="101">
        <f t="shared" ca="1" si="15"/>
        <v>3</v>
      </c>
      <c r="F40" s="247">
        <f t="shared" ca="1" si="16"/>
        <v>0.11</v>
      </c>
      <c r="H40" s="246">
        <f t="shared" ca="1" si="17"/>
        <v>-0.1</v>
      </c>
      <c r="I40" s="101">
        <f t="shared" ca="1" si="18"/>
        <v>1</v>
      </c>
      <c r="J40" s="248">
        <f t="shared" ca="1" si="19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0.22624604407871585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35" t="s">
        <v>98</v>
      </c>
      <c r="C12" s="437"/>
      <c r="D12" s="435" t="s">
        <v>99</v>
      </c>
      <c r="E12" s="436"/>
      <c r="F12" s="437"/>
      <c r="G12" s="435" t="s">
        <v>178</v>
      </c>
      <c r="H12" s="436"/>
      <c r="I12" s="437"/>
      <c r="J12" s="442" t="s">
        <v>179</v>
      </c>
      <c r="K12" s="436"/>
      <c r="L12" s="437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13.8</v>
      </c>
      <c r="E14" s="224">
        <f t="shared" ref="E14:E23" ca="1" si="1">$C$8+E31</f>
        <v>230</v>
      </c>
      <c r="F14" s="225">
        <f t="shared" ref="F14:F23" ca="1" si="2">$C$9+F31</f>
        <v>6.3100000000000005</v>
      </c>
      <c r="G14" s="226">
        <f t="shared" ref="G14:G23" ca="1" si="3">baseTemp+H31</f>
        <v>14.2</v>
      </c>
      <c r="H14" s="224">
        <f ca="1">$D$8+I31</f>
        <v>236</v>
      </c>
      <c r="I14" s="225">
        <f ca="1">$D$9+J31</f>
        <v>6.18</v>
      </c>
      <c r="J14" s="250">
        <f t="shared" ref="J14:J23" ca="1" si="4">baseTemp+L31</f>
        <v>14.3</v>
      </c>
      <c r="K14" s="224">
        <f ca="1">$E$8+M31</f>
        <v>230</v>
      </c>
      <c r="L14" s="225">
        <f ca="1">$E$9+N31</f>
        <v>6.59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14.2</v>
      </c>
      <c r="E15" s="228">
        <f t="shared" ca="1" si="1"/>
        <v>231</v>
      </c>
      <c r="F15" s="229">
        <f t="shared" ca="1" si="2"/>
        <v>6.3100000000000005</v>
      </c>
      <c r="G15" s="226">
        <f t="shared" ca="1" si="3"/>
        <v>14.1</v>
      </c>
      <c r="H15" s="224">
        <f t="shared" ref="H15:H23" ca="1" si="6">$D$8+I32</f>
        <v>236</v>
      </c>
      <c r="I15" s="225">
        <f t="shared" ref="I15:I23" ca="1" si="7">$D$9+J32</f>
        <v>6.39</v>
      </c>
      <c r="J15" s="250">
        <f t="shared" ca="1" si="4"/>
        <v>13.9</v>
      </c>
      <c r="K15" s="224">
        <f t="shared" ref="K15:K23" ca="1" si="8">$E$8+M32</f>
        <v>229</v>
      </c>
      <c r="L15" s="225">
        <f t="shared" ref="L15:L23" ca="1" si="9">$E$9+N32</f>
        <v>6.6000000000000005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13.7</v>
      </c>
      <c r="E16" s="228">
        <f t="shared" ca="1" si="1"/>
        <v>234</v>
      </c>
      <c r="F16" s="229">
        <f t="shared" ca="1" si="2"/>
        <v>6.3100000000000005</v>
      </c>
      <c r="G16" s="226">
        <f t="shared" ca="1" si="3"/>
        <v>14.2</v>
      </c>
      <c r="H16" s="224">
        <f t="shared" ca="1" si="6"/>
        <v>235</v>
      </c>
      <c r="I16" s="225">
        <f t="shared" ca="1" si="7"/>
        <v>6.22</v>
      </c>
      <c r="J16" s="250">
        <f t="shared" ca="1" si="4"/>
        <v>14.1</v>
      </c>
      <c r="K16" s="224">
        <f t="shared" ca="1" si="8"/>
        <v>229</v>
      </c>
      <c r="L16" s="225">
        <f t="shared" ca="1" si="9"/>
        <v>6.62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14.2</v>
      </c>
      <c r="E17" s="228">
        <f t="shared" ca="1" si="1"/>
        <v>236</v>
      </c>
      <c r="F17" s="229">
        <f t="shared" ca="1" si="2"/>
        <v>6.32</v>
      </c>
      <c r="G17" s="226">
        <f t="shared" ca="1" si="3"/>
        <v>13.7</v>
      </c>
      <c r="H17" s="224">
        <f t="shared" ca="1" si="6"/>
        <v>240</v>
      </c>
      <c r="I17" s="225">
        <f t="shared" ca="1" si="7"/>
        <v>6.3999999999999995</v>
      </c>
      <c r="J17" s="250">
        <f t="shared" ca="1" si="4"/>
        <v>14.2</v>
      </c>
      <c r="K17" s="224">
        <f t="shared" ca="1" si="8"/>
        <v>229</v>
      </c>
      <c r="L17" s="225">
        <f t="shared" ca="1" si="9"/>
        <v>6.8100000000000005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13.9</v>
      </c>
      <c r="E18" s="228">
        <f t="shared" ca="1" si="1"/>
        <v>236</v>
      </c>
      <c r="F18" s="229">
        <f t="shared" ca="1" si="2"/>
        <v>6.28</v>
      </c>
      <c r="G18" s="226">
        <f t="shared" ca="1" si="3"/>
        <v>13.7</v>
      </c>
      <c r="H18" s="224">
        <f t="shared" ca="1" si="6"/>
        <v>237</v>
      </c>
      <c r="I18" s="225">
        <f t="shared" ca="1" si="7"/>
        <v>6.39</v>
      </c>
      <c r="J18" s="250">
        <f t="shared" ca="1" si="4"/>
        <v>14.1</v>
      </c>
      <c r="K18" s="224">
        <f t="shared" ca="1" si="8"/>
        <v>228</v>
      </c>
      <c r="L18" s="225">
        <f t="shared" ca="1" si="9"/>
        <v>6.6000000000000005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13.8</v>
      </c>
      <c r="E19" s="228">
        <f t="shared" ca="1" si="1"/>
        <v>236</v>
      </c>
      <c r="F19" s="229">
        <f t="shared" ca="1" si="2"/>
        <v>6.3100000000000005</v>
      </c>
      <c r="G19" s="226">
        <f t="shared" ca="1" si="3"/>
        <v>13.9</v>
      </c>
      <c r="H19" s="224">
        <f t="shared" ca="1" si="6"/>
        <v>240</v>
      </c>
      <c r="I19" s="225">
        <f t="shared" ca="1" si="7"/>
        <v>6.42</v>
      </c>
      <c r="J19" s="250">
        <f t="shared" ca="1" si="4"/>
        <v>14.3</v>
      </c>
      <c r="K19" s="224">
        <f t="shared" ca="1" si="8"/>
        <v>229</v>
      </c>
      <c r="L19" s="225">
        <f t="shared" ca="1" si="9"/>
        <v>6.6000000000000005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14.2</v>
      </c>
      <c r="E20" s="228">
        <f t="shared" ca="1" si="1"/>
        <v>235</v>
      </c>
      <c r="F20" s="229">
        <f t="shared" ca="1" si="2"/>
        <v>6.1000000000000005</v>
      </c>
      <c r="G20" s="226">
        <f t="shared" ca="1" si="3"/>
        <v>13.9</v>
      </c>
      <c r="H20" s="224">
        <f t="shared" ca="1" si="6"/>
        <v>239</v>
      </c>
      <c r="I20" s="225">
        <f t="shared" ca="1" si="7"/>
        <v>6.37</v>
      </c>
      <c r="J20" s="250">
        <f t="shared" ca="1" si="4"/>
        <v>14.2</v>
      </c>
      <c r="K20" s="224">
        <f t="shared" ca="1" si="8"/>
        <v>228</v>
      </c>
      <c r="L20" s="225">
        <f t="shared" ca="1" si="9"/>
        <v>6.61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13.9</v>
      </c>
      <c r="E21" s="228">
        <f t="shared" ca="1" si="1"/>
        <v>236</v>
      </c>
      <c r="F21" s="229">
        <f t="shared" ca="1" si="2"/>
        <v>6.2700000000000005</v>
      </c>
      <c r="G21" s="226">
        <f t="shared" ca="1" si="3"/>
        <v>13.7</v>
      </c>
      <c r="H21" s="224">
        <f t="shared" ca="1" si="6"/>
        <v>237</v>
      </c>
      <c r="I21" s="225">
        <f t="shared" ca="1" si="7"/>
        <v>6.18</v>
      </c>
      <c r="J21" s="250">
        <f t="shared" ca="1" si="4"/>
        <v>14.1</v>
      </c>
      <c r="K21" s="224">
        <f t="shared" ca="1" si="8"/>
        <v>233</v>
      </c>
      <c r="L21" s="225">
        <f t="shared" ca="1" si="9"/>
        <v>6.7700000000000005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14.2</v>
      </c>
      <c r="E22" s="228">
        <f t="shared" ca="1" si="1"/>
        <v>234</v>
      </c>
      <c r="F22" s="229">
        <f t="shared" ca="1" si="2"/>
        <v>6.32</v>
      </c>
      <c r="G22" s="226">
        <f t="shared" ca="1" si="3"/>
        <v>14.2</v>
      </c>
      <c r="H22" s="224">
        <f t="shared" ca="1" si="6"/>
        <v>240</v>
      </c>
      <c r="I22" s="225">
        <f t="shared" ca="1" si="7"/>
        <v>6.38</v>
      </c>
      <c r="J22" s="250">
        <f t="shared" ca="1" si="4"/>
        <v>13.7</v>
      </c>
      <c r="K22" s="224">
        <f t="shared" ca="1" si="8"/>
        <v>234</v>
      </c>
      <c r="L22" s="225">
        <f t="shared" ca="1" si="9"/>
        <v>6.78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13.7</v>
      </c>
      <c r="E23" s="232">
        <f t="shared" ca="1" si="1"/>
        <v>232</v>
      </c>
      <c r="F23" s="233">
        <f t="shared" ca="1" si="2"/>
        <v>6.08</v>
      </c>
      <c r="G23" s="234">
        <f t="shared" ca="1" si="3"/>
        <v>14.3</v>
      </c>
      <c r="H23" s="235">
        <f t="shared" ca="1" si="6"/>
        <v>239</v>
      </c>
      <c r="I23" s="251">
        <f t="shared" ca="1" si="7"/>
        <v>6.38</v>
      </c>
      <c r="J23" s="252">
        <f t="shared" ca="1" si="4"/>
        <v>13.7</v>
      </c>
      <c r="K23" s="235">
        <f t="shared" ca="1" si="8"/>
        <v>228</v>
      </c>
      <c r="L23" s="251">
        <f t="shared" ca="1" si="9"/>
        <v>6.63</v>
      </c>
    </row>
    <row r="24" spans="2:14" s="45" customFormat="1" ht="27" customHeight="1">
      <c r="B24" s="438" t="s">
        <v>45</v>
      </c>
      <c r="C24" s="439"/>
      <c r="D24" s="220">
        <f ca="1">MAX(D14:D23)</f>
        <v>14.2</v>
      </c>
      <c r="E24" s="222">
        <f t="shared" ref="E24:F24" ca="1" si="10">MAX(E14:E23)</f>
        <v>236</v>
      </c>
      <c r="F24" s="221">
        <f t="shared" ca="1" si="10"/>
        <v>6.32</v>
      </c>
      <c r="G24" s="220">
        <f ca="1">MAX(G14:G23)</f>
        <v>14.3</v>
      </c>
      <c r="H24" s="222">
        <f t="shared" ref="H24:I24" ca="1" si="11">MAX(H14:H23)</f>
        <v>240</v>
      </c>
      <c r="I24" s="221">
        <f t="shared" ca="1" si="11"/>
        <v>6.42</v>
      </c>
      <c r="J24" s="249">
        <f ca="1">MAX(J14:J23)</f>
        <v>14.3</v>
      </c>
      <c r="K24" s="222">
        <f t="shared" ref="K24:L24" ca="1" si="12">MAX(K14:K23)</f>
        <v>234</v>
      </c>
      <c r="L24" s="221">
        <f t="shared" ca="1" si="12"/>
        <v>6.8100000000000005</v>
      </c>
    </row>
    <row r="25" spans="2:14" s="45" customFormat="1" ht="27" customHeight="1">
      <c r="B25" s="438" t="s">
        <v>46</v>
      </c>
      <c r="C25" s="439"/>
      <c r="D25" s="220">
        <f ca="1">MIN(D14:D23)</f>
        <v>13.7</v>
      </c>
      <c r="E25" s="222">
        <f t="shared" ref="E25:F25" ca="1" si="13">MIN(E14:E23)</f>
        <v>230</v>
      </c>
      <c r="F25" s="221">
        <f t="shared" ca="1" si="13"/>
        <v>6.08</v>
      </c>
      <c r="G25" s="220">
        <f ca="1">MIN(G14:G23)</f>
        <v>13.7</v>
      </c>
      <c r="H25" s="222">
        <f t="shared" ref="H25:I25" ca="1" si="14">MIN(H14:H23)</f>
        <v>235</v>
      </c>
      <c r="I25" s="221">
        <f t="shared" ca="1" si="14"/>
        <v>6.18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6.59</v>
      </c>
    </row>
    <row r="26" spans="2:14" s="45" customFormat="1" ht="27" customHeight="1" thickBot="1">
      <c r="B26" s="440" t="s">
        <v>104</v>
      </c>
      <c r="C26" s="441"/>
      <c r="D26" s="239">
        <f ca="1">D24-D25</f>
        <v>0.5</v>
      </c>
      <c r="E26" s="240">
        <f t="shared" ref="E26:F26" ca="1" si="16">E24-E25</f>
        <v>6</v>
      </c>
      <c r="F26" s="241">
        <f t="shared" ca="1" si="16"/>
        <v>0.24000000000000021</v>
      </c>
      <c r="G26" s="239">
        <f ca="1">G24-G25</f>
        <v>0.60000000000000142</v>
      </c>
      <c r="H26" s="240">
        <f t="shared" ref="H26:I26" ca="1" si="17">H24-H25</f>
        <v>5</v>
      </c>
      <c r="I26" s="241">
        <f t="shared" ca="1" si="17"/>
        <v>0.24000000000000021</v>
      </c>
      <c r="J26" s="253">
        <f ca="1">J24-J25</f>
        <v>0.60000000000000142</v>
      </c>
      <c r="K26" s="240">
        <f t="shared" ref="K26:L26" ca="1" si="18">K24-K25</f>
        <v>6</v>
      </c>
      <c r="L26" s="241">
        <f t="shared" ca="1" si="18"/>
        <v>0.22000000000000064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35" t="s">
        <v>99</v>
      </c>
      <c r="E29" s="436"/>
      <c r="F29" s="437"/>
      <c r="H29" s="435" t="s">
        <v>178</v>
      </c>
      <c r="I29" s="436"/>
      <c r="J29" s="437"/>
      <c r="L29" s="435" t="s">
        <v>179</v>
      </c>
      <c r="M29" s="436"/>
      <c r="N29" s="437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-0.2</v>
      </c>
      <c r="E31" s="78">
        <f ca="1">myRandBetween(1,3,1)</f>
        <v>-3</v>
      </c>
      <c r="F31" s="243">
        <f ca="1">ROUND(myRandBetween(7,12,100), 2)</f>
        <v>0.11</v>
      </c>
      <c r="H31" s="242">
        <f ca="1">ROUND(myRandBetween(1,3,10), 1)</f>
        <v>0.2</v>
      </c>
      <c r="I31" s="78">
        <f ca="1">myRandBetween(1,3,1)</f>
        <v>-2</v>
      </c>
      <c r="J31" s="243">
        <f ca="1">ROUND(myRandBetween(7,12,100), 2)</f>
        <v>-0.12</v>
      </c>
      <c r="L31" s="242">
        <f ca="1">ROUND(myRandBetween(1,3,10), 1)</f>
        <v>0.3</v>
      </c>
      <c r="M31" s="78">
        <f ca="1">myRandBetween(1,3,1)</f>
        <v>-1</v>
      </c>
      <c r="N31" s="243">
        <f ca="1">ROUND(myRandBetween(7,12,100), 2)</f>
        <v>-0.11</v>
      </c>
    </row>
    <row r="32" spans="2:14" s="45" customFormat="1" ht="18" customHeight="1">
      <c r="D32" s="242">
        <f t="shared" ref="D32:D40" ca="1" si="19">ROUND(myRandBetween(1,3,10), 1)</f>
        <v>0.2</v>
      </c>
      <c r="E32" s="78">
        <f t="shared" ref="E32:E40" ca="1" si="20">myRandBetween(1,3,1)</f>
        <v>-2</v>
      </c>
      <c r="F32" s="243">
        <f t="shared" ref="F32:F40" ca="1" si="21">ROUND(myRandBetween(7,12,100), 2)</f>
        <v>0.11</v>
      </c>
      <c r="H32" s="242">
        <f t="shared" ref="H32:H40" ca="1" si="22">ROUND(myRandBetween(1,3,10), 1)</f>
        <v>0.1</v>
      </c>
      <c r="I32" s="78">
        <f t="shared" ref="I32:I40" ca="1" si="23">myRandBetween(1,3,1)</f>
        <v>-2</v>
      </c>
      <c r="J32" s="243">
        <f t="shared" ref="J32:J40" ca="1" si="24">ROUND(myRandBetween(7,12,100), 2)</f>
        <v>0.09</v>
      </c>
      <c r="L32" s="242">
        <f t="shared" ref="L32:L40" ca="1" si="25">ROUND(myRandBetween(1,3,10), 1)</f>
        <v>-0.1</v>
      </c>
      <c r="M32" s="78">
        <f t="shared" ref="M32:M40" ca="1" si="26">myRandBetween(1,3,1)</f>
        <v>-2</v>
      </c>
      <c r="N32" s="243">
        <f t="shared" ref="N32:N40" ca="1" si="27">ROUND(myRandBetween(7,12,100), 2)</f>
        <v>-0.1</v>
      </c>
    </row>
    <row r="33" spans="4:14" s="45" customFormat="1" ht="18" customHeight="1">
      <c r="D33" s="242">
        <f t="shared" ca="1" si="19"/>
        <v>-0.3</v>
      </c>
      <c r="E33" s="78">
        <f t="shared" ca="1" si="20"/>
        <v>1</v>
      </c>
      <c r="F33" s="243">
        <f t="shared" ca="1" si="21"/>
        <v>0.11</v>
      </c>
      <c r="H33" s="242">
        <f t="shared" ca="1" si="22"/>
        <v>0.2</v>
      </c>
      <c r="I33" s="78">
        <f t="shared" ca="1" si="23"/>
        <v>-3</v>
      </c>
      <c r="J33" s="243">
        <f t="shared" ca="1" si="24"/>
        <v>-0.08</v>
      </c>
      <c r="L33" s="242">
        <f t="shared" ca="1" si="25"/>
        <v>0.1</v>
      </c>
      <c r="M33" s="78">
        <f t="shared" ca="1" si="26"/>
        <v>-2</v>
      </c>
      <c r="N33" s="243">
        <f t="shared" ca="1" si="27"/>
        <v>-0.08</v>
      </c>
    </row>
    <row r="34" spans="4:14" s="45" customFormat="1" ht="18" customHeight="1">
      <c r="D34" s="242">
        <f t="shared" ca="1" si="19"/>
        <v>0.2</v>
      </c>
      <c r="E34" s="78">
        <f t="shared" ca="1" si="20"/>
        <v>3</v>
      </c>
      <c r="F34" s="243">
        <f t="shared" ca="1" si="21"/>
        <v>0.12</v>
      </c>
      <c r="H34" s="242">
        <f t="shared" ca="1" si="22"/>
        <v>-0.3</v>
      </c>
      <c r="I34" s="78">
        <f t="shared" ca="1" si="23"/>
        <v>2</v>
      </c>
      <c r="J34" s="243">
        <f t="shared" ca="1" si="24"/>
        <v>0.1</v>
      </c>
      <c r="L34" s="242">
        <f t="shared" ca="1" si="25"/>
        <v>0.2</v>
      </c>
      <c r="M34" s="78">
        <f t="shared" ca="1" si="26"/>
        <v>-2</v>
      </c>
      <c r="N34" s="243">
        <f t="shared" ca="1" si="27"/>
        <v>0.11</v>
      </c>
    </row>
    <row r="35" spans="4:14" s="45" customFormat="1" ht="18" customHeight="1">
      <c r="D35" s="242">
        <f t="shared" ca="1" si="19"/>
        <v>-0.1</v>
      </c>
      <c r="E35" s="78">
        <f t="shared" ca="1" si="20"/>
        <v>3</v>
      </c>
      <c r="F35" s="243">
        <f t="shared" ca="1" si="21"/>
        <v>0.08</v>
      </c>
      <c r="H35" s="242">
        <f t="shared" ca="1" si="22"/>
        <v>-0.3</v>
      </c>
      <c r="I35" s="78">
        <f t="shared" ca="1" si="23"/>
        <v>-1</v>
      </c>
      <c r="J35" s="243">
        <f t="shared" ca="1" si="24"/>
        <v>0.09</v>
      </c>
      <c r="L35" s="242">
        <f t="shared" ca="1" si="25"/>
        <v>0.1</v>
      </c>
      <c r="M35" s="78">
        <f t="shared" ca="1" si="26"/>
        <v>-3</v>
      </c>
      <c r="N35" s="243">
        <f t="shared" ca="1" si="27"/>
        <v>-0.1</v>
      </c>
    </row>
    <row r="36" spans="4:14" s="45" customFormat="1" ht="18" customHeight="1">
      <c r="D36" s="242">
        <f t="shared" ca="1" si="19"/>
        <v>-0.2</v>
      </c>
      <c r="E36" s="78">
        <f t="shared" ca="1" si="20"/>
        <v>3</v>
      </c>
      <c r="F36" s="243">
        <f t="shared" ca="1" si="21"/>
        <v>0.11</v>
      </c>
      <c r="H36" s="242">
        <f t="shared" ca="1" si="22"/>
        <v>-0.1</v>
      </c>
      <c r="I36" s="78">
        <f t="shared" ca="1" si="23"/>
        <v>2</v>
      </c>
      <c r="J36" s="243">
        <f t="shared" ca="1" si="24"/>
        <v>0.12</v>
      </c>
      <c r="L36" s="242">
        <f t="shared" ca="1" si="25"/>
        <v>0.3</v>
      </c>
      <c r="M36" s="78">
        <f t="shared" ca="1" si="26"/>
        <v>-2</v>
      </c>
      <c r="N36" s="243">
        <f t="shared" ca="1" si="27"/>
        <v>-0.1</v>
      </c>
    </row>
    <row r="37" spans="4:14" s="45" customFormat="1" ht="18" customHeight="1">
      <c r="D37" s="242">
        <f t="shared" ca="1" si="19"/>
        <v>0.2</v>
      </c>
      <c r="E37" s="78">
        <f t="shared" ca="1" si="20"/>
        <v>2</v>
      </c>
      <c r="F37" s="243">
        <f t="shared" ca="1" si="21"/>
        <v>-0.1</v>
      </c>
      <c r="H37" s="242">
        <f t="shared" ca="1" si="22"/>
        <v>-0.1</v>
      </c>
      <c r="I37" s="78">
        <f t="shared" ca="1" si="23"/>
        <v>1</v>
      </c>
      <c r="J37" s="243">
        <f t="shared" ca="1" si="24"/>
        <v>7.0000000000000007E-2</v>
      </c>
      <c r="L37" s="242">
        <f t="shared" ca="1" si="25"/>
        <v>0.2</v>
      </c>
      <c r="M37" s="78">
        <f t="shared" ca="1" si="26"/>
        <v>-3</v>
      </c>
      <c r="N37" s="243">
        <f t="shared" ca="1" si="27"/>
        <v>-0.09</v>
      </c>
    </row>
    <row r="38" spans="4:14" ht="18" customHeight="1">
      <c r="D38" s="242">
        <f t="shared" ca="1" si="19"/>
        <v>-0.1</v>
      </c>
      <c r="E38" s="78">
        <f t="shared" ca="1" si="20"/>
        <v>3</v>
      </c>
      <c r="F38" s="243">
        <f t="shared" ca="1" si="21"/>
        <v>7.0000000000000007E-2</v>
      </c>
      <c r="H38" s="242">
        <f t="shared" ca="1" si="22"/>
        <v>-0.3</v>
      </c>
      <c r="I38" s="78">
        <f t="shared" ca="1" si="23"/>
        <v>-1</v>
      </c>
      <c r="J38" s="243">
        <f t="shared" ca="1" si="24"/>
        <v>-0.12</v>
      </c>
      <c r="L38" s="242">
        <f t="shared" ca="1" si="25"/>
        <v>0.1</v>
      </c>
      <c r="M38" s="78">
        <f t="shared" ca="1" si="26"/>
        <v>2</v>
      </c>
      <c r="N38" s="243">
        <f t="shared" ca="1" si="27"/>
        <v>7.0000000000000007E-2</v>
      </c>
    </row>
    <row r="39" spans="4:14" ht="18" customHeight="1">
      <c r="D39" s="242">
        <f t="shared" ca="1" si="19"/>
        <v>0.2</v>
      </c>
      <c r="E39" s="78">
        <f t="shared" ca="1" si="20"/>
        <v>1</v>
      </c>
      <c r="F39" s="243">
        <f t="shared" ca="1" si="21"/>
        <v>0.12</v>
      </c>
      <c r="H39" s="242">
        <f t="shared" ca="1" si="22"/>
        <v>0.2</v>
      </c>
      <c r="I39" s="78">
        <f t="shared" ca="1" si="23"/>
        <v>2</v>
      </c>
      <c r="J39" s="243">
        <f t="shared" ca="1" si="24"/>
        <v>0.08</v>
      </c>
      <c r="L39" s="242">
        <f t="shared" ca="1" si="25"/>
        <v>-0.3</v>
      </c>
      <c r="M39" s="78">
        <f t="shared" ca="1" si="26"/>
        <v>3</v>
      </c>
      <c r="N39" s="243">
        <f t="shared" ca="1" si="27"/>
        <v>0.08</v>
      </c>
    </row>
    <row r="40" spans="4:14" ht="18" customHeight="1" thickBot="1">
      <c r="D40" s="246">
        <f t="shared" ca="1" si="19"/>
        <v>-0.3</v>
      </c>
      <c r="E40" s="84">
        <f t="shared" ca="1" si="20"/>
        <v>-1</v>
      </c>
      <c r="F40" s="247">
        <f t="shared" ca="1" si="21"/>
        <v>-0.12</v>
      </c>
      <c r="H40" s="246">
        <f t="shared" ca="1" si="22"/>
        <v>0.3</v>
      </c>
      <c r="I40" s="84">
        <f t="shared" ca="1" si="23"/>
        <v>1</v>
      </c>
      <c r="J40" s="247">
        <f t="shared" ca="1" si="24"/>
        <v>0.08</v>
      </c>
      <c r="L40" s="246">
        <f t="shared" ca="1" si="25"/>
        <v>-0.3</v>
      </c>
      <c r="M40" s="84">
        <f t="shared" ca="1" si="26"/>
        <v>-3</v>
      </c>
      <c r="N40" s="247">
        <f t="shared" ca="1" si="27"/>
        <v>-7.0000000000000007E-2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35" t="s">
        <v>98</v>
      </c>
      <c r="C12" s="437"/>
      <c r="D12" s="442" t="s">
        <v>99</v>
      </c>
      <c r="E12" s="436"/>
      <c r="F12" s="437"/>
      <c r="H12" s="435" t="s">
        <v>99</v>
      </c>
      <c r="I12" s="436"/>
      <c r="J12" s="437"/>
      <c r="L12" s="443" t="s">
        <v>99</v>
      </c>
      <c r="M12" s="444"/>
      <c r="N12" s="445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0.1</v>
      </c>
      <c r="M14" s="272">
        <f ca="1">myRandBetween(1,3,1)</f>
        <v>-1</v>
      </c>
      <c r="N14" s="273">
        <f ca="1">ROUND(myRandBetween(7,12,100), 2)</f>
        <v>-7.0000000000000007E-2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0.1</v>
      </c>
      <c r="M15" s="272">
        <f t="shared" ref="M15:M23" ca="1" si="5">myRandBetween(1,3,1)</f>
        <v>2</v>
      </c>
      <c r="N15" s="273">
        <f t="shared" ref="N15:N23" ca="1" si="6">ROUND(myRandBetween(7,12,100), 2)</f>
        <v>0.08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-0.3</v>
      </c>
      <c r="M16" s="272">
        <f t="shared" ca="1" si="5"/>
        <v>3</v>
      </c>
      <c r="N16" s="273">
        <f t="shared" ca="1" si="6"/>
        <v>-0.1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0.2</v>
      </c>
      <c r="M17" s="272">
        <f t="shared" ca="1" si="5"/>
        <v>-3</v>
      </c>
      <c r="N17" s="273">
        <f t="shared" ca="1" si="6"/>
        <v>-0.08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0.3</v>
      </c>
      <c r="M18" s="272">
        <f t="shared" ca="1" si="5"/>
        <v>-2</v>
      </c>
      <c r="N18" s="273">
        <f t="shared" ca="1" si="6"/>
        <v>-0.09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-0.1</v>
      </c>
      <c r="M19" s="272">
        <f t="shared" ca="1" si="5"/>
        <v>2</v>
      </c>
      <c r="N19" s="273">
        <f t="shared" ca="1" si="6"/>
        <v>7.0000000000000007E-2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0.1</v>
      </c>
      <c r="M20" s="272">
        <f t="shared" ca="1" si="5"/>
        <v>-1</v>
      </c>
      <c r="N20" s="273">
        <f t="shared" ca="1" si="6"/>
        <v>7.0000000000000007E-2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0.1</v>
      </c>
      <c r="M21" s="272">
        <f t="shared" ca="1" si="5"/>
        <v>-1</v>
      </c>
      <c r="N21" s="273">
        <f t="shared" ca="1" si="6"/>
        <v>0.11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-0.2</v>
      </c>
      <c r="M22" s="272">
        <f t="shared" ca="1" si="5"/>
        <v>1</v>
      </c>
      <c r="N22" s="273">
        <f t="shared" ca="1" si="6"/>
        <v>0.11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0.3</v>
      </c>
      <c r="M23" s="275">
        <f t="shared" ca="1" si="5"/>
        <v>-2</v>
      </c>
      <c r="N23" s="276">
        <f t="shared" ca="1" si="6"/>
        <v>-0.12</v>
      </c>
    </row>
    <row r="24" spans="2:14" s="45" customFormat="1" ht="26.1" customHeight="1">
      <c r="B24" s="438" t="s">
        <v>45</v>
      </c>
      <c r="C24" s="439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438" t="s">
        <v>46</v>
      </c>
      <c r="C25" s="439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40" t="s">
        <v>104</v>
      </c>
      <c r="C26" s="441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9</vt:i4>
      </vt:variant>
    </vt:vector>
  </HeadingPairs>
  <TitlesOfParts>
    <vt:vector size="26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2021-06-30T12:04:33Z</dcterms:modified>
</cp:coreProperties>
</file>