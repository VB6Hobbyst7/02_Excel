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10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11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6_ihanseol - 2021\16_농업용 - 세종시 4개공 연장허가 - 정진건설\"/>
    </mc:Choice>
  </mc:AlternateContent>
  <xr:revisionPtr revIDLastSave="0" documentId="13_ncr:1_{2D84E6BC-B646-4FB2-B4E7-41D75941CC48}" xr6:coauthVersionLast="47" xr6:coauthVersionMax="47" xr10:uidLastSave="{00000000-0000-0000-0000-000000000000}"/>
  <bookViews>
    <workbookView xWindow="-120" yWindow="-120" windowWidth="29040" windowHeight="15720" tabRatio="668" activeTab="2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Well" sheetId="52" r:id="rId5"/>
    <sheet name="1" sheetId="55" r:id="rId6"/>
    <sheet name="2" sheetId="118" r:id="rId7"/>
    <sheet name="3" sheetId="119" r:id="rId8"/>
    <sheet name="4" sheetId="120" r:id="rId9"/>
    <sheet name="Q1" sheetId="117" r:id="rId10"/>
    <sheet name="Q2" sheetId="115" r:id="rId11"/>
    <sheet name="w1" sheetId="100" r:id="rId12"/>
  </sheets>
  <functionGroups builtInGroupCount="19"/>
  <externalReferences>
    <externalReference r:id="rId13"/>
    <externalReference r:id="rId14"/>
    <externalReference r:id="rId15"/>
  </externalReferences>
  <definedNames>
    <definedName name="allow_ratio" localSheetId="9">[1]Recharge!$C$27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9">'Q1'!$C$7</definedName>
    <definedName name="baseTemp" localSheetId="10">'Q2'!$C$7</definedName>
    <definedName name="baseTemp" localSheetId="11">'w1'!$C$7</definedName>
    <definedName name="baseTemp">#REF!</definedName>
    <definedName name="max" localSheetId="9">[2]지하수함양량!$C$27</definedName>
    <definedName name="max" localSheetId="10">[2]지하수함양량!$C$27</definedName>
    <definedName name="max" localSheetId="11">[3]지하수함양량!$C$30</definedName>
    <definedName name="max">Recharge!$C$25</definedName>
    <definedName name="min" localSheetId="9">[2]지하수함양량!$C$26</definedName>
    <definedName name="min" localSheetId="10">[2]지하수함양량!$C$26</definedName>
    <definedName name="min" localSheetId="11">[3]지하수함양량!$C$29</definedName>
    <definedName name="min">Recharge!$C$24</definedName>
    <definedName name="rf_1" localSheetId="9">[2]지하수함양량!$C$29</definedName>
    <definedName name="rf_1" localSheetId="10">[2]지하수함양량!$C$29</definedName>
    <definedName name="rf_1" localSheetId="11">[3]지하수함양량!$C$32</definedName>
    <definedName name="rf_1">Recharge!$C$28</definedName>
    <definedName name="rf_2" localSheetId="9">[2]지하수함양량!$D$29</definedName>
    <definedName name="rf_2" localSheetId="10">[2]지하수함양량!$D$29</definedName>
    <definedName name="rf_2" localSheetId="11">[3]지하수함양량!$D$32</definedName>
    <definedName name="rf_2">Recharge!$D$28</definedName>
    <definedName name="rf_3">Recharge!$E$28</definedName>
  </definedNames>
  <calcPr calcId="191029"/>
  <fileRecoveryPr autoRecover="0"/>
</workbook>
</file>

<file path=xl/calcChain.xml><?xml version="1.0" encoding="utf-8"?>
<calcChain xmlns="http://schemas.openxmlformats.org/spreadsheetml/2006/main">
  <c r="E26" i="120" l="1"/>
  <c r="F13" i="120"/>
  <c r="E13" i="120"/>
  <c r="E26" i="119"/>
  <c r="G13" i="119"/>
  <c r="F13" i="119"/>
  <c r="E13" i="119"/>
  <c r="G19" i="119"/>
  <c r="G17" i="119"/>
  <c r="F19" i="119"/>
  <c r="F17" i="119"/>
  <c r="E26" i="118"/>
  <c r="G13" i="118"/>
  <c r="F13" i="118"/>
  <c r="E13" i="118"/>
  <c r="G19" i="118"/>
  <c r="G17" i="118"/>
  <c r="F19" i="118"/>
  <c r="F17" i="118"/>
  <c r="E26" i="55"/>
  <c r="G13" i="55"/>
  <c r="F13" i="55"/>
  <c r="E13" i="55"/>
  <c r="G19" i="55"/>
  <c r="G17" i="55"/>
  <c r="F19" i="55"/>
  <c r="F17" i="55"/>
  <c r="E21" i="120" l="1"/>
  <c r="E22" i="120" s="1"/>
  <c r="F21" i="120"/>
  <c r="E17" i="120"/>
  <c r="F17" i="120" s="1"/>
  <c r="G17" i="120" s="1"/>
  <c r="C19" i="120"/>
  <c r="C18" i="120"/>
  <c r="C17" i="120"/>
  <c r="C16" i="120"/>
  <c r="C15" i="120"/>
  <c r="C8" i="120"/>
  <c r="C7" i="120"/>
  <c r="C14" i="120" s="1"/>
  <c r="C6" i="120"/>
  <c r="C5" i="120"/>
  <c r="C4" i="120"/>
  <c r="C3" i="120"/>
  <c r="C2" i="120"/>
  <c r="E21" i="119"/>
  <c r="F21" i="119"/>
  <c r="E17" i="119"/>
  <c r="C19" i="119"/>
  <c r="C18" i="119"/>
  <c r="C17" i="119"/>
  <c r="C16" i="119"/>
  <c r="C15" i="119"/>
  <c r="C8" i="119"/>
  <c r="C7" i="119"/>
  <c r="C6" i="119"/>
  <c r="C5" i="119"/>
  <c r="C4" i="119"/>
  <c r="C3" i="119"/>
  <c r="C2" i="119"/>
  <c r="E21" i="118"/>
  <c r="F21" i="118"/>
  <c r="E17" i="118"/>
  <c r="C19" i="118"/>
  <c r="C18" i="118"/>
  <c r="C17" i="118"/>
  <c r="C16" i="118"/>
  <c r="C15" i="118"/>
  <c r="C8" i="118"/>
  <c r="C7" i="118"/>
  <c r="C6" i="118"/>
  <c r="C5" i="118"/>
  <c r="C4" i="118"/>
  <c r="C3" i="118"/>
  <c r="C2" i="118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20"/>
  <c r="I31" i="120"/>
  <c r="H31" i="120"/>
  <c r="G31" i="120"/>
  <c r="F31" i="120"/>
  <c r="E31" i="120"/>
  <c r="D31" i="120"/>
  <c r="J30" i="120"/>
  <c r="I30" i="120"/>
  <c r="H30" i="120"/>
  <c r="G30" i="120"/>
  <c r="F30" i="120"/>
  <c r="E30" i="120"/>
  <c r="D30" i="120"/>
  <c r="D26" i="120"/>
  <c r="C22" i="120"/>
  <c r="K16" i="120"/>
  <c r="K17" i="120" s="1"/>
  <c r="K18" i="120" s="1"/>
  <c r="L18" i="120" s="1"/>
  <c r="H26" i="120" s="1"/>
  <c r="G14" i="120"/>
  <c r="L12" i="120"/>
  <c r="F11" i="120"/>
  <c r="E11" i="120"/>
  <c r="C9" i="120"/>
  <c r="G7" i="120"/>
  <c r="E7" i="120"/>
  <c r="J31" i="119"/>
  <c r="I31" i="119"/>
  <c r="H31" i="119"/>
  <c r="G31" i="119"/>
  <c r="F31" i="119"/>
  <c r="E31" i="119"/>
  <c r="D31" i="119"/>
  <c r="J30" i="119"/>
  <c r="I30" i="119"/>
  <c r="H30" i="119"/>
  <c r="G30" i="119"/>
  <c r="F30" i="119"/>
  <c r="E30" i="119"/>
  <c r="D30" i="119"/>
  <c r="D26" i="119"/>
  <c r="C22" i="119"/>
  <c r="K16" i="119"/>
  <c r="K17" i="119" s="1"/>
  <c r="K18" i="119" s="1"/>
  <c r="L18" i="119" s="1"/>
  <c r="H26" i="119" s="1"/>
  <c r="G14" i="119"/>
  <c r="L12" i="119"/>
  <c r="F11" i="119"/>
  <c r="E11" i="119"/>
  <c r="C9" i="119"/>
  <c r="G7" i="119"/>
  <c r="E7" i="119"/>
  <c r="E19" i="118"/>
  <c r="J31" i="118"/>
  <c r="I31" i="118"/>
  <c r="H31" i="118"/>
  <c r="G31" i="118"/>
  <c r="F31" i="118"/>
  <c r="E31" i="118"/>
  <c r="D31" i="118"/>
  <c r="J30" i="118"/>
  <c r="I30" i="118"/>
  <c r="H30" i="118"/>
  <c r="G30" i="118"/>
  <c r="F30" i="118"/>
  <c r="E30" i="118"/>
  <c r="D30" i="118"/>
  <c r="D26" i="118"/>
  <c r="C22" i="118"/>
  <c r="K16" i="118"/>
  <c r="K17" i="118" s="1"/>
  <c r="K18" i="118" s="1"/>
  <c r="L18" i="118" s="1"/>
  <c r="H26" i="118" s="1"/>
  <c r="G14" i="118"/>
  <c r="L12" i="118"/>
  <c r="F11" i="118"/>
  <c r="E11" i="118"/>
  <c r="C9" i="118"/>
  <c r="G7" i="118"/>
  <c r="E7" i="118"/>
  <c r="E26" i="23"/>
  <c r="G13" i="120" s="1"/>
  <c r="E28" i="23"/>
  <c r="E30" i="55"/>
  <c r="F30" i="55"/>
  <c r="G30" i="55"/>
  <c r="H30" i="55"/>
  <c r="I30" i="55"/>
  <c r="J30" i="55"/>
  <c r="D30" i="55"/>
  <c r="J57" i="23"/>
  <c r="J58" i="23" s="1"/>
  <c r="I57" i="23"/>
  <c r="I58" i="23" s="1"/>
  <c r="H57" i="23"/>
  <c r="H58" i="23" s="1"/>
  <c r="G57" i="23"/>
  <c r="G58" i="23" s="1"/>
  <c r="F57" i="23"/>
  <c r="F58" i="23" s="1"/>
  <c r="E64" i="23"/>
  <c r="E61" i="23"/>
  <c r="E62" i="23" s="1"/>
  <c r="E58" i="23"/>
  <c r="E57" i="23"/>
  <c r="D57" i="23"/>
  <c r="D58" i="23" s="1"/>
  <c r="C64" i="23"/>
  <c r="C58" i="23"/>
  <c r="C61" i="23" s="1"/>
  <c r="C62" i="23" s="1"/>
  <c r="C57" i="23"/>
  <c r="B58" i="23"/>
  <c r="B64" i="23" s="1"/>
  <c r="B57" i="23"/>
  <c r="D28" i="23"/>
  <c r="C28" i="23"/>
  <c r="D26" i="23"/>
  <c r="C26" i="23"/>
  <c r="D26" i="55"/>
  <c r="K31" i="120" l="1"/>
  <c r="K30" i="120"/>
  <c r="K31" i="119"/>
  <c r="K30" i="119"/>
  <c r="K30" i="118"/>
  <c r="K31" i="118"/>
  <c r="E19" i="120"/>
  <c r="F19" i="120" s="1"/>
  <c r="G19" i="120" s="1"/>
  <c r="G21" i="120" s="1"/>
  <c r="C12" i="119"/>
  <c r="A13" i="119" s="1"/>
  <c r="A12" i="119" s="1"/>
  <c r="C14" i="118"/>
  <c r="F6" i="118" s="1"/>
  <c r="G21" i="118"/>
  <c r="F7" i="120"/>
  <c r="J26" i="120"/>
  <c r="F6" i="120"/>
  <c r="F5" i="120"/>
  <c r="C12" i="120"/>
  <c r="A13" i="120" s="1"/>
  <c r="A12" i="120" s="1"/>
  <c r="E19" i="119"/>
  <c r="E22" i="119"/>
  <c r="C14" i="119"/>
  <c r="E22" i="118"/>
  <c r="C12" i="118"/>
  <c r="A13" i="118" s="1"/>
  <c r="A12" i="118" s="1"/>
  <c r="K30" i="55"/>
  <c r="F64" i="23"/>
  <c r="F61" i="23"/>
  <c r="F62" i="23" s="1"/>
  <c r="G61" i="23"/>
  <c r="G62" i="23" s="1"/>
  <c r="G64" i="23"/>
  <c r="H64" i="23"/>
  <c r="H61" i="23"/>
  <c r="H62" i="23" s="1"/>
  <c r="D61" i="23"/>
  <c r="D62" i="23" s="1"/>
  <c r="D64" i="23"/>
  <c r="I64" i="23"/>
  <c r="I61" i="23"/>
  <c r="I62" i="23" s="1"/>
  <c r="J64" i="23"/>
  <c r="J61" i="23"/>
  <c r="J62" i="23" s="1"/>
  <c r="B61" i="23"/>
  <c r="B62" i="23" s="1"/>
  <c r="H19" i="120" l="1"/>
  <c r="F7" i="118"/>
  <c r="J26" i="118"/>
  <c r="F5" i="118"/>
  <c r="H19" i="119"/>
  <c r="H19" i="118"/>
  <c r="F5" i="119"/>
  <c r="F7" i="119"/>
  <c r="F6" i="119"/>
  <c r="J26" i="119"/>
  <c r="F11" i="55"/>
  <c r="G21" i="119" l="1"/>
  <c r="B82" i="25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9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M23" i="100"/>
  <c r="L17" i="100"/>
  <c r="L20" i="100"/>
  <c r="M15" i="100"/>
  <c r="N15" i="100"/>
  <c r="N22" i="100"/>
  <c r="N20" i="100"/>
  <c r="N18" i="100"/>
  <c r="L18" i="100"/>
  <c r="N23" i="100"/>
  <c r="N21" i="100"/>
  <c r="L14" i="100"/>
  <c r="M21" i="100"/>
  <c r="L15" i="100"/>
  <c r="M16" i="100"/>
  <c r="N16" i="100"/>
  <c r="N19" i="100"/>
  <c r="M17" i="100"/>
  <c r="M19" i="100"/>
  <c r="L23" i="100"/>
  <c r="N17" i="100"/>
  <c r="M14" i="100"/>
  <c r="M18" i="100"/>
  <c r="L19" i="100"/>
  <c r="M22" i="100"/>
  <c r="L21" i="100"/>
  <c r="N14" i="100"/>
  <c r="M20" i="100"/>
  <c r="L22" i="100"/>
  <c r="L16" i="100"/>
  <c r="B23" i="117" l="1"/>
  <c r="B22" i="117"/>
  <c r="B21" i="117"/>
  <c r="B20" i="117"/>
  <c r="B19" i="117"/>
  <c r="B18" i="117"/>
  <c r="B17" i="117"/>
  <c r="B16" i="117"/>
  <c r="B15" i="117"/>
  <c r="B14" i="117"/>
  <c r="I34" i="117"/>
  <c r="F37" i="117"/>
  <c r="H37" i="117"/>
  <c r="F33" i="117"/>
  <c r="H34" i="117"/>
  <c r="F40" i="117"/>
  <c r="F38" i="117"/>
  <c r="E34" i="117"/>
  <c r="J38" i="117"/>
  <c r="E33" i="117"/>
  <c r="I31" i="117"/>
  <c r="I36" i="117"/>
  <c r="I40" i="117"/>
  <c r="H32" i="117"/>
  <c r="I32" i="117"/>
  <c r="J31" i="117"/>
  <c r="D32" i="117"/>
  <c r="E32" i="117"/>
  <c r="H39" i="117"/>
  <c r="D33" i="117"/>
  <c r="I39" i="117"/>
  <c r="D38" i="117"/>
  <c r="E31" i="117"/>
  <c r="E36" i="117"/>
  <c r="E37" i="117"/>
  <c r="H36" i="117"/>
  <c r="H40" i="117"/>
  <c r="J33" i="117"/>
  <c r="D40" i="117"/>
  <c r="J39" i="117"/>
  <c r="D37" i="117"/>
  <c r="J32" i="117"/>
  <c r="J35" i="117"/>
  <c r="D34" i="117"/>
  <c r="I33" i="117"/>
  <c r="E40" i="117"/>
  <c r="H33" i="117"/>
  <c r="F31" i="117"/>
  <c r="H35" i="117"/>
  <c r="F36" i="117"/>
  <c r="J34" i="117"/>
  <c r="J37" i="117"/>
  <c r="F32" i="117"/>
  <c r="I38" i="117"/>
  <c r="F39" i="117"/>
  <c r="F34" i="117"/>
  <c r="E35" i="117"/>
  <c r="F35" i="117"/>
  <c r="J36" i="117"/>
  <c r="H38" i="117"/>
  <c r="D35" i="117"/>
  <c r="D36" i="117"/>
  <c r="I35" i="117"/>
  <c r="D39" i="117"/>
  <c r="D31" i="117"/>
  <c r="H31" i="117"/>
  <c r="E39" i="117"/>
  <c r="E38" i="117"/>
  <c r="J40" i="117"/>
  <c r="I37" i="117"/>
  <c r="H14" i="117" l="1"/>
  <c r="D16" i="117"/>
  <c r="F17" i="117"/>
  <c r="H18" i="117"/>
  <c r="D20" i="117"/>
  <c r="F21" i="117"/>
  <c r="H22" i="117"/>
  <c r="I14" i="117"/>
  <c r="E16" i="117"/>
  <c r="G17" i="117"/>
  <c r="I18" i="117"/>
  <c r="E20" i="117"/>
  <c r="G21" i="117"/>
  <c r="I22" i="117"/>
  <c r="H17" i="117"/>
  <c r="D23" i="117"/>
  <c r="G16" i="117"/>
  <c r="E19" i="117"/>
  <c r="E23" i="117"/>
  <c r="D14" i="117"/>
  <c r="F15" i="117"/>
  <c r="H16" i="117"/>
  <c r="D18" i="117"/>
  <c r="F19" i="117"/>
  <c r="H20" i="117"/>
  <c r="D22" i="117"/>
  <c r="F23" i="117"/>
  <c r="D15" i="117"/>
  <c r="H21" i="117"/>
  <c r="I17" i="117"/>
  <c r="E14" i="117"/>
  <c r="G15" i="117"/>
  <c r="I16" i="117"/>
  <c r="E18" i="117"/>
  <c r="G19" i="117"/>
  <c r="I20" i="117"/>
  <c r="E22" i="117"/>
  <c r="G23" i="117"/>
  <c r="D19" i="117"/>
  <c r="G20" i="117"/>
  <c r="F14" i="117"/>
  <c r="H15" i="117"/>
  <c r="D17" i="117"/>
  <c r="F18" i="117"/>
  <c r="H19" i="117"/>
  <c r="D21" i="117"/>
  <c r="F22" i="117"/>
  <c r="H23" i="117"/>
  <c r="F16" i="117"/>
  <c r="F20" i="117"/>
  <c r="E15" i="117"/>
  <c r="I21" i="117"/>
  <c r="G14" i="117"/>
  <c r="I15" i="117"/>
  <c r="E17" i="117"/>
  <c r="G18" i="117"/>
  <c r="I19" i="117"/>
  <c r="E21" i="117"/>
  <c r="G22" i="117"/>
  <c r="I23" i="117"/>
  <c r="E24" i="117" l="1"/>
  <c r="E25" i="117"/>
  <c r="I24" i="117"/>
  <c r="I25" i="117"/>
  <c r="G24" i="117"/>
  <c r="G25" i="117"/>
  <c r="D24" i="117"/>
  <c r="D25" i="117"/>
  <c r="F25" i="117"/>
  <c r="F24" i="117"/>
  <c r="H24" i="117"/>
  <c r="H25" i="117"/>
  <c r="C22" i="55"/>
  <c r="H26" i="117" l="1"/>
  <c r="I26" i="117"/>
  <c r="F26" i="117"/>
  <c r="G26" i="117"/>
  <c r="D26" i="117"/>
  <c r="E26" i="117"/>
  <c r="B6" i="23"/>
  <c r="B7" i="23"/>
  <c r="B8" i="23"/>
  <c r="B9" i="23"/>
  <c r="B10" i="23"/>
  <c r="B11" i="23"/>
  <c r="B12" i="23"/>
  <c r="B13" i="23"/>
  <c r="B14" i="23"/>
  <c r="B5" i="23"/>
  <c r="B23" i="115" l="1"/>
  <c r="B22" i="115"/>
  <c r="B21" i="115"/>
  <c r="B20" i="115"/>
  <c r="B19" i="115"/>
  <c r="B18" i="115"/>
  <c r="B17" i="115"/>
  <c r="B16" i="115"/>
  <c r="B15" i="115"/>
  <c r="B14" i="115"/>
  <c r="I7" i="115"/>
  <c r="E36" i="115"/>
  <c r="F37" i="115"/>
  <c r="F38" i="115"/>
  <c r="F39" i="115"/>
  <c r="N37" i="115"/>
  <c r="F32" i="115"/>
  <c r="I39" i="115"/>
  <c r="J31" i="115"/>
  <c r="L36" i="115"/>
  <c r="I38" i="115"/>
  <c r="L32" i="115"/>
  <c r="M34" i="115"/>
  <c r="E37" i="115"/>
  <c r="D38" i="115"/>
  <c r="E32" i="115"/>
  <c r="N33" i="115"/>
  <c r="N40" i="115"/>
  <c r="D37" i="115"/>
  <c r="M31" i="115"/>
  <c r="M39" i="115"/>
  <c r="H40" i="115"/>
  <c r="H35" i="115"/>
  <c r="H33" i="115"/>
  <c r="I36" i="115"/>
  <c r="D33" i="115"/>
  <c r="N35" i="115"/>
  <c r="I34" i="115"/>
  <c r="H37" i="115"/>
  <c r="H34" i="115"/>
  <c r="D39" i="115"/>
  <c r="L40" i="115"/>
  <c r="E39" i="115"/>
  <c r="J36" i="115"/>
  <c r="H36" i="115"/>
  <c r="L38" i="115"/>
  <c r="I40" i="115"/>
  <c r="E33" i="115"/>
  <c r="M40" i="115"/>
  <c r="D36" i="115"/>
  <c r="J40" i="115"/>
  <c r="F31" i="115"/>
  <c r="J38" i="115"/>
  <c r="F33" i="115"/>
  <c r="J32" i="115"/>
  <c r="F36" i="115"/>
  <c r="I33" i="115"/>
  <c r="I31" i="115"/>
  <c r="N39" i="115"/>
  <c r="M37" i="115"/>
  <c r="D34" i="115"/>
  <c r="N38" i="115"/>
  <c r="D32" i="115"/>
  <c r="J39" i="115"/>
  <c r="M38" i="115"/>
  <c r="M32" i="115"/>
  <c r="L34" i="115"/>
  <c r="J34" i="115"/>
  <c r="L39" i="115"/>
  <c r="L37" i="115"/>
  <c r="H38" i="115"/>
  <c r="F35" i="115"/>
  <c r="N32" i="115"/>
  <c r="M35" i="115"/>
  <c r="E35" i="115"/>
  <c r="D40" i="115"/>
  <c r="L33" i="115"/>
  <c r="J37" i="115"/>
  <c r="L35" i="115"/>
  <c r="L31" i="115"/>
  <c r="I37" i="115"/>
  <c r="N36" i="115"/>
  <c r="M33" i="115"/>
  <c r="D31" i="115"/>
  <c r="J33" i="115"/>
  <c r="E34" i="115"/>
  <c r="J35" i="115"/>
  <c r="H39" i="115"/>
  <c r="N34" i="115"/>
  <c r="D35" i="115"/>
  <c r="I32" i="115"/>
  <c r="H31" i="115"/>
  <c r="E40" i="115"/>
  <c r="I35" i="115"/>
  <c r="E38" i="115"/>
  <c r="H32" i="115"/>
  <c r="M36" i="115"/>
  <c r="E31" i="115"/>
  <c r="F40" i="115"/>
  <c r="N31" i="115"/>
  <c r="F34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D53" i="54" l="1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4" i="25" s="1"/>
  <c r="C53" i="25" s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D35" i="54"/>
  <c r="E35" i="54"/>
  <c r="F35" i="54"/>
  <c r="G35" i="54"/>
  <c r="H35" i="54"/>
  <c r="I35" i="54"/>
  <c r="J35" i="54"/>
  <c r="K35" i="54"/>
  <c r="L35" i="54"/>
  <c r="M35" i="54"/>
  <c r="N35" i="54"/>
  <c r="C35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P29" i="54" l="1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P3" i="25" s="1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O37" i="54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35" i="54"/>
  <c r="O5" i="23"/>
  <c r="C74" i="25" l="1"/>
  <c r="C40" i="25"/>
  <c r="C81" i="25"/>
  <c r="C47" i="25"/>
  <c r="C79" i="25"/>
  <c r="C45" i="25"/>
  <c r="P35" i="54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8" i="23" l="1"/>
  <c r="P34" i="25"/>
  <c r="E25" i="100"/>
  <c r="F25" i="100"/>
  <c r="F24" i="100"/>
  <c r="D25" i="100"/>
  <c r="D24" i="100"/>
  <c r="E24" i="100"/>
  <c r="E26" i="100" l="1"/>
  <c r="F26" i="100"/>
  <c r="D26" i="100"/>
  <c r="O17" i="23" l="1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E30" i="23" l="1"/>
  <c r="C32" i="23"/>
  <c r="C35" i="23" s="1"/>
  <c r="H19" i="55"/>
  <c r="G14" i="55"/>
  <c r="D30" i="23"/>
  <c r="C30" i="23"/>
  <c r="C33" i="23"/>
  <c r="C24" i="23" l="1"/>
  <c r="C36" i="23" l="1"/>
  <c r="C37" i="23" s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7DDC078F-78AC-423A-ACC6-14F0DB4B1F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RF_2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금강공주</t>
        </r>
        <r>
          <rPr>
            <sz val="9"/>
            <color indexed="81"/>
            <rFont val="Tahoma"/>
            <family val="2"/>
          </rPr>
          <t xml:space="preserve"> 0.163, 0.67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미호천</t>
        </r>
        <r>
          <rPr>
            <sz val="9"/>
            <color indexed="81"/>
            <rFont val="Tahoma"/>
            <family val="2"/>
          </rPr>
          <t xml:space="preserve"> 0.173, 0.67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</text>
    </comment>
    <comment ref="C32" authorId="1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1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64982FFC-2C45-4732-8519-720A5B10C6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37B4929E-2B2D-4056-ABE5-BDA5C9C246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9B101E8-8EEB-45E6-8805-D48EC623F3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03743269-2381-495D-84A3-5D325C776B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3E68EEC5-115F-4F80-857E-C3E46BBD364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8254CBF-8721-40EE-BB6D-40721357792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3A5CFBB0-A43E-459E-93F2-2E52DF0F48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4CFB5F7-9950-4E26-AA77-230976D1434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E2E19DFA-362F-4093-A887-656C20D05A3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E28ADB82-F872-47F6-AC99-4DF991F573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2CB167E-5EEF-4884-B931-0B428D53A5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A0B0486E-EC5D-4D9F-B9AD-52072F3A91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6F69D18-6FC0-4E6E-BB76-0AEB046C55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B14ED118-25C7-4D06-A77D-98CBD7EEDB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76FF7BC3-DD7C-432C-8D1E-4544A7CD3A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947D442A-7129-46E8-96AF-19266E7412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F2E9B37-884F-45FD-ACBD-6A364FE1B1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C0DBCD13-BF83-4758-8686-46BC78E963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C634394F-A783-4FBB-8D45-45B2E1F1090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4804128-1186-4D57-858D-0C94A0F62E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2579DFD3-641C-419D-A6D7-8464E471E48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754CD7D4-4166-43B9-B8F1-25882D74BE4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3D4F31A-5368-449C-8875-B77A2EF1EF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6B6E509-11B0-494A-98B5-A3F0D86F4C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A815651D-C33B-4D36-8FEB-17B3C387B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90722D2-0B92-43CE-8114-3279C9E555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83E0DF70-3247-491A-B6B5-4BF7B6CEFD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479176BC-6CB7-491E-8776-6E67C9F4AC5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E847B61-B9C0-4AAC-8E6B-BCDF685365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E5F92C13-2118-4D37-9AAF-0131C5AF034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8ECD9BD9-30FD-4084-90B3-795B9E80AC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9EC95FA-275B-40EA-94ED-943760D07D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4737D4AC-9FA8-4FC6-B104-98258731B4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489AD173-8B98-4F09-8763-041C823CDE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F434A43A-194B-4806-9A9E-5D0019FDB2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655AE017-0ABC-4073-B6B1-D46BF2E4CC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D3B38912-0E26-4F8D-BADE-77280330B0E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398B0C1-FB43-4F57-9C90-02DC6E289C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EB9AD44-2AFB-49CA-80E7-F0B7131444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895E1AF-290B-402A-818D-97FF769884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C625F01E-FB20-4B6E-BCD5-9608356465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83D70AFF-2731-40DA-810F-91C553B031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3F1E0423-2CF2-4F0A-86C1-9C114C773D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08B0908A-022F-49BD-8819-6C7A8D3628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CE158A2-D836-4765-80E6-4026DFD667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F385C249-0819-4460-9185-04B9BDAAEEB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9184ED8-B48C-4312-B894-FF1D8132DE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3206EFA3-D599-448B-A6E1-39D6DDFB74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sharedStrings.xml><?xml version="1.0" encoding="utf-8"?>
<sst xmlns="http://schemas.openxmlformats.org/spreadsheetml/2006/main" count="600" uniqueCount="251">
  <si>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</si>
  <si>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</si>
  <si>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</si>
  <si>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</si>
  <si>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</si>
  <si>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</si>
  <si>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</si>
  <si>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</si>
  <si>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</si>
  <si>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</si>
  <si>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</si>
  <si>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</si>
  <si>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</si>
  <si>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</si>
  <si>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</si>
  <si>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</si>
  <si>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</si>
  <si>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</si>
  <si>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</si>
  <si>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</si>
  <si>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</si>
  <si>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</si>
  <si>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</si>
  <si>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</si>
  <si>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</si>
  <si>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</si>
  <si>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</si>
  <si>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</si>
  <si>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</si>
  <si>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</si>
  <si>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</si>
  <si>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</si>
  <si>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</si>
  <si>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</si>
  <si>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</si>
  <si>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</si>
  <si>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</si>
  <si>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</si>
  <si>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</si>
  <si>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</si>
  <si>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</si>
  <si>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</si>
  <si>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</si>
  <si>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</si>
  <si>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</si>
  <si>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</si>
  <si>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</si>
  <si>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</si>
  <si>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</si>
  <si>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</si>
  <si>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</si>
  <si>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</si>
  <si>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</si>
  <si>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</si>
  <si>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</si>
  <si>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</si>
  <si>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</si>
  <si>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</si>
  <si>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</si>
  <si>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</si>
  <si>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</si>
  <si>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</si>
  <si>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</si>
  <si>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</si>
  <si>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</si>
  <si>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</si>
  <si>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</si>
  <si>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</si>
  <si>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</si>
  <si>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</si>
  <si>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</si>
  <si>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</si>
  <si>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</si>
  <si>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</si>
  <si>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</si>
  <si>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</si>
  <si>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</si>
  <si>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</si>
  <si>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</si>
  <si>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</si>
  <si>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</si>
  <si>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</si>
  <si>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</si>
  <si>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</si>
  <si>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</si>
  <si>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</si>
  <si>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</si>
  <si>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</si>
  <si>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</si>
  <si>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</si>
  <si>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</si>
  <si>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</si>
  <si>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</si>
  <si>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</si>
  <si>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</si>
  <si>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</si>
  <si>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</si>
  <si>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</si>
  <si>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</si>
  <si>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</si>
  <si>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</si>
  <si>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</si>
  <si>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</si>
  <si>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</si>
  <si>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</si>
  <si>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</si>
  <si>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</si>
  <si>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</si>
  <si>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</si>
  <si>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</si>
  <si>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</si>
  <si>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</si>
  <si>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기사용량(㎥/일)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</si>
  <si>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</si>
  <si>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</si>
  <si>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</si>
  <si>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</si>
  <si>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</si>
  <si>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</si>
  <si>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</si>
  <si>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</si>
  <si>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</si>
  <si>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</si>
  <si>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</si>
  <si>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</si>
  <si>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</si>
  <si>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</si>
  <si>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</si>
  <si>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</si>
  <si>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</si>
  <si>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</si>
  <si>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</si>
  <si>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</si>
  <si>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</si>
  <si>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</si>
  <si>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</si>
  <si>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</si>
  <si>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</si>
  <si>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</si>
  <si>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</si>
  <si>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</si>
  <si>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</si>
  <si>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</si>
  <si>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</si>
  <si>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</si>
  <si>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</si>
  <si>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</si>
  <si>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</si>
  <si>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</si>
  <si>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</si>
  <si>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</si>
  <si>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</si>
  <si>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</si>
  <si>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</si>
  <si>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</si>
  <si>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</si>
  <si>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</si>
  <si>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</si>
  <si>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</si>
  <si>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</si>
  <si>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</si>
  <si>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</si>
  <si>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</si>
  <si>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</si>
  <si>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</si>
  <si>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</si>
  <si>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</si>
  <si>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</si>
  <si>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</si>
  <si>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</si>
  <si>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</si>
  <si>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</si>
  <si>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</si>
  <si>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W1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</si>
  <si>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</si>
  <si>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</si>
  <si>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</si>
  <si>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</si>
  <si>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W-1</t>
  </si>
  <si>
    <t>강우량</t>
    <phoneticPr fontId="7" type="noConversion"/>
  </si>
  <si>
    <t>고대아파트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</si>
  <si>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</si>
  <si>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</si>
  <si>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</si>
  <si>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</si>
  <si>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</si>
  <si>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</si>
  <si>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</si>
  <si>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</si>
  <si>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</si>
  <si>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</si>
  <si>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</si>
  <si>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</si>
  <si>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</si>
  <si>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</si>
  <si>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</si>
  <si>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</si>
  <si>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</si>
  <si>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</si>
  <si>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</si>
  <si>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</si>
  <si>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</si>
  <si>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</si>
  <si>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</si>
  <si>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</si>
  <si>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</si>
  <si>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</si>
  <si>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</si>
  <si>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</si>
  <si>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</si>
  <si>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</si>
  <si>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</si>
  <si>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</si>
  <si>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</si>
  <si>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</si>
  <si>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W-2</t>
  </si>
  <si>
    <t>W-3</t>
  </si>
  <si>
    <t>W-4</t>
  </si>
  <si>
    <t>W-5</t>
  </si>
  <si>
    <t>W-6</t>
  </si>
  <si>
    <t>W-7</t>
  </si>
  <si>
    <t>W-8</t>
  </si>
  <si>
    <t>W-9</t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</si>
  <si>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</si>
  <si>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</si>
  <si>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</si>
  <si>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</si>
  <si>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매우낮음</t>
    <phoneticPr fontId="7" type="noConversion"/>
  </si>
  <si>
    <t>낮 음</t>
    <phoneticPr fontId="7" type="noConversion"/>
  </si>
  <si>
    <t>금강/대청댐하류</t>
    <phoneticPr fontId="7" type="noConversion"/>
  </si>
  <si>
    <t>cm/year</t>
  </si>
  <si>
    <t>30년 청주기상청</t>
    <phoneticPr fontId="7" type="noConversion"/>
  </si>
  <si>
    <t>금강/미호천</t>
    <phoneticPr fontId="7" type="noConversion"/>
  </si>
  <si>
    <t>W-4</t>
    <phoneticPr fontId="7" type="noConversion"/>
  </si>
  <si>
    <t>W2</t>
  </si>
  <si>
    <t>W3</t>
  </si>
  <si>
    <t>W4</t>
  </si>
  <si>
    <t>삽교천/삽교천</t>
    <phoneticPr fontId="7" type="noConversion"/>
  </si>
  <si>
    <t>소정면 고등리 382</t>
  </si>
  <si>
    <t>전의면 노곡리 73-1</t>
  </si>
  <si>
    <t>소정면 대곡리 25-4</t>
  </si>
  <si>
    <t>정진건설㈜</t>
  </si>
  <si>
    <t>Metamorphic/Igneous</t>
  </si>
  <si>
    <t>Clay Loam</t>
  </si>
  <si>
    <t>연동면 명학리 189-1</t>
    <phoneticPr fontId="7" type="noConversion"/>
  </si>
  <si>
    <t xml:space="preserve"> 2021 농업용관정 사후관리 및 영향조사용역</t>
    <phoneticPr fontId="7" type="noConversion"/>
  </si>
  <si>
    <t>RF1 :</t>
    <phoneticPr fontId="7" type="noConversion"/>
  </si>
  <si>
    <t>RF2 :</t>
    <phoneticPr fontId="7" type="noConversion"/>
  </si>
  <si>
    <t>RF3 :</t>
    <phoneticPr fontId="7" type="noConversion"/>
  </si>
  <si>
    <t>비교적낮음</t>
    <phoneticPr fontId="7" type="noConversion"/>
  </si>
  <si>
    <t>중간정도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</si>
</sst>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  <numFmt numFmtId="199" formatCode="0_);[Red]\(0\)"/>
    <numFmt numFmtId="200" formatCode="0.0_);[Red]\(0.0\)"/>
    <numFmt numFmtId="201" formatCode="0.0%"/>
  </numFmts>
  <fonts count="5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1"/>
      <color rgb="FFFF0000"/>
      <name val="맑은 고딕"/>
      <family val="3"/>
      <charset val="129"/>
    </font>
  </fonts>
  <fills count="29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8">
    <xf numFmtId="0" fontId="0" fillId="0" borderId="0"/>
    <xf numFmtId="24" fontId="8" fillId="0" borderId="0" applyFont="0" applyFill="0" applyBorder="0" applyAlignment="0" applyProtection="0"/>
    <xf numFmtId="179" fontId="6" fillId="0" borderId="0" applyNumberFormat="0" applyFont="0" applyFill="0" applyBorder="0" applyAlignment="0" applyProtection="0"/>
    <xf numFmtId="180" fontId="9" fillId="0" borderId="0" applyNumberFormat="0" applyFont="0" applyFill="0" applyBorder="0" applyAlignment="0" applyProtection="0"/>
    <xf numFmtId="179" fontId="6" fillId="0" borderId="0" applyNumberFormat="0" applyFont="0" applyFill="0" applyBorder="0" applyAlignment="0" applyProtection="0"/>
    <xf numFmtId="180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1" fontId="9" fillId="0" borderId="0" applyFont="0" applyFill="0" applyBorder="0" applyAlignment="0" applyProtection="0"/>
    <xf numFmtId="184" fontId="11" fillId="0" borderId="0" applyFont="0" applyFill="0" applyBorder="0" applyAlignment="0" applyProtection="0"/>
    <xf numFmtId="183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8" fontId="9" fillId="0" borderId="0" applyFont="0" applyFill="0" applyBorder="0" applyAlignment="0" applyProtection="0"/>
    <xf numFmtId="182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176" fontId="6" fillId="0" borderId="0" applyFont="0" applyFill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35" fillId="18" borderId="0" applyNumberFormat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462">
    <xf numFmtId="0" fontId="0" fillId="0" borderId="0" xfId="0"/>
    <xf numFmtId="0" fontId="15" fillId="0" borderId="0" xfId="19" applyFont="1">
      <alignment vertical="center"/>
    </xf>
    <xf numFmtId="0" fontId="15" fillId="0" borderId="41" xfId="19" applyFont="1" applyBorder="1" applyAlignment="1">
      <alignment horizontal="center" vertical="center"/>
    </xf>
    <xf numFmtId="0" fontId="15" fillId="0" borderId="42" xfId="19" applyFont="1" applyBorder="1" applyAlignment="1">
      <alignment horizontal="center" vertical="center"/>
    </xf>
    <xf numFmtId="0" fontId="15" fillId="0" borderId="43" xfId="19" applyFont="1" applyBorder="1" applyAlignment="1">
      <alignment horizontal="center" vertical="center"/>
    </xf>
    <xf numFmtId="191" fontId="15" fillId="0" borderId="15" xfId="19" applyNumberFormat="1" applyFont="1" applyBorder="1" applyAlignment="1">
      <alignment horizontal="center" vertical="center"/>
    </xf>
    <xf numFmtId="0" fontId="15" fillId="0" borderId="44" xfId="19" applyFont="1" applyBorder="1" applyAlignment="1">
      <alignment horizontal="center" vertical="center"/>
    </xf>
    <xf numFmtId="0" fontId="16" fillId="0" borderId="45" xfId="19" applyFont="1" applyBorder="1" applyAlignment="1">
      <alignment horizontal="center" vertical="center" wrapText="1"/>
    </xf>
    <xf numFmtId="0" fontId="16" fillId="0" borderId="14" xfId="19" applyFont="1" applyBorder="1" applyAlignment="1">
      <alignment horizontal="center" vertical="center" wrapText="1"/>
    </xf>
    <xf numFmtId="0" fontId="16" fillId="0" borderId="8" xfId="19" applyFont="1" applyBorder="1" applyAlignment="1">
      <alignment horizontal="center" vertical="center" wrapText="1"/>
    </xf>
    <xf numFmtId="0" fontId="16" fillId="0" borderId="44" xfId="19" applyFont="1" applyBorder="1" applyAlignment="1">
      <alignment horizontal="center" vertical="center" wrapText="1"/>
    </xf>
    <xf numFmtId="0" fontId="15" fillId="0" borderId="46" xfId="19" applyFont="1" applyBorder="1">
      <alignment vertical="center"/>
    </xf>
    <xf numFmtId="0" fontId="17" fillId="8" borderId="47" xfId="19" applyFont="1" applyFill="1" applyBorder="1" applyAlignment="1">
      <alignment horizontal="center" vertical="center" wrapText="1"/>
    </xf>
    <xf numFmtId="0" fontId="17" fillId="8" borderId="49" xfId="19" applyFont="1" applyFill="1" applyBorder="1" applyAlignment="1">
      <alignment horizontal="center" vertical="center" wrapText="1"/>
    </xf>
    <xf numFmtId="0" fontId="16" fillId="9" borderId="50" xfId="19" applyFont="1" applyFill="1" applyBorder="1" applyAlignment="1">
      <alignment horizontal="center" vertical="center" wrapText="1"/>
    </xf>
    <xf numFmtId="186" fontId="15" fillId="0" borderId="0" xfId="20" applyNumberFormat="1" applyFont="1" applyFill="1">
      <alignment vertical="center"/>
    </xf>
    <xf numFmtId="0" fontId="15" fillId="0" borderId="0" xfId="20" applyFont="1" applyFill="1">
      <alignment vertical="center"/>
    </xf>
    <xf numFmtId="0" fontId="15" fillId="0" borderId="0" xfId="19" applyFont="1" applyAlignment="1">
      <alignment horizontal="center" vertical="center"/>
    </xf>
    <xf numFmtId="0" fontId="18" fillId="0" borderId="0" xfId="19" applyFont="1">
      <alignment vertical="center"/>
    </xf>
    <xf numFmtId="185" fontId="15" fillId="0" borderId="0" xfId="19" applyNumberFormat="1" applyFont="1">
      <alignment vertical="center"/>
    </xf>
    <xf numFmtId="186" fontId="15" fillId="0" borderId="0" xfId="19" applyNumberFormat="1" applyFont="1">
      <alignment vertical="center"/>
    </xf>
    <xf numFmtId="0" fontId="16" fillId="0" borderId="0" xfId="19" applyFont="1" applyAlignment="1">
      <alignment horizontal="center" vertical="center" wrapText="1"/>
    </xf>
    <xf numFmtId="0" fontId="15" fillId="0" borderId="52" xfId="19" applyFont="1" applyBorder="1" applyAlignment="1">
      <alignment horizontal="center" vertical="center"/>
    </xf>
    <xf numFmtId="0" fontId="15" fillId="0" borderId="53" xfId="19" applyFont="1" applyBorder="1" applyAlignment="1">
      <alignment horizontal="center" vertical="center"/>
    </xf>
    <xf numFmtId="0" fontId="17" fillId="0" borderId="0" xfId="19" applyFont="1" applyAlignment="1">
      <alignment horizontal="center" vertical="center" wrapText="1"/>
    </xf>
    <xf numFmtId="0" fontId="20" fillId="0" borderId="0" xfId="19" applyFont="1" applyAlignment="1">
      <alignment horizontal="center" vertical="center"/>
    </xf>
    <xf numFmtId="0" fontId="15" fillId="0" borderId="11" xfId="19" applyFont="1" applyBorder="1" applyAlignment="1">
      <alignment horizontal="center" vertical="center"/>
    </xf>
    <xf numFmtId="0" fontId="15" fillId="0" borderId="9" xfId="19" applyFont="1" applyBorder="1" applyAlignment="1">
      <alignment horizontal="center" vertical="center"/>
    </xf>
    <xf numFmtId="0" fontId="15" fillId="0" borderId="10" xfId="19" applyFont="1" applyBorder="1" applyAlignment="1">
      <alignment horizontal="center" vertical="center"/>
    </xf>
    <xf numFmtId="182" fontId="15" fillId="0" borderId="0" xfId="13" applyFont="1" applyAlignment="1">
      <alignment vertical="center"/>
    </xf>
    <xf numFmtId="0" fontId="15" fillId="10" borderId="11" xfId="19" applyFont="1" applyFill="1" applyBorder="1" applyAlignment="1">
      <alignment horizontal="center" vertical="center"/>
    </xf>
    <xf numFmtId="186" fontId="21" fillId="10" borderId="35" xfId="19" applyNumberFormat="1" applyFont="1" applyFill="1" applyBorder="1">
      <alignment vertical="center"/>
    </xf>
    <xf numFmtId="0" fontId="15" fillId="11" borderId="11" xfId="19" applyFont="1" applyFill="1" applyBorder="1" applyAlignment="1">
      <alignment horizontal="center" vertical="center"/>
    </xf>
    <xf numFmtId="186" fontId="21" fillId="11" borderId="35" xfId="19" applyNumberFormat="1" applyFont="1" applyFill="1" applyBorder="1">
      <alignment vertical="center"/>
    </xf>
    <xf numFmtId="0" fontId="15" fillId="0" borderId="49" xfId="19" applyFont="1" applyBorder="1" applyAlignment="1">
      <alignment horizontal="center" vertical="center"/>
    </xf>
    <xf numFmtId="0" fontId="17" fillId="0" borderId="52" xfId="19" applyFont="1" applyBorder="1" applyAlignment="1">
      <alignment horizontal="center" vertical="center" wrapText="1"/>
    </xf>
    <xf numFmtId="0" fontId="17" fillId="0" borderId="57" xfId="19" applyFont="1" applyBorder="1" applyAlignment="1">
      <alignment horizontal="center" vertical="center" wrapText="1"/>
    </xf>
    <xf numFmtId="0" fontId="16" fillId="3" borderId="14" xfId="19" applyFont="1" applyFill="1" applyBorder="1" applyAlignment="1">
      <alignment horizontal="center" vertical="center" wrapText="1"/>
    </xf>
    <xf numFmtId="194" fontId="16" fillId="0" borderId="8" xfId="19" applyNumberFormat="1" applyFont="1" applyBorder="1" applyAlignment="1">
      <alignment horizontal="center" vertical="center" wrapText="1"/>
    </xf>
    <xf numFmtId="194" fontId="17" fillId="0" borderId="58" xfId="19" applyNumberFormat="1" applyFont="1" applyBorder="1" applyAlignment="1">
      <alignment horizontal="center" vertical="center" wrapText="1"/>
    </xf>
    <xf numFmtId="0" fontId="17" fillId="8" borderId="48" xfId="19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176" fontId="25" fillId="0" borderId="0" xfId="21" applyFont="1" applyAlignment="1">
      <alignment horizontal="center" vertical="center"/>
    </xf>
    <xf numFmtId="0" fontId="28" fillId="0" borderId="0" xfId="19" applyFont="1">
      <alignment vertical="center"/>
    </xf>
    <xf numFmtId="0" fontId="25" fillId="0" borderId="0" xfId="17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59" xfId="0" applyFont="1" applyBorder="1"/>
    <xf numFmtId="0" fontId="25" fillId="0" borderId="61" xfId="0" applyFont="1" applyBorder="1"/>
    <xf numFmtId="0" fontId="25" fillId="11" borderId="1" xfId="0" applyFont="1" applyFill="1" applyBorder="1"/>
    <xf numFmtId="0" fontId="25" fillId="11" borderId="0" xfId="0" applyFont="1" applyFill="1"/>
    <xf numFmtId="0" fontId="25" fillId="11" borderId="59" xfId="0" applyFont="1" applyFill="1" applyBorder="1"/>
    <xf numFmtId="0" fontId="25" fillId="11" borderId="0" xfId="0" applyFont="1" applyFill="1" applyAlignment="1">
      <alignment horizontal="center" vertical="center"/>
    </xf>
    <xf numFmtId="0" fontId="25" fillId="11" borderId="61" xfId="0" applyFont="1" applyFill="1" applyBorder="1"/>
    <xf numFmtId="0" fontId="29" fillId="0" borderId="0" xfId="0" applyFont="1"/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29" fillId="11" borderId="6" xfId="0" applyFont="1" applyFill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9" fillId="11" borderId="60" xfId="0" applyFont="1" applyFill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11" borderId="6" xfId="0" applyFont="1" applyFill="1" applyBorder="1" applyAlignment="1">
      <alignment horizontal="center"/>
    </xf>
    <xf numFmtId="0" fontId="29" fillId="0" borderId="60" xfId="0" applyFont="1" applyBorder="1" applyAlignment="1">
      <alignment horizontal="center"/>
    </xf>
    <xf numFmtId="0" fontId="29" fillId="11" borderId="60" xfId="0" applyFont="1" applyFill="1" applyBorder="1" applyAlignment="1">
      <alignment horizontal="center"/>
    </xf>
    <xf numFmtId="0" fontId="29" fillId="11" borderId="17" xfId="0" applyFont="1" applyFill="1" applyBorder="1" applyAlignment="1">
      <alignment horizontal="center"/>
    </xf>
    <xf numFmtId="0" fontId="29" fillId="11" borderId="6" xfId="0" applyFont="1" applyFill="1" applyBorder="1"/>
    <xf numFmtId="0" fontId="29" fillId="0" borderId="60" xfId="0" applyFont="1" applyBorder="1"/>
    <xf numFmtId="0" fontId="29" fillId="11" borderId="60" xfId="0" applyFont="1" applyFill="1" applyBorder="1"/>
    <xf numFmtId="0" fontId="29" fillId="11" borderId="17" xfId="0" applyFont="1" applyFill="1" applyBorder="1"/>
    <xf numFmtId="0" fontId="26" fillId="0" borderId="0" xfId="0" applyFont="1" applyAlignment="1">
      <alignment horizontal="center" vertical="center"/>
    </xf>
    <xf numFmtId="0" fontId="3" fillId="14" borderId="0" xfId="22" applyFill="1" applyAlignment="1">
      <alignment horizontal="center" vertical="center"/>
    </xf>
    <xf numFmtId="0" fontId="25" fillId="0" borderId="6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66" xfId="0" applyFont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0" fontId="25" fillId="0" borderId="85" xfId="0" applyFont="1" applyBorder="1" applyAlignment="1">
      <alignment horizontal="center" vertical="center"/>
    </xf>
    <xf numFmtId="0" fontId="25" fillId="0" borderId="84" xfId="0" applyFont="1" applyBorder="1" applyAlignment="1">
      <alignment horizontal="center" vertical="center"/>
    </xf>
    <xf numFmtId="0" fontId="15" fillId="0" borderId="54" xfId="19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15" fillId="3" borderId="41" xfId="19" applyNumberFormat="1" applyFont="1" applyFill="1" applyBorder="1" applyAlignment="1">
      <alignment horizontal="center" vertical="center"/>
    </xf>
    <xf numFmtId="0" fontId="15" fillId="3" borderId="44" xfId="19" applyNumberFormat="1" applyFont="1" applyFill="1" applyBorder="1" applyAlignment="1">
      <alignment horizontal="center" vertical="center"/>
    </xf>
    <xf numFmtId="0" fontId="19" fillId="3" borderId="44" xfId="19" applyNumberFormat="1" applyFont="1" applyFill="1" applyBorder="1" applyAlignment="1">
      <alignment horizontal="center" vertical="center"/>
    </xf>
    <xf numFmtId="0" fontId="15" fillId="0" borderId="44" xfId="19" applyNumberFormat="1" applyFont="1" applyBorder="1" applyAlignment="1">
      <alignment horizontal="center" vertical="center"/>
    </xf>
    <xf numFmtId="0" fontId="15" fillId="11" borderId="44" xfId="19" applyNumberFormat="1" applyFont="1" applyFill="1" applyBorder="1" applyAlignment="1">
      <alignment horizontal="center" vertical="center"/>
    </xf>
    <xf numFmtId="0" fontId="15" fillId="0" borderId="52" xfId="19" applyNumberFormat="1" applyFont="1" applyBorder="1" applyAlignment="1">
      <alignment horizontal="center" vertical="center"/>
    </xf>
    <xf numFmtId="0" fontId="15" fillId="3" borderId="53" xfId="19" applyNumberFormat="1" applyFont="1" applyFill="1" applyBorder="1" applyAlignment="1">
      <alignment horizontal="center" vertical="center"/>
    </xf>
    <xf numFmtId="0" fontId="15" fillId="3" borderId="52" xfId="19" applyNumberFormat="1" applyFont="1" applyFill="1" applyBorder="1" applyAlignment="1">
      <alignment horizontal="center" vertical="center"/>
    </xf>
    <xf numFmtId="0" fontId="15" fillId="11" borderId="49" xfId="19" applyNumberFormat="1" applyFont="1" applyFill="1" applyBorder="1" applyAlignment="1">
      <alignment horizontal="center" vertical="center"/>
    </xf>
    <xf numFmtId="188" fontId="21" fillId="3" borderId="52" xfId="19" applyNumberFormat="1" applyFont="1" applyFill="1" applyBorder="1">
      <alignment vertical="center"/>
    </xf>
    <xf numFmtId="0" fontId="25" fillId="0" borderId="28" xfId="0" applyFont="1" applyBorder="1" applyAlignment="1">
      <alignment horizontal="center" vertical="center"/>
    </xf>
    <xf numFmtId="0" fontId="29" fillId="16" borderId="9" xfId="0" applyFont="1" applyFill="1" applyBorder="1" applyAlignment="1">
      <alignment horizontal="center" vertical="center"/>
    </xf>
    <xf numFmtId="0" fontId="29" fillId="16" borderId="10" xfId="0" applyFont="1" applyFill="1" applyBorder="1" applyAlignment="1">
      <alignment horizontal="center" vertical="center"/>
    </xf>
    <xf numFmtId="0" fontId="29" fillId="16" borderId="11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90" fontId="25" fillId="0" borderId="62" xfId="0" applyNumberFormat="1" applyFont="1" applyBorder="1" applyAlignment="1">
      <alignment vertical="center"/>
    </xf>
    <xf numFmtId="190" fontId="25" fillId="0" borderId="64" xfId="0" applyNumberFormat="1" applyFont="1" applyBorder="1" applyAlignment="1">
      <alignment vertical="center"/>
    </xf>
    <xf numFmtId="177" fontId="25" fillId="0" borderId="0" xfId="0" applyNumberFormat="1" applyFont="1" applyAlignment="1">
      <alignment vertical="center"/>
    </xf>
    <xf numFmtId="190" fontId="25" fillId="0" borderId="66" xfId="18" applyNumberFormat="1" applyFont="1" applyBorder="1">
      <alignment vertical="center"/>
    </xf>
    <xf numFmtId="190" fontId="25" fillId="0" borderId="65" xfId="0" applyNumberFormat="1" applyFont="1" applyBorder="1" applyAlignment="1">
      <alignment vertical="center"/>
    </xf>
    <xf numFmtId="190" fontId="25" fillId="0" borderId="66" xfId="0" applyNumberFormat="1" applyFont="1" applyBorder="1" applyAlignment="1">
      <alignment vertical="center"/>
    </xf>
    <xf numFmtId="0" fontId="25" fillId="0" borderId="67" xfId="0" applyFont="1" applyBorder="1" applyAlignment="1">
      <alignment horizontal="center" vertical="center"/>
    </xf>
    <xf numFmtId="190" fontId="25" fillId="0" borderId="69" xfId="18" applyNumberFormat="1" applyFont="1" applyBorder="1">
      <alignment vertical="center"/>
    </xf>
    <xf numFmtId="190" fontId="25" fillId="0" borderId="67" xfId="0" applyNumberFormat="1" applyFont="1" applyBorder="1" applyAlignment="1">
      <alignment vertical="center"/>
    </xf>
    <xf numFmtId="190" fontId="25" fillId="0" borderId="69" xfId="0" applyNumberFormat="1" applyFont="1" applyBorder="1" applyAlignment="1">
      <alignment vertical="center"/>
    </xf>
    <xf numFmtId="190" fontId="25" fillId="0" borderId="70" xfId="18" applyNumberFormat="1" applyFont="1" applyBorder="1">
      <alignment vertical="center"/>
    </xf>
    <xf numFmtId="190" fontId="25" fillId="0" borderId="72" xfId="18" applyNumberFormat="1" applyFont="1" applyBorder="1">
      <alignment vertical="center"/>
    </xf>
    <xf numFmtId="190" fontId="25" fillId="0" borderId="65" xfId="18" applyNumberFormat="1" applyFont="1" applyBorder="1">
      <alignment vertical="center"/>
    </xf>
    <xf numFmtId="190" fontId="25" fillId="0" borderId="73" xfId="18" applyNumberFormat="1" applyFont="1" applyBorder="1">
      <alignment vertical="center"/>
    </xf>
    <xf numFmtId="190" fontId="25" fillId="0" borderId="74" xfId="18" applyNumberFormat="1" applyFont="1" applyBorder="1">
      <alignment vertical="center"/>
    </xf>
    <xf numFmtId="190" fontId="25" fillId="0" borderId="27" xfId="18" applyNumberFormat="1" applyFont="1" applyBorder="1">
      <alignment vertical="center"/>
    </xf>
    <xf numFmtId="190" fontId="25" fillId="0" borderId="76" xfId="18" applyNumberFormat="1" applyFont="1" applyBorder="1">
      <alignment vertical="center"/>
    </xf>
    <xf numFmtId="190" fontId="25" fillId="0" borderId="70" xfId="18" applyNumberFormat="1" applyFont="1" applyBorder="1" applyAlignment="1">
      <alignment horizontal="center" vertical="center"/>
    </xf>
    <xf numFmtId="190" fontId="25" fillId="0" borderId="75" xfId="18" applyNumberFormat="1" applyFont="1" applyBorder="1">
      <alignment vertical="center"/>
    </xf>
    <xf numFmtId="190" fontId="25" fillId="0" borderId="65" xfId="18" applyNumberFormat="1" applyFont="1" applyBorder="1" applyAlignment="1">
      <alignment horizontal="center" vertical="center"/>
    </xf>
    <xf numFmtId="190" fontId="25" fillId="0" borderId="73" xfId="18" applyNumberFormat="1" applyFont="1" applyBorder="1" applyAlignment="1">
      <alignment horizontal="center" vertical="center"/>
    </xf>
    <xf numFmtId="190" fontId="25" fillId="0" borderId="30" xfId="18" applyNumberFormat="1" applyFont="1" applyBorder="1">
      <alignment vertical="center"/>
    </xf>
    <xf numFmtId="0" fontId="18" fillId="0" borderId="0" xfId="17" applyFont="1">
      <alignment vertical="center"/>
    </xf>
    <xf numFmtId="0" fontId="18" fillId="0" borderId="0" xfId="17" applyFont="1" applyAlignment="1">
      <alignment horizontal="left" vertical="center"/>
    </xf>
    <xf numFmtId="0" fontId="18" fillId="16" borderId="70" xfId="25" applyFont="1" applyFill="1" applyBorder="1" applyAlignment="1">
      <alignment horizontal="center" vertical="center"/>
    </xf>
    <xf numFmtId="0" fontId="18" fillId="16" borderId="71" xfId="25" applyFont="1" applyFill="1" applyBorder="1" applyAlignment="1">
      <alignment horizontal="center" vertical="center"/>
    </xf>
    <xf numFmtId="0" fontId="18" fillId="16" borderId="72" xfId="25" applyFont="1" applyFill="1" applyBorder="1" applyAlignment="1">
      <alignment horizontal="center" vertical="center"/>
    </xf>
    <xf numFmtId="0" fontId="18" fillId="0" borderId="65" xfId="25" applyFont="1" applyBorder="1" applyAlignment="1">
      <alignment horizontal="center" vertical="center"/>
    </xf>
    <xf numFmtId="0" fontId="18" fillId="0" borderId="26" xfId="25" applyFont="1" applyBorder="1" applyAlignment="1">
      <alignment horizontal="center" vertical="center"/>
    </xf>
    <xf numFmtId="0" fontId="18" fillId="0" borderId="66" xfId="25" applyFont="1" applyBorder="1" applyAlignment="1">
      <alignment horizontal="center" vertical="center"/>
    </xf>
    <xf numFmtId="0" fontId="18" fillId="16" borderId="65" xfId="25" applyFont="1" applyFill="1" applyBorder="1" applyAlignment="1">
      <alignment horizontal="center" vertical="center"/>
    </xf>
    <xf numFmtId="0" fontId="18" fillId="16" borderId="26" xfId="25" applyFont="1" applyFill="1" applyBorder="1" applyAlignment="1">
      <alignment horizontal="center" vertical="center"/>
    </xf>
    <xf numFmtId="0" fontId="18" fillId="16" borderId="66" xfId="25" applyFont="1" applyFill="1" applyBorder="1" applyAlignment="1">
      <alignment horizontal="center" vertical="center"/>
    </xf>
    <xf numFmtId="0" fontId="18" fillId="16" borderId="28" xfId="25" applyFont="1" applyFill="1" applyBorder="1" applyAlignment="1">
      <alignment horizontal="center" vertical="center"/>
    </xf>
    <xf numFmtId="0" fontId="18" fillId="16" borderId="74" xfId="25" applyFont="1" applyFill="1" applyBorder="1" applyAlignment="1">
      <alignment horizontal="center" vertical="center"/>
    </xf>
    <xf numFmtId="0" fontId="18" fillId="0" borderId="73" xfId="25" applyFont="1" applyBorder="1" applyAlignment="1">
      <alignment horizontal="center" vertical="center"/>
    </xf>
    <xf numFmtId="0" fontId="18" fillId="0" borderId="74" xfId="25" applyFont="1" applyBorder="1" applyAlignment="1">
      <alignment horizontal="center" vertical="center"/>
    </xf>
    <xf numFmtId="0" fontId="18" fillId="17" borderId="70" xfId="17" applyFont="1" applyFill="1" applyBorder="1" applyAlignment="1">
      <alignment horizontal="center" vertical="center"/>
    </xf>
    <xf numFmtId="0" fontId="18" fillId="17" borderId="71" xfId="17" applyFont="1" applyFill="1" applyBorder="1" applyAlignment="1">
      <alignment horizontal="center" vertical="center"/>
    </xf>
    <xf numFmtId="0" fontId="18" fillId="17" borderId="72" xfId="17" applyFont="1" applyFill="1" applyBorder="1" applyAlignment="1">
      <alignment horizontal="center" vertical="center"/>
    </xf>
    <xf numFmtId="0" fontId="18" fillId="0" borderId="0" xfId="17" applyFont="1" applyAlignment="1">
      <alignment horizontal="center" vertical="center"/>
    </xf>
    <xf numFmtId="0" fontId="18" fillId="0" borderId="73" xfId="17" applyNumberFormat="1" applyFont="1" applyBorder="1" applyAlignment="1">
      <alignment horizontal="center" vertical="center"/>
    </xf>
    <xf numFmtId="0" fontId="18" fillId="0" borderId="28" xfId="18" applyNumberFormat="1" applyFont="1" applyBorder="1" applyAlignment="1">
      <alignment horizontal="center" vertical="center"/>
    </xf>
    <xf numFmtId="0" fontId="15" fillId="17" borderId="77" xfId="25" applyFont="1" applyFill="1" applyBorder="1" applyAlignment="1">
      <alignment horizontal="center" vertical="center"/>
    </xf>
    <xf numFmtId="0" fontId="18" fillId="17" borderId="75" xfId="25" applyFont="1" applyFill="1" applyBorder="1" applyAlignment="1">
      <alignment horizontal="center" vertical="center"/>
    </xf>
    <xf numFmtId="0" fontId="18" fillId="17" borderId="71" xfId="25" applyFont="1" applyFill="1" applyBorder="1" applyAlignment="1">
      <alignment horizontal="center" vertical="center"/>
    </xf>
    <xf numFmtId="0" fontId="18" fillId="17" borderId="72" xfId="25" applyFont="1" applyFill="1" applyBorder="1" applyAlignment="1">
      <alignment horizontal="center" vertical="center"/>
    </xf>
    <xf numFmtId="0" fontId="18" fillId="17" borderId="78" xfId="25" applyFont="1" applyFill="1" applyBorder="1" applyAlignment="1">
      <alignment horizontal="center" vertical="center"/>
    </xf>
    <xf numFmtId="0" fontId="18" fillId="0" borderId="27" xfId="25" applyFont="1" applyBorder="1" applyAlignment="1">
      <alignment horizontal="center" vertical="center"/>
    </xf>
    <xf numFmtId="0" fontId="18" fillId="0" borderId="76" xfId="25" applyFont="1" applyBorder="1" applyAlignment="1">
      <alignment horizontal="center" vertical="center"/>
    </xf>
    <xf numFmtId="0" fontId="18" fillId="0" borderId="68" xfId="25" applyFont="1" applyBorder="1" applyAlignment="1">
      <alignment horizontal="center" vertical="center"/>
    </xf>
    <xf numFmtId="0" fontId="18" fillId="0" borderId="69" xfId="25" applyFont="1" applyBorder="1" applyAlignment="1">
      <alignment horizontal="center" vertical="center"/>
    </xf>
    <xf numFmtId="0" fontId="18" fillId="17" borderId="77" xfId="25" applyFont="1" applyFill="1" applyBorder="1" applyAlignment="1">
      <alignment horizontal="center" vertical="center"/>
    </xf>
    <xf numFmtId="0" fontId="18" fillId="0" borderId="75" xfId="25" applyFont="1" applyBorder="1" applyAlignment="1">
      <alignment horizontal="center" vertical="center"/>
    </xf>
    <xf numFmtId="0" fontId="18" fillId="0" borderId="71" xfId="25" applyFont="1" applyBorder="1" applyAlignment="1">
      <alignment horizontal="center" vertical="center"/>
    </xf>
    <xf numFmtId="0" fontId="18" fillId="0" borderId="72" xfId="25" applyFont="1" applyBorder="1" applyAlignment="1">
      <alignment horizontal="center" vertical="center"/>
    </xf>
    <xf numFmtId="0" fontId="18" fillId="17" borderId="79" xfId="25" applyFont="1" applyFill="1" applyBorder="1" applyAlignment="1">
      <alignment horizontal="center" vertical="center"/>
    </xf>
    <xf numFmtId="0" fontId="18" fillId="0" borderId="30" xfId="25" applyFont="1" applyBorder="1" applyAlignment="1">
      <alignment horizontal="center" vertical="center"/>
    </xf>
    <xf numFmtId="0" fontId="18" fillId="0" borderId="28" xfId="25" applyFont="1" applyBorder="1" applyAlignment="1">
      <alignment horizontal="center" vertical="center"/>
    </xf>
    <xf numFmtId="0" fontId="18" fillId="13" borderId="28" xfId="23" applyFont="1" applyBorder="1" applyAlignment="1">
      <alignment horizontal="center" vertical="center"/>
    </xf>
    <xf numFmtId="0" fontId="18" fillId="17" borderId="21" xfId="25" applyFont="1" applyFill="1" applyBorder="1" applyAlignment="1">
      <alignment horizontal="center" vertical="center"/>
    </xf>
    <xf numFmtId="186" fontId="18" fillId="0" borderId="80" xfId="25" applyNumberFormat="1" applyFont="1" applyBorder="1" applyAlignment="1">
      <alignment horizontal="center" vertical="center"/>
    </xf>
    <xf numFmtId="186" fontId="18" fillId="0" borderId="81" xfId="25" applyNumberFormat="1" applyFont="1" applyBorder="1" applyAlignment="1">
      <alignment horizontal="center" vertical="center"/>
    </xf>
    <xf numFmtId="0" fontId="18" fillId="0" borderId="81" xfId="25" applyFont="1" applyBorder="1" applyAlignment="1">
      <alignment horizontal="center" vertical="center"/>
    </xf>
    <xf numFmtId="0" fontId="18" fillId="0" borderId="82" xfId="25" applyFont="1" applyBorder="1" applyAlignment="1">
      <alignment horizontal="center" vertical="center"/>
    </xf>
    <xf numFmtId="0" fontId="18" fillId="15" borderId="80" xfId="24" applyFont="1" applyBorder="1" applyAlignment="1">
      <alignment horizontal="center" vertical="center"/>
    </xf>
    <xf numFmtId="0" fontId="18" fillId="0" borderId="22" xfId="17" applyFont="1" applyBorder="1" applyAlignment="1">
      <alignment horizontal="center" vertical="center"/>
    </xf>
    <xf numFmtId="0" fontId="18" fillId="0" borderId="23" xfId="17" applyFont="1" applyBorder="1">
      <alignment vertical="center"/>
    </xf>
    <xf numFmtId="185" fontId="18" fillId="0" borderId="24" xfId="17" applyNumberFormat="1" applyFont="1" applyBorder="1">
      <alignment vertical="center"/>
    </xf>
    <xf numFmtId="190" fontId="18" fillId="0" borderId="0" xfId="17" applyNumberFormat="1" applyFont="1">
      <alignment vertical="center"/>
    </xf>
    <xf numFmtId="0" fontId="18" fillId="0" borderId="36" xfId="17" applyFont="1" applyBorder="1" applyAlignment="1">
      <alignment horizontal="center" vertical="center"/>
    </xf>
    <xf numFmtId="0" fontId="18" fillId="0" borderId="38" xfId="17" applyFont="1" applyBorder="1">
      <alignment vertical="center"/>
    </xf>
    <xf numFmtId="0" fontId="18" fillId="0" borderId="39" xfId="17" applyFont="1" applyBorder="1">
      <alignment vertical="center"/>
    </xf>
    <xf numFmtId="10" fontId="18" fillId="0" borderId="40" xfId="17" applyNumberFormat="1" applyFont="1" applyBorder="1">
      <alignment vertical="center"/>
    </xf>
    <xf numFmtId="10" fontId="18" fillId="0" borderId="0" xfId="17" applyNumberFormat="1" applyFont="1">
      <alignment vertical="center"/>
    </xf>
    <xf numFmtId="0" fontId="31" fillId="4" borderId="9" xfId="16" applyFont="1" applyFill="1" applyBorder="1" applyAlignment="1">
      <alignment horizontal="center" vertical="center"/>
    </xf>
    <xf numFmtId="186" fontId="32" fillId="4" borderId="10" xfId="16" applyNumberFormat="1" applyFont="1" applyFill="1" applyBorder="1">
      <alignment vertical="center"/>
    </xf>
    <xf numFmtId="0" fontId="18" fillId="4" borderId="11" xfId="16" applyFont="1" applyFill="1" applyBorder="1">
      <alignment vertical="center"/>
    </xf>
    <xf numFmtId="186" fontId="18" fillId="0" borderId="0" xfId="17" applyNumberFormat="1" applyFont="1">
      <alignment vertical="center"/>
    </xf>
    <xf numFmtId="0" fontId="18" fillId="4" borderId="33" xfId="16" applyFont="1" applyFill="1" applyBorder="1">
      <alignment vertical="center"/>
    </xf>
    <xf numFmtId="187" fontId="32" fillId="4" borderId="34" xfId="16" applyNumberFormat="1" applyFont="1" applyFill="1" applyBorder="1">
      <alignment vertical="center"/>
    </xf>
    <xf numFmtId="0" fontId="18" fillId="4" borderId="35" xfId="16" applyFont="1" applyFill="1" applyBorder="1">
      <alignment vertical="center"/>
    </xf>
    <xf numFmtId="0" fontId="31" fillId="4" borderId="9" xfId="17" applyFont="1" applyFill="1" applyBorder="1" applyAlignment="1">
      <alignment horizontal="center" vertical="center"/>
    </xf>
    <xf numFmtId="186" fontId="32" fillId="4" borderId="10" xfId="17" applyNumberFormat="1" applyFont="1" applyFill="1" applyBorder="1">
      <alignment vertical="center"/>
    </xf>
    <xf numFmtId="0" fontId="18" fillId="4" borderId="11" xfId="17" applyFont="1" applyFill="1" applyBorder="1">
      <alignment vertical="center"/>
    </xf>
    <xf numFmtId="0" fontId="18" fillId="4" borderId="12" xfId="17" applyFont="1" applyFill="1" applyBorder="1">
      <alignment vertical="center"/>
    </xf>
    <xf numFmtId="186" fontId="32" fillId="4" borderId="5" xfId="17" applyNumberFormat="1" applyFont="1" applyFill="1" applyBorder="1">
      <alignment vertical="center"/>
    </xf>
    <xf numFmtId="0" fontId="18" fillId="4" borderId="13" xfId="17" applyFont="1" applyFill="1" applyBorder="1">
      <alignment vertical="center"/>
    </xf>
    <xf numFmtId="0" fontId="18" fillId="7" borderId="31" xfId="17" applyFont="1" applyFill="1" applyBorder="1" applyAlignment="1">
      <alignment horizontal="center" vertical="center"/>
    </xf>
    <xf numFmtId="189" fontId="18" fillId="7" borderId="32" xfId="17" applyNumberFormat="1" applyFont="1" applyFill="1" applyBorder="1">
      <alignment vertical="center"/>
    </xf>
    <xf numFmtId="0" fontId="18" fillId="7" borderId="25" xfId="17" applyFont="1" applyFill="1" applyBorder="1">
      <alignment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0" fontId="27" fillId="4" borderId="54" xfId="0" applyFont="1" applyFill="1" applyBorder="1" applyAlignment="1">
      <alignment horizontal="center" vertical="center"/>
    </xf>
    <xf numFmtId="192" fontId="27" fillId="4" borderId="50" xfId="0" applyNumberFormat="1" applyFont="1" applyFill="1" applyBorder="1" applyAlignment="1">
      <alignment horizontal="center" vertical="center"/>
    </xf>
    <xf numFmtId="192" fontId="25" fillId="4" borderId="0" xfId="0" applyNumberFormat="1" applyFont="1" applyFill="1" applyAlignment="1">
      <alignment horizontal="center" vertical="center"/>
    </xf>
    <xf numFmtId="0" fontId="25" fillId="4" borderId="54" xfId="0" applyFont="1" applyFill="1" applyBorder="1" applyAlignment="1">
      <alignment horizontal="center" vertical="center"/>
    </xf>
    <xf numFmtId="185" fontId="25" fillId="4" borderId="50" xfId="0" applyNumberFormat="1" applyFont="1" applyFill="1" applyBorder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85" fontId="25" fillId="4" borderId="0" xfId="0" applyNumberFormat="1" applyFont="1" applyFill="1" applyAlignment="1">
      <alignment horizontal="center" vertical="center"/>
    </xf>
    <xf numFmtId="0" fontId="25" fillId="17" borderId="65" xfId="0" applyFont="1" applyFill="1" applyBorder="1" applyAlignment="1">
      <alignment horizontal="center" vertical="center"/>
    </xf>
    <xf numFmtId="0" fontId="25" fillId="17" borderId="66" xfId="0" applyFont="1" applyFill="1" applyBorder="1" applyAlignment="1">
      <alignment horizontal="center" vertical="center"/>
    </xf>
    <xf numFmtId="0" fontId="25" fillId="17" borderId="26" xfId="0" applyFont="1" applyFill="1" applyBorder="1" applyAlignment="1">
      <alignment horizontal="center" vertical="center"/>
    </xf>
    <xf numFmtId="192" fontId="25" fillId="0" borderId="83" xfId="0" applyNumberFormat="1" applyFont="1" applyBorder="1" applyAlignment="1">
      <alignment horizontal="center" vertical="center"/>
    </xf>
    <xf numFmtId="185" fontId="25" fillId="0" borderId="85" xfId="0" applyNumberFormat="1" applyFont="1" applyBorder="1" applyAlignment="1">
      <alignment horizontal="center" vertical="center"/>
    </xf>
    <xf numFmtId="193" fontId="25" fillId="0" borderId="84" xfId="0" applyNumberFormat="1" applyFont="1" applyBorder="1" applyAlignment="1">
      <alignment horizontal="center" vertical="center"/>
    </xf>
    <xf numFmtId="187" fontId="25" fillId="0" borderId="83" xfId="0" applyNumberFormat="1" applyFont="1" applyBorder="1" applyAlignment="1">
      <alignment horizontal="center" vertical="center"/>
    </xf>
    <xf numFmtId="192" fontId="25" fillId="0" borderId="65" xfId="0" applyNumberFormat="1" applyFont="1" applyBorder="1" applyAlignment="1">
      <alignment horizontal="center" vertical="center"/>
    </xf>
    <xf numFmtId="185" fontId="25" fillId="0" borderId="26" xfId="0" applyNumberFormat="1" applyFont="1" applyBorder="1" applyAlignment="1">
      <alignment horizontal="center" vertical="center"/>
    </xf>
    <xf numFmtId="193" fontId="25" fillId="0" borderId="66" xfId="0" applyNumberFormat="1" applyFont="1" applyBorder="1" applyAlignment="1">
      <alignment horizontal="center" vertical="center"/>
    </xf>
    <xf numFmtId="192" fontId="25" fillId="0" borderId="67" xfId="0" applyNumberFormat="1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185" fontId="25" fillId="0" borderId="68" xfId="0" applyNumberFormat="1" applyFont="1" applyBorder="1" applyAlignment="1">
      <alignment horizontal="center" vertical="center"/>
    </xf>
    <xf numFmtId="193" fontId="25" fillId="0" borderId="69" xfId="0" applyNumberFormat="1" applyFont="1" applyBorder="1" applyAlignment="1">
      <alignment horizontal="center" vertical="center"/>
    </xf>
    <xf numFmtId="187" fontId="25" fillId="0" borderId="86" xfId="0" applyNumberFormat="1" applyFont="1" applyBorder="1" applyAlignment="1">
      <alignment horizontal="center" vertical="center"/>
    </xf>
    <xf numFmtId="185" fontId="25" fillId="0" borderId="56" xfId="0" applyNumberFormat="1" applyFont="1" applyBorder="1" applyAlignment="1">
      <alignment horizontal="center" vertical="center"/>
    </xf>
    <xf numFmtId="0" fontId="25" fillId="17" borderId="65" xfId="0" applyFont="1" applyFill="1" applyBorder="1" applyAlignment="1">
      <alignment horizontal="center" vertical="center"/>
    </xf>
    <xf numFmtId="0" fontId="25" fillId="17" borderId="66" xfId="0" applyFont="1" applyFill="1" applyBorder="1" applyAlignment="1">
      <alignment horizontal="center" vertical="center"/>
    </xf>
    <xf numFmtId="2" fontId="25" fillId="17" borderId="66" xfId="0" applyNumberFormat="1" applyFont="1" applyFill="1" applyBorder="1" applyAlignment="1">
      <alignment horizontal="center" vertical="center"/>
    </xf>
    <xf numFmtId="0" fontId="25" fillId="17" borderId="73" xfId="0" applyFont="1" applyFill="1" applyBorder="1" applyAlignment="1">
      <alignment horizontal="center" vertical="center"/>
    </xf>
    <xf numFmtId="0" fontId="25" fillId="17" borderId="28" xfId="0" applyFont="1" applyFill="1" applyBorder="1" applyAlignment="1">
      <alignment horizontal="center" vertical="center"/>
    </xf>
    <xf numFmtId="0" fontId="25" fillId="17" borderId="74" xfId="0" applyFont="1" applyFill="1" applyBorder="1" applyAlignment="1">
      <alignment horizontal="center" vertical="center"/>
    </xf>
    <xf numFmtId="189" fontId="25" fillId="0" borderId="65" xfId="0" applyNumberFormat="1" applyFont="1" applyBorder="1" applyAlignment="1">
      <alignment horizontal="center" vertical="center"/>
    </xf>
    <xf numFmtId="2" fontId="25" fillId="0" borderId="66" xfId="0" applyNumberFormat="1" applyFont="1" applyBorder="1" applyAlignment="1">
      <alignment horizontal="center" vertical="center"/>
    </xf>
    <xf numFmtId="189" fontId="25" fillId="0" borderId="83" xfId="0" applyNumberFormat="1" applyFont="1" applyBorder="1" applyAlignment="1">
      <alignment horizontal="center" vertical="center"/>
    </xf>
    <xf numFmtId="2" fontId="25" fillId="0" borderId="84" xfId="0" applyNumberFormat="1" applyFont="1" applyBorder="1" applyAlignment="1">
      <alignment horizontal="center" vertical="center"/>
    </xf>
    <xf numFmtId="189" fontId="25" fillId="0" borderId="73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2" fontId="25" fillId="0" borderId="82" xfId="0" applyNumberFormat="1" applyFont="1" applyBorder="1" applyAlignment="1">
      <alignment horizontal="center" vertical="center"/>
    </xf>
    <xf numFmtId="0" fontId="25" fillId="17" borderId="27" xfId="0" applyFont="1" applyFill="1" applyBorder="1" applyAlignment="1">
      <alignment horizontal="center" vertical="center"/>
    </xf>
    <xf numFmtId="187" fontId="25" fillId="0" borderId="29" xfId="0" applyNumberFormat="1" applyFont="1" applyBorder="1" applyAlignment="1">
      <alignment horizontal="center" vertical="center"/>
    </xf>
    <xf numFmtId="193" fontId="25" fillId="0" borderId="87" xfId="0" applyNumberFormat="1" applyFont="1" applyBorder="1" applyAlignment="1">
      <alignment horizontal="center" vertical="center"/>
    </xf>
    <xf numFmtId="187" fontId="25" fillId="0" borderId="55" xfId="0" applyNumberFormat="1" applyFont="1" applyBorder="1" applyAlignment="1">
      <alignment horizontal="center" vertical="center"/>
    </xf>
    <xf numFmtId="0" fontId="25" fillId="17" borderId="30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192" fontId="25" fillId="4" borderId="50" xfId="0" applyNumberFormat="1" applyFont="1" applyFill="1" applyBorder="1" applyAlignment="1">
      <alignment horizontal="center" vertical="center"/>
    </xf>
    <xf numFmtId="40" fontId="25" fillId="4" borderId="0" xfId="0" applyNumberFormat="1" applyFont="1" applyFill="1" applyAlignment="1">
      <alignment horizontal="center" vertical="center"/>
    </xf>
    <xf numFmtId="198" fontId="25" fillId="0" borderId="83" xfId="0" applyNumberFormat="1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38" fontId="25" fillId="0" borderId="85" xfId="0" applyNumberFormat="1" applyFont="1" applyBorder="1" applyAlignment="1">
      <alignment horizontal="center" vertical="center"/>
    </xf>
    <xf numFmtId="198" fontId="25" fillId="0" borderId="65" xfId="0" applyNumberFormat="1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38" fontId="25" fillId="0" borderId="26" xfId="0" applyNumberFormat="1" applyFont="1" applyBorder="1" applyAlignment="1">
      <alignment horizontal="center" vertical="center"/>
    </xf>
    <xf numFmtId="189" fontId="25" fillId="0" borderId="27" xfId="0" applyNumberFormat="1" applyFont="1" applyBorder="1" applyAlignment="1">
      <alignment horizontal="center" vertical="center"/>
    </xf>
    <xf numFmtId="0" fontId="3" fillId="0" borderId="0" xfId="22" applyFill="1" applyAlignment="1">
      <alignment horizontal="center" vertical="center"/>
    </xf>
    <xf numFmtId="190" fontId="29" fillId="16" borderId="70" xfId="18" applyNumberFormat="1" applyFont="1" applyFill="1" applyBorder="1" applyAlignment="1">
      <alignment horizontal="center" vertical="center"/>
    </xf>
    <xf numFmtId="190" fontId="29" fillId="16" borderId="71" xfId="18" applyNumberFormat="1" applyFont="1" applyFill="1" applyBorder="1" applyAlignment="1">
      <alignment horizontal="center" vertical="center"/>
    </xf>
    <xf numFmtId="190" fontId="29" fillId="16" borderId="72" xfId="18" applyNumberFormat="1" applyFont="1" applyFill="1" applyBorder="1" applyAlignment="1">
      <alignment horizontal="center" vertical="center"/>
    </xf>
    <xf numFmtId="190" fontId="29" fillId="16" borderId="75" xfId="18" applyNumberFormat="1" applyFont="1" applyFill="1" applyBorder="1" applyAlignment="1">
      <alignment horizontal="center" vertical="center"/>
    </xf>
    <xf numFmtId="0" fontId="35" fillId="18" borderId="65" xfId="26" applyBorder="1" applyAlignment="1">
      <alignment horizontal="center" vertical="center"/>
    </xf>
    <xf numFmtId="0" fontId="35" fillId="18" borderId="26" xfId="26" applyBorder="1" applyAlignment="1">
      <alignment horizontal="center" vertical="center"/>
    </xf>
    <xf numFmtId="0" fontId="35" fillId="18" borderId="66" xfId="26" applyBorder="1" applyAlignment="1">
      <alignment horizontal="center" vertical="center"/>
    </xf>
    <xf numFmtId="0" fontId="35" fillId="18" borderId="73" xfId="26" applyBorder="1" applyAlignment="1">
      <alignment horizontal="center" vertical="center"/>
    </xf>
    <xf numFmtId="0" fontId="35" fillId="18" borderId="28" xfId="26" applyBorder="1" applyAlignment="1">
      <alignment horizontal="center" vertical="center"/>
    </xf>
    <xf numFmtId="0" fontId="35" fillId="18" borderId="74" xfId="26" applyBorder="1" applyAlignment="1">
      <alignment horizontal="center" vertical="center"/>
    </xf>
    <xf numFmtId="0" fontId="19" fillId="10" borderId="44" xfId="19" applyNumberFormat="1" applyFont="1" applyFill="1" applyBorder="1" applyAlignment="1">
      <alignment horizontal="center" vertical="center"/>
    </xf>
    <xf numFmtId="0" fontId="19" fillId="0" borderId="41" xfId="19" applyFont="1" applyBorder="1" applyAlignment="1">
      <alignment horizontal="center" vertical="center"/>
    </xf>
    <xf numFmtId="0" fontId="19" fillId="11" borderId="11" xfId="19" applyFont="1" applyFill="1" applyBorder="1" applyAlignment="1">
      <alignment horizontal="center" vertical="center"/>
    </xf>
    <xf numFmtId="0" fontId="19" fillId="10" borderId="11" xfId="19" applyFont="1" applyFill="1" applyBorder="1" applyAlignment="1">
      <alignment horizontal="center" vertical="center"/>
    </xf>
    <xf numFmtId="197" fontId="25" fillId="0" borderId="0" xfId="17" applyNumberFormat="1" applyFont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66" xfId="0" applyFont="1" applyBorder="1" applyAlignment="1">
      <alignment horizontal="center" vertical="center"/>
    </xf>
    <xf numFmtId="0" fontId="19" fillId="8" borderId="49" xfId="19" applyFont="1" applyFill="1" applyBorder="1" applyAlignment="1">
      <alignment horizontal="center" vertical="center" wrapText="1"/>
    </xf>
    <xf numFmtId="0" fontId="31" fillId="0" borderId="27" xfId="25" applyFont="1" applyBorder="1" applyAlignment="1">
      <alignment horizontal="center" vertical="center"/>
    </xf>
    <xf numFmtId="17" fontId="36" fillId="0" borderId="26" xfId="0" applyNumberFormat="1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/>
    </xf>
    <xf numFmtId="176" fontId="36" fillId="0" borderId="26" xfId="21" applyFont="1" applyBorder="1">
      <alignment vertical="center"/>
    </xf>
    <xf numFmtId="0" fontId="18" fillId="0" borderId="26" xfId="25" applyFont="1" applyFill="1" applyBorder="1" applyAlignment="1">
      <alignment horizontal="center" vertical="center"/>
    </xf>
    <xf numFmtId="0" fontId="18" fillId="3" borderId="0" xfId="17" applyFont="1" applyFill="1">
      <alignment vertical="center"/>
    </xf>
    <xf numFmtId="0" fontId="18" fillId="3" borderId="26" xfId="25" applyFont="1" applyFill="1" applyBorder="1" applyAlignment="1">
      <alignment horizontal="center" vertical="center"/>
    </xf>
    <xf numFmtId="0" fontId="18" fillId="0" borderId="65" xfId="17" applyFont="1" applyBorder="1" applyAlignment="1">
      <alignment horizontal="center" vertical="center"/>
    </xf>
    <xf numFmtId="0" fontId="18" fillId="0" borderId="66" xfId="17" applyFont="1" applyBorder="1" applyAlignment="1">
      <alignment horizontal="center" vertical="center"/>
    </xf>
    <xf numFmtId="0" fontId="18" fillId="0" borderId="73" xfId="17" applyFont="1" applyBorder="1" applyAlignment="1">
      <alignment horizontal="center" vertical="center"/>
    </xf>
    <xf numFmtId="0" fontId="18" fillId="0" borderId="74" xfId="17" applyFont="1" applyBorder="1" applyAlignment="1">
      <alignment horizontal="center" vertical="center"/>
    </xf>
    <xf numFmtId="0" fontId="18" fillId="19" borderId="70" xfId="17" applyFont="1" applyFill="1" applyBorder="1" applyAlignment="1">
      <alignment horizontal="center" vertical="center"/>
    </xf>
    <xf numFmtId="0" fontId="18" fillId="19" borderId="72" xfId="17" applyFont="1" applyFill="1" applyBorder="1" applyAlignment="1">
      <alignment horizontal="center" vertical="center"/>
    </xf>
    <xf numFmtId="0" fontId="18" fillId="0" borderId="65" xfId="25" applyFont="1" applyFill="1" applyBorder="1" applyAlignment="1">
      <alignment horizontal="center" vertical="center"/>
    </xf>
    <xf numFmtId="0" fontId="18" fillId="0" borderId="66" xfId="25" applyFont="1" applyFill="1" applyBorder="1" applyAlignment="1">
      <alignment horizontal="center" vertical="center"/>
    </xf>
    <xf numFmtId="0" fontId="18" fillId="3" borderId="65" xfId="25" applyFont="1" applyFill="1" applyBorder="1" applyAlignment="1">
      <alignment horizontal="center" vertical="center"/>
    </xf>
    <xf numFmtId="0" fontId="18" fillId="3" borderId="66" xfId="25" applyFont="1" applyFill="1" applyBorder="1" applyAlignment="1">
      <alignment horizontal="center" vertical="center"/>
    </xf>
    <xf numFmtId="0" fontId="18" fillId="16" borderId="73" xfId="25" applyFont="1" applyFill="1" applyBorder="1" applyAlignment="1">
      <alignment horizontal="center" vertical="center"/>
    </xf>
    <xf numFmtId="0" fontId="31" fillId="0" borderId="74" xfId="25" applyFont="1" applyBorder="1" applyAlignment="1">
      <alignment horizontal="center" vertical="center"/>
    </xf>
    <xf numFmtId="0" fontId="31" fillId="13" borderId="27" xfId="23" applyFont="1" applyBorder="1" applyAlignment="1">
      <alignment horizontal="center" vertical="center"/>
    </xf>
    <xf numFmtId="0" fontId="31" fillId="0" borderId="75" xfId="25" applyFont="1" applyBorder="1" applyAlignment="1">
      <alignment horizontal="center" vertical="center"/>
    </xf>
    <xf numFmtId="0" fontId="39" fillId="20" borderId="0" xfId="19" applyFont="1" applyFill="1" applyAlignment="1">
      <alignment horizontal="center" vertical="center"/>
    </xf>
    <xf numFmtId="0" fontId="31" fillId="0" borderId="30" xfId="25" applyFont="1" applyBorder="1" applyAlignment="1">
      <alignment horizontal="center" vertical="center"/>
    </xf>
    <xf numFmtId="0" fontId="21" fillId="3" borderId="12" xfId="19" applyFont="1" applyFill="1" applyBorder="1">
      <alignment vertical="center"/>
    </xf>
    <xf numFmtId="0" fontId="21" fillId="3" borderId="5" xfId="19" applyFont="1" applyFill="1" applyBorder="1">
      <alignment vertical="center"/>
    </xf>
    <xf numFmtId="0" fontId="31" fillId="17" borderId="78" xfId="25" applyFont="1" applyFill="1" applyBorder="1" applyAlignment="1">
      <alignment horizontal="center" vertical="center"/>
    </xf>
    <xf numFmtId="185" fontId="31" fillId="0" borderId="37" xfId="17" applyNumberFormat="1" applyFont="1" applyBorder="1">
      <alignment vertical="center"/>
    </xf>
    <xf numFmtId="0" fontId="36" fillId="0" borderId="27" xfId="0" applyFont="1" applyBorder="1" applyAlignment="1">
      <alignment horizontal="center" vertical="center"/>
    </xf>
    <xf numFmtId="199" fontId="25" fillId="0" borderId="62" xfId="0" applyNumberFormat="1" applyFont="1" applyBorder="1" applyAlignment="1">
      <alignment horizontal="center" vertical="center"/>
    </xf>
    <xf numFmtId="199" fontId="25" fillId="0" borderId="65" xfId="0" applyNumberFormat="1" applyFont="1" applyBorder="1" applyAlignment="1">
      <alignment horizontal="center" vertical="center"/>
    </xf>
    <xf numFmtId="199" fontId="25" fillId="0" borderId="67" xfId="0" applyNumberFormat="1" applyFont="1" applyBorder="1" applyAlignment="1">
      <alignment horizontal="center" vertical="center"/>
    </xf>
    <xf numFmtId="200" fontId="25" fillId="0" borderId="63" xfId="18" applyNumberFormat="1" applyFont="1" applyBorder="1">
      <alignment vertical="center"/>
    </xf>
    <xf numFmtId="200" fontId="25" fillId="0" borderId="64" xfId="18" applyNumberFormat="1" applyFont="1" applyBorder="1">
      <alignment vertical="center"/>
    </xf>
    <xf numFmtId="200" fontId="25" fillId="0" borderId="26" xfId="18" applyNumberFormat="1" applyFont="1" applyBorder="1">
      <alignment vertical="center"/>
    </xf>
    <xf numFmtId="200" fontId="25" fillId="0" borderId="66" xfId="18" applyNumberFormat="1" applyFont="1" applyBorder="1">
      <alignment vertical="center"/>
    </xf>
    <xf numFmtId="200" fontId="25" fillId="0" borderId="68" xfId="18" applyNumberFormat="1" applyFont="1" applyBorder="1">
      <alignment vertical="center"/>
    </xf>
    <xf numFmtId="200" fontId="25" fillId="0" borderId="69" xfId="18" applyNumberFormat="1" applyFont="1" applyBorder="1">
      <alignment vertical="center"/>
    </xf>
    <xf numFmtId="199" fontId="25" fillId="0" borderId="65" xfId="18" applyNumberFormat="1" applyFont="1" applyBorder="1" applyAlignment="1">
      <alignment horizontal="center" vertical="center"/>
    </xf>
    <xf numFmtId="189" fontId="25" fillId="0" borderId="71" xfId="18" applyNumberFormat="1" applyFont="1" applyBorder="1">
      <alignment vertical="center"/>
    </xf>
    <xf numFmtId="189" fontId="25" fillId="0" borderId="72" xfId="18" applyNumberFormat="1" applyFont="1" applyBorder="1">
      <alignment vertical="center"/>
    </xf>
    <xf numFmtId="189" fontId="25" fillId="0" borderId="26" xfId="18" applyNumberFormat="1" applyFont="1" applyBorder="1">
      <alignment vertical="center"/>
    </xf>
    <xf numFmtId="189" fontId="25" fillId="0" borderId="66" xfId="18" applyNumberFormat="1" applyFont="1" applyBorder="1">
      <alignment vertical="center"/>
    </xf>
    <xf numFmtId="189" fontId="25" fillId="0" borderId="28" xfId="18" applyNumberFormat="1" applyFont="1" applyBorder="1">
      <alignment vertical="center"/>
    </xf>
    <xf numFmtId="189" fontId="25" fillId="0" borderId="74" xfId="18" applyNumberFormat="1" applyFont="1" applyBorder="1">
      <alignment vertical="center"/>
    </xf>
    <xf numFmtId="200" fontId="25" fillId="0" borderId="71" xfId="0" applyNumberFormat="1" applyFont="1" applyBorder="1" applyAlignment="1">
      <alignment vertical="center"/>
    </xf>
    <xf numFmtId="200" fontId="25" fillId="0" borderId="72" xfId="0" applyNumberFormat="1" applyFont="1" applyBorder="1" applyAlignment="1">
      <alignment vertical="center"/>
    </xf>
    <xf numFmtId="200" fontId="25" fillId="0" borderId="26" xfId="0" applyNumberFormat="1" applyFont="1" applyBorder="1" applyAlignment="1">
      <alignment vertical="center"/>
    </xf>
    <xf numFmtId="200" fontId="25" fillId="0" borderId="66" xfId="0" applyNumberFormat="1" applyFont="1" applyBorder="1" applyAlignment="1">
      <alignment vertical="center"/>
    </xf>
    <xf numFmtId="200" fontId="25" fillId="0" borderId="28" xfId="0" applyNumberFormat="1" applyFont="1" applyBorder="1" applyAlignment="1">
      <alignment vertical="center"/>
    </xf>
    <xf numFmtId="200" fontId="25" fillId="0" borderId="74" xfId="0" applyNumberFormat="1" applyFont="1" applyBorder="1" applyAlignment="1">
      <alignment vertical="center"/>
    </xf>
    <xf numFmtId="0" fontId="25" fillId="0" borderId="26" xfId="0" applyFont="1" applyBorder="1" applyAlignment="1">
      <alignment vertical="center"/>
    </xf>
    <xf numFmtId="0" fontId="25" fillId="0" borderId="27" xfId="0" applyFont="1" applyBorder="1" applyAlignment="1">
      <alignment vertical="center"/>
    </xf>
    <xf numFmtId="0" fontId="19" fillId="5" borderId="11" xfId="19" applyFont="1" applyFill="1" applyBorder="1" applyAlignment="1">
      <alignment horizontal="center" vertical="center"/>
    </xf>
    <xf numFmtId="186" fontId="21" fillId="5" borderId="35" xfId="19" applyNumberFormat="1" applyFont="1" applyFill="1" applyBorder="1">
      <alignment vertical="center"/>
    </xf>
    <xf numFmtId="0" fontId="0" fillId="0" borderId="90" xfId="0" applyBorder="1"/>
    <xf numFmtId="0" fontId="0" fillId="0" borderId="19" xfId="0" applyBorder="1"/>
    <xf numFmtId="0" fontId="0" fillId="0" borderId="18" xfId="0" applyBorder="1"/>
    <xf numFmtId="0" fontId="40" fillId="0" borderId="91" xfId="0" applyFont="1" applyBorder="1" applyAlignment="1">
      <alignment horizontal="right" vertical="center"/>
    </xf>
    <xf numFmtId="0" fontId="40" fillId="0" borderId="20" xfId="0" applyFont="1" applyBorder="1" applyAlignment="1">
      <alignment horizontal="right" vertical="center"/>
    </xf>
    <xf numFmtId="0" fontId="43" fillId="0" borderId="92" xfId="0" applyFont="1" applyBorder="1" applyAlignment="1">
      <alignment horizontal="right" vertical="center"/>
    </xf>
    <xf numFmtId="0" fontId="43" fillId="0" borderId="93" xfId="0" applyFont="1" applyBorder="1" applyAlignment="1">
      <alignment horizontal="right" vertical="center"/>
    </xf>
    <xf numFmtId="0" fontId="43" fillId="0" borderId="94" xfId="0" applyFont="1" applyBorder="1" applyAlignment="1">
      <alignment horizontal="right" vertical="center"/>
    </xf>
    <xf numFmtId="0" fontId="42" fillId="22" borderId="95" xfId="0" applyFont="1" applyFill="1" applyBorder="1" applyAlignment="1">
      <alignment horizontal="right" vertical="center"/>
    </xf>
    <xf numFmtId="0" fontId="42" fillId="22" borderId="96" xfId="0" applyFont="1" applyFill="1" applyBorder="1" applyAlignment="1">
      <alignment horizontal="right" vertical="center"/>
    </xf>
    <xf numFmtId="0" fontId="42" fillId="22" borderId="97" xfId="0" applyFont="1" applyFill="1" applyBorder="1" applyAlignment="1">
      <alignment horizontal="right" vertical="center"/>
    </xf>
    <xf numFmtId="0" fontId="40" fillId="22" borderId="95" xfId="0" applyFont="1" applyFill="1" applyBorder="1" applyAlignment="1">
      <alignment horizontal="right" vertical="center"/>
    </xf>
    <xf numFmtId="0" fontId="40" fillId="22" borderId="96" xfId="0" applyFont="1" applyFill="1" applyBorder="1" applyAlignment="1">
      <alignment horizontal="right" vertical="center"/>
    </xf>
    <xf numFmtId="0" fontId="40" fillId="22" borderId="97" xfId="0" applyFont="1" applyFill="1" applyBorder="1" applyAlignment="1">
      <alignment horizontal="right" vertical="center"/>
    </xf>
    <xf numFmtId="0" fontId="40" fillId="0" borderId="95" xfId="0" applyFont="1" applyBorder="1" applyAlignment="1">
      <alignment horizontal="right" vertical="center"/>
    </xf>
    <xf numFmtId="0" fontId="40" fillId="0" borderId="96" xfId="0" applyFont="1" applyBorder="1" applyAlignment="1">
      <alignment horizontal="right" vertical="center"/>
    </xf>
    <xf numFmtId="0" fontId="40" fillId="0" borderId="97" xfId="0" applyFont="1" applyBorder="1" applyAlignment="1">
      <alignment horizontal="right" vertical="center"/>
    </xf>
    <xf numFmtId="0" fontId="42" fillId="0" borderId="95" xfId="0" applyFont="1" applyBorder="1" applyAlignment="1">
      <alignment horizontal="right" vertical="center"/>
    </xf>
    <xf numFmtId="0" fontId="42" fillId="0" borderId="96" xfId="0" applyFont="1" applyBorder="1" applyAlignment="1">
      <alignment horizontal="right" vertical="center"/>
    </xf>
    <xf numFmtId="0" fontId="42" fillId="0" borderId="97" xfId="0" applyFont="1" applyBorder="1" applyAlignment="1">
      <alignment horizontal="right" vertical="center"/>
    </xf>
    <xf numFmtId="2" fontId="40" fillId="0" borderId="95" xfId="0" applyNumberFormat="1" applyFont="1" applyBorder="1" applyAlignment="1">
      <alignment horizontal="right" vertical="center"/>
    </xf>
    <xf numFmtId="2" fontId="40" fillId="0" borderId="96" xfId="0" applyNumberFormat="1" applyFont="1" applyBorder="1" applyAlignment="1">
      <alignment horizontal="right" vertical="center"/>
    </xf>
    <xf numFmtId="2" fontId="40" fillId="0" borderId="97" xfId="0" applyNumberFormat="1" applyFont="1" applyBorder="1" applyAlignment="1">
      <alignment horizontal="right" vertical="center"/>
    </xf>
    <xf numFmtId="0" fontId="44" fillId="23" borderId="98" xfId="0" applyFont="1" applyFill="1" applyBorder="1" applyAlignment="1">
      <alignment horizontal="right" vertical="center"/>
    </xf>
    <xf numFmtId="0" fontId="44" fillId="23" borderId="99" xfId="0" applyFont="1" applyFill="1" applyBorder="1" applyAlignment="1">
      <alignment horizontal="right" vertical="center"/>
    </xf>
    <xf numFmtId="0" fontId="44" fillId="23" borderId="100" xfId="0" applyFont="1" applyFill="1" applyBorder="1" applyAlignment="1">
      <alignment horizontal="right" vertical="center"/>
    </xf>
    <xf numFmtId="0" fontId="43" fillId="0" borderId="98" xfId="0" applyFont="1" applyBorder="1" applyAlignment="1">
      <alignment horizontal="right" vertical="center"/>
    </xf>
    <xf numFmtId="0" fontId="43" fillId="0" borderId="99" xfId="0" applyFont="1" applyBorder="1" applyAlignment="1">
      <alignment horizontal="right" vertical="center"/>
    </xf>
    <xf numFmtId="0" fontId="43" fillId="0" borderId="100" xfId="0" applyFont="1" applyBorder="1" applyAlignment="1">
      <alignment horizontal="right" vertical="center"/>
    </xf>
    <xf numFmtId="0" fontId="45" fillId="0" borderId="101" xfId="0" applyFont="1" applyBorder="1" applyAlignment="1">
      <alignment horizontal="center" vertical="center"/>
    </xf>
    <xf numFmtId="0" fontId="45" fillId="22" borderId="102" xfId="0" applyFont="1" applyFill="1" applyBorder="1" applyAlignment="1">
      <alignment horizontal="center" vertical="center"/>
    </xf>
    <xf numFmtId="0" fontId="45" fillId="0" borderId="102" xfId="0" applyFont="1" applyBorder="1" applyAlignment="1">
      <alignment horizontal="center" vertical="center"/>
    </xf>
    <xf numFmtId="0" fontId="45" fillId="0" borderId="103" xfId="0" applyFont="1" applyBorder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186" fontId="46" fillId="11" borderId="35" xfId="19" applyNumberFormat="1" applyFont="1" applyFill="1" applyBorder="1">
      <alignment vertical="center"/>
    </xf>
    <xf numFmtId="186" fontId="46" fillId="10" borderId="35" xfId="19" applyNumberFormat="1" applyFont="1" applyFill="1" applyBorder="1">
      <alignment vertical="center"/>
    </xf>
    <xf numFmtId="0" fontId="15" fillId="14" borderId="44" xfId="19" applyNumberFormat="1" applyFont="1" applyFill="1" applyBorder="1" applyAlignment="1">
      <alignment horizontal="center" vertical="center"/>
    </xf>
    <xf numFmtId="0" fontId="48" fillId="9" borderId="51" xfId="19" applyFont="1" applyFill="1" applyBorder="1" applyAlignment="1">
      <alignment horizontal="center" vertical="center" wrapText="1"/>
    </xf>
    <xf numFmtId="0" fontId="48" fillId="9" borderId="48" xfId="19" applyFont="1" applyFill="1" applyBorder="1" applyAlignment="1">
      <alignment horizontal="center" vertical="center" wrapText="1"/>
    </xf>
    <xf numFmtId="0" fontId="48" fillId="9" borderId="49" xfId="19" applyFont="1" applyFill="1" applyBorder="1" applyAlignment="1">
      <alignment horizontal="center" vertical="center" wrapText="1"/>
    </xf>
    <xf numFmtId="189" fontId="32" fillId="0" borderId="49" xfId="19" applyNumberFormat="1" applyFont="1" applyBorder="1" applyAlignment="1">
      <alignment horizontal="center" vertical="center"/>
    </xf>
    <xf numFmtId="0" fontId="25" fillId="0" borderId="65" xfId="17" applyFont="1" applyBorder="1" applyAlignment="1">
      <alignment horizontal="center" vertical="center"/>
    </xf>
    <xf numFmtId="195" fontId="25" fillId="0" borderId="66" xfId="17" applyNumberFormat="1" applyFont="1" applyBorder="1" applyAlignment="1">
      <alignment horizontal="center" vertical="center"/>
    </xf>
    <xf numFmtId="0" fontId="25" fillId="0" borderId="73" xfId="17" applyFont="1" applyBorder="1" applyAlignment="1">
      <alignment horizontal="center" vertical="center"/>
    </xf>
    <xf numFmtId="0" fontId="25" fillId="0" borderId="74" xfId="17" applyFont="1" applyBorder="1" applyAlignment="1">
      <alignment horizontal="center" vertical="center"/>
    </xf>
    <xf numFmtId="0" fontId="18" fillId="0" borderId="0" xfId="19" applyFont="1" applyAlignment="1">
      <alignment horizontal="center" vertical="center"/>
    </xf>
    <xf numFmtId="0" fontId="31" fillId="0" borderId="0" xfId="19" applyFont="1" applyAlignment="1">
      <alignment horizontal="center" vertical="center"/>
    </xf>
    <xf numFmtId="196" fontId="29" fillId="11" borderId="66" xfId="17" applyNumberFormat="1" applyFont="1" applyFill="1" applyBorder="1" applyAlignment="1">
      <alignment horizontal="center" vertical="center"/>
    </xf>
    <xf numFmtId="196" fontId="27" fillId="0" borderId="0" xfId="17" applyNumberFormat="1" applyFont="1">
      <alignment vertical="center"/>
    </xf>
    <xf numFmtId="0" fontId="29" fillId="0" borderId="71" xfId="0" applyFont="1" applyBorder="1" applyAlignment="1">
      <alignment horizontal="center" vertical="center" wrapText="1"/>
    </xf>
    <xf numFmtId="0" fontId="30" fillId="0" borderId="71" xfId="0" applyFont="1" applyBorder="1" applyAlignment="1">
      <alignment horizontal="center" vertical="center" wrapText="1"/>
    </xf>
    <xf numFmtId="0" fontId="29" fillId="0" borderId="72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/>
    </xf>
    <xf numFmtId="0" fontId="31" fillId="11" borderId="26" xfId="0" applyFont="1" applyFill="1" applyBorder="1" applyAlignment="1">
      <alignment horizontal="center" vertical="center"/>
    </xf>
    <xf numFmtId="189" fontId="31" fillId="11" borderId="26" xfId="0" applyNumberFormat="1" applyFont="1" applyFill="1" applyBorder="1" applyAlignment="1">
      <alignment horizontal="center" vertical="center"/>
    </xf>
    <xf numFmtId="0" fontId="19" fillId="11" borderId="26" xfId="0" applyFont="1" applyFill="1" applyBorder="1" applyAlignment="1">
      <alignment horizontal="center" vertical="center" wrapText="1"/>
    </xf>
    <xf numFmtId="197" fontId="31" fillId="11" borderId="26" xfId="0" applyNumberFormat="1" applyFont="1" applyFill="1" applyBorder="1" applyAlignment="1">
      <alignment horizontal="center" vertical="center"/>
    </xf>
    <xf numFmtId="0" fontId="39" fillId="24" borderId="66" xfId="0" applyFont="1" applyFill="1" applyBorder="1" applyAlignment="1">
      <alignment horizontal="center" vertical="center"/>
    </xf>
    <xf numFmtId="0" fontId="29" fillId="17" borderId="26" xfId="0" applyFont="1" applyFill="1" applyBorder="1" applyAlignment="1">
      <alignment horizontal="center" vertical="center"/>
    </xf>
    <xf numFmtId="0" fontId="18" fillId="17" borderId="26" xfId="0" applyFont="1" applyFill="1" applyBorder="1" applyAlignment="1">
      <alignment horizontal="center" vertical="center"/>
    </xf>
    <xf numFmtId="0" fontId="32" fillId="17" borderId="66" xfId="0" applyFont="1" applyFill="1" applyBorder="1" applyAlignment="1">
      <alignment horizontal="center" vertical="center"/>
    </xf>
    <xf numFmtId="0" fontId="29" fillId="17" borderId="28" xfId="0" applyFont="1" applyFill="1" applyBorder="1" applyAlignment="1">
      <alignment horizontal="center" vertical="center"/>
    </xf>
    <xf numFmtId="0" fontId="18" fillId="17" borderId="28" xfId="0" applyFont="1" applyFill="1" applyBorder="1" applyAlignment="1">
      <alignment horizontal="center" vertical="center"/>
    </xf>
    <xf numFmtId="0" fontId="32" fillId="17" borderId="74" xfId="0" applyFont="1" applyFill="1" applyBorder="1" applyAlignment="1">
      <alignment horizontal="center" vertical="center"/>
    </xf>
    <xf numFmtId="0" fontId="31" fillId="0" borderId="47" xfId="17" applyFont="1" applyBorder="1" applyAlignment="1">
      <alignment horizontal="center" vertical="center"/>
    </xf>
    <xf numFmtId="189" fontId="18" fillId="0" borderId="106" xfId="17" applyNumberFormat="1" applyFont="1" applyBorder="1" applyAlignment="1">
      <alignment horizontal="center" vertical="center"/>
    </xf>
    <xf numFmtId="0" fontId="18" fillId="0" borderId="11" xfId="17" applyFont="1" applyBorder="1">
      <alignment vertical="center"/>
    </xf>
    <xf numFmtId="0" fontId="31" fillId="0" borderId="104" xfId="17" applyFont="1" applyBorder="1" applyAlignment="1">
      <alignment horizontal="center" vertical="center"/>
    </xf>
    <xf numFmtId="0" fontId="18" fillId="0" borderId="105" xfId="17" applyFont="1" applyBorder="1">
      <alignment vertical="center"/>
    </xf>
    <xf numFmtId="0" fontId="18" fillId="0" borderId="104" xfId="17" applyFont="1" applyBorder="1" applyAlignment="1">
      <alignment horizontal="center" vertical="center"/>
    </xf>
    <xf numFmtId="0" fontId="29" fillId="9" borderId="26" xfId="0" applyFont="1" applyFill="1" applyBorder="1" applyAlignment="1">
      <alignment horizontal="center" vertical="center"/>
    </xf>
    <xf numFmtId="0" fontId="25" fillId="9" borderId="26" xfId="0" applyFont="1" applyFill="1" applyBorder="1" applyAlignment="1">
      <alignment horizontal="center" vertical="center"/>
    </xf>
    <xf numFmtId="0" fontId="18" fillId="9" borderId="66" xfId="0" applyFont="1" applyFill="1" applyBorder="1" applyAlignment="1">
      <alignment horizontal="center" vertical="center"/>
    </xf>
    <xf numFmtId="0" fontId="18" fillId="9" borderId="26" xfId="0" applyFont="1" applyFill="1" applyBorder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66" xfId="0" applyFont="1" applyBorder="1" applyAlignment="1">
      <alignment horizontal="center" vertical="center"/>
    </xf>
    <xf numFmtId="0" fontId="31" fillId="0" borderId="0" xfId="17" applyFont="1" applyAlignment="1">
      <alignment horizontal="right" vertical="center"/>
    </xf>
    <xf numFmtId="201" fontId="18" fillId="0" borderId="105" xfId="17" applyNumberFormat="1" applyFont="1" applyBorder="1">
      <alignment vertical="center"/>
    </xf>
    <xf numFmtId="0" fontId="18" fillId="0" borderId="10" xfId="17" applyFont="1" applyBorder="1">
      <alignment vertical="center"/>
    </xf>
    <xf numFmtId="0" fontId="18" fillId="0" borderId="4" xfId="17" applyFont="1" applyBorder="1">
      <alignment vertical="center"/>
    </xf>
    <xf numFmtId="188" fontId="18" fillId="14" borderId="4" xfId="17" applyNumberFormat="1" applyFont="1" applyFill="1" applyBorder="1">
      <alignment vertical="center"/>
    </xf>
    <xf numFmtId="10" fontId="31" fillId="26" borderId="34" xfId="27" applyNumberFormat="1" applyFont="1" applyFill="1" applyBorder="1">
      <alignment vertical="center"/>
    </xf>
    <xf numFmtId="10" fontId="31" fillId="26" borderId="34" xfId="17" applyNumberFormat="1" applyFont="1" applyFill="1" applyBorder="1">
      <alignment vertical="center"/>
    </xf>
    <xf numFmtId="10" fontId="31" fillId="26" borderId="35" xfId="17" applyNumberFormat="1" applyFont="1" applyFill="1" applyBorder="1">
      <alignment vertical="center"/>
    </xf>
    <xf numFmtId="10" fontId="31" fillId="25" borderId="105" xfId="17" applyNumberFormat="1" applyFont="1" applyFill="1" applyBorder="1">
      <alignment vertical="center"/>
    </xf>
    <xf numFmtId="10" fontId="31" fillId="25" borderId="4" xfId="17" applyNumberFormat="1" applyFont="1" applyFill="1" applyBorder="1">
      <alignment vertical="center"/>
    </xf>
    <xf numFmtId="10" fontId="31" fillId="25" borderId="4" xfId="27" applyNumberFormat="1" applyFont="1" applyFill="1" applyBorder="1">
      <alignment vertical="center"/>
    </xf>
    <xf numFmtId="189" fontId="18" fillId="0" borderId="107" xfId="17" applyNumberFormat="1" applyFont="1" applyBorder="1" applyAlignment="1">
      <alignment horizontal="center" vertical="center"/>
    </xf>
    <xf numFmtId="10" fontId="50" fillId="24" borderId="88" xfId="27" applyNumberFormat="1" applyFont="1" applyFill="1" applyBorder="1" applyAlignment="1">
      <alignment horizontal="right" vertical="center"/>
    </xf>
    <xf numFmtId="10" fontId="50" fillId="27" borderId="34" xfId="17" applyNumberFormat="1" applyFont="1" applyFill="1" applyBorder="1">
      <alignment vertical="center"/>
    </xf>
    <xf numFmtId="0" fontId="31" fillId="0" borderId="33" xfId="17" applyFont="1" applyBorder="1" applyAlignment="1">
      <alignment horizontal="center" vertical="center"/>
    </xf>
    <xf numFmtId="0" fontId="18" fillId="0" borderId="9" xfId="17" applyFont="1" applyBorder="1" applyAlignment="1">
      <alignment horizontal="center" vertical="center"/>
    </xf>
    <xf numFmtId="196" fontId="25" fillId="11" borderId="66" xfId="17" applyNumberFormat="1" applyFont="1" applyFill="1" applyBorder="1" applyAlignment="1">
      <alignment horizontal="center" vertical="center"/>
    </xf>
    <xf numFmtId="196" fontId="51" fillId="0" borderId="0" xfId="17" applyNumberFormat="1" applyFont="1">
      <alignment vertical="center"/>
    </xf>
    <xf numFmtId="10" fontId="50" fillId="28" borderId="10" xfId="17" applyNumberFormat="1" applyFont="1" applyFill="1" applyBorder="1">
      <alignment vertical="center"/>
    </xf>
    <xf numFmtId="10" fontId="50" fillId="28" borderId="11" xfId="17" applyNumberFormat="1" applyFont="1" applyFill="1" applyBorder="1">
      <alignment vertical="center"/>
    </xf>
    <xf numFmtId="10" fontId="50" fillId="27" borderId="35" xfId="17" applyNumberFormat="1" applyFont="1" applyFill="1" applyBorder="1">
      <alignment vertical="center"/>
    </xf>
    <xf numFmtId="0" fontId="29" fillId="11" borderId="66" xfId="17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41" fillId="0" borderId="16" xfId="0" applyFont="1" applyBorder="1" applyAlignment="1">
      <alignment horizontal="center" vertical="center"/>
    </xf>
    <xf numFmtId="0" fontId="41" fillId="0" borderId="90" xfId="0" applyFont="1" applyBorder="1" applyAlignment="1">
      <alignment horizontal="center" vertical="center"/>
    </xf>
    <xf numFmtId="0" fontId="39" fillId="28" borderId="88" xfId="17" applyFont="1" applyFill="1" applyBorder="1" applyAlignment="1">
      <alignment horizontal="center" vertical="center"/>
    </xf>
    <xf numFmtId="0" fontId="39" fillId="28" borderId="43" xfId="17" applyFont="1" applyFill="1" applyBorder="1" applyAlignment="1">
      <alignment horizontal="center" vertical="center"/>
    </xf>
    <xf numFmtId="0" fontId="39" fillId="27" borderId="89" xfId="17" applyFont="1" applyFill="1" applyBorder="1" applyAlignment="1">
      <alignment horizontal="center" vertical="center"/>
    </xf>
    <xf numFmtId="0" fontId="39" fillId="27" borderId="57" xfId="17" applyFont="1" applyFill="1" applyBorder="1" applyAlignment="1">
      <alignment horizontal="center" vertical="center"/>
    </xf>
    <xf numFmtId="0" fontId="39" fillId="24" borderId="88" xfId="17" applyFont="1" applyFill="1" applyBorder="1" applyAlignment="1">
      <alignment horizontal="center" vertical="center"/>
    </xf>
    <xf numFmtId="0" fontId="39" fillId="24" borderId="42" xfId="17" applyFont="1" applyFill="1" applyBorder="1" applyAlignment="1">
      <alignment horizontal="center" vertical="center"/>
    </xf>
    <xf numFmtId="0" fontId="36" fillId="0" borderId="71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72" xfId="0" applyFont="1" applyBorder="1" applyAlignment="1">
      <alignment horizontal="center" vertical="center"/>
    </xf>
    <xf numFmtId="0" fontId="36" fillId="0" borderId="66" xfId="0" applyFont="1" applyBorder="1" applyAlignment="1">
      <alignment horizontal="center" vertical="center"/>
    </xf>
    <xf numFmtId="0" fontId="36" fillId="0" borderId="71" xfId="0" applyFont="1" applyBorder="1" applyAlignment="1">
      <alignment horizontal="center" vertical="center" wrapText="1"/>
    </xf>
    <xf numFmtId="0" fontId="36" fillId="0" borderId="26" xfId="0" applyFont="1" applyBorder="1" applyAlignment="1">
      <alignment horizontal="center" vertical="center" wrapText="1"/>
    </xf>
    <xf numFmtId="176" fontId="36" fillId="0" borderId="71" xfId="21" applyFont="1" applyBorder="1" applyAlignment="1">
      <alignment horizontal="center" vertical="center" wrapText="1"/>
    </xf>
    <xf numFmtId="176" fontId="36" fillId="0" borderId="26" xfId="21" applyFont="1" applyBorder="1" applyAlignment="1">
      <alignment horizontal="center" vertical="center" wrapText="1"/>
    </xf>
    <xf numFmtId="0" fontId="37" fillId="14" borderId="71" xfId="22" applyFont="1" applyFill="1" applyBorder="1" applyAlignment="1">
      <alignment horizontal="center" vertical="center" wrapText="1"/>
    </xf>
    <xf numFmtId="0" fontId="37" fillId="14" borderId="26" xfId="22" applyFont="1" applyFill="1" applyBorder="1" applyAlignment="1">
      <alignment horizontal="center" vertical="center" wrapText="1"/>
    </xf>
    <xf numFmtId="0" fontId="36" fillId="0" borderId="70" xfId="0" applyFont="1" applyBorder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0" fontId="29" fillId="0" borderId="70" xfId="0" applyFont="1" applyBorder="1" applyAlignment="1">
      <alignment horizontal="center" vertical="center"/>
    </xf>
    <xf numFmtId="0" fontId="29" fillId="0" borderId="71" xfId="0" applyFont="1" applyBorder="1" applyAlignment="1">
      <alignment horizontal="center" vertical="center"/>
    </xf>
    <xf numFmtId="0" fontId="25" fillId="0" borderId="65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39" fillId="6" borderId="70" xfId="17" applyFont="1" applyFill="1" applyBorder="1" applyAlignment="1">
      <alignment horizontal="center" vertical="center"/>
    </xf>
    <xf numFmtId="0" fontId="39" fillId="6" borderId="72" xfId="17" applyFont="1" applyFill="1" applyBorder="1" applyAlignment="1">
      <alignment horizontal="center" vertical="center"/>
    </xf>
    <xf numFmtId="0" fontId="47" fillId="21" borderId="54" xfId="19" applyFont="1" applyFill="1" applyBorder="1" applyAlignment="1">
      <alignment horizontal="center" vertical="center" wrapText="1"/>
    </xf>
    <xf numFmtId="0" fontId="47" fillId="21" borderId="50" xfId="19" applyFont="1" applyFill="1" applyBorder="1" applyAlignment="1">
      <alignment horizontal="center" vertical="center" wrapText="1"/>
    </xf>
    <xf numFmtId="0" fontId="25" fillId="17" borderId="70" xfId="0" applyFont="1" applyFill="1" applyBorder="1" applyAlignment="1">
      <alignment horizontal="center" vertical="center"/>
    </xf>
    <xf numFmtId="0" fontId="25" fillId="17" borderId="71" xfId="0" applyFont="1" applyFill="1" applyBorder="1" applyAlignment="1">
      <alignment horizontal="center" vertical="center"/>
    </xf>
    <xf numFmtId="0" fontId="25" fillId="17" borderId="72" xfId="0" applyFont="1" applyFill="1" applyBorder="1" applyAlignment="1">
      <alignment horizontal="center" vertical="center"/>
    </xf>
    <xf numFmtId="0" fontId="25" fillId="17" borderId="65" xfId="0" applyFont="1" applyFill="1" applyBorder="1" applyAlignment="1">
      <alignment horizontal="center" vertical="center"/>
    </xf>
    <xf numFmtId="0" fontId="25" fillId="17" borderId="66" xfId="0" applyFont="1" applyFill="1" applyBorder="1" applyAlignment="1">
      <alignment horizontal="center" vertical="center"/>
    </xf>
    <xf numFmtId="0" fontId="25" fillId="17" borderId="73" xfId="0" applyFont="1" applyFill="1" applyBorder="1" applyAlignment="1">
      <alignment horizontal="center" vertical="center"/>
    </xf>
    <xf numFmtId="0" fontId="25" fillId="17" borderId="74" xfId="0" applyFont="1" applyFill="1" applyBorder="1" applyAlignment="1">
      <alignment horizontal="center" vertical="center"/>
    </xf>
    <xf numFmtId="0" fontId="25" fillId="17" borderId="75" xfId="0" applyFont="1" applyFill="1" applyBorder="1" applyAlignment="1">
      <alignment horizontal="center" vertical="center"/>
    </xf>
    <xf numFmtId="0" fontId="35" fillId="18" borderId="70" xfId="26" applyBorder="1" applyAlignment="1">
      <alignment horizontal="center" vertical="center"/>
    </xf>
    <xf numFmtId="0" fontId="35" fillId="18" borderId="71" xfId="26" applyBorder="1" applyAlignment="1">
      <alignment horizontal="center" vertical="center"/>
    </xf>
    <xf numFmtId="0" fontId="35" fillId="18" borderId="72" xfId="26" applyBorder="1" applyAlignment="1">
      <alignment horizontal="center" vertical="center"/>
    </xf>
    <xf numFmtId="186" fontId="18" fillId="14" borderId="4" xfId="17" applyNumberFormat="1" applyFont="1" applyFill="1" applyBorder="1">
      <alignment vertical="center"/>
    </xf>
    <xf numFmtId="185" fontId="18" fillId="14" borderId="10" xfId="17" applyNumberFormat="1" applyFont="1" applyFill="1" applyBorder="1">
      <alignment vertical="center"/>
    </xf>
  </cellXfs>
  <cellStyles count="28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2" builtinId="30"/>
    <cellStyle name="20% - 강조색4" xfId="16" builtinId="42"/>
    <cellStyle name="20% - 강조색4 2" xfId="20" xr:uid="{00000000-0005-0000-0000-000006000000}"/>
    <cellStyle name="20% - 강조색5" xfId="24" builtinId="46"/>
    <cellStyle name="20% - 강조색6" xfId="23" builtinId="50"/>
    <cellStyle name="Header1" xfId="14" xr:uid="{00000000-0005-0000-0000-000007000000}"/>
    <cellStyle name="Header2" xfId="15" xr:uid="{00000000-0005-0000-0000-000008000000}"/>
    <cellStyle name="백분율" xfId="27" builtinId="5"/>
    <cellStyle name="보통" xfId="26" builtinId="28"/>
    <cellStyle name="쉼표" xfId="18" builtinId="3"/>
    <cellStyle name="쉼표 [0]" xfId="21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colors>
    <mruColors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1805.6</c:v>
                </c:pt>
                <c:pt idx="1">
                  <c:v>1387.6</c:v>
                </c:pt>
                <c:pt idx="2">
                  <c:v>1245.4000000000001</c:v>
                </c:pt>
                <c:pt idx="3">
                  <c:v>913.7</c:v>
                </c:pt>
                <c:pt idx="4">
                  <c:v>755.4</c:v>
                </c:pt>
                <c:pt idx="5">
                  <c:v>938</c:v>
                </c:pt>
                <c:pt idx="6">
                  <c:v>1301.2</c:v>
                </c:pt>
                <c:pt idx="7">
                  <c:v>1381.6</c:v>
                </c:pt>
                <c:pt idx="8">
                  <c:v>855.4</c:v>
                </c:pt>
                <c:pt idx="9">
                  <c:v>1358.6</c:v>
                </c:pt>
                <c:pt idx="10">
                  <c:v>1194.3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  <c:pt idx="20">
                  <c:v>2011</c:v>
                </c:pt>
                <c:pt idx="21">
                  <c:v>2012</c:v>
                </c:pt>
                <c:pt idx="22">
                  <c:v>2013</c:v>
                </c:pt>
                <c:pt idx="23">
                  <c:v>2014</c:v>
                </c:pt>
                <c:pt idx="24">
                  <c:v>2015</c:v>
                </c:pt>
                <c:pt idx="25">
                  <c:v>2016</c:v>
                </c:pt>
                <c:pt idx="26">
                  <c:v>2017</c:v>
                </c:pt>
                <c:pt idx="27">
                  <c:v>2018</c:v>
                </c:pt>
                <c:pt idx="28">
                  <c:v>2019</c:v>
                </c:pt>
                <c:pt idx="29">
                  <c:v>2020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1143.5999999999999</c:v>
                </c:pt>
                <c:pt idx="1">
                  <c:v>990.1</c:v>
                </c:pt>
                <c:pt idx="2">
                  <c:v>1301.8</c:v>
                </c:pt>
                <c:pt idx="3">
                  <c:v>1012</c:v>
                </c:pt>
                <c:pt idx="4">
                  <c:v>1339.8</c:v>
                </c:pt>
                <c:pt idx="5">
                  <c:v>928.8</c:v>
                </c:pt>
                <c:pt idx="6">
                  <c:v>1456.6</c:v>
                </c:pt>
                <c:pt idx="7">
                  <c:v>1640.2</c:v>
                </c:pt>
                <c:pt idx="8">
                  <c:v>1326.5</c:v>
                </c:pt>
                <c:pt idx="9">
                  <c:v>1357.6</c:v>
                </c:pt>
                <c:pt idx="10">
                  <c:v>784.1</c:v>
                </c:pt>
                <c:pt idx="11">
                  <c:v>1281.8</c:v>
                </c:pt>
                <c:pt idx="12">
                  <c:v>1581.8</c:v>
                </c:pt>
                <c:pt idx="13">
                  <c:v>1505.9</c:v>
                </c:pt>
                <c:pt idx="14">
                  <c:v>1427.2</c:v>
                </c:pt>
                <c:pt idx="15">
                  <c:v>1081.0999999999999</c:v>
                </c:pt>
                <c:pt idx="16">
                  <c:v>1534.5</c:v>
                </c:pt>
                <c:pt idx="17">
                  <c:v>892.3</c:v>
                </c:pt>
                <c:pt idx="18">
                  <c:v>1019.8</c:v>
                </c:pt>
                <c:pt idx="19">
                  <c:v>1422.4</c:v>
                </c:pt>
                <c:pt idx="20">
                  <c:v>1805.6</c:v>
                </c:pt>
                <c:pt idx="21">
                  <c:v>1387.6</c:v>
                </c:pt>
                <c:pt idx="22">
                  <c:v>1245.4000000000001</c:v>
                </c:pt>
                <c:pt idx="23">
                  <c:v>913.7</c:v>
                </c:pt>
                <c:pt idx="24">
                  <c:v>755.4</c:v>
                </c:pt>
                <c:pt idx="25">
                  <c:v>938</c:v>
                </c:pt>
                <c:pt idx="26">
                  <c:v>1301.2</c:v>
                </c:pt>
                <c:pt idx="27">
                  <c:v>1381.6</c:v>
                </c:pt>
                <c:pt idx="28">
                  <c:v>855.4</c:v>
                </c:pt>
                <c:pt idx="29">
                  <c:v>1358.6</c:v>
                </c:pt>
                <c:pt idx="30">
                  <c:v>1232.3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17.2</c:v>
                </c:pt>
                <c:pt idx="1">
                  <c:v>31.4</c:v>
                </c:pt>
                <c:pt idx="2">
                  <c:v>37.799999999999997</c:v>
                </c:pt>
                <c:pt idx="3">
                  <c:v>83.9</c:v>
                </c:pt>
                <c:pt idx="4">
                  <c:v>57.9</c:v>
                </c:pt>
                <c:pt idx="5">
                  <c:v>120.9</c:v>
                </c:pt>
                <c:pt idx="6">
                  <c:v>333.5</c:v>
                </c:pt>
                <c:pt idx="7">
                  <c:v>221.4</c:v>
                </c:pt>
                <c:pt idx="8">
                  <c:v>135.1</c:v>
                </c:pt>
                <c:pt idx="9">
                  <c:v>67.3</c:v>
                </c:pt>
                <c:pt idx="10">
                  <c:v>58.6</c:v>
                </c:pt>
                <c:pt idx="11">
                  <c:v>29.3</c:v>
                </c:pt>
                <c:pt idx="12">
                  <c:v>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0.emf"/><Relationship Id="rId7" Type="http://schemas.openxmlformats.org/officeDocument/2006/relationships/image" Target="../media/image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13.emf"/><Relationship Id="rId4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3</xdr:row>
          <xdr:rowOff>9525</xdr:rowOff>
        </xdr:from>
        <xdr:to>
          <xdr:col>18</xdr:col>
          <xdr:colOff>428625</xdr:colOff>
          <xdr:row>4</xdr:row>
          <xdr:rowOff>142875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104775</xdr:rowOff>
    </xdr:from>
    <xdr:to>
      <xdr:col>15</xdr:col>
      <xdr:colOff>304800</xdr:colOff>
      <xdr:row>68</xdr:row>
      <xdr:rowOff>95250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276225</xdr:colOff>
      <xdr:row>69</xdr:row>
      <xdr:rowOff>38101</xdr:rowOff>
    </xdr:from>
    <xdr:to>
      <xdr:col>15</xdr:col>
      <xdr:colOff>161925</xdr:colOff>
      <xdr:row>81</xdr:row>
      <xdr:rowOff>190501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742950</xdr:colOff>
      <xdr:row>31</xdr:row>
      <xdr:rowOff>133350</xdr:rowOff>
    </xdr:from>
    <xdr:to>
      <xdr:col>13</xdr:col>
      <xdr:colOff>561975</xdr:colOff>
      <xdr:row>37</xdr:row>
      <xdr:rowOff>180975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0225" y="8115300"/>
          <a:ext cx="7620000" cy="1657350"/>
        </a:xfrm>
        <a:prstGeom prst="rect">
          <a:avLst/>
        </a:prstGeom>
      </xdr:spPr>
    </xdr:pic>
    <xdr:clientData/>
  </xdr:twoCellAnchor>
  <xdr:twoCellAnchor editAs="oneCell">
    <xdr:from>
      <xdr:col>6</xdr:col>
      <xdr:colOff>619125</xdr:colOff>
      <xdr:row>38</xdr:row>
      <xdr:rowOff>85725</xdr:rowOff>
    </xdr:from>
    <xdr:to>
      <xdr:col>8</xdr:col>
      <xdr:colOff>581025</xdr:colOff>
      <xdr:row>45</xdr:row>
      <xdr:rowOff>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9896475"/>
          <a:ext cx="1695450" cy="1381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133350</xdr:rowOff>
        </xdr:from>
        <xdr:to>
          <xdr:col>2</xdr:col>
          <xdr:colOff>476250</xdr:colOff>
          <xdr:row>0</xdr:row>
          <xdr:rowOff>447675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0</xdr:row>
          <xdr:rowOff>133350</xdr:rowOff>
        </xdr:from>
        <xdr:to>
          <xdr:col>3</xdr:col>
          <xdr:colOff>1743075</xdr:colOff>
          <xdr:row>0</xdr:row>
          <xdr:rowOff>447675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8</xdr:row>
          <xdr:rowOff>209550</xdr:rowOff>
        </xdr:from>
        <xdr:to>
          <xdr:col>8</xdr:col>
          <xdr:colOff>666750</xdr:colOff>
          <xdr:row>10</xdr:row>
          <xdr:rowOff>133350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5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10</xdr:row>
          <xdr:rowOff>209550</xdr:rowOff>
        </xdr:from>
        <xdr:to>
          <xdr:col>8</xdr:col>
          <xdr:colOff>666750</xdr:colOff>
          <xdr:row>12</xdr:row>
          <xdr:rowOff>133350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5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219075</xdr:rowOff>
        </xdr:from>
        <xdr:to>
          <xdr:col>8</xdr:col>
          <xdr:colOff>666750</xdr:colOff>
          <xdr:row>14</xdr:row>
          <xdr:rowOff>142875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5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19</xdr:row>
          <xdr:rowOff>133350</xdr:rowOff>
        </xdr:from>
        <xdr:to>
          <xdr:col>8</xdr:col>
          <xdr:colOff>695325</xdr:colOff>
          <xdr:row>21</xdr:row>
          <xdr:rowOff>57150</xdr:rowOff>
        </xdr:to>
        <xdr:sp macro="" textlink="">
          <xdr:nvSpPr>
            <xdr:cNvPr id="3095" name="CommandButton4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5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5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1238250</xdr:colOff>
          <xdr:row>21</xdr:row>
          <xdr:rowOff>38100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5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5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9525</xdr:rowOff>
        </xdr:from>
        <xdr:to>
          <xdr:col>8</xdr:col>
          <xdr:colOff>666750</xdr:colOff>
          <xdr:row>16</xdr:row>
          <xdr:rowOff>180975</xdr:rowOff>
        </xdr:to>
        <xdr:sp macro="" textlink="">
          <xdr:nvSpPr>
            <xdr:cNvPr id="3104" name="CommandButton7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5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31077" name="CommandButton5" hidden="1">
              <a:extLst>
                <a:ext uri="{63B3BB69-23CF-44E3-9099-C40C66FF867C}">
                  <a14:compatExt spid="_x0000_s131077"/>
                </a:ext>
                <a:ext uri="{FF2B5EF4-FFF2-40B4-BE49-F238E27FC236}">
                  <a16:creationId xmlns:a16="http://schemas.microsoft.com/office/drawing/2014/main" id="{00000000-0008-0000-0600-000005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1238250</xdr:colOff>
          <xdr:row>21</xdr:row>
          <xdr:rowOff>38100</xdr:rowOff>
        </xdr:to>
        <xdr:sp macro="" textlink="">
          <xdr:nvSpPr>
            <xdr:cNvPr id="131078" name="Frame1" hidden="1">
              <a:extLst>
                <a:ext uri="{63B3BB69-23CF-44E3-9099-C40C66FF867C}">
                  <a14:compatExt spid="_x0000_s131078"/>
                </a:ext>
                <a:ext uri="{FF2B5EF4-FFF2-40B4-BE49-F238E27FC236}">
                  <a16:creationId xmlns:a16="http://schemas.microsoft.com/office/drawing/2014/main" id="{00000000-0008-0000-0600-000006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131079" name="CommandButton6" hidden="1">
              <a:extLst>
                <a:ext uri="{63B3BB69-23CF-44E3-9099-C40C66FF867C}">
                  <a14:compatExt spid="_x0000_s131079"/>
                </a:ext>
                <a:ext uri="{FF2B5EF4-FFF2-40B4-BE49-F238E27FC236}">
                  <a16:creationId xmlns:a16="http://schemas.microsoft.com/office/drawing/2014/main" id="{00000000-0008-0000-0600-000007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32097" name="CommandButton5" hidden="1">
              <a:extLst>
                <a:ext uri="{63B3BB69-23CF-44E3-9099-C40C66FF867C}">
                  <a14:compatExt spid="_x0000_s132097"/>
                </a:ext>
                <a:ext uri="{FF2B5EF4-FFF2-40B4-BE49-F238E27FC236}">
                  <a16:creationId xmlns:a16="http://schemas.microsoft.com/office/drawing/2014/main" id="{00000000-0008-0000-0700-000001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1238250</xdr:colOff>
          <xdr:row>21</xdr:row>
          <xdr:rowOff>38100</xdr:rowOff>
        </xdr:to>
        <xdr:sp macro="" textlink="">
          <xdr:nvSpPr>
            <xdr:cNvPr id="132098" name="Frame1" hidden="1">
              <a:extLst>
                <a:ext uri="{63B3BB69-23CF-44E3-9099-C40C66FF867C}">
                  <a14:compatExt spid="_x0000_s132098"/>
                </a:ext>
                <a:ext uri="{FF2B5EF4-FFF2-40B4-BE49-F238E27FC236}">
                  <a16:creationId xmlns:a16="http://schemas.microsoft.com/office/drawing/2014/main" id="{00000000-0008-0000-0700-000002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132099" name="CommandButton6" hidden="1">
              <a:extLst>
                <a:ext uri="{63B3BB69-23CF-44E3-9099-C40C66FF867C}">
                  <a14:compatExt spid="_x0000_s132099"/>
                </a:ext>
                <a:ext uri="{FF2B5EF4-FFF2-40B4-BE49-F238E27FC236}">
                  <a16:creationId xmlns:a16="http://schemas.microsoft.com/office/drawing/2014/main" id="{00000000-0008-0000-0700-000003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33121" name="CommandButton5" hidden="1">
              <a:extLst>
                <a:ext uri="{63B3BB69-23CF-44E3-9099-C40C66FF867C}">
                  <a14:compatExt spid="_x0000_s133121"/>
                </a:ext>
                <a:ext uri="{FF2B5EF4-FFF2-40B4-BE49-F238E27FC236}">
                  <a16:creationId xmlns:a16="http://schemas.microsoft.com/office/drawing/2014/main" id="{00000000-0008-0000-0800-000001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18</xdr:row>
          <xdr:rowOff>104775</xdr:rowOff>
        </xdr:from>
        <xdr:to>
          <xdr:col>10</xdr:col>
          <xdr:colOff>1228725</xdr:colOff>
          <xdr:row>21</xdr:row>
          <xdr:rowOff>19050</xdr:rowOff>
        </xdr:to>
        <xdr:sp macro="" textlink="">
          <xdr:nvSpPr>
            <xdr:cNvPr id="133122" name="Frame1" hidden="1">
              <a:extLst>
                <a:ext uri="{63B3BB69-23CF-44E3-9099-C40C66FF867C}">
                  <a14:compatExt spid="_x0000_s133122"/>
                </a:ext>
                <a:ext uri="{FF2B5EF4-FFF2-40B4-BE49-F238E27FC236}">
                  <a16:creationId xmlns:a16="http://schemas.microsoft.com/office/drawing/2014/main" id="{00000000-0008-0000-0800-000002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133123" name="CommandButton6" hidden="1">
              <a:extLst>
                <a:ext uri="{63B3BB69-23CF-44E3-9099-C40C66FF867C}">
                  <a14:compatExt spid="_x0000_s133123"/>
                </a:ext>
                <a:ext uri="{FF2B5EF4-FFF2-40B4-BE49-F238E27FC236}">
                  <a16:creationId xmlns:a16="http://schemas.microsoft.com/office/drawing/2014/main" id="{00000000-0008-0000-0800-000003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5</xdr:row>
          <xdr:rowOff>9525</xdr:rowOff>
        </xdr:from>
        <xdr:to>
          <xdr:col>6</xdr:col>
          <xdr:colOff>466725</xdr:colOff>
          <xdr:row>6</xdr:row>
          <xdr:rowOff>104775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9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8</xdr:col>
          <xdr:colOff>142875</xdr:colOff>
          <xdr:row>6</xdr:row>
          <xdr:rowOff>104775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A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5</xdr:row>
          <xdr:rowOff>133350</xdr:rowOff>
        </xdr:from>
        <xdr:to>
          <xdr:col>5</xdr:col>
          <xdr:colOff>990600</xdr:colOff>
          <xdr:row>6</xdr:row>
          <xdr:rowOff>228600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B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00_data/06_excel%20reference/A1_&#44592;&#48376;&#44288;&#51221;%20&#45936;&#51060;&#53440;%20-%20&#45436;&#493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1.emf"/><Relationship Id="rId1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12" Type="http://schemas.openxmlformats.org/officeDocument/2006/relationships/control" Target="../activeX/activeX9.xml"/><Relationship Id="rId17" Type="http://schemas.openxmlformats.org/officeDocument/2006/relationships/image" Target="../media/image1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8.xml"/><Relationship Id="rId19" Type="http://schemas.openxmlformats.org/officeDocument/2006/relationships/image" Target="../media/image14.emf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.xml"/><Relationship Id="rId5" Type="http://schemas.openxmlformats.org/officeDocument/2006/relationships/image" Target="../media/image15.emf"/><Relationship Id="rId10" Type="http://schemas.openxmlformats.org/officeDocument/2006/relationships/comments" Target="../comments3.xml"/><Relationship Id="rId4" Type="http://schemas.openxmlformats.org/officeDocument/2006/relationships/control" Target="../activeX/activeX13.xml"/><Relationship Id="rId9" Type="http://schemas.openxmlformats.org/officeDocument/2006/relationships/image" Target="../media/image1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5" Type="http://schemas.openxmlformats.org/officeDocument/2006/relationships/image" Target="../media/image18.emf"/><Relationship Id="rId10" Type="http://schemas.openxmlformats.org/officeDocument/2006/relationships/comments" Target="../comments4.xml"/><Relationship Id="rId4" Type="http://schemas.openxmlformats.org/officeDocument/2006/relationships/control" Target="../activeX/activeX16.xml"/><Relationship Id="rId9" Type="http://schemas.openxmlformats.org/officeDocument/2006/relationships/image" Target="../media/image2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0.xml"/><Relationship Id="rId5" Type="http://schemas.openxmlformats.org/officeDocument/2006/relationships/image" Target="../media/image21.emf"/><Relationship Id="rId10" Type="http://schemas.openxmlformats.org/officeDocument/2006/relationships/comments" Target="../comments5.xml"/><Relationship Id="rId4" Type="http://schemas.openxmlformats.org/officeDocument/2006/relationships/control" Target="../activeX/activeX19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24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25.emf"/><Relationship Id="rId4" Type="http://schemas.openxmlformats.org/officeDocument/2006/relationships/control" Target="../activeX/activeX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Q54"/>
  <sheetViews>
    <sheetView zoomScaleNormal="100" workbookViewId="0">
      <selection activeCell="S17" sqref="S17"/>
    </sheetView>
  </sheetViews>
  <sheetFormatPr defaultRowHeight="16.5"/>
  <cols>
    <col min="1" max="1" width="8.88671875" style="42"/>
    <col min="2" max="2" width="5.88671875" style="41" customWidth="1"/>
    <col min="3" max="9" width="5.77734375" style="42" customWidth="1"/>
    <col min="10" max="10" width="6.77734375" style="42" customWidth="1"/>
    <col min="11" max="11" width="5.77734375" style="42" customWidth="1"/>
    <col min="12" max="12" width="5.6640625" style="42" customWidth="1"/>
    <col min="13" max="14" width="5.77734375" style="42" customWidth="1"/>
    <col min="15" max="15" width="8.109375" style="42" customWidth="1"/>
    <col min="16" max="16" width="6.44140625" style="42" customWidth="1"/>
    <col min="17" max="17" width="12.21875" style="42" bestFit="1" customWidth="1"/>
    <col min="18" max="16384" width="8.88671875" style="42"/>
  </cols>
  <sheetData>
    <row r="2" spans="2:17" ht="26.25" customHeight="1">
      <c r="B2" s="420" t="s">
        <v>231</v>
      </c>
      <c r="C2" s="420"/>
      <c r="D2" s="420"/>
      <c r="E2" s="420"/>
      <c r="F2" s="420"/>
      <c r="G2" s="420"/>
      <c r="H2" s="420"/>
      <c r="I2" s="420"/>
      <c r="J2" s="420"/>
      <c r="K2" s="420"/>
      <c r="L2" s="420"/>
    </row>
    <row r="3" spans="2:17" ht="17.25" thickBot="1">
      <c r="I3"/>
      <c r="J3"/>
      <c r="K3"/>
    </row>
    <row r="4" spans="2:17" s="98" customFormat="1" ht="22.5" customHeight="1">
      <c r="B4" s="95" t="s">
        <v>52</v>
      </c>
      <c r="C4" s="96" t="s">
        <v>53</v>
      </c>
      <c r="D4" s="96" t="s">
        <v>41</v>
      </c>
      <c r="E4" s="96" t="s">
        <v>42</v>
      </c>
      <c r="F4" s="96" t="s">
        <v>43</v>
      </c>
      <c r="G4" s="96" t="s">
        <v>44</v>
      </c>
      <c r="H4" s="96" t="s">
        <v>12</v>
      </c>
      <c r="I4" s="96" t="s">
        <v>13</v>
      </c>
      <c r="J4" s="96" t="s">
        <v>14</v>
      </c>
      <c r="K4" s="96" t="s">
        <v>15</v>
      </c>
      <c r="L4" s="96" t="s">
        <v>16</v>
      </c>
      <c r="M4" s="96" t="s">
        <v>17</v>
      </c>
      <c r="N4" s="97" t="s">
        <v>18</v>
      </c>
      <c r="O4" s="95" t="s">
        <v>55</v>
      </c>
      <c r="P4" s="97" t="s">
        <v>56</v>
      </c>
    </row>
    <row r="5" spans="2:17" ht="22.5" customHeight="1">
      <c r="B5" s="295">
        <v>1991</v>
      </c>
      <c r="C5" s="298">
        <v>21.2</v>
      </c>
      <c r="D5" s="298">
        <v>47.3</v>
      </c>
      <c r="E5" s="298">
        <v>57.5</v>
      </c>
      <c r="F5" s="298">
        <v>71.599999999999994</v>
      </c>
      <c r="G5" s="298">
        <v>88.5</v>
      </c>
      <c r="H5" s="298">
        <v>99.6</v>
      </c>
      <c r="I5" s="298">
        <v>357.3</v>
      </c>
      <c r="J5" s="298">
        <v>79.8</v>
      </c>
      <c r="K5" s="298">
        <v>213</v>
      </c>
      <c r="L5" s="298">
        <v>17</v>
      </c>
      <c r="M5" s="298">
        <v>21.4</v>
      </c>
      <c r="N5" s="299">
        <v>69.400000000000006</v>
      </c>
      <c r="O5" s="99">
        <f>ROUND(SUM(C5:N5),1)</f>
        <v>1143.5999999999999</v>
      </c>
      <c r="P5" s="100">
        <f>ROUND(O5/12,1)</f>
        <v>95.3</v>
      </c>
      <c r="Q5" s="101"/>
    </row>
    <row r="6" spans="2:17" ht="22.5" customHeight="1">
      <c r="B6" s="296">
        <v>1992</v>
      </c>
      <c r="C6" s="300">
        <v>13.5</v>
      </c>
      <c r="D6" s="300">
        <v>16.3</v>
      </c>
      <c r="E6" s="300">
        <v>29.6</v>
      </c>
      <c r="F6" s="300">
        <v>110.1</v>
      </c>
      <c r="G6" s="300">
        <v>100.3</v>
      </c>
      <c r="H6" s="300">
        <v>28.7</v>
      </c>
      <c r="I6" s="300">
        <v>141.69999999999999</v>
      </c>
      <c r="J6" s="300">
        <v>263.89999999999998</v>
      </c>
      <c r="K6" s="300">
        <v>176.9</v>
      </c>
      <c r="L6" s="300">
        <v>27.4</v>
      </c>
      <c r="M6" s="300">
        <v>42.2</v>
      </c>
      <c r="N6" s="301">
        <v>39.5</v>
      </c>
      <c r="O6" s="103">
        <f t="shared" ref="O6:O34" si="0">ROUND(SUM(C6:N6),1)</f>
        <v>990.1</v>
      </c>
      <c r="P6" s="104">
        <f t="shared" ref="P6:P34" si="1">ROUND(O6/12,1)</f>
        <v>82.5</v>
      </c>
      <c r="Q6" s="101"/>
    </row>
    <row r="7" spans="2:17" ht="22.5" customHeight="1">
      <c r="B7" s="296">
        <v>1993</v>
      </c>
      <c r="C7" s="300">
        <v>7.3</v>
      </c>
      <c r="D7" s="300">
        <v>75.400000000000006</v>
      </c>
      <c r="E7" s="300">
        <v>33.1</v>
      </c>
      <c r="F7" s="300">
        <v>54.6</v>
      </c>
      <c r="G7" s="300">
        <v>127.2</v>
      </c>
      <c r="H7" s="300">
        <v>118.8</v>
      </c>
      <c r="I7" s="300">
        <v>254</v>
      </c>
      <c r="J7" s="300">
        <v>378.1</v>
      </c>
      <c r="K7" s="300">
        <v>126.6</v>
      </c>
      <c r="L7" s="300">
        <v>39.6</v>
      </c>
      <c r="M7" s="300">
        <v>66.900000000000006</v>
      </c>
      <c r="N7" s="301">
        <v>20.2</v>
      </c>
      <c r="O7" s="103">
        <f t="shared" si="0"/>
        <v>1301.8</v>
      </c>
      <c r="P7" s="104">
        <f t="shared" si="1"/>
        <v>108.5</v>
      </c>
      <c r="Q7" s="101"/>
    </row>
    <row r="8" spans="2:17" ht="22.5" customHeight="1">
      <c r="B8" s="296">
        <v>1994</v>
      </c>
      <c r="C8" s="300">
        <v>13.3</v>
      </c>
      <c r="D8" s="300">
        <v>12.8</v>
      </c>
      <c r="E8" s="300">
        <v>54.2</v>
      </c>
      <c r="F8" s="300">
        <v>21.3</v>
      </c>
      <c r="G8" s="300">
        <v>108.8</v>
      </c>
      <c r="H8" s="300">
        <v>140.5</v>
      </c>
      <c r="I8" s="300">
        <v>85.5</v>
      </c>
      <c r="J8" s="300">
        <v>318.5</v>
      </c>
      <c r="K8" s="300">
        <v>48.1</v>
      </c>
      <c r="L8" s="300">
        <v>160.1</v>
      </c>
      <c r="M8" s="300">
        <v>29.6</v>
      </c>
      <c r="N8" s="301">
        <v>19.3</v>
      </c>
      <c r="O8" s="103">
        <f t="shared" si="0"/>
        <v>1012</v>
      </c>
      <c r="P8" s="104">
        <f t="shared" si="1"/>
        <v>84.3</v>
      </c>
      <c r="Q8" s="101"/>
    </row>
    <row r="9" spans="2:17" ht="22.5" customHeight="1">
      <c r="B9" s="296">
        <v>1995</v>
      </c>
      <c r="C9" s="300">
        <v>21.5</v>
      </c>
      <c r="D9" s="300">
        <v>14</v>
      </c>
      <c r="E9" s="300">
        <v>34.4</v>
      </c>
      <c r="F9" s="300">
        <v>64</v>
      </c>
      <c r="G9" s="300">
        <v>70.7</v>
      </c>
      <c r="H9" s="300">
        <v>30.9</v>
      </c>
      <c r="I9" s="300">
        <v>204.9</v>
      </c>
      <c r="J9" s="300">
        <v>835.4</v>
      </c>
      <c r="K9" s="300">
        <v>17.5</v>
      </c>
      <c r="L9" s="300">
        <v>22.6</v>
      </c>
      <c r="M9" s="300">
        <v>20.3</v>
      </c>
      <c r="N9" s="301">
        <v>3.6</v>
      </c>
      <c r="O9" s="103">
        <f t="shared" si="0"/>
        <v>1339.8</v>
      </c>
      <c r="P9" s="104">
        <f t="shared" si="1"/>
        <v>111.7</v>
      </c>
      <c r="Q9" s="101"/>
    </row>
    <row r="10" spans="2:17" ht="22.5" customHeight="1">
      <c r="B10" s="296">
        <v>1996</v>
      </c>
      <c r="C10" s="300">
        <v>27.9</v>
      </c>
      <c r="D10" s="300">
        <v>4.2</v>
      </c>
      <c r="E10" s="300">
        <v>98.4</v>
      </c>
      <c r="F10" s="300">
        <v>28.6</v>
      </c>
      <c r="G10" s="300">
        <v>36.799999999999997</v>
      </c>
      <c r="H10" s="300">
        <v>255.8</v>
      </c>
      <c r="I10" s="300">
        <v>170.5</v>
      </c>
      <c r="J10" s="300">
        <v>128.6</v>
      </c>
      <c r="K10" s="300">
        <v>11.2</v>
      </c>
      <c r="L10" s="300">
        <v>67.099999999999994</v>
      </c>
      <c r="M10" s="300">
        <v>77.2</v>
      </c>
      <c r="N10" s="301">
        <v>22.5</v>
      </c>
      <c r="O10" s="103">
        <f t="shared" si="0"/>
        <v>928.8</v>
      </c>
      <c r="P10" s="104">
        <f t="shared" si="1"/>
        <v>77.400000000000006</v>
      </c>
      <c r="Q10" s="101"/>
    </row>
    <row r="11" spans="2:17" ht="22.5" customHeight="1">
      <c r="B11" s="296">
        <v>1997</v>
      </c>
      <c r="C11" s="300">
        <v>12.9</v>
      </c>
      <c r="D11" s="300">
        <v>39.1</v>
      </c>
      <c r="E11" s="300">
        <v>31.6</v>
      </c>
      <c r="F11" s="300">
        <v>58.5</v>
      </c>
      <c r="G11" s="300">
        <v>179.1</v>
      </c>
      <c r="H11" s="300">
        <v>210.3</v>
      </c>
      <c r="I11" s="300">
        <v>425.5</v>
      </c>
      <c r="J11" s="300">
        <v>211.1</v>
      </c>
      <c r="K11" s="300">
        <v>55.5</v>
      </c>
      <c r="L11" s="300">
        <v>8.4</v>
      </c>
      <c r="M11" s="300">
        <v>180.3</v>
      </c>
      <c r="N11" s="301">
        <v>44.3</v>
      </c>
      <c r="O11" s="103">
        <f t="shared" si="0"/>
        <v>1456.6</v>
      </c>
      <c r="P11" s="104">
        <f t="shared" si="1"/>
        <v>121.4</v>
      </c>
    </row>
    <row r="12" spans="2:17" ht="22.5" customHeight="1">
      <c r="B12" s="296">
        <v>1998</v>
      </c>
      <c r="C12" s="300">
        <v>22</v>
      </c>
      <c r="D12" s="300">
        <v>28.9</v>
      </c>
      <c r="E12" s="300">
        <v>30.9</v>
      </c>
      <c r="F12" s="300">
        <v>153.1</v>
      </c>
      <c r="G12" s="300">
        <v>92.8</v>
      </c>
      <c r="H12" s="300">
        <v>247</v>
      </c>
      <c r="I12" s="300">
        <v>253</v>
      </c>
      <c r="J12" s="300">
        <v>460.6</v>
      </c>
      <c r="K12" s="300">
        <v>225.9</v>
      </c>
      <c r="L12" s="300">
        <v>74.2</v>
      </c>
      <c r="M12" s="300">
        <v>44.7</v>
      </c>
      <c r="N12" s="301">
        <v>7.1</v>
      </c>
      <c r="O12" s="103">
        <f t="shared" si="0"/>
        <v>1640.2</v>
      </c>
      <c r="P12" s="104">
        <f t="shared" si="1"/>
        <v>136.69999999999999</v>
      </c>
    </row>
    <row r="13" spans="2:17" ht="22.5" customHeight="1">
      <c r="B13" s="296">
        <v>1999</v>
      </c>
      <c r="C13" s="300">
        <v>1.6</v>
      </c>
      <c r="D13" s="300">
        <v>3.6</v>
      </c>
      <c r="E13" s="300">
        <v>54.1</v>
      </c>
      <c r="F13" s="300">
        <v>91.4</v>
      </c>
      <c r="G13" s="300">
        <v>102.4</v>
      </c>
      <c r="H13" s="300">
        <v>191.1</v>
      </c>
      <c r="I13" s="300">
        <v>122.4</v>
      </c>
      <c r="J13" s="300">
        <v>197.4</v>
      </c>
      <c r="K13" s="300">
        <v>281.3</v>
      </c>
      <c r="L13" s="300">
        <v>252.4</v>
      </c>
      <c r="M13" s="300">
        <v>15.4</v>
      </c>
      <c r="N13" s="301">
        <v>13.4</v>
      </c>
      <c r="O13" s="103">
        <f t="shared" si="0"/>
        <v>1326.5</v>
      </c>
      <c r="P13" s="104">
        <f t="shared" si="1"/>
        <v>110.5</v>
      </c>
    </row>
    <row r="14" spans="2:17" ht="22.5" customHeight="1">
      <c r="B14" s="296">
        <v>2000</v>
      </c>
      <c r="C14" s="300">
        <v>38.700000000000003</v>
      </c>
      <c r="D14" s="300">
        <v>1.3</v>
      </c>
      <c r="E14" s="300">
        <v>10.4</v>
      </c>
      <c r="F14" s="300">
        <v>56.1</v>
      </c>
      <c r="G14" s="300">
        <v>42.1</v>
      </c>
      <c r="H14" s="300">
        <v>185.7</v>
      </c>
      <c r="I14" s="300">
        <v>300</v>
      </c>
      <c r="J14" s="300">
        <v>390.4</v>
      </c>
      <c r="K14" s="300">
        <v>244.6</v>
      </c>
      <c r="L14" s="300">
        <v>32.1</v>
      </c>
      <c r="M14" s="300">
        <v>37.299999999999997</v>
      </c>
      <c r="N14" s="301">
        <v>18.899999999999999</v>
      </c>
      <c r="O14" s="103">
        <f t="shared" si="0"/>
        <v>1357.6</v>
      </c>
      <c r="P14" s="104">
        <f t="shared" si="1"/>
        <v>113.1</v>
      </c>
    </row>
    <row r="15" spans="2:17" ht="22.5" customHeight="1">
      <c r="B15" s="296">
        <v>2001</v>
      </c>
      <c r="C15" s="300">
        <v>56.9</v>
      </c>
      <c r="D15" s="300">
        <v>50.3</v>
      </c>
      <c r="E15" s="300">
        <v>11.3</v>
      </c>
      <c r="F15" s="300">
        <v>12.7</v>
      </c>
      <c r="G15" s="300">
        <v>14.3</v>
      </c>
      <c r="H15" s="300">
        <v>217.5</v>
      </c>
      <c r="I15" s="300">
        <v>171.5</v>
      </c>
      <c r="J15" s="300">
        <v>135.5</v>
      </c>
      <c r="K15" s="300">
        <v>11.8</v>
      </c>
      <c r="L15" s="300">
        <v>75.900000000000006</v>
      </c>
      <c r="M15" s="300">
        <v>6.9</v>
      </c>
      <c r="N15" s="301">
        <v>19.5</v>
      </c>
      <c r="O15" s="103">
        <f t="shared" si="0"/>
        <v>784.1</v>
      </c>
      <c r="P15" s="104">
        <f t="shared" si="1"/>
        <v>65.3</v>
      </c>
    </row>
    <row r="16" spans="2:17" ht="22.5" customHeight="1">
      <c r="B16" s="296">
        <v>2002</v>
      </c>
      <c r="C16" s="300">
        <v>58.7</v>
      </c>
      <c r="D16" s="300">
        <v>9</v>
      </c>
      <c r="E16" s="300">
        <v>25.9</v>
      </c>
      <c r="F16" s="300">
        <v>132</v>
      </c>
      <c r="G16" s="300">
        <v>106.9</v>
      </c>
      <c r="H16" s="300">
        <v>57.9</v>
      </c>
      <c r="I16" s="300">
        <v>186.2</v>
      </c>
      <c r="J16" s="300">
        <v>482.4</v>
      </c>
      <c r="K16" s="300">
        <v>90.5</v>
      </c>
      <c r="L16" s="300">
        <v>58</v>
      </c>
      <c r="M16" s="300">
        <v>26.3</v>
      </c>
      <c r="N16" s="301">
        <v>48</v>
      </c>
      <c r="O16" s="103">
        <f t="shared" si="0"/>
        <v>1281.8</v>
      </c>
      <c r="P16" s="104">
        <f t="shared" si="1"/>
        <v>106.8</v>
      </c>
    </row>
    <row r="17" spans="2:16" ht="22.5" customHeight="1">
      <c r="B17" s="296">
        <v>2003</v>
      </c>
      <c r="C17" s="300">
        <v>16.2</v>
      </c>
      <c r="D17" s="300">
        <v>45</v>
      </c>
      <c r="E17" s="300">
        <v>38.9</v>
      </c>
      <c r="F17" s="300">
        <v>192.7</v>
      </c>
      <c r="G17" s="300">
        <v>113.5</v>
      </c>
      <c r="H17" s="300">
        <v>186</v>
      </c>
      <c r="I17" s="300">
        <v>467.2</v>
      </c>
      <c r="J17" s="300">
        <v>293.89999999999998</v>
      </c>
      <c r="K17" s="300">
        <v>150.6</v>
      </c>
      <c r="L17" s="300">
        <v>32.5</v>
      </c>
      <c r="M17" s="300">
        <v>33.1</v>
      </c>
      <c r="N17" s="301">
        <v>12.2</v>
      </c>
      <c r="O17" s="103">
        <f t="shared" si="0"/>
        <v>1581.8</v>
      </c>
      <c r="P17" s="104">
        <f t="shared" si="1"/>
        <v>131.80000000000001</v>
      </c>
    </row>
    <row r="18" spans="2:16" ht="22.5" customHeight="1">
      <c r="B18" s="296">
        <v>2004</v>
      </c>
      <c r="C18" s="300">
        <v>12.5</v>
      </c>
      <c r="D18" s="300">
        <v>42.3</v>
      </c>
      <c r="E18" s="300">
        <v>67.3</v>
      </c>
      <c r="F18" s="300">
        <v>61</v>
      </c>
      <c r="G18" s="300">
        <v>121.8</v>
      </c>
      <c r="H18" s="300">
        <v>421.5</v>
      </c>
      <c r="I18" s="300">
        <v>318.89999999999998</v>
      </c>
      <c r="J18" s="300">
        <v>247.6</v>
      </c>
      <c r="K18" s="300">
        <v>139</v>
      </c>
      <c r="L18" s="300">
        <v>2</v>
      </c>
      <c r="M18" s="300">
        <v>34</v>
      </c>
      <c r="N18" s="301">
        <v>38</v>
      </c>
      <c r="O18" s="103">
        <f t="shared" si="0"/>
        <v>1505.9</v>
      </c>
      <c r="P18" s="104">
        <f t="shared" si="1"/>
        <v>125.5</v>
      </c>
    </row>
    <row r="19" spans="2:16" ht="22.5" customHeight="1">
      <c r="B19" s="296">
        <v>2005</v>
      </c>
      <c r="C19" s="300">
        <v>4.5999999999999996</v>
      </c>
      <c r="D19" s="300">
        <v>13.8</v>
      </c>
      <c r="E19" s="300">
        <v>36.799999999999997</v>
      </c>
      <c r="F19" s="300">
        <v>66.099999999999994</v>
      </c>
      <c r="G19" s="300">
        <v>50.7</v>
      </c>
      <c r="H19" s="300">
        <v>170</v>
      </c>
      <c r="I19" s="300">
        <v>373.1</v>
      </c>
      <c r="J19" s="300">
        <v>334.7</v>
      </c>
      <c r="K19" s="300">
        <v>295.5</v>
      </c>
      <c r="L19" s="300">
        <v>54.6</v>
      </c>
      <c r="M19" s="300">
        <v>16</v>
      </c>
      <c r="N19" s="301">
        <v>11.3</v>
      </c>
      <c r="O19" s="103">
        <f t="shared" si="0"/>
        <v>1427.2</v>
      </c>
      <c r="P19" s="104">
        <f t="shared" si="1"/>
        <v>118.9</v>
      </c>
    </row>
    <row r="20" spans="2:16" ht="22.5" customHeight="1">
      <c r="B20" s="296">
        <v>2006</v>
      </c>
      <c r="C20" s="300">
        <v>20</v>
      </c>
      <c r="D20" s="300">
        <v>28.9</v>
      </c>
      <c r="E20" s="300">
        <v>8.1999999999999993</v>
      </c>
      <c r="F20" s="300">
        <v>89.3</v>
      </c>
      <c r="G20" s="300">
        <v>119.4</v>
      </c>
      <c r="H20" s="300">
        <v>115.5</v>
      </c>
      <c r="I20" s="300">
        <v>508</v>
      </c>
      <c r="J20" s="300">
        <v>52</v>
      </c>
      <c r="K20" s="300">
        <v>18.399999999999999</v>
      </c>
      <c r="L20" s="300">
        <v>21.3</v>
      </c>
      <c r="M20" s="300">
        <v>83.4</v>
      </c>
      <c r="N20" s="301">
        <v>16.7</v>
      </c>
      <c r="O20" s="103">
        <f t="shared" si="0"/>
        <v>1081.0999999999999</v>
      </c>
      <c r="P20" s="104">
        <f t="shared" si="1"/>
        <v>90.1</v>
      </c>
    </row>
    <row r="21" spans="2:16" ht="22.5" customHeight="1">
      <c r="B21" s="296">
        <v>2007</v>
      </c>
      <c r="C21" s="300">
        <v>11.2</v>
      </c>
      <c r="D21" s="300">
        <v>33.299999999999997</v>
      </c>
      <c r="E21" s="300">
        <v>103.2</v>
      </c>
      <c r="F21" s="300">
        <v>35.799999999999997</v>
      </c>
      <c r="G21" s="300">
        <v>145.5</v>
      </c>
      <c r="H21" s="300">
        <v>81.2</v>
      </c>
      <c r="I21" s="300">
        <v>273.2</v>
      </c>
      <c r="J21" s="300">
        <v>385.5</v>
      </c>
      <c r="K21" s="300">
        <v>391.4</v>
      </c>
      <c r="L21" s="300">
        <v>43.5</v>
      </c>
      <c r="M21" s="300">
        <v>8.8000000000000007</v>
      </c>
      <c r="N21" s="301">
        <v>21.9</v>
      </c>
      <c r="O21" s="103">
        <f t="shared" si="0"/>
        <v>1534.5</v>
      </c>
      <c r="P21" s="104">
        <f t="shared" si="1"/>
        <v>127.9</v>
      </c>
    </row>
    <row r="22" spans="2:16" ht="22.5" customHeight="1">
      <c r="B22" s="296">
        <v>2008</v>
      </c>
      <c r="C22" s="300">
        <v>29</v>
      </c>
      <c r="D22" s="300">
        <v>7.7</v>
      </c>
      <c r="E22" s="300">
        <v>29.4</v>
      </c>
      <c r="F22" s="300">
        <v>27</v>
      </c>
      <c r="G22" s="300">
        <v>64.5</v>
      </c>
      <c r="H22" s="300">
        <v>112</v>
      </c>
      <c r="I22" s="300">
        <v>296.60000000000002</v>
      </c>
      <c r="J22" s="300">
        <v>195.5</v>
      </c>
      <c r="K22" s="300">
        <v>92.6</v>
      </c>
      <c r="L22" s="300">
        <v>13.1</v>
      </c>
      <c r="M22" s="300">
        <v>10.5</v>
      </c>
      <c r="N22" s="301">
        <v>14.4</v>
      </c>
      <c r="O22" s="103">
        <f t="shared" si="0"/>
        <v>892.3</v>
      </c>
      <c r="P22" s="104">
        <f t="shared" si="1"/>
        <v>74.400000000000006</v>
      </c>
    </row>
    <row r="23" spans="2:16" ht="22.5" customHeight="1">
      <c r="B23" s="296">
        <v>2009</v>
      </c>
      <c r="C23" s="300">
        <v>17.8</v>
      </c>
      <c r="D23" s="300">
        <v>13.1</v>
      </c>
      <c r="E23" s="300">
        <v>54.9</v>
      </c>
      <c r="F23" s="300">
        <v>30.4</v>
      </c>
      <c r="G23" s="300">
        <v>109.6</v>
      </c>
      <c r="H23" s="300">
        <v>77.2</v>
      </c>
      <c r="I23" s="300">
        <v>345.7</v>
      </c>
      <c r="J23" s="300">
        <v>187.5</v>
      </c>
      <c r="K23" s="300">
        <v>49.5</v>
      </c>
      <c r="L23" s="300">
        <v>49.5</v>
      </c>
      <c r="M23" s="300">
        <v>43.9</v>
      </c>
      <c r="N23" s="301">
        <v>40.700000000000003</v>
      </c>
      <c r="O23" s="103">
        <f t="shared" si="0"/>
        <v>1019.8</v>
      </c>
      <c r="P23" s="104">
        <f t="shared" si="1"/>
        <v>85</v>
      </c>
    </row>
    <row r="24" spans="2:16" ht="22.5" customHeight="1">
      <c r="B24" s="296">
        <v>2010</v>
      </c>
      <c r="C24" s="300">
        <v>37.799999999999997</v>
      </c>
      <c r="D24" s="300">
        <v>69.2</v>
      </c>
      <c r="E24" s="300">
        <v>99.8</v>
      </c>
      <c r="F24" s="300">
        <v>70.5</v>
      </c>
      <c r="G24" s="300">
        <v>110</v>
      </c>
      <c r="H24" s="300">
        <v>42.6</v>
      </c>
      <c r="I24" s="300">
        <v>224.1</v>
      </c>
      <c r="J24" s="300">
        <v>433.2</v>
      </c>
      <c r="K24" s="300">
        <v>278.60000000000002</v>
      </c>
      <c r="L24" s="300">
        <v>17.100000000000001</v>
      </c>
      <c r="M24" s="300">
        <v>15.7</v>
      </c>
      <c r="N24" s="301">
        <v>23.8</v>
      </c>
      <c r="O24" s="103">
        <f t="shared" si="0"/>
        <v>1422.4</v>
      </c>
      <c r="P24" s="104">
        <f t="shared" si="1"/>
        <v>118.5</v>
      </c>
    </row>
    <row r="25" spans="2:16" ht="22.5" customHeight="1">
      <c r="B25" s="296">
        <v>2011</v>
      </c>
      <c r="C25" s="300">
        <v>4.5</v>
      </c>
      <c r="D25" s="300">
        <v>43.2</v>
      </c>
      <c r="E25" s="300">
        <v>23.5</v>
      </c>
      <c r="F25" s="300">
        <v>111.2</v>
      </c>
      <c r="G25" s="300">
        <v>116.2</v>
      </c>
      <c r="H25" s="300">
        <v>360.7</v>
      </c>
      <c r="I25" s="300">
        <v>531.9</v>
      </c>
      <c r="J25" s="300">
        <v>290.2</v>
      </c>
      <c r="K25" s="300">
        <v>182.5</v>
      </c>
      <c r="L25" s="300">
        <v>34.5</v>
      </c>
      <c r="M25" s="300">
        <v>92.6</v>
      </c>
      <c r="N25" s="301">
        <v>14.6</v>
      </c>
      <c r="O25" s="103">
        <f t="shared" si="0"/>
        <v>1805.6</v>
      </c>
      <c r="P25" s="104">
        <f t="shared" si="1"/>
        <v>150.5</v>
      </c>
    </row>
    <row r="26" spans="2:16" ht="22.5" customHeight="1">
      <c r="B26" s="296">
        <v>2012</v>
      </c>
      <c r="C26" s="300">
        <v>17.8</v>
      </c>
      <c r="D26" s="300">
        <v>3.7</v>
      </c>
      <c r="E26" s="300">
        <v>65.099999999999994</v>
      </c>
      <c r="F26" s="300">
        <v>106.8</v>
      </c>
      <c r="G26" s="300">
        <v>31.2</v>
      </c>
      <c r="H26" s="300">
        <v>93.7</v>
      </c>
      <c r="I26" s="300">
        <v>257.39999999999998</v>
      </c>
      <c r="J26" s="300">
        <v>479.5</v>
      </c>
      <c r="K26" s="300">
        <v>162.5</v>
      </c>
      <c r="L26" s="300">
        <v>61.2</v>
      </c>
      <c r="M26" s="300">
        <v>52.1</v>
      </c>
      <c r="N26" s="301">
        <v>56.6</v>
      </c>
      <c r="O26" s="103">
        <f t="shared" si="0"/>
        <v>1387.6</v>
      </c>
      <c r="P26" s="104">
        <f t="shared" si="1"/>
        <v>115.6</v>
      </c>
    </row>
    <row r="27" spans="2:16" ht="22.5" customHeight="1">
      <c r="B27" s="296">
        <v>2013</v>
      </c>
      <c r="C27" s="300">
        <v>30.5</v>
      </c>
      <c r="D27" s="300">
        <v>33.200000000000003</v>
      </c>
      <c r="E27" s="300">
        <v>46.8</v>
      </c>
      <c r="F27" s="300">
        <v>65</v>
      </c>
      <c r="G27" s="300">
        <v>97.9</v>
      </c>
      <c r="H27" s="300">
        <v>229.9</v>
      </c>
      <c r="I27" s="300">
        <v>253.6</v>
      </c>
      <c r="J27" s="300">
        <v>183.9</v>
      </c>
      <c r="K27" s="300">
        <v>162.6</v>
      </c>
      <c r="L27" s="300">
        <v>26.5</v>
      </c>
      <c r="M27" s="300">
        <v>78.2</v>
      </c>
      <c r="N27" s="301">
        <v>37.299999999999997</v>
      </c>
      <c r="O27" s="103">
        <f t="shared" si="0"/>
        <v>1245.4000000000001</v>
      </c>
      <c r="P27" s="104">
        <f t="shared" si="1"/>
        <v>103.8</v>
      </c>
    </row>
    <row r="28" spans="2:16" ht="22.5" customHeight="1">
      <c r="B28" s="296">
        <v>2014</v>
      </c>
      <c r="C28" s="300">
        <v>5.9</v>
      </c>
      <c r="D28" s="300">
        <v>6.8</v>
      </c>
      <c r="E28" s="300">
        <v>51.1</v>
      </c>
      <c r="F28" s="300">
        <v>43.7</v>
      </c>
      <c r="G28" s="300">
        <v>35</v>
      </c>
      <c r="H28" s="300">
        <v>92.6</v>
      </c>
      <c r="I28" s="300">
        <v>125.1</v>
      </c>
      <c r="J28" s="300">
        <v>197.5</v>
      </c>
      <c r="K28" s="300">
        <v>147.5</v>
      </c>
      <c r="L28" s="300">
        <v>151.1</v>
      </c>
      <c r="M28" s="300">
        <v>24.8</v>
      </c>
      <c r="N28" s="301">
        <v>32.6</v>
      </c>
      <c r="O28" s="103">
        <f t="shared" si="0"/>
        <v>913.7</v>
      </c>
      <c r="P28" s="104">
        <f t="shared" si="1"/>
        <v>76.099999999999994</v>
      </c>
    </row>
    <row r="29" spans="2:16" ht="22.5" customHeight="1">
      <c r="B29" s="296">
        <v>2015</v>
      </c>
      <c r="C29" s="300">
        <v>16</v>
      </c>
      <c r="D29" s="300">
        <v>26.5</v>
      </c>
      <c r="E29" s="300">
        <v>44.1</v>
      </c>
      <c r="F29" s="300">
        <v>109.1</v>
      </c>
      <c r="G29" s="300">
        <v>24.4</v>
      </c>
      <c r="H29" s="300">
        <v>83.3</v>
      </c>
      <c r="I29" s="300">
        <v>141.4</v>
      </c>
      <c r="J29" s="300">
        <v>54.3</v>
      </c>
      <c r="K29" s="300">
        <v>20.100000000000001</v>
      </c>
      <c r="L29" s="300">
        <v>90.5</v>
      </c>
      <c r="M29" s="300">
        <v>106.8</v>
      </c>
      <c r="N29" s="301">
        <v>38.9</v>
      </c>
      <c r="O29" s="103">
        <f t="shared" si="0"/>
        <v>755.4</v>
      </c>
      <c r="P29" s="104">
        <f t="shared" si="1"/>
        <v>63</v>
      </c>
    </row>
    <row r="30" spans="2:16" ht="22.5" customHeight="1">
      <c r="B30" s="296">
        <v>2016</v>
      </c>
      <c r="C30" s="300">
        <v>5.7</v>
      </c>
      <c r="D30" s="300">
        <v>45.5</v>
      </c>
      <c r="E30" s="300">
        <v>13.2</v>
      </c>
      <c r="F30" s="300">
        <v>132.1</v>
      </c>
      <c r="G30" s="300">
        <v>84.4</v>
      </c>
      <c r="H30" s="300">
        <v>39.9</v>
      </c>
      <c r="I30" s="300">
        <v>320</v>
      </c>
      <c r="J30" s="300">
        <v>69</v>
      </c>
      <c r="K30" s="300">
        <v>78.099999999999994</v>
      </c>
      <c r="L30" s="300">
        <v>83.6</v>
      </c>
      <c r="M30" s="300">
        <v>26.4</v>
      </c>
      <c r="N30" s="301">
        <v>40.1</v>
      </c>
      <c r="O30" s="103">
        <f t="shared" si="0"/>
        <v>938</v>
      </c>
      <c r="P30" s="104">
        <f t="shared" si="1"/>
        <v>78.2</v>
      </c>
    </row>
    <row r="31" spans="2:16" ht="22.5" customHeight="1">
      <c r="B31" s="296">
        <v>2017</v>
      </c>
      <c r="C31" s="300">
        <v>12</v>
      </c>
      <c r="D31" s="300">
        <v>38.700000000000003</v>
      </c>
      <c r="E31" s="300">
        <v>8.9</v>
      </c>
      <c r="F31" s="300">
        <v>61.7</v>
      </c>
      <c r="G31" s="300">
        <v>11.9</v>
      </c>
      <c r="H31" s="300">
        <v>17.5</v>
      </c>
      <c r="I31" s="300">
        <v>789.1</v>
      </c>
      <c r="J31" s="300">
        <v>225.2</v>
      </c>
      <c r="K31" s="300">
        <v>78.3</v>
      </c>
      <c r="L31" s="300">
        <v>23.1</v>
      </c>
      <c r="M31" s="300">
        <v>13.7</v>
      </c>
      <c r="N31" s="301">
        <v>21.1</v>
      </c>
      <c r="O31" s="103">
        <f t="shared" si="0"/>
        <v>1301.2</v>
      </c>
      <c r="P31" s="104">
        <f t="shared" si="1"/>
        <v>108.4</v>
      </c>
    </row>
    <row r="32" spans="2:16" ht="22.5" customHeight="1">
      <c r="B32" s="296">
        <v>2018</v>
      </c>
      <c r="C32" s="300">
        <v>17.600000000000001</v>
      </c>
      <c r="D32" s="300">
        <v>30.6</v>
      </c>
      <c r="E32" s="300">
        <v>81.7</v>
      </c>
      <c r="F32" s="300">
        <v>133</v>
      </c>
      <c r="G32" s="300">
        <v>92</v>
      </c>
      <c r="H32" s="300">
        <v>63.3</v>
      </c>
      <c r="I32" s="300">
        <v>324.89999999999998</v>
      </c>
      <c r="J32" s="300">
        <v>247.9</v>
      </c>
      <c r="K32" s="300">
        <v>204</v>
      </c>
      <c r="L32" s="300">
        <v>112.2</v>
      </c>
      <c r="M32" s="300">
        <v>45.9</v>
      </c>
      <c r="N32" s="301">
        <v>28.5</v>
      </c>
      <c r="O32" s="103">
        <f t="shared" si="0"/>
        <v>1381.6</v>
      </c>
      <c r="P32" s="104">
        <f t="shared" si="1"/>
        <v>115.1</v>
      </c>
    </row>
    <row r="33" spans="2:16" ht="22.5" customHeight="1">
      <c r="B33" s="296">
        <v>2019</v>
      </c>
      <c r="C33" s="300">
        <v>0.1</v>
      </c>
      <c r="D33" s="300">
        <v>23</v>
      </c>
      <c r="E33" s="300">
        <v>20.3</v>
      </c>
      <c r="F33" s="300">
        <v>60.8</v>
      </c>
      <c r="G33" s="300">
        <v>20.3</v>
      </c>
      <c r="H33" s="300">
        <v>82.5</v>
      </c>
      <c r="I33" s="300">
        <v>204.8</v>
      </c>
      <c r="J33" s="300">
        <v>80.5</v>
      </c>
      <c r="K33" s="300">
        <v>155.1</v>
      </c>
      <c r="L33" s="300">
        <v>84.3</v>
      </c>
      <c r="M33" s="300">
        <v>104.9</v>
      </c>
      <c r="N33" s="301">
        <v>18.8</v>
      </c>
      <c r="O33" s="103">
        <f t="shared" si="0"/>
        <v>855.4</v>
      </c>
      <c r="P33" s="104">
        <f t="shared" si="1"/>
        <v>71.3</v>
      </c>
    </row>
    <row r="34" spans="2:16" ht="22.5" customHeight="1" thickBot="1">
      <c r="B34" s="297">
        <v>2020</v>
      </c>
      <c r="C34" s="302">
        <v>62</v>
      </c>
      <c r="D34" s="302">
        <v>62.7</v>
      </c>
      <c r="E34" s="302">
        <v>22.9</v>
      </c>
      <c r="F34" s="302">
        <v>15.7</v>
      </c>
      <c r="G34" s="302">
        <v>65.3</v>
      </c>
      <c r="H34" s="302">
        <v>145.9</v>
      </c>
      <c r="I34" s="302">
        <v>386.6</v>
      </c>
      <c r="J34" s="302">
        <v>385.8</v>
      </c>
      <c r="K34" s="302">
        <v>160.6</v>
      </c>
      <c r="L34" s="302">
        <v>5.8</v>
      </c>
      <c r="M34" s="302">
        <v>41</v>
      </c>
      <c r="N34" s="303">
        <v>4.3</v>
      </c>
      <c r="O34" s="107">
        <f t="shared" si="0"/>
        <v>1358.6</v>
      </c>
      <c r="P34" s="108">
        <f t="shared" si="1"/>
        <v>113.2</v>
      </c>
    </row>
    <row r="35" spans="2:16" ht="22.5" customHeight="1">
      <c r="B35" s="82" t="s">
        <v>45</v>
      </c>
      <c r="C35" s="311">
        <f>ROUND(MAX(C5:C34),1)</f>
        <v>62</v>
      </c>
      <c r="D35" s="311">
        <f t="shared" ref="D35:N35" si="2">ROUND(MAX(D5:D34),1)</f>
        <v>75.400000000000006</v>
      </c>
      <c r="E35" s="311">
        <f t="shared" si="2"/>
        <v>103.2</v>
      </c>
      <c r="F35" s="311">
        <f t="shared" si="2"/>
        <v>192.7</v>
      </c>
      <c r="G35" s="311">
        <f t="shared" si="2"/>
        <v>179.1</v>
      </c>
      <c r="H35" s="311">
        <f t="shared" si="2"/>
        <v>421.5</v>
      </c>
      <c r="I35" s="311">
        <f t="shared" si="2"/>
        <v>789.1</v>
      </c>
      <c r="J35" s="311">
        <f t="shared" si="2"/>
        <v>835.4</v>
      </c>
      <c r="K35" s="311">
        <f t="shared" si="2"/>
        <v>391.4</v>
      </c>
      <c r="L35" s="311">
        <f t="shared" si="2"/>
        <v>252.4</v>
      </c>
      <c r="M35" s="311">
        <f t="shared" si="2"/>
        <v>180.3</v>
      </c>
      <c r="N35" s="312">
        <f t="shared" si="2"/>
        <v>69.400000000000006</v>
      </c>
      <c r="O35" s="109">
        <f>ROUND(MAX(O5:O34),1)</f>
        <v>1805.6</v>
      </c>
      <c r="P35" s="110">
        <f>ROUND(MAX(P5:P34),1)</f>
        <v>150.5</v>
      </c>
    </row>
    <row r="36" spans="2:16" ht="22.5" customHeight="1">
      <c r="B36" s="73" t="s">
        <v>46</v>
      </c>
      <c r="C36" s="313">
        <f>ROUND(MIN(C5:C34),1)</f>
        <v>0.1</v>
      </c>
      <c r="D36" s="313">
        <f t="shared" ref="D36:N36" si="3">ROUND(MIN(D5:D34),1)</f>
        <v>1.3</v>
      </c>
      <c r="E36" s="313">
        <f t="shared" si="3"/>
        <v>8.1999999999999993</v>
      </c>
      <c r="F36" s="313">
        <f t="shared" si="3"/>
        <v>12.7</v>
      </c>
      <c r="G36" s="313">
        <f t="shared" si="3"/>
        <v>11.9</v>
      </c>
      <c r="H36" s="313">
        <f t="shared" si="3"/>
        <v>17.5</v>
      </c>
      <c r="I36" s="313">
        <f t="shared" si="3"/>
        <v>85.5</v>
      </c>
      <c r="J36" s="313">
        <f t="shared" si="3"/>
        <v>52</v>
      </c>
      <c r="K36" s="313">
        <f t="shared" si="3"/>
        <v>11.2</v>
      </c>
      <c r="L36" s="313">
        <f t="shared" si="3"/>
        <v>2</v>
      </c>
      <c r="M36" s="313">
        <f t="shared" si="3"/>
        <v>6.9</v>
      </c>
      <c r="N36" s="314">
        <f t="shared" si="3"/>
        <v>3.6</v>
      </c>
      <c r="O36" s="111">
        <f>ROUND(MIN(O5:O34),1)</f>
        <v>755.4</v>
      </c>
      <c r="P36" s="102">
        <f>ROUND(MIN(P5:P34),1)</f>
        <v>63</v>
      </c>
    </row>
    <row r="37" spans="2:16" ht="22.5" customHeight="1" thickBot="1">
      <c r="B37" s="83" t="s">
        <v>56</v>
      </c>
      <c r="C37" s="315">
        <f>ROUND(AVERAGE(C5:C34),1)</f>
        <v>20.6</v>
      </c>
      <c r="D37" s="315">
        <f t="shared" ref="D37:N37" si="4">ROUND(AVERAGE(D5:D34),1)</f>
        <v>29</v>
      </c>
      <c r="E37" s="315">
        <f t="shared" si="4"/>
        <v>42.9</v>
      </c>
      <c r="F37" s="315">
        <f t="shared" si="4"/>
        <v>75.5</v>
      </c>
      <c r="G37" s="315">
        <f t="shared" si="4"/>
        <v>82.8</v>
      </c>
      <c r="H37" s="315">
        <f t="shared" si="4"/>
        <v>140</v>
      </c>
      <c r="I37" s="315">
        <f t="shared" si="4"/>
        <v>293.8</v>
      </c>
      <c r="J37" s="315">
        <f t="shared" si="4"/>
        <v>274.2</v>
      </c>
      <c r="K37" s="315">
        <f t="shared" si="4"/>
        <v>142.30000000000001</v>
      </c>
      <c r="L37" s="315">
        <f t="shared" si="4"/>
        <v>58</v>
      </c>
      <c r="M37" s="315">
        <f t="shared" si="4"/>
        <v>46.7</v>
      </c>
      <c r="N37" s="316">
        <f t="shared" si="4"/>
        <v>26.6</v>
      </c>
      <c r="O37" s="112">
        <f>ROUND(AVERAGE(O5:O34),1)</f>
        <v>1232.3</v>
      </c>
      <c r="P37" s="113">
        <f>ROUND(AVERAGE(P5:P34),1)</f>
        <v>102.7</v>
      </c>
    </row>
    <row r="38" spans="2:16" ht="21.95" customHeight="1"/>
    <row r="39" spans="2:16" ht="21.95" customHeight="1" thickBot="1"/>
    <row r="40" spans="2:16" ht="22.5" customHeight="1">
      <c r="B40" s="247" t="s">
        <v>51</v>
      </c>
      <c r="C40" s="248" t="s">
        <v>40</v>
      </c>
      <c r="D40" s="248" t="s">
        <v>41</v>
      </c>
      <c r="E40" s="248" t="s">
        <v>42</v>
      </c>
      <c r="F40" s="248" t="s">
        <v>43</v>
      </c>
      <c r="G40" s="248" t="s">
        <v>44</v>
      </c>
      <c r="H40" s="248" t="s">
        <v>12</v>
      </c>
      <c r="I40" s="248" t="s">
        <v>13</v>
      </c>
      <c r="J40" s="248" t="s">
        <v>14</v>
      </c>
      <c r="K40" s="248" t="s">
        <v>15</v>
      </c>
      <c r="L40" s="248" t="s">
        <v>16</v>
      </c>
      <c r="M40" s="248" t="s">
        <v>17</v>
      </c>
      <c r="N40" s="249" t="s">
        <v>18</v>
      </c>
      <c r="O40" s="250" t="s">
        <v>54</v>
      </c>
      <c r="P40" s="249" t="s">
        <v>39</v>
      </c>
    </row>
    <row r="41" spans="2:16" ht="22.5" customHeight="1">
      <c r="B41" s="304">
        <v>2011</v>
      </c>
      <c r="C41" s="300">
        <v>4.5</v>
      </c>
      <c r="D41" s="300">
        <v>43.2</v>
      </c>
      <c r="E41" s="300">
        <v>23.5</v>
      </c>
      <c r="F41" s="300">
        <v>111.2</v>
      </c>
      <c r="G41" s="300">
        <v>116.2</v>
      </c>
      <c r="H41" s="300">
        <v>360.7</v>
      </c>
      <c r="I41" s="300">
        <v>531.9</v>
      </c>
      <c r="J41" s="300">
        <v>290.2</v>
      </c>
      <c r="K41" s="300">
        <v>182.5</v>
      </c>
      <c r="L41" s="300">
        <v>34.5</v>
      </c>
      <c r="M41" s="300">
        <v>92.6</v>
      </c>
      <c r="N41" s="301">
        <v>14.6</v>
      </c>
      <c r="O41" s="114">
        <f>ROUND(SUM(C41:N41),1)</f>
        <v>1805.6</v>
      </c>
      <c r="P41" s="102">
        <f>ROUND(O41/12,1)</f>
        <v>150.5</v>
      </c>
    </row>
    <row r="42" spans="2:16" ht="22.5" customHeight="1">
      <c r="B42" s="304">
        <v>2012</v>
      </c>
      <c r="C42" s="300">
        <v>17.8</v>
      </c>
      <c r="D42" s="300">
        <v>3.7</v>
      </c>
      <c r="E42" s="300">
        <v>65.099999999999994</v>
      </c>
      <c r="F42" s="300">
        <v>106.8</v>
      </c>
      <c r="G42" s="300">
        <v>31.2</v>
      </c>
      <c r="H42" s="300">
        <v>93.7</v>
      </c>
      <c r="I42" s="300">
        <v>257.39999999999998</v>
      </c>
      <c r="J42" s="300">
        <v>479.5</v>
      </c>
      <c r="K42" s="300">
        <v>162.5</v>
      </c>
      <c r="L42" s="300">
        <v>61.2</v>
      </c>
      <c r="M42" s="300">
        <v>52.1</v>
      </c>
      <c r="N42" s="301">
        <v>56.6</v>
      </c>
      <c r="O42" s="114">
        <f t="shared" ref="O42:O50" si="5">ROUND(SUM(C42:N42),1)</f>
        <v>1387.6</v>
      </c>
      <c r="P42" s="102">
        <f t="shared" ref="P42:P50" si="6">ROUND(O42/12,1)</f>
        <v>115.6</v>
      </c>
    </row>
    <row r="43" spans="2:16" ht="22.5" customHeight="1">
      <c r="B43" s="304">
        <v>2013</v>
      </c>
      <c r="C43" s="300">
        <v>30.5</v>
      </c>
      <c r="D43" s="300">
        <v>33.200000000000003</v>
      </c>
      <c r="E43" s="300">
        <v>46.8</v>
      </c>
      <c r="F43" s="300">
        <v>65</v>
      </c>
      <c r="G43" s="300">
        <v>97.9</v>
      </c>
      <c r="H43" s="300">
        <v>229.9</v>
      </c>
      <c r="I43" s="300">
        <v>253.6</v>
      </c>
      <c r="J43" s="300">
        <v>183.9</v>
      </c>
      <c r="K43" s="300">
        <v>162.6</v>
      </c>
      <c r="L43" s="300">
        <v>26.5</v>
      </c>
      <c r="M43" s="300">
        <v>78.2</v>
      </c>
      <c r="N43" s="301">
        <v>37.299999999999997</v>
      </c>
      <c r="O43" s="114">
        <f t="shared" si="5"/>
        <v>1245.4000000000001</v>
      </c>
      <c r="P43" s="102">
        <f t="shared" si="6"/>
        <v>103.8</v>
      </c>
    </row>
    <row r="44" spans="2:16" ht="22.5" customHeight="1">
      <c r="B44" s="304">
        <v>2014</v>
      </c>
      <c r="C44" s="300">
        <v>5.9</v>
      </c>
      <c r="D44" s="300">
        <v>6.8</v>
      </c>
      <c r="E44" s="300">
        <v>51.1</v>
      </c>
      <c r="F44" s="300">
        <v>43.7</v>
      </c>
      <c r="G44" s="300">
        <v>35</v>
      </c>
      <c r="H44" s="300">
        <v>92.6</v>
      </c>
      <c r="I44" s="300">
        <v>125.1</v>
      </c>
      <c r="J44" s="300">
        <v>197.5</v>
      </c>
      <c r="K44" s="300">
        <v>147.5</v>
      </c>
      <c r="L44" s="300">
        <v>151.1</v>
      </c>
      <c r="M44" s="300">
        <v>24.8</v>
      </c>
      <c r="N44" s="301">
        <v>32.6</v>
      </c>
      <c r="O44" s="114">
        <f t="shared" si="5"/>
        <v>913.7</v>
      </c>
      <c r="P44" s="102">
        <f t="shared" si="6"/>
        <v>76.099999999999994</v>
      </c>
    </row>
    <row r="45" spans="2:16" ht="22.5" customHeight="1">
      <c r="B45" s="304">
        <v>2015</v>
      </c>
      <c r="C45" s="300">
        <v>16</v>
      </c>
      <c r="D45" s="300">
        <v>26.5</v>
      </c>
      <c r="E45" s="300">
        <v>44.1</v>
      </c>
      <c r="F45" s="300">
        <v>109.1</v>
      </c>
      <c r="G45" s="300">
        <v>24.4</v>
      </c>
      <c r="H45" s="300">
        <v>83.3</v>
      </c>
      <c r="I45" s="300">
        <v>141.4</v>
      </c>
      <c r="J45" s="300">
        <v>54.3</v>
      </c>
      <c r="K45" s="300">
        <v>20.100000000000001</v>
      </c>
      <c r="L45" s="300">
        <v>90.5</v>
      </c>
      <c r="M45" s="300">
        <v>106.8</v>
      </c>
      <c r="N45" s="301">
        <v>38.9</v>
      </c>
      <c r="O45" s="114">
        <f t="shared" si="5"/>
        <v>755.4</v>
      </c>
      <c r="P45" s="102">
        <f t="shared" si="6"/>
        <v>63</v>
      </c>
    </row>
    <row r="46" spans="2:16" ht="22.5" customHeight="1">
      <c r="B46" s="304">
        <v>2016</v>
      </c>
      <c r="C46" s="300">
        <v>5.7</v>
      </c>
      <c r="D46" s="300">
        <v>45.5</v>
      </c>
      <c r="E46" s="300">
        <v>13.2</v>
      </c>
      <c r="F46" s="300">
        <v>132.1</v>
      </c>
      <c r="G46" s="300">
        <v>84.4</v>
      </c>
      <c r="H46" s="300">
        <v>39.9</v>
      </c>
      <c r="I46" s="300">
        <v>320</v>
      </c>
      <c r="J46" s="300">
        <v>69</v>
      </c>
      <c r="K46" s="300">
        <v>78.099999999999994</v>
      </c>
      <c r="L46" s="300">
        <v>83.6</v>
      </c>
      <c r="M46" s="300">
        <v>26.4</v>
      </c>
      <c r="N46" s="301">
        <v>40.1</v>
      </c>
      <c r="O46" s="114">
        <f t="shared" si="5"/>
        <v>938</v>
      </c>
      <c r="P46" s="102">
        <f t="shared" si="6"/>
        <v>78.2</v>
      </c>
    </row>
    <row r="47" spans="2:16" ht="22.5" customHeight="1">
      <c r="B47" s="304">
        <v>2017</v>
      </c>
      <c r="C47" s="300">
        <v>12</v>
      </c>
      <c r="D47" s="300">
        <v>38.700000000000003</v>
      </c>
      <c r="E47" s="300">
        <v>8.9</v>
      </c>
      <c r="F47" s="300">
        <v>61.7</v>
      </c>
      <c r="G47" s="300">
        <v>11.9</v>
      </c>
      <c r="H47" s="300">
        <v>17.5</v>
      </c>
      <c r="I47" s="300">
        <v>789.1</v>
      </c>
      <c r="J47" s="300">
        <v>225.2</v>
      </c>
      <c r="K47" s="300">
        <v>78.3</v>
      </c>
      <c r="L47" s="300">
        <v>23.1</v>
      </c>
      <c r="M47" s="300">
        <v>13.7</v>
      </c>
      <c r="N47" s="301">
        <v>21.1</v>
      </c>
      <c r="O47" s="114">
        <f t="shared" si="5"/>
        <v>1301.2</v>
      </c>
      <c r="P47" s="102">
        <f t="shared" si="6"/>
        <v>108.4</v>
      </c>
    </row>
    <row r="48" spans="2:16" ht="22.5" customHeight="1">
      <c r="B48" s="304">
        <v>2018</v>
      </c>
      <c r="C48" s="300">
        <v>17.600000000000001</v>
      </c>
      <c r="D48" s="300">
        <v>30.6</v>
      </c>
      <c r="E48" s="300">
        <v>81.7</v>
      </c>
      <c r="F48" s="300">
        <v>133</v>
      </c>
      <c r="G48" s="300">
        <v>92</v>
      </c>
      <c r="H48" s="300">
        <v>63.3</v>
      </c>
      <c r="I48" s="300">
        <v>324.89999999999998</v>
      </c>
      <c r="J48" s="300">
        <v>247.9</v>
      </c>
      <c r="K48" s="300">
        <v>204</v>
      </c>
      <c r="L48" s="300">
        <v>112.2</v>
      </c>
      <c r="M48" s="300">
        <v>45.9</v>
      </c>
      <c r="N48" s="301">
        <v>28.5</v>
      </c>
      <c r="O48" s="114">
        <f t="shared" si="5"/>
        <v>1381.6</v>
      </c>
      <c r="P48" s="102">
        <f t="shared" si="6"/>
        <v>115.1</v>
      </c>
    </row>
    <row r="49" spans="2:16" ht="22.5" customHeight="1">
      <c r="B49" s="304">
        <v>2019</v>
      </c>
      <c r="C49" s="300">
        <v>0.1</v>
      </c>
      <c r="D49" s="300">
        <v>23</v>
      </c>
      <c r="E49" s="300">
        <v>20.3</v>
      </c>
      <c r="F49" s="300">
        <v>60.8</v>
      </c>
      <c r="G49" s="300">
        <v>20.3</v>
      </c>
      <c r="H49" s="300">
        <v>82.5</v>
      </c>
      <c r="I49" s="300">
        <v>204.8</v>
      </c>
      <c r="J49" s="300">
        <v>80.5</v>
      </c>
      <c r="K49" s="300">
        <v>155.1</v>
      </c>
      <c r="L49" s="300">
        <v>84.3</v>
      </c>
      <c r="M49" s="300">
        <v>104.9</v>
      </c>
      <c r="N49" s="301">
        <v>18.8</v>
      </c>
      <c r="O49" s="114">
        <f t="shared" si="5"/>
        <v>855.4</v>
      </c>
      <c r="P49" s="102">
        <f t="shared" si="6"/>
        <v>71.3</v>
      </c>
    </row>
    <row r="50" spans="2:16" ht="22.5" customHeight="1" thickBot="1">
      <c r="B50" s="297">
        <v>2020</v>
      </c>
      <c r="C50" s="302">
        <v>62</v>
      </c>
      <c r="D50" s="302">
        <v>62.7</v>
      </c>
      <c r="E50" s="302">
        <v>22.9</v>
      </c>
      <c r="F50" s="302">
        <v>15.7</v>
      </c>
      <c r="G50" s="302">
        <v>65.3</v>
      </c>
      <c r="H50" s="302">
        <v>145.9</v>
      </c>
      <c r="I50" s="302">
        <v>386.6</v>
      </c>
      <c r="J50" s="302">
        <v>385.8</v>
      </c>
      <c r="K50" s="302">
        <v>160.6</v>
      </c>
      <c r="L50" s="302">
        <v>5.8</v>
      </c>
      <c r="M50" s="302">
        <v>41</v>
      </c>
      <c r="N50" s="303">
        <v>4.3</v>
      </c>
      <c r="O50" s="115">
        <f t="shared" si="5"/>
        <v>1358.6</v>
      </c>
      <c r="P50" s="106">
        <f t="shared" si="6"/>
        <v>113.2</v>
      </c>
    </row>
    <row r="51" spans="2:16" ht="22.5" customHeight="1">
      <c r="B51" s="116" t="s">
        <v>57</v>
      </c>
      <c r="C51" s="305">
        <f>MAX(C41:C50)</f>
        <v>62</v>
      </c>
      <c r="D51" s="305">
        <f t="shared" ref="D51:P51" si="7">MAX(D41:D50)</f>
        <v>62.7</v>
      </c>
      <c r="E51" s="305">
        <f t="shared" si="7"/>
        <v>81.7</v>
      </c>
      <c r="F51" s="305">
        <f t="shared" si="7"/>
        <v>133</v>
      </c>
      <c r="G51" s="305">
        <f t="shared" si="7"/>
        <v>116.2</v>
      </c>
      <c r="H51" s="305">
        <f t="shared" si="7"/>
        <v>360.7</v>
      </c>
      <c r="I51" s="305">
        <f t="shared" si="7"/>
        <v>789.1</v>
      </c>
      <c r="J51" s="305">
        <f t="shared" si="7"/>
        <v>479.5</v>
      </c>
      <c r="K51" s="305">
        <f t="shared" si="7"/>
        <v>204</v>
      </c>
      <c r="L51" s="305">
        <f t="shared" si="7"/>
        <v>151.1</v>
      </c>
      <c r="M51" s="305">
        <f t="shared" si="7"/>
        <v>106.8</v>
      </c>
      <c r="N51" s="306">
        <f t="shared" si="7"/>
        <v>56.6</v>
      </c>
      <c r="O51" s="117">
        <f t="shared" si="7"/>
        <v>1805.6</v>
      </c>
      <c r="P51" s="110">
        <f t="shared" si="7"/>
        <v>150.5</v>
      </c>
    </row>
    <row r="52" spans="2:16" ht="22.5" customHeight="1">
      <c r="B52" s="118" t="s">
        <v>58</v>
      </c>
      <c r="C52" s="307">
        <f>MIN(C41:C50)</f>
        <v>0.1</v>
      </c>
      <c r="D52" s="307">
        <f t="shared" ref="D52:P52" si="8">MIN(D41:D50)</f>
        <v>3.7</v>
      </c>
      <c r="E52" s="307">
        <f t="shared" si="8"/>
        <v>8.9</v>
      </c>
      <c r="F52" s="307">
        <f t="shared" si="8"/>
        <v>15.7</v>
      </c>
      <c r="G52" s="307">
        <f t="shared" si="8"/>
        <v>11.9</v>
      </c>
      <c r="H52" s="307">
        <f t="shared" si="8"/>
        <v>17.5</v>
      </c>
      <c r="I52" s="307">
        <f t="shared" si="8"/>
        <v>125.1</v>
      </c>
      <c r="J52" s="307">
        <f t="shared" si="8"/>
        <v>54.3</v>
      </c>
      <c r="K52" s="307">
        <f t="shared" si="8"/>
        <v>20.100000000000001</v>
      </c>
      <c r="L52" s="307">
        <f t="shared" si="8"/>
        <v>5.8</v>
      </c>
      <c r="M52" s="307">
        <f t="shared" si="8"/>
        <v>13.7</v>
      </c>
      <c r="N52" s="308">
        <f t="shared" si="8"/>
        <v>4.3</v>
      </c>
      <c r="O52" s="114">
        <f>MIN(O41:O50)</f>
        <v>755.4</v>
      </c>
      <c r="P52" s="102">
        <f t="shared" si="8"/>
        <v>63</v>
      </c>
    </row>
    <row r="53" spans="2:16" ht="22.5" customHeight="1" thickBot="1">
      <c r="B53" s="119" t="s">
        <v>39</v>
      </c>
      <c r="C53" s="309">
        <f>ROUND(AVERAGE(C41:C50),1)</f>
        <v>17.2</v>
      </c>
      <c r="D53" s="309">
        <f t="shared" ref="D53:N53" si="9">ROUND(AVERAGE(D41:D50),1)</f>
        <v>31.4</v>
      </c>
      <c r="E53" s="309">
        <f t="shared" si="9"/>
        <v>37.799999999999997</v>
      </c>
      <c r="F53" s="309">
        <f t="shared" si="9"/>
        <v>83.9</v>
      </c>
      <c r="G53" s="309">
        <f t="shared" si="9"/>
        <v>57.9</v>
      </c>
      <c r="H53" s="309">
        <f t="shared" si="9"/>
        <v>120.9</v>
      </c>
      <c r="I53" s="309">
        <f t="shared" si="9"/>
        <v>333.5</v>
      </c>
      <c r="J53" s="309">
        <f t="shared" si="9"/>
        <v>221.4</v>
      </c>
      <c r="K53" s="309">
        <f t="shared" si="9"/>
        <v>135.1</v>
      </c>
      <c r="L53" s="309">
        <f t="shared" si="9"/>
        <v>67.3</v>
      </c>
      <c r="M53" s="309">
        <f t="shared" si="9"/>
        <v>58.6</v>
      </c>
      <c r="N53" s="310">
        <f t="shared" si="9"/>
        <v>29.3</v>
      </c>
      <c r="O53" s="120">
        <f>ROUND(AVERAGE(O41:O50),1)</f>
        <v>1194.3</v>
      </c>
      <c r="P53" s="113">
        <f>ROUND(AVERAGE(P41:P50),1)</f>
        <v>99.5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3</xdr:row>
                <xdr:rowOff>9525</xdr:rowOff>
              </from>
              <to>
                <xdr:col>18</xdr:col>
                <xdr:colOff>428625</xdr:colOff>
                <xdr:row>4</xdr:row>
                <xdr:rowOff>142875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R51" sqref="R51"/>
    </sheetView>
  </sheetViews>
  <sheetFormatPr defaultColWidth="8.88671875" defaultRowHeight="16.5"/>
  <cols>
    <col min="1" max="1" width="8.88671875" style="121"/>
    <col min="2" max="2" width="8.88671875" style="139"/>
    <col min="3" max="3" width="8" style="139" customWidth="1"/>
    <col min="4" max="16384" width="8.88671875" style="121"/>
  </cols>
  <sheetData>
    <row r="1" spans="2:16" ht="17.25" thickBot="1">
      <c r="I1"/>
      <c r="J1"/>
      <c r="K1"/>
      <c r="O1" s="121" t="s">
        <v>37</v>
      </c>
    </row>
    <row r="2" spans="2:16">
      <c r="B2" s="123"/>
      <c r="C2" s="124" t="s">
        <v>7</v>
      </c>
      <c r="D2" s="124" t="s">
        <v>8</v>
      </c>
      <c r="E2" s="124" t="s">
        <v>9</v>
      </c>
      <c r="F2" s="124" t="s">
        <v>10</v>
      </c>
      <c r="G2" s="124" t="s">
        <v>11</v>
      </c>
      <c r="H2" s="124" t="s">
        <v>12</v>
      </c>
      <c r="I2" s="124" t="s">
        <v>13</v>
      </c>
      <c r="J2" s="124" t="s">
        <v>14</v>
      </c>
      <c r="K2" s="124" t="s">
        <v>15</v>
      </c>
      <c r="L2" s="124" t="s">
        <v>16</v>
      </c>
      <c r="M2" s="124" t="s">
        <v>17</v>
      </c>
      <c r="N2" s="124" t="s">
        <v>18</v>
      </c>
      <c r="O2" s="124" t="s">
        <v>37</v>
      </c>
      <c r="P2" s="125" t="s">
        <v>20</v>
      </c>
    </row>
    <row r="3" spans="2:16">
      <c r="B3" s="280">
        <f>All!B5</f>
        <v>1991</v>
      </c>
      <c r="C3" s="271">
        <f>All!C5</f>
        <v>21.2</v>
      </c>
      <c r="D3" s="271">
        <f>All!D5</f>
        <v>47.3</v>
      </c>
      <c r="E3" s="271">
        <f>All!E5</f>
        <v>57.5</v>
      </c>
      <c r="F3" s="271">
        <f>All!F5</f>
        <v>71.599999999999994</v>
      </c>
      <c r="G3" s="271">
        <f>All!G5</f>
        <v>88.5</v>
      </c>
      <c r="H3" s="271">
        <f>All!H5</f>
        <v>99.6</v>
      </c>
      <c r="I3" s="271">
        <f>All!I5</f>
        <v>357.3</v>
      </c>
      <c r="J3" s="271">
        <f>All!J5</f>
        <v>79.8</v>
      </c>
      <c r="K3" s="271">
        <f>All!K5</f>
        <v>213</v>
      </c>
      <c r="L3" s="271">
        <f>All!L5</f>
        <v>17</v>
      </c>
      <c r="M3" s="271">
        <f>All!M5</f>
        <v>21.4</v>
      </c>
      <c r="N3" s="271">
        <f>All!N5</f>
        <v>69.400000000000006</v>
      </c>
      <c r="O3" s="271">
        <f>All!O5</f>
        <v>1143.5999999999999</v>
      </c>
      <c r="P3" s="281">
        <f>All!P5</f>
        <v>95.3</v>
      </c>
    </row>
    <row r="4" spans="2:16">
      <c r="B4" s="280">
        <f>All!B6</f>
        <v>1992</v>
      </c>
      <c r="C4" s="271">
        <f>All!C6</f>
        <v>13.5</v>
      </c>
      <c r="D4" s="271">
        <f>All!D6</f>
        <v>16.3</v>
      </c>
      <c r="E4" s="271">
        <f>All!E6</f>
        <v>29.6</v>
      </c>
      <c r="F4" s="271">
        <f>All!F6</f>
        <v>110.1</v>
      </c>
      <c r="G4" s="271">
        <f>All!G6</f>
        <v>100.3</v>
      </c>
      <c r="H4" s="271">
        <f>All!H6</f>
        <v>28.7</v>
      </c>
      <c r="I4" s="271">
        <f>All!I6</f>
        <v>141.69999999999999</v>
      </c>
      <c r="J4" s="271">
        <f>All!J6</f>
        <v>263.89999999999998</v>
      </c>
      <c r="K4" s="271">
        <f>All!K6</f>
        <v>176.9</v>
      </c>
      <c r="L4" s="271">
        <f>All!L6</f>
        <v>27.4</v>
      </c>
      <c r="M4" s="271">
        <f>All!M6</f>
        <v>42.2</v>
      </c>
      <c r="N4" s="271">
        <f>All!N6</f>
        <v>39.5</v>
      </c>
      <c r="O4" s="271">
        <f>All!O6</f>
        <v>990.1</v>
      </c>
      <c r="P4" s="281">
        <f>All!P6</f>
        <v>82.5</v>
      </c>
    </row>
    <row r="5" spans="2:16">
      <c r="B5" s="280">
        <f>All!B7</f>
        <v>1993</v>
      </c>
      <c r="C5" s="271">
        <f>All!C7</f>
        <v>7.3</v>
      </c>
      <c r="D5" s="271">
        <f>All!D7</f>
        <v>75.400000000000006</v>
      </c>
      <c r="E5" s="271">
        <f>All!E7</f>
        <v>33.1</v>
      </c>
      <c r="F5" s="271">
        <f>All!F7</f>
        <v>54.6</v>
      </c>
      <c r="G5" s="271">
        <f>All!G7</f>
        <v>127.2</v>
      </c>
      <c r="H5" s="271">
        <f>All!H7</f>
        <v>118.8</v>
      </c>
      <c r="I5" s="271">
        <f>All!I7</f>
        <v>254</v>
      </c>
      <c r="J5" s="271">
        <f>All!J7</f>
        <v>378.1</v>
      </c>
      <c r="K5" s="271">
        <f>All!K7</f>
        <v>126.6</v>
      </c>
      <c r="L5" s="271">
        <f>All!L7</f>
        <v>39.6</v>
      </c>
      <c r="M5" s="271">
        <f>All!M7</f>
        <v>66.900000000000006</v>
      </c>
      <c r="N5" s="271">
        <f>All!N7</f>
        <v>20.2</v>
      </c>
      <c r="O5" s="271">
        <f>All!O7</f>
        <v>1301.8</v>
      </c>
      <c r="P5" s="281">
        <f>All!P7</f>
        <v>108.5</v>
      </c>
    </row>
    <row r="6" spans="2:16">
      <c r="B6" s="280">
        <f>All!B8</f>
        <v>1994</v>
      </c>
      <c r="C6" s="271">
        <f>All!C8</f>
        <v>13.3</v>
      </c>
      <c r="D6" s="271">
        <f>All!D8</f>
        <v>12.8</v>
      </c>
      <c r="E6" s="271">
        <f>All!E8</f>
        <v>54.2</v>
      </c>
      <c r="F6" s="271">
        <f>All!F8</f>
        <v>21.3</v>
      </c>
      <c r="G6" s="271">
        <f>All!G8</f>
        <v>108.8</v>
      </c>
      <c r="H6" s="271">
        <f>All!H8</f>
        <v>140.5</v>
      </c>
      <c r="I6" s="271">
        <f>All!I8</f>
        <v>85.5</v>
      </c>
      <c r="J6" s="271">
        <f>All!J8</f>
        <v>318.5</v>
      </c>
      <c r="K6" s="271">
        <f>All!K8</f>
        <v>48.1</v>
      </c>
      <c r="L6" s="271">
        <f>All!L8</f>
        <v>160.1</v>
      </c>
      <c r="M6" s="271">
        <f>All!M8</f>
        <v>29.6</v>
      </c>
      <c r="N6" s="271">
        <f>All!N8</f>
        <v>19.3</v>
      </c>
      <c r="O6" s="271">
        <f>All!O8</f>
        <v>1012</v>
      </c>
      <c r="P6" s="281">
        <f>All!P8</f>
        <v>84.3</v>
      </c>
    </row>
    <row r="7" spans="2:16">
      <c r="B7" s="280">
        <f>All!B9</f>
        <v>1995</v>
      </c>
      <c r="C7" s="271">
        <f>All!C9</f>
        <v>21.5</v>
      </c>
      <c r="D7" s="271">
        <f>All!D9</f>
        <v>14</v>
      </c>
      <c r="E7" s="271">
        <f>All!E9</f>
        <v>34.4</v>
      </c>
      <c r="F7" s="271">
        <f>All!F9</f>
        <v>64</v>
      </c>
      <c r="G7" s="271">
        <f>All!G9</f>
        <v>70.7</v>
      </c>
      <c r="H7" s="271">
        <f>All!H9</f>
        <v>30.9</v>
      </c>
      <c r="I7" s="271">
        <f>All!I9</f>
        <v>204.9</v>
      </c>
      <c r="J7" s="271">
        <f>All!J9</f>
        <v>835.4</v>
      </c>
      <c r="K7" s="271">
        <f>All!K9</f>
        <v>17.5</v>
      </c>
      <c r="L7" s="271">
        <f>All!L9</f>
        <v>22.6</v>
      </c>
      <c r="M7" s="271">
        <f>All!M9</f>
        <v>20.3</v>
      </c>
      <c r="N7" s="271">
        <f>All!N9</f>
        <v>3.6</v>
      </c>
      <c r="O7" s="271">
        <f>All!O9</f>
        <v>1339.8</v>
      </c>
      <c r="P7" s="281">
        <f>All!P9</f>
        <v>111.7</v>
      </c>
    </row>
    <row r="8" spans="2:16">
      <c r="B8" s="280">
        <f>All!B10</f>
        <v>1996</v>
      </c>
      <c r="C8" s="271">
        <f>All!C10</f>
        <v>27.9</v>
      </c>
      <c r="D8" s="271">
        <f>All!D10</f>
        <v>4.2</v>
      </c>
      <c r="E8" s="271">
        <f>All!E10</f>
        <v>98.4</v>
      </c>
      <c r="F8" s="271">
        <f>All!F10</f>
        <v>28.6</v>
      </c>
      <c r="G8" s="271">
        <f>All!G10</f>
        <v>36.799999999999997</v>
      </c>
      <c r="H8" s="271">
        <f>All!H10</f>
        <v>255.8</v>
      </c>
      <c r="I8" s="271">
        <f>All!I10</f>
        <v>170.5</v>
      </c>
      <c r="J8" s="271">
        <f>All!J10</f>
        <v>128.6</v>
      </c>
      <c r="K8" s="271">
        <f>All!K10</f>
        <v>11.2</v>
      </c>
      <c r="L8" s="271">
        <f>All!L10</f>
        <v>67.099999999999994</v>
      </c>
      <c r="M8" s="271">
        <f>All!M10</f>
        <v>77.2</v>
      </c>
      <c r="N8" s="271">
        <f>All!N10</f>
        <v>22.5</v>
      </c>
      <c r="O8" s="271">
        <f>All!O10</f>
        <v>928.8</v>
      </c>
      <c r="P8" s="281">
        <f>All!P10</f>
        <v>77.400000000000006</v>
      </c>
    </row>
    <row r="9" spans="2:16">
      <c r="B9" s="280">
        <f>All!B11</f>
        <v>1997</v>
      </c>
      <c r="C9" s="271">
        <f>All!C11</f>
        <v>12.9</v>
      </c>
      <c r="D9" s="271">
        <f>All!D11</f>
        <v>39.1</v>
      </c>
      <c r="E9" s="271">
        <f>All!E11</f>
        <v>31.6</v>
      </c>
      <c r="F9" s="271">
        <f>All!F11</f>
        <v>58.5</v>
      </c>
      <c r="G9" s="271">
        <f>All!G11</f>
        <v>179.1</v>
      </c>
      <c r="H9" s="271">
        <f>All!H11</f>
        <v>210.3</v>
      </c>
      <c r="I9" s="271">
        <f>All!I11</f>
        <v>425.5</v>
      </c>
      <c r="J9" s="271">
        <f>All!J11</f>
        <v>211.1</v>
      </c>
      <c r="K9" s="271">
        <f>All!K11</f>
        <v>55.5</v>
      </c>
      <c r="L9" s="271">
        <f>All!L11</f>
        <v>8.4</v>
      </c>
      <c r="M9" s="271">
        <f>All!M11</f>
        <v>180.3</v>
      </c>
      <c r="N9" s="271">
        <f>All!N11</f>
        <v>44.3</v>
      </c>
      <c r="O9" s="271">
        <f>All!O11</f>
        <v>1456.6</v>
      </c>
      <c r="P9" s="281">
        <f>All!P11</f>
        <v>121.4</v>
      </c>
    </row>
    <row r="10" spans="2:16">
      <c r="B10" s="280">
        <f>All!B12</f>
        <v>1998</v>
      </c>
      <c r="C10" s="271">
        <f>All!C12</f>
        <v>22</v>
      </c>
      <c r="D10" s="271">
        <f>All!D12</f>
        <v>28.9</v>
      </c>
      <c r="E10" s="271">
        <f>All!E12</f>
        <v>30.9</v>
      </c>
      <c r="F10" s="271">
        <f>All!F12</f>
        <v>153.1</v>
      </c>
      <c r="G10" s="271">
        <f>All!G12</f>
        <v>92.8</v>
      </c>
      <c r="H10" s="271">
        <f>All!H12</f>
        <v>247</v>
      </c>
      <c r="I10" s="271">
        <f>All!I12</f>
        <v>253</v>
      </c>
      <c r="J10" s="271">
        <f>All!J12</f>
        <v>460.6</v>
      </c>
      <c r="K10" s="271">
        <f>All!K12</f>
        <v>225.9</v>
      </c>
      <c r="L10" s="271">
        <f>All!L12</f>
        <v>74.2</v>
      </c>
      <c r="M10" s="271">
        <f>All!M12</f>
        <v>44.7</v>
      </c>
      <c r="N10" s="271">
        <f>All!N12</f>
        <v>7.1</v>
      </c>
      <c r="O10" s="271">
        <f>All!O12</f>
        <v>1640.2</v>
      </c>
      <c r="P10" s="281">
        <f>All!P12</f>
        <v>136.69999999999999</v>
      </c>
    </row>
    <row r="11" spans="2:16">
      <c r="B11" s="280">
        <f>All!B13</f>
        <v>1999</v>
      </c>
      <c r="C11" s="271">
        <f>All!C13</f>
        <v>1.6</v>
      </c>
      <c r="D11" s="271">
        <f>All!D13</f>
        <v>3.6</v>
      </c>
      <c r="E11" s="271">
        <f>All!E13</f>
        <v>54.1</v>
      </c>
      <c r="F11" s="271">
        <f>All!F13</f>
        <v>91.4</v>
      </c>
      <c r="G11" s="271">
        <f>All!G13</f>
        <v>102.4</v>
      </c>
      <c r="H11" s="271">
        <f>All!H13</f>
        <v>191.1</v>
      </c>
      <c r="I11" s="271">
        <f>All!I13</f>
        <v>122.4</v>
      </c>
      <c r="J11" s="271">
        <f>All!J13</f>
        <v>197.4</v>
      </c>
      <c r="K11" s="271">
        <f>All!K13</f>
        <v>281.3</v>
      </c>
      <c r="L11" s="271">
        <f>All!L13</f>
        <v>252.4</v>
      </c>
      <c r="M11" s="271">
        <f>All!M13</f>
        <v>15.4</v>
      </c>
      <c r="N11" s="271">
        <f>All!N13</f>
        <v>13.4</v>
      </c>
      <c r="O11" s="271">
        <f>All!O13</f>
        <v>1326.5</v>
      </c>
      <c r="P11" s="281">
        <f>All!P13</f>
        <v>110.5</v>
      </c>
    </row>
    <row r="12" spans="2:16">
      <c r="B12" s="280">
        <f>All!B14</f>
        <v>2000</v>
      </c>
      <c r="C12" s="271">
        <f>All!C14</f>
        <v>38.700000000000003</v>
      </c>
      <c r="D12" s="271">
        <f>All!D14</f>
        <v>1.3</v>
      </c>
      <c r="E12" s="271">
        <f>All!E14</f>
        <v>10.4</v>
      </c>
      <c r="F12" s="271">
        <f>All!F14</f>
        <v>56.1</v>
      </c>
      <c r="G12" s="271">
        <f>All!G14</f>
        <v>42.1</v>
      </c>
      <c r="H12" s="271">
        <f>All!H14</f>
        <v>185.7</v>
      </c>
      <c r="I12" s="271">
        <f>All!I14</f>
        <v>300</v>
      </c>
      <c r="J12" s="271">
        <f>All!J14</f>
        <v>390.4</v>
      </c>
      <c r="K12" s="271">
        <f>All!K14</f>
        <v>244.6</v>
      </c>
      <c r="L12" s="271">
        <f>All!L14</f>
        <v>32.1</v>
      </c>
      <c r="M12" s="271">
        <f>All!M14</f>
        <v>37.299999999999997</v>
      </c>
      <c r="N12" s="271">
        <f>All!N14</f>
        <v>18.899999999999999</v>
      </c>
      <c r="O12" s="271">
        <f>All!O14</f>
        <v>1357.6</v>
      </c>
      <c r="P12" s="281">
        <f>All!P14</f>
        <v>113.1</v>
      </c>
    </row>
    <row r="13" spans="2:16">
      <c r="B13" s="280">
        <f>All!B15</f>
        <v>2001</v>
      </c>
      <c r="C13" s="271">
        <f>All!C15</f>
        <v>56.9</v>
      </c>
      <c r="D13" s="271">
        <f>All!D15</f>
        <v>50.3</v>
      </c>
      <c r="E13" s="271">
        <f>All!E15</f>
        <v>11.3</v>
      </c>
      <c r="F13" s="271">
        <f>All!F15</f>
        <v>12.7</v>
      </c>
      <c r="G13" s="271">
        <f>All!G15</f>
        <v>14.3</v>
      </c>
      <c r="H13" s="271">
        <f>All!H15</f>
        <v>217.5</v>
      </c>
      <c r="I13" s="271">
        <f>All!I15</f>
        <v>171.5</v>
      </c>
      <c r="J13" s="271">
        <f>All!J15</f>
        <v>135.5</v>
      </c>
      <c r="K13" s="271">
        <f>All!K15</f>
        <v>11.8</v>
      </c>
      <c r="L13" s="271">
        <f>All!L15</f>
        <v>75.900000000000006</v>
      </c>
      <c r="M13" s="271">
        <f>All!M15</f>
        <v>6.9</v>
      </c>
      <c r="N13" s="271">
        <f>All!N15</f>
        <v>19.5</v>
      </c>
      <c r="O13" s="271">
        <f>All!O15</f>
        <v>784.1</v>
      </c>
      <c r="P13" s="281">
        <f>All!P15</f>
        <v>65.3</v>
      </c>
    </row>
    <row r="14" spans="2:16">
      <c r="B14" s="280">
        <f>All!B16</f>
        <v>2002</v>
      </c>
      <c r="C14" s="271">
        <f>All!C16</f>
        <v>58.7</v>
      </c>
      <c r="D14" s="271">
        <f>All!D16</f>
        <v>9</v>
      </c>
      <c r="E14" s="271">
        <f>All!E16</f>
        <v>25.9</v>
      </c>
      <c r="F14" s="271">
        <f>All!F16</f>
        <v>132</v>
      </c>
      <c r="G14" s="271">
        <f>All!G16</f>
        <v>106.9</v>
      </c>
      <c r="H14" s="271">
        <f>All!H16</f>
        <v>57.9</v>
      </c>
      <c r="I14" s="271">
        <f>All!I16</f>
        <v>186.2</v>
      </c>
      <c r="J14" s="271">
        <f>All!J16</f>
        <v>482.4</v>
      </c>
      <c r="K14" s="271">
        <f>All!K16</f>
        <v>90.5</v>
      </c>
      <c r="L14" s="271">
        <f>All!L16</f>
        <v>58</v>
      </c>
      <c r="M14" s="271">
        <f>All!M16</f>
        <v>26.3</v>
      </c>
      <c r="N14" s="271">
        <f>All!N16</f>
        <v>48</v>
      </c>
      <c r="O14" s="271">
        <f>All!O16</f>
        <v>1281.8</v>
      </c>
      <c r="P14" s="281">
        <f>All!P16</f>
        <v>106.8</v>
      </c>
    </row>
    <row r="15" spans="2:16">
      <c r="B15" s="280">
        <f>All!B17</f>
        <v>2003</v>
      </c>
      <c r="C15" s="271">
        <f>All!C17</f>
        <v>16.2</v>
      </c>
      <c r="D15" s="271">
        <f>All!D17</f>
        <v>45</v>
      </c>
      <c r="E15" s="271">
        <f>All!E17</f>
        <v>38.9</v>
      </c>
      <c r="F15" s="271">
        <f>All!F17</f>
        <v>192.7</v>
      </c>
      <c r="G15" s="271">
        <f>All!G17</f>
        <v>113.5</v>
      </c>
      <c r="H15" s="271">
        <f>All!H17</f>
        <v>186</v>
      </c>
      <c r="I15" s="271">
        <f>All!I17</f>
        <v>467.2</v>
      </c>
      <c r="J15" s="271">
        <f>All!J17</f>
        <v>293.89999999999998</v>
      </c>
      <c r="K15" s="271">
        <f>All!K17</f>
        <v>150.6</v>
      </c>
      <c r="L15" s="271">
        <f>All!L17</f>
        <v>32.5</v>
      </c>
      <c r="M15" s="271">
        <f>All!M17</f>
        <v>33.1</v>
      </c>
      <c r="N15" s="271">
        <f>All!N17</f>
        <v>12.2</v>
      </c>
      <c r="O15" s="271">
        <f>All!O17</f>
        <v>1581.8</v>
      </c>
      <c r="P15" s="281">
        <f>All!P17</f>
        <v>131.80000000000001</v>
      </c>
    </row>
    <row r="16" spans="2:16">
      <c r="B16" s="280">
        <f>All!B18</f>
        <v>2004</v>
      </c>
      <c r="C16" s="271">
        <f>All!C18</f>
        <v>12.5</v>
      </c>
      <c r="D16" s="271">
        <f>All!D18</f>
        <v>42.3</v>
      </c>
      <c r="E16" s="271">
        <f>All!E18</f>
        <v>67.3</v>
      </c>
      <c r="F16" s="271">
        <f>All!F18</f>
        <v>61</v>
      </c>
      <c r="G16" s="271">
        <f>All!G18</f>
        <v>121.8</v>
      </c>
      <c r="H16" s="271">
        <f>All!H18</f>
        <v>421.5</v>
      </c>
      <c r="I16" s="271">
        <f>All!I18</f>
        <v>318.89999999999998</v>
      </c>
      <c r="J16" s="271">
        <f>All!J18</f>
        <v>247.6</v>
      </c>
      <c r="K16" s="271">
        <f>All!K18</f>
        <v>139</v>
      </c>
      <c r="L16" s="271">
        <f>All!L18</f>
        <v>2</v>
      </c>
      <c r="M16" s="271">
        <f>All!M18</f>
        <v>34</v>
      </c>
      <c r="N16" s="271">
        <f>All!N18</f>
        <v>38</v>
      </c>
      <c r="O16" s="271">
        <f>All!O18</f>
        <v>1505.9</v>
      </c>
      <c r="P16" s="281">
        <f>All!P18</f>
        <v>125.5</v>
      </c>
    </row>
    <row r="17" spans="2:16">
      <c r="B17" s="280">
        <f>All!B19</f>
        <v>2005</v>
      </c>
      <c r="C17" s="271">
        <f>All!C19</f>
        <v>4.5999999999999996</v>
      </c>
      <c r="D17" s="271">
        <f>All!D19</f>
        <v>13.8</v>
      </c>
      <c r="E17" s="271">
        <f>All!E19</f>
        <v>36.799999999999997</v>
      </c>
      <c r="F17" s="271">
        <f>All!F19</f>
        <v>66.099999999999994</v>
      </c>
      <c r="G17" s="271">
        <f>All!G19</f>
        <v>50.7</v>
      </c>
      <c r="H17" s="271">
        <f>All!H19</f>
        <v>170</v>
      </c>
      <c r="I17" s="271">
        <f>All!I19</f>
        <v>373.1</v>
      </c>
      <c r="J17" s="271">
        <f>All!J19</f>
        <v>334.7</v>
      </c>
      <c r="K17" s="271">
        <f>All!K19</f>
        <v>295.5</v>
      </c>
      <c r="L17" s="271">
        <f>All!L19</f>
        <v>54.6</v>
      </c>
      <c r="M17" s="271">
        <f>All!M19</f>
        <v>16</v>
      </c>
      <c r="N17" s="271">
        <f>All!N19</f>
        <v>11.3</v>
      </c>
      <c r="O17" s="271">
        <f>All!O19</f>
        <v>1427.2</v>
      </c>
      <c r="P17" s="281">
        <f>All!P19</f>
        <v>118.9</v>
      </c>
    </row>
    <row r="18" spans="2:16">
      <c r="B18" s="280">
        <f>All!B20</f>
        <v>2006</v>
      </c>
      <c r="C18" s="271">
        <f>All!C20</f>
        <v>20</v>
      </c>
      <c r="D18" s="271">
        <f>All!D20</f>
        <v>28.9</v>
      </c>
      <c r="E18" s="271">
        <f>All!E20</f>
        <v>8.1999999999999993</v>
      </c>
      <c r="F18" s="271">
        <f>All!F20</f>
        <v>89.3</v>
      </c>
      <c r="G18" s="271">
        <f>All!G20</f>
        <v>119.4</v>
      </c>
      <c r="H18" s="271">
        <f>All!H20</f>
        <v>115.5</v>
      </c>
      <c r="I18" s="271">
        <f>All!I20</f>
        <v>508</v>
      </c>
      <c r="J18" s="271">
        <f>All!J20</f>
        <v>52</v>
      </c>
      <c r="K18" s="271">
        <f>All!K20</f>
        <v>18.399999999999999</v>
      </c>
      <c r="L18" s="271">
        <f>All!L20</f>
        <v>21.3</v>
      </c>
      <c r="M18" s="271">
        <f>All!M20</f>
        <v>83.4</v>
      </c>
      <c r="N18" s="271">
        <f>All!N20</f>
        <v>16.7</v>
      </c>
      <c r="O18" s="271">
        <f>All!O20</f>
        <v>1081.0999999999999</v>
      </c>
      <c r="P18" s="281">
        <f>All!P20</f>
        <v>90.1</v>
      </c>
    </row>
    <row r="19" spans="2:16">
      <c r="B19" s="280">
        <f>All!B21</f>
        <v>2007</v>
      </c>
      <c r="C19" s="271">
        <f>All!C21</f>
        <v>11.2</v>
      </c>
      <c r="D19" s="271">
        <f>All!D21</f>
        <v>33.299999999999997</v>
      </c>
      <c r="E19" s="271">
        <f>All!E21</f>
        <v>103.2</v>
      </c>
      <c r="F19" s="271">
        <f>All!F21</f>
        <v>35.799999999999997</v>
      </c>
      <c r="G19" s="271">
        <f>All!G21</f>
        <v>145.5</v>
      </c>
      <c r="H19" s="271">
        <f>All!H21</f>
        <v>81.2</v>
      </c>
      <c r="I19" s="271">
        <f>All!I21</f>
        <v>273.2</v>
      </c>
      <c r="J19" s="271">
        <f>All!J21</f>
        <v>385.5</v>
      </c>
      <c r="K19" s="271">
        <f>All!K21</f>
        <v>391.4</v>
      </c>
      <c r="L19" s="271">
        <f>All!L21</f>
        <v>43.5</v>
      </c>
      <c r="M19" s="271">
        <f>All!M21</f>
        <v>8.8000000000000007</v>
      </c>
      <c r="N19" s="271">
        <f>All!N21</f>
        <v>21.9</v>
      </c>
      <c r="O19" s="271">
        <f>All!O21</f>
        <v>1534.5</v>
      </c>
      <c r="P19" s="281">
        <f>All!P21</f>
        <v>127.9</v>
      </c>
    </row>
    <row r="20" spans="2:16">
      <c r="B20" s="280">
        <f>All!B22</f>
        <v>2008</v>
      </c>
      <c r="C20" s="271">
        <f>All!C22</f>
        <v>29</v>
      </c>
      <c r="D20" s="271">
        <f>All!D22</f>
        <v>7.7</v>
      </c>
      <c r="E20" s="271">
        <f>All!E22</f>
        <v>29.4</v>
      </c>
      <c r="F20" s="271">
        <f>All!F22</f>
        <v>27</v>
      </c>
      <c r="G20" s="271">
        <f>All!G22</f>
        <v>64.5</v>
      </c>
      <c r="H20" s="271">
        <f>All!H22</f>
        <v>112</v>
      </c>
      <c r="I20" s="271">
        <f>All!I22</f>
        <v>296.60000000000002</v>
      </c>
      <c r="J20" s="271">
        <f>All!J22</f>
        <v>195.5</v>
      </c>
      <c r="K20" s="271">
        <f>All!K22</f>
        <v>92.6</v>
      </c>
      <c r="L20" s="271">
        <f>All!L22</f>
        <v>13.1</v>
      </c>
      <c r="M20" s="271">
        <f>All!M22</f>
        <v>10.5</v>
      </c>
      <c r="N20" s="271">
        <f>All!N22</f>
        <v>14.4</v>
      </c>
      <c r="O20" s="271">
        <f>All!O22</f>
        <v>892.3</v>
      </c>
      <c r="P20" s="281">
        <f>All!P22</f>
        <v>74.400000000000006</v>
      </c>
    </row>
    <row r="21" spans="2:16">
      <c r="B21" s="280">
        <f>All!B23</f>
        <v>2009</v>
      </c>
      <c r="C21" s="271">
        <f>All!C23</f>
        <v>17.8</v>
      </c>
      <c r="D21" s="271">
        <f>All!D23</f>
        <v>13.1</v>
      </c>
      <c r="E21" s="271">
        <f>All!E23</f>
        <v>54.9</v>
      </c>
      <c r="F21" s="271">
        <f>All!F23</f>
        <v>30.4</v>
      </c>
      <c r="G21" s="271">
        <f>All!G23</f>
        <v>109.6</v>
      </c>
      <c r="H21" s="271">
        <f>All!H23</f>
        <v>77.2</v>
      </c>
      <c r="I21" s="271">
        <f>All!I23</f>
        <v>345.7</v>
      </c>
      <c r="J21" s="271">
        <f>All!J23</f>
        <v>187.5</v>
      </c>
      <c r="K21" s="271">
        <f>All!K23</f>
        <v>49.5</v>
      </c>
      <c r="L21" s="271">
        <f>All!L23</f>
        <v>49.5</v>
      </c>
      <c r="M21" s="271">
        <f>All!M23</f>
        <v>43.9</v>
      </c>
      <c r="N21" s="271">
        <f>All!N23</f>
        <v>40.700000000000003</v>
      </c>
      <c r="O21" s="271">
        <f>All!O23</f>
        <v>1019.8</v>
      </c>
      <c r="P21" s="281">
        <f>All!P23</f>
        <v>85</v>
      </c>
    </row>
    <row r="22" spans="2:16">
      <c r="B22" s="280">
        <f>All!B24</f>
        <v>2010</v>
      </c>
      <c r="C22" s="271">
        <f>All!C24</f>
        <v>37.799999999999997</v>
      </c>
      <c r="D22" s="271">
        <f>All!D24</f>
        <v>69.2</v>
      </c>
      <c r="E22" s="271">
        <f>All!E24</f>
        <v>99.8</v>
      </c>
      <c r="F22" s="271">
        <f>All!F24</f>
        <v>70.5</v>
      </c>
      <c r="G22" s="271">
        <f>All!G24</f>
        <v>110</v>
      </c>
      <c r="H22" s="271">
        <f>All!H24</f>
        <v>42.6</v>
      </c>
      <c r="I22" s="271">
        <f>All!I24</f>
        <v>224.1</v>
      </c>
      <c r="J22" s="271">
        <f>All!J24</f>
        <v>433.2</v>
      </c>
      <c r="K22" s="271">
        <f>All!K24</f>
        <v>278.60000000000002</v>
      </c>
      <c r="L22" s="271">
        <f>All!L24</f>
        <v>17.100000000000001</v>
      </c>
      <c r="M22" s="271">
        <f>All!M24</f>
        <v>15.7</v>
      </c>
      <c r="N22" s="271">
        <f>All!N24</f>
        <v>23.8</v>
      </c>
      <c r="O22" s="271">
        <f>All!O24</f>
        <v>1422.4</v>
      </c>
      <c r="P22" s="281">
        <f>All!P24</f>
        <v>118.5</v>
      </c>
    </row>
    <row r="23" spans="2:16" s="272" customFormat="1">
      <c r="B23" s="282">
        <f>All!B25</f>
        <v>2011</v>
      </c>
      <c r="C23" s="273">
        <f>All!C25</f>
        <v>4.5</v>
      </c>
      <c r="D23" s="273">
        <f>All!D25</f>
        <v>43.2</v>
      </c>
      <c r="E23" s="273">
        <f>All!E25</f>
        <v>23.5</v>
      </c>
      <c r="F23" s="273">
        <f>All!F25</f>
        <v>111.2</v>
      </c>
      <c r="G23" s="273">
        <f>All!G25</f>
        <v>116.2</v>
      </c>
      <c r="H23" s="273">
        <f>All!H25</f>
        <v>360.7</v>
      </c>
      <c r="I23" s="273">
        <f>All!I25</f>
        <v>531.9</v>
      </c>
      <c r="J23" s="273">
        <f>All!J25</f>
        <v>290.2</v>
      </c>
      <c r="K23" s="273">
        <f>All!K25</f>
        <v>182.5</v>
      </c>
      <c r="L23" s="273">
        <f>All!L25</f>
        <v>34.5</v>
      </c>
      <c r="M23" s="273">
        <f>All!M25</f>
        <v>92.6</v>
      </c>
      <c r="N23" s="273">
        <f>All!N25</f>
        <v>14.6</v>
      </c>
      <c r="O23" s="273">
        <f>All!O25</f>
        <v>1805.6</v>
      </c>
      <c r="P23" s="283">
        <f>All!P25</f>
        <v>150.5</v>
      </c>
    </row>
    <row r="24" spans="2:16">
      <c r="B24" s="280">
        <f>All!B26</f>
        <v>2012</v>
      </c>
      <c r="C24" s="271">
        <f>All!C26</f>
        <v>17.8</v>
      </c>
      <c r="D24" s="271">
        <f>All!D26</f>
        <v>3.7</v>
      </c>
      <c r="E24" s="271">
        <f>All!E26</f>
        <v>65.099999999999994</v>
      </c>
      <c r="F24" s="271">
        <f>All!F26</f>
        <v>106.8</v>
      </c>
      <c r="G24" s="271">
        <f>All!G26</f>
        <v>31.2</v>
      </c>
      <c r="H24" s="271">
        <f>All!H26</f>
        <v>93.7</v>
      </c>
      <c r="I24" s="271">
        <f>All!I26</f>
        <v>257.39999999999998</v>
      </c>
      <c r="J24" s="271">
        <f>All!J26</f>
        <v>479.5</v>
      </c>
      <c r="K24" s="271">
        <f>All!K26</f>
        <v>162.5</v>
      </c>
      <c r="L24" s="271">
        <f>All!L26</f>
        <v>61.2</v>
      </c>
      <c r="M24" s="271">
        <f>All!M26</f>
        <v>52.1</v>
      </c>
      <c r="N24" s="271">
        <f>All!N26</f>
        <v>56.6</v>
      </c>
      <c r="O24" s="271">
        <f>All!O26</f>
        <v>1387.6</v>
      </c>
      <c r="P24" s="281">
        <f>All!P26</f>
        <v>115.6</v>
      </c>
    </row>
    <row r="25" spans="2:16">
      <c r="B25" s="280">
        <f>All!B27</f>
        <v>2013</v>
      </c>
      <c r="C25" s="271">
        <f>All!C27</f>
        <v>30.5</v>
      </c>
      <c r="D25" s="271">
        <f>All!D27</f>
        <v>33.200000000000003</v>
      </c>
      <c r="E25" s="271">
        <f>All!E27</f>
        <v>46.8</v>
      </c>
      <c r="F25" s="271">
        <f>All!F27</f>
        <v>65</v>
      </c>
      <c r="G25" s="271">
        <f>All!G27</f>
        <v>97.9</v>
      </c>
      <c r="H25" s="271">
        <f>All!H27</f>
        <v>229.9</v>
      </c>
      <c r="I25" s="271">
        <f>All!I27</f>
        <v>253.6</v>
      </c>
      <c r="J25" s="271">
        <f>All!J27</f>
        <v>183.9</v>
      </c>
      <c r="K25" s="271">
        <f>All!K27</f>
        <v>162.6</v>
      </c>
      <c r="L25" s="271">
        <f>All!L27</f>
        <v>26.5</v>
      </c>
      <c r="M25" s="271">
        <f>All!M27</f>
        <v>78.2</v>
      </c>
      <c r="N25" s="271">
        <f>All!N27</f>
        <v>37.299999999999997</v>
      </c>
      <c r="O25" s="271">
        <f>All!O27</f>
        <v>1245.4000000000001</v>
      </c>
      <c r="P25" s="281">
        <f>All!P27</f>
        <v>103.8</v>
      </c>
    </row>
    <row r="26" spans="2:16">
      <c r="B26" s="280">
        <f>All!B28</f>
        <v>2014</v>
      </c>
      <c r="C26" s="271">
        <f>All!C28</f>
        <v>5.9</v>
      </c>
      <c r="D26" s="271">
        <f>All!D28</f>
        <v>6.8</v>
      </c>
      <c r="E26" s="271">
        <f>All!E28</f>
        <v>51.1</v>
      </c>
      <c r="F26" s="271">
        <f>All!F28</f>
        <v>43.7</v>
      </c>
      <c r="G26" s="271">
        <f>All!G28</f>
        <v>35</v>
      </c>
      <c r="H26" s="271">
        <f>All!H28</f>
        <v>92.6</v>
      </c>
      <c r="I26" s="271">
        <f>All!I28</f>
        <v>125.1</v>
      </c>
      <c r="J26" s="271">
        <f>All!J28</f>
        <v>197.5</v>
      </c>
      <c r="K26" s="271">
        <f>All!K28</f>
        <v>147.5</v>
      </c>
      <c r="L26" s="271">
        <f>All!L28</f>
        <v>151.1</v>
      </c>
      <c r="M26" s="271">
        <f>All!M28</f>
        <v>24.8</v>
      </c>
      <c r="N26" s="271">
        <f>All!N28</f>
        <v>32.6</v>
      </c>
      <c r="O26" s="271">
        <f>All!O28</f>
        <v>913.7</v>
      </c>
      <c r="P26" s="281">
        <f>All!P28</f>
        <v>76.099999999999994</v>
      </c>
    </row>
    <row r="27" spans="2:16">
      <c r="B27" s="280">
        <f>All!B29</f>
        <v>2015</v>
      </c>
      <c r="C27" s="271">
        <f>All!C29</f>
        <v>16</v>
      </c>
      <c r="D27" s="271">
        <f>All!D29</f>
        <v>26.5</v>
      </c>
      <c r="E27" s="271">
        <f>All!E29</f>
        <v>44.1</v>
      </c>
      <c r="F27" s="271">
        <f>All!F29</f>
        <v>109.1</v>
      </c>
      <c r="G27" s="271">
        <f>All!G29</f>
        <v>24.4</v>
      </c>
      <c r="H27" s="271">
        <f>All!H29</f>
        <v>83.3</v>
      </c>
      <c r="I27" s="271">
        <f>All!I29</f>
        <v>141.4</v>
      </c>
      <c r="J27" s="271">
        <f>All!J29</f>
        <v>54.3</v>
      </c>
      <c r="K27" s="271">
        <f>All!K29</f>
        <v>20.100000000000001</v>
      </c>
      <c r="L27" s="271">
        <f>All!L29</f>
        <v>90.5</v>
      </c>
      <c r="M27" s="271">
        <f>All!M29</f>
        <v>106.8</v>
      </c>
      <c r="N27" s="271">
        <f>All!N29</f>
        <v>38.9</v>
      </c>
      <c r="O27" s="271">
        <f>All!O29</f>
        <v>755.4</v>
      </c>
      <c r="P27" s="281">
        <f>All!P29</f>
        <v>63</v>
      </c>
    </row>
    <row r="28" spans="2:16">
      <c r="B28" s="280">
        <f>All!B30</f>
        <v>2016</v>
      </c>
      <c r="C28" s="271">
        <f>All!C30</f>
        <v>5.7</v>
      </c>
      <c r="D28" s="271">
        <f>All!D30</f>
        <v>45.5</v>
      </c>
      <c r="E28" s="271">
        <f>All!E30</f>
        <v>13.2</v>
      </c>
      <c r="F28" s="271">
        <f>All!F30</f>
        <v>132.1</v>
      </c>
      <c r="G28" s="271">
        <f>All!G30</f>
        <v>84.4</v>
      </c>
      <c r="H28" s="271">
        <f>All!H30</f>
        <v>39.9</v>
      </c>
      <c r="I28" s="271">
        <f>All!I30</f>
        <v>320</v>
      </c>
      <c r="J28" s="271">
        <f>All!J30</f>
        <v>69</v>
      </c>
      <c r="K28" s="271">
        <f>All!K30</f>
        <v>78.099999999999994</v>
      </c>
      <c r="L28" s="271">
        <f>All!L30</f>
        <v>83.6</v>
      </c>
      <c r="M28" s="271">
        <f>All!M30</f>
        <v>26.4</v>
      </c>
      <c r="N28" s="271">
        <f>All!N30</f>
        <v>40.1</v>
      </c>
      <c r="O28" s="271">
        <f>All!O30</f>
        <v>938</v>
      </c>
      <c r="P28" s="281">
        <f>All!P30</f>
        <v>78.2</v>
      </c>
    </row>
    <row r="29" spans="2:16">
      <c r="B29" s="280">
        <f>All!B31</f>
        <v>2017</v>
      </c>
      <c r="C29" s="271">
        <f>All!C31</f>
        <v>12</v>
      </c>
      <c r="D29" s="271">
        <f>All!D31</f>
        <v>38.700000000000003</v>
      </c>
      <c r="E29" s="271">
        <f>All!E31</f>
        <v>8.9</v>
      </c>
      <c r="F29" s="271">
        <f>All!F31</f>
        <v>61.7</v>
      </c>
      <c r="G29" s="271">
        <f>All!G31</f>
        <v>11.9</v>
      </c>
      <c r="H29" s="271">
        <f>All!H31</f>
        <v>17.5</v>
      </c>
      <c r="I29" s="271">
        <f>All!I31</f>
        <v>789.1</v>
      </c>
      <c r="J29" s="271">
        <f>All!J31</f>
        <v>225.2</v>
      </c>
      <c r="K29" s="271">
        <f>All!K31</f>
        <v>78.3</v>
      </c>
      <c r="L29" s="271">
        <f>All!L31</f>
        <v>23.1</v>
      </c>
      <c r="M29" s="271">
        <f>All!M31</f>
        <v>13.7</v>
      </c>
      <c r="N29" s="271">
        <f>All!N31</f>
        <v>21.1</v>
      </c>
      <c r="O29" s="271">
        <f>All!O31</f>
        <v>1301.2</v>
      </c>
      <c r="P29" s="281">
        <f>All!P31</f>
        <v>108.4</v>
      </c>
    </row>
    <row r="30" spans="2:16">
      <c r="B30" s="280">
        <f>All!B32</f>
        <v>2018</v>
      </c>
      <c r="C30" s="271">
        <f>All!C32</f>
        <v>17.600000000000001</v>
      </c>
      <c r="D30" s="271">
        <f>All!D32</f>
        <v>30.6</v>
      </c>
      <c r="E30" s="271">
        <f>All!E32</f>
        <v>81.7</v>
      </c>
      <c r="F30" s="271">
        <f>All!F32</f>
        <v>133</v>
      </c>
      <c r="G30" s="271">
        <f>All!G32</f>
        <v>92</v>
      </c>
      <c r="H30" s="271">
        <f>All!H32</f>
        <v>63.3</v>
      </c>
      <c r="I30" s="271">
        <f>All!I32</f>
        <v>324.89999999999998</v>
      </c>
      <c r="J30" s="271">
        <f>All!J32</f>
        <v>247.9</v>
      </c>
      <c r="K30" s="271">
        <f>All!K32</f>
        <v>204</v>
      </c>
      <c r="L30" s="271">
        <f>All!L32</f>
        <v>112.2</v>
      </c>
      <c r="M30" s="271">
        <f>All!M32</f>
        <v>45.9</v>
      </c>
      <c r="N30" s="271">
        <f>All!N32</f>
        <v>28.5</v>
      </c>
      <c r="O30" s="271">
        <f>All!O32</f>
        <v>1381.6</v>
      </c>
      <c r="P30" s="281">
        <f>All!P32</f>
        <v>115.1</v>
      </c>
    </row>
    <row r="31" spans="2:16">
      <c r="B31" s="280">
        <f>All!B33</f>
        <v>2019</v>
      </c>
      <c r="C31" s="271">
        <f>All!C33</f>
        <v>0.1</v>
      </c>
      <c r="D31" s="271">
        <f>All!D33</f>
        <v>23</v>
      </c>
      <c r="E31" s="271">
        <f>All!E33</f>
        <v>20.3</v>
      </c>
      <c r="F31" s="271">
        <f>All!F33</f>
        <v>60.8</v>
      </c>
      <c r="G31" s="271">
        <f>All!G33</f>
        <v>20.3</v>
      </c>
      <c r="H31" s="271">
        <f>All!H33</f>
        <v>82.5</v>
      </c>
      <c r="I31" s="271">
        <f>All!I33</f>
        <v>204.8</v>
      </c>
      <c r="J31" s="271">
        <f>All!J33</f>
        <v>80.5</v>
      </c>
      <c r="K31" s="271">
        <f>All!K33</f>
        <v>155.1</v>
      </c>
      <c r="L31" s="271">
        <f>All!L33</f>
        <v>84.3</v>
      </c>
      <c r="M31" s="271">
        <f>All!M33</f>
        <v>104.9</v>
      </c>
      <c r="N31" s="271">
        <f>All!N33</f>
        <v>18.8</v>
      </c>
      <c r="O31" s="271">
        <f>All!O33</f>
        <v>855.4</v>
      </c>
      <c r="P31" s="281">
        <f>All!P33</f>
        <v>71.3</v>
      </c>
    </row>
    <row r="32" spans="2:16">
      <c r="B32" s="280">
        <f>All!B34</f>
        <v>2020</v>
      </c>
      <c r="C32" s="271">
        <f>All!C34</f>
        <v>62</v>
      </c>
      <c r="D32" s="271">
        <f>All!D34</f>
        <v>62.7</v>
      </c>
      <c r="E32" s="271">
        <f>All!E34</f>
        <v>22.9</v>
      </c>
      <c r="F32" s="271">
        <f>All!F34</f>
        <v>15.7</v>
      </c>
      <c r="G32" s="271">
        <f>All!G34</f>
        <v>65.3</v>
      </c>
      <c r="H32" s="271">
        <f>All!H34</f>
        <v>145.9</v>
      </c>
      <c r="I32" s="271">
        <f>All!I34</f>
        <v>386.6</v>
      </c>
      <c r="J32" s="271">
        <f>All!J34</f>
        <v>385.8</v>
      </c>
      <c r="K32" s="271">
        <f>All!K34</f>
        <v>160.6</v>
      </c>
      <c r="L32" s="271">
        <f>All!L34</f>
        <v>5.8</v>
      </c>
      <c r="M32" s="271">
        <f>All!M34</f>
        <v>41</v>
      </c>
      <c r="N32" s="271">
        <f>All!N34</f>
        <v>4.3</v>
      </c>
      <c r="O32" s="271">
        <f>All!O34</f>
        <v>1358.6</v>
      </c>
      <c r="P32" s="281">
        <f>All!P34</f>
        <v>113.2</v>
      </c>
    </row>
    <row r="33" spans="2:17">
      <c r="B33" s="129" t="s">
        <v>203</v>
      </c>
      <c r="C33" s="130">
        <f>ROUND(SUM(C23:C32)/10,1)</f>
        <v>17.2</v>
      </c>
      <c r="D33" s="130">
        <f t="shared" ref="D33:P33" si="0">ROUND(SUM(D23:D32)/10,1)</f>
        <v>31.4</v>
      </c>
      <c r="E33" s="130">
        <f t="shared" si="0"/>
        <v>37.799999999999997</v>
      </c>
      <c r="F33" s="130">
        <f t="shared" si="0"/>
        <v>83.9</v>
      </c>
      <c r="G33" s="130">
        <f t="shared" si="0"/>
        <v>57.9</v>
      </c>
      <c r="H33" s="130">
        <f t="shared" si="0"/>
        <v>120.9</v>
      </c>
      <c r="I33" s="130">
        <f t="shared" si="0"/>
        <v>333.5</v>
      </c>
      <c r="J33" s="130">
        <f t="shared" si="0"/>
        <v>221.4</v>
      </c>
      <c r="K33" s="130">
        <f t="shared" si="0"/>
        <v>135.1</v>
      </c>
      <c r="L33" s="130">
        <f t="shared" si="0"/>
        <v>67.3</v>
      </c>
      <c r="M33" s="130">
        <f t="shared" si="0"/>
        <v>58.6</v>
      </c>
      <c r="N33" s="130">
        <f t="shared" si="0"/>
        <v>29.3</v>
      </c>
      <c r="O33" s="130">
        <f t="shared" si="0"/>
        <v>1194.3</v>
      </c>
      <c r="P33" s="131">
        <f t="shared" si="0"/>
        <v>99.5</v>
      </c>
    </row>
    <row r="34" spans="2:17" ht="17.25" thickBot="1">
      <c r="B34" s="284" t="s">
        <v>202</v>
      </c>
      <c r="C34" s="132">
        <f>All!C37</f>
        <v>20.6</v>
      </c>
      <c r="D34" s="132">
        <f>All!D37</f>
        <v>29</v>
      </c>
      <c r="E34" s="132">
        <f>All!E37</f>
        <v>42.9</v>
      </c>
      <c r="F34" s="132">
        <f>All!F37</f>
        <v>75.5</v>
      </c>
      <c r="G34" s="132">
        <f>All!G37</f>
        <v>82.8</v>
      </c>
      <c r="H34" s="132">
        <f>All!H37</f>
        <v>140</v>
      </c>
      <c r="I34" s="132">
        <f>All!I37</f>
        <v>293.8</v>
      </c>
      <c r="J34" s="132">
        <f>All!J37</f>
        <v>274.2</v>
      </c>
      <c r="K34" s="132">
        <f>All!K37</f>
        <v>142.30000000000001</v>
      </c>
      <c r="L34" s="132">
        <f>All!L37</f>
        <v>58</v>
      </c>
      <c r="M34" s="132">
        <f>All!M37</f>
        <v>46.7</v>
      </c>
      <c r="N34" s="132">
        <f>All!N37</f>
        <v>26.6</v>
      </c>
      <c r="O34" s="132">
        <f>All!O37</f>
        <v>1232.3</v>
      </c>
      <c r="P34" s="133">
        <f>All!P37</f>
        <v>102.7</v>
      </c>
    </row>
    <row r="36" spans="2:17" ht="17.25" thickBot="1"/>
    <row r="37" spans="2:17">
      <c r="B37" s="123" t="s">
        <v>38</v>
      </c>
      <c r="C37" s="125" t="s">
        <v>179</v>
      </c>
      <c r="D37" s="136"/>
      <c r="E37" s="137" t="s">
        <v>40</v>
      </c>
      <c r="F37" s="137" t="s">
        <v>41</v>
      </c>
      <c r="G37" s="137" t="s">
        <v>42</v>
      </c>
      <c r="H37" s="137" t="s">
        <v>43</v>
      </c>
      <c r="I37" s="137" t="s">
        <v>44</v>
      </c>
      <c r="J37" s="137" t="s">
        <v>12</v>
      </c>
      <c r="K37" s="144" t="s">
        <v>13</v>
      </c>
      <c r="L37" s="144" t="s">
        <v>14</v>
      </c>
      <c r="M37" s="144" t="s">
        <v>15</v>
      </c>
      <c r="N37" s="137" t="s">
        <v>16</v>
      </c>
      <c r="O37" s="137" t="s">
        <v>17</v>
      </c>
      <c r="P37" s="137" t="s">
        <v>18</v>
      </c>
      <c r="Q37" s="138" t="s">
        <v>39</v>
      </c>
    </row>
    <row r="38" spans="2:17" ht="17.25" thickBot="1">
      <c r="B38" s="126">
        <f>B23</f>
        <v>2011</v>
      </c>
      <c r="C38" s="128">
        <f>O23</f>
        <v>1805.6</v>
      </c>
      <c r="D38" s="140" t="s">
        <v>39</v>
      </c>
      <c r="E38" s="141">
        <f>All!C53</f>
        <v>17.2</v>
      </c>
      <c r="F38" s="141">
        <f>All!D53</f>
        <v>31.4</v>
      </c>
      <c r="G38" s="141">
        <f>All!E53</f>
        <v>37.799999999999997</v>
      </c>
      <c r="H38" s="141">
        <f>All!F53</f>
        <v>83.9</v>
      </c>
      <c r="I38" s="141">
        <f>All!G53</f>
        <v>57.9</v>
      </c>
      <c r="J38" s="141">
        <f>All!H53</f>
        <v>120.9</v>
      </c>
      <c r="K38" s="141">
        <f>All!I53</f>
        <v>333.5</v>
      </c>
      <c r="L38" s="141">
        <f>All!J53</f>
        <v>221.4</v>
      </c>
      <c r="M38" s="141">
        <f>All!K53</f>
        <v>135.1</v>
      </c>
      <c r="N38" s="141">
        <f>All!L53</f>
        <v>67.3</v>
      </c>
      <c r="O38" s="141">
        <f>All!M53</f>
        <v>58.6</v>
      </c>
      <c r="P38" s="141">
        <f>All!N53</f>
        <v>29.3</v>
      </c>
      <c r="Q38" s="141">
        <f>All!P53</f>
        <v>99.5</v>
      </c>
    </row>
    <row r="39" spans="2:17">
      <c r="B39" s="126">
        <f t="shared" ref="B39:B48" si="1">B24</f>
        <v>2012</v>
      </c>
      <c r="C39" s="128">
        <f t="shared" ref="C39:C48" si="2">O24</f>
        <v>1387.6</v>
      </c>
    </row>
    <row r="40" spans="2:17">
      <c r="B40" s="126">
        <f t="shared" si="1"/>
        <v>2013</v>
      </c>
      <c r="C40" s="128">
        <f t="shared" si="2"/>
        <v>1245.4000000000001</v>
      </c>
    </row>
    <row r="41" spans="2:17">
      <c r="B41" s="126">
        <f t="shared" si="1"/>
        <v>2014</v>
      </c>
      <c r="C41" s="128">
        <f t="shared" si="2"/>
        <v>913.7</v>
      </c>
    </row>
    <row r="42" spans="2:17">
      <c r="B42" s="126">
        <f t="shared" si="1"/>
        <v>2015</v>
      </c>
      <c r="C42" s="128">
        <f t="shared" si="2"/>
        <v>755.4</v>
      </c>
    </row>
    <row r="43" spans="2:17">
      <c r="B43" s="126">
        <f t="shared" si="1"/>
        <v>2016</v>
      </c>
      <c r="C43" s="128">
        <f t="shared" si="2"/>
        <v>938</v>
      </c>
    </row>
    <row r="44" spans="2:17">
      <c r="B44" s="126">
        <f t="shared" si="1"/>
        <v>2017</v>
      </c>
      <c r="C44" s="128">
        <f t="shared" si="2"/>
        <v>1301.2</v>
      </c>
    </row>
    <row r="45" spans="2:17">
      <c r="B45" s="126">
        <f t="shared" si="1"/>
        <v>2018</v>
      </c>
      <c r="C45" s="128">
        <f t="shared" si="2"/>
        <v>1381.6</v>
      </c>
    </row>
    <row r="46" spans="2:17">
      <c r="B46" s="126">
        <f t="shared" si="1"/>
        <v>2019</v>
      </c>
      <c r="C46" s="128">
        <f t="shared" si="2"/>
        <v>855.4</v>
      </c>
    </row>
    <row r="47" spans="2:17">
      <c r="B47" s="126">
        <f t="shared" si="1"/>
        <v>2020</v>
      </c>
      <c r="C47" s="128">
        <f t="shared" si="2"/>
        <v>1358.6</v>
      </c>
    </row>
    <row r="48" spans="2:17" ht="17.25" thickBot="1">
      <c r="B48" s="134" t="str">
        <f t="shared" si="1"/>
        <v>10년평균</v>
      </c>
      <c r="C48" s="135">
        <f t="shared" si="2"/>
        <v>1194.3</v>
      </c>
    </row>
    <row r="50" spans="2:3" ht="17.25" thickBot="1"/>
    <row r="51" spans="2:3">
      <c r="B51" s="278" t="s">
        <v>204</v>
      </c>
      <c r="C51" s="279" t="s">
        <v>179</v>
      </c>
    </row>
    <row r="52" spans="2:3">
      <c r="B52" s="274">
        <f>B3</f>
        <v>1991</v>
      </c>
      <c r="C52" s="275">
        <f>O3</f>
        <v>1143.5999999999999</v>
      </c>
    </row>
    <row r="53" spans="2:3">
      <c r="B53" s="274">
        <f t="shared" ref="B53:B81" si="3">B4</f>
        <v>1992</v>
      </c>
      <c r="C53" s="275">
        <f t="shared" ref="C53:C81" si="4">O4</f>
        <v>990.1</v>
      </c>
    </row>
    <row r="54" spans="2:3">
      <c r="B54" s="274">
        <f t="shared" si="3"/>
        <v>1993</v>
      </c>
      <c r="C54" s="275">
        <f t="shared" si="4"/>
        <v>1301.8</v>
      </c>
    </row>
    <row r="55" spans="2:3">
      <c r="B55" s="274">
        <f t="shared" si="3"/>
        <v>1994</v>
      </c>
      <c r="C55" s="275">
        <f t="shared" si="4"/>
        <v>1012</v>
      </c>
    </row>
    <row r="56" spans="2:3">
      <c r="B56" s="274">
        <f t="shared" si="3"/>
        <v>1995</v>
      </c>
      <c r="C56" s="275">
        <f t="shared" si="4"/>
        <v>1339.8</v>
      </c>
    </row>
    <row r="57" spans="2:3">
      <c r="B57" s="274">
        <f t="shared" si="3"/>
        <v>1996</v>
      </c>
      <c r="C57" s="275">
        <f t="shared" si="4"/>
        <v>928.8</v>
      </c>
    </row>
    <row r="58" spans="2:3">
      <c r="B58" s="274">
        <f t="shared" si="3"/>
        <v>1997</v>
      </c>
      <c r="C58" s="275">
        <f t="shared" si="4"/>
        <v>1456.6</v>
      </c>
    </row>
    <row r="59" spans="2:3">
      <c r="B59" s="274">
        <f t="shared" si="3"/>
        <v>1998</v>
      </c>
      <c r="C59" s="275">
        <f t="shared" si="4"/>
        <v>1640.2</v>
      </c>
    </row>
    <row r="60" spans="2:3">
      <c r="B60" s="274">
        <f t="shared" si="3"/>
        <v>1999</v>
      </c>
      <c r="C60" s="275">
        <f t="shared" si="4"/>
        <v>1326.5</v>
      </c>
    </row>
    <row r="61" spans="2:3">
      <c r="B61" s="274">
        <f t="shared" si="3"/>
        <v>2000</v>
      </c>
      <c r="C61" s="275">
        <f t="shared" si="4"/>
        <v>1357.6</v>
      </c>
    </row>
    <row r="62" spans="2:3">
      <c r="B62" s="274">
        <f t="shared" si="3"/>
        <v>2001</v>
      </c>
      <c r="C62" s="275">
        <f t="shared" si="4"/>
        <v>784.1</v>
      </c>
    </row>
    <row r="63" spans="2:3">
      <c r="B63" s="274">
        <f t="shared" si="3"/>
        <v>2002</v>
      </c>
      <c r="C63" s="275">
        <f t="shared" si="4"/>
        <v>1281.8</v>
      </c>
    </row>
    <row r="64" spans="2:3">
      <c r="B64" s="274">
        <f t="shared" si="3"/>
        <v>2003</v>
      </c>
      <c r="C64" s="275">
        <f t="shared" si="4"/>
        <v>1581.8</v>
      </c>
    </row>
    <row r="65" spans="2:3">
      <c r="B65" s="274">
        <f t="shared" si="3"/>
        <v>2004</v>
      </c>
      <c r="C65" s="275">
        <f t="shared" si="4"/>
        <v>1505.9</v>
      </c>
    </row>
    <row r="66" spans="2:3">
      <c r="B66" s="274">
        <f t="shared" si="3"/>
        <v>2005</v>
      </c>
      <c r="C66" s="275">
        <f t="shared" si="4"/>
        <v>1427.2</v>
      </c>
    </row>
    <row r="67" spans="2:3">
      <c r="B67" s="274">
        <f t="shared" si="3"/>
        <v>2006</v>
      </c>
      <c r="C67" s="275">
        <f t="shared" si="4"/>
        <v>1081.0999999999999</v>
      </c>
    </row>
    <row r="68" spans="2:3">
      <c r="B68" s="274">
        <f t="shared" si="3"/>
        <v>2007</v>
      </c>
      <c r="C68" s="275">
        <f t="shared" si="4"/>
        <v>1534.5</v>
      </c>
    </row>
    <row r="69" spans="2:3">
      <c r="B69" s="274">
        <f t="shared" si="3"/>
        <v>2008</v>
      </c>
      <c r="C69" s="275">
        <f t="shared" si="4"/>
        <v>892.3</v>
      </c>
    </row>
    <row r="70" spans="2:3">
      <c r="B70" s="274">
        <f t="shared" si="3"/>
        <v>2009</v>
      </c>
      <c r="C70" s="275">
        <f t="shared" si="4"/>
        <v>1019.8</v>
      </c>
    </row>
    <row r="71" spans="2:3">
      <c r="B71" s="274">
        <f t="shared" si="3"/>
        <v>2010</v>
      </c>
      <c r="C71" s="275">
        <f t="shared" si="4"/>
        <v>1422.4</v>
      </c>
    </row>
    <row r="72" spans="2:3">
      <c r="B72" s="274">
        <f t="shared" si="3"/>
        <v>2011</v>
      </c>
      <c r="C72" s="275">
        <f t="shared" si="4"/>
        <v>1805.6</v>
      </c>
    </row>
    <row r="73" spans="2:3">
      <c r="B73" s="274">
        <f t="shared" si="3"/>
        <v>2012</v>
      </c>
      <c r="C73" s="275">
        <f t="shared" si="4"/>
        <v>1387.6</v>
      </c>
    </row>
    <row r="74" spans="2:3">
      <c r="B74" s="274">
        <f t="shared" si="3"/>
        <v>2013</v>
      </c>
      <c r="C74" s="275">
        <f t="shared" si="4"/>
        <v>1245.4000000000001</v>
      </c>
    </row>
    <row r="75" spans="2:3">
      <c r="B75" s="274">
        <f t="shared" si="3"/>
        <v>2014</v>
      </c>
      <c r="C75" s="275">
        <f t="shared" si="4"/>
        <v>913.7</v>
      </c>
    </row>
    <row r="76" spans="2:3">
      <c r="B76" s="274">
        <f t="shared" si="3"/>
        <v>2015</v>
      </c>
      <c r="C76" s="275">
        <f t="shared" si="4"/>
        <v>755.4</v>
      </c>
    </row>
    <row r="77" spans="2:3">
      <c r="B77" s="274">
        <f t="shared" si="3"/>
        <v>2016</v>
      </c>
      <c r="C77" s="275">
        <f t="shared" si="4"/>
        <v>938</v>
      </c>
    </row>
    <row r="78" spans="2:3">
      <c r="B78" s="274">
        <f>B29</f>
        <v>2017</v>
      </c>
      <c r="C78" s="275">
        <f t="shared" si="4"/>
        <v>1301.2</v>
      </c>
    </row>
    <row r="79" spans="2:3">
      <c r="B79" s="274">
        <f t="shared" si="3"/>
        <v>2018</v>
      </c>
      <c r="C79" s="275">
        <f t="shared" si="4"/>
        <v>1381.6</v>
      </c>
    </row>
    <row r="80" spans="2:3">
      <c r="B80" s="274">
        <f t="shared" si="3"/>
        <v>2019</v>
      </c>
      <c r="C80" s="275">
        <f t="shared" si="4"/>
        <v>855.4</v>
      </c>
    </row>
    <row r="81" spans="2:3">
      <c r="B81" s="274">
        <f t="shared" si="3"/>
        <v>2020</v>
      </c>
      <c r="C81" s="275">
        <f t="shared" si="4"/>
        <v>1358.6</v>
      </c>
    </row>
    <row r="82" spans="2:3" ht="17.25" thickBot="1">
      <c r="B82" s="276" t="str">
        <f>B34</f>
        <v>30년평균</v>
      </c>
      <c r="C82" s="277">
        <f>O34</f>
        <v>1232.3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64"/>
  <sheetViews>
    <sheetView tabSelected="1" topLeftCell="A13" zoomScaleNormal="100" workbookViewId="0">
      <selection activeCell="G22" sqref="G22"/>
    </sheetView>
  </sheetViews>
  <sheetFormatPr defaultColWidth="8.88671875" defaultRowHeight="16.5"/>
  <cols>
    <col min="1" max="1" width="17" style="121" customWidth="1"/>
    <col min="2" max="2" width="19.5546875" style="121" customWidth="1"/>
    <col min="3" max="16" width="10.109375" style="121" customWidth="1"/>
    <col min="17" max="16384" width="8.88671875" style="121"/>
  </cols>
  <sheetData>
    <row r="2" spans="2:16">
      <c r="B2" s="122" t="s">
        <v>186</v>
      </c>
    </row>
    <row r="3" spans="2:16" ht="17.25" thickBot="1">
      <c r="I3"/>
      <c r="J3"/>
      <c r="K3"/>
    </row>
    <row r="4" spans="2:16" ht="23.25" customHeight="1">
      <c r="B4" s="142"/>
      <c r="C4" s="143" t="s">
        <v>7</v>
      </c>
      <c r="D4" s="144" t="s">
        <v>8</v>
      </c>
      <c r="E4" s="144" t="s">
        <v>9</v>
      </c>
      <c r="F4" s="144" t="s">
        <v>10</v>
      </c>
      <c r="G4" s="144" t="s">
        <v>11</v>
      </c>
      <c r="H4" s="144" t="s">
        <v>12</v>
      </c>
      <c r="I4" s="144" t="s">
        <v>13</v>
      </c>
      <c r="J4" s="144" t="s">
        <v>14</v>
      </c>
      <c r="K4" s="144" t="s">
        <v>15</v>
      </c>
      <c r="L4" s="144" t="s">
        <v>16</v>
      </c>
      <c r="M4" s="144" t="s">
        <v>17</v>
      </c>
      <c r="N4" s="145" t="s">
        <v>18</v>
      </c>
      <c r="O4" s="143" t="s">
        <v>19</v>
      </c>
      <c r="P4" s="145" t="s">
        <v>20</v>
      </c>
    </row>
    <row r="5" spans="2:16" ht="22.15" customHeight="1">
      <c r="B5" s="146">
        <f>All!B41</f>
        <v>2011</v>
      </c>
      <c r="C5" s="147">
        <f>All!C41</f>
        <v>4.5</v>
      </c>
      <c r="D5" s="127">
        <f>All!D41</f>
        <v>43.2</v>
      </c>
      <c r="E5" s="127">
        <f>All!E41</f>
        <v>23.5</v>
      </c>
      <c r="F5" s="127">
        <f>All!F41</f>
        <v>111.2</v>
      </c>
      <c r="G5" s="127">
        <f>All!G41</f>
        <v>116.2</v>
      </c>
      <c r="H5" s="127">
        <f>All!H41</f>
        <v>360.7</v>
      </c>
      <c r="I5" s="127">
        <f>All!I41</f>
        <v>531.9</v>
      </c>
      <c r="J5" s="127">
        <f>All!J41</f>
        <v>290.2</v>
      </c>
      <c r="K5" s="127">
        <f>All!K41</f>
        <v>182.5</v>
      </c>
      <c r="L5" s="127">
        <f>All!L41</f>
        <v>34.5</v>
      </c>
      <c r="M5" s="127">
        <f>All!M41</f>
        <v>92.6</v>
      </c>
      <c r="N5" s="128">
        <f>All!N41</f>
        <v>14.6</v>
      </c>
      <c r="O5" s="147">
        <f>All!O41</f>
        <v>1805.6</v>
      </c>
      <c r="P5" s="128">
        <f>All!P41</f>
        <v>150.5</v>
      </c>
    </row>
    <row r="6" spans="2:16" ht="22.15" customHeight="1">
      <c r="B6" s="146">
        <f>All!B42</f>
        <v>2012</v>
      </c>
      <c r="C6" s="147">
        <f>All!C42</f>
        <v>17.8</v>
      </c>
      <c r="D6" s="127">
        <f>All!D42</f>
        <v>3.7</v>
      </c>
      <c r="E6" s="127">
        <f>All!E42</f>
        <v>65.099999999999994</v>
      </c>
      <c r="F6" s="127">
        <f>All!F42</f>
        <v>106.8</v>
      </c>
      <c r="G6" s="127">
        <f>All!G42</f>
        <v>31.2</v>
      </c>
      <c r="H6" s="127">
        <f>All!H42</f>
        <v>93.7</v>
      </c>
      <c r="I6" s="127">
        <f>All!I42</f>
        <v>257.39999999999998</v>
      </c>
      <c r="J6" s="127">
        <f>All!J42</f>
        <v>479.5</v>
      </c>
      <c r="K6" s="127">
        <f>All!K42</f>
        <v>162.5</v>
      </c>
      <c r="L6" s="127">
        <f>All!L42</f>
        <v>61.2</v>
      </c>
      <c r="M6" s="127">
        <f>All!M42</f>
        <v>52.1</v>
      </c>
      <c r="N6" s="128">
        <f>All!N42</f>
        <v>56.6</v>
      </c>
      <c r="O6" s="147">
        <f>All!O42</f>
        <v>1387.6</v>
      </c>
      <c r="P6" s="128">
        <f>All!P42</f>
        <v>115.6</v>
      </c>
    </row>
    <row r="7" spans="2:16" ht="22.15" customHeight="1">
      <c r="B7" s="146">
        <f>All!B43</f>
        <v>2013</v>
      </c>
      <c r="C7" s="147">
        <f>All!C43</f>
        <v>30.5</v>
      </c>
      <c r="D7" s="127">
        <f>All!D43</f>
        <v>33.200000000000003</v>
      </c>
      <c r="E7" s="127">
        <f>All!E43</f>
        <v>46.8</v>
      </c>
      <c r="F7" s="127">
        <f>All!F43</f>
        <v>65</v>
      </c>
      <c r="G7" s="127">
        <f>All!G43</f>
        <v>97.9</v>
      </c>
      <c r="H7" s="127">
        <f>All!H43</f>
        <v>229.9</v>
      </c>
      <c r="I7" s="127">
        <f>All!I43</f>
        <v>253.6</v>
      </c>
      <c r="J7" s="127">
        <f>All!J43</f>
        <v>183.9</v>
      </c>
      <c r="K7" s="127">
        <f>All!K43</f>
        <v>162.6</v>
      </c>
      <c r="L7" s="127">
        <f>All!L43</f>
        <v>26.5</v>
      </c>
      <c r="M7" s="127">
        <f>All!M43</f>
        <v>78.2</v>
      </c>
      <c r="N7" s="128">
        <f>All!N43</f>
        <v>37.299999999999997</v>
      </c>
      <c r="O7" s="147">
        <f>All!O43</f>
        <v>1245.4000000000001</v>
      </c>
      <c r="P7" s="128">
        <f>All!P43</f>
        <v>103.8</v>
      </c>
    </row>
    <row r="8" spans="2:16" ht="22.15" customHeight="1">
      <c r="B8" s="146">
        <f>All!B44</f>
        <v>2014</v>
      </c>
      <c r="C8" s="147">
        <f>All!C44</f>
        <v>5.9</v>
      </c>
      <c r="D8" s="127">
        <f>All!D44</f>
        <v>6.8</v>
      </c>
      <c r="E8" s="127">
        <f>All!E44</f>
        <v>51.1</v>
      </c>
      <c r="F8" s="127">
        <f>All!F44</f>
        <v>43.7</v>
      </c>
      <c r="G8" s="127">
        <f>All!G44</f>
        <v>35</v>
      </c>
      <c r="H8" s="127">
        <f>All!H44</f>
        <v>92.6</v>
      </c>
      <c r="I8" s="127">
        <f>All!I44</f>
        <v>125.1</v>
      </c>
      <c r="J8" s="127">
        <f>All!J44</f>
        <v>197.5</v>
      </c>
      <c r="K8" s="127">
        <f>All!K44</f>
        <v>147.5</v>
      </c>
      <c r="L8" s="127">
        <f>All!L44</f>
        <v>151.1</v>
      </c>
      <c r="M8" s="127">
        <f>All!M44</f>
        <v>24.8</v>
      </c>
      <c r="N8" s="128">
        <f>All!N44</f>
        <v>32.6</v>
      </c>
      <c r="O8" s="147">
        <f>All!O44</f>
        <v>913.7</v>
      </c>
      <c r="P8" s="128">
        <f>All!P44</f>
        <v>76.099999999999994</v>
      </c>
    </row>
    <row r="9" spans="2:16" ht="22.15" customHeight="1">
      <c r="B9" s="146">
        <f>All!B45</f>
        <v>2015</v>
      </c>
      <c r="C9" s="147">
        <f>All!C45</f>
        <v>16</v>
      </c>
      <c r="D9" s="127">
        <f>All!D45</f>
        <v>26.5</v>
      </c>
      <c r="E9" s="127">
        <f>All!E45</f>
        <v>44.1</v>
      </c>
      <c r="F9" s="127">
        <f>All!F45</f>
        <v>109.1</v>
      </c>
      <c r="G9" s="127">
        <f>All!G45</f>
        <v>24.4</v>
      </c>
      <c r="H9" s="127">
        <f>All!H45</f>
        <v>83.3</v>
      </c>
      <c r="I9" s="127">
        <f>All!I45</f>
        <v>141.4</v>
      </c>
      <c r="J9" s="127">
        <f>All!J45</f>
        <v>54.3</v>
      </c>
      <c r="K9" s="127">
        <f>All!K45</f>
        <v>20.100000000000001</v>
      </c>
      <c r="L9" s="127">
        <f>All!L45</f>
        <v>90.5</v>
      </c>
      <c r="M9" s="127">
        <f>All!M45</f>
        <v>106.8</v>
      </c>
      <c r="N9" s="128">
        <f>All!N45</f>
        <v>38.9</v>
      </c>
      <c r="O9" s="147">
        <f>All!O45</f>
        <v>755.4</v>
      </c>
      <c r="P9" s="128">
        <f>All!P45</f>
        <v>63</v>
      </c>
    </row>
    <row r="10" spans="2:16" ht="22.15" customHeight="1">
      <c r="B10" s="292">
        <f>All!B46</f>
        <v>2016</v>
      </c>
      <c r="C10" s="147">
        <f>All!C46</f>
        <v>5.7</v>
      </c>
      <c r="D10" s="127">
        <f>All!D46</f>
        <v>45.5</v>
      </c>
      <c r="E10" s="127">
        <f>All!E46</f>
        <v>13.2</v>
      </c>
      <c r="F10" s="127">
        <f>All!F46</f>
        <v>132.1</v>
      </c>
      <c r="G10" s="127">
        <f>All!G46</f>
        <v>84.4</v>
      </c>
      <c r="H10" s="127">
        <f>All!H46</f>
        <v>39.9</v>
      </c>
      <c r="I10" s="127">
        <f>All!I46</f>
        <v>320</v>
      </c>
      <c r="J10" s="127">
        <f>All!J46</f>
        <v>69</v>
      </c>
      <c r="K10" s="127">
        <f>All!K46</f>
        <v>78.099999999999994</v>
      </c>
      <c r="L10" s="127">
        <f>All!L46</f>
        <v>83.6</v>
      </c>
      <c r="M10" s="127">
        <f>All!M46</f>
        <v>26.4</v>
      </c>
      <c r="N10" s="128">
        <f>All!N46</f>
        <v>40.1</v>
      </c>
      <c r="O10" s="266">
        <f>All!O46</f>
        <v>938</v>
      </c>
      <c r="P10" s="128">
        <f>All!P46</f>
        <v>78.2</v>
      </c>
    </row>
    <row r="11" spans="2:16" ht="22.15" customHeight="1">
      <c r="B11" s="292">
        <f>All!B47</f>
        <v>2017</v>
      </c>
      <c r="C11" s="147">
        <f>All!C47</f>
        <v>12</v>
      </c>
      <c r="D11" s="127">
        <f>All!D47</f>
        <v>38.700000000000003</v>
      </c>
      <c r="E11" s="127">
        <f>All!E47</f>
        <v>8.9</v>
      </c>
      <c r="F11" s="127">
        <f>All!F47</f>
        <v>61.7</v>
      </c>
      <c r="G11" s="127">
        <f>All!G47</f>
        <v>11.9</v>
      </c>
      <c r="H11" s="127">
        <f>All!H47</f>
        <v>17.5</v>
      </c>
      <c r="I11" s="127">
        <f>All!I47</f>
        <v>789.1</v>
      </c>
      <c r="J11" s="127">
        <f>All!J47</f>
        <v>225.2</v>
      </c>
      <c r="K11" s="127">
        <f>All!K47</f>
        <v>78.3</v>
      </c>
      <c r="L11" s="127">
        <f>All!L47</f>
        <v>23.1</v>
      </c>
      <c r="M11" s="127">
        <f>All!M47</f>
        <v>13.7</v>
      </c>
      <c r="N11" s="128">
        <f>All!N47</f>
        <v>21.1</v>
      </c>
      <c r="O11" s="266">
        <f>All!O47</f>
        <v>1301.2</v>
      </c>
      <c r="P11" s="128">
        <f>All!P47</f>
        <v>108.4</v>
      </c>
    </row>
    <row r="12" spans="2:16" ht="22.15" customHeight="1">
      <c r="B12" s="146">
        <f>All!B48</f>
        <v>2018</v>
      </c>
      <c r="C12" s="147">
        <f>All!C48</f>
        <v>17.600000000000001</v>
      </c>
      <c r="D12" s="127">
        <f>All!D48</f>
        <v>30.6</v>
      </c>
      <c r="E12" s="127">
        <f>All!E48</f>
        <v>81.7</v>
      </c>
      <c r="F12" s="127">
        <f>All!F48</f>
        <v>133</v>
      </c>
      <c r="G12" s="127">
        <f>All!G48</f>
        <v>92</v>
      </c>
      <c r="H12" s="127">
        <f>All!H48</f>
        <v>63.3</v>
      </c>
      <c r="I12" s="127">
        <f>All!I48</f>
        <v>324.89999999999998</v>
      </c>
      <c r="J12" s="127">
        <f>All!J48</f>
        <v>247.9</v>
      </c>
      <c r="K12" s="127">
        <f>All!K48</f>
        <v>204</v>
      </c>
      <c r="L12" s="127">
        <f>All!L48</f>
        <v>112.2</v>
      </c>
      <c r="M12" s="127">
        <f>All!M48</f>
        <v>45.9</v>
      </c>
      <c r="N12" s="128">
        <f>All!N48</f>
        <v>28.5</v>
      </c>
      <c r="O12" s="147">
        <f>All!O48</f>
        <v>1381.6</v>
      </c>
      <c r="P12" s="128">
        <f>All!P48</f>
        <v>115.1</v>
      </c>
    </row>
    <row r="13" spans="2:16" ht="22.15" customHeight="1">
      <c r="B13" s="146">
        <f>All!B49</f>
        <v>2019</v>
      </c>
      <c r="C13" s="147">
        <f>All!C49</f>
        <v>0.1</v>
      </c>
      <c r="D13" s="127">
        <f>All!D49</f>
        <v>23</v>
      </c>
      <c r="E13" s="127">
        <f>All!E49</f>
        <v>20.3</v>
      </c>
      <c r="F13" s="127">
        <f>All!F49</f>
        <v>60.8</v>
      </c>
      <c r="G13" s="127">
        <f>All!G49</f>
        <v>20.3</v>
      </c>
      <c r="H13" s="127">
        <f>All!H49</f>
        <v>82.5</v>
      </c>
      <c r="I13" s="127">
        <f>All!I49</f>
        <v>204.8</v>
      </c>
      <c r="J13" s="127">
        <f>All!J49</f>
        <v>80.5</v>
      </c>
      <c r="K13" s="127">
        <f>All!K49</f>
        <v>155.1</v>
      </c>
      <c r="L13" s="127">
        <f>All!L49</f>
        <v>84.3</v>
      </c>
      <c r="M13" s="127">
        <f>All!M49</f>
        <v>104.9</v>
      </c>
      <c r="N13" s="128">
        <f>All!N49</f>
        <v>18.8</v>
      </c>
      <c r="O13" s="147">
        <f>All!O49</f>
        <v>855.4</v>
      </c>
      <c r="P13" s="128">
        <f>All!P49</f>
        <v>71.3</v>
      </c>
    </row>
    <row r="14" spans="2:16" ht="22.15" customHeight="1" thickBot="1">
      <c r="B14" s="146">
        <f>All!B50</f>
        <v>2020</v>
      </c>
      <c r="C14" s="148">
        <f>All!C50</f>
        <v>62</v>
      </c>
      <c r="D14" s="149">
        <f>All!D50</f>
        <v>62.7</v>
      </c>
      <c r="E14" s="149">
        <f>All!E50</f>
        <v>22.9</v>
      </c>
      <c r="F14" s="149">
        <f>All!F50</f>
        <v>15.7</v>
      </c>
      <c r="G14" s="149">
        <f>All!G50</f>
        <v>65.3</v>
      </c>
      <c r="H14" s="149">
        <f>All!H50</f>
        <v>145.9</v>
      </c>
      <c r="I14" s="149">
        <f>All!I50</f>
        <v>386.6</v>
      </c>
      <c r="J14" s="149">
        <f>All!J50</f>
        <v>385.8</v>
      </c>
      <c r="K14" s="149">
        <f>All!K50</f>
        <v>160.6</v>
      </c>
      <c r="L14" s="149">
        <f>All!L50</f>
        <v>5.8</v>
      </c>
      <c r="M14" s="149">
        <f>All!M50</f>
        <v>41</v>
      </c>
      <c r="N14" s="150">
        <f>All!N50</f>
        <v>4.3</v>
      </c>
      <c r="O14" s="148">
        <f>All!O50</f>
        <v>1358.6</v>
      </c>
      <c r="P14" s="150">
        <f>All!P50</f>
        <v>113.2</v>
      </c>
    </row>
    <row r="15" spans="2:16" ht="22.15" customHeight="1">
      <c r="B15" s="151" t="s">
        <v>21</v>
      </c>
      <c r="C15" s="152">
        <f>All!C51</f>
        <v>62</v>
      </c>
      <c r="D15" s="153">
        <f>All!D51</f>
        <v>62.7</v>
      </c>
      <c r="E15" s="153">
        <f>All!E51</f>
        <v>81.7</v>
      </c>
      <c r="F15" s="153">
        <f>All!F51</f>
        <v>133</v>
      </c>
      <c r="G15" s="153">
        <f>All!G51</f>
        <v>116.2</v>
      </c>
      <c r="H15" s="153">
        <f>All!H51</f>
        <v>360.7</v>
      </c>
      <c r="I15" s="153">
        <f>All!I51</f>
        <v>789.1</v>
      </c>
      <c r="J15" s="153">
        <f>All!J51</f>
        <v>479.5</v>
      </c>
      <c r="K15" s="153">
        <f>All!K51</f>
        <v>204</v>
      </c>
      <c r="L15" s="153">
        <f>All!L51</f>
        <v>151.1</v>
      </c>
      <c r="M15" s="153">
        <f>All!M51</f>
        <v>106.8</v>
      </c>
      <c r="N15" s="154">
        <f>All!N51</f>
        <v>56.6</v>
      </c>
      <c r="O15" s="287">
        <f>All!O51</f>
        <v>1805.6</v>
      </c>
      <c r="P15" s="154">
        <f>All!P51</f>
        <v>150.5</v>
      </c>
    </row>
    <row r="16" spans="2:16" ht="22.15" customHeight="1">
      <c r="B16" s="146" t="s">
        <v>22</v>
      </c>
      <c r="C16" s="147">
        <f>All!C52</f>
        <v>0.1</v>
      </c>
      <c r="D16" s="127">
        <f>All!D52</f>
        <v>3.7</v>
      </c>
      <c r="E16" s="127">
        <f>All!E52</f>
        <v>8.9</v>
      </c>
      <c r="F16" s="127">
        <f>All!F52</f>
        <v>15.7</v>
      </c>
      <c r="G16" s="127">
        <f>All!G52</f>
        <v>11.9</v>
      </c>
      <c r="H16" s="127">
        <f>All!H52</f>
        <v>17.5</v>
      </c>
      <c r="I16" s="127">
        <f>All!I52</f>
        <v>125.1</v>
      </c>
      <c r="J16" s="127">
        <f>All!J52</f>
        <v>54.3</v>
      </c>
      <c r="K16" s="127">
        <f>All!K52</f>
        <v>20.100000000000001</v>
      </c>
      <c r="L16" s="127">
        <f>All!L52</f>
        <v>5.8</v>
      </c>
      <c r="M16" s="127">
        <f>All!M52</f>
        <v>13.7</v>
      </c>
      <c r="N16" s="128">
        <f>All!N52</f>
        <v>4.3</v>
      </c>
      <c r="O16" s="286">
        <f>All!O52</f>
        <v>755.4</v>
      </c>
      <c r="P16" s="128">
        <f>All!P52</f>
        <v>63</v>
      </c>
    </row>
    <row r="17" spans="1:16" ht="22.15" customHeight="1" thickBot="1">
      <c r="B17" s="155" t="s">
        <v>20</v>
      </c>
      <c r="C17" s="156">
        <f>All!C53</f>
        <v>17.2</v>
      </c>
      <c r="D17" s="157">
        <f>All!D53</f>
        <v>31.4</v>
      </c>
      <c r="E17" s="157">
        <f>All!E53</f>
        <v>37.799999999999997</v>
      </c>
      <c r="F17" s="157">
        <f>All!F53</f>
        <v>83.9</v>
      </c>
      <c r="G17" s="158">
        <f>All!G53</f>
        <v>57.9</v>
      </c>
      <c r="H17" s="158">
        <f>All!H53</f>
        <v>120.9</v>
      </c>
      <c r="I17" s="158">
        <f>All!I53</f>
        <v>333.5</v>
      </c>
      <c r="J17" s="158">
        <f>All!J53</f>
        <v>221.4</v>
      </c>
      <c r="K17" s="158">
        <f>All!K53</f>
        <v>135.1</v>
      </c>
      <c r="L17" s="157">
        <f>All!L53</f>
        <v>67.3</v>
      </c>
      <c r="M17" s="157">
        <f>All!M53</f>
        <v>58.6</v>
      </c>
      <c r="N17" s="135">
        <f>All!N53</f>
        <v>29.3</v>
      </c>
      <c r="O17" s="289">
        <f>All!O53</f>
        <v>1194.3</v>
      </c>
      <c r="P17" s="285">
        <f>All!P53</f>
        <v>99.5</v>
      </c>
    </row>
    <row r="18" spans="1:16" ht="22.15" customHeight="1" thickBot="1">
      <c r="B18" s="159" t="s">
        <v>23</v>
      </c>
      <c r="C18" s="160">
        <f>All!C37</f>
        <v>20.6</v>
      </c>
      <c r="D18" s="161">
        <f>All!D37</f>
        <v>29</v>
      </c>
      <c r="E18" s="161">
        <f>All!E37</f>
        <v>42.9</v>
      </c>
      <c r="F18" s="161">
        <f>All!F37</f>
        <v>75.5</v>
      </c>
      <c r="G18" s="161">
        <f>All!G37</f>
        <v>82.8</v>
      </c>
      <c r="H18" s="161">
        <f>All!H37</f>
        <v>140</v>
      </c>
      <c r="I18" s="162">
        <f>All!I37</f>
        <v>293.8</v>
      </c>
      <c r="J18" s="162">
        <f>All!J37</f>
        <v>274.2</v>
      </c>
      <c r="K18" s="162">
        <f>All!K37</f>
        <v>142.30000000000001</v>
      </c>
      <c r="L18" s="162">
        <f>All!L37</f>
        <v>58</v>
      </c>
      <c r="M18" s="162">
        <f>All!M37</f>
        <v>46.7</v>
      </c>
      <c r="N18" s="163">
        <f>All!N37</f>
        <v>26.6</v>
      </c>
      <c r="O18" s="164">
        <f>All!O37</f>
        <v>1232.3</v>
      </c>
      <c r="P18" s="163">
        <f>All!P37</f>
        <v>102.7</v>
      </c>
    </row>
    <row r="19" spans="1:16" ht="22.15" customHeight="1" thickBot="1"/>
    <row r="20" spans="1:16" ht="17.25" thickTop="1">
      <c r="B20" s="165" t="s">
        <v>24</v>
      </c>
      <c r="C20" s="166"/>
      <c r="D20" s="167">
        <f>SUM(G17:K17)</f>
        <v>868.8</v>
      </c>
      <c r="F20" s="168"/>
    </row>
    <row r="21" spans="1:16">
      <c r="B21" s="169" t="s">
        <v>187</v>
      </c>
      <c r="D21" s="293">
        <f>O17</f>
        <v>1194.3</v>
      </c>
    </row>
    <row r="22" spans="1:16" ht="17.25" thickBot="1">
      <c r="B22" s="170"/>
      <c r="C22" s="171"/>
      <c r="D22" s="172">
        <f>D20/D21</f>
        <v>0.72745541321276064</v>
      </c>
    </row>
    <row r="23" spans="1:16" ht="18" thickTop="1" thickBot="1">
      <c r="D23" s="173"/>
    </row>
    <row r="24" spans="1:16" ht="21.95" customHeight="1">
      <c r="A24" s="121" t="s">
        <v>178</v>
      </c>
      <c r="B24" s="413" t="s">
        <v>108</v>
      </c>
      <c r="C24" s="461">
        <f>O16</f>
        <v>755.4</v>
      </c>
      <c r="D24" s="400" t="s">
        <v>30</v>
      </c>
      <c r="E24" s="387"/>
      <c r="H24" s="398" t="s">
        <v>246</v>
      </c>
      <c r="I24" s="423" t="s">
        <v>232</v>
      </c>
      <c r="J24" s="424"/>
      <c r="K24" s="416">
        <v>0.17299999999999999</v>
      </c>
      <c r="L24" s="417">
        <v>0.66849999999999998</v>
      </c>
    </row>
    <row r="25" spans="1:16" ht="21.95" customHeight="1" thickBot="1">
      <c r="B25" s="390" t="s">
        <v>27</v>
      </c>
      <c r="C25" s="460">
        <f>O18</f>
        <v>1232.3</v>
      </c>
      <c r="D25" s="401" t="s">
        <v>29</v>
      </c>
      <c r="E25" s="389"/>
      <c r="H25" s="398" t="s">
        <v>247</v>
      </c>
      <c r="I25" s="425" t="s">
        <v>237</v>
      </c>
      <c r="J25" s="426"/>
      <c r="K25" s="411">
        <v>0.125</v>
      </c>
      <c r="L25" s="418">
        <v>0.66610000000000003</v>
      </c>
    </row>
    <row r="26" spans="1:16" ht="21.95" customHeight="1">
      <c r="B26" s="388" t="s">
        <v>185</v>
      </c>
      <c r="C26" s="408">
        <f>L24</f>
        <v>0.66849999999999998</v>
      </c>
      <c r="D26" s="407">
        <f>L25</f>
        <v>0.66610000000000003</v>
      </c>
      <c r="E26" s="406">
        <f>L26</f>
        <v>0.6502</v>
      </c>
      <c r="H26" s="398" t="s">
        <v>248</v>
      </c>
      <c r="I26" s="427" t="s">
        <v>229</v>
      </c>
      <c r="J26" s="428"/>
      <c r="K26" s="410">
        <v>0.16700000000000001</v>
      </c>
      <c r="L26" s="410">
        <v>0.6502</v>
      </c>
    </row>
    <row r="27" spans="1:16" ht="21.95" customHeight="1">
      <c r="B27" s="390" t="s">
        <v>28</v>
      </c>
      <c r="C27" s="402">
        <f>Well!P4</f>
        <v>2004237</v>
      </c>
      <c r="D27" s="401" t="s">
        <v>31</v>
      </c>
      <c r="E27" s="399"/>
    </row>
    <row r="28" spans="1:16" ht="21.95" customHeight="1" thickBot="1">
      <c r="B28" s="412" t="s">
        <v>32</v>
      </c>
      <c r="C28" s="403">
        <f>K24</f>
        <v>0.17299999999999999</v>
      </c>
      <c r="D28" s="404">
        <f>K25</f>
        <v>0.125</v>
      </c>
      <c r="E28" s="405">
        <f>K26</f>
        <v>0.16700000000000001</v>
      </c>
    </row>
    <row r="29" spans="1:16" ht="17.25" thickBot="1">
      <c r="E29" s="173"/>
    </row>
    <row r="30" spans="1:16" ht="22.15" customHeight="1" thickBot="1">
      <c r="B30" s="385" t="s">
        <v>188</v>
      </c>
      <c r="C30" s="386">
        <f>max*rf_1/10</f>
        <v>21.31879</v>
      </c>
      <c r="D30" s="386">
        <f>max*rf_2/10</f>
        <v>15.403749999999999</v>
      </c>
      <c r="E30" s="409">
        <f>max*rf_3/10</f>
        <v>20.579410000000003</v>
      </c>
      <c r="F30" s="121" t="s">
        <v>230</v>
      </c>
    </row>
    <row r="31" spans="1:16" ht="22.15" customHeight="1" thickBot="1">
      <c r="E31" s="173"/>
    </row>
    <row r="32" spans="1:16" ht="22.15" customHeight="1">
      <c r="B32" s="174" t="s">
        <v>25</v>
      </c>
      <c r="C32" s="175">
        <f>(max*rf_1*Area1/1000)</f>
        <v>427279.07713229995</v>
      </c>
      <c r="D32" s="176" t="s">
        <v>36</v>
      </c>
      <c r="F32" s="177"/>
    </row>
    <row r="33" spans="1:4" ht="22.15" customHeight="1" thickBot="1">
      <c r="B33" s="178"/>
      <c r="C33" s="179">
        <f>C32/365</f>
        <v>1170.6276085816437</v>
      </c>
      <c r="D33" s="180" t="s">
        <v>33</v>
      </c>
    </row>
    <row r="34" spans="1:4" ht="22.15" customHeight="1" thickBot="1"/>
    <row r="35" spans="1:4" ht="22.15" customHeight="1">
      <c r="B35" s="181" t="s">
        <v>26</v>
      </c>
      <c r="C35" s="182">
        <f>C32*allow_ratio</f>
        <v>285636.06306294253</v>
      </c>
      <c r="D35" s="183" t="s">
        <v>34</v>
      </c>
    </row>
    <row r="36" spans="1:4" ht="22.15" customHeight="1" thickBot="1">
      <c r="B36" s="184"/>
      <c r="C36" s="185">
        <f>C35/365</f>
        <v>782.5645563368289</v>
      </c>
      <c r="D36" s="186" t="s">
        <v>35</v>
      </c>
    </row>
    <row r="37" spans="1:4" ht="18" thickTop="1" thickBot="1">
      <c r="B37" s="187" t="s">
        <v>189</v>
      </c>
      <c r="C37" s="188">
        <f>(C36/C33)*100</f>
        <v>66.850000000000009</v>
      </c>
      <c r="D37" s="189" t="s">
        <v>59</v>
      </c>
    </row>
    <row r="38" spans="1:4" ht="17.25" thickTop="1"/>
    <row r="39" spans="1:4">
      <c r="A39" s="121" t="s">
        <v>190</v>
      </c>
      <c r="C39" s="190">
        <v>115</v>
      </c>
      <c r="D39" s="191">
        <v>120</v>
      </c>
    </row>
    <row r="40" spans="1:4">
      <c r="A40" s="121" t="s">
        <v>191</v>
      </c>
      <c r="C40" s="192">
        <v>75</v>
      </c>
      <c r="D40" s="192">
        <v>80</v>
      </c>
    </row>
    <row r="41" spans="1:4">
      <c r="A41" s="121" t="s">
        <v>192</v>
      </c>
      <c r="C41" s="190">
        <v>95</v>
      </c>
      <c r="D41" s="191">
        <v>100</v>
      </c>
    </row>
    <row r="42" spans="1:4">
      <c r="A42" s="121" t="s">
        <v>193</v>
      </c>
      <c r="C42" s="190">
        <v>90</v>
      </c>
      <c r="D42" s="191">
        <v>95</v>
      </c>
    </row>
    <row r="43" spans="1:4">
      <c r="A43" s="121" t="s">
        <v>194</v>
      </c>
    </row>
    <row r="45" spans="1:4">
      <c r="A45" s="121" t="s">
        <v>111</v>
      </c>
    </row>
    <row r="47" spans="1:4">
      <c r="A47" s="121" t="s">
        <v>195</v>
      </c>
    </row>
    <row r="48" spans="1:4">
      <c r="A48" s="121" t="s">
        <v>196</v>
      </c>
    </row>
    <row r="50" spans="1:10" ht="18" customHeight="1"/>
    <row r="51" spans="1:10" ht="17.25" thickBot="1"/>
    <row r="52" spans="1:10" customFormat="1" ht="17.25">
      <c r="A52" s="421" t="s">
        <v>205</v>
      </c>
      <c r="B52" s="422"/>
      <c r="C52" s="321"/>
      <c r="D52" s="321"/>
      <c r="E52" s="321"/>
      <c r="F52" s="321"/>
      <c r="G52" s="321"/>
      <c r="H52" s="321"/>
      <c r="I52" s="321"/>
      <c r="J52" s="322"/>
    </row>
    <row r="53" spans="1:10" customFormat="1" ht="18" thickBot="1">
      <c r="A53" s="323"/>
      <c r="B53" s="324" t="s">
        <v>178</v>
      </c>
      <c r="C53" s="324" t="s">
        <v>215</v>
      </c>
      <c r="D53" s="324" t="s">
        <v>216</v>
      </c>
      <c r="E53" s="324" t="s">
        <v>217</v>
      </c>
      <c r="F53" s="324" t="s">
        <v>218</v>
      </c>
      <c r="G53" s="324" t="s">
        <v>219</v>
      </c>
      <c r="H53" s="324" t="s">
        <v>220</v>
      </c>
      <c r="I53" s="324" t="s">
        <v>221</v>
      </c>
      <c r="J53" s="325" t="s">
        <v>222</v>
      </c>
    </row>
    <row r="54" spans="1:10" customFormat="1" ht="17.25">
      <c r="A54" s="350" t="s">
        <v>206</v>
      </c>
      <c r="B54" s="326">
        <v>470</v>
      </c>
      <c r="C54" s="327">
        <v>470</v>
      </c>
      <c r="D54" s="327">
        <v>470</v>
      </c>
      <c r="E54" s="327">
        <v>470</v>
      </c>
      <c r="F54" s="327">
        <v>470</v>
      </c>
      <c r="G54" s="327">
        <v>470</v>
      </c>
      <c r="H54" s="327">
        <v>470</v>
      </c>
      <c r="I54" s="327">
        <v>470</v>
      </c>
      <c r="J54" s="328">
        <v>470</v>
      </c>
    </row>
    <row r="55" spans="1:10" customFormat="1" ht="17.25">
      <c r="A55" s="351" t="s">
        <v>207</v>
      </c>
      <c r="B55" s="329">
        <v>87</v>
      </c>
      <c r="C55" s="330">
        <v>87</v>
      </c>
      <c r="D55" s="330">
        <v>87</v>
      </c>
      <c r="E55" s="330">
        <v>87</v>
      </c>
      <c r="F55" s="330">
        <v>87</v>
      </c>
      <c r="G55" s="330">
        <v>87</v>
      </c>
      <c r="H55" s="330">
        <v>87</v>
      </c>
      <c r="I55" s="330">
        <v>87</v>
      </c>
      <c r="J55" s="331">
        <v>87</v>
      </c>
    </row>
    <row r="56" spans="1:10" customFormat="1" ht="17.25">
      <c r="A56" s="351" t="s">
        <v>208</v>
      </c>
      <c r="B56" s="332">
        <v>60</v>
      </c>
      <c r="C56" s="333">
        <v>60</v>
      </c>
      <c r="D56" s="333">
        <v>60</v>
      </c>
      <c r="E56" s="333">
        <v>60</v>
      </c>
      <c r="F56" s="333">
        <v>60</v>
      </c>
      <c r="G56" s="333">
        <v>60</v>
      </c>
      <c r="H56" s="333">
        <v>60</v>
      </c>
      <c r="I56" s="333">
        <v>60</v>
      </c>
      <c r="J56" s="334">
        <v>60</v>
      </c>
    </row>
    <row r="57" spans="1:10" customFormat="1" ht="17.25">
      <c r="A57" s="352" t="s">
        <v>209</v>
      </c>
      <c r="B57" s="335">
        <f t="shared" ref="B57:J57" si="0">ROUND(B56/10,1)</f>
        <v>6</v>
      </c>
      <c r="C57" s="336">
        <f t="shared" si="0"/>
        <v>6</v>
      </c>
      <c r="D57" s="336">
        <f t="shared" si="0"/>
        <v>6</v>
      </c>
      <c r="E57" s="336">
        <f t="shared" si="0"/>
        <v>6</v>
      </c>
      <c r="F57" s="336">
        <f t="shared" si="0"/>
        <v>6</v>
      </c>
      <c r="G57" s="336">
        <f t="shared" si="0"/>
        <v>6</v>
      </c>
      <c r="H57" s="336">
        <f t="shared" si="0"/>
        <v>6</v>
      </c>
      <c r="I57" s="336">
        <f t="shared" si="0"/>
        <v>6</v>
      </c>
      <c r="J57" s="337">
        <f t="shared" si="0"/>
        <v>6</v>
      </c>
    </row>
    <row r="58" spans="1:10" customFormat="1" ht="17.25">
      <c r="A58" s="352" t="s">
        <v>210</v>
      </c>
      <c r="B58" s="338">
        <f t="shared" ref="B58:J58" si="1">B56+B57</f>
        <v>66</v>
      </c>
      <c r="C58" s="339">
        <f t="shared" si="1"/>
        <v>66</v>
      </c>
      <c r="D58" s="339">
        <f t="shared" si="1"/>
        <v>66</v>
      </c>
      <c r="E58" s="339">
        <f t="shared" si="1"/>
        <v>66</v>
      </c>
      <c r="F58" s="339">
        <f t="shared" si="1"/>
        <v>66</v>
      </c>
      <c r="G58" s="339">
        <f t="shared" si="1"/>
        <v>66</v>
      </c>
      <c r="H58" s="339">
        <f t="shared" si="1"/>
        <v>66</v>
      </c>
      <c r="I58" s="339">
        <f t="shared" si="1"/>
        <v>66</v>
      </c>
      <c r="J58" s="340">
        <f t="shared" si="1"/>
        <v>66</v>
      </c>
    </row>
    <row r="59" spans="1:10" customFormat="1" ht="17.25">
      <c r="A59" s="352" t="s">
        <v>211</v>
      </c>
      <c r="B59" s="341">
        <v>0.45</v>
      </c>
      <c r="C59" s="342">
        <v>0.45</v>
      </c>
      <c r="D59" s="342">
        <v>0.45</v>
      </c>
      <c r="E59" s="342">
        <v>0.45</v>
      </c>
      <c r="F59" s="342">
        <v>0.45</v>
      </c>
      <c r="G59" s="342">
        <v>0.45</v>
      </c>
      <c r="H59" s="342">
        <v>0.45</v>
      </c>
      <c r="I59" s="342">
        <v>0.45</v>
      </c>
      <c r="J59" s="343">
        <v>0.45</v>
      </c>
    </row>
    <row r="60" spans="1:10" customFormat="1" ht="17.25">
      <c r="A60" s="352"/>
      <c r="B60" s="335"/>
      <c r="C60" s="336"/>
      <c r="D60" s="336"/>
      <c r="E60" s="336"/>
      <c r="F60" s="336"/>
      <c r="G60" s="336"/>
      <c r="H60" s="336"/>
      <c r="I60" s="336"/>
      <c r="J60" s="337"/>
    </row>
    <row r="61" spans="1:10" customFormat="1" ht="17.25">
      <c r="A61" s="352" t="s">
        <v>212</v>
      </c>
      <c r="B61" s="335">
        <f t="shared" ref="B61:J61" si="2">ROUND((B55*B58)/(6572.5*B59),4)</f>
        <v>1.9414</v>
      </c>
      <c r="C61" s="336">
        <f t="shared" si="2"/>
        <v>1.9414</v>
      </c>
      <c r="D61" s="336">
        <f t="shared" si="2"/>
        <v>1.9414</v>
      </c>
      <c r="E61" s="336">
        <f t="shared" si="2"/>
        <v>1.9414</v>
      </c>
      <c r="F61" s="336">
        <f t="shared" si="2"/>
        <v>1.9414</v>
      </c>
      <c r="G61" s="336">
        <f t="shared" si="2"/>
        <v>1.9414</v>
      </c>
      <c r="H61" s="336">
        <f t="shared" si="2"/>
        <v>1.9414</v>
      </c>
      <c r="I61" s="336">
        <f t="shared" si="2"/>
        <v>1.9414</v>
      </c>
      <c r="J61" s="337">
        <f t="shared" si="2"/>
        <v>1.9414</v>
      </c>
    </row>
    <row r="62" spans="1:10" customFormat="1" ht="21" thickBot="1">
      <c r="A62" s="353"/>
      <c r="B62" s="344">
        <f t="shared" ref="B62:J62" si="3">ROUNDUP(B61,0)</f>
        <v>2</v>
      </c>
      <c r="C62" s="345">
        <f t="shared" si="3"/>
        <v>2</v>
      </c>
      <c r="D62" s="345">
        <f t="shared" si="3"/>
        <v>2</v>
      </c>
      <c r="E62" s="345">
        <f t="shared" si="3"/>
        <v>2</v>
      </c>
      <c r="F62" s="345">
        <f t="shared" si="3"/>
        <v>2</v>
      </c>
      <c r="G62" s="345">
        <f t="shared" si="3"/>
        <v>2</v>
      </c>
      <c r="H62" s="345">
        <f t="shared" si="3"/>
        <v>2</v>
      </c>
      <c r="I62" s="345">
        <f t="shared" si="3"/>
        <v>2</v>
      </c>
      <c r="J62" s="346">
        <f t="shared" si="3"/>
        <v>2</v>
      </c>
    </row>
    <row r="63" spans="1:10" customFormat="1" ht="17.25">
      <c r="A63" s="350" t="s">
        <v>213</v>
      </c>
      <c r="B63" s="326">
        <v>5</v>
      </c>
      <c r="C63" s="327">
        <v>5</v>
      </c>
      <c r="D63" s="327">
        <v>5</v>
      </c>
      <c r="E63" s="327">
        <v>5</v>
      </c>
      <c r="F63" s="327">
        <v>5</v>
      </c>
      <c r="G63" s="327">
        <v>5</v>
      </c>
      <c r="H63" s="327">
        <v>5</v>
      </c>
      <c r="I63" s="327">
        <v>5</v>
      </c>
      <c r="J63" s="328">
        <v>5</v>
      </c>
    </row>
    <row r="64" spans="1:10" customFormat="1" ht="18" thickBot="1">
      <c r="A64" s="353" t="s">
        <v>214</v>
      </c>
      <c r="B64" s="347">
        <f t="shared" ref="B64:J64" si="4">ROUND((B63*B59*6572.5)/B58,1)</f>
        <v>224.1</v>
      </c>
      <c r="C64" s="348">
        <f t="shared" si="4"/>
        <v>224.1</v>
      </c>
      <c r="D64" s="348">
        <f t="shared" si="4"/>
        <v>224.1</v>
      </c>
      <c r="E64" s="348">
        <f t="shared" si="4"/>
        <v>224.1</v>
      </c>
      <c r="F64" s="348">
        <f t="shared" si="4"/>
        <v>224.1</v>
      </c>
      <c r="G64" s="348">
        <f t="shared" si="4"/>
        <v>224.1</v>
      </c>
      <c r="H64" s="348">
        <f t="shared" si="4"/>
        <v>224.1</v>
      </c>
      <c r="I64" s="348">
        <f t="shared" si="4"/>
        <v>224.1</v>
      </c>
      <c r="J64" s="349">
        <f t="shared" si="4"/>
        <v>224.1</v>
      </c>
    </row>
  </sheetData>
  <mergeCells count="4">
    <mergeCell ref="A52:B52"/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K14"/>
  <sheetViews>
    <sheetView workbookViewId="0">
      <selection activeCell="H9" sqref="H9"/>
    </sheetView>
  </sheetViews>
  <sheetFormatPr defaultRowHeight="16.5"/>
  <cols>
    <col min="1" max="1" width="28.5546875" style="47" customWidth="1"/>
    <col min="2" max="2" width="14.5546875" style="41" customWidth="1"/>
    <col min="3" max="3" width="4.77734375" style="47" customWidth="1"/>
    <col min="4" max="4" width="31.5546875" style="47" customWidth="1"/>
    <col min="5" max="5" width="8.88671875" style="48"/>
    <col min="6" max="6" width="8.88671875" style="47"/>
    <col min="7" max="7" width="36" style="47" customWidth="1"/>
    <col min="8" max="16384" width="8.88671875" style="47"/>
  </cols>
  <sheetData>
    <row r="2" spans="1:11" s="56" customFormat="1">
      <c r="A2" s="56" t="s">
        <v>167</v>
      </c>
      <c r="B2" s="57" t="s">
        <v>163</v>
      </c>
      <c r="D2" s="56" t="s">
        <v>166</v>
      </c>
      <c r="E2" s="58" t="s">
        <v>164</v>
      </c>
      <c r="G2" s="56" t="s">
        <v>165</v>
      </c>
    </row>
    <row r="3" spans="1:11">
      <c r="A3" s="47" t="s">
        <v>139</v>
      </c>
      <c r="I3"/>
      <c r="J3"/>
      <c r="K3"/>
    </row>
    <row r="4" spans="1:11" s="52" customFormat="1">
      <c r="A4" s="51" t="s">
        <v>150</v>
      </c>
      <c r="B4" s="59">
        <v>2</v>
      </c>
      <c r="D4" s="51" t="s">
        <v>152</v>
      </c>
      <c r="E4" s="63">
        <v>10</v>
      </c>
      <c r="G4" s="51" t="s">
        <v>168</v>
      </c>
      <c r="H4" s="67">
        <v>1</v>
      </c>
      <c r="I4"/>
      <c r="J4"/>
      <c r="K4"/>
    </row>
    <row r="5" spans="1:11">
      <c r="A5" s="49" t="s">
        <v>141</v>
      </c>
      <c r="B5" s="60">
        <v>3</v>
      </c>
      <c r="D5" s="49" t="s">
        <v>153</v>
      </c>
      <c r="E5" s="64">
        <v>10</v>
      </c>
      <c r="G5" s="49" t="s">
        <v>169</v>
      </c>
      <c r="H5" s="68">
        <v>3</v>
      </c>
      <c r="I5"/>
      <c r="J5"/>
      <c r="K5"/>
    </row>
    <row r="6" spans="1:11" s="52" customFormat="1">
      <c r="A6" s="53" t="s">
        <v>142</v>
      </c>
      <c r="B6" s="61">
        <v>4</v>
      </c>
      <c r="D6" s="53" t="s">
        <v>154</v>
      </c>
      <c r="E6" s="65">
        <v>9</v>
      </c>
      <c r="G6" s="53" t="s">
        <v>140</v>
      </c>
      <c r="H6" s="69">
        <v>3</v>
      </c>
      <c r="I6"/>
      <c r="J6"/>
      <c r="K6"/>
    </row>
    <row r="7" spans="1:11">
      <c r="A7" s="49" t="s">
        <v>143</v>
      </c>
      <c r="B7" s="60">
        <v>5</v>
      </c>
      <c r="D7" s="49" t="s">
        <v>155</v>
      </c>
      <c r="E7" s="64">
        <v>8</v>
      </c>
      <c r="G7" s="49" t="s">
        <v>145</v>
      </c>
      <c r="H7" s="68">
        <v>6</v>
      </c>
    </row>
    <row r="8" spans="1:11" s="52" customFormat="1">
      <c r="A8" s="53" t="s">
        <v>144</v>
      </c>
      <c r="B8" s="61">
        <v>6</v>
      </c>
      <c r="D8" s="53" t="s">
        <v>156</v>
      </c>
      <c r="E8" s="65">
        <v>7</v>
      </c>
      <c r="G8" s="53" t="s">
        <v>170</v>
      </c>
      <c r="H8" s="69">
        <v>6</v>
      </c>
    </row>
    <row r="9" spans="1:11">
      <c r="A9" s="49" t="s">
        <v>151</v>
      </c>
      <c r="B9" s="60">
        <v>6</v>
      </c>
      <c r="D9" s="49" t="s">
        <v>157</v>
      </c>
      <c r="E9" s="64">
        <v>6</v>
      </c>
      <c r="G9" s="49" t="s">
        <v>171</v>
      </c>
      <c r="H9" s="68">
        <v>6</v>
      </c>
    </row>
    <row r="10" spans="1:11" s="52" customFormat="1">
      <c r="A10" s="53" t="s">
        <v>149</v>
      </c>
      <c r="B10" s="61">
        <v>6</v>
      </c>
      <c r="D10" s="53" t="s">
        <v>158</v>
      </c>
      <c r="E10" s="65">
        <v>5</v>
      </c>
      <c r="G10" s="53" t="s">
        <v>172</v>
      </c>
      <c r="H10" s="69">
        <v>6</v>
      </c>
    </row>
    <row r="11" spans="1:11">
      <c r="A11" s="49" t="s">
        <v>146</v>
      </c>
      <c r="B11" s="60">
        <v>8</v>
      </c>
      <c r="D11" s="49" t="s">
        <v>159</v>
      </c>
      <c r="E11" s="64">
        <v>4</v>
      </c>
      <c r="G11" s="49" t="s">
        <v>141</v>
      </c>
      <c r="H11" s="68">
        <v>4</v>
      </c>
    </row>
    <row r="12" spans="1:11" s="52" customFormat="1">
      <c r="A12" s="53" t="s">
        <v>147</v>
      </c>
      <c r="B12" s="61">
        <v>9</v>
      </c>
      <c r="D12" s="53" t="s">
        <v>160</v>
      </c>
      <c r="E12" s="65">
        <v>3</v>
      </c>
      <c r="G12" s="53" t="s">
        <v>146</v>
      </c>
      <c r="H12" s="69">
        <v>8</v>
      </c>
    </row>
    <row r="13" spans="1:11">
      <c r="A13" s="50" t="s">
        <v>148</v>
      </c>
      <c r="B13" s="62">
        <v>10</v>
      </c>
      <c r="D13" s="49" t="s">
        <v>161</v>
      </c>
      <c r="E13" s="64">
        <v>2</v>
      </c>
      <c r="G13" s="49" t="s">
        <v>147</v>
      </c>
      <c r="H13" s="68">
        <v>9</v>
      </c>
    </row>
    <row r="14" spans="1:11" s="52" customFormat="1">
      <c r="B14" s="54"/>
      <c r="D14" s="55" t="s">
        <v>162</v>
      </c>
      <c r="E14" s="66">
        <v>1</v>
      </c>
      <c r="G14" s="55" t="s">
        <v>148</v>
      </c>
      <c r="H14" s="70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S9"/>
  <sheetViews>
    <sheetView workbookViewId="0">
      <selection activeCell="P8" sqref="P8"/>
    </sheetView>
  </sheetViews>
  <sheetFormatPr defaultColWidth="8.88671875" defaultRowHeight="16.5"/>
  <cols>
    <col min="1" max="1" width="5.21875" style="42" customWidth="1"/>
    <col min="2" max="2" width="14.5546875" style="41" customWidth="1"/>
    <col min="3" max="3" width="9.109375" style="41" customWidth="1"/>
    <col min="4" max="4" width="24.77734375" style="41" customWidth="1"/>
    <col min="5" max="5" width="9.6640625" style="41" customWidth="1"/>
    <col min="6" max="6" width="9" style="41" customWidth="1"/>
    <col min="7" max="7" width="8.109375" style="41" customWidth="1"/>
    <col min="8" max="8" width="9.33203125" style="41" customWidth="1"/>
    <col min="9" max="9" width="7.77734375" style="41" customWidth="1"/>
    <col min="10" max="10" width="7.77734375" style="246" customWidth="1"/>
    <col min="11" max="11" width="8.109375" style="41" customWidth="1"/>
    <col min="12" max="12" width="5.33203125" style="41" customWidth="1"/>
    <col min="13" max="13" width="6.33203125" style="41" customWidth="1"/>
    <col min="14" max="14" width="6.5546875" style="41" customWidth="1"/>
    <col min="15" max="15" width="8.44140625" style="41" customWidth="1"/>
    <col min="16" max="16" width="9.77734375" style="44" customWidth="1"/>
    <col min="17" max="17" width="15.6640625" style="41" customWidth="1"/>
    <col min="18" max="18" width="15" style="41" customWidth="1"/>
    <col min="19" max="16384" width="8.88671875" style="42"/>
  </cols>
  <sheetData>
    <row r="1" spans="1:19" ht="49.5" customHeight="1" thickBot="1">
      <c r="D1" s="71"/>
      <c r="E1" s="71"/>
      <c r="F1" s="43" t="s">
        <v>245</v>
      </c>
      <c r="J1" s="72"/>
    </row>
    <row r="2" spans="1:19" s="263" customFormat="1" ht="23.1" customHeight="1">
      <c r="A2" s="439" t="s">
        <v>0</v>
      </c>
      <c r="B2" s="429" t="s">
        <v>49</v>
      </c>
      <c r="C2" s="429" t="s">
        <v>6</v>
      </c>
      <c r="D2" s="429" t="s">
        <v>47</v>
      </c>
      <c r="E2" s="429" t="s">
        <v>134</v>
      </c>
      <c r="F2" s="429" t="s">
        <v>48</v>
      </c>
      <c r="G2" s="433" t="s">
        <v>1</v>
      </c>
      <c r="H2" s="433" t="s">
        <v>2</v>
      </c>
      <c r="I2" s="433" t="s">
        <v>199</v>
      </c>
      <c r="J2" s="437" t="s">
        <v>200</v>
      </c>
      <c r="K2" s="433" t="s">
        <v>201</v>
      </c>
      <c r="L2" s="433" t="s">
        <v>3</v>
      </c>
      <c r="M2" s="433" t="s">
        <v>4</v>
      </c>
      <c r="N2" s="433" t="s">
        <v>5</v>
      </c>
      <c r="O2" s="433" t="s">
        <v>112</v>
      </c>
      <c r="P2" s="435" t="s">
        <v>50</v>
      </c>
      <c r="Q2" s="429" t="s">
        <v>177</v>
      </c>
      <c r="R2" s="431" t="s">
        <v>105</v>
      </c>
      <c r="S2" s="294"/>
    </row>
    <row r="3" spans="1:19" s="263" customFormat="1" ht="27" customHeight="1">
      <c r="A3" s="440"/>
      <c r="B3" s="430"/>
      <c r="C3" s="430"/>
      <c r="D3" s="430"/>
      <c r="E3" s="430"/>
      <c r="F3" s="430"/>
      <c r="G3" s="434"/>
      <c r="H3" s="434"/>
      <c r="I3" s="434"/>
      <c r="J3" s="438"/>
      <c r="K3" s="434"/>
      <c r="L3" s="434"/>
      <c r="M3" s="434"/>
      <c r="N3" s="434"/>
      <c r="O3" s="434"/>
      <c r="P3" s="436"/>
      <c r="Q3" s="430"/>
      <c r="R3" s="432"/>
      <c r="S3" s="294"/>
    </row>
    <row r="4" spans="1:19" s="317" customFormat="1" ht="23.1" customHeight="1">
      <c r="A4" s="262" t="s">
        <v>173</v>
      </c>
      <c r="B4" s="263" t="s">
        <v>241</v>
      </c>
      <c r="C4" s="267"/>
      <c r="D4" s="263" t="s">
        <v>238</v>
      </c>
      <c r="E4" s="263"/>
      <c r="F4" s="263"/>
      <c r="G4" s="263">
        <v>250</v>
      </c>
      <c r="H4" s="263">
        <v>50</v>
      </c>
      <c r="I4" s="263">
        <v>150</v>
      </c>
      <c r="J4" s="263">
        <v>150</v>
      </c>
      <c r="K4" s="263">
        <v>210</v>
      </c>
      <c r="L4" s="263">
        <v>7.5</v>
      </c>
      <c r="M4" s="263">
        <v>42</v>
      </c>
      <c r="N4" s="268">
        <v>50</v>
      </c>
      <c r="O4" s="269">
        <v>314</v>
      </c>
      <c r="P4" s="270">
        <v>2004237</v>
      </c>
      <c r="Q4" s="263"/>
      <c r="R4" s="264"/>
      <c r="S4" s="318"/>
    </row>
    <row r="5" spans="1:19" s="317" customFormat="1" ht="23.1" customHeight="1">
      <c r="A5" s="395" t="s">
        <v>234</v>
      </c>
      <c r="B5" s="396" t="s">
        <v>241</v>
      </c>
      <c r="C5" s="267"/>
      <c r="D5" s="396" t="s">
        <v>239</v>
      </c>
      <c r="E5" s="396"/>
      <c r="F5" s="396"/>
      <c r="G5" s="396">
        <v>250</v>
      </c>
      <c r="H5" s="396">
        <v>50</v>
      </c>
      <c r="I5" s="396">
        <v>150</v>
      </c>
      <c r="J5" s="396">
        <v>150</v>
      </c>
      <c r="K5" s="396">
        <v>250</v>
      </c>
      <c r="L5" s="396">
        <v>5</v>
      </c>
      <c r="M5" s="396">
        <v>43</v>
      </c>
      <c r="N5" s="268">
        <v>50</v>
      </c>
      <c r="O5" s="269">
        <v>111.3</v>
      </c>
      <c r="P5" s="270">
        <v>1367397</v>
      </c>
      <c r="Q5" s="396"/>
      <c r="R5" s="397"/>
      <c r="S5" s="318"/>
    </row>
    <row r="6" spans="1:19" s="317" customFormat="1" ht="23.1" customHeight="1">
      <c r="A6" s="395" t="s">
        <v>235</v>
      </c>
      <c r="B6" s="396" t="s">
        <v>241</v>
      </c>
      <c r="C6" s="267"/>
      <c r="D6" s="396" t="s">
        <v>240</v>
      </c>
      <c r="E6" s="396"/>
      <c r="F6" s="396"/>
      <c r="G6" s="396">
        <v>250</v>
      </c>
      <c r="H6" s="396">
        <v>250</v>
      </c>
      <c r="I6" s="396">
        <v>150</v>
      </c>
      <c r="J6" s="396">
        <v>150</v>
      </c>
      <c r="K6" s="396">
        <v>203</v>
      </c>
      <c r="L6" s="396">
        <v>7.5</v>
      </c>
      <c r="M6" s="396">
        <v>62</v>
      </c>
      <c r="N6" s="268">
        <v>50</v>
      </c>
      <c r="O6" s="269">
        <v>94.3</v>
      </c>
      <c r="P6" s="270">
        <v>2249510</v>
      </c>
      <c r="Q6" s="396"/>
      <c r="R6" s="397"/>
      <c r="S6" s="318"/>
    </row>
    <row r="7" spans="1:19" s="317" customFormat="1" ht="23.1" customHeight="1">
      <c r="A7" s="395" t="s">
        <v>236</v>
      </c>
      <c r="B7" s="396" t="s">
        <v>241</v>
      </c>
      <c r="C7" s="267"/>
      <c r="D7" s="396" t="s">
        <v>244</v>
      </c>
      <c r="E7" s="396"/>
      <c r="F7" s="396"/>
      <c r="G7" s="396">
        <v>250</v>
      </c>
      <c r="H7" s="396">
        <v>150</v>
      </c>
      <c r="I7" s="396">
        <v>150</v>
      </c>
      <c r="J7" s="396">
        <v>150</v>
      </c>
      <c r="K7" s="396">
        <v>183</v>
      </c>
      <c r="L7" s="396">
        <v>5</v>
      </c>
      <c r="M7" s="396">
        <v>68</v>
      </c>
      <c r="N7" s="268">
        <v>50</v>
      </c>
      <c r="O7" s="269">
        <v>400</v>
      </c>
      <c r="P7" s="270">
        <v>1682388</v>
      </c>
      <c r="Q7" s="396"/>
      <c r="R7" s="397"/>
      <c r="S7" s="318"/>
    </row>
    <row r="8" spans="1:19" ht="23.25" customHeight="1">
      <c r="A8" s="354"/>
    </row>
    <row r="9" spans="1:19" ht="23.25" customHeight="1">
      <c r="I9" s="41">
        <f>SUM(I4:I8)</f>
        <v>600</v>
      </c>
    </row>
  </sheetData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0" r:id="rId4" name="CommandButton2">
          <controlPr defaultSize="0" autoLine="0" r:id="rId5">
            <anchor moveWithCells="1">
              <from>
                <xdr:col>2</xdr:col>
                <xdr:colOff>619125</xdr:colOff>
                <xdr:row>0</xdr:row>
                <xdr:rowOff>133350</xdr:rowOff>
              </from>
              <to>
                <xdr:col>3</xdr:col>
                <xdr:colOff>1743075</xdr:colOff>
                <xdr:row>0</xdr:row>
                <xdr:rowOff>447675</xdr:rowOff>
              </to>
            </anchor>
          </controlPr>
        </control>
      </mc:Choice>
      <mc:Fallback>
        <control shapeId="99330" r:id="rId4" name="CommandButton2"/>
      </mc:Fallback>
    </mc:AlternateContent>
    <mc:AlternateContent xmlns:mc="http://schemas.openxmlformats.org/markup-compatibility/2006">
      <mc:Choice Requires="x14">
        <control shapeId="99329" r:id="rId6" name="CommandButton1">
          <controlPr defaultSize="0" autoLine="0" r:id="rId7">
            <anchor moveWithCells="1">
              <from>
                <xdr:col>0</xdr:col>
                <xdr:colOff>266700</xdr:colOff>
                <xdr:row>0</xdr:row>
                <xdr:rowOff>133350</xdr:rowOff>
              </from>
              <to>
                <xdr:col>2</xdr:col>
                <xdr:colOff>476250</xdr:colOff>
                <xdr:row>0</xdr:row>
                <xdr:rowOff>447675</xdr:rowOff>
              </to>
            </anchor>
          </controlPr>
        </control>
      </mc:Choice>
      <mc:Fallback>
        <control shapeId="9932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topLeftCell="A10" workbookViewId="0">
      <selection activeCell="M15" sqref="M1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174</v>
      </c>
      <c r="C2" s="1" t="str">
        <f>Well!D4</f>
        <v>소정면 고등리 382</v>
      </c>
      <c r="H2"/>
      <c r="I2"/>
      <c r="J2"/>
      <c r="K2"/>
      <c r="L2"/>
      <c r="M2"/>
    </row>
    <row r="3" spans="1:13" ht="20.100000000000001" customHeight="1">
      <c r="B3" s="2" t="s">
        <v>60</v>
      </c>
      <c r="C3" s="84">
        <f>Well!C4</f>
        <v>0</v>
      </c>
      <c r="D3" s="3" t="s">
        <v>61</v>
      </c>
      <c r="E3" s="4" t="s">
        <v>135</v>
      </c>
      <c r="F3" s="5" t="s">
        <v>124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Well!R4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Well!Q4</f>
        <v>0</v>
      </c>
      <c r="D5" s="7" t="s">
        <v>66</v>
      </c>
      <c r="E5" s="37">
        <v>3.8</v>
      </c>
      <c r="F5" s="38">
        <f>$E$5/$C$14</f>
        <v>9.9999999999999992E-2</v>
      </c>
      <c r="G5" s="10">
        <v>4.9980000000000001E-4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Well!D4</f>
        <v>소정면 고등리 382</v>
      </c>
      <c r="D6" s="7" t="s">
        <v>69</v>
      </c>
      <c r="E6" s="8">
        <v>3.5219999999999998</v>
      </c>
      <c r="F6" s="38">
        <f>$E$6/$C$14</f>
        <v>9.2684210526315786E-2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Well!H4</f>
        <v>50</v>
      </c>
      <c r="D7" s="35" t="s">
        <v>72</v>
      </c>
      <c r="E7" s="36">
        <f>(E5+E6)/2</f>
        <v>3.6609999999999996</v>
      </c>
      <c r="F7" s="39">
        <f>$E$7/$C$14</f>
        <v>9.6342105263157882E-2</v>
      </c>
      <c r="G7" s="35">
        <f>G5</f>
        <v>4.9980000000000001E-4</v>
      </c>
      <c r="H7" s="265">
        <v>0.11020000000000001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Well!G4</f>
        <v>250</v>
      </c>
    </row>
    <row r="9" spans="1:13" ht="20.100000000000001" customHeight="1" thickBot="1">
      <c r="B9" s="6" t="s">
        <v>73</v>
      </c>
      <c r="C9" s="257">
        <f>C10+C11</f>
        <v>12</v>
      </c>
      <c r="D9" s="11"/>
      <c r="E9" s="12" t="s">
        <v>125</v>
      </c>
      <c r="F9" s="40" t="s">
        <v>126</v>
      </c>
      <c r="G9" s="13" t="s">
        <v>127</v>
      </c>
    </row>
    <row r="10" spans="1:13" ht="20.100000000000001" customHeight="1" thickBot="1">
      <c r="B10" s="6" t="s">
        <v>74</v>
      </c>
      <c r="C10" s="86">
        <v>3</v>
      </c>
      <c r="D10" s="14" t="s">
        <v>75</v>
      </c>
      <c r="E10" s="358">
        <v>139.69999999999999</v>
      </c>
      <c r="F10" s="359">
        <v>171.1</v>
      </c>
      <c r="G10" s="360">
        <v>101.5</v>
      </c>
      <c r="H10" s="15"/>
      <c r="I10" s="16"/>
    </row>
    <row r="11" spans="1:13" ht="20.100000000000001" customHeight="1" thickBot="1">
      <c r="B11" s="6" t="s">
        <v>76</v>
      </c>
      <c r="C11" s="86">
        <v>9</v>
      </c>
      <c r="D11" s="34" t="s">
        <v>77</v>
      </c>
      <c r="E11" s="361">
        <f>ROUND(AVERAGE(E10:G10),1)</f>
        <v>137.4</v>
      </c>
      <c r="F11" s="288">
        <f>ROUND((E10+F10)/2,1)</f>
        <v>155.4</v>
      </c>
      <c r="G11" s="18"/>
      <c r="H11" s="15"/>
      <c r="I11" s="16"/>
      <c r="J11" s="445" t="s">
        <v>133</v>
      </c>
      <c r="K11" s="446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38</v>
      </c>
      <c r="H12" s="19"/>
      <c r="J12" s="362" t="s">
        <v>136</v>
      </c>
      <c r="K12" s="368">
        <v>137</v>
      </c>
      <c r="L12" s="369">
        <f>K12+180</f>
        <v>317</v>
      </c>
    </row>
    <row r="13" spans="1:13" ht="20.100000000000001" customHeight="1">
      <c r="A13" s="17">
        <f>C10+C11+C12+C13</f>
        <v>50</v>
      </c>
      <c r="B13" s="6" t="s">
        <v>79</v>
      </c>
      <c r="C13" s="357"/>
      <c r="E13" s="367" t="str">
        <f>Recharge!I24</f>
        <v>금강/미호천</v>
      </c>
      <c r="F13" s="366">
        <f>rf_1</f>
        <v>0.17299999999999999</v>
      </c>
      <c r="G13" s="366">
        <f>allow_ratio</f>
        <v>0.66849999999999998</v>
      </c>
      <c r="H13" s="20"/>
      <c r="J13" s="362" t="s">
        <v>128</v>
      </c>
      <c r="K13" s="419">
        <v>369</v>
      </c>
      <c r="L13" s="46"/>
    </row>
    <row r="14" spans="1:13" ht="20.100000000000001" customHeight="1">
      <c r="B14" s="6" t="s">
        <v>80</v>
      </c>
      <c r="C14" s="257">
        <f>C7-IF(C20&gt;C9,C20,C9)</f>
        <v>38</v>
      </c>
      <c r="G14" s="366">
        <f>max</f>
        <v>1232.3</v>
      </c>
      <c r="H14" s="20"/>
      <c r="J14" s="362" t="s">
        <v>129</v>
      </c>
      <c r="K14" s="419">
        <v>90</v>
      </c>
      <c r="L14" s="46"/>
    </row>
    <row r="15" spans="1:13" ht="20.100000000000001" customHeight="1" thickBot="1">
      <c r="B15" s="6" t="s">
        <v>81</v>
      </c>
      <c r="C15" s="87">
        <f>Well!I4</f>
        <v>150</v>
      </c>
      <c r="E15" s="45">
        <v>1</v>
      </c>
      <c r="J15" s="362" t="s">
        <v>130</v>
      </c>
      <c r="K15" s="419">
        <v>85</v>
      </c>
      <c r="L15" s="46"/>
    </row>
    <row r="16" spans="1:13" ht="20.100000000000001" customHeight="1">
      <c r="B16" s="6" t="s">
        <v>82</v>
      </c>
      <c r="C16" s="88">
        <f>Well!J4</f>
        <v>150</v>
      </c>
      <c r="E16" s="258" t="s">
        <v>85</v>
      </c>
      <c r="F16" s="259" t="s">
        <v>110</v>
      </c>
      <c r="G16" s="260" t="s">
        <v>109</v>
      </c>
      <c r="H16" s="20"/>
      <c r="J16" s="362" t="s">
        <v>137</v>
      </c>
      <c r="K16" s="363">
        <f>K14-C20</f>
        <v>86.4</v>
      </c>
      <c r="L16" s="46"/>
    </row>
    <row r="17" spans="2:12" ht="20.100000000000001" customHeight="1" thickBot="1">
      <c r="B17" s="6" t="s">
        <v>83</v>
      </c>
      <c r="C17" s="87">
        <f>Well!L4</f>
        <v>7.5</v>
      </c>
      <c r="E17" s="93">
        <f>Well!P4</f>
        <v>2004237</v>
      </c>
      <c r="F17" s="33">
        <f>(max*rf_1*E17/1000)</f>
        <v>427279.07713229995</v>
      </c>
      <c r="G17" s="31">
        <f>F17*allow_ratio</f>
        <v>285636.06306294253</v>
      </c>
      <c r="J17" s="362" t="s">
        <v>131</v>
      </c>
      <c r="K17" s="363">
        <f>K16-K15</f>
        <v>1.4000000000000057</v>
      </c>
      <c r="L17" s="46"/>
    </row>
    <row r="18" spans="2:12" ht="20.100000000000001" customHeight="1" thickBot="1">
      <c r="B18" s="6" t="s">
        <v>84</v>
      </c>
      <c r="C18" s="87">
        <f>Well!M4</f>
        <v>42</v>
      </c>
      <c r="E18" s="2" t="s">
        <v>85</v>
      </c>
      <c r="F18" s="32" t="s">
        <v>86</v>
      </c>
      <c r="G18" s="30" t="s">
        <v>87</v>
      </c>
      <c r="H18" s="319" t="s">
        <v>198</v>
      </c>
      <c r="I18" s="29"/>
      <c r="J18" s="364" t="s">
        <v>132</v>
      </c>
      <c r="K18" s="365">
        <f>(K17/K13)</f>
        <v>3.7940379403794194E-3</v>
      </c>
      <c r="L18" s="261">
        <f>K18*100</f>
        <v>0.37940379403794194</v>
      </c>
    </row>
    <row r="19" spans="2:12" ht="20.100000000000001" customHeight="1" thickBot="1">
      <c r="B19" s="22" t="s">
        <v>88</v>
      </c>
      <c r="C19" s="89">
        <f>Well!N4</f>
        <v>50</v>
      </c>
      <c r="E19" s="93">
        <f>E17</f>
        <v>2004237</v>
      </c>
      <c r="F19" s="355">
        <f>(max*rf_1*E19/1000)/365</f>
        <v>1170.6276085816437</v>
      </c>
      <c r="G19" s="356">
        <f>F19*allow_ratio</f>
        <v>782.56455633682879</v>
      </c>
      <c r="H19" s="320">
        <f>G19-F21</f>
        <v>468.56455633682879</v>
      </c>
    </row>
    <row r="20" spans="2:12" ht="20.100000000000001" customHeight="1">
      <c r="B20" s="23" t="s">
        <v>89</v>
      </c>
      <c r="C20" s="90">
        <v>3.6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30.6</v>
      </c>
      <c r="D21" s="17"/>
      <c r="E21" s="290">
        <f>Well!$I$4</f>
        <v>150</v>
      </c>
      <c r="F21" s="291">
        <f>Well!O4</f>
        <v>314</v>
      </c>
      <c r="G21" s="31">
        <f>G19-E21-F21</f>
        <v>318.56455633682879</v>
      </c>
    </row>
    <row r="22" spans="2:12" ht="20.100000000000001" customHeight="1" thickBot="1">
      <c r="B22" s="79" t="s">
        <v>184</v>
      </c>
      <c r="C22" s="92">
        <f>C21-C20</f>
        <v>27</v>
      </c>
      <c r="E22" s="447">
        <f>E21+F21</f>
        <v>464</v>
      </c>
      <c r="F22" s="448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41" t="s">
        <v>113</v>
      </c>
      <c r="C25" s="442"/>
      <c r="D25" s="370" t="s">
        <v>122</v>
      </c>
      <c r="E25" s="370" t="s">
        <v>123</v>
      </c>
      <c r="F25" s="370" t="s">
        <v>114</v>
      </c>
      <c r="G25" s="370" t="s">
        <v>115</v>
      </c>
      <c r="H25" s="370" t="s">
        <v>138</v>
      </c>
      <c r="I25" s="370" t="s">
        <v>116</v>
      </c>
      <c r="J25" s="371" t="s">
        <v>117</v>
      </c>
      <c r="K25" s="372" t="s">
        <v>118</v>
      </c>
    </row>
    <row r="26" spans="2:12" ht="25.5" customHeight="1">
      <c r="B26" s="443" t="s">
        <v>119</v>
      </c>
      <c r="C26" s="373" t="s">
        <v>120</v>
      </c>
      <c r="D26" s="374">
        <f>C20</f>
        <v>3.6</v>
      </c>
      <c r="E26" s="375">
        <f>Recharge!C30</f>
        <v>21.31879</v>
      </c>
      <c r="F26" s="376" t="s">
        <v>242</v>
      </c>
      <c r="G26" s="374" t="s">
        <v>243</v>
      </c>
      <c r="H26" s="377">
        <f>L18</f>
        <v>0.37940379403794194</v>
      </c>
      <c r="I26" s="374" t="s">
        <v>242</v>
      </c>
      <c r="J26" s="374">
        <f>(E7/C14)/864</f>
        <v>1.115070662768031E-4</v>
      </c>
      <c r="K26" s="378" t="s">
        <v>249</v>
      </c>
    </row>
    <row r="27" spans="2:12" ht="25.5" customHeight="1">
      <c r="B27" s="443"/>
      <c r="C27" s="373" t="s">
        <v>121</v>
      </c>
      <c r="D27" s="373">
        <v>9</v>
      </c>
      <c r="E27" s="373">
        <v>8</v>
      </c>
      <c r="F27" s="373">
        <v>3</v>
      </c>
      <c r="G27" s="373">
        <v>3</v>
      </c>
      <c r="H27" s="373">
        <v>10</v>
      </c>
      <c r="I27" s="373">
        <v>4</v>
      </c>
      <c r="J27" s="373">
        <v>2</v>
      </c>
      <c r="K27" s="378" t="s">
        <v>250</v>
      </c>
    </row>
    <row r="28" spans="2:12" ht="25.5" customHeight="1">
      <c r="B28" s="443"/>
      <c r="C28" s="391" t="s">
        <v>223</v>
      </c>
      <c r="D28" s="392">
        <v>5</v>
      </c>
      <c r="E28" s="392">
        <v>4</v>
      </c>
      <c r="F28" s="392">
        <v>3</v>
      </c>
      <c r="G28" s="392">
        <v>2</v>
      </c>
      <c r="H28" s="392">
        <v>1</v>
      </c>
      <c r="I28" s="392">
        <v>5</v>
      </c>
      <c r="J28" s="392">
        <v>3</v>
      </c>
      <c r="K28" s="393"/>
    </row>
    <row r="29" spans="2:12" ht="25.5" customHeight="1">
      <c r="B29" s="443"/>
      <c r="C29" s="391" t="s">
        <v>224</v>
      </c>
      <c r="D29" s="394">
        <v>5</v>
      </c>
      <c r="E29" s="394">
        <v>4</v>
      </c>
      <c r="F29" s="394">
        <v>3</v>
      </c>
      <c r="G29" s="394">
        <v>5</v>
      </c>
      <c r="H29" s="394">
        <v>3</v>
      </c>
      <c r="I29" s="394">
        <v>4</v>
      </c>
      <c r="J29" s="394">
        <v>2</v>
      </c>
      <c r="K29" s="393"/>
    </row>
    <row r="30" spans="2:12" ht="25.5" customHeight="1">
      <c r="B30" s="443"/>
      <c r="C30" s="379" t="s">
        <v>225</v>
      </c>
      <c r="D30" s="380">
        <f>D27*D28</f>
        <v>45</v>
      </c>
      <c r="E30" s="380">
        <f t="shared" ref="E30:J30" si="0">E27*E28</f>
        <v>32</v>
      </c>
      <c r="F30" s="380">
        <f t="shared" si="0"/>
        <v>9</v>
      </c>
      <c r="G30" s="380">
        <f t="shared" si="0"/>
        <v>6</v>
      </c>
      <c r="H30" s="380">
        <f t="shared" si="0"/>
        <v>10</v>
      </c>
      <c r="I30" s="380">
        <f t="shared" si="0"/>
        <v>20</v>
      </c>
      <c r="J30" s="380">
        <f t="shared" si="0"/>
        <v>6</v>
      </c>
      <c r="K30" s="381">
        <f>SUM(D30:J30)</f>
        <v>128</v>
      </c>
    </row>
    <row r="31" spans="2:12" ht="25.5" customHeight="1" thickBot="1">
      <c r="B31" s="444"/>
      <c r="C31" s="382" t="s">
        <v>226</v>
      </c>
      <c r="D31" s="383">
        <f t="shared" ref="D31:J31" si="1">D27*D29</f>
        <v>45</v>
      </c>
      <c r="E31" s="383">
        <f t="shared" si="1"/>
        <v>32</v>
      </c>
      <c r="F31" s="383">
        <f t="shared" si="1"/>
        <v>9</v>
      </c>
      <c r="G31" s="383">
        <f t="shared" si="1"/>
        <v>15</v>
      </c>
      <c r="H31" s="383">
        <f t="shared" si="1"/>
        <v>30</v>
      </c>
      <c r="I31" s="383">
        <f t="shared" si="1"/>
        <v>16</v>
      </c>
      <c r="J31" s="383">
        <f t="shared" si="1"/>
        <v>4</v>
      </c>
      <c r="K31" s="384">
        <f>SUM(D31:J31)</f>
        <v>151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1238250</xdr:colOff>
                <xdr:row>21</xdr:row>
                <xdr:rowOff>38100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5" r:id="rId8" name="CommandButton4">
          <controlPr defaultSize="0" autoLine="0" r:id="rId9">
            <anchor moveWithCells="1">
              <from>
                <xdr:col>7</xdr:col>
                <xdr:colOff>161925</xdr:colOff>
                <xdr:row>19</xdr:row>
                <xdr:rowOff>133350</xdr:rowOff>
              </from>
              <to>
                <xdr:col>8</xdr:col>
                <xdr:colOff>695325</xdr:colOff>
                <xdr:row>21</xdr:row>
                <xdr:rowOff>57150</xdr:rowOff>
              </to>
            </anchor>
          </controlPr>
        </control>
      </mc:Choice>
      <mc:Fallback>
        <control shapeId="3095" r:id="rId8" name="CommandButton4"/>
      </mc:Fallback>
    </mc:AlternateContent>
    <mc:AlternateContent xmlns:mc="http://schemas.openxmlformats.org/markup-compatibility/2006">
      <mc:Choice Requires="x14">
        <control shapeId="3094" r:id="rId10" name="CommandButton3">
          <controlPr defaultSize="0" autoLine="0" r:id="rId11">
            <anchor moveWithCells="1">
              <from>
                <xdr:col>7</xdr:col>
                <xdr:colOff>133350</xdr:colOff>
                <xdr:row>12</xdr:row>
                <xdr:rowOff>219075</xdr:rowOff>
              </from>
              <to>
                <xdr:col>8</xdr:col>
                <xdr:colOff>666750</xdr:colOff>
                <xdr:row>14</xdr:row>
                <xdr:rowOff>142875</xdr:rowOff>
              </to>
            </anchor>
          </controlPr>
        </control>
      </mc:Choice>
      <mc:Fallback>
        <control shapeId="3094" r:id="rId10" name="CommandButton3"/>
      </mc:Fallback>
    </mc:AlternateContent>
    <mc:AlternateContent xmlns:mc="http://schemas.openxmlformats.org/markup-compatibility/2006">
      <mc:Choice Requires="x14">
        <control shapeId="3093" r:id="rId12" name="CommandButton2">
          <controlPr defaultSize="0" autoLine="0" r:id="rId13">
            <anchor moveWithCells="1">
              <from>
                <xdr:col>7</xdr:col>
                <xdr:colOff>133350</xdr:colOff>
                <xdr:row>10</xdr:row>
                <xdr:rowOff>209550</xdr:rowOff>
              </from>
              <to>
                <xdr:col>8</xdr:col>
                <xdr:colOff>666750</xdr:colOff>
                <xdr:row>12</xdr:row>
                <xdr:rowOff>133350</xdr:rowOff>
              </to>
            </anchor>
          </controlPr>
        </control>
      </mc:Choice>
      <mc:Fallback>
        <control shapeId="3093" r:id="rId12" name="CommandButton2"/>
      </mc:Fallback>
    </mc:AlternateContent>
    <mc:AlternateContent xmlns:mc="http://schemas.openxmlformats.org/markup-compatibility/2006">
      <mc:Choice Requires="x14">
        <control shapeId="3092" r:id="rId14" name="CommandButton1">
          <controlPr defaultSize="0" autoLine="0" r:id="rId15">
            <anchor moveWithCells="1">
              <from>
                <xdr:col>7</xdr:col>
                <xdr:colOff>133350</xdr:colOff>
                <xdr:row>8</xdr:row>
                <xdr:rowOff>209550</xdr:rowOff>
              </from>
              <to>
                <xdr:col>8</xdr:col>
                <xdr:colOff>666750</xdr:colOff>
                <xdr:row>10</xdr:row>
                <xdr:rowOff>133350</xdr:rowOff>
              </to>
            </anchor>
          </controlPr>
        </control>
      </mc:Choice>
      <mc:Fallback>
        <control shapeId="3092" r:id="rId14" name="CommandButton1"/>
      </mc:Fallback>
    </mc:AlternateContent>
    <mc:AlternateContent xmlns:mc="http://schemas.openxmlformats.org/markup-compatibility/2006">
      <mc:Choice Requires="x14">
        <control shapeId="3096" r:id="rId16" name="CommandButton5">
          <controlPr defaultSize="0" autoLine="0" autoPict="0" r:id="rId1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6" name="CommandButton5"/>
      </mc:Fallback>
    </mc:AlternateContent>
    <mc:AlternateContent xmlns:mc="http://schemas.openxmlformats.org/markup-compatibility/2006">
      <mc:Choice Requires="x14">
        <control shapeId="3104" r:id="rId18" name="CommandButton7">
          <controlPr defaultSize="0" autoLine="0" r:id="rId19">
            <anchor moveWithCells="1">
              <from>
                <xdr:col>7</xdr:col>
                <xdr:colOff>133350</xdr:colOff>
                <xdr:row>15</xdr:row>
                <xdr:rowOff>9525</xdr:rowOff>
              </from>
              <to>
                <xdr:col>8</xdr:col>
                <xdr:colOff>666750</xdr:colOff>
                <xdr:row>16</xdr:row>
                <xdr:rowOff>180975</xdr:rowOff>
              </to>
            </anchor>
          </controlPr>
        </control>
      </mc:Choice>
      <mc:Fallback>
        <control shapeId="3104" r:id="rId18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1CD9-3B5D-4003-AFC2-D6499EDB75B4}">
  <sheetPr codeName="Sheet7">
    <tabColor rgb="FFFF0000"/>
  </sheetPr>
  <dimension ref="A1:M41"/>
  <sheetViews>
    <sheetView topLeftCell="A10" workbookViewId="0">
      <selection activeCell="I26" sqref="I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175</v>
      </c>
      <c r="C2" s="1" t="str">
        <f>Well!D5</f>
        <v>전의면 노곡리 73-1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Well!C5</f>
        <v>0</v>
      </c>
      <c r="D3" s="3" t="s">
        <v>61</v>
      </c>
      <c r="E3" s="4" t="s">
        <v>135</v>
      </c>
      <c r="F3" s="5" t="s">
        <v>124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Well!R5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Well!Q5</f>
        <v>0</v>
      </c>
      <c r="D5" s="7" t="s">
        <v>66</v>
      </c>
      <c r="E5" s="37">
        <v>3.8149999999999999</v>
      </c>
      <c r="F5" s="38">
        <f>$E$5/$C$14</f>
        <v>0.10039473684210526</v>
      </c>
      <c r="G5" s="10">
        <v>5.0000000000000001E-4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Well!D5</f>
        <v>전의면 노곡리 73-1</v>
      </c>
      <c r="D6" s="7" t="s">
        <v>69</v>
      </c>
      <c r="E6" s="8">
        <v>2.8290000000000002</v>
      </c>
      <c r="F6" s="38">
        <f>$E$6/$C$14</f>
        <v>7.4447368421052637E-2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Well!H5</f>
        <v>50</v>
      </c>
      <c r="D7" s="35" t="s">
        <v>72</v>
      </c>
      <c r="E7" s="36">
        <f>(E5+E6)/2</f>
        <v>3.3220000000000001</v>
      </c>
      <c r="F7" s="39">
        <f>$E$7/$C$14</f>
        <v>8.7421052631578955E-2</v>
      </c>
      <c r="G7" s="35">
        <f>G5</f>
        <v>5.0000000000000001E-4</v>
      </c>
      <c r="H7" s="265">
        <v>0.1104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Well!G5</f>
        <v>250</v>
      </c>
    </row>
    <row r="9" spans="1:13" ht="20.100000000000001" customHeight="1" thickBot="1">
      <c r="B9" s="6" t="s">
        <v>73</v>
      </c>
      <c r="C9" s="257">
        <f>C10+C11</f>
        <v>12</v>
      </c>
      <c r="D9" s="11"/>
      <c r="E9" s="12" t="s">
        <v>125</v>
      </c>
      <c r="F9" s="40" t="s">
        <v>126</v>
      </c>
      <c r="G9" s="13" t="s">
        <v>127</v>
      </c>
    </row>
    <row r="10" spans="1:13" ht="20.100000000000001" customHeight="1" thickBot="1">
      <c r="B10" s="6" t="s">
        <v>74</v>
      </c>
      <c r="C10" s="86">
        <v>4</v>
      </c>
      <c r="D10" s="14" t="s">
        <v>75</v>
      </c>
      <c r="E10" s="358">
        <v>132.80000000000001</v>
      </c>
      <c r="F10" s="359">
        <v>162.69999999999999</v>
      </c>
      <c r="G10" s="360">
        <v>96.7</v>
      </c>
      <c r="H10" s="15"/>
      <c r="I10" s="16"/>
    </row>
    <row r="11" spans="1:13" ht="20.100000000000001" customHeight="1" thickBot="1">
      <c r="B11" s="6" t="s">
        <v>76</v>
      </c>
      <c r="C11" s="86">
        <v>8</v>
      </c>
      <c r="D11" s="34" t="s">
        <v>77</v>
      </c>
      <c r="E11" s="361">
        <f>ROUND(AVERAGE(E10:G10),1)</f>
        <v>130.69999999999999</v>
      </c>
      <c r="F11" s="288">
        <f>ROUND((E10+F10)/2,1)</f>
        <v>147.80000000000001</v>
      </c>
      <c r="G11" s="18"/>
      <c r="H11" s="15"/>
      <c r="I11" s="16"/>
      <c r="J11" s="445" t="s">
        <v>133</v>
      </c>
      <c r="K11" s="446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38</v>
      </c>
      <c r="H12" s="19"/>
      <c r="J12" s="362" t="s">
        <v>136</v>
      </c>
      <c r="K12" s="414">
        <v>28</v>
      </c>
      <c r="L12" s="415">
        <f>K12+180</f>
        <v>208</v>
      </c>
    </row>
    <row r="13" spans="1:13" ht="20.100000000000001" customHeight="1">
      <c r="A13" s="17">
        <f>C10+C11+C12+C13</f>
        <v>50</v>
      </c>
      <c r="B13" s="6" t="s">
        <v>79</v>
      </c>
      <c r="C13" s="357"/>
      <c r="E13" s="367" t="str">
        <f>Recharge!I24</f>
        <v>금강/미호천</v>
      </c>
      <c r="F13" s="366">
        <f>rf_1</f>
        <v>0.17299999999999999</v>
      </c>
      <c r="G13" s="366">
        <f>allow_ratio</f>
        <v>0.66849999999999998</v>
      </c>
      <c r="H13" s="20"/>
      <c r="J13" s="362" t="s">
        <v>128</v>
      </c>
      <c r="K13" s="419">
        <v>1241</v>
      </c>
      <c r="L13" s="46"/>
    </row>
    <row r="14" spans="1:13" ht="20.100000000000001" customHeight="1">
      <c r="B14" s="6" t="s">
        <v>80</v>
      </c>
      <c r="C14" s="257">
        <f>C7-IF(C20&gt;C9,C20,C9)</f>
        <v>38</v>
      </c>
      <c r="G14" s="366">
        <f>max</f>
        <v>1232.3</v>
      </c>
      <c r="H14" s="20"/>
      <c r="J14" s="362" t="s">
        <v>129</v>
      </c>
      <c r="K14" s="419">
        <v>142</v>
      </c>
      <c r="L14" s="46"/>
    </row>
    <row r="15" spans="1:13" ht="20.100000000000001" customHeight="1" thickBot="1">
      <c r="B15" s="6" t="s">
        <v>81</v>
      </c>
      <c r="C15" s="87">
        <f>Well!I5</f>
        <v>150</v>
      </c>
      <c r="E15" s="45">
        <v>2</v>
      </c>
      <c r="J15" s="362" t="s">
        <v>130</v>
      </c>
      <c r="K15" s="419">
        <v>88</v>
      </c>
      <c r="L15" s="46"/>
    </row>
    <row r="16" spans="1:13" ht="20.100000000000001" customHeight="1">
      <c r="B16" s="6" t="s">
        <v>82</v>
      </c>
      <c r="C16" s="88">
        <f>Well!J5</f>
        <v>150</v>
      </c>
      <c r="E16" s="258" t="s">
        <v>85</v>
      </c>
      <c r="F16" s="259" t="s">
        <v>110</v>
      </c>
      <c r="G16" s="260" t="s">
        <v>109</v>
      </c>
      <c r="H16" s="20"/>
      <c r="J16" s="362" t="s">
        <v>137</v>
      </c>
      <c r="K16" s="363">
        <f>K14-C20</f>
        <v>135.69999999999999</v>
      </c>
      <c r="L16" s="46"/>
    </row>
    <row r="17" spans="2:12" ht="20.100000000000001" customHeight="1" thickBot="1">
      <c r="B17" s="6" t="s">
        <v>83</v>
      </c>
      <c r="C17" s="87">
        <f>Well!L5</f>
        <v>5</v>
      </c>
      <c r="E17" s="93">
        <f>Well!P5</f>
        <v>1367397</v>
      </c>
      <c r="F17" s="33">
        <f>(max*rf_1*E17/1000)</f>
        <v>291512.49489629996</v>
      </c>
      <c r="G17" s="31">
        <f>F17*allow_ratio</f>
        <v>194876.10283817651</v>
      </c>
      <c r="J17" s="362" t="s">
        <v>131</v>
      </c>
      <c r="K17" s="363">
        <f>K16-K15</f>
        <v>47.699999999999989</v>
      </c>
      <c r="L17" s="46"/>
    </row>
    <row r="18" spans="2:12" ht="20.100000000000001" customHeight="1" thickBot="1">
      <c r="B18" s="6" t="s">
        <v>84</v>
      </c>
      <c r="C18" s="87">
        <f>Well!M5</f>
        <v>43</v>
      </c>
      <c r="E18" s="2" t="s">
        <v>85</v>
      </c>
      <c r="F18" s="32" t="s">
        <v>86</v>
      </c>
      <c r="G18" s="30" t="s">
        <v>87</v>
      </c>
      <c r="H18" s="319" t="s">
        <v>198</v>
      </c>
      <c r="I18" s="29"/>
      <c r="J18" s="364" t="s">
        <v>132</v>
      </c>
      <c r="K18" s="365">
        <f>(K17/K13)</f>
        <v>3.8436744560838024E-2</v>
      </c>
      <c r="L18" s="261">
        <f>K18*100</f>
        <v>3.8436744560838023</v>
      </c>
    </row>
    <row r="19" spans="2:12" ht="20.100000000000001" customHeight="1" thickBot="1">
      <c r="B19" s="22" t="s">
        <v>88</v>
      </c>
      <c r="C19" s="89">
        <f>Well!N5</f>
        <v>50</v>
      </c>
      <c r="E19" s="93">
        <f>E17</f>
        <v>1367397</v>
      </c>
      <c r="F19" s="355">
        <f>(max*rf_1*E19/1000)/365</f>
        <v>798.66436957890403</v>
      </c>
      <c r="G19" s="356">
        <f>F19*allow_ratio</f>
        <v>533.90713106349733</v>
      </c>
      <c r="H19" s="320">
        <f>G19-F21</f>
        <v>422.60713106349732</v>
      </c>
    </row>
    <row r="20" spans="2:12" ht="20.100000000000001" customHeight="1">
      <c r="B20" s="23" t="s">
        <v>89</v>
      </c>
      <c r="C20" s="90">
        <v>6.3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33.200000000000003</v>
      </c>
      <c r="D21" s="17"/>
      <c r="E21" s="290">
        <f>Well!$I$5</f>
        <v>150</v>
      </c>
      <c r="F21" s="291">
        <f>Well!O5</f>
        <v>111.3</v>
      </c>
      <c r="G21" s="31">
        <f>G19-E21-F21</f>
        <v>272.60713106349732</v>
      </c>
    </row>
    <row r="22" spans="2:12" ht="20.100000000000001" customHeight="1" thickBot="1">
      <c r="B22" s="79" t="s">
        <v>184</v>
      </c>
      <c r="C22" s="92">
        <f>C21-C20</f>
        <v>26.900000000000002</v>
      </c>
      <c r="E22" s="447">
        <f>E21+F21</f>
        <v>261.3</v>
      </c>
      <c r="F22" s="448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41" t="s">
        <v>113</v>
      </c>
      <c r="C25" s="442"/>
      <c r="D25" s="370" t="s">
        <v>122</v>
      </c>
      <c r="E25" s="370" t="s">
        <v>123</v>
      </c>
      <c r="F25" s="370" t="s">
        <v>114</v>
      </c>
      <c r="G25" s="370" t="s">
        <v>115</v>
      </c>
      <c r="H25" s="370" t="s">
        <v>138</v>
      </c>
      <c r="I25" s="370" t="s">
        <v>116</v>
      </c>
      <c r="J25" s="371" t="s">
        <v>117</v>
      </c>
      <c r="K25" s="372" t="s">
        <v>118</v>
      </c>
    </row>
    <row r="26" spans="2:12" ht="25.5" customHeight="1">
      <c r="B26" s="443" t="s">
        <v>61</v>
      </c>
      <c r="C26" s="373" t="s">
        <v>120</v>
      </c>
      <c r="D26" s="374">
        <f>C20</f>
        <v>6.3</v>
      </c>
      <c r="E26" s="375">
        <f>Recharge!C30</f>
        <v>21.31879</v>
      </c>
      <c r="F26" s="376" t="s">
        <v>242</v>
      </c>
      <c r="G26" s="374" t="s">
        <v>243</v>
      </c>
      <c r="H26" s="377">
        <f>L18</f>
        <v>3.8436744560838023</v>
      </c>
      <c r="I26" s="374" t="s">
        <v>242</v>
      </c>
      <c r="J26" s="374">
        <f>(E7/C14)/864</f>
        <v>1.0118177387914231E-4</v>
      </c>
      <c r="K26" s="378" t="s">
        <v>228</v>
      </c>
    </row>
    <row r="27" spans="2:12" ht="25.5" customHeight="1">
      <c r="B27" s="443"/>
      <c r="C27" s="373" t="s">
        <v>121</v>
      </c>
      <c r="D27" s="373">
        <v>7</v>
      </c>
      <c r="E27" s="373">
        <v>8</v>
      </c>
      <c r="F27" s="373">
        <v>3</v>
      </c>
      <c r="G27" s="373">
        <v>3</v>
      </c>
      <c r="H27" s="373">
        <v>9</v>
      </c>
      <c r="I27" s="373">
        <v>4</v>
      </c>
      <c r="J27" s="373">
        <v>2</v>
      </c>
      <c r="K27" s="378" t="s">
        <v>249</v>
      </c>
    </row>
    <row r="28" spans="2:12" ht="25.5" customHeight="1">
      <c r="B28" s="443"/>
      <c r="C28" s="391" t="s">
        <v>223</v>
      </c>
      <c r="D28" s="392">
        <v>5</v>
      </c>
      <c r="E28" s="392">
        <v>4</v>
      </c>
      <c r="F28" s="392">
        <v>3</v>
      </c>
      <c r="G28" s="392">
        <v>2</v>
      </c>
      <c r="H28" s="392">
        <v>1</v>
      </c>
      <c r="I28" s="392">
        <v>5</v>
      </c>
      <c r="J28" s="392">
        <v>3</v>
      </c>
      <c r="K28" s="393"/>
    </row>
    <row r="29" spans="2:12" ht="25.5" customHeight="1">
      <c r="B29" s="443"/>
      <c r="C29" s="391" t="s">
        <v>224</v>
      </c>
      <c r="D29" s="394">
        <v>5</v>
      </c>
      <c r="E29" s="394">
        <v>4</v>
      </c>
      <c r="F29" s="394">
        <v>3</v>
      </c>
      <c r="G29" s="394">
        <v>5</v>
      </c>
      <c r="H29" s="394">
        <v>3</v>
      </c>
      <c r="I29" s="394">
        <v>4</v>
      </c>
      <c r="J29" s="394">
        <v>2</v>
      </c>
      <c r="K29" s="393"/>
    </row>
    <row r="30" spans="2:12" ht="25.5" customHeight="1">
      <c r="B30" s="443"/>
      <c r="C30" s="379" t="s">
        <v>225</v>
      </c>
      <c r="D30" s="380">
        <f>D27*D28</f>
        <v>35</v>
      </c>
      <c r="E30" s="380">
        <f t="shared" ref="E30:J30" si="0">E27*E28</f>
        <v>32</v>
      </c>
      <c r="F30" s="380">
        <f t="shared" si="0"/>
        <v>9</v>
      </c>
      <c r="G30" s="380">
        <f t="shared" si="0"/>
        <v>6</v>
      </c>
      <c r="H30" s="380">
        <f t="shared" si="0"/>
        <v>9</v>
      </c>
      <c r="I30" s="380">
        <f t="shared" si="0"/>
        <v>20</v>
      </c>
      <c r="J30" s="380">
        <f t="shared" si="0"/>
        <v>6</v>
      </c>
      <c r="K30" s="381">
        <f>SUM(D30:J30)</f>
        <v>117</v>
      </c>
    </row>
    <row r="31" spans="2:12" ht="25.5" customHeight="1" thickBot="1">
      <c r="B31" s="444"/>
      <c r="C31" s="382" t="s">
        <v>226</v>
      </c>
      <c r="D31" s="383">
        <f t="shared" ref="D31:J31" si="1">D27*D29</f>
        <v>35</v>
      </c>
      <c r="E31" s="383">
        <f t="shared" si="1"/>
        <v>32</v>
      </c>
      <c r="F31" s="383">
        <f t="shared" si="1"/>
        <v>9</v>
      </c>
      <c r="G31" s="383">
        <f t="shared" si="1"/>
        <v>15</v>
      </c>
      <c r="H31" s="383">
        <f t="shared" si="1"/>
        <v>27</v>
      </c>
      <c r="I31" s="383">
        <f t="shared" si="1"/>
        <v>16</v>
      </c>
      <c r="J31" s="383">
        <f t="shared" si="1"/>
        <v>4</v>
      </c>
      <c r="K31" s="384">
        <f>SUM(D31:J31)</f>
        <v>138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31079" r:id="rId4" name="CommandButton6">
          <controlPr defaultSize="0" autoLine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131079" r:id="rId4" name="CommandButton6"/>
      </mc:Fallback>
    </mc:AlternateContent>
    <mc:AlternateContent xmlns:mc="http://schemas.openxmlformats.org/markup-compatibility/2006">
      <mc:Choice Requires="x14">
        <control shapeId="1310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1238250</xdr:colOff>
                <xdr:row>21</xdr:row>
                <xdr:rowOff>38100</xdr:rowOff>
              </to>
            </anchor>
          </controlPr>
        </control>
      </mc:Choice>
      <mc:Fallback>
        <control shapeId="131078" r:id="rId6" name="Frame1"/>
      </mc:Fallback>
    </mc:AlternateContent>
    <mc:AlternateContent xmlns:mc="http://schemas.openxmlformats.org/markup-compatibility/2006">
      <mc:Choice Requires="x14">
        <control shapeId="131077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31077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CAFE6B8-4583-46AC-87D9-53D038F6E58E}">
          <x14:formula1>
            <xm:f>drastic!$G$4:$G$14</xm:f>
          </x14:formula1>
          <xm:sqref>I26</xm:sqref>
        </x14:dataValidation>
        <x14:dataValidation type="list" allowBlank="1" showInputMessage="1" showErrorMessage="1" xr:uid="{A88C0299-ADB2-444B-A3FC-B77EE03C08F1}">
          <x14:formula1>
            <xm:f>drastic!$D$4:$D$14</xm:f>
          </x14:formula1>
          <xm:sqref>G26</xm:sqref>
        </x14:dataValidation>
        <x14:dataValidation type="list" allowBlank="1" showInputMessage="1" showErrorMessage="1" xr:uid="{848133E8-C434-4A53-B505-0A5E78675C44}">
          <x14:formula1>
            <xm:f>drastic!$A$4:$A$13</xm:f>
          </x14:formula1>
          <xm:sqref>F26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8C8E0-7400-40FE-BB23-5169C3318F8D}">
  <sheetPr codeName="Sheet8">
    <tabColor rgb="FFFFC000"/>
  </sheetPr>
  <dimension ref="A1:M41"/>
  <sheetViews>
    <sheetView workbookViewId="0">
      <selection activeCell="I26" sqref="I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176</v>
      </c>
      <c r="C2" s="1" t="str">
        <f>Well!D6</f>
        <v>소정면 대곡리 25-4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Well!C6</f>
        <v>0</v>
      </c>
      <c r="D3" s="3" t="s">
        <v>61</v>
      </c>
      <c r="E3" s="4" t="s">
        <v>135</v>
      </c>
      <c r="F3" s="5" t="s">
        <v>124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Well!R6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Well!Q6</f>
        <v>0</v>
      </c>
      <c r="D5" s="7" t="s">
        <v>66</v>
      </c>
      <c r="E5" s="37">
        <v>2.6019999999999999</v>
      </c>
      <c r="F5" s="38">
        <f>$E$5/$C$14</f>
        <v>1.0932773109243697E-2</v>
      </c>
      <c r="G5" s="10">
        <v>5.0000000000000001E-4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Well!D6</f>
        <v>소정면 대곡리 25-4</v>
      </c>
      <c r="D6" s="7" t="s">
        <v>69</v>
      </c>
      <c r="E6" s="8">
        <v>2.0409999999999999</v>
      </c>
      <c r="F6" s="38">
        <f>$E$6/$C$14</f>
        <v>8.5756302521008392E-3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Well!H6</f>
        <v>250</v>
      </c>
      <c r="D7" s="35" t="s">
        <v>72</v>
      </c>
      <c r="E7" s="36">
        <f>(E5+E6)/2</f>
        <v>2.3214999999999999</v>
      </c>
      <c r="F7" s="39">
        <f>$E$7/$C$14</f>
        <v>9.7542016806722691E-3</v>
      </c>
      <c r="G7" s="35">
        <f>G5</f>
        <v>5.0000000000000001E-4</v>
      </c>
      <c r="H7" s="265">
        <v>9.2609999999999998E-2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Well!G6</f>
        <v>250</v>
      </c>
    </row>
    <row r="9" spans="1:13" ht="20.100000000000001" customHeight="1" thickBot="1">
      <c r="B9" s="6" t="s">
        <v>73</v>
      </c>
      <c r="C9" s="257">
        <f>C10+C11</f>
        <v>12</v>
      </c>
      <c r="D9" s="11"/>
      <c r="E9" s="12" t="s">
        <v>125</v>
      </c>
      <c r="F9" s="40" t="s">
        <v>126</v>
      </c>
      <c r="G9" s="13" t="s">
        <v>127</v>
      </c>
    </row>
    <row r="10" spans="1:13" ht="20.100000000000001" customHeight="1" thickBot="1">
      <c r="B10" s="6" t="s">
        <v>74</v>
      </c>
      <c r="C10" s="86">
        <v>4</v>
      </c>
      <c r="D10" s="14" t="s">
        <v>75</v>
      </c>
      <c r="E10" s="358">
        <v>53.1</v>
      </c>
      <c r="F10" s="359">
        <v>65</v>
      </c>
      <c r="G10" s="360">
        <v>80.8</v>
      </c>
      <c r="H10" s="15"/>
      <c r="I10" s="16"/>
    </row>
    <row r="11" spans="1:13" ht="20.100000000000001" customHeight="1" thickBot="1">
      <c r="B11" s="6" t="s">
        <v>76</v>
      </c>
      <c r="C11" s="86">
        <v>8</v>
      </c>
      <c r="D11" s="34" t="s">
        <v>77</v>
      </c>
      <c r="E11" s="361">
        <f>ROUND(AVERAGE(E10:G10),1)</f>
        <v>66.3</v>
      </c>
      <c r="F11" s="288">
        <f>ROUND((E10+F10)/2,1)</f>
        <v>59.1</v>
      </c>
      <c r="G11" s="18"/>
      <c r="H11" s="15"/>
      <c r="I11" s="16"/>
      <c r="J11" s="445" t="s">
        <v>133</v>
      </c>
      <c r="K11" s="446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238</v>
      </c>
      <c r="H12" s="19"/>
      <c r="J12" s="362" t="s">
        <v>136</v>
      </c>
      <c r="K12" s="368">
        <v>156</v>
      </c>
      <c r="L12" s="369">
        <f>K12+180</f>
        <v>336</v>
      </c>
    </row>
    <row r="13" spans="1:13" ht="20.100000000000001" customHeight="1">
      <c r="A13" s="17">
        <f>C10+C11+C12+C13</f>
        <v>250</v>
      </c>
      <c r="B13" s="6" t="s">
        <v>79</v>
      </c>
      <c r="C13" s="357"/>
      <c r="E13" s="367" t="str">
        <f>Recharge!I25</f>
        <v>삽교천/삽교천</v>
      </c>
      <c r="F13" s="366">
        <f>rf_2</f>
        <v>0.125</v>
      </c>
      <c r="G13" s="366">
        <f>allow_ratio2</f>
        <v>0.66610000000000003</v>
      </c>
      <c r="H13" s="20"/>
      <c r="J13" s="362" t="s">
        <v>128</v>
      </c>
      <c r="K13" s="419">
        <v>1179</v>
      </c>
      <c r="L13" s="46"/>
    </row>
    <row r="14" spans="1:13" ht="20.100000000000001" customHeight="1">
      <c r="B14" s="6" t="s">
        <v>80</v>
      </c>
      <c r="C14" s="257">
        <f>C7-IF(C20&gt;C9,C20,C9)</f>
        <v>238</v>
      </c>
      <c r="G14" s="366">
        <f>max</f>
        <v>1232.3</v>
      </c>
      <c r="H14" s="20"/>
      <c r="J14" s="362" t="s">
        <v>129</v>
      </c>
      <c r="K14" s="419">
        <v>85</v>
      </c>
      <c r="L14" s="46"/>
    </row>
    <row r="15" spans="1:13" ht="20.100000000000001" customHeight="1" thickBot="1">
      <c r="B15" s="6" t="s">
        <v>81</v>
      </c>
      <c r="C15" s="87">
        <f>Well!I6</f>
        <v>150</v>
      </c>
      <c r="E15" s="45">
        <v>3</v>
      </c>
      <c r="J15" s="362" t="s">
        <v>130</v>
      </c>
      <c r="K15" s="419">
        <v>38</v>
      </c>
      <c r="L15" s="46"/>
    </row>
    <row r="16" spans="1:13" ht="20.100000000000001" customHeight="1">
      <c r="B16" s="6" t="s">
        <v>82</v>
      </c>
      <c r="C16" s="88">
        <f>Well!J6</f>
        <v>150</v>
      </c>
      <c r="E16" s="258" t="s">
        <v>85</v>
      </c>
      <c r="F16" s="259" t="s">
        <v>110</v>
      </c>
      <c r="G16" s="260" t="s">
        <v>109</v>
      </c>
      <c r="H16" s="20"/>
      <c r="J16" s="362" t="s">
        <v>137</v>
      </c>
      <c r="K16" s="363">
        <f>K14-C20</f>
        <v>80.7</v>
      </c>
      <c r="L16" s="46"/>
    </row>
    <row r="17" spans="2:12" ht="20.100000000000001" customHeight="1" thickBot="1">
      <c r="B17" s="6" t="s">
        <v>83</v>
      </c>
      <c r="C17" s="87">
        <f>Well!L6</f>
        <v>7.5</v>
      </c>
      <c r="E17" s="93">
        <f>Well!P6</f>
        <v>2249510</v>
      </c>
      <c r="F17" s="33">
        <f>(max*rf_2*E17/1000)</f>
        <v>346508.89662499999</v>
      </c>
      <c r="G17" s="31">
        <f>F17*allow_ratio2</f>
        <v>230809.57604191251</v>
      </c>
      <c r="J17" s="362" t="s">
        <v>131</v>
      </c>
      <c r="K17" s="363">
        <f>K16-K15</f>
        <v>42.7</v>
      </c>
      <c r="L17" s="46"/>
    </row>
    <row r="18" spans="2:12" ht="20.100000000000001" customHeight="1" thickBot="1">
      <c r="B18" s="6" t="s">
        <v>84</v>
      </c>
      <c r="C18" s="87">
        <f>Well!M6</f>
        <v>62</v>
      </c>
      <c r="E18" s="2" t="s">
        <v>85</v>
      </c>
      <c r="F18" s="32" t="s">
        <v>86</v>
      </c>
      <c r="G18" s="30" t="s">
        <v>87</v>
      </c>
      <c r="H18" s="319" t="s">
        <v>198</v>
      </c>
      <c r="I18" s="29"/>
      <c r="J18" s="364" t="s">
        <v>132</v>
      </c>
      <c r="K18" s="365">
        <f>(K17/K13)</f>
        <v>3.6217133163698054E-2</v>
      </c>
      <c r="L18" s="261">
        <f>K18*100</f>
        <v>3.6217133163698052</v>
      </c>
    </row>
    <row r="19" spans="2:12" ht="20.100000000000001" customHeight="1" thickBot="1">
      <c r="B19" s="22" t="s">
        <v>88</v>
      </c>
      <c r="C19" s="89">
        <f>Well!N6</f>
        <v>50</v>
      </c>
      <c r="E19" s="93">
        <f>E17</f>
        <v>2249510</v>
      </c>
      <c r="F19" s="355">
        <f>(max*rf_2*E19/1000)/365</f>
        <v>949.33944280821913</v>
      </c>
      <c r="G19" s="356">
        <f>F19*allow_ratio2</f>
        <v>632.35500285455475</v>
      </c>
      <c r="H19" s="320">
        <f>G19-F21</f>
        <v>538.0550028545548</v>
      </c>
    </row>
    <row r="20" spans="2:12" ht="20.100000000000001" customHeight="1">
      <c r="B20" s="23" t="s">
        <v>89</v>
      </c>
      <c r="C20" s="90">
        <v>4.3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42.8</v>
      </c>
      <c r="D21" s="17"/>
      <c r="E21" s="290">
        <f>Well!$I$6</f>
        <v>150</v>
      </c>
      <c r="F21" s="291">
        <f>Well!O6</f>
        <v>94.3</v>
      </c>
      <c r="G21" s="31">
        <f>G19-E21-F21</f>
        <v>388.05500285455474</v>
      </c>
    </row>
    <row r="22" spans="2:12" ht="20.100000000000001" customHeight="1" thickBot="1">
      <c r="B22" s="79" t="s">
        <v>184</v>
      </c>
      <c r="C22" s="92">
        <f>C21-C20</f>
        <v>38.5</v>
      </c>
      <c r="E22" s="447">
        <f>E21+F21</f>
        <v>244.3</v>
      </c>
      <c r="F22" s="448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41" t="s">
        <v>113</v>
      </c>
      <c r="C25" s="442"/>
      <c r="D25" s="370" t="s">
        <v>122</v>
      </c>
      <c r="E25" s="370" t="s">
        <v>123</v>
      </c>
      <c r="F25" s="370" t="s">
        <v>114</v>
      </c>
      <c r="G25" s="370" t="s">
        <v>115</v>
      </c>
      <c r="H25" s="370" t="s">
        <v>138</v>
      </c>
      <c r="I25" s="370" t="s">
        <v>116</v>
      </c>
      <c r="J25" s="371" t="s">
        <v>117</v>
      </c>
      <c r="K25" s="372" t="s">
        <v>118</v>
      </c>
    </row>
    <row r="26" spans="2:12" ht="25.5" customHeight="1">
      <c r="B26" s="443" t="s">
        <v>61</v>
      </c>
      <c r="C26" s="373" t="s">
        <v>120</v>
      </c>
      <c r="D26" s="374">
        <f>C20</f>
        <v>4.3</v>
      </c>
      <c r="E26" s="375">
        <f>Recharge!D30</f>
        <v>15.403749999999999</v>
      </c>
      <c r="F26" s="376" t="s">
        <v>242</v>
      </c>
      <c r="G26" s="374" t="s">
        <v>243</v>
      </c>
      <c r="H26" s="377">
        <f>L18</f>
        <v>3.6217133163698052</v>
      </c>
      <c r="I26" s="374" t="s">
        <v>242</v>
      </c>
      <c r="J26" s="374">
        <f>(E7/C14)/864</f>
        <v>1.1289585278555867E-5</v>
      </c>
      <c r="K26" s="378" t="s">
        <v>228</v>
      </c>
    </row>
    <row r="27" spans="2:12" ht="25.5" customHeight="1">
      <c r="B27" s="443"/>
      <c r="C27" s="373" t="s">
        <v>121</v>
      </c>
      <c r="D27" s="373">
        <v>9</v>
      </c>
      <c r="E27" s="373">
        <v>6</v>
      </c>
      <c r="F27" s="373">
        <v>3</v>
      </c>
      <c r="G27" s="373">
        <v>3</v>
      </c>
      <c r="H27" s="373">
        <v>9</v>
      </c>
      <c r="I27" s="373">
        <v>4</v>
      </c>
      <c r="J27" s="373">
        <v>1</v>
      </c>
      <c r="K27" s="378" t="s">
        <v>249</v>
      </c>
    </row>
    <row r="28" spans="2:12" ht="25.5" customHeight="1">
      <c r="B28" s="443"/>
      <c r="C28" s="391" t="s">
        <v>223</v>
      </c>
      <c r="D28" s="392">
        <v>5</v>
      </c>
      <c r="E28" s="392">
        <v>4</v>
      </c>
      <c r="F28" s="392">
        <v>3</v>
      </c>
      <c r="G28" s="392">
        <v>2</v>
      </c>
      <c r="H28" s="392">
        <v>1</v>
      </c>
      <c r="I28" s="392">
        <v>5</v>
      </c>
      <c r="J28" s="392">
        <v>3</v>
      </c>
      <c r="K28" s="393"/>
    </row>
    <row r="29" spans="2:12" ht="25.5" customHeight="1">
      <c r="B29" s="443"/>
      <c r="C29" s="391" t="s">
        <v>224</v>
      </c>
      <c r="D29" s="394">
        <v>5</v>
      </c>
      <c r="E29" s="394">
        <v>4</v>
      </c>
      <c r="F29" s="394">
        <v>3</v>
      </c>
      <c r="G29" s="394">
        <v>5</v>
      </c>
      <c r="H29" s="394">
        <v>3</v>
      </c>
      <c r="I29" s="394">
        <v>4</v>
      </c>
      <c r="J29" s="394">
        <v>2</v>
      </c>
      <c r="K29" s="393"/>
    </row>
    <row r="30" spans="2:12" ht="25.5" customHeight="1">
      <c r="B30" s="443"/>
      <c r="C30" s="379" t="s">
        <v>225</v>
      </c>
      <c r="D30" s="380">
        <f>D27*D28</f>
        <v>45</v>
      </c>
      <c r="E30" s="380">
        <f t="shared" ref="E30:J30" si="0">E27*E28</f>
        <v>24</v>
      </c>
      <c r="F30" s="380">
        <f t="shared" si="0"/>
        <v>9</v>
      </c>
      <c r="G30" s="380">
        <f t="shared" si="0"/>
        <v>6</v>
      </c>
      <c r="H30" s="380">
        <f t="shared" si="0"/>
        <v>9</v>
      </c>
      <c r="I30" s="380">
        <f t="shared" si="0"/>
        <v>20</v>
      </c>
      <c r="J30" s="380">
        <f t="shared" si="0"/>
        <v>3</v>
      </c>
      <c r="K30" s="381">
        <f>SUM(D30:J30)</f>
        <v>116</v>
      </c>
    </row>
    <row r="31" spans="2:12" ht="25.5" customHeight="1" thickBot="1">
      <c r="B31" s="444"/>
      <c r="C31" s="382" t="s">
        <v>226</v>
      </c>
      <c r="D31" s="383">
        <f t="shared" ref="D31:J31" si="1">D27*D29</f>
        <v>45</v>
      </c>
      <c r="E31" s="383">
        <f t="shared" si="1"/>
        <v>24</v>
      </c>
      <c r="F31" s="383">
        <f t="shared" si="1"/>
        <v>9</v>
      </c>
      <c r="G31" s="383">
        <f t="shared" si="1"/>
        <v>15</v>
      </c>
      <c r="H31" s="383">
        <f t="shared" si="1"/>
        <v>27</v>
      </c>
      <c r="I31" s="383">
        <f t="shared" si="1"/>
        <v>16</v>
      </c>
      <c r="J31" s="383">
        <f t="shared" si="1"/>
        <v>2</v>
      </c>
      <c r="K31" s="384">
        <f>SUM(D31:J31)</f>
        <v>138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32099" r:id="rId4" name="CommandButton6">
          <controlPr defaultSize="0" autoLine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132099" r:id="rId4" name="CommandButton6"/>
      </mc:Fallback>
    </mc:AlternateContent>
    <mc:AlternateContent xmlns:mc="http://schemas.openxmlformats.org/markup-compatibility/2006">
      <mc:Choice Requires="x14">
        <control shapeId="13209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1238250</xdr:colOff>
                <xdr:row>21</xdr:row>
                <xdr:rowOff>38100</xdr:rowOff>
              </to>
            </anchor>
          </controlPr>
        </control>
      </mc:Choice>
      <mc:Fallback>
        <control shapeId="132098" r:id="rId6" name="Frame1"/>
      </mc:Fallback>
    </mc:AlternateContent>
    <mc:AlternateContent xmlns:mc="http://schemas.openxmlformats.org/markup-compatibility/2006">
      <mc:Choice Requires="x14">
        <control shapeId="132097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32097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38BAED-FD65-445D-892E-0A159A6B2077}">
          <x14:formula1>
            <xm:f>drastic!$A$4:$A$13</xm:f>
          </x14:formula1>
          <xm:sqref>F26</xm:sqref>
        </x14:dataValidation>
        <x14:dataValidation type="list" allowBlank="1" showInputMessage="1" showErrorMessage="1" xr:uid="{476A74BC-85AA-4641-98FB-35CB3369621F}">
          <x14:formula1>
            <xm:f>drastic!$D$4:$D$14</xm:f>
          </x14:formula1>
          <xm:sqref>G26</xm:sqref>
        </x14:dataValidation>
        <x14:dataValidation type="list" allowBlank="1" showInputMessage="1" showErrorMessage="1" xr:uid="{BE82958E-71AC-485A-BCDB-0F04246E65C1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F5A20-D8BC-47FE-B27A-25A148D83982}">
  <sheetPr codeName="Sheet9">
    <tabColor rgb="FFFFFF00"/>
  </sheetPr>
  <dimension ref="A1:M41"/>
  <sheetViews>
    <sheetView workbookViewId="0">
      <selection activeCell="I20" sqref="I2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233</v>
      </c>
      <c r="C2" s="1" t="str">
        <f>Well!D7</f>
        <v>연동면 명학리 189-1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Well!C7</f>
        <v>0</v>
      </c>
      <c r="D3" s="3" t="s">
        <v>61</v>
      </c>
      <c r="E3" s="4" t="s">
        <v>135</v>
      </c>
      <c r="F3" s="5" t="s">
        <v>124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Well!R7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Well!Q7</f>
        <v>0</v>
      </c>
      <c r="D5" s="7" t="s">
        <v>66</v>
      </c>
      <c r="E5" s="37">
        <v>6.9960000000000004</v>
      </c>
      <c r="F5" s="38">
        <f>$E$5/$C$14</f>
        <v>6.1368421052631586E-2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Well!D7</f>
        <v>연동면 명학리 189-1</v>
      </c>
      <c r="D6" s="7" t="s">
        <v>69</v>
      </c>
      <c r="E6" s="8">
        <v>3.2989999999999999</v>
      </c>
      <c r="F6" s="38">
        <f>$E$6/$C$14</f>
        <v>2.8938596491228069E-2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Well!H7</f>
        <v>150</v>
      </c>
      <c r="D7" s="35" t="s">
        <v>72</v>
      </c>
      <c r="E7" s="36">
        <f>(E5+E6)/2</f>
        <v>5.1475</v>
      </c>
      <c r="F7" s="39">
        <f>$E$7/$C$14</f>
        <v>4.5153508771929828E-2</v>
      </c>
      <c r="G7" s="35">
        <f>G5</f>
        <v>2.72E-4</v>
      </c>
      <c r="H7" s="265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Well!G7</f>
        <v>250</v>
      </c>
    </row>
    <row r="9" spans="1:13" ht="20.100000000000001" customHeight="1" thickBot="1">
      <c r="B9" s="6" t="s">
        <v>73</v>
      </c>
      <c r="C9" s="257">
        <f>C10+C11</f>
        <v>36</v>
      </c>
      <c r="D9" s="11"/>
      <c r="E9" s="12" t="s">
        <v>125</v>
      </c>
      <c r="F9" s="40" t="s">
        <v>126</v>
      </c>
      <c r="G9" s="13" t="s">
        <v>127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358">
        <v>38.700000000000003</v>
      </c>
      <c r="F10" s="359">
        <v>47.4</v>
      </c>
      <c r="G10" s="360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361">
        <f>ROUND(AVERAGE(E10:G10),1)</f>
        <v>81.2</v>
      </c>
      <c r="F11" s="288">
        <f>ROUND((E10+F10)/2,1)</f>
        <v>43.1</v>
      </c>
      <c r="G11" s="18"/>
      <c r="H11" s="15"/>
      <c r="I11" s="16"/>
      <c r="J11" s="445" t="s">
        <v>133</v>
      </c>
      <c r="K11" s="446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114</v>
      </c>
      <c r="H12" s="19"/>
      <c r="J12" s="362" t="s">
        <v>136</v>
      </c>
      <c r="K12" s="414">
        <v>115</v>
      </c>
      <c r="L12" s="415">
        <f>K12+180</f>
        <v>295</v>
      </c>
    </row>
    <row r="13" spans="1:13" ht="20.100000000000001" customHeight="1">
      <c r="A13" s="17">
        <f>C10+C11+C12+C13</f>
        <v>150</v>
      </c>
      <c r="B13" s="6" t="s">
        <v>79</v>
      </c>
      <c r="C13" s="357"/>
      <c r="E13" s="367" t="str">
        <f>Recharge!I26</f>
        <v>금강/대청댐하류</v>
      </c>
      <c r="F13" s="366">
        <f>rf_3</f>
        <v>0.16700000000000001</v>
      </c>
      <c r="G13" s="366">
        <f>allow_ratio3</f>
        <v>0.6502</v>
      </c>
      <c r="H13" s="20"/>
      <c r="J13" s="362" t="s">
        <v>128</v>
      </c>
      <c r="K13" s="419">
        <v>563</v>
      </c>
      <c r="L13" s="46"/>
    </row>
    <row r="14" spans="1:13" ht="20.100000000000001" customHeight="1">
      <c r="B14" s="6" t="s">
        <v>80</v>
      </c>
      <c r="C14" s="257">
        <f>C7-IF(C20&gt;C9,C20,C9)</f>
        <v>114</v>
      </c>
      <c r="G14" s="366">
        <f>max</f>
        <v>1232.3</v>
      </c>
      <c r="H14" s="20"/>
      <c r="J14" s="362" t="s">
        <v>129</v>
      </c>
      <c r="K14" s="419">
        <v>55</v>
      </c>
      <c r="L14" s="46"/>
    </row>
    <row r="15" spans="1:13" ht="20.100000000000001" customHeight="1" thickBot="1">
      <c r="B15" s="6" t="s">
        <v>81</v>
      </c>
      <c r="C15" s="87">
        <f>Well!I7</f>
        <v>150</v>
      </c>
      <c r="E15" s="45">
        <v>4</v>
      </c>
      <c r="J15" s="362" t="s">
        <v>130</v>
      </c>
      <c r="K15" s="419">
        <v>14</v>
      </c>
      <c r="L15" s="46"/>
    </row>
    <row r="16" spans="1:13" ht="20.100000000000001" customHeight="1">
      <c r="B16" s="6" t="s">
        <v>82</v>
      </c>
      <c r="C16" s="88">
        <f>Well!J7</f>
        <v>150</v>
      </c>
      <c r="E16" s="258" t="s">
        <v>85</v>
      </c>
      <c r="F16" s="259" t="s">
        <v>110</v>
      </c>
      <c r="G16" s="260" t="s">
        <v>109</v>
      </c>
      <c r="H16" s="20"/>
      <c r="J16" s="362" t="s">
        <v>137</v>
      </c>
      <c r="K16" s="363">
        <f>K14-C20</f>
        <v>23.3</v>
      </c>
      <c r="L16" s="46"/>
    </row>
    <row r="17" spans="2:12" ht="20.100000000000001" customHeight="1" thickBot="1">
      <c r="B17" s="6" t="s">
        <v>83</v>
      </c>
      <c r="C17" s="87">
        <f>Well!L7</f>
        <v>5</v>
      </c>
      <c r="E17" s="93">
        <f>Well!P7</f>
        <v>1682388</v>
      </c>
      <c r="F17" s="33">
        <f>(max*rf_3*E17/1000)</f>
        <v>346225.52431080001</v>
      </c>
      <c r="G17" s="31">
        <f>F17*allow_ratio3</f>
        <v>225115.83590688216</v>
      </c>
      <c r="J17" s="362" t="s">
        <v>131</v>
      </c>
      <c r="K17" s="363">
        <f>K16-K15</f>
        <v>9.3000000000000007</v>
      </c>
      <c r="L17" s="46"/>
    </row>
    <row r="18" spans="2:12" ht="20.100000000000001" customHeight="1" thickBot="1">
      <c r="B18" s="6" t="s">
        <v>84</v>
      </c>
      <c r="C18" s="87">
        <f>Well!M7</f>
        <v>68</v>
      </c>
      <c r="E18" s="2" t="s">
        <v>85</v>
      </c>
      <c r="F18" s="32" t="s">
        <v>86</v>
      </c>
      <c r="G18" s="30" t="s">
        <v>87</v>
      </c>
      <c r="H18" s="319" t="s">
        <v>198</v>
      </c>
      <c r="I18" s="29"/>
      <c r="J18" s="364" t="s">
        <v>132</v>
      </c>
      <c r="K18" s="365">
        <f>(K17/K13)</f>
        <v>1.6518650088809948E-2</v>
      </c>
      <c r="L18" s="261">
        <f>K18*100</f>
        <v>1.6518650088809947</v>
      </c>
    </row>
    <row r="19" spans="2:12" ht="20.100000000000001" customHeight="1" thickBot="1">
      <c r="B19" s="22" t="s">
        <v>88</v>
      </c>
      <c r="C19" s="89">
        <f>Well!N7</f>
        <v>50</v>
      </c>
      <c r="E19" s="93">
        <f>E17</f>
        <v>1682388</v>
      </c>
      <c r="F19" s="355">
        <f>(max*rf_3*E19/1000)/365</f>
        <v>948.56308030356172</v>
      </c>
      <c r="G19" s="356">
        <f>F19*allow_ratio3</f>
        <v>616.75571481337579</v>
      </c>
      <c r="H19" s="320">
        <f>G19-F21</f>
        <v>216.75571481337579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290">
        <f>Well!$I$7</f>
        <v>150</v>
      </c>
      <c r="F21" s="291">
        <f>Well!O7</f>
        <v>400</v>
      </c>
      <c r="G21" s="31">
        <f>G19-E21-F21</f>
        <v>66.755714813375789</v>
      </c>
    </row>
    <row r="22" spans="2:12" ht="20.100000000000001" customHeight="1" thickBot="1">
      <c r="B22" s="79" t="s">
        <v>184</v>
      </c>
      <c r="C22" s="92">
        <f>C21-C20</f>
        <v>9.8000000000000007</v>
      </c>
      <c r="E22" s="447">
        <f>E21+F21</f>
        <v>550</v>
      </c>
      <c r="F22" s="448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41" t="s">
        <v>113</v>
      </c>
      <c r="C25" s="442"/>
      <c r="D25" s="370" t="s">
        <v>122</v>
      </c>
      <c r="E25" s="370" t="s">
        <v>123</v>
      </c>
      <c r="F25" s="370" t="s">
        <v>114</v>
      </c>
      <c r="G25" s="370" t="s">
        <v>115</v>
      </c>
      <c r="H25" s="370" t="s">
        <v>138</v>
      </c>
      <c r="I25" s="370" t="s">
        <v>116</v>
      </c>
      <c r="J25" s="371" t="s">
        <v>117</v>
      </c>
      <c r="K25" s="372" t="s">
        <v>118</v>
      </c>
    </row>
    <row r="26" spans="2:12" ht="25.5" customHeight="1">
      <c r="B26" s="443" t="s">
        <v>61</v>
      </c>
      <c r="C26" s="373" t="s">
        <v>120</v>
      </c>
      <c r="D26" s="374">
        <f>C20</f>
        <v>31.7</v>
      </c>
      <c r="E26" s="375">
        <f>Recharge!E30</f>
        <v>20.579410000000003</v>
      </c>
      <c r="F26" s="376" t="s">
        <v>242</v>
      </c>
      <c r="G26" s="374" t="s">
        <v>243</v>
      </c>
      <c r="H26" s="377">
        <f>L18</f>
        <v>1.6518650088809947</v>
      </c>
      <c r="I26" s="374" t="s">
        <v>242</v>
      </c>
      <c r="J26" s="374">
        <f>(E7/C14)/864</f>
        <v>5.2261005523066928E-5</v>
      </c>
      <c r="K26" s="378" t="s">
        <v>227</v>
      </c>
    </row>
    <row r="27" spans="2:12" ht="25.5" customHeight="1">
      <c r="B27" s="443"/>
      <c r="C27" s="373" t="s">
        <v>121</v>
      </c>
      <c r="D27" s="373">
        <v>1</v>
      </c>
      <c r="E27" s="373">
        <v>8</v>
      </c>
      <c r="F27" s="373">
        <v>3</v>
      </c>
      <c r="G27" s="373">
        <v>3</v>
      </c>
      <c r="H27" s="373">
        <v>10</v>
      </c>
      <c r="I27" s="373">
        <v>4</v>
      </c>
      <c r="J27" s="373">
        <v>2</v>
      </c>
      <c r="K27" s="378" t="s">
        <v>228</v>
      </c>
    </row>
    <row r="28" spans="2:12" ht="25.5" customHeight="1">
      <c r="B28" s="443"/>
      <c r="C28" s="391" t="s">
        <v>223</v>
      </c>
      <c r="D28" s="392">
        <v>5</v>
      </c>
      <c r="E28" s="392">
        <v>4</v>
      </c>
      <c r="F28" s="392">
        <v>3</v>
      </c>
      <c r="G28" s="392">
        <v>2</v>
      </c>
      <c r="H28" s="392">
        <v>1</v>
      </c>
      <c r="I28" s="392">
        <v>5</v>
      </c>
      <c r="J28" s="392">
        <v>3</v>
      </c>
      <c r="K28" s="393"/>
    </row>
    <row r="29" spans="2:12" ht="25.5" customHeight="1">
      <c r="B29" s="443"/>
      <c r="C29" s="391" t="s">
        <v>224</v>
      </c>
      <c r="D29" s="394">
        <v>5</v>
      </c>
      <c r="E29" s="394">
        <v>4</v>
      </c>
      <c r="F29" s="394">
        <v>3</v>
      </c>
      <c r="G29" s="394">
        <v>5</v>
      </c>
      <c r="H29" s="394">
        <v>3</v>
      </c>
      <c r="I29" s="394">
        <v>4</v>
      </c>
      <c r="J29" s="394">
        <v>2</v>
      </c>
      <c r="K29" s="393"/>
    </row>
    <row r="30" spans="2:12" ht="25.5" customHeight="1">
      <c r="B30" s="443"/>
      <c r="C30" s="379" t="s">
        <v>225</v>
      </c>
      <c r="D30" s="380">
        <f>D27*D28</f>
        <v>5</v>
      </c>
      <c r="E30" s="380">
        <f t="shared" ref="E30:J30" si="0">E27*E28</f>
        <v>32</v>
      </c>
      <c r="F30" s="380">
        <f t="shared" si="0"/>
        <v>9</v>
      </c>
      <c r="G30" s="380">
        <f t="shared" si="0"/>
        <v>6</v>
      </c>
      <c r="H30" s="380">
        <f t="shared" si="0"/>
        <v>10</v>
      </c>
      <c r="I30" s="380">
        <f t="shared" si="0"/>
        <v>20</v>
      </c>
      <c r="J30" s="380">
        <f t="shared" si="0"/>
        <v>6</v>
      </c>
      <c r="K30" s="381">
        <f>SUM(D30:J30)</f>
        <v>88</v>
      </c>
    </row>
    <row r="31" spans="2:12" ht="25.5" customHeight="1" thickBot="1">
      <c r="B31" s="444"/>
      <c r="C31" s="382" t="s">
        <v>226</v>
      </c>
      <c r="D31" s="383">
        <f t="shared" ref="D31:J31" si="1">D27*D29</f>
        <v>5</v>
      </c>
      <c r="E31" s="383">
        <f t="shared" si="1"/>
        <v>32</v>
      </c>
      <c r="F31" s="383">
        <f t="shared" si="1"/>
        <v>9</v>
      </c>
      <c r="G31" s="383">
        <f t="shared" si="1"/>
        <v>15</v>
      </c>
      <c r="H31" s="383">
        <f t="shared" si="1"/>
        <v>30</v>
      </c>
      <c r="I31" s="383">
        <f t="shared" si="1"/>
        <v>16</v>
      </c>
      <c r="J31" s="383">
        <f t="shared" si="1"/>
        <v>4</v>
      </c>
      <c r="K31" s="384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33123" r:id="rId4" name="CommandButton6">
          <controlPr defaultSize="0" autoLine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133123" r:id="rId4" name="CommandButton6"/>
      </mc:Fallback>
    </mc:AlternateContent>
    <mc:AlternateContent xmlns:mc="http://schemas.openxmlformats.org/markup-compatibility/2006">
      <mc:Choice Requires="x14">
        <control shapeId="133122" r:id="rId6" name="Frame1">
          <controlPr defaultSize="0" autoLine="0" r:id="rId7">
            <anchor moveWithCells="1">
              <from>
                <xdr:col>9</xdr:col>
                <xdr:colOff>28575</xdr:colOff>
                <xdr:row>18</xdr:row>
                <xdr:rowOff>104775</xdr:rowOff>
              </from>
              <to>
                <xdr:col>10</xdr:col>
                <xdr:colOff>1228725</xdr:colOff>
                <xdr:row>21</xdr:row>
                <xdr:rowOff>19050</xdr:rowOff>
              </to>
            </anchor>
          </controlPr>
        </control>
      </mc:Choice>
      <mc:Fallback>
        <control shapeId="133122" r:id="rId6" name="Frame1"/>
      </mc:Fallback>
    </mc:AlternateContent>
    <mc:AlternateContent xmlns:mc="http://schemas.openxmlformats.org/markup-compatibility/2006">
      <mc:Choice Requires="x14">
        <control shapeId="133121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33121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02B75BE-8214-4DAC-A724-405FA00D394E}">
          <x14:formula1>
            <xm:f>drastic!$A$4:$A$13</xm:f>
          </x14:formula1>
          <xm:sqref>F26</xm:sqref>
        </x14:dataValidation>
        <x14:dataValidation type="list" allowBlank="1" showInputMessage="1" showErrorMessage="1" xr:uid="{88FFDCB2-B044-45CD-8C5F-75B491D3AB15}">
          <x14:formula1>
            <xm:f>drastic!$D$4:$D$14</xm:f>
          </x14:formula1>
          <xm:sqref>G26</xm:sqref>
        </x14:dataValidation>
        <x14:dataValidation type="list" allowBlank="1" showInputMessage="1" showErrorMessage="1" xr:uid="{6A9A62F7-56D8-4700-B0C5-7537BE3AE133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30"/>
  <dimension ref="B1:J44"/>
  <sheetViews>
    <sheetView workbookViewId="0">
      <selection activeCell="L19" sqref="L19"/>
    </sheetView>
  </sheetViews>
  <sheetFormatPr defaultColWidth="8.88671875" defaultRowHeight="16.5"/>
  <cols>
    <col min="1" max="1" width="8.88671875" style="47"/>
    <col min="2" max="2" width="13.109375" style="47" customWidth="1"/>
    <col min="3" max="3" width="10" style="47" customWidth="1"/>
    <col min="4" max="4" width="8.77734375" style="47" customWidth="1"/>
    <col min="5" max="6" width="8.77734375" style="48" customWidth="1"/>
    <col min="7" max="13" width="8.77734375" style="47" customWidth="1"/>
    <col min="14" max="16384" width="8.88671875" style="47"/>
  </cols>
  <sheetData>
    <row r="1" spans="2:9" s="42" customFormat="1" ht="18" customHeight="1">
      <c r="E1" s="41"/>
      <c r="F1" s="41"/>
    </row>
    <row r="2" spans="2:9" s="42" customFormat="1" ht="18" customHeight="1">
      <c r="B2" s="42" t="s">
        <v>93</v>
      </c>
      <c r="E2" s="41"/>
      <c r="F2" s="41"/>
    </row>
    <row r="3" spans="2:9" s="42" customFormat="1" ht="18" customHeight="1">
      <c r="E3" s="41"/>
      <c r="F3" s="41"/>
    </row>
    <row r="4" spans="2:9" s="42" customFormat="1" ht="18" customHeight="1">
      <c r="B4" s="57" t="s">
        <v>106</v>
      </c>
      <c r="E4" s="41"/>
      <c r="F4" s="41"/>
    </row>
    <row r="5" spans="2:9" s="42" customFormat="1" ht="18" customHeight="1" thickBot="1">
      <c r="E5" s="41"/>
      <c r="F5" s="41"/>
    </row>
    <row r="6" spans="2:9" s="42" customFormat="1" ht="26.1" customHeight="1" thickBot="1">
      <c r="B6" s="193" t="s">
        <v>94</v>
      </c>
      <c r="C6" s="194">
        <v>43577.375</v>
      </c>
      <c r="D6" s="195"/>
      <c r="E6" s="41"/>
      <c r="F6" s="41"/>
    </row>
    <row r="7" spans="2:9" s="42" customFormat="1" ht="26.1" customHeight="1" thickBot="1">
      <c r="B7" s="196" t="s">
        <v>95</v>
      </c>
      <c r="C7" s="197">
        <v>14</v>
      </c>
      <c r="D7" s="195"/>
      <c r="E7" s="41"/>
      <c r="F7" s="41"/>
    </row>
    <row r="8" spans="2:9" s="42" customFormat="1" ht="26.1" customHeight="1">
      <c r="B8" s="198" t="s">
        <v>96</v>
      </c>
      <c r="C8" s="199">
        <v>226</v>
      </c>
      <c r="D8" s="198">
        <v>229</v>
      </c>
      <c r="E8" s="41"/>
      <c r="F8" s="41"/>
    </row>
    <row r="9" spans="2:9" s="42" customFormat="1" ht="26.1" customHeight="1">
      <c r="B9" s="198" t="s">
        <v>97</v>
      </c>
      <c r="C9" s="199">
        <v>7.9</v>
      </c>
      <c r="D9" s="198">
        <v>7.8</v>
      </c>
      <c r="E9" s="41"/>
      <c r="F9" s="41"/>
    </row>
    <row r="10" spans="2:9" s="42" customFormat="1" ht="26.1" customHeight="1">
      <c r="B10" s="198"/>
      <c r="C10" s="199"/>
      <c r="D10" s="195"/>
      <c r="E10" s="41"/>
      <c r="F10" s="41"/>
    </row>
    <row r="11" spans="2:9" s="42" customFormat="1" ht="18" customHeight="1" thickBot="1">
      <c r="E11" s="41"/>
      <c r="F11" s="41"/>
    </row>
    <row r="12" spans="2:9" s="41" customFormat="1" ht="26.1" customHeight="1">
      <c r="B12" s="449" t="s">
        <v>98</v>
      </c>
      <c r="C12" s="451"/>
      <c r="D12" s="449" t="s">
        <v>99</v>
      </c>
      <c r="E12" s="450"/>
      <c r="F12" s="451"/>
      <c r="G12" s="449" t="s">
        <v>175</v>
      </c>
      <c r="H12" s="450"/>
      <c r="I12" s="451"/>
    </row>
    <row r="13" spans="2:9" s="41" customFormat="1" ht="26.1" customHeight="1">
      <c r="B13" s="216" t="s">
        <v>94</v>
      </c>
      <c r="C13" s="217" t="s">
        <v>100</v>
      </c>
      <c r="D13" s="216" t="s">
        <v>101</v>
      </c>
      <c r="E13" s="202" t="s">
        <v>102</v>
      </c>
      <c r="F13" s="217" t="s">
        <v>103</v>
      </c>
      <c r="G13" s="216" t="s">
        <v>101</v>
      </c>
      <c r="H13" s="202" t="s">
        <v>102</v>
      </c>
      <c r="I13" s="217" t="s">
        <v>103</v>
      </c>
    </row>
    <row r="14" spans="2:9" s="41" customFormat="1" ht="26.1" customHeight="1">
      <c r="B14" s="203">
        <f>$C$6+C14/1440</f>
        <v>43577.378472222219</v>
      </c>
      <c r="C14" s="78">
        <v>5</v>
      </c>
      <c r="D14" s="76">
        <f t="shared" ref="D14:D23" ca="1" si="0">baseTemp+D31</f>
        <v>13.7</v>
      </c>
      <c r="E14" s="204">
        <f t="shared" ref="E14:E23" ca="1" si="1">$C$8+E31</f>
        <v>229</v>
      </c>
      <c r="F14" s="205">
        <f t="shared" ref="F14:F23" ca="1" si="2">$C$9+F31</f>
        <v>7.9700000000000006</v>
      </c>
      <c r="G14" s="206">
        <f t="shared" ref="G14:G23" ca="1" si="3">baseTemp+H31</f>
        <v>13.8</v>
      </c>
      <c r="H14" s="204">
        <f ca="1">$D$8+I31</f>
        <v>226</v>
      </c>
      <c r="I14" s="205">
        <f ca="1">$D$9+J31</f>
        <v>7.71</v>
      </c>
    </row>
    <row r="15" spans="2:9" s="41" customFormat="1" ht="26.1" customHeight="1">
      <c r="B15" s="207">
        <f t="shared" ref="B15:B23" si="4">$C$6+C15/1440</f>
        <v>43577.395833333336</v>
      </c>
      <c r="C15" s="75">
        <v>30</v>
      </c>
      <c r="D15" s="73">
        <f t="shared" ca="1" si="0"/>
        <v>14.2</v>
      </c>
      <c r="E15" s="208">
        <f t="shared" ca="1" si="1"/>
        <v>223</v>
      </c>
      <c r="F15" s="209">
        <f t="shared" ca="1" si="2"/>
        <v>7.8100000000000005</v>
      </c>
      <c r="G15" s="206">
        <f t="shared" ca="1" si="3"/>
        <v>13.9</v>
      </c>
      <c r="H15" s="204">
        <f t="shared" ref="H15:H23" ca="1" si="5">$D$8+I32</f>
        <v>231</v>
      </c>
      <c r="I15" s="205">
        <f t="shared" ref="I15:I22" ca="1" si="6">$D$9+J32</f>
        <v>7.91</v>
      </c>
    </row>
    <row r="16" spans="2:9" s="41" customFormat="1" ht="26.1" customHeight="1">
      <c r="B16" s="207">
        <f t="shared" si="4"/>
        <v>43577.416666666664</v>
      </c>
      <c r="C16" s="75">
        <v>60</v>
      </c>
      <c r="D16" s="73">
        <f t="shared" ca="1" si="0"/>
        <v>13.9</v>
      </c>
      <c r="E16" s="208">
        <f t="shared" ca="1" si="1"/>
        <v>229</v>
      </c>
      <c r="F16" s="209">
        <f t="shared" ca="1" si="2"/>
        <v>7.83</v>
      </c>
      <c r="G16" s="206">
        <f t="shared" ca="1" si="3"/>
        <v>13.8</v>
      </c>
      <c r="H16" s="204">
        <f t="shared" ca="1" si="5"/>
        <v>226</v>
      </c>
      <c r="I16" s="205">
        <f t="shared" ca="1" si="6"/>
        <v>7.72</v>
      </c>
    </row>
    <row r="17" spans="2:10" s="41" customFormat="1" ht="26.1" customHeight="1">
      <c r="B17" s="207">
        <f t="shared" si="4"/>
        <v>43577.458333333336</v>
      </c>
      <c r="C17" s="75">
        <v>120</v>
      </c>
      <c r="D17" s="73">
        <f t="shared" ca="1" si="0"/>
        <v>13.8</v>
      </c>
      <c r="E17" s="208">
        <f t="shared" ca="1" si="1"/>
        <v>229</v>
      </c>
      <c r="F17" s="209">
        <f t="shared" ca="1" si="2"/>
        <v>7.9700000000000006</v>
      </c>
      <c r="G17" s="206">
        <f t="shared" ca="1" si="3"/>
        <v>13.8</v>
      </c>
      <c r="H17" s="204">
        <f t="shared" ca="1" si="5"/>
        <v>232</v>
      </c>
      <c r="I17" s="205">
        <f t="shared" ca="1" si="6"/>
        <v>7.6899999999999995</v>
      </c>
    </row>
    <row r="18" spans="2:10" s="41" customFormat="1" ht="26.1" customHeight="1">
      <c r="B18" s="207">
        <f t="shared" si="4"/>
        <v>43577.541666666664</v>
      </c>
      <c r="C18" s="75">
        <v>240</v>
      </c>
      <c r="D18" s="73">
        <f t="shared" ca="1" si="0"/>
        <v>14.3</v>
      </c>
      <c r="E18" s="208">
        <f t="shared" ca="1" si="1"/>
        <v>223</v>
      </c>
      <c r="F18" s="209">
        <f t="shared" ca="1" si="2"/>
        <v>7.98</v>
      </c>
      <c r="G18" s="206">
        <f t="shared" ca="1" si="3"/>
        <v>14.2</v>
      </c>
      <c r="H18" s="204">
        <f t="shared" ca="1" si="5"/>
        <v>227</v>
      </c>
      <c r="I18" s="205">
        <f t="shared" ca="1" si="6"/>
        <v>7.91</v>
      </c>
    </row>
    <row r="19" spans="2:10" s="41" customFormat="1" ht="26.1" customHeight="1">
      <c r="B19" s="207">
        <f t="shared" si="4"/>
        <v>43577.708333333336</v>
      </c>
      <c r="C19" s="75">
        <v>480</v>
      </c>
      <c r="D19" s="73">
        <f t="shared" ca="1" si="0"/>
        <v>13.7</v>
      </c>
      <c r="E19" s="208">
        <f t="shared" ca="1" si="1"/>
        <v>228</v>
      </c>
      <c r="F19" s="209">
        <f t="shared" ca="1" si="2"/>
        <v>7.9700000000000006</v>
      </c>
      <c r="G19" s="206">
        <f t="shared" ca="1" si="3"/>
        <v>13.8</v>
      </c>
      <c r="H19" s="204">
        <f t="shared" ca="1" si="5"/>
        <v>232</v>
      </c>
      <c r="I19" s="205">
        <f t="shared" ca="1" si="6"/>
        <v>7.68</v>
      </c>
    </row>
    <row r="20" spans="2:10" s="42" customFormat="1" ht="26.1" customHeight="1">
      <c r="B20" s="207">
        <f t="shared" si="4"/>
        <v>43578.375</v>
      </c>
      <c r="C20" s="75">
        <v>1440</v>
      </c>
      <c r="D20" s="73">
        <f t="shared" ca="1" si="0"/>
        <v>14.1</v>
      </c>
      <c r="E20" s="208">
        <f t="shared" ca="1" si="1"/>
        <v>228</v>
      </c>
      <c r="F20" s="209">
        <f t="shared" ca="1" si="2"/>
        <v>7.78</v>
      </c>
      <c r="G20" s="206">
        <f t="shared" ca="1" si="3"/>
        <v>14.2</v>
      </c>
      <c r="H20" s="204">
        <f t="shared" ca="1" si="5"/>
        <v>232</v>
      </c>
      <c r="I20" s="205">
        <f t="shared" ca="1" si="6"/>
        <v>7.7299999999999995</v>
      </c>
    </row>
    <row r="21" spans="2:10" s="42" customFormat="1" ht="26.1" customHeight="1">
      <c r="B21" s="207">
        <f t="shared" si="4"/>
        <v>43578.541666666664</v>
      </c>
      <c r="C21" s="75">
        <v>1680</v>
      </c>
      <c r="D21" s="73">
        <f t="shared" ca="1" si="0"/>
        <v>14.3</v>
      </c>
      <c r="E21" s="208">
        <f t="shared" ca="1" si="1"/>
        <v>224</v>
      </c>
      <c r="F21" s="209">
        <f t="shared" ca="1" si="2"/>
        <v>7.9700000000000006</v>
      </c>
      <c r="G21" s="206">
        <f t="shared" ca="1" si="3"/>
        <v>14.2</v>
      </c>
      <c r="H21" s="204">
        <f t="shared" ca="1" si="5"/>
        <v>232</v>
      </c>
      <c r="I21" s="205">
        <f t="shared" ca="1" si="6"/>
        <v>7.89</v>
      </c>
    </row>
    <row r="22" spans="2:10" s="42" customFormat="1" ht="26.1" customHeight="1">
      <c r="B22" s="207">
        <f t="shared" si="4"/>
        <v>43578.708333333336</v>
      </c>
      <c r="C22" s="75">
        <v>1920</v>
      </c>
      <c r="D22" s="73">
        <f t="shared" ca="1" si="0"/>
        <v>14.2</v>
      </c>
      <c r="E22" s="208">
        <f t="shared" ca="1" si="1"/>
        <v>225</v>
      </c>
      <c r="F22" s="209">
        <f t="shared" ca="1" si="2"/>
        <v>7.83</v>
      </c>
      <c r="G22" s="206">
        <f t="shared" ca="1" si="3"/>
        <v>13.9</v>
      </c>
      <c r="H22" s="204">
        <f t="shared" ca="1" si="5"/>
        <v>232</v>
      </c>
      <c r="I22" s="205">
        <f t="shared" ca="1" si="6"/>
        <v>7.71</v>
      </c>
    </row>
    <row r="23" spans="2:10" s="42" customFormat="1" ht="26.1" customHeight="1">
      <c r="B23" s="210">
        <f t="shared" si="4"/>
        <v>43579.375</v>
      </c>
      <c r="C23" s="211">
        <v>2880</v>
      </c>
      <c r="D23" s="105">
        <f t="shared" ca="1" si="0"/>
        <v>14.3</v>
      </c>
      <c r="E23" s="212">
        <f t="shared" ca="1" si="1"/>
        <v>228</v>
      </c>
      <c r="F23" s="213">
        <f t="shared" ca="1" si="2"/>
        <v>8.01</v>
      </c>
      <c r="G23" s="214">
        <f t="shared" ca="1" si="3"/>
        <v>13.7</v>
      </c>
      <c r="H23" s="215">
        <f t="shared" ca="1" si="5"/>
        <v>230</v>
      </c>
      <c r="I23" s="213">
        <f t="shared" ref="I23" ca="1" si="7">$D$9+J40-0.02</f>
        <v>7.71</v>
      </c>
    </row>
    <row r="24" spans="2:10" s="42" customFormat="1" ht="26.1" customHeight="1">
      <c r="B24" s="452" t="s">
        <v>45</v>
      </c>
      <c r="C24" s="453"/>
      <c r="D24" s="216">
        <f ca="1">MAX(D14:D23)</f>
        <v>14.3</v>
      </c>
      <c r="E24" s="202">
        <f t="shared" ref="E24:F24" ca="1" si="8">MAX(E14:E23)</f>
        <v>229</v>
      </c>
      <c r="F24" s="217">
        <f t="shared" ca="1" si="8"/>
        <v>8.01</v>
      </c>
      <c r="G24" s="216">
        <f ca="1">MAX(G14:G23)</f>
        <v>14.2</v>
      </c>
      <c r="H24" s="202">
        <f t="shared" ref="H24:I24" ca="1" si="9">MAX(H14:H23)</f>
        <v>232</v>
      </c>
      <c r="I24" s="217">
        <f t="shared" ca="1" si="9"/>
        <v>7.91</v>
      </c>
      <c r="J24" s="41"/>
    </row>
    <row r="25" spans="2:10" s="42" customFormat="1" ht="26.1" customHeight="1">
      <c r="B25" s="452" t="s">
        <v>46</v>
      </c>
      <c r="C25" s="453"/>
      <c r="D25" s="216">
        <f ca="1">MIN(D14:D23)</f>
        <v>13.7</v>
      </c>
      <c r="E25" s="202">
        <f t="shared" ref="E25:F25" ca="1" si="10">MIN(E14:E23)</f>
        <v>223</v>
      </c>
      <c r="F25" s="218">
        <f t="shared" ca="1" si="10"/>
        <v>7.78</v>
      </c>
      <c r="G25" s="216">
        <f ca="1">MIN(G14:G23)</f>
        <v>13.7</v>
      </c>
      <c r="H25" s="202">
        <f t="shared" ref="H25:I25" ca="1" si="11">MIN(H14:H23)</f>
        <v>226</v>
      </c>
      <c r="I25" s="217">
        <f t="shared" ca="1" si="11"/>
        <v>7.68</v>
      </c>
      <c r="J25" s="41"/>
    </row>
    <row r="26" spans="2:10" s="42" customFormat="1" ht="26.1" customHeight="1" thickBot="1">
      <c r="B26" s="454" t="s">
        <v>104</v>
      </c>
      <c r="C26" s="455"/>
      <c r="D26" s="219">
        <f ca="1">D24-D25</f>
        <v>0.60000000000000142</v>
      </c>
      <c r="E26" s="220">
        <f t="shared" ref="E26:F26" ca="1" si="12">E24-E25</f>
        <v>6</v>
      </c>
      <c r="F26" s="221">
        <f t="shared" ca="1" si="12"/>
        <v>0.22999999999999954</v>
      </c>
      <c r="G26" s="219">
        <f ca="1">G24-G25</f>
        <v>0.5</v>
      </c>
      <c r="H26" s="220">
        <f t="shared" ref="H26:I26" ca="1" si="13">H24-H25</f>
        <v>6</v>
      </c>
      <c r="I26" s="221">
        <f t="shared" ca="1" si="13"/>
        <v>0.23000000000000043</v>
      </c>
      <c r="J26" s="41"/>
    </row>
    <row r="27" spans="2:10" s="42" customFormat="1" ht="18" customHeight="1">
      <c r="E27" s="41"/>
      <c r="F27" s="41"/>
    </row>
    <row r="28" spans="2:10" s="42" customFormat="1" ht="18" customHeight="1" thickBot="1">
      <c r="E28" s="41"/>
      <c r="F28" s="41"/>
    </row>
    <row r="29" spans="2:10" s="42" customFormat="1" ht="18" customHeight="1">
      <c r="D29" s="449" t="s">
        <v>99</v>
      </c>
      <c r="E29" s="450"/>
      <c r="F29" s="451"/>
      <c r="H29" s="449" t="s">
        <v>175</v>
      </c>
      <c r="I29" s="450"/>
      <c r="J29" s="451"/>
    </row>
    <row r="30" spans="2:10" s="42" customFormat="1" ht="18" customHeight="1">
      <c r="D30" s="216" t="s">
        <v>101</v>
      </c>
      <c r="E30" s="202" t="s">
        <v>102</v>
      </c>
      <c r="F30" s="217" t="s">
        <v>103</v>
      </c>
      <c r="H30" s="216" t="s">
        <v>101</v>
      </c>
      <c r="I30" s="202" t="s">
        <v>102</v>
      </c>
      <c r="J30" s="217" t="s">
        <v>103</v>
      </c>
    </row>
    <row r="31" spans="2:10" s="42" customFormat="1" ht="18" customHeight="1">
      <c r="D31" s="222">
        <f ca="1">ROUND(myRandBetween(1,3,10), 1)</f>
        <v>-0.3</v>
      </c>
      <c r="E31" s="74">
        <f ca="1">myRandBetween(1,3,1)</f>
        <v>3</v>
      </c>
      <c r="F31" s="223">
        <f ca="1">ROUND(myRandBetween(7,12,100), 2)</f>
        <v>7.0000000000000007E-2</v>
      </c>
      <c r="H31" s="224">
        <f ca="1">ROUND(myRandBetween(1,3,10), 1)</f>
        <v>-0.2</v>
      </c>
      <c r="I31" s="77">
        <f ca="1">myRandBetween(1,3,1)</f>
        <v>-3</v>
      </c>
      <c r="J31" s="225">
        <f ca="1">ROUND(myRandBetween(7,12,100), 2)</f>
        <v>-0.09</v>
      </c>
    </row>
    <row r="32" spans="2:10" s="42" customFormat="1" ht="18" customHeight="1">
      <c r="D32" s="222">
        <f t="shared" ref="D32:D40" ca="1" si="14">ROUND(myRandBetween(1,3,10), 1)</f>
        <v>0.2</v>
      </c>
      <c r="E32" s="74">
        <f t="shared" ref="E32:E40" ca="1" si="15">myRandBetween(1,3,1)</f>
        <v>-3</v>
      </c>
      <c r="F32" s="223">
        <f t="shared" ref="F32:F40" ca="1" si="16">ROUND(myRandBetween(7,12,100), 2)</f>
        <v>-0.09</v>
      </c>
      <c r="H32" s="222">
        <f t="shared" ref="H32:H40" ca="1" si="17">ROUND(myRandBetween(1,3,10), 1)</f>
        <v>-0.1</v>
      </c>
      <c r="I32" s="74">
        <f t="shared" ref="I32:I40" ca="1" si="18">myRandBetween(1,3,1)</f>
        <v>2</v>
      </c>
      <c r="J32" s="225">
        <f t="shared" ref="J32:J40" ca="1" si="19">ROUND(myRandBetween(7,12,100), 2)</f>
        <v>0.11</v>
      </c>
    </row>
    <row r="33" spans="4:10" s="42" customFormat="1" ht="18" customHeight="1">
      <c r="D33" s="222">
        <f ca="1">ROUND(myRandBetween(1,3,10), 1)</f>
        <v>-0.1</v>
      </c>
      <c r="E33" s="74">
        <f t="shared" ca="1" si="15"/>
        <v>3</v>
      </c>
      <c r="F33" s="223">
        <f t="shared" ca="1" si="16"/>
        <v>-7.0000000000000007E-2</v>
      </c>
      <c r="H33" s="222">
        <f t="shared" ca="1" si="17"/>
        <v>-0.2</v>
      </c>
      <c r="I33" s="74">
        <f t="shared" ca="1" si="18"/>
        <v>-3</v>
      </c>
      <c r="J33" s="225">
        <f t="shared" ca="1" si="19"/>
        <v>-0.08</v>
      </c>
    </row>
    <row r="34" spans="4:10" s="42" customFormat="1" ht="18" customHeight="1">
      <c r="D34" s="222">
        <f t="shared" ca="1" si="14"/>
        <v>-0.2</v>
      </c>
      <c r="E34" s="74">
        <f t="shared" ca="1" si="15"/>
        <v>3</v>
      </c>
      <c r="F34" s="223">
        <f t="shared" ca="1" si="16"/>
        <v>7.0000000000000007E-2</v>
      </c>
      <c r="H34" s="222">
        <f t="shared" ca="1" si="17"/>
        <v>-0.2</v>
      </c>
      <c r="I34" s="74">
        <f t="shared" ca="1" si="18"/>
        <v>3</v>
      </c>
      <c r="J34" s="225">
        <f t="shared" ca="1" si="19"/>
        <v>-0.11</v>
      </c>
    </row>
    <row r="35" spans="4:10" s="42" customFormat="1" ht="18" customHeight="1">
      <c r="D35" s="222">
        <f t="shared" ca="1" si="14"/>
        <v>0.3</v>
      </c>
      <c r="E35" s="74">
        <f t="shared" ca="1" si="15"/>
        <v>-3</v>
      </c>
      <c r="F35" s="223">
        <f t="shared" ca="1" si="16"/>
        <v>0.08</v>
      </c>
      <c r="H35" s="222">
        <f t="shared" ca="1" si="17"/>
        <v>0.2</v>
      </c>
      <c r="I35" s="74">
        <f t="shared" ca="1" si="18"/>
        <v>-2</v>
      </c>
      <c r="J35" s="225">
        <f t="shared" ca="1" si="19"/>
        <v>0.11</v>
      </c>
    </row>
    <row r="36" spans="4:10" s="42" customFormat="1" ht="18" customHeight="1">
      <c r="D36" s="222">
        <f t="shared" ca="1" si="14"/>
        <v>-0.3</v>
      </c>
      <c r="E36" s="74">
        <f t="shared" ca="1" si="15"/>
        <v>2</v>
      </c>
      <c r="F36" s="223">
        <f t="shared" ca="1" si="16"/>
        <v>7.0000000000000007E-2</v>
      </c>
      <c r="H36" s="222">
        <f t="shared" ca="1" si="17"/>
        <v>-0.2</v>
      </c>
      <c r="I36" s="74">
        <f t="shared" ca="1" si="18"/>
        <v>3</v>
      </c>
      <c r="J36" s="225">
        <f t="shared" ca="1" si="19"/>
        <v>-0.12</v>
      </c>
    </row>
    <row r="37" spans="4:10" s="42" customFormat="1" ht="18" customHeight="1">
      <c r="D37" s="222">
        <f t="shared" ca="1" si="14"/>
        <v>0.1</v>
      </c>
      <c r="E37" s="74">
        <f t="shared" ca="1" si="15"/>
        <v>2</v>
      </c>
      <c r="F37" s="223">
        <f t="shared" ca="1" si="16"/>
        <v>-0.12</v>
      </c>
      <c r="H37" s="222">
        <f t="shared" ca="1" si="17"/>
        <v>0.2</v>
      </c>
      <c r="I37" s="74">
        <f t="shared" ca="1" si="18"/>
        <v>3</v>
      </c>
      <c r="J37" s="225">
        <f t="shared" ca="1" si="19"/>
        <v>-7.0000000000000007E-2</v>
      </c>
    </row>
    <row r="38" spans="4:10" ht="18" customHeight="1">
      <c r="D38" s="222">
        <f t="shared" ca="1" si="14"/>
        <v>0.3</v>
      </c>
      <c r="E38" s="74">
        <f t="shared" ca="1" si="15"/>
        <v>-2</v>
      </c>
      <c r="F38" s="223">
        <f t="shared" ca="1" si="16"/>
        <v>7.0000000000000007E-2</v>
      </c>
      <c r="H38" s="222">
        <f t="shared" ca="1" si="17"/>
        <v>0.2</v>
      </c>
      <c r="I38" s="74">
        <f t="shared" ca="1" si="18"/>
        <v>3</v>
      </c>
      <c r="J38" s="225">
        <f t="shared" ca="1" si="19"/>
        <v>0.09</v>
      </c>
    </row>
    <row r="39" spans="4:10" ht="18" customHeight="1">
      <c r="D39" s="222">
        <f t="shared" ca="1" si="14"/>
        <v>0.2</v>
      </c>
      <c r="E39" s="74">
        <f t="shared" ca="1" si="15"/>
        <v>-1</v>
      </c>
      <c r="F39" s="223">
        <f t="shared" ca="1" si="16"/>
        <v>-7.0000000000000007E-2</v>
      </c>
      <c r="H39" s="222">
        <f t="shared" ca="1" si="17"/>
        <v>-0.1</v>
      </c>
      <c r="I39" s="74">
        <f t="shared" ca="1" si="18"/>
        <v>3</v>
      </c>
      <c r="J39" s="225">
        <f t="shared" ca="1" si="19"/>
        <v>-0.09</v>
      </c>
    </row>
    <row r="40" spans="4:10" ht="18" customHeight="1" thickBot="1">
      <c r="D40" s="226">
        <f t="shared" ca="1" si="14"/>
        <v>0.3</v>
      </c>
      <c r="E40" s="94">
        <f t="shared" ca="1" si="15"/>
        <v>2</v>
      </c>
      <c r="F40" s="227">
        <f t="shared" ca="1" si="16"/>
        <v>0.11</v>
      </c>
      <c r="H40" s="226">
        <f t="shared" ca="1" si="17"/>
        <v>-0.3</v>
      </c>
      <c r="I40" s="94">
        <f t="shared" ca="1" si="18"/>
        <v>1</v>
      </c>
      <c r="J40" s="228">
        <f t="shared" ca="1" si="19"/>
        <v>-7.0000000000000007E-2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7" r:id="rId4" name="CommandButton1">
          <controlPr defaultSize="0" autoLine="0" r:id="rId5">
            <anchor moveWithCells="1">
              <from>
                <xdr:col>4</xdr:col>
                <xdr:colOff>533400</xdr:colOff>
                <xdr:row>5</xdr:row>
                <xdr:rowOff>9525</xdr:rowOff>
              </from>
              <to>
                <xdr:col>6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126977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workbookViewId="0">
      <selection activeCell="Q14" sqref="Q14"/>
    </sheetView>
  </sheetViews>
  <sheetFormatPr defaultColWidth="8.88671875" defaultRowHeight="16.5"/>
  <cols>
    <col min="1" max="1" width="8.88671875" style="47"/>
    <col min="2" max="2" width="13.109375" style="47" customWidth="1"/>
    <col min="3" max="3" width="10.77734375" style="47" bestFit="1" customWidth="1"/>
    <col min="4" max="4" width="7.33203125" style="47" customWidth="1"/>
    <col min="5" max="6" width="7.33203125" style="48" customWidth="1"/>
    <col min="7" max="12" width="7.33203125" style="47" customWidth="1"/>
    <col min="13" max="23" width="6.77734375" style="47" customWidth="1"/>
    <col min="24" max="16384" width="8.88671875" style="47"/>
  </cols>
  <sheetData>
    <row r="1" spans="2:12" s="42" customFormat="1" ht="18" customHeight="1">
      <c r="E1" s="41"/>
      <c r="F1" s="41"/>
    </row>
    <row r="2" spans="2:12" s="42" customFormat="1" ht="18" customHeight="1">
      <c r="B2" s="42" t="s">
        <v>93</v>
      </c>
      <c r="E2" s="41"/>
      <c r="F2" s="41"/>
    </row>
    <row r="3" spans="2:12" s="42" customFormat="1" ht="18" customHeight="1">
      <c r="E3" s="41" t="s">
        <v>180</v>
      </c>
      <c r="F3" s="41"/>
    </row>
    <row r="4" spans="2:12" s="42" customFormat="1" ht="18" customHeight="1">
      <c r="B4" s="57" t="s">
        <v>106</v>
      </c>
      <c r="E4" s="41"/>
      <c r="F4" s="41"/>
    </row>
    <row r="5" spans="2:12" s="42" customFormat="1" ht="18" customHeight="1" thickBot="1">
      <c r="E5" s="41"/>
      <c r="F5" s="41"/>
    </row>
    <row r="6" spans="2:12" s="42" customFormat="1" ht="26.1" customHeight="1" thickBot="1">
      <c r="B6" s="193" t="s">
        <v>94</v>
      </c>
      <c r="C6" s="194">
        <v>43580.375</v>
      </c>
      <c r="D6" s="195"/>
      <c r="E6" s="41"/>
      <c r="F6" s="41"/>
    </row>
    <row r="7" spans="2:12" s="42" customFormat="1" ht="26.1" customHeight="1" thickBot="1">
      <c r="B7" s="196" t="s">
        <v>95</v>
      </c>
      <c r="C7" s="197">
        <v>14</v>
      </c>
      <c r="D7" s="195"/>
      <c r="E7" s="41"/>
      <c r="F7" s="41"/>
      <c r="I7" s="42">
        <f ca="1">RAND()</f>
        <v>0.86682873742827637</v>
      </c>
    </row>
    <row r="8" spans="2:12" s="42" customFormat="1" ht="26.1" customHeight="1">
      <c r="B8" s="198" t="s">
        <v>96</v>
      </c>
      <c r="C8" s="199">
        <v>233</v>
      </c>
      <c r="D8" s="198">
        <v>238</v>
      </c>
      <c r="E8" s="41">
        <v>231</v>
      </c>
      <c r="F8" s="41"/>
    </row>
    <row r="9" spans="2:12" s="42" customFormat="1" ht="26.1" customHeight="1">
      <c r="B9" s="198" t="s">
        <v>97</v>
      </c>
      <c r="C9" s="199">
        <v>6.2</v>
      </c>
      <c r="D9" s="198">
        <v>6.3</v>
      </c>
      <c r="E9" s="41">
        <v>6.7</v>
      </c>
      <c r="F9" s="41"/>
    </row>
    <row r="10" spans="2:12" s="42" customFormat="1" ht="26.1" customHeight="1">
      <c r="B10" s="198"/>
      <c r="C10" s="199"/>
      <c r="D10" s="195"/>
      <c r="E10" s="41"/>
      <c r="F10" s="41"/>
    </row>
    <row r="11" spans="2:12" s="42" customFormat="1" ht="18" customHeight="1" thickBot="1">
      <c r="E11" s="41"/>
      <c r="F11" s="41"/>
    </row>
    <row r="12" spans="2:12" s="41" customFormat="1" ht="27" customHeight="1">
      <c r="B12" s="449" t="s">
        <v>98</v>
      </c>
      <c r="C12" s="451"/>
      <c r="D12" s="449" t="s">
        <v>99</v>
      </c>
      <c r="E12" s="450"/>
      <c r="F12" s="451"/>
      <c r="G12" s="449" t="s">
        <v>175</v>
      </c>
      <c r="H12" s="450"/>
      <c r="I12" s="451"/>
      <c r="J12" s="456" t="s">
        <v>176</v>
      </c>
      <c r="K12" s="450"/>
      <c r="L12" s="451"/>
    </row>
    <row r="13" spans="2:12" s="41" customFormat="1" ht="27" customHeight="1">
      <c r="B13" s="200" t="s">
        <v>94</v>
      </c>
      <c r="C13" s="201" t="s">
        <v>100</v>
      </c>
      <c r="D13" s="200" t="s">
        <v>181</v>
      </c>
      <c r="E13" s="202" t="s">
        <v>197</v>
      </c>
      <c r="F13" s="201" t="s">
        <v>103</v>
      </c>
      <c r="G13" s="200" t="s">
        <v>181</v>
      </c>
      <c r="H13" s="202" t="s">
        <v>197</v>
      </c>
      <c r="I13" s="201" t="s">
        <v>103</v>
      </c>
      <c r="J13" s="229" t="s">
        <v>181</v>
      </c>
      <c r="K13" s="202" t="s">
        <v>197</v>
      </c>
      <c r="L13" s="201" t="s">
        <v>103</v>
      </c>
    </row>
    <row r="14" spans="2:12" s="41" customFormat="1" ht="27" customHeight="1">
      <c r="B14" s="203">
        <f>$C$6+C14/1440</f>
        <v>43580.378472222219</v>
      </c>
      <c r="C14" s="78">
        <v>5</v>
      </c>
      <c r="D14" s="76">
        <f t="shared" ref="D14:D23" ca="1" si="0">baseTemp+D31</f>
        <v>13.7</v>
      </c>
      <c r="E14" s="204">
        <f t="shared" ref="E14:E23" ca="1" si="1">$C$8+E31</f>
        <v>235</v>
      </c>
      <c r="F14" s="205">
        <f t="shared" ref="F14:F23" ca="1" si="2">$C$9+F31</f>
        <v>6.13</v>
      </c>
      <c r="G14" s="206">
        <f t="shared" ref="G14:G23" ca="1" si="3">baseTemp+H31</f>
        <v>13.8</v>
      </c>
      <c r="H14" s="204">
        <f ca="1">$D$8+I31</f>
        <v>237</v>
      </c>
      <c r="I14" s="205">
        <f ca="1">$D$9+J31</f>
        <v>6.2299999999999995</v>
      </c>
      <c r="J14" s="230">
        <f t="shared" ref="J14:J23" ca="1" si="4">baseTemp+L31</f>
        <v>13.9</v>
      </c>
      <c r="K14" s="204">
        <f ca="1">$E$8+M31</f>
        <v>232</v>
      </c>
      <c r="L14" s="205">
        <f ca="1">$E$9+N31</f>
        <v>6.79</v>
      </c>
    </row>
    <row r="15" spans="2:12" s="41" customFormat="1" ht="27" customHeight="1">
      <c r="B15" s="207">
        <f t="shared" ref="B15:B23" si="5">$C$6+C15/1440</f>
        <v>43580.395833333336</v>
      </c>
      <c r="C15" s="75">
        <v>30</v>
      </c>
      <c r="D15" s="73">
        <f t="shared" ca="1" si="0"/>
        <v>13.7</v>
      </c>
      <c r="E15" s="208">
        <f t="shared" ca="1" si="1"/>
        <v>232</v>
      </c>
      <c r="F15" s="209">
        <f t="shared" ca="1" si="2"/>
        <v>6.1000000000000005</v>
      </c>
      <c r="G15" s="206">
        <f t="shared" ca="1" si="3"/>
        <v>13.7</v>
      </c>
      <c r="H15" s="204">
        <f t="shared" ref="H15:H23" ca="1" si="6">$D$8+I32</f>
        <v>240</v>
      </c>
      <c r="I15" s="205">
        <f t="shared" ref="I15:I23" ca="1" si="7">$D$9+J32</f>
        <v>6.38</v>
      </c>
      <c r="J15" s="230">
        <f t="shared" ca="1" si="4"/>
        <v>13.7</v>
      </c>
      <c r="K15" s="204">
        <f t="shared" ref="K15:K23" ca="1" si="8">$E$8+M32</f>
        <v>230</v>
      </c>
      <c r="L15" s="205">
        <f t="shared" ref="L15:L23" ca="1" si="9">$E$9+N32</f>
        <v>6.59</v>
      </c>
    </row>
    <row r="16" spans="2:12" s="41" customFormat="1" ht="27" customHeight="1">
      <c r="B16" s="207">
        <f t="shared" si="5"/>
        <v>43580.416666666664</v>
      </c>
      <c r="C16" s="75">
        <v>60</v>
      </c>
      <c r="D16" s="73">
        <f t="shared" ca="1" si="0"/>
        <v>14.1</v>
      </c>
      <c r="E16" s="208">
        <f t="shared" ca="1" si="1"/>
        <v>232</v>
      </c>
      <c r="F16" s="209">
        <f t="shared" ca="1" si="2"/>
        <v>6.3100000000000005</v>
      </c>
      <c r="G16" s="206">
        <f t="shared" ca="1" si="3"/>
        <v>14.3</v>
      </c>
      <c r="H16" s="204">
        <f t="shared" ca="1" si="6"/>
        <v>237</v>
      </c>
      <c r="I16" s="205">
        <f t="shared" ca="1" si="7"/>
        <v>6.21</v>
      </c>
      <c r="J16" s="230">
        <f t="shared" ca="1" si="4"/>
        <v>13.8</v>
      </c>
      <c r="K16" s="204">
        <f t="shared" ca="1" si="8"/>
        <v>233</v>
      </c>
      <c r="L16" s="205">
        <f t="shared" ca="1" si="9"/>
        <v>6.78</v>
      </c>
    </row>
    <row r="17" spans="2:14" s="41" customFormat="1" ht="27" customHeight="1">
      <c r="B17" s="207">
        <f t="shared" si="5"/>
        <v>43580.458333333336</v>
      </c>
      <c r="C17" s="75">
        <v>120</v>
      </c>
      <c r="D17" s="73">
        <f t="shared" ca="1" si="0"/>
        <v>14.3</v>
      </c>
      <c r="E17" s="208">
        <f t="shared" ca="1" si="1"/>
        <v>231</v>
      </c>
      <c r="F17" s="209">
        <f t="shared" ca="1" si="2"/>
        <v>6.29</v>
      </c>
      <c r="G17" s="206">
        <f t="shared" ca="1" si="3"/>
        <v>14.2</v>
      </c>
      <c r="H17" s="204">
        <f t="shared" ca="1" si="6"/>
        <v>236</v>
      </c>
      <c r="I17" s="205">
        <f t="shared" ca="1" si="7"/>
        <v>6.2299999999999995</v>
      </c>
      <c r="J17" s="230">
        <f t="shared" ca="1" si="4"/>
        <v>13.8</v>
      </c>
      <c r="K17" s="204">
        <f t="shared" ca="1" si="8"/>
        <v>228</v>
      </c>
      <c r="L17" s="205">
        <f t="shared" ca="1" si="9"/>
        <v>6.6000000000000005</v>
      </c>
    </row>
    <row r="18" spans="2:14" s="41" customFormat="1" ht="27" customHeight="1">
      <c r="B18" s="207">
        <f t="shared" si="5"/>
        <v>43580.541666666664</v>
      </c>
      <c r="C18" s="75">
        <v>240</v>
      </c>
      <c r="D18" s="73">
        <f t="shared" ca="1" si="0"/>
        <v>14.3</v>
      </c>
      <c r="E18" s="208">
        <f t="shared" ca="1" si="1"/>
        <v>232</v>
      </c>
      <c r="F18" s="209">
        <f t="shared" ca="1" si="2"/>
        <v>6.28</v>
      </c>
      <c r="G18" s="206">
        <f t="shared" ca="1" si="3"/>
        <v>13.9</v>
      </c>
      <c r="H18" s="204">
        <f t="shared" ca="1" si="6"/>
        <v>239</v>
      </c>
      <c r="I18" s="205">
        <f t="shared" ca="1" si="7"/>
        <v>6.41</v>
      </c>
      <c r="J18" s="230">
        <f t="shared" ca="1" si="4"/>
        <v>14.1</v>
      </c>
      <c r="K18" s="204">
        <f t="shared" ca="1" si="8"/>
        <v>230</v>
      </c>
      <c r="L18" s="205">
        <f t="shared" ca="1" si="9"/>
        <v>6.79</v>
      </c>
    </row>
    <row r="19" spans="2:14" s="41" customFormat="1" ht="27" customHeight="1">
      <c r="B19" s="207">
        <f t="shared" si="5"/>
        <v>43580.708333333336</v>
      </c>
      <c r="C19" s="75">
        <v>480</v>
      </c>
      <c r="D19" s="73">
        <f t="shared" ca="1" si="0"/>
        <v>14.2</v>
      </c>
      <c r="E19" s="208">
        <f t="shared" ca="1" si="1"/>
        <v>231</v>
      </c>
      <c r="F19" s="209">
        <f t="shared" ca="1" si="2"/>
        <v>6.13</v>
      </c>
      <c r="G19" s="206">
        <f t="shared" ca="1" si="3"/>
        <v>14.2</v>
      </c>
      <c r="H19" s="204">
        <f t="shared" ca="1" si="6"/>
        <v>240</v>
      </c>
      <c r="I19" s="205">
        <f t="shared" ca="1" si="7"/>
        <v>6.39</v>
      </c>
      <c r="J19" s="230">
        <f t="shared" ca="1" si="4"/>
        <v>13.7</v>
      </c>
      <c r="K19" s="204">
        <f t="shared" ca="1" si="8"/>
        <v>228</v>
      </c>
      <c r="L19" s="205">
        <f t="shared" ca="1" si="9"/>
        <v>6.8</v>
      </c>
    </row>
    <row r="20" spans="2:14" s="42" customFormat="1" ht="27" customHeight="1">
      <c r="B20" s="207">
        <f t="shared" si="5"/>
        <v>43581.375</v>
      </c>
      <c r="C20" s="75">
        <v>1440</v>
      </c>
      <c r="D20" s="73">
        <f t="shared" ca="1" si="0"/>
        <v>14.2</v>
      </c>
      <c r="E20" s="208">
        <f t="shared" ca="1" si="1"/>
        <v>234</v>
      </c>
      <c r="F20" s="209">
        <f t="shared" ca="1" si="2"/>
        <v>6.12</v>
      </c>
      <c r="G20" s="206">
        <f t="shared" ca="1" si="3"/>
        <v>14.1</v>
      </c>
      <c r="H20" s="204">
        <f t="shared" ca="1" si="6"/>
        <v>237</v>
      </c>
      <c r="I20" s="205">
        <f t="shared" ca="1" si="7"/>
        <v>6.22</v>
      </c>
      <c r="J20" s="230">
        <f t="shared" ca="1" si="4"/>
        <v>14.3</v>
      </c>
      <c r="K20" s="204">
        <f t="shared" ca="1" si="8"/>
        <v>229</v>
      </c>
      <c r="L20" s="205">
        <f t="shared" ca="1" si="9"/>
        <v>6.59</v>
      </c>
    </row>
    <row r="21" spans="2:14" s="42" customFormat="1" ht="27" customHeight="1">
      <c r="B21" s="207">
        <f t="shared" si="5"/>
        <v>43581.541666666664</v>
      </c>
      <c r="C21" s="75">
        <v>1680</v>
      </c>
      <c r="D21" s="73">
        <f t="shared" ca="1" si="0"/>
        <v>14.2</v>
      </c>
      <c r="E21" s="208">
        <f t="shared" ca="1" si="1"/>
        <v>234</v>
      </c>
      <c r="F21" s="209">
        <f t="shared" ca="1" si="2"/>
        <v>6.08</v>
      </c>
      <c r="G21" s="206">
        <f t="shared" ca="1" si="3"/>
        <v>14.1</v>
      </c>
      <c r="H21" s="204">
        <f t="shared" ca="1" si="6"/>
        <v>239</v>
      </c>
      <c r="I21" s="205">
        <f t="shared" ca="1" si="7"/>
        <v>6.18</v>
      </c>
      <c r="J21" s="230">
        <f t="shared" ca="1" si="4"/>
        <v>13.9</v>
      </c>
      <c r="K21" s="204">
        <f t="shared" ca="1" si="8"/>
        <v>228</v>
      </c>
      <c r="L21" s="205">
        <f t="shared" ca="1" si="9"/>
        <v>6.7700000000000005</v>
      </c>
    </row>
    <row r="22" spans="2:14" s="42" customFormat="1" ht="27" customHeight="1">
      <c r="B22" s="207">
        <f t="shared" si="5"/>
        <v>43581.708333333336</v>
      </c>
      <c r="C22" s="75">
        <v>1920</v>
      </c>
      <c r="D22" s="73">
        <f t="shared" ca="1" si="0"/>
        <v>13.9</v>
      </c>
      <c r="E22" s="208">
        <f t="shared" ca="1" si="1"/>
        <v>236</v>
      </c>
      <c r="F22" s="209">
        <f t="shared" ca="1" si="2"/>
        <v>6.29</v>
      </c>
      <c r="G22" s="206">
        <f t="shared" ca="1" si="3"/>
        <v>13.9</v>
      </c>
      <c r="H22" s="204">
        <f t="shared" ca="1" si="6"/>
        <v>237</v>
      </c>
      <c r="I22" s="205">
        <f t="shared" ca="1" si="7"/>
        <v>6.39</v>
      </c>
      <c r="J22" s="230">
        <f t="shared" ca="1" si="4"/>
        <v>14.1</v>
      </c>
      <c r="K22" s="204">
        <f t="shared" ca="1" si="8"/>
        <v>232</v>
      </c>
      <c r="L22" s="205">
        <f t="shared" ca="1" si="9"/>
        <v>6.7700000000000005</v>
      </c>
    </row>
    <row r="23" spans="2:14" s="42" customFormat="1" ht="27" customHeight="1">
      <c r="B23" s="210">
        <f t="shared" si="5"/>
        <v>43582.375</v>
      </c>
      <c r="C23" s="211">
        <v>2880</v>
      </c>
      <c r="D23" s="105">
        <f t="shared" ca="1" si="0"/>
        <v>14.3</v>
      </c>
      <c r="E23" s="212">
        <f t="shared" ca="1" si="1"/>
        <v>231</v>
      </c>
      <c r="F23" s="213">
        <f t="shared" ca="1" si="2"/>
        <v>6.12</v>
      </c>
      <c r="G23" s="214">
        <f t="shared" ca="1" si="3"/>
        <v>14.3</v>
      </c>
      <c r="H23" s="215">
        <f t="shared" ca="1" si="6"/>
        <v>241</v>
      </c>
      <c r="I23" s="231">
        <f t="shared" ca="1" si="7"/>
        <v>6.38</v>
      </c>
      <c r="J23" s="232">
        <f t="shared" ca="1" si="4"/>
        <v>14.3</v>
      </c>
      <c r="K23" s="215">
        <f t="shared" ca="1" si="8"/>
        <v>228</v>
      </c>
      <c r="L23" s="231">
        <f t="shared" ca="1" si="9"/>
        <v>6.61</v>
      </c>
    </row>
    <row r="24" spans="2:14" s="42" customFormat="1" ht="27" customHeight="1">
      <c r="B24" s="452" t="s">
        <v>45</v>
      </c>
      <c r="C24" s="453"/>
      <c r="D24" s="200">
        <f ca="1">MAX(D14:D23)</f>
        <v>14.3</v>
      </c>
      <c r="E24" s="202">
        <f t="shared" ref="E24:F24" ca="1" si="10">MAX(E14:E23)</f>
        <v>236</v>
      </c>
      <c r="F24" s="201">
        <f t="shared" ca="1" si="10"/>
        <v>6.3100000000000005</v>
      </c>
      <c r="G24" s="200">
        <f ca="1">MAX(G14:G23)</f>
        <v>14.3</v>
      </c>
      <c r="H24" s="202">
        <f t="shared" ref="H24:I24" ca="1" si="11">MAX(H14:H23)</f>
        <v>241</v>
      </c>
      <c r="I24" s="201">
        <f t="shared" ca="1" si="11"/>
        <v>6.41</v>
      </c>
      <c r="J24" s="229">
        <f ca="1">MAX(J14:J23)</f>
        <v>14.3</v>
      </c>
      <c r="K24" s="202">
        <f t="shared" ref="K24:L24" ca="1" si="12">MAX(K14:K23)</f>
        <v>233</v>
      </c>
      <c r="L24" s="201">
        <f t="shared" ca="1" si="12"/>
        <v>6.8</v>
      </c>
    </row>
    <row r="25" spans="2:14" s="42" customFormat="1" ht="27" customHeight="1">
      <c r="B25" s="452" t="s">
        <v>46</v>
      </c>
      <c r="C25" s="453"/>
      <c r="D25" s="200">
        <f ca="1">MIN(D14:D23)</f>
        <v>13.7</v>
      </c>
      <c r="E25" s="202">
        <f t="shared" ref="E25:F25" ca="1" si="13">MIN(E14:E23)</f>
        <v>231</v>
      </c>
      <c r="F25" s="201">
        <f t="shared" ca="1" si="13"/>
        <v>6.08</v>
      </c>
      <c r="G25" s="200">
        <f ca="1">MIN(G14:G23)</f>
        <v>13.7</v>
      </c>
      <c r="H25" s="202">
        <f t="shared" ref="H25:I25" ca="1" si="14">MIN(H14:H23)</f>
        <v>236</v>
      </c>
      <c r="I25" s="201">
        <f t="shared" ca="1" si="14"/>
        <v>6.18</v>
      </c>
      <c r="J25" s="229">
        <f ca="1">MIN(J14:J23)</f>
        <v>13.7</v>
      </c>
      <c r="K25" s="202">
        <f t="shared" ref="K25:L25" ca="1" si="15">MIN(K14:K23)</f>
        <v>228</v>
      </c>
      <c r="L25" s="201">
        <f t="shared" ca="1" si="15"/>
        <v>6.59</v>
      </c>
    </row>
    <row r="26" spans="2:14" s="42" customFormat="1" ht="27" customHeight="1" thickBot="1">
      <c r="B26" s="454" t="s">
        <v>104</v>
      </c>
      <c r="C26" s="455"/>
      <c r="D26" s="219">
        <f ca="1">D24-D25</f>
        <v>0.60000000000000142</v>
      </c>
      <c r="E26" s="220">
        <f t="shared" ref="E26:F26" ca="1" si="16">E24-E25</f>
        <v>5</v>
      </c>
      <c r="F26" s="221">
        <f t="shared" ca="1" si="16"/>
        <v>0.23000000000000043</v>
      </c>
      <c r="G26" s="219">
        <f ca="1">G24-G25</f>
        <v>0.60000000000000142</v>
      </c>
      <c r="H26" s="220">
        <f t="shared" ref="H26:I26" ca="1" si="17">H24-H25</f>
        <v>5</v>
      </c>
      <c r="I26" s="221">
        <f t="shared" ca="1" si="17"/>
        <v>0.23000000000000043</v>
      </c>
      <c r="J26" s="233">
        <f ca="1">J24-J25</f>
        <v>0.60000000000000142</v>
      </c>
      <c r="K26" s="220">
        <f t="shared" ref="K26:L26" ca="1" si="18">K24-K25</f>
        <v>5</v>
      </c>
      <c r="L26" s="221">
        <f t="shared" ca="1" si="18"/>
        <v>0.20999999999999996</v>
      </c>
    </row>
    <row r="27" spans="2:14" s="42" customFormat="1" ht="18" customHeight="1">
      <c r="E27" s="41"/>
      <c r="F27" s="41"/>
    </row>
    <row r="28" spans="2:14" s="42" customFormat="1" ht="18" customHeight="1" thickBot="1">
      <c r="E28" s="41"/>
      <c r="F28" s="41"/>
    </row>
    <row r="29" spans="2:14" s="42" customFormat="1" ht="18" customHeight="1">
      <c r="D29" s="449" t="s">
        <v>99</v>
      </c>
      <c r="E29" s="450"/>
      <c r="F29" s="451"/>
      <c r="H29" s="449" t="s">
        <v>175</v>
      </c>
      <c r="I29" s="450"/>
      <c r="J29" s="451"/>
      <c r="L29" s="449" t="s">
        <v>176</v>
      </c>
      <c r="M29" s="450"/>
      <c r="N29" s="451"/>
    </row>
    <row r="30" spans="2:14" s="42" customFormat="1" ht="18" customHeight="1">
      <c r="D30" s="200" t="s">
        <v>182</v>
      </c>
      <c r="E30" s="202" t="s">
        <v>183</v>
      </c>
      <c r="F30" s="201" t="s">
        <v>103</v>
      </c>
      <c r="H30" s="200" t="s">
        <v>182</v>
      </c>
      <c r="I30" s="202" t="s">
        <v>183</v>
      </c>
      <c r="J30" s="201" t="s">
        <v>103</v>
      </c>
      <c r="L30" s="200" t="s">
        <v>182</v>
      </c>
      <c r="M30" s="202" t="s">
        <v>183</v>
      </c>
      <c r="N30" s="201" t="s">
        <v>103</v>
      </c>
    </row>
    <row r="31" spans="2:14" s="42" customFormat="1" ht="18" customHeight="1">
      <c r="D31" s="222">
        <f ca="1">ROUND(myRandBetween(1,3,10), 1)</f>
        <v>-0.3</v>
      </c>
      <c r="E31" s="74">
        <f ca="1">myRandBetween(1,3,1)</f>
        <v>2</v>
      </c>
      <c r="F31" s="223">
        <f ca="1">ROUND(myRandBetween(7,12,100), 2)</f>
        <v>-7.0000000000000007E-2</v>
      </c>
      <c r="H31" s="222">
        <f ca="1">ROUND(myRandBetween(1,3,10), 1)</f>
        <v>-0.2</v>
      </c>
      <c r="I31" s="74">
        <f ca="1">myRandBetween(1,3,1)</f>
        <v>-1</v>
      </c>
      <c r="J31" s="223">
        <f ca="1">ROUND(myRandBetween(7,12,100), 2)</f>
        <v>-7.0000000000000007E-2</v>
      </c>
      <c r="L31" s="222">
        <f ca="1">ROUND(myRandBetween(1,3,10), 1)</f>
        <v>-0.1</v>
      </c>
      <c r="M31" s="74">
        <f ca="1">myRandBetween(1,3,1)</f>
        <v>1</v>
      </c>
      <c r="N31" s="223">
        <f ca="1">ROUND(myRandBetween(7,12,100), 2)</f>
        <v>0.09</v>
      </c>
    </row>
    <row r="32" spans="2:14" s="42" customFormat="1" ht="18" customHeight="1">
      <c r="D32" s="222">
        <f t="shared" ref="D32:D40" ca="1" si="19">ROUND(myRandBetween(1,3,10), 1)</f>
        <v>-0.3</v>
      </c>
      <c r="E32" s="74">
        <f t="shared" ref="E32:E40" ca="1" si="20">myRandBetween(1,3,1)</f>
        <v>-1</v>
      </c>
      <c r="F32" s="223">
        <f t="shared" ref="F32:F40" ca="1" si="21">ROUND(myRandBetween(7,12,100), 2)</f>
        <v>-0.1</v>
      </c>
      <c r="H32" s="222">
        <f t="shared" ref="H32:H40" ca="1" si="22">ROUND(myRandBetween(1,3,10), 1)</f>
        <v>-0.3</v>
      </c>
      <c r="I32" s="74">
        <f t="shared" ref="I32:I40" ca="1" si="23">myRandBetween(1,3,1)</f>
        <v>2</v>
      </c>
      <c r="J32" s="223">
        <f t="shared" ref="J32:J40" ca="1" si="24">ROUND(myRandBetween(7,12,100), 2)</f>
        <v>0.08</v>
      </c>
      <c r="L32" s="222">
        <f t="shared" ref="L32:L40" ca="1" si="25">ROUND(myRandBetween(1,3,10), 1)</f>
        <v>-0.3</v>
      </c>
      <c r="M32" s="74">
        <f t="shared" ref="M32:M40" ca="1" si="26">myRandBetween(1,3,1)</f>
        <v>-1</v>
      </c>
      <c r="N32" s="223">
        <f t="shared" ref="N32:N40" ca="1" si="27">ROUND(myRandBetween(7,12,100), 2)</f>
        <v>-0.11</v>
      </c>
    </row>
    <row r="33" spans="4:14" s="42" customFormat="1" ht="18" customHeight="1">
      <c r="D33" s="222">
        <f t="shared" ca="1" si="19"/>
        <v>0.1</v>
      </c>
      <c r="E33" s="74">
        <f t="shared" ca="1" si="20"/>
        <v>-1</v>
      </c>
      <c r="F33" s="223">
        <f t="shared" ca="1" si="21"/>
        <v>0.11</v>
      </c>
      <c r="H33" s="222">
        <f t="shared" ca="1" si="22"/>
        <v>0.3</v>
      </c>
      <c r="I33" s="74">
        <f t="shared" ca="1" si="23"/>
        <v>-1</v>
      </c>
      <c r="J33" s="223">
        <f t="shared" ca="1" si="24"/>
        <v>-0.09</v>
      </c>
      <c r="L33" s="222">
        <f t="shared" ca="1" si="25"/>
        <v>-0.2</v>
      </c>
      <c r="M33" s="74">
        <f t="shared" ca="1" si="26"/>
        <v>2</v>
      </c>
      <c r="N33" s="223">
        <f t="shared" ca="1" si="27"/>
        <v>0.08</v>
      </c>
    </row>
    <row r="34" spans="4:14" s="42" customFormat="1" ht="18" customHeight="1">
      <c r="D34" s="222">
        <f t="shared" ca="1" si="19"/>
        <v>0.3</v>
      </c>
      <c r="E34" s="74">
        <f t="shared" ca="1" si="20"/>
        <v>-2</v>
      </c>
      <c r="F34" s="223">
        <f t="shared" ca="1" si="21"/>
        <v>0.09</v>
      </c>
      <c r="H34" s="222">
        <f t="shared" ca="1" si="22"/>
        <v>0.2</v>
      </c>
      <c r="I34" s="74">
        <f t="shared" ca="1" si="23"/>
        <v>-2</v>
      </c>
      <c r="J34" s="223">
        <f t="shared" ca="1" si="24"/>
        <v>-7.0000000000000007E-2</v>
      </c>
      <c r="L34" s="222">
        <f t="shared" ca="1" si="25"/>
        <v>-0.2</v>
      </c>
      <c r="M34" s="74">
        <f t="shared" ca="1" si="26"/>
        <v>-3</v>
      </c>
      <c r="N34" s="223">
        <f t="shared" ca="1" si="27"/>
        <v>-0.1</v>
      </c>
    </row>
    <row r="35" spans="4:14" s="42" customFormat="1" ht="18" customHeight="1">
      <c r="D35" s="222">
        <f t="shared" ca="1" si="19"/>
        <v>0.3</v>
      </c>
      <c r="E35" s="74">
        <f t="shared" ca="1" si="20"/>
        <v>-1</v>
      </c>
      <c r="F35" s="223">
        <f t="shared" ca="1" si="21"/>
        <v>0.08</v>
      </c>
      <c r="H35" s="222">
        <f t="shared" ca="1" si="22"/>
        <v>-0.1</v>
      </c>
      <c r="I35" s="74">
        <f t="shared" ca="1" si="23"/>
        <v>1</v>
      </c>
      <c r="J35" s="223">
        <f t="shared" ca="1" si="24"/>
        <v>0.11</v>
      </c>
      <c r="L35" s="222">
        <f t="shared" ca="1" si="25"/>
        <v>0.1</v>
      </c>
      <c r="M35" s="74">
        <f t="shared" ca="1" si="26"/>
        <v>-1</v>
      </c>
      <c r="N35" s="223">
        <f t="shared" ca="1" si="27"/>
        <v>0.09</v>
      </c>
    </row>
    <row r="36" spans="4:14" s="42" customFormat="1" ht="18" customHeight="1">
      <c r="D36" s="222">
        <f t="shared" ca="1" si="19"/>
        <v>0.2</v>
      </c>
      <c r="E36" s="74">
        <f t="shared" ca="1" si="20"/>
        <v>-2</v>
      </c>
      <c r="F36" s="223">
        <f t="shared" ca="1" si="21"/>
        <v>-7.0000000000000007E-2</v>
      </c>
      <c r="H36" s="222">
        <f t="shared" ca="1" si="22"/>
        <v>0.2</v>
      </c>
      <c r="I36" s="74">
        <f t="shared" ca="1" si="23"/>
        <v>2</v>
      </c>
      <c r="J36" s="223">
        <f t="shared" ca="1" si="24"/>
        <v>0.09</v>
      </c>
      <c r="L36" s="222">
        <f t="shared" ca="1" si="25"/>
        <v>-0.3</v>
      </c>
      <c r="M36" s="74">
        <f t="shared" ca="1" si="26"/>
        <v>-3</v>
      </c>
      <c r="N36" s="223">
        <f t="shared" ca="1" si="27"/>
        <v>0.1</v>
      </c>
    </row>
    <row r="37" spans="4:14" s="42" customFormat="1" ht="18" customHeight="1">
      <c r="D37" s="222">
        <f t="shared" ca="1" si="19"/>
        <v>0.2</v>
      </c>
      <c r="E37" s="74">
        <f t="shared" ca="1" si="20"/>
        <v>1</v>
      </c>
      <c r="F37" s="223">
        <f t="shared" ca="1" si="21"/>
        <v>-0.08</v>
      </c>
      <c r="H37" s="222">
        <f t="shared" ca="1" si="22"/>
        <v>0.1</v>
      </c>
      <c r="I37" s="74">
        <f t="shared" ca="1" si="23"/>
        <v>-1</v>
      </c>
      <c r="J37" s="223">
        <f t="shared" ca="1" si="24"/>
        <v>-0.08</v>
      </c>
      <c r="L37" s="222">
        <f t="shared" ca="1" si="25"/>
        <v>0.3</v>
      </c>
      <c r="M37" s="74">
        <f t="shared" ca="1" si="26"/>
        <v>-2</v>
      </c>
      <c r="N37" s="223">
        <f t="shared" ca="1" si="27"/>
        <v>-0.11</v>
      </c>
    </row>
    <row r="38" spans="4:14" ht="18" customHeight="1">
      <c r="D38" s="222">
        <f t="shared" ca="1" si="19"/>
        <v>0.2</v>
      </c>
      <c r="E38" s="74">
        <f t="shared" ca="1" si="20"/>
        <v>1</v>
      </c>
      <c r="F38" s="223">
        <f t="shared" ca="1" si="21"/>
        <v>-0.12</v>
      </c>
      <c r="H38" s="222">
        <f t="shared" ca="1" si="22"/>
        <v>0.1</v>
      </c>
      <c r="I38" s="74">
        <f t="shared" ca="1" si="23"/>
        <v>1</v>
      </c>
      <c r="J38" s="223">
        <f t="shared" ca="1" si="24"/>
        <v>-0.12</v>
      </c>
      <c r="L38" s="222">
        <f t="shared" ca="1" si="25"/>
        <v>-0.1</v>
      </c>
      <c r="M38" s="74">
        <f t="shared" ca="1" si="26"/>
        <v>-3</v>
      </c>
      <c r="N38" s="223">
        <f t="shared" ca="1" si="27"/>
        <v>7.0000000000000007E-2</v>
      </c>
    </row>
    <row r="39" spans="4:14" ht="18" customHeight="1">
      <c r="D39" s="222">
        <f t="shared" ca="1" si="19"/>
        <v>-0.1</v>
      </c>
      <c r="E39" s="74">
        <f t="shared" ca="1" si="20"/>
        <v>3</v>
      </c>
      <c r="F39" s="223">
        <f t="shared" ca="1" si="21"/>
        <v>0.09</v>
      </c>
      <c r="H39" s="222">
        <f t="shared" ca="1" si="22"/>
        <v>-0.1</v>
      </c>
      <c r="I39" s="74">
        <f t="shared" ca="1" si="23"/>
        <v>-1</v>
      </c>
      <c r="J39" s="223">
        <f t="shared" ca="1" si="24"/>
        <v>0.09</v>
      </c>
      <c r="L39" s="222">
        <f t="shared" ca="1" si="25"/>
        <v>0.1</v>
      </c>
      <c r="M39" s="74">
        <f t="shared" ca="1" si="26"/>
        <v>1</v>
      </c>
      <c r="N39" s="223">
        <f t="shared" ca="1" si="27"/>
        <v>7.0000000000000007E-2</v>
      </c>
    </row>
    <row r="40" spans="4:14" ht="18" customHeight="1" thickBot="1">
      <c r="D40" s="226">
        <f t="shared" ca="1" si="19"/>
        <v>0.3</v>
      </c>
      <c r="E40" s="80">
        <f t="shared" ca="1" si="20"/>
        <v>-2</v>
      </c>
      <c r="F40" s="227">
        <f t="shared" ca="1" si="21"/>
        <v>-0.08</v>
      </c>
      <c r="H40" s="226">
        <f t="shared" ca="1" si="22"/>
        <v>0.3</v>
      </c>
      <c r="I40" s="80">
        <f t="shared" ca="1" si="23"/>
        <v>3</v>
      </c>
      <c r="J40" s="227">
        <f t="shared" ca="1" si="24"/>
        <v>0.08</v>
      </c>
      <c r="L40" s="226">
        <f t="shared" ca="1" si="25"/>
        <v>0.3</v>
      </c>
      <c r="M40" s="80">
        <f t="shared" ca="1" si="26"/>
        <v>-3</v>
      </c>
      <c r="N40" s="227">
        <f t="shared" ca="1" si="27"/>
        <v>-0.09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1" r:id="rId4" name="CommandButton1">
          <controlPr defaultSize="0" autoLine="0" r:id="rId5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8</xdr:col>
                <xdr:colOff>142875</xdr:colOff>
                <xdr:row>6</xdr:row>
                <xdr:rowOff>104775</xdr:rowOff>
              </to>
            </anchor>
          </controlPr>
        </control>
      </mc:Choice>
      <mc:Fallback>
        <control shapeId="128001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N44"/>
  <sheetViews>
    <sheetView workbookViewId="0">
      <selection activeCell="G22" sqref="G22"/>
    </sheetView>
  </sheetViews>
  <sheetFormatPr defaultColWidth="8.88671875" defaultRowHeight="16.5"/>
  <cols>
    <col min="1" max="1" width="8.88671875" style="47"/>
    <col min="2" max="2" width="16.6640625" style="47" customWidth="1"/>
    <col min="3" max="4" width="14.6640625" style="47" customWidth="1"/>
    <col min="5" max="5" width="12" style="48" customWidth="1"/>
    <col min="6" max="6" width="12.33203125" style="48" customWidth="1"/>
    <col min="7" max="7" width="8.88671875" style="47"/>
    <col min="8" max="8" width="9.88671875" style="47" customWidth="1"/>
    <col min="9" max="9" width="8.33203125" style="47" customWidth="1"/>
    <col min="10" max="10" width="8.77734375" style="47" customWidth="1"/>
    <col min="11" max="16384" width="8.88671875" style="47"/>
  </cols>
  <sheetData>
    <row r="1" spans="2:14" s="42" customFormat="1" ht="18" customHeight="1">
      <c r="E1" s="41"/>
      <c r="F1" s="41"/>
    </row>
    <row r="2" spans="2:14" s="42" customFormat="1" ht="18" customHeight="1">
      <c r="B2" s="42" t="s">
        <v>93</v>
      </c>
      <c r="E2" s="41"/>
      <c r="F2" s="41"/>
    </row>
    <row r="3" spans="2:14" s="42" customFormat="1" ht="18" customHeight="1">
      <c r="E3" s="41"/>
      <c r="F3" s="41"/>
    </row>
    <row r="4" spans="2:14" s="236" customFormat="1" ht="26.25" customHeight="1">
      <c r="B4" s="234" t="s">
        <v>106</v>
      </c>
      <c r="C4" s="235" t="s">
        <v>99</v>
      </c>
      <c r="E4" s="235"/>
      <c r="F4" s="235"/>
    </row>
    <row r="5" spans="2:14" s="42" customFormat="1" ht="18" customHeight="1" thickBot="1">
      <c r="E5" s="41"/>
      <c r="F5" s="41"/>
    </row>
    <row r="6" spans="2:14" s="42" customFormat="1" ht="26.1" customHeight="1" thickBot="1">
      <c r="B6" s="196" t="s">
        <v>94</v>
      </c>
      <c r="C6" s="237">
        <v>43486.375</v>
      </c>
      <c r="D6" s="195"/>
      <c r="E6" s="41"/>
      <c r="F6" s="41"/>
    </row>
    <row r="7" spans="2:14" s="42" customFormat="1" ht="26.1" customHeight="1" thickBot="1">
      <c r="B7" s="196" t="s">
        <v>95</v>
      </c>
      <c r="C7" s="197">
        <v>14.6</v>
      </c>
      <c r="D7" s="195"/>
      <c r="E7" s="41"/>
      <c r="F7" s="41"/>
    </row>
    <row r="8" spans="2:14" s="42" customFormat="1" ht="26.1" customHeight="1">
      <c r="B8" s="198" t="s">
        <v>96</v>
      </c>
      <c r="C8" s="199">
        <v>211</v>
      </c>
      <c r="D8" s="195"/>
      <c r="E8" s="41"/>
      <c r="F8" s="41"/>
    </row>
    <row r="9" spans="2:14" s="42" customFormat="1" ht="26.1" customHeight="1">
      <c r="B9" s="198" t="s">
        <v>97</v>
      </c>
      <c r="C9" s="238">
        <v>6.7</v>
      </c>
      <c r="D9" s="195"/>
      <c r="E9" s="41"/>
      <c r="F9" s="41"/>
    </row>
    <row r="10" spans="2:14" s="42" customFormat="1" ht="26.1" customHeight="1">
      <c r="B10" s="198"/>
      <c r="C10" s="199"/>
      <c r="D10" s="195"/>
      <c r="E10" s="41"/>
      <c r="F10" s="41"/>
    </row>
    <row r="11" spans="2:14" s="42" customFormat="1" ht="18" customHeight="1" thickBot="1">
      <c r="E11" s="41"/>
      <c r="F11" s="41"/>
    </row>
    <row r="12" spans="2:14" s="41" customFormat="1" ht="26.1" customHeight="1">
      <c r="B12" s="449" t="s">
        <v>98</v>
      </c>
      <c r="C12" s="451"/>
      <c r="D12" s="456" t="s">
        <v>99</v>
      </c>
      <c r="E12" s="450"/>
      <c r="F12" s="451"/>
      <c r="H12" s="449" t="s">
        <v>99</v>
      </c>
      <c r="I12" s="450"/>
      <c r="J12" s="451"/>
      <c r="L12" s="457" t="s">
        <v>99</v>
      </c>
      <c r="M12" s="458"/>
      <c r="N12" s="459"/>
    </row>
    <row r="13" spans="2:14" s="41" customFormat="1" ht="26.1" customHeight="1">
      <c r="B13" s="200" t="s">
        <v>94</v>
      </c>
      <c r="C13" s="201" t="s">
        <v>100</v>
      </c>
      <c r="D13" s="229" t="s">
        <v>101</v>
      </c>
      <c r="E13" s="202" t="s">
        <v>102</v>
      </c>
      <c r="F13" s="201" t="s">
        <v>103</v>
      </c>
      <c r="H13" s="200" t="s">
        <v>101</v>
      </c>
      <c r="I13" s="202" t="s">
        <v>102</v>
      </c>
      <c r="J13" s="201" t="s">
        <v>103</v>
      </c>
      <c r="L13" s="251" t="s">
        <v>101</v>
      </c>
      <c r="M13" s="252" t="s">
        <v>102</v>
      </c>
      <c r="N13" s="253" t="s">
        <v>103</v>
      </c>
    </row>
    <row r="14" spans="2:14" s="41" customFormat="1" ht="26.1" customHeight="1">
      <c r="B14" s="239">
        <f>$C$6+C14/1440</f>
        <v>43486.378472222219</v>
      </c>
      <c r="C14" s="78">
        <v>5</v>
      </c>
      <c r="D14" s="240">
        <f t="shared" ref="D14:D23" si="0">baseTemp+H14</f>
        <v>14.799999999999999</v>
      </c>
      <c r="E14" s="241">
        <f>$C$8+I14</f>
        <v>208</v>
      </c>
      <c r="F14" s="205">
        <f>$C$9+J14</f>
        <v>6.59</v>
      </c>
      <c r="H14" s="73">
        <v>0.2</v>
      </c>
      <c r="I14" s="74">
        <v>-3</v>
      </c>
      <c r="J14" s="75">
        <v>-0.11</v>
      </c>
      <c r="L14" s="251">
        <f ca="1">ROUND(myRandBetween(1,3,10), 1)</f>
        <v>-0.1</v>
      </c>
      <c r="M14" s="252">
        <f ca="1">myRandBetween(1,3,1)</f>
        <v>3</v>
      </c>
      <c r="N14" s="253">
        <f ca="1">ROUND(myRandBetween(7,12,100), 2)</f>
        <v>0.11</v>
      </c>
    </row>
    <row r="15" spans="2:14" s="41" customFormat="1" ht="26.1" customHeight="1">
      <c r="B15" s="242">
        <f t="shared" ref="B15:B23" si="1">$C$6+C15/1440</f>
        <v>43486.395833333336</v>
      </c>
      <c r="C15" s="75">
        <v>30</v>
      </c>
      <c r="D15" s="243">
        <f t="shared" si="0"/>
        <v>14.4</v>
      </c>
      <c r="E15" s="244">
        <f t="shared" ref="E15:E23" si="2">$C$8+I15</f>
        <v>214</v>
      </c>
      <c r="F15" s="209">
        <f t="shared" ref="F15:F23" si="3">$C$9+J15</f>
        <v>6.8</v>
      </c>
      <c r="H15" s="73">
        <v>-0.2</v>
      </c>
      <c r="I15" s="74">
        <v>3</v>
      </c>
      <c r="J15" s="75">
        <v>0.1</v>
      </c>
      <c r="L15" s="251">
        <f t="shared" ref="L15:L23" ca="1" si="4">ROUND(myRandBetween(1,3,10), 1)</f>
        <v>0.2</v>
      </c>
      <c r="M15" s="252">
        <f t="shared" ref="M15:M23" ca="1" si="5">myRandBetween(1,3,1)</f>
        <v>2</v>
      </c>
      <c r="N15" s="253">
        <f t="shared" ref="N15:N23" ca="1" si="6">ROUND(myRandBetween(7,12,100), 2)</f>
        <v>-0.09</v>
      </c>
    </row>
    <row r="16" spans="2:14" s="41" customFormat="1" ht="26.1" customHeight="1">
      <c r="B16" s="242">
        <f t="shared" si="1"/>
        <v>43486.416666666664</v>
      </c>
      <c r="C16" s="75">
        <v>60</v>
      </c>
      <c r="D16" s="243">
        <f t="shared" si="0"/>
        <v>14.4</v>
      </c>
      <c r="E16" s="244">
        <f t="shared" si="2"/>
        <v>213</v>
      </c>
      <c r="F16" s="209">
        <f t="shared" si="3"/>
        <v>6.61</v>
      </c>
      <c r="H16" s="73">
        <v>-0.2</v>
      </c>
      <c r="I16" s="74">
        <v>2</v>
      </c>
      <c r="J16" s="75">
        <v>-0.09</v>
      </c>
      <c r="L16" s="251">
        <f t="shared" ca="1" si="4"/>
        <v>0.2</v>
      </c>
      <c r="M16" s="252">
        <f t="shared" ca="1" si="5"/>
        <v>-2</v>
      </c>
      <c r="N16" s="253">
        <f t="shared" ca="1" si="6"/>
        <v>7.0000000000000007E-2</v>
      </c>
    </row>
    <row r="17" spans="2:14" s="41" customFormat="1" ht="26.1" customHeight="1">
      <c r="B17" s="242">
        <f t="shared" si="1"/>
        <v>43486.458333333336</v>
      </c>
      <c r="C17" s="75">
        <v>120</v>
      </c>
      <c r="D17" s="243">
        <f t="shared" si="0"/>
        <v>14.9</v>
      </c>
      <c r="E17" s="244">
        <f t="shared" si="2"/>
        <v>209</v>
      </c>
      <c r="F17" s="209">
        <f t="shared" si="3"/>
        <v>6.58</v>
      </c>
      <c r="H17" s="73">
        <v>0.3</v>
      </c>
      <c r="I17" s="74">
        <v>-2</v>
      </c>
      <c r="J17" s="75">
        <v>-0.12</v>
      </c>
      <c r="L17" s="251">
        <f t="shared" ca="1" si="4"/>
        <v>0.1</v>
      </c>
      <c r="M17" s="252">
        <f t="shared" ca="1" si="5"/>
        <v>3</v>
      </c>
      <c r="N17" s="253">
        <f t="shared" ca="1" si="6"/>
        <v>-0.1</v>
      </c>
    </row>
    <row r="18" spans="2:14" s="41" customFormat="1" ht="26.1" customHeight="1">
      <c r="B18" s="242">
        <f t="shared" si="1"/>
        <v>43486.541666666664</v>
      </c>
      <c r="C18" s="75">
        <v>240</v>
      </c>
      <c r="D18" s="243">
        <f t="shared" si="0"/>
        <v>14.299999999999999</v>
      </c>
      <c r="E18" s="244">
        <f t="shared" si="2"/>
        <v>210</v>
      </c>
      <c r="F18" s="209">
        <f t="shared" si="3"/>
        <v>6.63</v>
      </c>
      <c r="H18" s="73">
        <v>-0.3</v>
      </c>
      <c r="I18" s="74">
        <v>-1</v>
      </c>
      <c r="J18" s="75">
        <v>-7.0000000000000007E-2</v>
      </c>
      <c r="L18" s="251">
        <f t="shared" ca="1" si="4"/>
        <v>-0.3</v>
      </c>
      <c r="M18" s="252">
        <f t="shared" ca="1" si="5"/>
        <v>-3</v>
      </c>
      <c r="N18" s="253">
        <f t="shared" ca="1" si="6"/>
        <v>0.12</v>
      </c>
    </row>
    <row r="19" spans="2:14" s="41" customFormat="1" ht="26.1" customHeight="1">
      <c r="B19" s="242">
        <f t="shared" si="1"/>
        <v>43486.708333333336</v>
      </c>
      <c r="C19" s="75">
        <v>480</v>
      </c>
      <c r="D19" s="245">
        <f t="shared" si="0"/>
        <v>14.799999999999999</v>
      </c>
      <c r="E19" s="244">
        <f t="shared" si="2"/>
        <v>213</v>
      </c>
      <c r="F19" s="209">
        <f t="shared" si="3"/>
        <v>6.6000000000000005</v>
      </c>
      <c r="H19" s="73">
        <v>0.2</v>
      </c>
      <c r="I19" s="74">
        <v>2</v>
      </c>
      <c r="J19" s="75">
        <v>-0.1</v>
      </c>
      <c r="L19" s="251">
        <f t="shared" ca="1" si="4"/>
        <v>-0.1</v>
      </c>
      <c r="M19" s="252">
        <f t="shared" ca="1" si="5"/>
        <v>-2</v>
      </c>
      <c r="N19" s="253">
        <f t="shared" ca="1" si="6"/>
        <v>0.1</v>
      </c>
    </row>
    <row r="20" spans="2:14" s="42" customFormat="1" ht="26.1" customHeight="1">
      <c r="B20" s="242">
        <f t="shared" si="1"/>
        <v>43487.375</v>
      </c>
      <c r="C20" s="75">
        <v>1440</v>
      </c>
      <c r="D20" s="243">
        <f t="shared" si="0"/>
        <v>14.799999999999999</v>
      </c>
      <c r="E20" s="244">
        <f t="shared" si="2"/>
        <v>208</v>
      </c>
      <c r="F20" s="209">
        <f t="shared" si="3"/>
        <v>6.79</v>
      </c>
      <c r="H20" s="73">
        <v>0.2</v>
      </c>
      <c r="I20" s="74">
        <v>-3</v>
      </c>
      <c r="J20" s="75">
        <v>0.09</v>
      </c>
      <c r="L20" s="251">
        <f t="shared" ca="1" si="4"/>
        <v>-0.3</v>
      </c>
      <c r="M20" s="252">
        <f t="shared" ca="1" si="5"/>
        <v>-2</v>
      </c>
      <c r="N20" s="253">
        <f t="shared" ca="1" si="6"/>
        <v>-0.09</v>
      </c>
    </row>
    <row r="21" spans="2:14" s="42" customFormat="1" ht="26.1" customHeight="1">
      <c r="B21" s="242">
        <f t="shared" si="1"/>
        <v>43487.541666666664</v>
      </c>
      <c r="C21" s="75">
        <v>1680</v>
      </c>
      <c r="D21" s="243">
        <f t="shared" si="0"/>
        <v>14.7</v>
      </c>
      <c r="E21" s="244">
        <f t="shared" si="2"/>
        <v>210</v>
      </c>
      <c r="F21" s="209">
        <f t="shared" si="3"/>
        <v>6.59</v>
      </c>
      <c r="H21" s="73">
        <v>0.1</v>
      </c>
      <c r="I21" s="74">
        <v>-1</v>
      </c>
      <c r="J21" s="75">
        <v>-0.11</v>
      </c>
      <c r="L21" s="251">
        <f t="shared" ca="1" si="4"/>
        <v>0.3</v>
      </c>
      <c r="M21" s="252">
        <f t="shared" ca="1" si="5"/>
        <v>-3</v>
      </c>
      <c r="N21" s="253">
        <f t="shared" ca="1" si="6"/>
        <v>-0.09</v>
      </c>
    </row>
    <row r="22" spans="2:14" s="42" customFormat="1" ht="26.1" customHeight="1">
      <c r="B22" s="242">
        <f t="shared" si="1"/>
        <v>43487.708333333336</v>
      </c>
      <c r="C22" s="75">
        <v>1920</v>
      </c>
      <c r="D22" s="243">
        <f t="shared" si="0"/>
        <v>14.799999999999999</v>
      </c>
      <c r="E22" s="244">
        <f t="shared" si="2"/>
        <v>210</v>
      </c>
      <c r="F22" s="209">
        <f t="shared" si="3"/>
        <v>6.82</v>
      </c>
      <c r="H22" s="73">
        <v>0.2</v>
      </c>
      <c r="I22" s="74">
        <v>-1</v>
      </c>
      <c r="J22" s="75">
        <v>0.12</v>
      </c>
      <c r="L22" s="251">
        <f t="shared" ca="1" si="4"/>
        <v>0.1</v>
      </c>
      <c r="M22" s="252">
        <f t="shared" ca="1" si="5"/>
        <v>1</v>
      </c>
      <c r="N22" s="253">
        <f t="shared" ca="1" si="6"/>
        <v>-0.08</v>
      </c>
    </row>
    <row r="23" spans="2:14" s="42" customFormat="1" ht="26.1" customHeight="1" thickBot="1">
      <c r="B23" s="242">
        <f t="shared" si="1"/>
        <v>43488.375</v>
      </c>
      <c r="C23" s="75">
        <v>2880</v>
      </c>
      <c r="D23" s="243">
        <f t="shared" si="0"/>
        <v>14.5</v>
      </c>
      <c r="E23" s="244">
        <f t="shared" si="2"/>
        <v>210</v>
      </c>
      <c r="F23" s="209">
        <f t="shared" si="3"/>
        <v>6.82</v>
      </c>
      <c r="H23" s="83">
        <v>-0.1</v>
      </c>
      <c r="I23" s="80">
        <v>-1</v>
      </c>
      <c r="J23" s="81">
        <v>0.12</v>
      </c>
      <c r="L23" s="254">
        <f t="shared" ca="1" si="4"/>
        <v>-0.3</v>
      </c>
      <c r="M23" s="255">
        <f t="shared" ca="1" si="5"/>
        <v>-3</v>
      </c>
      <c r="N23" s="256">
        <f t="shared" ca="1" si="6"/>
        <v>-0.08</v>
      </c>
    </row>
    <row r="24" spans="2:14" s="42" customFormat="1" ht="26.1" customHeight="1">
      <c r="B24" s="452" t="s">
        <v>45</v>
      </c>
      <c r="C24" s="453"/>
      <c r="D24" s="229">
        <f>MAX(D14:D23)</f>
        <v>14.9</v>
      </c>
      <c r="E24" s="202">
        <f t="shared" ref="E24:F24" si="7">MAX(E14:E23)</f>
        <v>214</v>
      </c>
      <c r="F24" s="201">
        <f t="shared" si="7"/>
        <v>6.82</v>
      </c>
      <c r="H24" s="41"/>
      <c r="I24" s="41"/>
      <c r="J24" s="41"/>
    </row>
    <row r="25" spans="2:14" s="42" customFormat="1" ht="26.1" customHeight="1">
      <c r="B25" s="452" t="s">
        <v>46</v>
      </c>
      <c r="C25" s="453"/>
      <c r="D25" s="229">
        <f>MIN(D14:D23)</f>
        <v>14.299999999999999</v>
      </c>
      <c r="E25" s="202">
        <f t="shared" ref="E25:F25" si="8">MIN(E14:E23)</f>
        <v>208</v>
      </c>
      <c r="F25" s="201">
        <f t="shared" si="8"/>
        <v>6.58</v>
      </c>
      <c r="H25" s="41"/>
      <c r="I25" s="41"/>
      <c r="J25" s="41"/>
    </row>
    <row r="26" spans="2:14" s="42" customFormat="1" ht="26.1" customHeight="1" thickBot="1">
      <c r="B26" s="454" t="s">
        <v>104</v>
      </c>
      <c r="C26" s="455"/>
      <c r="D26" s="233">
        <f>D24-D25</f>
        <v>0.60000000000000142</v>
      </c>
      <c r="E26" s="220">
        <f t="shared" ref="E26:F26" si="9">E24-E25</f>
        <v>6</v>
      </c>
      <c r="F26" s="221">
        <f t="shared" si="9"/>
        <v>0.24000000000000021</v>
      </c>
      <c r="H26" s="41"/>
      <c r="I26" s="41"/>
      <c r="J26" s="41"/>
    </row>
    <row r="27" spans="2:14" s="42" customFormat="1" ht="18" customHeight="1">
      <c r="E27" s="41"/>
      <c r="F27" s="41"/>
    </row>
    <row r="28" spans="2:14" s="42" customFormat="1" ht="18" customHeight="1">
      <c r="E28" s="41"/>
      <c r="F28" s="41"/>
    </row>
    <row r="29" spans="2:14" s="42" customFormat="1" ht="18" customHeight="1">
      <c r="E29" s="41"/>
      <c r="F29" s="41"/>
    </row>
    <row r="30" spans="2:14" s="42" customFormat="1" ht="18" customHeight="1">
      <c r="E30" s="41"/>
      <c r="F30" s="41"/>
    </row>
    <row r="31" spans="2:14" s="42" customFormat="1" ht="18" customHeight="1">
      <c r="E31" s="41"/>
      <c r="F31" s="41"/>
    </row>
    <row r="32" spans="2:14" s="42" customFormat="1" ht="18" customHeight="1">
      <c r="E32" s="41"/>
      <c r="F32" s="41"/>
    </row>
    <row r="33" spans="5:6" s="42" customFormat="1" ht="18" customHeight="1">
      <c r="E33" s="41"/>
      <c r="F33" s="41"/>
    </row>
    <row r="34" spans="5:6" s="42" customFormat="1" ht="18" customHeight="1">
      <c r="E34" s="41"/>
      <c r="F34" s="41"/>
    </row>
    <row r="35" spans="5:6" s="42" customFormat="1" ht="18" customHeight="1">
      <c r="E35" s="41"/>
      <c r="F35" s="41"/>
    </row>
    <row r="36" spans="5:6" s="42" customFormat="1" ht="18" customHeight="1">
      <c r="E36" s="41"/>
      <c r="F36" s="41"/>
    </row>
    <row r="37" spans="5:6" s="42" customFormat="1" ht="18" customHeight="1">
      <c r="E37" s="41"/>
      <c r="F37" s="4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581025</xdr:colOff>
                <xdr:row>5</xdr:row>
                <xdr:rowOff>133350</xdr:rowOff>
              </from>
              <to>
                <xdr:col>5</xdr:col>
                <xdr:colOff>990600</xdr:colOff>
                <xdr:row>6</xdr:row>
                <xdr:rowOff>228600</xdr:rowOff>
              </to>
            </anchor>
          </controlPr>
        </control>
      </mc:Choice>
      <mc:Fallback>
        <control shapeId="129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12</vt:i4>
      </vt:variant>
    </vt:vector>
  </HeadingPairs>
  <TitlesOfParts>
    <vt:vector size="24" baseType="lpstr">
      <vt:lpstr>All</vt:lpstr>
      <vt:lpstr>Y</vt:lpstr>
      <vt:lpstr>Recharge</vt:lpstr>
      <vt:lpstr>drastic</vt:lpstr>
      <vt:lpstr>Well</vt:lpstr>
      <vt:lpstr>1</vt:lpstr>
      <vt:lpstr>2</vt:lpstr>
      <vt:lpstr>3</vt:lpstr>
      <vt:lpstr>4</vt:lpstr>
      <vt:lpstr>Q1</vt:lpstr>
      <vt:lpstr>Q2</vt:lpstr>
      <vt:lpstr>w1</vt:lpstr>
      <vt:lpstr>allow_ratio</vt:lpstr>
      <vt:lpstr>allow_ratio2</vt:lpstr>
      <vt:lpstr>allow_ratio3</vt:lpstr>
      <vt:lpstr>Area1</vt:lpstr>
      <vt:lpstr>'Q1'!baseTemp</vt:lpstr>
      <vt:lpstr>'Q2'!baseTemp</vt:lpstr>
      <vt:lpstr>'w1'!baseTemp</vt:lpstr>
      <vt:lpstr>max</vt:lpstr>
      <vt:lpstr>min</vt:lpstr>
      <vt:lpstr>rf_1</vt:lpstr>
      <vt:lpstr>rf_2</vt:lpstr>
      <vt:lpstr>rf_3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2021-07-06T09:46:38Z</dcterms:modified>
</cp:coreProperties>
</file>