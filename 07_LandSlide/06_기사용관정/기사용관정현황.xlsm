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6_예산군 9개공 연장하가\01_대술면 궐곡리 산41\"/>
    </mc:Choice>
  </mc:AlternateContent>
  <xr:revisionPtr revIDLastSave="0" documentId="13_ncr:1_{326F0030-1303-4B9C-9E14-33FEE564C147}" xr6:coauthVersionLast="46" xr6:coauthVersionMax="46" xr10:uidLastSave="{00000000-0000-0000-0000-000000000000}"/>
  <bookViews>
    <workbookView xWindow="3030" yWindow="3030" windowWidth="26085" windowHeight="17355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L41" i="8" l="1"/>
  <c r="L42" i="8"/>
  <c r="L39" i="8"/>
  <c r="L40" i="8"/>
  <c r="L37" i="8"/>
  <c r="L38" i="8"/>
  <c r="L35" i="8"/>
  <c r="L36" i="8"/>
  <c r="L33" i="8"/>
  <c r="L34" i="8"/>
  <c r="L31" i="8"/>
  <c r="L32" i="8"/>
  <c r="L29" i="8"/>
  <c r="L30" i="8"/>
  <c r="L27" i="8"/>
  <c r="L28" i="8"/>
  <c r="L25" i="8"/>
  <c r="L26" i="8"/>
  <c r="L23" i="8"/>
  <c r="L24" i="8"/>
  <c r="L21" i="8"/>
  <c r="L22" i="8"/>
  <c r="L19" i="8"/>
  <c r="L20" i="8"/>
  <c r="L17" i="8"/>
  <c r="L18" i="8"/>
  <c r="L15" i="8"/>
  <c r="L16" i="8"/>
  <c r="L13" i="8"/>
  <c r="L14" i="8"/>
  <c r="L11" i="8"/>
  <c r="L12" i="8"/>
  <c r="L9" i="8"/>
  <c r="L10" i="8"/>
  <c r="L7" i="8"/>
  <c r="L8" i="8"/>
  <c r="L5" i="8"/>
  <c r="L6" i="8"/>
  <c r="L3" i="8"/>
  <c r="L4" i="8"/>
  <c r="L39" i="10"/>
  <c r="L40" i="10"/>
  <c r="L37" i="10"/>
  <c r="L38" i="10"/>
  <c r="L35" i="10"/>
  <c r="L36" i="10"/>
  <c r="L33" i="10"/>
  <c r="L34" i="10"/>
  <c r="L31" i="10"/>
  <c r="L32" i="10"/>
  <c r="L29" i="10"/>
  <c r="L30" i="10"/>
  <c r="L27" i="10"/>
  <c r="L28" i="10"/>
  <c r="L25" i="10"/>
  <c r="L26" i="10"/>
  <c r="L23" i="10"/>
  <c r="L24" i="10"/>
  <c r="L21" i="10"/>
  <c r="L22" i="10"/>
  <c r="L19" i="10"/>
  <c r="L20" i="10"/>
  <c r="L17" i="10"/>
  <c r="L18" i="10"/>
  <c r="L15" i="10"/>
  <c r="L16" i="10"/>
  <c r="L13" i="10"/>
  <c r="L14" i="10"/>
  <c r="L11" i="10"/>
  <c r="L12" i="10"/>
  <c r="L9" i="10"/>
  <c r="L10" i="10"/>
  <c r="L7" i="10"/>
  <c r="L8" i="10"/>
  <c r="L5" i="10"/>
  <c r="L6" i="10"/>
  <c r="K5" i="11"/>
  <c r="D45" i="10"/>
  <c r="L3" i="10"/>
  <c r="L4" i="10"/>
  <c r="K37" i="8"/>
  <c r="K26" i="8"/>
  <c r="K14" i="8"/>
  <c r="K39" i="10"/>
  <c r="K27" i="10"/>
  <c r="K16" i="10"/>
  <c r="K4" i="10"/>
  <c r="K25" i="8"/>
  <c r="K13" i="8"/>
  <c r="K40" i="10"/>
  <c r="K28" i="10"/>
  <c r="K15" i="10"/>
  <c r="K2" i="8"/>
  <c r="K23" i="8"/>
  <c r="K12" i="8"/>
  <c r="K38" i="10"/>
  <c r="K14" i="10"/>
  <c r="K3" i="10"/>
  <c r="K11" i="8"/>
  <c r="K26" i="10"/>
  <c r="K2" i="10"/>
  <c r="K21" i="8"/>
  <c r="K35" i="10"/>
  <c r="K12" i="10"/>
  <c r="K36" i="10"/>
  <c r="K23" i="10"/>
  <c r="K20" i="8"/>
  <c r="K33" i="10"/>
  <c r="K9" i="10"/>
  <c r="K8" i="8"/>
  <c r="K22" i="10"/>
  <c r="K29" i="8"/>
  <c r="K5" i="8"/>
  <c r="K19" i="10"/>
  <c r="K30" i="8"/>
  <c r="K6" i="8"/>
  <c r="K20" i="10"/>
  <c r="K27" i="8"/>
  <c r="K3" i="8"/>
  <c r="K17" i="10"/>
  <c r="K28" i="8"/>
  <c r="K4" i="8"/>
  <c r="K18" i="10"/>
  <c r="K38" i="8"/>
  <c r="K25" i="10"/>
  <c r="K24" i="8"/>
  <c r="K37" i="10"/>
  <c r="K13" i="10"/>
  <c r="K9" i="8"/>
  <c r="K24" i="10"/>
  <c r="K22" i="8"/>
  <c r="K10" i="8"/>
  <c r="K11" i="10"/>
  <c r="K7" i="8"/>
  <c r="K21" i="10"/>
  <c r="K19" i="8"/>
  <c r="K34" i="10"/>
  <c r="K10" i="10"/>
  <c r="K17" i="8"/>
  <c r="K31" i="10"/>
  <c r="K8" i="10"/>
  <c r="K18" i="8"/>
  <c r="K32" i="10"/>
  <c r="K7" i="10"/>
  <c r="K15" i="8"/>
  <c r="K29" i="10"/>
  <c r="K5" i="10"/>
  <c r="K16" i="8"/>
  <c r="K30" i="10"/>
  <c r="K6" i="10"/>
  <c r="K35" i="8"/>
  <c r="K36" i="8"/>
  <c r="K34" i="8"/>
  <c r="K33" i="8"/>
  <c r="K31" i="8"/>
  <c r="K32" i="8"/>
  <c r="K41" i="8"/>
  <c r="K42" i="8"/>
  <c r="K40" i="8"/>
  <c r="K39" i="8"/>
  <c r="K45" i="8" l="1"/>
  <c r="C54" i="8" l="1"/>
  <c r="C53" i="8"/>
  <c r="C48" i="8"/>
  <c r="C49" i="8"/>
  <c r="C45" i="10"/>
  <c r="C44" i="10"/>
  <c r="C59" i="8" l="1"/>
  <c r="C58" i="8"/>
  <c r="D48" i="8" l="1"/>
  <c r="D49" i="8"/>
  <c r="D50" i="8" l="1"/>
  <c r="D54" i="8"/>
  <c r="D44" i="10"/>
  <c r="D53" i="8" s="1"/>
  <c r="D58" i="8" s="1"/>
  <c r="D46" i="10" l="1"/>
  <c r="D59" i="8"/>
  <c r="D55" i="8"/>
  <c r="L2" i="11" l="1"/>
  <c r="K43" i="10" l="1"/>
  <c r="K47" i="8" s="1"/>
  <c r="L2" i="10" l="1"/>
  <c r="L2" i="8" l="1"/>
</calcChain>
</file>

<file path=xl/sharedStrings.xml><?xml version="1.0" encoding="utf-8"?>
<sst xmlns="http://schemas.openxmlformats.org/spreadsheetml/2006/main" count="567" uniqueCount="120">
  <si>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</si>
  <si>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</si>
  <si>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</si>
  <si>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</si>
  <si>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</si>
  <si>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</si>
  <si>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</si>
  <si>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</si>
  <si>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</si>
  <si>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</si>
  <si>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</si>
  <si>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</si>
  <si>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</si>
  <si>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</si>
  <si>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</si>
  <si>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</si>
  <si>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</si>
  <si>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</si>
  <si>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</si>
  <si>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</si>
  <si>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</si>
  <si>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</si>
  <si>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</si>
  <si>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</si>
  <si>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</si>
  <si>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</si>
  <si>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</si>
  <si>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</si>
  <si>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</si>
  <si>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</si>
  <si>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</si>
  <si>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</si>
  <si>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</si>
  <si>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</si>
  <si>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</si>
  <si>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</si>
  <si>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</si>
  <si>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</si>
  <si>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611</t>
    <phoneticPr fontId="19" type="noConversion"/>
  </si>
  <si>
    <t>557-1</t>
    <phoneticPr fontId="19" type="noConversion"/>
  </si>
  <si>
    <t>556-2</t>
    <phoneticPr fontId="19" type="noConversion"/>
  </si>
  <si>
    <t>465-94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</si>
  <si>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</si>
  <si>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</si>
  <si>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</si>
  <si>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</si>
  <si>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</si>
  <si>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</si>
  <si>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</si>
  <si>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</si>
  <si>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</si>
  <si>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</si>
  <si>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</si>
  <si>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</si>
  <si>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</si>
  <si>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</si>
  <si>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</si>
  <si>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</si>
  <si>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</si>
  <si>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</si>
  <si>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</si>
  <si>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</si>
  <si>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</si>
  <si>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</si>
  <si>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</si>
  <si>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</si>
  <si>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</si>
  <si>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</si>
  <si>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</si>
  <si>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</si>
  <si>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</si>
  <si>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</si>
  <si>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</si>
  <si>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</si>
  <si>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</si>
  <si>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</si>
  <si>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</si>
  <si>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</si>
  <si>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</si>
  <si>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</si>
  <si>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</si>
  <si>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</si>
  <si>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</si>
  <si>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</si>
  <si>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</si>
  <si>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</si>
  <si>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</si>
  <si>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</si>
  <si>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</si>
  <si>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</si>
  <si>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</si>
  <si>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</si>
  <si>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</si>
  <si>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</si>
  <si>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</si>
  <si>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</si>
  <si>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</si>
  <si>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</si>
  <si>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</si>
  <si>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</si>
  <si>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</si>
  <si>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</si>
  <si>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</si>
  <si>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</si>
  <si>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</si>
  <si>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</si>
  <si>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</si>
  <si>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</si>
  <si>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</si>
  <si>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</si>
  <si>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</si>
  <si>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</si>
  <si>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</si>
  <si>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</si>
  <si>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</si>
  <si>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</si>
  <si>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</si>
  <si>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</si>
  <si>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대술면</t>
    <phoneticPr fontId="19" type="noConversion"/>
  </si>
  <si>
    <t>궐곡리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</si>
</sst>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76200</xdr:rowOff>
        </xdr:from>
        <xdr:to>
          <xdr:col>19</xdr:col>
          <xdr:colOff>628650</xdr:colOff>
          <xdr:row>3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65"/>
  <sheetViews>
    <sheetView tabSelected="1" workbookViewId="0">
      <selection activeCell="N8" sqref="N8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33</v>
      </c>
      <c r="B2" s="1" t="s">
        <v>31</v>
      </c>
      <c r="C2" s="2" t="s">
        <v>118</v>
      </c>
      <c r="D2" s="2" t="s">
        <v>119</v>
      </c>
      <c r="E2" s="7" t="s">
        <v>41</v>
      </c>
      <c r="F2" s="2">
        <v>100</v>
      </c>
      <c r="G2" s="2">
        <v>150</v>
      </c>
      <c r="H2" s="2">
        <v>1</v>
      </c>
      <c r="I2" s="2">
        <v>50</v>
      </c>
      <c r="J2" s="2" t="s">
        <v>32</v>
      </c>
      <c r="K2" s="3">
        <f t="shared" ref="K2" si="0">ss_water(I2,J2)</f>
        <v>3.17</v>
      </c>
      <c r="L2" s="2" t="str">
        <f t="shared" ref="L2" si="1">D2&amp;" "&amp;E2&amp;" 번지"</f>
        <v>궐곡리 465-94 번지</v>
      </c>
      <c r="M2" s="2">
        <v>100</v>
      </c>
      <c r="N2" s="2">
        <v>150</v>
      </c>
      <c r="O2" s="2">
        <v>1</v>
      </c>
      <c r="P2" s="2">
        <v>3.17</v>
      </c>
      <c r="Q2" s="2" t="s">
        <v>32</v>
      </c>
      <c r="R2" s="2" t="s">
        <v>13</v>
      </c>
    </row>
    <row r="3" spans="1:18" ht="21.75" customHeight="1" x14ac:dyDescent="0.3">
      <c r="A3" s="2" t="s">
        <v>78</v>
      </c>
      <c r="B3" s="1" t="s">
        <v>31</v>
      </c>
      <c r="C3" s="2" t="s">
        <v>118</v>
      </c>
      <c r="D3" s="2" t="s">
        <v>119</v>
      </c>
      <c r="I3" s="2"/>
      <c r="J3" s="2" t="s">
        <v>32</v>
      </c>
      <c r="K3" s="3">
        <f t="shared" ref="K3:K4" si="2">ss_water(I3,J3)</f>
        <v>2.12</v>
      </c>
      <c r="L3" s="2" t="str">
        <f t="shared" ref="L3:L4" si="3">D3&amp;" "&amp;E3&amp;" 번지"</f>
        <v>궐곡리  번지</v>
      </c>
      <c r="R3" s="2" t="s">
        <v>13</v>
      </c>
    </row>
    <row r="4" spans="1:18" ht="21.75" customHeight="1" x14ac:dyDescent="0.3">
      <c r="A4" s="2" t="s">
        <v>79</v>
      </c>
      <c r="B4" s="1" t="s">
        <v>31</v>
      </c>
      <c r="C4" s="2" t="s">
        <v>118</v>
      </c>
      <c r="D4" s="2" t="s">
        <v>119</v>
      </c>
      <c r="I4" s="2"/>
      <c r="J4" s="2" t="s">
        <v>32</v>
      </c>
      <c r="K4" s="3">
        <f t="shared" si="2"/>
        <v>2.12</v>
      </c>
      <c r="L4" s="2" t="str">
        <f t="shared" si="3"/>
        <v>궐곡리  번지</v>
      </c>
      <c r="R4" s="2" t="s">
        <v>13</v>
      </c>
    </row>
    <row r="5" spans="1:18" ht="21.75" customHeight="1" x14ac:dyDescent="0.3">
      <c r="A5" s="2" t="s">
        <v>80</v>
      </c>
      <c r="B5" s="1" t="s">
        <v>31</v>
      </c>
      <c r="C5" s="2" t="s">
        <v>118</v>
      </c>
      <c r="D5" s="2" t="s">
        <v>119</v>
      </c>
      <c r="I5" s="2"/>
      <c r="J5" s="2" t="s">
        <v>32</v>
      </c>
      <c r="K5" s="3">
        <f t="shared" ref="K5:K6" si="4">ss_water(I5,J5)</f>
        <v>2.12</v>
      </c>
      <c r="L5" s="2" t="str">
        <f t="shared" ref="L5:L6" si="5">D5&amp;" "&amp;E5&amp;" 번지"</f>
        <v>궐곡리  번지</v>
      </c>
      <c r="R5" s="2" t="s">
        <v>13</v>
      </c>
    </row>
    <row r="6" spans="1:18" ht="21.75" customHeight="1" x14ac:dyDescent="0.3">
      <c r="A6" s="2" t="s">
        <v>81</v>
      </c>
      <c r="B6" s="1" t="s">
        <v>31</v>
      </c>
      <c r="C6" s="2" t="s">
        <v>118</v>
      </c>
      <c r="D6" s="2" t="s">
        <v>119</v>
      </c>
      <c r="I6" s="2"/>
      <c r="J6" s="2" t="s">
        <v>32</v>
      </c>
      <c r="K6" s="3">
        <f t="shared" si="4"/>
        <v>2.12</v>
      </c>
      <c r="L6" s="2" t="str">
        <f t="shared" si="5"/>
        <v>궐곡리  번지</v>
      </c>
      <c r="R6" s="2" t="s">
        <v>13</v>
      </c>
    </row>
    <row r="7" spans="1:18" ht="21.75" customHeight="1" x14ac:dyDescent="0.3">
      <c r="A7" s="2" t="s">
        <v>82</v>
      </c>
      <c r="B7" s="1" t="s">
        <v>31</v>
      </c>
      <c r="C7" s="2" t="s">
        <v>118</v>
      </c>
      <c r="D7" s="2" t="s">
        <v>119</v>
      </c>
      <c r="I7" s="2"/>
      <c r="J7" s="2" t="s">
        <v>32</v>
      </c>
      <c r="K7" s="3">
        <f t="shared" ref="K7:K8" si="6">ss_water(I7,J7)</f>
        <v>2.12</v>
      </c>
      <c r="L7" s="2" t="str">
        <f t="shared" ref="L7:L8" si="7">D7&amp;" "&amp;E7&amp;" 번지"</f>
        <v>궐곡리  번지</v>
      </c>
      <c r="R7" s="2" t="s">
        <v>13</v>
      </c>
    </row>
    <row r="8" spans="1:18" ht="21.75" customHeight="1" x14ac:dyDescent="0.3">
      <c r="A8" s="2" t="s">
        <v>83</v>
      </c>
      <c r="B8" s="1" t="s">
        <v>31</v>
      </c>
      <c r="C8" s="2" t="s">
        <v>118</v>
      </c>
      <c r="D8" s="2" t="s">
        <v>119</v>
      </c>
      <c r="I8" s="2"/>
      <c r="J8" s="2" t="s">
        <v>32</v>
      </c>
      <c r="K8" s="3">
        <f t="shared" si="6"/>
        <v>2.12</v>
      </c>
      <c r="L8" s="2" t="str">
        <f t="shared" si="7"/>
        <v>궐곡리  번지</v>
      </c>
      <c r="R8" s="2" t="s">
        <v>13</v>
      </c>
    </row>
    <row r="9" spans="1:18" ht="21.75" customHeight="1" x14ac:dyDescent="0.3">
      <c r="A9" s="2" t="s">
        <v>84</v>
      </c>
      <c r="B9" s="1" t="s">
        <v>31</v>
      </c>
      <c r="C9" s="2" t="s">
        <v>118</v>
      </c>
      <c r="D9" s="2" t="s">
        <v>119</v>
      </c>
      <c r="I9" s="2"/>
      <c r="J9" s="2" t="s">
        <v>32</v>
      </c>
      <c r="K9" s="3">
        <f t="shared" ref="K9:K10" si="8">ss_water(I9,J9)</f>
        <v>2.12</v>
      </c>
      <c r="L9" s="2" t="str">
        <f t="shared" ref="L9:L10" si="9">D9&amp;" "&amp;E9&amp;" 번지"</f>
        <v>궐곡리  번지</v>
      </c>
      <c r="R9" s="2" t="s">
        <v>13</v>
      </c>
    </row>
    <row r="10" spans="1:18" ht="21.75" customHeight="1" x14ac:dyDescent="0.3">
      <c r="A10" s="2" t="s">
        <v>85</v>
      </c>
      <c r="B10" s="1" t="s">
        <v>31</v>
      </c>
      <c r="C10" s="2" t="s">
        <v>118</v>
      </c>
      <c r="D10" s="2" t="s">
        <v>119</v>
      </c>
      <c r="I10" s="2"/>
      <c r="J10" s="2" t="s">
        <v>32</v>
      </c>
      <c r="K10" s="3">
        <f t="shared" si="8"/>
        <v>2.12</v>
      </c>
      <c r="L10" s="2" t="str">
        <f t="shared" si="9"/>
        <v>궐곡리  번지</v>
      </c>
      <c r="R10" s="2" t="s">
        <v>13</v>
      </c>
    </row>
    <row r="11" spans="1:18" ht="21.75" customHeight="1" x14ac:dyDescent="0.3">
      <c r="A11" s="2" t="s">
        <v>86</v>
      </c>
      <c r="B11" s="1" t="s">
        <v>31</v>
      </c>
      <c r="C11" s="2" t="s">
        <v>118</v>
      </c>
      <c r="D11" s="2" t="s">
        <v>119</v>
      </c>
      <c r="I11" s="2"/>
      <c r="J11" s="2" t="s">
        <v>32</v>
      </c>
      <c r="K11" s="3">
        <f t="shared" ref="K11:K12" si="10">ss_water(I11,J11)</f>
        <v>2.12</v>
      </c>
      <c r="L11" s="2" t="str">
        <f t="shared" ref="L11:L12" si="11">D11&amp;" "&amp;E11&amp;" 번지"</f>
        <v>궐곡리  번지</v>
      </c>
      <c r="R11" s="2" t="s">
        <v>13</v>
      </c>
    </row>
    <row r="12" spans="1:18" ht="21.75" customHeight="1" x14ac:dyDescent="0.3">
      <c r="A12" s="2" t="s">
        <v>87</v>
      </c>
      <c r="B12" s="1" t="s">
        <v>31</v>
      </c>
      <c r="C12" s="2" t="s">
        <v>118</v>
      </c>
      <c r="D12" s="2" t="s">
        <v>119</v>
      </c>
      <c r="I12" s="2"/>
      <c r="J12" s="2" t="s">
        <v>32</v>
      </c>
      <c r="K12" s="3">
        <f t="shared" si="10"/>
        <v>2.12</v>
      </c>
      <c r="L12" s="2" t="str">
        <f t="shared" si="11"/>
        <v>궐곡리  번지</v>
      </c>
      <c r="R12" s="2" t="s">
        <v>13</v>
      </c>
    </row>
    <row r="13" spans="1:18" ht="21.75" customHeight="1" x14ac:dyDescent="0.3">
      <c r="A13" s="2" t="s">
        <v>88</v>
      </c>
      <c r="B13" s="1" t="s">
        <v>31</v>
      </c>
      <c r="C13" s="2" t="s">
        <v>118</v>
      </c>
      <c r="D13" s="2" t="s">
        <v>119</v>
      </c>
      <c r="I13" s="2"/>
      <c r="J13" s="2" t="s">
        <v>32</v>
      </c>
      <c r="K13" s="3">
        <f t="shared" ref="K13:K14" si="12">ss_water(I13,J13)</f>
        <v>2.12</v>
      </c>
      <c r="L13" s="2" t="str">
        <f t="shared" ref="L13:L14" si="13">D13&amp;" "&amp;E13&amp;" 번지"</f>
        <v>궐곡리  번지</v>
      </c>
      <c r="R13" s="2" t="s">
        <v>13</v>
      </c>
    </row>
    <row r="14" spans="1:18" ht="21.75" customHeight="1" x14ac:dyDescent="0.3">
      <c r="A14" s="2" t="s">
        <v>89</v>
      </c>
      <c r="B14" s="1" t="s">
        <v>31</v>
      </c>
      <c r="C14" s="2" t="s">
        <v>118</v>
      </c>
      <c r="D14" s="2" t="s">
        <v>119</v>
      </c>
      <c r="I14" s="2"/>
      <c r="J14" s="2" t="s">
        <v>32</v>
      </c>
      <c r="K14" s="3">
        <f t="shared" si="12"/>
        <v>2.12</v>
      </c>
      <c r="L14" s="2" t="str">
        <f t="shared" si="13"/>
        <v>궐곡리  번지</v>
      </c>
      <c r="R14" s="2" t="s">
        <v>13</v>
      </c>
    </row>
    <row r="15" spans="1:18" ht="21.75" customHeight="1" x14ac:dyDescent="0.3">
      <c r="A15" s="2" t="s">
        <v>90</v>
      </c>
      <c r="B15" s="1" t="s">
        <v>31</v>
      </c>
      <c r="C15" s="2" t="s">
        <v>118</v>
      </c>
      <c r="D15" s="2" t="s">
        <v>119</v>
      </c>
      <c r="I15" s="2"/>
      <c r="J15" s="2" t="s">
        <v>32</v>
      </c>
      <c r="K15" s="3">
        <f t="shared" ref="K15:K16" si="14">ss_water(I15,J15)</f>
        <v>2.12</v>
      </c>
      <c r="L15" s="2" t="str">
        <f t="shared" ref="L15:L16" si="15">D15&amp;" "&amp;E15&amp;" 번지"</f>
        <v>궐곡리  번지</v>
      </c>
      <c r="R15" s="2" t="s">
        <v>13</v>
      </c>
    </row>
    <row r="16" spans="1:18" ht="21.75" customHeight="1" x14ac:dyDescent="0.3">
      <c r="A16" s="2" t="s">
        <v>91</v>
      </c>
      <c r="B16" s="1" t="s">
        <v>31</v>
      </c>
      <c r="C16" s="2" t="s">
        <v>118</v>
      </c>
      <c r="D16" s="2" t="s">
        <v>119</v>
      </c>
      <c r="I16" s="2"/>
      <c r="J16" s="2" t="s">
        <v>32</v>
      </c>
      <c r="K16" s="3">
        <f t="shared" si="14"/>
        <v>2.12</v>
      </c>
      <c r="L16" s="2" t="str">
        <f t="shared" si="15"/>
        <v>궐곡리  번지</v>
      </c>
      <c r="R16" s="2" t="s">
        <v>13</v>
      </c>
    </row>
    <row r="17" spans="1:18" ht="21.75" customHeight="1" x14ac:dyDescent="0.3">
      <c r="A17" s="2" t="s">
        <v>92</v>
      </c>
      <c r="B17" s="1" t="s">
        <v>31</v>
      </c>
      <c r="C17" s="2" t="s">
        <v>118</v>
      </c>
      <c r="D17" s="2" t="s">
        <v>119</v>
      </c>
      <c r="I17" s="2"/>
      <c r="J17" s="2" t="s">
        <v>32</v>
      </c>
      <c r="K17" s="3">
        <f t="shared" ref="K17:K18" si="16">ss_water(I17,J17)</f>
        <v>2.12</v>
      </c>
      <c r="L17" s="2" t="str">
        <f t="shared" ref="L17:L18" si="17">D17&amp;" "&amp;E17&amp;" 번지"</f>
        <v>궐곡리  번지</v>
      </c>
      <c r="R17" s="2" t="s">
        <v>13</v>
      </c>
    </row>
    <row r="18" spans="1:18" ht="21.75" customHeight="1" x14ac:dyDescent="0.3">
      <c r="A18" s="2" t="s">
        <v>93</v>
      </c>
      <c r="B18" s="1" t="s">
        <v>31</v>
      </c>
      <c r="C18" s="2" t="s">
        <v>118</v>
      </c>
      <c r="D18" s="2" t="s">
        <v>119</v>
      </c>
      <c r="I18" s="2"/>
      <c r="J18" s="2" t="s">
        <v>32</v>
      </c>
      <c r="K18" s="3">
        <f t="shared" si="16"/>
        <v>2.12</v>
      </c>
      <c r="L18" s="2" t="str">
        <f t="shared" si="17"/>
        <v>궐곡리  번지</v>
      </c>
      <c r="R18" s="2" t="s">
        <v>13</v>
      </c>
    </row>
    <row r="19" spans="1:18" ht="21.75" customHeight="1" x14ac:dyDescent="0.3">
      <c r="A19" s="2" t="s">
        <v>94</v>
      </c>
      <c r="B19" s="1" t="s">
        <v>31</v>
      </c>
      <c r="C19" s="2" t="s">
        <v>118</v>
      </c>
      <c r="D19" s="2" t="s">
        <v>119</v>
      </c>
      <c r="I19" s="2"/>
      <c r="J19" s="2" t="s">
        <v>32</v>
      </c>
      <c r="K19" s="3">
        <f t="shared" ref="K19:K20" si="18">ss_water(I19,J19)</f>
        <v>2.12</v>
      </c>
      <c r="L19" s="2" t="str">
        <f t="shared" ref="L19:L20" si="19">D19&amp;" "&amp;E19&amp;" 번지"</f>
        <v>궐곡리  번지</v>
      </c>
      <c r="R19" s="2" t="s">
        <v>13</v>
      </c>
    </row>
    <row r="20" spans="1:18" ht="21.75" customHeight="1" x14ac:dyDescent="0.3">
      <c r="A20" s="2" t="s">
        <v>95</v>
      </c>
      <c r="B20" s="1" t="s">
        <v>31</v>
      </c>
      <c r="C20" s="2" t="s">
        <v>118</v>
      </c>
      <c r="D20" s="2" t="s">
        <v>119</v>
      </c>
      <c r="I20" s="2"/>
      <c r="J20" s="2" t="s">
        <v>32</v>
      </c>
      <c r="K20" s="3">
        <f t="shared" si="18"/>
        <v>2.12</v>
      </c>
      <c r="L20" s="2" t="str">
        <f t="shared" si="19"/>
        <v>궐곡리  번지</v>
      </c>
      <c r="R20" s="2" t="s">
        <v>13</v>
      </c>
    </row>
    <row r="21" spans="1:18" ht="21.75" customHeight="1" x14ac:dyDescent="0.3">
      <c r="A21" s="2" t="s">
        <v>96</v>
      </c>
      <c r="B21" s="1" t="s">
        <v>31</v>
      </c>
      <c r="C21" s="2" t="s">
        <v>118</v>
      </c>
      <c r="D21" s="2" t="s">
        <v>119</v>
      </c>
      <c r="I21" s="2"/>
      <c r="J21" s="2" t="s">
        <v>32</v>
      </c>
      <c r="K21" s="3">
        <f t="shared" ref="K21:K22" si="20">ss_water(I21,J21)</f>
        <v>2.12</v>
      </c>
      <c r="L21" s="2" t="str">
        <f t="shared" ref="L21:L22" si="21">D21&amp;" "&amp;E21&amp;" 번지"</f>
        <v>궐곡리  번지</v>
      </c>
      <c r="R21" s="2" t="s">
        <v>13</v>
      </c>
    </row>
    <row r="22" spans="1:18" ht="21.75" customHeight="1" x14ac:dyDescent="0.3">
      <c r="A22" s="2" t="s">
        <v>97</v>
      </c>
      <c r="B22" s="1" t="s">
        <v>31</v>
      </c>
      <c r="C22" s="2" t="s">
        <v>118</v>
      </c>
      <c r="D22" s="2" t="s">
        <v>119</v>
      </c>
      <c r="I22" s="2"/>
      <c r="J22" s="2" t="s">
        <v>32</v>
      </c>
      <c r="K22" s="3">
        <f t="shared" si="20"/>
        <v>2.12</v>
      </c>
      <c r="L22" s="2" t="str">
        <f t="shared" si="21"/>
        <v>궐곡리  번지</v>
      </c>
      <c r="R22" s="2" t="s">
        <v>13</v>
      </c>
    </row>
    <row r="23" spans="1:18" ht="21.75" customHeight="1" x14ac:dyDescent="0.3">
      <c r="A23" s="2" t="s">
        <v>98</v>
      </c>
      <c r="B23" s="1" t="s">
        <v>31</v>
      </c>
      <c r="C23" s="2" t="s">
        <v>118</v>
      </c>
      <c r="D23" s="2" t="s">
        <v>119</v>
      </c>
      <c r="I23" s="2"/>
      <c r="J23" s="2" t="s">
        <v>32</v>
      </c>
      <c r="K23" s="3">
        <f t="shared" ref="K23:K24" si="22">ss_water(I23,J23)</f>
        <v>2.12</v>
      </c>
      <c r="L23" s="2" t="str">
        <f t="shared" ref="L23:L24" si="23">D23&amp;" "&amp;E23&amp;" 번지"</f>
        <v>궐곡리  번지</v>
      </c>
      <c r="R23" s="2" t="s">
        <v>13</v>
      </c>
    </row>
    <row r="24" spans="1:18" ht="21.75" customHeight="1" x14ac:dyDescent="0.3">
      <c r="A24" s="2" t="s">
        <v>99</v>
      </c>
      <c r="B24" s="1" t="s">
        <v>31</v>
      </c>
      <c r="C24" s="2" t="s">
        <v>118</v>
      </c>
      <c r="D24" s="2" t="s">
        <v>119</v>
      </c>
      <c r="I24" s="2"/>
      <c r="J24" s="2" t="s">
        <v>32</v>
      </c>
      <c r="K24" s="3">
        <f t="shared" si="22"/>
        <v>2.12</v>
      </c>
      <c r="L24" s="2" t="str">
        <f t="shared" si="23"/>
        <v>궐곡리  번지</v>
      </c>
      <c r="R24" s="2" t="s">
        <v>13</v>
      </c>
    </row>
    <row r="25" spans="1:18" ht="21.75" customHeight="1" x14ac:dyDescent="0.3">
      <c r="A25" s="2" t="s">
        <v>100</v>
      </c>
      <c r="B25" s="1" t="s">
        <v>31</v>
      </c>
      <c r="C25" s="2" t="s">
        <v>118</v>
      </c>
      <c r="D25" s="2" t="s">
        <v>119</v>
      </c>
      <c r="I25" s="2"/>
      <c r="J25" s="2" t="s">
        <v>32</v>
      </c>
      <c r="K25" s="3">
        <f t="shared" ref="K25:K26" si="24">ss_water(I25,J25)</f>
        <v>2.12</v>
      </c>
      <c r="L25" s="2" t="str">
        <f t="shared" ref="L25:L26" si="25">D25&amp;" "&amp;E25&amp;" 번지"</f>
        <v>궐곡리  번지</v>
      </c>
      <c r="R25" s="2" t="s">
        <v>13</v>
      </c>
    </row>
    <row r="26" spans="1:18" ht="21.75" customHeight="1" x14ac:dyDescent="0.3">
      <c r="A26" s="2" t="s">
        <v>101</v>
      </c>
      <c r="B26" s="1" t="s">
        <v>31</v>
      </c>
      <c r="C26" s="2" t="s">
        <v>118</v>
      </c>
      <c r="D26" s="2" t="s">
        <v>119</v>
      </c>
      <c r="I26" s="2"/>
      <c r="J26" s="2" t="s">
        <v>32</v>
      </c>
      <c r="K26" s="3">
        <f t="shared" si="24"/>
        <v>2.12</v>
      </c>
      <c r="L26" s="2" t="str">
        <f t="shared" si="25"/>
        <v>궐곡리  번지</v>
      </c>
      <c r="R26" s="2" t="s">
        <v>13</v>
      </c>
    </row>
    <row r="27" spans="1:18" ht="21.75" customHeight="1" x14ac:dyDescent="0.3">
      <c r="A27" s="2" t="s">
        <v>102</v>
      </c>
      <c r="B27" s="1" t="s">
        <v>31</v>
      </c>
      <c r="C27" s="2" t="s">
        <v>118</v>
      </c>
      <c r="D27" s="2" t="s">
        <v>119</v>
      </c>
      <c r="I27" s="2"/>
      <c r="J27" s="2" t="s">
        <v>32</v>
      </c>
      <c r="K27" s="3">
        <f t="shared" ref="K27:K28" si="26">ss_water(I27,J27)</f>
        <v>2.12</v>
      </c>
      <c r="L27" s="2" t="str">
        <f t="shared" ref="L27:L28" si="27">D27&amp;" "&amp;E27&amp;" 번지"</f>
        <v>궐곡리  번지</v>
      </c>
      <c r="R27" s="2" t="s">
        <v>13</v>
      </c>
    </row>
    <row r="28" spans="1:18" ht="21.75" customHeight="1" x14ac:dyDescent="0.3">
      <c r="A28" s="2" t="s">
        <v>103</v>
      </c>
      <c r="B28" s="1" t="s">
        <v>31</v>
      </c>
      <c r="C28" s="2" t="s">
        <v>118</v>
      </c>
      <c r="D28" s="2" t="s">
        <v>119</v>
      </c>
      <c r="I28" s="2"/>
      <c r="J28" s="2" t="s">
        <v>32</v>
      </c>
      <c r="K28" s="3">
        <f t="shared" si="26"/>
        <v>2.12</v>
      </c>
      <c r="L28" s="2" t="str">
        <f t="shared" si="27"/>
        <v>궐곡리  번지</v>
      </c>
      <c r="R28" s="2" t="s">
        <v>13</v>
      </c>
    </row>
    <row r="29" spans="1:18" ht="21.75" customHeight="1" x14ac:dyDescent="0.3">
      <c r="A29" s="2" t="s">
        <v>104</v>
      </c>
      <c r="B29" s="1" t="s">
        <v>31</v>
      </c>
      <c r="C29" s="2" t="s">
        <v>118</v>
      </c>
      <c r="D29" s="2" t="s">
        <v>119</v>
      </c>
      <c r="I29" s="2"/>
      <c r="J29" s="2" t="s">
        <v>32</v>
      </c>
      <c r="K29" s="3">
        <f t="shared" ref="K29:K30" si="28">ss_water(I29,J29)</f>
        <v>2.12</v>
      </c>
      <c r="L29" s="2" t="str">
        <f t="shared" ref="L29:L30" si="29">D29&amp;" "&amp;E29&amp;" 번지"</f>
        <v>궐곡리  번지</v>
      </c>
      <c r="R29" s="2" t="s">
        <v>13</v>
      </c>
    </row>
    <row r="30" spans="1:18" ht="21.75" customHeight="1" x14ac:dyDescent="0.3">
      <c r="A30" s="2" t="s">
        <v>105</v>
      </c>
      <c r="B30" s="1" t="s">
        <v>31</v>
      </c>
      <c r="C30" s="2" t="s">
        <v>118</v>
      </c>
      <c r="D30" s="2" t="s">
        <v>119</v>
      </c>
      <c r="I30" s="2"/>
      <c r="J30" s="2" t="s">
        <v>32</v>
      </c>
      <c r="K30" s="3">
        <f t="shared" si="28"/>
        <v>2.12</v>
      </c>
      <c r="L30" s="2" t="str">
        <f t="shared" si="29"/>
        <v>궐곡리  번지</v>
      </c>
      <c r="R30" s="2" t="s">
        <v>13</v>
      </c>
    </row>
    <row r="31" spans="1:18" ht="21.75" customHeight="1" x14ac:dyDescent="0.3">
      <c r="A31" s="2" t="s">
        <v>106</v>
      </c>
      <c r="B31" s="1" t="s">
        <v>31</v>
      </c>
      <c r="C31" s="2" t="s">
        <v>118</v>
      </c>
      <c r="D31" s="2" t="s">
        <v>119</v>
      </c>
      <c r="I31" s="2"/>
      <c r="J31" s="2" t="s">
        <v>32</v>
      </c>
      <c r="K31" s="3">
        <f t="shared" ref="K31:K32" si="30">ss_water(I31,J31)</f>
        <v>2.12</v>
      </c>
      <c r="L31" s="2" t="str">
        <f t="shared" ref="L31:L32" si="31">D31&amp;" "&amp;E31&amp;" 번지"</f>
        <v>궐곡리  번지</v>
      </c>
      <c r="R31" s="2" t="s">
        <v>13</v>
      </c>
    </row>
    <row r="32" spans="1:18" ht="21.75" customHeight="1" x14ac:dyDescent="0.3">
      <c r="A32" s="2" t="s">
        <v>107</v>
      </c>
      <c r="B32" s="1" t="s">
        <v>31</v>
      </c>
      <c r="C32" s="2" t="s">
        <v>118</v>
      </c>
      <c r="D32" s="2" t="s">
        <v>119</v>
      </c>
      <c r="I32" s="2"/>
      <c r="J32" s="2" t="s">
        <v>32</v>
      </c>
      <c r="K32" s="3">
        <f t="shared" si="30"/>
        <v>2.12</v>
      </c>
      <c r="L32" s="2" t="str">
        <f t="shared" si="31"/>
        <v>궐곡리  번지</v>
      </c>
      <c r="R32" s="2" t="s">
        <v>13</v>
      </c>
    </row>
    <row r="33" spans="1:18" ht="21.75" customHeight="1" x14ac:dyDescent="0.3">
      <c r="A33" s="2" t="s">
        <v>108</v>
      </c>
      <c r="B33" s="1" t="s">
        <v>31</v>
      </c>
      <c r="C33" s="2" t="s">
        <v>118</v>
      </c>
      <c r="D33" s="2" t="s">
        <v>119</v>
      </c>
      <c r="I33" s="2"/>
      <c r="J33" s="2" t="s">
        <v>32</v>
      </c>
      <c r="K33" s="3">
        <f t="shared" ref="K33:K34" si="32">ss_water(I33,J33)</f>
        <v>2.12</v>
      </c>
      <c r="L33" s="2" t="str">
        <f t="shared" ref="L33:L34" si="33">D33&amp;" "&amp;E33&amp;" 번지"</f>
        <v>궐곡리  번지</v>
      </c>
      <c r="R33" s="2" t="s">
        <v>13</v>
      </c>
    </row>
    <row r="34" spans="1:18" ht="21.75" customHeight="1" x14ac:dyDescent="0.3">
      <c r="A34" s="2" t="s">
        <v>109</v>
      </c>
      <c r="B34" s="1" t="s">
        <v>31</v>
      </c>
      <c r="C34" s="2" t="s">
        <v>118</v>
      </c>
      <c r="D34" s="2" t="s">
        <v>119</v>
      </c>
      <c r="I34" s="2"/>
      <c r="J34" s="2" t="s">
        <v>32</v>
      </c>
      <c r="K34" s="3">
        <f t="shared" si="32"/>
        <v>2.12</v>
      </c>
      <c r="L34" s="2" t="str">
        <f t="shared" si="33"/>
        <v>궐곡리  번지</v>
      </c>
      <c r="R34" s="2" t="s">
        <v>13</v>
      </c>
    </row>
    <row r="35" spans="1:18" ht="21.75" customHeight="1" x14ac:dyDescent="0.3">
      <c r="A35" s="2" t="s">
        <v>110</v>
      </c>
      <c r="B35" s="1" t="s">
        <v>31</v>
      </c>
      <c r="C35" s="2" t="s">
        <v>118</v>
      </c>
      <c r="D35" s="2" t="s">
        <v>119</v>
      </c>
      <c r="I35" s="2"/>
      <c r="J35" s="2" t="s">
        <v>32</v>
      </c>
      <c r="K35" s="3">
        <f t="shared" ref="K35:K36" si="34">ss_water(I35,J35)</f>
        <v>2.12</v>
      </c>
      <c r="L35" s="2" t="str">
        <f t="shared" ref="L35:L36" si="35">D35&amp;" "&amp;E35&amp;" 번지"</f>
        <v>궐곡리  번지</v>
      </c>
      <c r="R35" s="2" t="s">
        <v>13</v>
      </c>
    </row>
    <row r="36" spans="1:18" ht="21.75" customHeight="1" x14ac:dyDescent="0.3">
      <c r="A36" s="2" t="s">
        <v>111</v>
      </c>
      <c r="B36" s="1" t="s">
        <v>31</v>
      </c>
      <c r="C36" s="2" t="s">
        <v>118</v>
      </c>
      <c r="D36" s="2" t="s">
        <v>119</v>
      </c>
      <c r="I36" s="2"/>
      <c r="J36" s="2" t="s">
        <v>32</v>
      </c>
      <c r="K36" s="3">
        <f t="shared" si="34"/>
        <v>2.12</v>
      </c>
      <c r="L36" s="2" t="str">
        <f t="shared" si="35"/>
        <v>궐곡리  번지</v>
      </c>
      <c r="R36" s="2" t="s">
        <v>13</v>
      </c>
    </row>
    <row r="37" spans="1:18" ht="21.75" customHeight="1" x14ac:dyDescent="0.3">
      <c r="A37" s="2" t="s">
        <v>112</v>
      </c>
      <c r="B37" s="1" t="s">
        <v>31</v>
      </c>
      <c r="C37" s="2" t="s">
        <v>118</v>
      </c>
      <c r="D37" s="2" t="s">
        <v>119</v>
      </c>
      <c r="I37" s="2"/>
      <c r="J37" s="2" t="s">
        <v>32</v>
      </c>
      <c r="K37" s="3">
        <f t="shared" ref="K37:K38" si="36">ss_water(I37,J37)</f>
        <v>2.12</v>
      </c>
      <c r="L37" s="2" t="str">
        <f t="shared" ref="L37:L38" si="37">D37&amp;" "&amp;E37&amp;" 번지"</f>
        <v>궐곡리  번지</v>
      </c>
      <c r="R37" s="2" t="s">
        <v>13</v>
      </c>
    </row>
    <row r="38" spans="1:18" ht="21.75" customHeight="1" x14ac:dyDescent="0.3">
      <c r="A38" s="2" t="s">
        <v>113</v>
      </c>
      <c r="B38" s="1" t="s">
        <v>31</v>
      </c>
      <c r="C38" s="2" t="s">
        <v>118</v>
      </c>
      <c r="D38" s="2" t="s">
        <v>119</v>
      </c>
      <c r="I38" s="2"/>
      <c r="J38" s="2" t="s">
        <v>32</v>
      </c>
      <c r="K38" s="3">
        <f t="shared" si="36"/>
        <v>2.12</v>
      </c>
      <c r="L38" s="2" t="str">
        <f t="shared" si="37"/>
        <v>궐곡리  번지</v>
      </c>
      <c r="R38" s="2" t="s">
        <v>13</v>
      </c>
    </row>
    <row r="39" spans="1:18" ht="21.75" customHeight="1" x14ac:dyDescent="0.3">
      <c r="A39" s="2" t="s">
        <v>114</v>
      </c>
      <c r="B39" s="1" t="s">
        <v>31</v>
      </c>
      <c r="C39" s="2" t="s">
        <v>118</v>
      </c>
      <c r="D39" s="2" t="s">
        <v>119</v>
      </c>
      <c r="I39" s="2"/>
      <c r="J39" s="2" t="s">
        <v>32</v>
      </c>
      <c r="K39" s="3">
        <f t="shared" ref="K39:K40" si="38">ss_water(I39,J39)</f>
        <v>2.12</v>
      </c>
      <c r="L39" s="2" t="str">
        <f t="shared" ref="L39:L40" si="39">D39&amp;" "&amp;E39&amp;" 번지"</f>
        <v>궐곡리  번지</v>
      </c>
      <c r="R39" s="2" t="s">
        <v>13</v>
      </c>
    </row>
    <row r="40" spans="1:18" ht="21.75" customHeight="1" x14ac:dyDescent="0.3">
      <c r="A40" s="2" t="s">
        <v>115</v>
      </c>
      <c r="B40" s="1" t="s">
        <v>31</v>
      </c>
      <c r="C40" s="2" t="s">
        <v>118</v>
      </c>
      <c r="D40" s="2" t="s">
        <v>119</v>
      </c>
      <c r="I40" s="2"/>
      <c r="J40" s="2" t="s">
        <v>32</v>
      </c>
      <c r="K40" s="3">
        <f t="shared" si="38"/>
        <v>2.12</v>
      </c>
      <c r="L40" s="2" t="str">
        <f t="shared" si="39"/>
        <v>궐곡리  번지</v>
      </c>
      <c r="R40" s="2" t="s">
        <v>13</v>
      </c>
    </row>
    <row r="41" spans="1:18" ht="21.75" customHeight="1" x14ac:dyDescent="0.3">
      <c r="A41" s="2" t="s">
        <v>116</v>
      </c>
      <c r="B41" s="1" t="s">
        <v>31</v>
      </c>
      <c r="C41" s="2" t="s">
        <v>118</v>
      </c>
      <c r="D41" s="2" t="s">
        <v>119</v>
      </c>
      <c r="I41" s="2"/>
      <c r="J41" s="2" t="s">
        <v>32</v>
      </c>
      <c r="K41" s="3">
        <f t="shared" ref="K41:K42" si="40">ss_water(I41,J41)</f>
        <v>2.12</v>
      </c>
      <c r="L41" s="2" t="str">
        <f t="shared" ref="L41:L42" si="41">D41&amp;" "&amp;E41&amp;" 번지"</f>
        <v>궐곡리  번지</v>
      </c>
      <c r="R41" s="2" t="s">
        <v>13</v>
      </c>
    </row>
    <row r="42" spans="1:18" ht="21.75" customHeight="1" x14ac:dyDescent="0.3">
      <c r="A42" s="2" t="s">
        <v>117</v>
      </c>
      <c r="B42" s="1" t="s">
        <v>31</v>
      </c>
      <c r="C42" s="2" t="s">
        <v>118</v>
      </c>
      <c r="D42" s="2" t="s">
        <v>119</v>
      </c>
      <c r="I42" s="2"/>
      <c r="J42" s="2" t="s">
        <v>32</v>
      </c>
      <c r="K42" s="3">
        <f t="shared" si="40"/>
        <v>2.12</v>
      </c>
      <c r="L42" s="2" t="str">
        <f t="shared" si="41"/>
        <v>궐곡리  번지</v>
      </c>
      <c r="R42" s="2" t="s">
        <v>13</v>
      </c>
    </row>
    <row r="43" spans="1:18" ht="21" customHeight="1" x14ac:dyDescent="0.3">
      <c r="B43" s="1"/>
      <c r="I43" s="2"/>
      <c r="K43" s="3"/>
    </row>
    <row r="44" spans="1:18" ht="21.75" customHeight="1" x14ac:dyDescent="0.3">
      <c r="I44" s="2"/>
    </row>
    <row r="45" spans="1:18" ht="21.75" customHeight="1" x14ac:dyDescent="0.3">
      <c r="K45" s="28">
        <f>SUM(K2:K44)</f>
        <v>87.970000000000027</v>
      </c>
    </row>
    <row r="47" spans="1:18" ht="21.75" customHeight="1" x14ac:dyDescent="0.3">
      <c r="B47" s="12" t="s">
        <v>24</v>
      </c>
      <c r="C47" s="13" t="s">
        <v>22</v>
      </c>
      <c r="D47" s="14" t="s">
        <v>7</v>
      </c>
      <c r="K47" s="4">
        <f>K45+aa!K43+ii!K5</f>
        <v>357.65000000000009</v>
      </c>
    </row>
    <row r="48" spans="1:18" ht="21.75" customHeight="1" x14ac:dyDescent="0.3">
      <c r="B48" s="15" t="s">
        <v>20</v>
      </c>
      <c r="C48" s="16">
        <f ca="1">COUNTIF(SS_INSIDE_AREA,"O")</f>
        <v>41</v>
      </c>
      <c r="D48" s="17">
        <f ca="1">SUMIF(SS_INSIDE_AREA,"O",K2:K2)</f>
        <v>87.970000000000027</v>
      </c>
    </row>
    <row r="49" spans="2:4" ht="21.75" customHeight="1" x14ac:dyDescent="0.3">
      <c r="B49" s="15" t="s">
        <v>21</v>
      </c>
      <c r="C49" s="16">
        <f ca="1">COUNTIF(SS_INSIDE_AREA,"X")</f>
        <v>0</v>
      </c>
      <c r="D49" s="17">
        <f ca="1">SUMIF(SS_INSIDE_AREA,"X",K2:K2)</f>
        <v>0</v>
      </c>
    </row>
    <row r="50" spans="2:4" ht="21.75" customHeight="1" x14ac:dyDescent="0.3">
      <c r="B50" s="18"/>
      <c r="C50" s="19"/>
      <c r="D50" s="20">
        <f ca="1">SUM(D48:D49)</f>
        <v>87.970000000000027</v>
      </c>
    </row>
    <row r="52" spans="2:4" ht="21.75" customHeight="1" x14ac:dyDescent="0.3">
      <c r="B52" s="12" t="s">
        <v>23</v>
      </c>
      <c r="C52" s="13" t="s">
        <v>22</v>
      </c>
      <c r="D52" s="14" t="s">
        <v>7</v>
      </c>
    </row>
    <row r="53" spans="2:4" ht="21.75" customHeight="1" x14ac:dyDescent="0.3">
      <c r="B53" s="15" t="s">
        <v>20</v>
      </c>
      <c r="C53" s="16">
        <f ca="1">COUNTIF(AA_INSIDE_AREA,"O")</f>
        <v>39</v>
      </c>
      <c r="D53" s="17">
        <f ca="1">aa!D44</f>
        <v>269.68000000000006</v>
      </c>
    </row>
    <row r="54" spans="2:4" ht="21.75" customHeight="1" x14ac:dyDescent="0.3">
      <c r="B54" s="15" t="s">
        <v>21</v>
      </c>
      <c r="C54" s="16">
        <f ca="1">COUNTIF(AA_INSIDE_AREA,"X")</f>
        <v>0</v>
      </c>
      <c r="D54" s="17">
        <f ca="1">aa!D45</f>
        <v>0</v>
      </c>
    </row>
    <row r="55" spans="2:4" ht="21.75" customHeight="1" x14ac:dyDescent="0.3">
      <c r="B55" s="18"/>
      <c r="C55" s="19"/>
      <c r="D55" s="20">
        <f ca="1">SUM(D53:D54)</f>
        <v>269.68000000000006</v>
      </c>
    </row>
    <row r="57" spans="2:4" ht="21.75" customHeight="1" x14ac:dyDescent="0.3">
      <c r="B57" s="12" t="s">
        <v>25</v>
      </c>
      <c r="C57" s="13" t="s">
        <v>22</v>
      </c>
      <c r="D57" s="14" t="s">
        <v>7</v>
      </c>
    </row>
    <row r="58" spans="2:4" ht="21.75" customHeight="1" x14ac:dyDescent="0.3">
      <c r="B58" s="15" t="s">
        <v>20</v>
      </c>
      <c r="C58" s="16">
        <f ca="1">C48+C53</f>
        <v>80</v>
      </c>
      <c r="D58" s="17">
        <f ca="1">D48+D53</f>
        <v>357.65000000000009</v>
      </c>
    </row>
    <row r="59" spans="2:4" ht="21.75" customHeight="1" x14ac:dyDescent="0.3">
      <c r="B59" s="18" t="s">
        <v>21</v>
      </c>
      <c r="C59" s="19">
        <f ca="1">C49+C54</f>
        <v>0</v>
      </c>
      <c r="D59" s="20">
        <f ca="1">D49+D54</f>
        <v>0</v>
      </c>
    </row>
    <row r="65" spans="10:16" ht="21.75" customHeight="1" x14ac:dyDescent="0.3">
      <c r="J65" s="26"/>
      <c r="K65" s="26"/>
      <c r="L65" s="26"/>
      <c r="M65" s="26"/>
      <c r="N65" s="26"/>
      <c r="O65" s="26"/>
      <c r="P65" s="2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76200</xdr:rowOff>
              </from>
              <to>
                <xdr:col>19</xdr:col>
                <xdr:colOff>628650</xdr:colOff>
                <xdr:row>3</xdr:row>
                <xdr:rowOff>161925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6"/>
  <sheetViews>
    <sheetView workbookViewId="0">
      <selection activeCell="F9" sqref="F9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31</v>
      </c>
      <c r="C2" s="2" t="s">
        <v>118</v>
      </c>
      <c r="D2" s="2" t="s">
        <v>119</v>
      </c>
      <c r="E2" s="25" t="s">
        <v>38</v>
      </c>
      <c r="F2" s="24">
        <v>50</v>
      </c>
      <c r="G2" s="24">
        <v>125</v>
      </c>
      <c r="H2" s="24">
        <v>1</v>
      </c>
      <c r="I2" s="24">
        <v>80</v>
      </c>
      <c r="J2" s="24" t="s">
        <v>37</v>
      </c>
      <c r="K2" s="2">
        <f t="shared" ref="K2:K4" si="0">aa_water(I2,J2)</f>
        <v>8</v>
      </c>
      <c r="L2" s="2" t="str">
        <f t="shared" ref="L2" si="1">D2&amp;" "&amp;E2&amp;" 번지"</f>
        <v>궐곡리 611 번지</v>
      </c>
      <c r="M2" s="24">
        <v>50</v>
      </c>
      <c r="N2" s="24">
        <v>125</v>
      </c>
      <c r="O2" s="24">
        <v>1</v>
      </c>
      <c r="P2" s="3">
        <v>8</v>
      </c>
      <c r="Q2" s="24" t="s">
        <v>37</v>
      </c>
      <c r="R2" s="2" t="s">
        <v>36</v>
      </c>
    </row>
    <row r="3" spans="1:18" s="8" customFormat="1" ht="21.75" customHeight="1" x14ac:dyDescent="0.3">
      <c r="A3" s="1" t="s">
        <v>34</v>
      </c>
      <c r="B3" s="1" t="s">
        <v>31</v>
      </c>
      <c r="C3" s="2" t="s">
        <v>118</v>
      </c>
      <c r="D3" s="2" t="s">
        <v>119</v>
      </c>
      <c r="E3" s="25" t="s">
        <v>39</v>
      </c>
      <c r="F3" s="24">
        <v>45</v>
      </c>
      <c r="G3" s="24">
        <v>150</v>
      </c>
      <c r="H3" s="24">
        <v>1</v>
      </c>
      <c r="I3" s="24">
        <v>30</v>
      </c>
      <c r="J3" s="24" t="s">
        <v>30</v>
      </c>
      <c r="K3" s="2">
        <f t="shared" si="0"/>
        <v>3.38</v>
      </c>
      <c r="L3" s="2" t="str">
        <f t="shared" ref="L3:L4" si="2">D3&amp;" "&amp;E3&amp;" 번지"</f>
        <v>궐곡리 557-1 번지</v>
      </c>
      <c r="M3" s="24">
        <v>45</v>
      </c>
      <c r="N3" s="24">
        <v>150</v>
      </c>
      <c r="O3" s="24">
        <v>1</v>
      </c>
      <c r="P3" s="3">
        <v>3.38</v>
      </c>
      <c r="Q3" s="24" t="s">
        <v>30</v>
      </c>
      <c r="R3" s="2" t="s">
        <v>36</v>
      </c>
    </row>
    <row r="4" spans="1:18" s="8" customFormat="1" ht="21.75" customHeight="1" x14ac:dyDescent="0.3">
      <c r="A4" s="1" t="s">
        <v>35</v>
      </c>
      <c r="B4" s="1" t="s">
        <v>31</v>
      </c>
      <c r="C4" s="2" t="s">
        <v>118</v>
      </c>
      <c r="D4" s="2" t="s">
        <v>119</v>
      </c>
      <c r="E4" s="25" t="s">
        <v>40</v>
      </c>
      <c r="F4" s="24">
        <v>45</v>
      </c>
      <c r="G4" s="24">
        <v>150</v>
      </c>
      <c r="H4" s="24">
        <v>1</v>
      </c>
      <c r="I4" s="24">
        <v>60</v>
      </c>
      <c r="J4" s="24" t="s">
        <v>37</v>
      </c>
      <c r="K4" s="2">
        <f t="shared" si="0"/>
        <v>7.74</v>
      </c>
      <c r="L4" s="2" t="str">
        <f t="shared" si="2"/>
        <v>궐곡리 556-2 번지</v>
      </c>
      <c r="M4" s="24">
        <v>45</v>
      </c>
      <c r="N4" s="24">
        <v>150</v>
      </c>
      <c r="O4" s="24">
        <v>1</v>
      </c>
      <c r="P4" s="3">
        <v>7.74</v>
      </c>
      <c r="Q4" s="24" t="s">
        <v>37</v>
      </c>
      <c r="R4" s="2" t="s">
        <v>36</v>
      </c>
    </row>
    <row r="5" spans="1:18" s="8" customFormat="1" ht="21.75" customHeight="1" x14ac:dyDescent="0.3">
      <c r="A5" s="1" t="s">
        <v>42</v>
      </c>
      <c r="B5" s="1" t="s">
        <v>31</v>
      </c>
      <c r="C5" s="2" t="s">
        <v>118</v>
      </c>
      <c r="D5" s="2" t="s">
        <v>119</v>
      </c>
      <c r="E5" s="25"/>
      <c r="F5" s="24"/>
      <c r="G5" s="24"/>
      <c r="H5" s="24"/>
      <c r="I5" s="24"/>
      <c r="J5" s="24" t="s">
        <v>37</v>
      </c>
      <c r="K5" s="2">
        <f t="shared" ref="K5:K6" si="3">aa_water(I5,J5)</f>
        <v>6.96</v>
      </c>
      <c r="L5" s="2" t="str">
        <f t="shared" ref="L5:L6" si="4">D5&amp;" "&amp;E5&amp;" 번지"</f>
        <v>궐곡리  번지</v>
      </c>
      <c r="M5" s="24"/>
      <c r="N5" s="24"/>
      <c r="O5" s="24"/>
      <c r="P5" s="3"/>
      <c r="Q5" s="24"/>
      <c r="R5" s="2" t="s">
        <v>36</v>
      </c>
    </row>
    <row r="6" spans="1:18" s="8" customFormat="1" ht="21.75" customHeight="1" x14ac:dyDescent="0.3">
      <c r="A6" s="1" t="s">
        <v>43</v>
      </c>
      <c r="B6" s="1" t="s">
        <v>31</v>
      </c>
      <c r="C6" s="2" t="s">
        <v>118</v>
      </c>
      <c r="D6" s="2" t="s">
        <v>119</v>
      </c>
      <c r="E6" s="25"/>
      <c r="F6" s="24"/>
      <c r="G6" s="24"/>
      <c r="H6" s="24"/>
      <c r="I6" s="24"/>
      <c r="J6" s="24" t="s">
        <v>37</v>
      </c>
      <c r="K6" s="2">
        <f t="shared" si="3"/>
        <v>6.96</v>
      </c>
      <c r="L6" s="2" t="str">
        <f t="shared" si="4"/>
        <v>궐곡리  번지</v>
      </c>
      <c r="M6" s="24"/>
      <c r="N6" s="24"/>
      <c r="O6" s="24"/>
      <c r="P6" s="3"/>
      <c r="Q6" s="24"/>
      <c r="R6" s="2" t="s">
        <v>36</v>
      </c>
    </row>
    <row r="7" spans="1:18" s="8" customFormat="1" ht="21.75" customHeight="1" x14ac:dyDescent="0.3">
      <c r="A7" s="1" t="s">
        <v>44</v>
      </c>
      <c r="B7" s="1" t="s">
        <v>31</v>
      </c>
      <c r="C7" s="2" t="s">
        <v>118</v>
      </c>
      <c r="D7" s="2" t="s">
        <v>119</v>
      </c>
      <c r="E7" s="25"/>
      <c r="F7" s="24"/>
      <c r="G7" s="24"/>
      <c r="H7" s="24"/>
      <c r="I7" s="24"/>
      <c r="J7" s="24" t="s">
        <v>37</v>
      </c>
      <c r="K7" s="2">
        <f t="shared" ref="K7:K8" si="5">aa_water(I7,J7)</f>
        <v>6.96</v>
      </c>
      <c r="L7" s="2" t="str">
        <f t="shared" ref="L7:L8" si="6">D7&amp;" "&amp;E7&amp;" 번지"</f>
        <v>궐곡리  번지</v>
      </c>
      <c r="M7" s="24"/>
      <c r="N7" s="24"/>
      <c r="O7" s="24"/>
      <c r="P7" s="3"/>
      <c r="Q7" s="24"/>
      <c r="R7" s="2" t="s">
        <v>36</v>
      </c>
    </row>
    <row r="8" spans="1:18" s="8" customFormat="1" ht="21.75" customHeight="1" x14ac:dyDescent="0.3">
      <c r="A8" s="1" t="s">
        <v>45</v>
      </c>
      <c r="B8" s="1" t="s">
        <v>31</v>
      </c>
      <c r="C8" s="2" t="s">
        <v>118</v>
      </c>
      <c r="D8" s="2" t="s">
        <v>119</v>
      </c>
      <c r="E8" s="25"/>
      <c r="F8" s="24"/>
      <c r="G8" s="24"/>
      <c r="H8" s="24"/>
      <c r="I8" s="24"/>
      <c r="J8" s="24" t="s">
        <v>37</v>
      </c>
      <c r="K8" s="2">
        <f t="shared" si="5"/>
        <v>6.96</v>
      </c>
      <c r="L8" s="2" t="str">
        <f t="shared" si="6"/>
        <v>궐곡리  번지</v>
      </c>
      <c r="M8" s="24"/>
      <c r="N8" s="24"/>
      <c r="O8" s="24"/>
      <c r="P8" s="3"/>
      <c r="Q8" s="24"/>
      <c r="R8" s="2" t="s">
        <v>36</v>
      </c>
    </row>
    <row r="9" spans="1:18" s="8" customFormat="1" ht="21.75" customHeight="1" x14ac:dyDescent="0.3">
      <c r="A9" s="1" t="s">
        <v>46</v>
      </c>
      <c r="B9" s="1" t="s">
        <v>31</v>
      </c>
      <c r="C9" s="2" t="s">
        <v>118</v>
      </c>
      <c r="D9" s="2" t="s">
        <v>119</v>
      </c>
      <c r="E9" s="25"/>
      <c r="F9" s="24"/>
      <c r="G9" s="24"/>
      <c r="H9" s="24"/>
      <c r="I9" s="24"/>
      <c r="J9" s="24" t="s">
        <v>37</v>
      </c>
      <c r="K9" s="2">
        <f t="shared" ref="K9:K10" si="7">aa_water(I9,J9)</f>
        <v>6.96</v>
      </c>
      <c r="L9" s="2" t="str">
        <f t="shared" ref="L9:L10" si="8">D9&amp;" "&amp;E9&amp;" 번지"</f>
        <v>궐곡리  번지</v>
      </c>
      <c r="M9" s="24"/>
      <c r="N9" s="24"/>
      <c r="O9" s="24"/>
      <c r="P9" s="3"/>
      <c r="Q9" s="24"/>
      <c r="R9" s="2" t="s">
        <v>36</v>
      </c>
    </row>
    <row r="10" spans="1:18" s="8" customFormat="1" ht="21.75" customHeight="1" x14ac:dyDescent="0.3">
      <c r="A10" s="1" t="s">
        <v>47</v>
      </c>
      <c r="B10" s="1" t="s">
        <v>31</v>
      </c>
      <c r="C10" s="2" t="s">
        <v>118</v>
      </c>
      <c r="D10" s="2" t="s">
        <v>119</v>
      </c>
      <c r="E10" s="25"/>
      <c r="F10" s="24"/>
      <c r="G10" s="24"/>
      <c r="H10" s="24"/>
      <c r="I10" s="24"/>
      <c r="J10" s="24" t="s">
        <v>37</v>
      </c>
      <c r="K10" s="2">
        <f t="shared" si="7"/>
        <v>6.96</v>
      </c>
      <c r="L10" s="2" t="str">
        <f t="shared" si="8"/>
        <v>궐곡리  번지</v>
      </c>
      <c r="M10" s="24"/>
      <c r="N10" s="24"/>
      <c r="O10" s="24"/>
      <c r="P10" s="3"/>
      <c r="Q10" s="24"/>
      <c r="R10" s="2" t="s">
        <v>36</v>
      </c>
    </row>
    <row r="11" spans="1:18" s="8" customFormat="1" ht="21.75" customHeight="1" x14ac:dyDescent="0.3">
      <c r="A11" s="1" t="s">
        <v>48</v>
      </c>
      <c r="B11" s="1" t="s">
        <v>31</v>
      </c>
      <c r="C11" s="2" t="s">
        <v>118</v>
      </c>
      <c r="D11" s="2" t="s">
        <v>119</v>
      </c>
      <c r="E11" s="25"/>
      <c r="F11" s="24"/>
      <c r="G11" s="24"/>
      <c r="H11" s="24"/>
      <c r="I11" s="24"/>
      <c r="J11" s="24" t="s">
        <v>37</v>
      </c>
      <c r="K11" s="2">
        <f t="shared" ref="K11:K12" si="9">aa_water(I11,J11)</f>
        <v>6.96</v>
      </c>
      <c r="L11" s="2" t="str">
        <f t="shared" ref="L11:L12" si="10">D11&amp;" "&amp;E11&amp;" 번지"</f>
        <v>궐곡리  번지</v>
      </c>
      <c r="M11" s="24"/>
      <c r="N11" s="24"/>
      <c r="O11" s="24"/>
      <c r="P11" s="3"/>
      <c r="Q11" s="24"/>
      <c r="R11" s="2" t="s">
        <v>36</v>
      </c>
    </row>
    <row r="12" spans="1:18" s="8" customFormat="1" ht="21.75" customHeight="1" x14ac:dyDescent="0.3">
      <c r="A12" s="1" t="s">
        <v>49</v>
      </c>
      <c r="B12" s="1" t="s">
        <v>31</v>
      </c>
      <c r="C12" s="2" t="s">
        <v>118</v>
      </c>
      <c r="D12" s="2" t="s">
        <v>119</v>
      </c>
      <c r="E12" s="25"/>
      <c r="F12" s="24"/>
      <c r="G12" s="24"/>
      <c r="H12" s="24"/>
      <c r="I12" s="24"/>
      <c r="J12" s="24" t="s">
        <v>37</v>
      </c>
      <c r="K12" s="2">
        <f t="shared" si="9"/>
        <v>6.96</v>
      </c>
      <c r="L12" s="2" t="str">
        <f t="shared" si="10"/>
        <v>궐곡리  번지</v>
      </c>
      <c r="M12" s="24"/>
      <c r="N12" s="24"/>
      <c r="O12" s="24"/>
      <c r="P12" s="3"/>
      <c r="Q12" s="24"/>
      <c r="R12" s="2" t="s">
        <v>36</v>
      </c>
    </row>
    <row r="13" spans="1:18" s="8" customFormat="1" ht="21.75" customHeight="1" x14ac:dyDescent="0.3">
      <c r="A13" s="1" t="s">
        <v>50</v>
      </c>
      <c r="B13" s="1" t="s">
        <v>31</v>
      </c>
      <c r="C13" s="2" t="s">
        <v>118</v>
      </c>
      <c r="D13" s="2" t="s">
        <v>119</v>
      </c>
      <c r="E13" s="25"/>
      <c r="F13" s="24"/>
      <c r="G13" s="24"/>
      <c r="H13" s="24"/>
      <c r="I13" s="24"/>
      <c r="J13" s="24" t="s">
        <v>37</v>
      </c>
      <c r="K13" s="2">
        <f t="shared" ref="K13:K14" si="11">aa_water(I13,J13)</f>
        <v>6.96</v>
      </c>
      <c r="L13" s="2" t="str">
        <f t="shared" ref="L13:L14" si="12">D13&amp;" "&amp;E13&amp;" 번지"</f>
        <v>궐곡리  번지</v>
      </c>
      <c r="M13" s="24"/>
      <c r="N13" s="24"/>
      <c r="O13" s="24"/>
      <c r="P13" s="3"/>
      <c r="Q13" s="24"/>
      <c r="R13" s="2" t="s">
        <v>36</v>
      </c>
    </row>
    <row r="14" spans="1:18" s="8" customFormat="1" ht="21.75" customHeight="1" x14ac:dyDescent="0.3">
      <c r="A14" s="1" t="s">
        <v>51</v>
      </c>
      <c r="B14" s="1" t="s">
        <v>31</v>
      </c>
      <c r="C14" s="2" t="s">
        <v>118</v>
      </c>
      <c r="D14" s="2" t="s">
        <v>119</v>
      </c>
      <c r="E14" s="25"/>
      <c r="F14" s="24"/>
      <c r="G14" s="24"/>
      <c r="H14" s="24"/>
      <c r="I14" s="24"/>
      <c r="J14" s="24" t="s">
        <v>37</v>
      </c>
      <c r="K14" s="2">
        <f t="shared" si="11"/>
        <v>6.96</v>
      </c>
      <c r="L14" s="2" t="str">
        <f t="shared" si="12"/>
        <v>궐곡리  번지</v>
      </c>
      <c r="M14" s="24"/>
      <c r="N14" s="24"/>
      <c r="O14" s="24"/>
      <c r="P14" s="3"/>
      <c r="Q14" s="24"/>
      <c r="R14" s="2" t="s">
        <v>36</v>
      </c>
    </row>
    <row r="15" spans="1:18" s="8" customFormat="1" ht="21.75" customHeight="1" x14ac:dyDescent="0.3">
      <c r="A15" s="1" t="s">
        <v>52</v>
      </c>
      <c r="B15" s="1" t="s">
        <v>31</v>
      </c>
      <c r="C15" s="2" t="s">
        <v>118</v>
      </c>
      <c r="D15" s="2" t="s">
        <v>119</v>
      </c>
      <c r="E15" s="25"/>
      <c r="F15" s="24"/>
      <c r="G15" s="24"/>
      <c r="H15" s="24"/>
      <c r="I15" s="24"/>
      <c r="J15" s="24" t="s">
        <v>37</v>
      </c>
      <c r="K15" s="2">
        <f t="shared" ref="K15:K16" si="13">aa_water(I15,J15)</f>
        <v>6.96</v>
      </c>
      <c r="L15" s="2" t="str">
        <f t="shared" ref="L15:L16" si="14">D15&amp;" "&amp;E15&amp;" 번지"</f>
        <v>궐곡리  번지</v>
      </c>
      <c r="M15" s="24"/>
      <c r="N15" s="24"/>
      <c r="O15" s="24"/>
      <c r="P15" s="3"/>
      <c r="Q15" s="24"/>
      <c r="R15" s="2" t="s">
        <v>36</v>
      </c>
    </row>
    <row r="16" spans="1:18" s="8" customFormat="1" ht="21.75" customHeight="1" x14ac:dyDescent="0.3">
      <c r="A16" s="1" t="s">
        <v>53</v>
      </c>
      <c r="B16" s="1" t="s">
        <v>31</v>
      </c>
      <c r="C16" s="2" t="s">
        <v>118</v>
      </c>
      <c r="D16" s="2" t="s">
        <v>119</v>
      </c>
      <c r="E16" s="25"/>
      <c r="F16" s="24"/>
      <c r="G16" s="24"/>
      <c r="H16" s="24"/>
      <c r="I16" s="24"/>
      <c r="J16" s="24" t="s">
        <v>37</v>
      </c>
      <c r="K16" s="2">
        <f t="shared" si="13"/>
        <v>6.96</v>
      </c>
      <c r="L16" s="2" t="str">
        <f t="shared" si="14"/>
        <v>궐곡리  번지</v>
      </c>
      <c r="M16" s="24"/>
      <c r="N16" s="24"/>
      <c r="O16" s="24"/>
      <c r="P16" s="3"/>
      <c r="Q16" s="24"/>
      <c r="R16" s="2" t="s">
        <v>36</v>
      </c>
    </row>
    <row r="17" spans="1:18" s="8" customFormat="1" ht="21.75" customHeight="1" x14ac:dyDescent="0.3">
      <c r="A17" s="1" t="s">
        <v>54</v>
      </c>
      <c r="B17" s="1" t="s">
        <v>31</v>
      </c>
      <c r="C17" s="2" t="s">
        <v>118</v>
      </c>
      <c r="D17" s="2" t="s">
        <v>119</v>
      </c>
      <c r="E17" s="25"/>
      <c r="F17" s="24"/>
      <c r="G17" s="24"/>
      <c r="H17" s="24"/>
      <c r="I17" s="24"/>
      <c r="J17" s="24" t="s">
        <v>37</v>
      </c>
      <c r="K17" s="2">
        <f t="shared" ref="K17:K18" si="15">aa_water(I17,J17)</f>
        <v>6.96</v>
      </c>
      <c r="L17" s="2" t="str">
        <f t="shared" ref="L17:L18" si="16">D17&amp;" "&amp;E17&amp;" 번지"</f>
        <v>궐곡리  번지</v>
      </c>
      <c r="M17" s="24"/>
      <c r="N17" s="24"/>
      <c r="O17" s="24"/>
      <c r="P17" s="3"/>
      <c r="Q17" s="24"/>
      <c r="R17" s="2" t="s">
        <v>36</v>
      </c>
    </row>
    <row r="18" spans="1:18" s="8" customFormat="1" ht="21.75" customHeight="1" x14ac:dyDescent="0.3">
      <c r="A18" s="1" t="s">
        <v>55</v>
      </c>
      <c r="B18" s="1" t="s">
        <v>31</v>
      </c>
      <c r="C18" s="2" t="s">
        <v>118</v>
      </c>
      <c r="D18" s="2" t="s">
        <v>119</v>
      </c>
      <c r="E18" s="25"/>
      <c r="F18" s="24"/>
      <c r="G18" s="24"/>
      <c r="H18" s="24"/>
      <c r="I18" s="24"/>
      <c r="J18" s="24" t="s">
        <v>37</v>
      </c>
      <c r="K18" s="2">
        <f t="shared" si="15"/>
        <v>6.96</v>
      </c>
      <c r="L18" s="2" t="str">
        <f t="shared" si="16"/>
        <v>궐곡리  번지</v>
      </c>
      <c r="M18" s="24"/>
      <c r="N18" s="24"/>
      <c r="O18" s="24"/>
      <c r="P18" s="3"/>
      <c r="Q18" s="24"/>
      <c r="R18" s="2" t="s">
        <v>36</v>
      </c>
    </row>
    <row r="19" spans="1:18" s="8" customFormat="1" ht="21.75" customHeight="1" x14ac:dyDescent="0.3">
      <c r="A19" s="1" t="s">
        <v>56</v>
      </c>
      <c r="B19" s="1" t="s">
        <v>31</v>
      </c>
      <c r="C19" s="2" t="s">
        <v>118</v>
      </c>
      <c r="D19" s="2" t="s">
        <v>119</v>
      </c>
      <c r="E19" s="25"/>
      <c r="F19" s="24"/>
      <c r="G19" s="24"/>
      <c r="H19" s="24"/>
      <c r="I19" s="24"/>
      <c r="J19" s="24" t="s">
        <v>37</v>
      </c>
      <c r="K19" s="2">
        <f t="shared" ref="K19:K20" si="17">aa_water(I19,J19)</f>
        <v>6.96</v>
      </c>
      <c r="L19" s="2" t="str">
        <f t="shared" ref="L19:L20" si="18">D19&amp;" "&amp;E19&amp;" 번지"</f>
        <v>궐곡리  번지</v>
      </c>
      <c r="M19" s="24"/>
      <c r="N19" s="24"/>
      <c r="O19" s="24"/>
      <c r="P19" s="3"/>
      <c r="Q19" s="24"/>
      <c r="R19" s="2" t="s">
        <v>36</v>
      </c>
    </row>
    <row r="20" spans="1:18" s="8" customFormat="1" ht="21.75" customHeight="1" x14ac:dyDescent="0.3">
      <c r="A20" s="1" t="s">
        <v>57</v>
      </c>
      <c r="B20" s="1" t="s">
        <v>31</v>
      </c>
      <c r="C20" s="2" t="s">
        <v>118</v>
      </c>
      <c r="D20" s="2" t="s">
        <v>119</v>
      </c>
      <c r="E20" s="25"/>
      <c r="F20" s="24"/>
      <c r="G20" s="24"/>
      <c r="H20" s="24"/>
      <c r="I20" s="24"/>
      <c r="J20" s="24" t="s">
        <v>37</v>
      </c>
      <c r="K20" s="2">
        <f t="shared" si="17"/>
        <v>6.96</v>
      </c>
      <c r="L20" s="2" t="str">
        <f t="shared" si="18"/>
        <v>궐곡리  번지</v>
      </c>
      <c r="M20" s="24"/>
      <c r="N20" s="24"/>
      <c r="O20" s="24"/>
      <c r="P20" s="3"/>
      <c r="Q20" s="24"/>
      <c r="R20" s="2" t="s">
        <v>36</v>
      </c>
    </row>
    <row r="21" spans="1:18" s="8" customFormat="1" ht="21.75" customHeight="1" x14ac:dyDescent="0.3">
      <c r="A21" s="1" t="s">
        <v>58</v>
      </c>
      <c r="B21" s="1" t="s">
        <v>31</v>
      </c>
      <c r="C21" s="2" t="s">
        <v>118</v>
      </c>
      <c r="D21" s="2" t="s">
        <v>119</v>
      </c>
      <c r="E21" s="25"/>
      <c r="F21" s="24"/>
      <c r="G21" s="24"/>
      <c r="H21" s="24"/>
      <c r="I21" s="24"/>
      <c r="J21" s="24" t="s">
        <v>37</v>
      </c>
      <c r="K21" s="2">
        <f t="shared" ref="K21:K22" si="19">aa_water(I21,J21)</f>
        <v>6.96</v>
      </c>
      <c r="L21" s="2" t="str">
        <f t="shared" ref="L21:L22" si="20">D21&amp;" "&amp;E21&amp;" 번지"</f>
        <v>궐곡리  번지</v>
      </c>
      <c r="M21" s="24"/>
      <c r="N21" s="24"/>
      <c r="O21" s="24"/>
      <c r="P21" s="3"/>
      <c r="Q21" s="24"/>
      <c r="R21" s="2" t="s">
        <v>36</v>
      </c>
    </row>
    <row r="22" spans="1:18" s="8" customFormat="1" ht="21.75" customHeight="1" x14ac:dyDescent="0.3">
      <c r="A22" s="1" t="s">
        <v>59</v>
      </c>
      <c r="B22" s="1" t="s">
        <v>31</v>
      </c>
      <c r="C22" s="2" t="s">
        <v>118</v>
      </c>
      <c r="D22" s="2" t="s">
        <v>119</v>
      </c>
      <c r="E22" s="25"/>
      <c r="F22" s="24"/>
      <c r="G22" s="24"/>
      <c r="H22" s="24"/>
      <c r="I22" s="24"/>
      <c r="J22" s="24" t="s">
        <v>37</v>
      </c>
      <c r="K22" s="2">
        <f t="shared" si="19"/>
        <v>6.96</v>
      </c>
      <c r="L22" s="2" t="str">
        <f t="shared" si="20"/>
        <v>궐곡리  번지</v>
      </c>
      <c r="M22" s="24"/>
      <c r="N22" s="24"/>
      <c r="O22" s="24"/>
      <c r="P22" s="3"/>
      <c r="Q22" s="24"/>
      <c r="R22" s="2" t="s">
        <v>36</v>
      </c>
    </row>
    <row r="23" spans="1:18" s="8" customFormat="1" ht="21.75" customHeight="1" x14ac:dyDescent="0.3">
      <c r="A23" s="1" t="s">
        <v>60</v>
      </c>
      <c r="B23" s="1" t="s">
        <v>31</v>
      </c>
      <c r="C23" s="2" t="s">
        <v>118</v>
      </c>
      <c r="D23" s="2" t="s">
        <v>119</v>
      </c>
      <c r="E23" s="25"/>
      <c r="F23" s="24"/>
      <c r="G23" s="24"/>
      <c r="H23" s="24"/>
      <c r="I23" s="24"/>
      <c r="J23" s="24" t="s">
        <v>37</v>
      </c>
      <c r="K23" s="2">
        <f t="shared" ref="K23:K24" si="21">aa_water(I23,J23)</f>
        <v>6.96</v>
      </c>
      <c r="L23" s="2" t="str">
        <f t="shared" ref="L23:L24" si="22">D23&amp;" "&amp;E23&amp;" 번지"</f>
        <v>궐곡리  번지</v>
      </c>
      <c r="M23" s="24"/>
      <c r="N23" s="24"/>
      <c r="O23" s="24"/>
      <c r="P23" s="3"/>
      <c r="Q23" s="24"/>
      <c r="R23" s="2" t="s">
        <v>36</v>
      </c>
    </row>
    <row r="24" spans="1:18" s="8" customFormat="1" ht="21.75" customHeight="1" x14ac:dyDescent="0.3">
      <c r="A24" s="1" t="s">
        <v>61</v>
      </c>
      <c r="B24" s="1" t="s">
        <v>31</v>
      </c>
      <c r="C24" s="2" t="s">
        <v>118</v>
      </c>
      <c r="D24" s="2" t="s">
        <v>119</v>
      </c>
      <c r="E24" s="25"/>
      <c r="F24" s="24"/>
      <c r="G24" s="24"/>
      <c r="H24" s="24"/>
      <c r="I24" s="24"/>
      <c r="J24" s="24" t="s">
        <v>37</v>
      </c>
      <c r="K24" s="2">
        <f t="shared" si="21"/>
        <v>6.96</v>
      </c>
      <c r="L24" s="2" t="str">
        <f t="shared" si="22"/>
        <v>궐곡리  번지</v>
      </c>
      <c r="M24" s="24"/>
      <c r="N24" s="24"/>
      <c r="O24" s="24"/>
      <c r="P24" s="3"/>
      <c r="Q24" s="24"/>
      <c r="R24" s="2" t="s">
        <v>36</v>
      </c>
    </row>
    <row r="25" spans="1:18" s="8" customFormat="1" ht="21.75" customHeight="1" x14ac:dyDescent="0.3">
      <c r="A25" s="1" t="s">
        <v>62</v>
      </c>
      <c r="B25" s="1" t="s">
        <v>31</v>
      </c>
      <c r="C25" s="2" t="s">
        <v>118</v>
      </c>
      <c r="D25" s="2" t="s">
        <v>119</v>
      </c>
      <c r="E25" s="25"/>
      <c r="F25" s="24"/>
      <c r="G25" s="24"/>
      <c r="H25" s="24"/>
      <c r="I25" s="24"/>
      <c r="J25" s="24" t="s">
        <v>37</v>
      </c>
      <c r="K25" s="2">
        <f t="shared" ref="K25:K26" si="23">aa_water(I25,J25)</f>
        <v>6.96</v>
      </c>
      <c r="L25" s="2" t="str">
        <f t="shared" ref="L25:L26" si="24">D25&amp;" "&amp;E25&amp;" 번지"</f>
        <v>궐곡리  번지</v>
      </c>
      <c r="M25" s="24"/>
      <c r="N25" s="24"/>
      <c r="O25" s="24"/>
      <c r="P25" s="3"/>
      <c r="Q25" s="24"/>
      <c r="R25" s="2" t="s">
        <v>36</v>
      </c>
    </row>
    <row r="26" spans="1:18" s="8" customFormat="1" ht="21.75" customHeight="1" x14ac:dyDescent="0.3">
      <c r="A26" s="1" t="s">
        <v>63</v>
      </c>
      <c r="B26" s="1" t="s">
        <v>31</v>
      </c>
      <c r="C26" s="2" t="s">
        <v>118</v>
      </c>
      <c r="D26" s="2" t="s">
        <v>119</v>
      </c>
      <c r="E26" s="25"/>
      <c r="F26" s="24"/>
      <c r="G26" s="24"/>
      <c r="H26" s="24"/>
      <c r="I26" s="24"/>
      <c r="J26" s="24" t="s">
        <v>37</v>
      </c>
      <c r="K26" s="2">
        <f t="shared" si="23"/>
        <v>6.96</v>
      </c>
      <c r="L26" s="2" t="str">
        <f t="shared" si="24"/>
        <v>궐곡리  번지</v>
      </c>
      <c r="M26" s="24"/>
      <c r="N26" s="24"/>
      <c r="O26" s="24"/>
      <c r="P26" s="3"/>
      <c r="Q26" s="24"/>
      <c r="R26" s="2" t="s">
        <v>36</v>
      </c>
    </row>
    <row r="27" spans="1:18" s="8" customFormat="1" ht="21.75" customHeight="1" x14ac:dyDescent="0.3">
      <c r="A27" s="1" t="s">
        <v>64</v>
      </c>
      <c r="B27" s="1" t="s">
        <v>31</v>
      </c>
      <c r="C27" s="2" t="s">
        <v>118</v>
      </c>
      <c r="D27" s="2" t="s">
        <v>119</v>
      </c>
      <c r="E27" s="25"/>
      <c r="F27" s="24"/>
      <c r="G27" s="24"/>
      <c r="H27" s="24"/>
      <c r="I27" s="24"/>
      <c r="J27" s="24" t="s">
        <v>37</v>
      </c>
      <c r="K27" s="2">
        <f t="shared" ref="K27:K28" si="25">aa_water(I27,J27)</f>
        <v>6.96</v>
      </c>
      <c r="L27" s="2" t="str">
        <f t="shared" ref="L27:L28" si="26">D27&amp;" "&amp;E27&amp;" 번지"</f>
        <v>궐곡리  번지</v>
      </c>
      <c r="M27" s="24"/>
      <c r="N27" s="24"/>
      <c r="O27" s="24"/>
      <c r="P27" s="3"/>
      <c r="Q27" s="24"/>
      <c r="R27" s="2" t="s">
        <v>36</v>
      </c>
    </row>
    <row r="28" spans="1:18" s="8" customFormat="1" ht="21.75" customHeight="1" x14ac:dyDescent="0.3">
      <c r="A28" s="1" t="s">
        <v>65</v>
      </c>
      <c r="B28" s="1" t="s">
        <v>31</v>
      </c>
      <c r="C28" s="2" t="s">
        <v>118</v>
      </c>
      <c r="D28" s="2" t="s">
        <v>119</v>
      </c>
      <c r="E28" s="25"/>
      <c r="F28" s="24"/>
      <c r="G28" s="24"/>
      <c r="H28" s="24"/>
      <c r="I28" s="24"/>
      <c r="J28" s="24" t="s">
        <v>37</v>
      </c>
      <c r="K28" s="2">
        <f t="shared" si="25"/>
        <v>6.96</v>
      </c>
      <c r="L28" s="2" t="str">
        <f t="shared" si="26"/>
        <v>궐곡리  번지</v>
      </c>
      <c r="M28" s="24"/>
      <c r="N28" s="24"/>
      <c r="O28" s="24"/>
      <c r="P28" s="3"/>
      <c r="Q28" s="24"/>
      <c r="R28" s="2" t="s">
        <v>36</v>
      </c>
    </row>
    <row r="29" spans="1:18" s="8" customFormat="1" ht="21.75" customHeight="1" x14ac:dyDescent="0.3">
      <c r="A29" s="1" t="s">
        <v>66</v>
      </c>
      <c r="B29" s="1" t="s">
        <v>31</v>
      </c>
      <c r="C29" s="2" t="s">
        <v>118</v>
      </c>
      <c r="D29" s="2" t="s">
        <v>119</v>
      </c>
      <c r="E29" s="25"/>
      <c r="F29" s="24"/>
      <c r="G29" s="24"/>
      <c r="H29" s="24"/>
      <c r="I29" s="24"/>
      <c r="J29" s="24" t="s">
        <v>37</v>
      </c>
      <c r="K29" s="2">
        <f t="shared" ref="K29:K30" si="27">aa_water(I29,J29)</f>
        <v>6.96</v>
      </c>
      <c r="L29" s="2" t="str">
        <f t="shared" ref="L29:L30" si="28">D29&amp;" "&amp;E29&amp;" 번지"</f>
        <v>궐곡리  번지</v>
      </c>
      <c r="M29" s="24"/>
      <c r="N29" s="24"/>
      <c r="O29" s="24"/>
      <c r="P29" s="3"/>
      <c r="Q29" s="24"/>
      <c r="R29" s="2" t="s">
        <v>36</v>
      </c>
    </row>
    <row r="30" spans="1:18" s="8" customFormat="1" ht="21.75" customHeight="1" x14ac:dyDescent="0.3">
      <c r="A30" s="1" t="s">
        <v>67</v>
      </c>
      <c r="B30" s="1" t="s">
        <v>31</v>
      </c>
      <c r="C30" s="2" t="s">
        <v>118</v>
      </c>
      <c r="D30" s="2" t="s">
        <v>119</v>
      </c>
      <c r="E30" s="25"/>
      <c r="F30" s="24"/>
      <c r="G30" s="24"/>
      <c r="H30" s="24"/>
      <c r="I30" s="24"/>
      <c r="J30" s="24" t="s">
        <v>37</v>
      </c>
      <c r="K30" s="2">
        <f t="shared" si="27"/>
        <v>6.96</v>
      </c>
      <c r="L30" s="2" t="str">
        <f t="shared" si="28"/>
        <v>궐곡리  번지</v>
      </c>
      <c r="M30" s="24"/>
      <c r="N30" s="24"/>
      <c r="O30" s="24"/>
      <c r="P30" s="3"/>
      <c r="Q30" s="24"/>
      <c r="R30" s="2" t="s">
        <v>36</v>
      </c>
    </row>
    <row r="31" spans="1:18" s="8" customFormat="1" ht="21.75" customHeight="1" x14ac:dyDescent="0.3">
      <c r="A31" s="1" t="s">
        <v>68</v>
      </c>
      <c r="B31" s="1" t="s">
        <v>31</v>
      </c>
      <c r="C31" s="2" t="s">
        <v>118</v>
      </c>
      <c r="D31" s="2" t="s">
        <v>119</v>
      </c>
      <c r="E31" s="25"/>
      <c r="F31" s="24"/>
      <c r="G31" s="24"/>
      <c r="H31" s="24"/>
      <c r="I31" s="24"/>
      <c r="J31" s="24" t="s">
        <v>37</v>
      </c>
      <c r="K31" s="2">
        <f t="shared" ref="K31:K32" si="29">aa_water(I31,J31)</f>
        <v>6.96</v>
      </c>
      <c r="L31" s="2" t="str">
        <f t="shared" ref="L31:L32" si="30">D31&amp;" "&amp;E31&amp;" 번지"</f>
        <v>궐곡리  번지</v>
      </c>
      <c r="M31" s="24"/>
      <c r="N31" s="24"/>
      <c r="O31" s="24"/>
      <c r="P31" s="3"/>
      <c r="Q31" s="24"/>
      <c r="R31" s="2" t="s">
        <v>36</v>
      </c>
    </row>
    <row r="32" spans="1:18" s="8" customFormat="1" ht="21.75" customHeight="1" x14ac:dyDescent="0.3">
      <c r="A32" s="1" t="s">
        <v>69</v>
      </c>
      <c r="B32" s="1" t="s">
        <v>31</v>
      </c>
      <c r="C32" s="2" t="s">
        <v>118</v>
      </c>
      <c r="D32" s="2" t="s">
        <v>119</v>
      </c>
      <c r="E32" s="25"/>
      <c r="F32" s="24"/>
      <c r="G32" s="24"/>
      <c r="H32" s="24"/>
      <c r="I32" s="24"/>
      <c r="J32" s="24" t="s">
        <v>37</v>
      </c>
      <c r="K32" s="2">
        <f t="shared" si="29"/>
        <v>6.96</v>
      </c>
      <c r="L32" s="2" t="str">
        <f t="shared" si="30"/>
        <v>궐곡리  번지</v>
      </c>
      <c r="M32" s="24"/>
      <c r="N32" s="24"/>
      <c r="O32" s="24"/>
      <c r="P32" s="3"/>
      <c r="Q32" s="24"/>
      <c r="R32" s="2" t="s">
        <v>36</v>
      </c>
    </row>
    <row r="33" spans="1:18" s="8" customFormat="1" ht="21.75" customHeight="1" x14ac:dyDescent="0.3">
      <c r="A33" s="1" t="s">
        <v>70</v>
      </c>
      <c r="B33" s="1" t="s">
        <v>31</v>
      </c>
      <c r="C33" s="2" t="s">
        <v>118</v>
      </c>
      <c r="D33" s="2" t="s">
        <v>119</v>
      </c>
      <c r="E33" s="25"/>
      <c r="F33" s="24"/>
      <c r="G33" s="24"/>
      <c r="H33" s="24"/>
      <c r="I33" s="24"/>
      <c r="J33" s="24" t="s">
        <v>37</v>
      </c>
      <c r="K33" s="2">
        <f t="shared" ref="K33:K34" si="31">aa_water(I33,J33)</f>
        <v>6.96</v>
      </c>
      <c r="L33" s="2" t="str">
        <f t="shared" ref="L33:L34" si="32">D33&amp;" "&amp;E33&amp;" 번지"</f>
        <v>궐곡리  번지</v>
      </c>
      <c r="M33" s="24"/>
      <c r="N33" s="24"/>
      <c r="O33" s="24"/>
      <c r="P33" s="3"/>
      <c r="Q33" s="24"/>
      <c r="R33" s="2" t="s">
        <v>36</v>
      </c>
    </row>
    <row r="34" spans="1:18" s="8" customFormat="1" ht="21.75" customHeight="1" x14ac:dyDescent="0.3">
      <c r="A34" s="1" t="s">
        <v>71</v>
      </c>
      <c r="B34" s="1" t="s">
        <v>31</v>
      </c>
      <c r="C34" s="2" t="s">
        <v>118</v>
      </c>
      <c r="D34" s="2" t="s">
        <v>119</v>
      </c>
      <c r="E34" s="25"/>
      <c r="F34" s="24"/>
      <c r="G34" s="24"/>
      <c r="H34" s="24"/>
      <c r="I34" s="24"/>
      <c r="J34" s="24" t="s">
        <v>37</v>
      </c>
      <c r="K34" s="2">
        <f t="shared" si="31"/>
        <v>6.96</v>
      </c>
      <c r="L34" s="2" t="str">
        <f t="shared" si="32"/>
        <v>궐곡리  번지</v>
      </c>
      <c r="M34" s="24"/>
      <c r="N34" s="24"/>
      <c r="O34" s="24"/>
      <c r="P34" s="3"/>
      <c r="Q34" s="24"/>
      <c r="R34" s="2" t="s">
        <v>36</v>
      </c>
    </row>
    <row r="35" spans="1:18" s="8" customFormat="1" ht="21.75" customHeight="1" x14ac:dyDescent="0.3">
      <c r="A35" s="1" t="s">
        <v>72</v>
      </c>
      <c r="B35" s="1" t="s">
        <v>31</v>
      </c>
      <c r="C35" s="2" t="s">
        <v>118</v>
      </c>
      <c r="D35" s="2" t="s">
        <v>119</v>
      </c>
      <c r="E35" s="25"/>
      <c r="F35" s="24"/>
      <c r="G35" s="24"/>
      <c r="H35" s="24"/>
      <c r="I35" s="24"/>
      <c r="J35" s="24" t="s">
        <v>37</v>
      </c>
      <c r="K35" s="2">
        <f t="shared" ref="K35:K36" si="33">aa_water(I35,J35)</f>
        <v>6.96</v>
      </c>
      <c r="L35" s="2" t="str">
        <f t="shared" ref="L35:L36" si="34">D35&amp;" "&amp;E35&amp;" 번지"</f>
        <v>궐곡리  번지</v>
      </c>
      <c r="M35" s="24"/>
      <c r="N35" s="24"/>
      <c r="O35" s="24"/>
      <c r="P35" s="3"/>
      <c r="Q35" s="24"/>
      <c r="R35" s="2" t="s">
        <v>36</v>
      </c>
    </row>
    <row r="36" spans="1:18" s="8" customFormat="1" ht="21.75" customHeight="1" x14ac:dyDescent="0.3">
      <c r="A36" s="1" t="s">
        <v>73</v>
      </c>
      <c r="B36" s="1" t="s">
        <v>31</v>
      </c>
      <c r="C36" s="2" t="s">
        <v>118</v>
      </c>
      <c r="D36" s="2" t="s">
        <v>119</v>
      </c>
      <c r="E36" s="25"/>
      <c r="F36" s="24"/>
      <c r="G36" s="24"/>
      <c r="H36" s="24"/>
      <c r="I36" s="24"/>
      <c r="J36" s="24" t="s">
        <v>37</v>
      </c>
      <c r="K36" s="2">
        <f t="shared" si="33"/>
        <v>6.96</v>
      </c>
      <c r="L36" s="2" t="str">
        <f t="shared" si="34"/>
        <v>궐곡리  번지</v>
      </c>
      <c r="M36" s="24"/>
      <c r="N36" s="24"/>
      <c r="O36" s="24"/>
      <c r="P36" s="3"/>
      <c r="Q36" s="24"/>
      <c r="R36" s="2" t="s">
        <v>36</v>
      </c>
    </row>
    <row r="37" spans="1:18" s="8" customFormat="1" ht="21.75" customHeight="1" x14ac:dyDescent="0.3">
      <c r="A37" s="1" t="s">
        <v>74</v>
      </c>
      <c r="B37" s="1" t="s">
        <v>31</v>
      </c>
      <c r="C37" s="2" t="s">
        <v>118</v>
      </c>
      <c r="D37" s="2" t="s">
        <v>119</v>
      </c>
      <c r="E37" s="25"/>
      <c r="F37" s="24"/>
      <c r="G37" s="24"/>
      <c r="H37" s="24"/>
      <c r="I37" s="24"/>
      <c r="J37" s="24" t="s">
        <v>37</v>
      </c>
      <c r="K37" s="2">
        <f t="shared" ref="K37:K38" si="35">aa_water(I37,J37)</f>
        <v>6.96</v>
      </c>
      <c r="L37" s="2" t="str">
        <f t="shared" ref="L37:L38" si="36">D37&amp;" "&amp;E37&amp;" 번지"</f>
        <v>궐곡리  번지</v>
      </c>
      <c r="M37" s="24"/>
      <c r="N37" s="24"/>
      <c r="O37" s="24"/>
      <c r="P37" s="3"/>
      <c r="Q37" s="24"/>
      <c r="R37" s="2" t="s">
        <v>36</v>
      </c>
    </row>
    <row r="38" spans="1:18" s="8" customFormat="1" ht="21.75" customHeight="1" x14ac:dyDescent="0.3">
      <c r="A38" s="1" t="s">
        <v>75</v>
      </c>
      <c r="B38" s="1" t="s">
        <v>31</v>
      </c>
      <c r="C38" s="2" t="s">
        <v>118</v>
      </c>
      <c r="D38" s="2" t="s">
        <v>119</v>
      </c>
      <c r="E38" s="25"/>
      <c r="F38" s="24"/>
      <c r="G38" s="24"/>
      <c r="H38" s="24"/>
      <c r="I38" s="24"/>
      <c r="J38" s="24" t="s">
        <v>37</v>
      </c>
      <c r="K38" s="2">
        <f t="shared" si="35"/>
        <v>6.96</v>
      </c>
      <c r="L38" s="2" t="str">
        <f t="shared" si="36"/>
        <v>궐곡리  번지</v>
      </c>
      <c r="M38" s="24"/>
      <c r="N38" s="24"/>
      <c r="O38" s="24"/>
      <c r="P38" s="3"/>
      <c r="Q38" s="24"/>
      <c r="R38" s="2" t="s">
        <v>36</v>
      </c>
    </row>
    <row r="39" spans="1:18" s="8" customFormat="1" ht="21.75" customHeight="1" x14ac:dyDescent="0.3">
      <c r="A39" s="1" t="s">
        <v>76</v>
      </c>
      <c r="B39" s="1" t="s">
        <v>31</v>
      </c>
      <c r="C39" s="2" t="s">
        <v>118</v>
      </c>
      <c r="D39" s="2" t="s">
        <v>119</v>
      </c>
      <c r="E39" s="25"/>
      <c r="F39" s="24"/>
      <c r="G39" s="24"/>
      <c r="H39" s="24"/>
      <c r="I39" s="24"/>
      <c r="J39" s="24" t="s">
        <v>37</v>
      </c>
      <c r="K39" s="2">
        <f t="shared" ref="K39:K40" si="37">aa_water(I39,J39)</f>
        <v>6.96</v>
      </c>
      <c r="L39" s="2" t="str">
        <f t="shared" ref="L39:L40" si="38">D39&amp;" "&amp;E39&amp;" 번지"</f>
        <v>궐곡리  번지</v>
      </c>
      <c r="M39" s="24"/>
      <c r="N39" s="24"/>
      <c r="O39" s="24"/>
      <c r="P39" s="3"/>
      <c r="Q39" s="24"/>
      <c r="R39" s="2" t="s">
        <v>36</v>
      </c>
    </row>
    <row r="40" spans="1:18" s="8" customFormat="1" ht="21.75" customHeight="1" x14ac:dyDescent="0.3">
      <c r="A40" s="1" t="s">
        <v>77</v>
      </c>
      <c r="B40" s="1" t="s">
        <v>31</v>
      </c>
      <c r="C40" s="2" t="s">
        <v>118</v>
      </c>
      <c r="D40" s="2" t="s">
        <v>119</v>
      </c>
      <c r="E40" s="25"/>
      <c r="F40" s="24"/>
      <c r="G40" s="24"/>
      <c r="H40" s="24"/>
      <c r="I40" s="24"/>
      <c r="J40" s="24" t="s">
        <v>37</v>
      </c>
      <c r="K40" s="2">
        <f t="shared" si="37"/>
        <v>6.96</v>
      </c>
      <c r="L40" s="2" t="str">
        <f t="shared" si="38"/>
        <v>궐곡리  번지</v>
      </c>
      <c r="M40" s="24"/>
      <c r="N40" s="24"/>
      <c r="O40" s="24"/>
      <c r="P40" s="3"/>
      <c r="Q40" s="24"/>
      <c r="R40" s="2" t="s">
        <v>36</v>
      </c>
    </row>
    <row r="41" spans="1:18" ht="21.75" customHeight="1" x14ac:dyDescent="0.3">
      <c r="I41" s="2"/>
      <c r="K41" s="3"/>
      <c r="N41" s="3"/>
      <c r="O41" s="3"/>
      <c r="P41" s="3"/>
    </row>
    <row r="42" spans="1:18" ht="21.75" customHeight="1" x14ac:dyDescent="0.3">
      <c r="K42" s="5"/>
    </row>
    <row r="43" spans="1:18" ht="21.75" customHeight="1" x14ac:dyDescent="0.3">
      <c r="B43" s="21" t="s">
        <v>23</v>
      </c>
      <c r="C43" s="13" t="s">
        <v>22</v>
      </c>
      <c r="D43" s="14" t="s">
        <v>7</v>
      </c>
      <c r="K43" s="27">
        <f>SUM(K2:K42)</f>
        <v>269.68000000000006</v>
      </c>
      <c r="L43" s="11"/>
    </row>
    <row r="44" spans="1:18" ht="21.75" customHeight="1" x14ac:dyDescent="0.3">
      <c r="B44" s="22" t="s">
        <v>20</v>
      </c>
      <c r="C44" s="16">
        <f ca="1">COUNTIF(AA_INSIDE_AREA,"O")</f>
        <v>39</v>
      </c>
      <c r="D44" s="17">
        <f ca="1">SUMIF(AA_INSIDE_AREA,"O",$K$2:$K$2)</f>
        <v>269.68000000000006</v>
      </c>
    </row>
    <row r="45" spans="1:18" ht="21.75" customHeight="1" x14ac:dyDescent="0.3">
      <c r="B45" s="22" t="s">
        <v>21</v>
      </c>
      <c r="C45" s="16">
        <f ca="1">COUNTIF(AA_INSIDE_AREA,"X")</f>
        <v>0</v>
      </c>
      <c r="D45" s="17">
        <f ca="1">SUMIF(AA_INSIDE_AREA,"X",$K$2:$K$2)</f>
        <v>0</v>
      </c>
    </row>
    <row r="46" spans="1:18" ht="21.75" customHeight="1" x14ac:dyDescent="0.3">
      <c r="B46" s="23"/>
      <c r="C46" s="19"/>
      <c r="D46" s="20">
        <f ca="1">D44+D45</f>
        <v>269.68000000000006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H5" sqref="H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K5" s="28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2021-03-25T01:17:44Z</dcterms:modified>
</cp:coreProperties>
</file>