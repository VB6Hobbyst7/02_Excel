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7_LandSlide\06_기사용관정\"/>
    </mc:Choice>
  </mc:AlternateContent>
  <xr:revisionPtr revIDLastSave="0" documentId="13_ncr:1_{B326F563-F591-42FB-B6A7-515167EB9A58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D13" i="10" l="1"/>
  <c r="L3" i="10"/>
  <c r="L4" i="10"/>
  <c r="L5" i="10"/>
  <c r="L6" i="10"/>
  <c r="L7" i="10"/>
  <c r="L8" i="10"/>
  <c r="K5" i="8"/>
  <c r="K3" i="8"/>
  <c r="K4" i="8"/>
  <c r="K2" i="8"/>
  <c r="K8" i="10"/>
  <c r="K4" i="10"/>
  <c r="K5" i="10"/>
  <c r="K3" i="10"/>
  <c r="K6" i="10"/>
  <c r="K7" i="10"/>
  <c r="K2" i="10"/>
  <c r="K8" i="8" l="1"/>
  <c r="C17" i="8" l="1"/>
  <c r="C16" i="8"/>
  <c r="C11" i="8"/>
  <c r="C12" i="8"/>
  <c r="C13" i="10"/>
  <c r="C12" i="10"/>
  <c r="C22" i="8" l="1"/>
  <c r="C21" i="8"/>
  <c r="D11" i="8" l="1"/>
  <c r="D12" i="8"/>
  <c r="D13" i="8" l="1"/>
  <c r="D17" i="8"/>
  <c r="D12" i="10"/>
  <c r="D16" i="8" s="1"/>
  <c r="D21" i="8" s="1"/>
  <c r="D14" i="10" l="1"/>
  <c r="D22" i="8"/>
  <c r="D18" i="8"/>
  <c r="L4" i="8" l="1"/>
  <c r="L5" i="8"/>
  <c r="L2" i="11" l="1"/>
  <c r="K11" i="10" l="1"/>
  <c r="K10" i="8" s="1"/>
  <c r="L2" i="10" l="1"/>
  <c r="L2" i="8" l="1"/>
  <c r="L3" i="8"/>
</calcChain>
</file>

<file path=xl/sharedStrings.xml><?xml version="1.0" encoding="utf-8"?>
<sst xmlns="http://schemas.openxmlformats.org/spreadsheetml/2006/main" count="157" uniqueCount="61">
  <si>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</si>
  <si>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</si>
  <si>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</si>
  <si>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</si>
  <si>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</si>
  <si>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</si>
  <si>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</si>
  <si>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</si>
  <si>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</si>
  <si>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</si>
  <si>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</si>
  <si>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</si>
  <si>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</si>
  <si>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</si>
  <si>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</si>
  <si>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</si>
  <si>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</si>
  <si>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</si>
  <si>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</si>
  <si>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</si>
  <si>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</si>
  <si>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</si>
  <si>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</si>
  <si>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</si>
  <si>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</si>
  <si>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</si>
  <si>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</si>
  <si>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</si>
  <si>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</si>
  <si>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</si>
  <si>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</si>
  <si>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</si>
  <si>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</si>
  <si>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공업용</t>
    <phoneticPr fontId="19" type="noConversion"/>
  </si>
  <si>
    <t>답작용</t>
    <phoneticPr fontId="19" type="noConversion"/>
  </si>
  <si>
    <t>신고공</t>
    <phoneticPr fontId="19" type="noConversion"/>
  </si>
  <si>
    <t>일반용</t>
    <phoneticPr fontId="19" type="noConversion"/>
  </si>
  <si>
    <t>가정용</t>
    <phoneticPr fontId="19" type="noConversion"/>
  </si>
  <si>
    <t>s1</t>
    <phoneticPr fontId="19" type="noConversion"/>
  </si>
  <si>
    <t>a2</t>
  </si>
  <si>
    <t>a3</t>
  </si>
  <si>
    <t>a4</t>
  </si>
  <si>
    <t>a5</t>
  </si>
  <si>
    <t>a6</t>
  </si>
  <si>
    <t>a7</t>
  </si>
  <si>
    <t>O</t>
  </si>
  <si>
    <t>전작용</t>
    <phoneticPr fontId="19" type="noConversion"/>
  </si>
  <si>
    <t>미산면</t>
    <phoneticPr fontId="19" type="noConversion"/>
  </si>
  <si>
    <t>풍산리</t>
    <phoneticPr fontId="19" type="noConversion"/>
  </si>
  <si>
    <t>447-4</t>
    <phoneticPr fontId="19" type="noConversion"/>
  </si>
  <si>
    <t>372</t>
    <phoneticPr fontId="19" type="noConversion"/>
  </si>
  <si>
    <t>간이상수도</t>
    <phoneticPr fontId="19" type="noConversion"/>
  </si>
  <si>
    <t>156-1</t>
    <phoneticPr fontId="19" type="noConversion"/>
  </si>
  <si>
    <t>92-2</t>
    <phoneticPr fontId="19" type="noConversion"/>
  </si>
  <si>
    <t>96</t>
    <phoneticPr fontId="19" type="noConversion"/>
  </si>
  <si>
    <t>278-3</t>
    <phoneticPr fontId="19" type="noConversion"/>
  </si>
  <si>
    <t>78</t>
    <phoneticPr fontId="19" type="noConversion"/>
  </si>
  <si>
    <t>41</t>
    <phoneticPr fontId="19" type="noConversion"/>
  </si>
  <si>
    <t>176-11</t>
    <phoneticPr fontId="19" type="noConversion"/>
  </si>
  <si>
    <t>176-2</t>
    <phoneticPr fontId="19" type="noConversion"/>
  </si>
  <si>
    <t>28-1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</si>
</sst>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0"/>
      <color rgb="FFFF0000"/>
      <name val="맑은 고딕"/>
      <family val="3"/>
      <charset val="129"/>
      <scheme val="minor"/>
    </font>
    <font>
      <b/>
      <sz val="9"/>
      <color rgb="FF333333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290512</xdr:colOff>
          <xdr:row>0</xdr:row>
          <xdr:rowOff>247650</xdr:rowOff>
        </xdr:from>
        <xdr:to>
          <xdr:col>20</xdr:col>
          <xdr:colOff>138112</xdr:colOff>
          <xdr:row>1</xdr:row>
          <xdr:rowOff>9525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290512</xdr:colOff>
          <xdr:row>1</xdr:row>
          <xdr:rowOff>119063</xdr:rowOff>
        </xdr:from>
        <xdr:to>
          <xdr:col>20</xdr:col>
          <xdr:colOff>138112</xdr:colOff>
          <xdr:row>2</xdr:row>
          <xdr:rowOff>204788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290512</xdr:colOff>
          <xdr:row>3</xdr:row>
          <xdr:rowOff>38100</xdr:rowOff>
        </xdr:from>
        <xdr:to>
          <xdr:col>20</xdr:col>
          <xdr:colOff>138112</xdr:colOff>
          <xdr:row>4</xdr:row>
          <xdr:rowOff>123825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63A0919-1D71-4DB9-B53C-3500FF81A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271462</xdr:colOff>
          <xdr:row>0</xdr:row>
          <xdr:rowOff>295275</xdr:rowOff>
        </xdr:from>
        <xdr:to>
          <xdr:col>20</xdr:col>
          <xdr:colOff>119062</xdr:colOff>
          <xdr:row>1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271462</xdr:colOff>
          <xdr:row>1</xdr:row>
          <xdr:rowOff>190500</xdr:rowOff>
        </xdr:from>
        <xdr:to>
          <xdr:col>20</xdr:col>
          <xdr:colOff>119062</xdr:colOff>
          <xdr:row>3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271462</xdr:colOff>
          <xdr:row>3</xdr:row>
          <xdr:rowOff>133350</xdr:rowOff>
        </xdr:from>
        <xdr:to>
          <xdr:col>20</xdr:col>
          <xdr:colOff>119062</xdr:colOff>
          <xdr:row>4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108F41F1-FD9D-4276-B763-44A134A11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28"/>
  <sheetViews>
    <sheetView workbookViewId="0">
      <selection activeCell="H19" sqref="H19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12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/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  <c r="R1" s="2" t="s">
        <v>15</v>
      </c>
    </row>
    <row r="2" spans="1:18" ht="21.75" customHeight="1" x14ac:dyDescent="0.3">
      <c r="A2" s="2" t="s">
        <v>38</v>
      </c>
      <c r="B2" s="1" t="s">
        <v>35</v>
      </c>
      <c r="C2" s="2" t="s">
        <v>47</v>
      </c>
      <c r="D2" s="2" t="s">
        <v>48</v>
      </c>
      <c r="E2" s="7" t="s">
        <v>50</v>
      </c>
      <c r="F2" s="2">
        <v>21</v>
      </c>
      <c r="G2" s="2">
        <v>200</v>
      </c>
      <c r="H2" s="2">
        <v>3</v>
      </c>
      <c r="I2" s="2">
        <v>100</v>
      </c>
      <c r="J2" s="2" t="s">
        <v>51</v>
      </c>
      <c r="K2" s="3">
        <f t="shared" ref="K2:K5" si="0">ss_water(I2,J2)</f>
        <v>7.19</v>
      </c>
      <c r="L2" s="2" t="str">
        <f t="shared" ref="L2:L5" si="1">D2&amp;" "&amp;E2&amp;" 번지"</f>
        <v>풍산리 372 번지</v>
      </c>
      <c r="R2" s="2" t="s">
        <v>16</v>
      </c>
    </row>
    <row r="3" spans="1:18" ht="21.75" customHeight="1" x14ac:dyDescent="0.3">
      <c r="A3" s="2" t="s">
        <v>6</v>
      </c>
      <c r="B3" s="1" t="s">
        <v>35</v>
      </c>
      <c r="C3" s="2" t="s">
        <v>47</v>
      </c>
      <c r="D3" s="2" t="s">
        <v>48</v>
      </c>
      <c r="E3" s="7" t="s">
        <v>52</v>
      </c>
      <c r="F3" s="2">
        <v>30</v>
      </c>
      <c r="G3" s="2">
        <v>50</v>
      </c>
      <c r="H3" s="2">
        <v>0.3</v>
      </c>
      <c r="I3" s="2">
        <v>20</v>
      </c>
      <c r="J3" s="2" t="s">
        <v>37</v>
      </c>
      <c r="K3" s="3">
        <f t="shared" si="0"/>
        <v>0.7</v>
      </c>
      <c r="L3" s="2" t="str">
        <f t="shared" si="1"/>
        <v>풍산리 156-1 번지</v>
      </c>
      <c r="R3" s="2" t="s">
        <v>16</v>
      </c>
    </row>
    <row r="4" spans="1:18" ht="21.75" customHeight="1" x14ac:dyDescent="0.3">
      <c r="A4" s="2" t="s">
        <v>7</v>
      </c>
      <c r="B4" s="1" t="s">
        <v>35</v>
      </c>
      <c r="C4" s="2" t="s">
        <v>47</v>
      </c>
      <c r="D4" s="2" t="s">
        <v>48</v>
      </c>
      <c r="E4" s="7" t="s">
        <v>59</v>
      </c>
      <c r="F4" s="2">
        <v>120</v>
      </c>
      <c r="G4" s="2">
        <v>200</v>
      </c>
      <c r="H4" s="2">
        <v>2</v>
      </c>
      <c r="I4" s="2">
        <v>70</v>
      </c>
      <c r="J4" s="2" t="s">
        <v>51</v>
      </c>
      <c r="K4" s="3">
        <f t="shared" si="0"/>
        <v>7.19</v>
      </c>
      <c r="L4" s="2" t="str">
        <f t="shared" si="1"/>
        <v>풍산리 176-2 번지</v>
      </c>
      <c r="R4" s="2" t="s">
        <v>16</v>
      </c>
    </row>
    <row r="5" spans="1:18" ht="21.75" customHeight="1" x14ac:dyDescent="0.3">
      <c r="A5" s="2" t="s">
        <v>8</v>
      </c>
      <c r="B5" s="1" t="s">
        <v>35</v>
      </c>
      <c r="C5" s="2" t="s">
        <v>47</v>
      </c>
      <c r="D5" s="2" t="s">
        <v>48</v>
      </c>
      <c r="E5" s="7" t="s">
        <v>60</v>
      </c>
      <c r="F5" s="2">
        <v>90</v>
      </c>
      <c r="G5" s="2">
        <v>150</v>
      </c>
      <c r="H5" s="2">
        <v>2</v>
      </c>
      <c r="I5" s="2">
        <v>80</v>
      </c>
      <c r="J5" s="2" t="s">
        <v>36</v>
      </c>
      <c r="K5" s="3">
        <f t="shared" si="0"/>
        <v>4.99</v>
      </c>
      <c r="L5" s="2" t="str">
        <f t="shared" si="1"/>
        <v>풍산리 28-1 번지</v>
      </c>
      <c r="R5" s="2" t="s">
        <v>16</v>
      </c>
    </row>
    <row r="6" spans="1:18" ht="21" customHeight="1" x14ac:dyDescent="0.3">
      <c r="B6" s="1"/>
      <c r="I6" s="2"/>
      <c r="K6" s="3"/>
    </row>
    <row r="7" spans="1:18" ht="21.75" customHeight="1" x14ac:dyDescent="0.3">
      <c r="I7" s="2"/>
    </row>
    <row r="8" spans="1:18" ht="21.75" customHeight="1" x14ac:dyDescent="0.3">
      <c r="K8" s="2">
        <f>SUM(K2:K7)</f>
        <v>20.07</v>
      </c>
    </row>
    <row r="10" spans="1:18" ht="21.75" customHeight="1" x14ac:dyDescent="0.3">
      <c r="B10" s="12" t="s">
        <v>27</v>
      </c>
      <c r="C10" s="13" t="s">
        <v>25</v>
      </c>
      <c r="D10" s="14" t="s">
        <v>10</v>
      </c>
      <c r="K10" s="4">
        <f>K8+aa!K11+ii!K2</f>
        <v>66.31</v>
      </c>
    </row>
    <row r="11" spans="1:18" ht="21.75" customHeight="1" x14ac:dyDescent="0.3">
      <c r="B11" s="15" t="s">
        <v>23</v>
      </c>
      <c r="C11" s="16">
        <f ca="1">COUNTIF(SS_INSIDE_AREA,"O")</f>
        <v>4</v>
      </c>
      <c r="D11" s="17">
        <f ca="1">SUMIF(SS_INSIDE_AREA,"O",K2:K5)</f>
        <v>20.07</v>
      </c>
    </row>
    <row r="12" spans="1:18" ht="21.75" customHeight="1" x14ac:dyDescent="0.3">
      <c r="B12" s="15" t="s">
        <v>24</v>
      </c>
      <c r="C12" s="16">
        <f ca="1">COUNTIF(SS_INSIDE_AREA,"X")</f>
        <v>0</v>
      </c>
      <c r="D12" s="17">
        <f ca="1">SUMIF(SS_INSIDE_AREA,"X",K2:K5)</f>
        <v>0</v>
      </c>
    </row>
    <row r="13" spans="1:18" ht="21.75" customHeight="1" x14ac:dyDescent="0.3">
      <c r="B13" s="18"/>
      <c r="C13" s="19"/>
      <c r="D13" s="20">
        <f ca="1">SUM(D11:D12)</f>
        <v>20.07</v>
      </c>
    </row>
    <row r="15" spans="1:18" ht="21.75" customHeight="1" x14ac:dyDescent="0.3">
      <c r="B15" s="12" t="s">
        <v>26</v>
      </c>
      <c r="C15" s="13" t="s">
        <v>25</v>
      </c>
      <c r="D15" s="14" t="s">
        <v>10</v>
      </c>
    </row>
    <row r="16" spans="1:18" ht="21.75" customHeight="1" x14ac:dyDescent="0.3">
      <c r="B16" s="15" t="s">
        <v>23</v>
      </c>
      <c r="C16" s="16">
        <f ca="1">COUNTIF(AA_INSIDE_AREA,"O")</f>
        <v>7</v>
      </c>
      <c r="D16" s="17">
        <f ca="1">aa!D12</f>
        <v>46.239999999999995</v>
      </c>
    </row>
    <row r="17" spans="2:16" ht="21.75" customHeight="1" x14ac:dyDescent="0.3">
      <c r="B17" s="15" t="s">
        <v>24</v>
      </c>
      <c r="C17" s="16">
        <f ca="1">COUNTIF(AA_INSIDE_AREA,"X")</f>
        <v>0</v>
      </c>
      <c r="D17" s="17">
        <f ca="1">aa!D13</f>
        <v>0</v>
      </c>
    </row>
    <row r="18" spans="2:16" ht="21.75" customHeight="1" x14ac:dyDescent="0.3">
      <c r="B18" s="18"/>
      <c r="C18" s="19"/>
      <c r="D18" s="20">
        <f ca="1">SUM(D16:D17)</f>
        <v>46.239999999999995</v>
      </c>
    </row>
    <row r="20" spans="2:16" ht="21.75" customHeight="1" x14ac:dyDescent="0.3">
      <c r="B20" s="12" t="s">
        <v>28</v>
      </c>
      <c r="C20" s="13" t="s">
        <v>25</v>
      </c>
      <c r="D20" s="14" t="s">
        <v>10</v>
      </c>
    </row>
    <row r="21" spans="2:16" ht="21.75" customHeight="1" x14ac:dyDescent="0.3">
      <c r="B21" s="15" t="s">
        <v>23</v>
      </c>
      <c r="C21" s="16">
        <f ca="1">C11+C16</f>
        <v>11</v>
      </c>
      <c r="D21" s="17">
        <f ca="1">D11+D16</f>
        <v>66.31</v>
      </c>
    </row>
    <row r="22" spans="2:16" ht="21.75" customHeight="1" x14ac:dyDescent="0.3">
      <c r="B22" s="18" t="s">
        <v>24</v>
      </c>
      <c r="C22" s="19">
        <f ca="1">C12+C17</f>
        <v>0</v>
      </c>
      <c r="D22" s="20">
        <f ca="1">D12+D17</f>
        <v>0</v>
      </c>
    </row>
    <row r="28" spans="2:16" ht="21.75" customHeight="1" x14ac:dyDescent="0.3">
      <c r="J28" s="27"/>
      <c r="K28" s="27"/>
      <c r="L28" s="27"/>
      <c r="M28" s="27"/>
      <c r="N28" s="27"/>
      <c r="O28" s="27"/>
      <c r="P28" s="27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18</xdr:col>
                <xdr:colOff>285750</xdr:colOff>
                <xdr:row>3</xdr:row>
                <xdr:rowOff>38100</xdr:rowOff>
              </from>
              <to>
                <xdr:col>20</xdr:col>
                <xdr:colOff>133350</xdr:colOff>
                <xdr:row>4</xdr:row>
                <xdr:rowOff>123825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285750</xdr:colOff>
                <xdr:row>1</xdr:row>
                <xdr:rowOff>123825</xdr:rowOff>
              </from>
              <to>
                <xdr:col>20</xdr:col>
                <xdr:colOff>133350</xdr:colOff>
                <xdr:row>2</xdr:row>
                <xdr:rowOff>209550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18</xdr:col>
                <xdr:colOff>285750</xdr:colOff>
                <xdr:row>0</xdr:row>
                <xdr:rowOff>247650</xdr:rowOff>
              </from>
              <to>
                <xdr:col>20</xdr:col>
                <xdr:colOff>133350</xdr:colOff>
                <xdr:row>1</xdr:row>
                <xdr:rowOff>9525</xdr:rowOff>
              </to>
            </anchor>
          </controlPr>
        </control>
      </mc:Choice>
      <mc:Fallback>
        <control shapeId="2049" r:id="rId8" name="CommandButton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4"/>
  <sheetViews>
    <sheetView tabSelected="1" workbookViewId="0">
      <selection activeCell="I16" sqref="I16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20</v>
      </c>
      <c r="Q1" s="2" t="s">
        <v>21</v>
      </c>
      <c r="R1" s="2" t="s">
        <v>15</v>
      </c>
    </row>
    <row r="2" spans="1:18" s="8" customFormat="1" ht="21.75" customHeight="1" x14ac:dyDescent="0.3">
      <c r="A2" s="1" t="s">
        <v>9</v>
      </c>
      <c r="B2" s="1" t="s">
        <v>35</v>
      </c>
      <c r="C2" s="25" t="s">
        <v>47</v>
      </c>
      <c r="D2" s="25" t="s">
        <v>48</v>
      </c>
      <c r="E2" s="26" t="s">
        <v>49</v>
      </c>
      <c r="F2" s="25">
        <v>30</v>
      </c>
      <c r="G2" s="25">
        <v>50</v>
      </c>
      <c r="H2" s="25">
        <v>0.5</v>
      </c>
      <c r="I2" s="25">
        <v>30</v>
      </c>
      <c r="J2" s="25" t="s">
        <v>34</v>
      </c>
      <c r="K2" s="2">
        <f t="shared" ref="K2:K8" si="0">aa_water(I2,J2)</f>
        <v>3.38</v>
      </c>
      <c r="L2" s="2" t="str">
        <f t="shared" ref="L2" si="1">D2&amp;" "&amp;E2&amp;" 번지"</f>
        <v>풍산리 447-4 번지</v>
      </c>
      <c r="M2" s="25"/>
      <c r="N2" s="25"/>
      <c r="O2" s="25"/>
      <c r="P2" s="3"/>
      <c r="Q2" s="25"/>
      <c r="R2" s="2" t="s">
        <v>45</v>
      </c>
    </row>
    <row r="3" spans="1:18" s="8" customFormat="1" ht="21.75" customHeight="1" x14ac:dyDescent="0.3">
      <c r="A3" s="1" t="s">
        <v>39</v>
      </c>
      <c r="B3" s="1" t="s">
        <v>35</v>
      </c>
      <c r="C3" s="25" t="s">
        <v>47</v>
      </c>
      <c r="D3" s="25" t="s">
        <v>48</v>
      </c>
      <c r="E3" s="26" t="s">
        <v>53</v>
      </c>
      <c r="F3" s="25">
        <v>25</v>
      </c>
      <c r="G3" s="25">
        <v>50</v>
      </c>
      <c r="H3" s="25">
        <v>0.3</v>
      </c>
      <c r="I3" s="25">
        <v>48</v>
      </c>
      <c r="J3" s="25" t="s">
        <v>46</v>
      </c>
      <c r="K3" s="2">
        <f t="shared" si="0"/>
        <v>7.59</v>
      </c>
      <c r="L3" s="2" t="str">
        <f t="shared" ref="L3:L8" si="2">D3&amp;" "&amp;E3&amp;" 번지"</f>
        <v>풍산리 92-2 번지</v>
      </c>
      <c r="M3" s="25"/>
      <c r="N3" s="25"/>
      <c r="O3" s="25"/>
      <c r="P3" s="3"/>
      <c r="Q3" s="25"/>
      <c r="R3" s="2" t="s">
        <v>45</v>
      </c>
    </row>
    <row r="4" spans="1:18" s="8" customFormat="1" ht="21.75" customHeight="1" x14ac:dyDescent="0.3">
      <c r="A4" s="1" t="s">
        <v>40</v>
      </c>
      <c r="B4" s="1" t="s">
        <v>35</v>
      </c>
      <c r="C4" s="25" t="s">
        <v>47</v>
      </c>
      <c r="D4" s="25" t="s">
        <v>48</v>
      </c>
      <c r="E4" s="26" t="s">
        <v>54</v>
      </c>
      <c r="F4" s="25">
        <v>24</v>
      </c>
      <c r="G4" s="25">
        <v>40</v>
      </c>
      <c r="H4" s="25">
        <v>0.5</v>
      </c>
      <c r="I4" s="25">
        <v>83</v>
      </c>
      <c r="J4" s="25" t="s">
        <v>34</v>
      </c>
      <c r="K4" s="2">
        <f t="shared" si="0"/>
        <v>5.66</v>
      </c>
      <c r="L4" s="2" t="str">
        <f t="shared" si="2"/>
        <v>풍산리 96 번지</v>
      </c>
      <c r="M4" s="25"/>
      <c r="N4" s="25"/>
      <c r="O4" s="25"/>
      <c r="P4" s="3"/>
      <c r="Q4" s="25"/>
      <c r="R4" s="2" t="s">
        <v>45</v>
      </c>
    </row>
    <row r="5" spans="1:18" s="8" customFormat="1" ht="21.75" customHeight="1" x14ac:dyDescent="0.3">
      <c r="A5" s="1" t="s">
        <v>41</v>
      </c>
      <c r="B5" s="1" t="s">
        <v>35</v>
      </c>
      <c r="C5" s="25" t="s">
        <v>47</v>
      </c>
      <c r="D5" s="25" t="s">
        <v>48</v>
      </c>
      <c r="E5" s="26" t="s">
        <v>55</v>
      </c>
      <c r="F5" s="25">
        <v>150</v>
      </c>
      <c r="G5" s="25">
        <v>200</v>
      </c>
      <c r="H5" s="25">
        <v>3</v>
      </c>
      <c r="I5" s="25">
        <v>100</v>
      </c>
      <c r="J5" s="25" t="s">
        <v>34</v>
      </c>
      <c r="K5" s="2">
        <f t="shared" si="0"/>
        <v>6.39</v>
      </c>
      <c r="L5" s="2" t="str">
        <f t="shared" si="2"/>
        <v>풍산리 278-3 번지</v>
      </c>
      <c r="M5" s="25"/>
      <c r="N5" s="25"/>
      <c r="O5" s="25"/>
      <c r="P5" s="3"/>
      <c r="Q5" s="25"/>
      <c r="R5" s="2" t="s">
        <v>45</v>
      </c>
    </row>
    <row r="6" spans="1:18" s="8" customFormat="1" ht="21.75" customHeight="1" x14ac:dyDescent="0.3">
      <c r="A6" s="1" t="s">
        <v>42</v>
      </c>
      <c r="B6" s="1" t="s">
        <v>35</v>
      </c>
      <c r="C6" s="25" t="s">
        <v>47</v>
      </c>
      <c r="D6" s="25" t="s">
        <v>48</v>
      </c>
      <c r="E6" s="26" t="s">
        <v>56</v>
      </c>
      <c r="F6" s="25">
        <v>30</v>
      </c>
      <c r="G6" s="25">
        <v>50</v>
      </c>
      <c r="H6" s="25">
        <v>0.5</v>
      </c>
      <c r="I6" s="25">
        <v>20</v>
      </c>
      <c r="J6" s="25" t="s">
        <v>46</v>
      </c>
      <c r="K6" s="2">
        <f t="shared" si="0"/>
        <v>7.22</v>
      </c>
      <c r="L6" s="2" t="str">
        <f t="shared" si="2"/>
        <v>풍산리 78 번지</v>
      </c>
      <c r="M6" s="25"/>
      <c r="N6" s="25"/>
      <c r="O6" s="25"/>
      <c r="P6" s="3"/>
      <c r="Q6" s="25"/>
      <c r="R6" s="2" t="s">
        <v>45</v>
      </c>
    </row>
    <row r="7" spans="1:18" s="8" customFormat="1" ht="21.75" customHeight="1" x14ac:dyDescent="0.3">
      <c r="A7" s="1" t="s">
        <v>43</v>
      </c>
      <c r="B7" s="1" t="s">
        <v>35</v>
      </c>
      <c r="C7" s="25" t="s">
        <v>47</v>
      </c>
      <c r="D7" s="25" t="s">
        <v>48</v>
      </c>
      <c r="E7" s="26" t="s">
        <v>57</v>
      </c>
      <c r="F7" s="25">
        <v>40</v>
      </c>
      <c r="G7" s="25">
        <v>50</v>
      </c>
      <c r="H7" s="25">
        <v>0.3</v>
      </c>
      <c r="I7" s="25">
        <v>30</v>
      </c>
      <c r="J7" s="25" t="s">
        <v>46</v>
      </c>
      <c r="K7" s="2">
        <f t="shared" si="0"/>
        <v>7.35</v>
      </c>
      <c r="L7" s="2" t="str">
        <f t="shared" si="2"/>
        <v>풍산리 41 번지</v>
      </c>
      <c r="M7" s="25"/>
      <c r="N7" s="25"/>
      <c r="O7" s="25"/>
      <c r="P7" s="3"/>
      <c r="Q7" s="25"/>
      <c r="R7" s="2" t="s">
        <v>45</v>
      </c>
    </row>
    <row r="8" spans="1:18" s="8" customFormat="1" ht="21.75" customHeight="1" x14ac:dyDescent="0.3">
      <c r="A8" s="1" t="s">
        <v>44</v>
      </c>
      <c r="B8" s="1" t="s">
        <v>35</v>
      </c>
      <c r="C8" s="25" t="s">
        <v>47</v>
      </c>
      <c r="D8" s="25" t="s">
        <v>48</v>
      </c>
      <c r="E8" s="26" t="s">
        <v>58</v>
      </c>
      <c r="F8" s="25">
        <v>150</v>
      </c>
      <c r="G8" s="25">
        <v>200</v>
      </c>
      <c r="H8" s="25">
        <v>5</v>
      </c>
      <c r="I8" s="25">
        <v>130</v>
      </c>
      <c r="J8" s="25" t="s">
        <v>46</v>
      </c>
      <c r="K8" s="2">
        <f t="shared" si="0"/>
        <v>8.65</v>
      </c>
      <c r="L8" s="2" t="str">
        <f t="shared" si="2"/>
        <v>풍산리 176-11 번지</v>
      </c>
      <c r="M8" s="25"/>
      <c r="N8" s="25"/>
      <c r="O8" s="25"/>
      <c r="P8" s="3"/>
      <c r="Q8" s="25"/>
      <c r="R8" s="2" t="s">
        <v>45</v>
      </c>
    </row>
    <row r="9" spans="1:18" ht="21.75" customHeight="1" x14ac:dyDescent="0.3">
      <c r="I9" s="2"/>
      <c r="K9" s="3"/>
      <c r="N9" s="3"/>
      <c r="O9" s="3"/>
      <c r="P9" s="3"/>
    </row>
    <row r="10" spans="1:18" ht="21.75" customHeight="1" x14ac:dyDescent="0.3">
      <c r="K10" s="5"/>
    </row>
    <row r="11" spans="1:18" ht="21.75" customHeight="1" x14ac:dyDescent="0.3">
      <c r="B11" s="21" t="s">
        <v>26</v>
      </c>
      <c r="C11" s="13" t="s">
        <v>25</v>
      </c>
      <c r="D11" s="14" t="s">
        <v>10</v>
      </c>
      <c r="K11" s="24">
        <f>SUM(K2:K10)</f>
        <v>46.239999999999995</v>
      </c>
      <c r="L11" s="11"/>
    </row>
    <row r="12" spans="1:18" ht="21.75" customHeight="1" x14ac:dyDescent="0.3">
      <c r="B12" s="22" t="s">
        <v>23</v>
      </c>
      <c r="C12" s="16">
        <f ca="1">COUNTIF(AA_INSIDE_AREA,"O")</f>
        <v>7</v>
      </c>
      <c r="D12" s="17">
        <f ca="1">SUMIF(AA_INSIDE_AREA,"O",$K$2:$K$2)</f>
        <v>46.239999999999995</v>
      </c>
    </row>
    <row r="13" spans="1:18" ht="21.75" customHeight="1" x14ac:dyDescent="0.3">
      <c r="B13" s="22" t="s">
        <v>24</v>
      </c>
      <c r="C13" s="16">
        <f ca="1">COUNTIF(AA_INSIDE_AREA,"X")</f>
        <v>0</v>
      </c>
      <c r="D13" s="17">
        <f ca="1">SUMIF(AA_INSIDE_AREA,"X",$K$2:$K$2)</f>
        <v>0</v>
      </c>
    </row>
    <row r="14" spans="1:18" ht="21.75" customHeight="1" x14ac:dyDescent="0.3">
      <c r="B14" s="23"/>
      <c r="C14" s="19"/>
      <c r="D14" s="20">
        <f ca="1">D12+D13</f>
        <v>46.239999999999995</v>
      </c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18</xdr:col>
                <xdr:colOff>266700</xdr:colOff>
                <xdr:row>3</xdr:row>
                <xdr:rowOff>133350</xdr:rowOff>
              </from>
              <to>
                <xdr:col>20</xdr:col>
                <xdr:colOff>114300</xdr:colOff>
                <xdr:row>4</xdr:row>
                <xdr:rowOff>219075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266700</xdr:colOff>
                <xdr:row>1</xdr:row>
                <xdr:rowOff>190500</xdr:rowOff>
              </from>
              <to>
                <xdr:col>20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18</xdr:col>
                <xdr:colOff>266700</xdr:colOff>
                <xdr:row>0</xdr:row>
                <xdr:rowOff>295275</xdr:rowOff>
              </from>
              <to>
                <xdr:col>20</xdr:col>
                <xdr:colOff>114300</xdr:colOff>
                <xdr:row>1</xdr:row>
                <xdr:rowOff>57150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F24" sqref="F24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9" style="8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10</v>
      </c>
      <c r="Q1" s="2" t="s">
        <v>21</v>
      </c>
      <c r="R1" s="2" t="s">
        <v>15</v>
      </c>
    </row>
    <row r="2" spans="1:18" ht="18.75" customHeight="1" x14ac:dyDescent="0.3">
      <c r="A2" s="8" t="s">
        <v>14</v>
      </c>
      <c r="B2" s="1" t="s">
        <v>4</v>
      </c>
      <c r="C2" s="2" t="s">
        <v>29</v>
      </c>
      <c r="D2" s="2" t="s">
        <v>30</v>
      </c>
      <c r="E2" s="7" t="s">
        <v>32</v>
      </c>
      <c r="F2" s="2">
        <v>100</v>
      </c>
      <c r="G2" s="2">
        <v>150</v>
      </c>
      <c r="H2" s="2">
        <v>5</v>
      </c>
      <c r="I2" s="2">
        <v>90</v>
      </c>
      <c r="J2" s="2" t="s">
        <v>31</v>
      </c>
      <c r="K2" s="2">
        <v>0</v>
      </c>
      <c r="L2" s="2" t="str">
        <f t="shared" ref="L2" si="0">D2&amp;" "&amp;E2&amp;" 번지"</f>
        <v>외성리 451 번지</v>
      </c>
      <c r="M2" s="2">
        <v>100</v>
      </c>
      <c r="N2" s="2">
        <v>150</v>
      </c>
      <c r="O2" s="2">
        <v>5</v>
      </c>
      <c r="P2" s="2">
        <v>10</v>
      </c>
      <c r="Q2" s="8" t="s">
        <v>33</v>
      </c>
      <c r="R2" s="8" t="s">
        <v>16</v>
      </c>
    </row>
    <row r="3" spans="1:18" ht="18.75" customHeight="1" x14ac:dyDescent="0.3"/>
    <row r="4" spans="1:18" ht="18.75" customHeight="1" x14ac:dyDescent="0.3"/>
    <row r="5" spans="1:18" ht="18.75" customHeight="1" x14ac:dyDescent="0.3"/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2021-02-16T10:07:53Z</dcterms:modified>
</cp:coreProperties>
</file>