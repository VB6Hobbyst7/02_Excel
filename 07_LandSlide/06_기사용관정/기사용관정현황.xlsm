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06_예산군 9개공 연장하가\09_오가면 원천리 955-46\"/>
    </mc:Choice>
  </mc:AlternateContent>
  <xr:revisionPtr revIDLastSave="0" documentId="13_ncr:1_{7DDBCB27-1A29-4669-ABAC-614CDF6A753A}" xr6:coauthVersionLast="46" xr6:coauthVersionMax="46" xr10:uidLastSave="{00000000-0000-0000-0000-000000000000}"/>
  <bookViews>
    <workbookView xWindow="5235" yWindow="2625" windowWidth="26085" windowHeight="1770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SS_INSIDE_AREA">OFFSET(ss!$R$2,0,0,COUNTA(ss!$R:$R),1)</definedName>
  </definedNames>
  <calcPr calcId="181029"/>
</workbook>
</file>

<file path=xl/calcChain.xml><?xml version="1.0" encoding="utf-8"?>
<calcChain xmlns="http://schemas.openxmlformats.org/spreadsheetml/2006/main">
  <c r="L81" i="8" l="1"/>
  <c r="L82" i="8"/>
  <c r="L79" i="8"/>
  <c r="L80" i="8"/>
  <c r="L77" i="8"/>
  <c r="L78" i="8"/>
  <c r="L75" i="8"/>
  <c r="L76" i="8"/>
  <c r="L73" i="8"/>
  <c r="L74" i="8"/>
  <c r="L71" i="8"/>
  <c r="L72" i="8"/>
  <c r="L69" i="8"/>
  <c r="L70" i="8"/>
  <c r="L67" i="8"/>
  <c r="L68" i="8"/>
  <c r="L65" i="8"/>
  <c r="L66" i="8"/>
  <c r="L63" i="8"/>
  <c r="L64" i="8"/>
  <c r="L61" i="8"/>
  <c r="L62" i="8"/>
  <c r="L59" i="8"/>
  <c r="L60" i="8"/>
  <c r="L57" i="8"/>
  <c r="L58" i="8"/>
  <c r="L55" i="8"/>
  <c r="L56" i="8"/>
  <c r="L53" i="8"/>
  <c r="L54" i="8"/>
  <c r="L51" i="8"/>
  <c r="L52" i="8"/>
  <c r="L49" i="8"/>
  <c r="L50" i="8"/>
  <c r="L47" i="8"/>
  <c r="L48" i="8"/>
  <c r="L45" i="8"/>
  <c r="L46" i="8"/>
  <c r="L43" i="8"/>
  <c r="L44" i="8"/>
  <c r="L41" i="8"/>
  <c r="L42" i="8"/>
  <c r="L39" i="8"/>
  <c r="L40" i="8"/>
  <c r="L37" i="8"/>
  <c r="L38" i="8"/>
  <c r="L35" i="8"/>
  <c r="L36" i="8"/>
  <c r="L33" i="8"/>
  <c r="L34" i="8"/>
  <c r="L31" i="8"/>
  <c r="L32" i="8"/>
  <c r="L29" i="8"/>
  <c r="L30" i="8"/>
  <c r="L27" i="8"/>
  <c r="L28" i="8"/>
  <c r="L25" i="8"/>
  <c r="L26" i="8"/>
  <c r="L23" i="8"/>
  <c r="L24" i="8"/>
  <c r="L21" i="8"/>
  <c r="L22" i="8"/>
  <c r="L19" i="8"/>
  <c r="L20" i="8"/>
  <c r="L17" i="8"/>
  <c r="L18" i="8"/>
  <c r="L15" i="8"/>
  <c r="L16" i="8"/>
  <c r="L13" i="8"/>
  <c r="L14" i="8"/>
  <c r="L11" i="8"/>
  <c r="L12" i="8"/>
  <c r="L9" i="8"/>
  <c r="L10" i="8"/>
  <c r="L7" i="8"/>
  <c r="L8" i="8"/>
  <c r="L5" i="8"/>
  <c r="L6" i="8"/>
  <c r="L3" i="8"/>
  <c r="L4" i="8"/>
  <c r="L23" i="10"/>
  <c r="L21" i="10"/>
  <c r="L22" i="10"/>
  <c r="L19" i="10"/>
  <c r="L20" i="10"/>
  <c r="L17" i="10"/>
  <c r="L18" i="10"/>
  <c r="L15" i="10"/>
  <c r="L16" i="10"/>
  <c r="L13" i="10"/>
  <c r="L14" i="10"/>
  <c r="L11" i="10"/>
  <c r="L12" i="10"/>
  <c r="L9" i="10"/>
  <c r="L10" i="10"/>
  <c r="L7" i="10"/>
  <c r="L8" i="10"/>
  <c r="L5" i="10"/>
  <c r="L6" i="10"/>
  <c r="K5" i="11"/>
  <c r="L3" i="10"/>
  <c r="L4" i="10"/>
  <c r="K73" i="8"/>
  <c r="K82" i="8"/>
  <c r="K81" i="8"/>
  <c r="K79" i="8"/>
  <c r="K80" i="8"/>
  <c r="K77" i="8"/>
  <c r="K78" i="8"/>
  <c r="K76" i="8"/>
  <c r="K75" i="8"/>
  <c r="K74" i="8"/>
  <c r="K71" i="8"/>
  <c r="K72" i="8"/>
  <c r="K69" i="8"/>
  <c r="K70" i="8"/>
  <c r="K68" i="8"/>
  <c r="K67" i="8"/>
  <c r="K66" i="8"/>
  <c r="K65" i="8"/>
  <c r="K64" i="8"/>
  <c r="K63" i="8"/>
  <c r="K61" i="8"/>
  <c r="K62" i="8"/>
  <c r="K60" i="8"/>
  <c r="K59" i="8"/>
  <c r="K14" i="10"/>
  <c r="K12" i="10"/>
  <c r="K17" i="10"/>
  <c r="K13" i="10"/>
  <c r="K21" i="10"/>
  <c r="K16" i="10"/>
  <c r="K23" i="10"/>
  <c r="K19" i="10"/>
  <c r="K15" i="10"/>
  <c r="K22" i="10"/>
  <c r="K18" i="10"/>
  <c r="K20" i="10"/>
  <c r="K11" i="10"/>
  <c r="K10" i="10"/>
  <c r="K9" i="10"/>
  <c r="K8" i="10"/>
  <c r="K7" i="10"/>
  <c r="K6" i="10"/>
  <c r="K2" i="8"/>
  <c r="K3" i="8"/>
  <c r="K15" i="8"/>
  <c r="K27" i="8"/>
  <c r="K39" i="8"/>
  <c r="K51" i="8"/>
  <c r="K4" i="8"/>
  <c r="K5" i="8"/>
  <c r="K17" i="8"/>
  <c r="K29" i="8"/>
  <c r="K41" i="8"/>
  <c r="K53" i="8"/>
  <c r="K6" i="8"/>
  <c r="K18" i="8"/>
  <c r="K30" i="8"/>
  <c r="K42" i="8"/>
  <c r="K54" i="8"/>
  <c r="K49" i="8"/>
  <c r="K16" i="8"/>
  <c r="K7" i="8"/>
  <c r="K19" i="8"/>
  <c r="K31" i="8"/>
  <c r="K43" i="8"/>
  <c r="K55" i="8"/>
  <c r="K8" i="8"/>
  <c r="K20" i="8"/>
  <c r="K32" i="8"/>
  <c r="K44" i="8"/>
  <c r="K56" i="8"/>
  <c r="K28" i="8"/>
  <c r="K9" i="8"/>
  <c r="K21" i="8"/>
  <c r="K33" i="8"/>
  <c r="K45" i="8"/>
  <c r="K57" i="8"/>
  <c r="K22" i="8"/>
  <c r="K34" i="8"/>
  <c r="K46" i="8"/>
  <c r="K58" i="8"/>
  <c r="K25" i="8"/>
  <c r="K50" i="8"/>
  <c r="K52" i="8"/>
  <c r="K10" i="8"/>
  <c r="K37" i="8"/>
  <c r="K40" i="8"/>
  <c r="K11" i="8"/>
  <c r="K23" i="8"/>
  <c r="K35" i="8"/>
  <c r="K47" i="8"/>
  <c r="K12" i="8"/>
  <c r="K24" i="8"/>
  <c r="K36" i="8"/>
  <c r="K48" i="8"/>
  <c r="K13" i="8"/>
  <c r="K38" i="8"/>
  <c r="K14" i="8"/>
  <c r="K26" i="8"/>
  <c r="K5" i="10"/>
  <c r="K4" i="10"/>
  <c r="K3" i="10"/>
  <c r="K2" i="10"/>
  <c r="D28" i="10" l="1"/>
  <c r="K85" i="8"/>
  <c r="C94" i="8" l="1"/>
  <c r="C93" i="8"/>
  <c r="C88" i="8"/>
  <c r="C89" i="8"/>
  <c r="C28" i="10"/>
  <c r="C27" i="10"/>
  <c r="C99" i="8" l="1"/>
  <c r="C98" i="8"/>
  <c r="D88" i="8" l="1"/>
  <c r="D89" i="8"/>
  <c r="D90" i="8" l="1"/>
  <c r="D94" i="8"/>
  <c r="D27" i="10"/>
  <c r="D93" i="8" s="1"/>
  <c r="D98" i="8" s="1"/>
  <c r="D29" i="10" l="1"/>
  <c r="D99" i="8"/>
  <c r="D95" i="8"/>
  <c r="L2" i="11" l="1"/>
  <c r="K26" i="10" l="1"/>
  <c r="K87" i="8" s="1"/>
  <c r="L2" i="10" l="1"/>
  <c r="L2" i="8" l="1"/>
</calcChain>
</file>

<file path=xl/sharedStrings.xml><?xml version="1.0" encoding="utf-8"?>
<sst xmlns="http://schemas.openxmlformats.org/spreadsheetml/2006/main" count="800" uniqueCount="248">
  <si>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</si>
  <si>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</si>
  <si>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</si>
  <si>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</si>
  <si>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</si>
  <si>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</si>
  <si>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</si>
  <si>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</si>
  <si>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</si>
  <si>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</si>
  <si>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</si>
  <si>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</si>
  <si>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</si>
  <si>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</si>
  <si>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</si>
  <si>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</si>
  <si>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</si>
  <si>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</si>
  <si>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</si>
  <si>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</si>
  <si>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</si>
  <si>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</si>
  <si>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</si>
  <si>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</si>
  <si>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</si>
  <si>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</si>
  <si>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</si>
  <si>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</si>
  <si>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</si>
  <si>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</si>
  <si>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답작용</t>
    <phoneticPr fontId="19" type="noConversion"/>
  </si>
  <si>
    <t>신고공</t>
    <phoneticPr fontId="19" type="noConversion"/>
  </si>
  <si>
    <t>일반용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</si>
  <si>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</si>
  <si>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</si>
  <si>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</si>
  <si>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</si>
  <si>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</si>
  <si>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</si>
  <si>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</si>
  <si>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</si>
  <si>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</si>
  <si>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</si>
  <si>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</si>
  <si>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</si>
  <si>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</si>
  <si>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</si>
  <si>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</si>
  <si>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</si>
  <si>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</si>
  <si>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</si>
  <si>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</si>
  <si>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</si>
  <si>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</si>
  <si>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</si>
  <si>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</si>
  <si>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</si>
  <si>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</si>
  <si>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</si>
  <si>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</si>
  <si>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</si>
  <si>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</si>
  <si>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</si>
  <si>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</si>
  <si>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</si>
  <si>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</si>
  <si>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</si>
  <si>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</si>
  <si>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</si>
  <si>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</si>
  <si>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</si>
  <si>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</si>
  <si>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</si>
  <si>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</si>
  <si>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</si>
  <si>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</si>
  <si>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</si>
  <si>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</si>
  <si>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</si>
  <si>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</si>
  <si>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</si>
  <si>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</si>
  <si>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</si>
  <si>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</si>
  <si>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</si>
  <si>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</si>
  <si>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</si>
  <si>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</si>
  <si>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</si>
  <si>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</si>
  <si>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</si>
  <si>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</si>
  <si>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</si>
  <si>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</si>
  <si>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</si>
  <si>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</si>
  <si>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</si>
  <si>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오가면</t>
    <phoneticPr fontId="19" type="noConversion"/>
  </si>
  <si>
    <t>원천리</t>
    <phoneticPr fontId="19" type="noConversion"/>
  </si>
  <si>
    <t>964-2</t>
    <phoneticPr fontId="19" type="noConversion"/>
  </si>
  <si>
    <t>가정용</t>
    <phoneticPr fontId="19" type="noConversion"/>
  </si>
  <si>
    <t>X</t>
    <phoneticPr fontId="19" type="noConversion"/>
  </si>
  <si>
    <t>965</t>
    <phoneticPr fontId="19" type="noConversion"/>
  </si>
  <si>
    <t>964</t>
    <phoneticPr fontId="19" type="noConversion"/>
  </si>
  <si>
    <t>961</t>
    <phoneticPr fontId="19" type="noConversion"/>
  </si>
  <si>
    <t>964-1</t>
    <phoneticPr fontId="19" type="noConversion"/>
  </si>
  <si>
    <t>751</t>
    <phoneticPr fontId="19" type="noConversion"/>
  </si>
  <si>
    <t>746-2</t>
    <phoneticPr fontId="19" type="noConversion"/>
  </si>
  <si>
    <t>산65-10</t>
    <phoneticPr fontId="19" type="noConversion"/>
  </si>
  <si>
    <t>773</t>
    <phoneticPr fontId="19" type="noConversion"/>
  </si>
  <si>
    <t>767-1</t>
    <phoneticPr fontId="19" type="noConversion"/>
  </si>
  <si>
    <t>763-2</t>
    <phoneticPr fontId="19" type="noConversion"/>
  </si>
  <si>
    <t>762-2</t>
    <phoneticPr fontId="19" type="noConversion"/>
  </si>
  <si>
    <t>1102</t>
    <phoneticPr fontId="19" type="noConversion"/>
  </si>
  <si>
    <t>축산업</t>
    <phoneticPr fontId="19" type="noConversion"/>
  </si>
  <si>
    <t>1100</t>
    <phoneticPr fontId="19" type="noConversion"/>
  </si>
  <si>
    <t>1099</t>
    <phoneticPr fontId="19" type="noConversion"/>
  </si>
  <si>
    <t>493-1</t>
    <phoneticPr fontId="19" type="noConversion"/>
  </si>
  <si>
    <t>490-4</t>
    <phoneticPr fontId="19" type="noConversion"/>
  </si>
  <si>
    <t>523-1</t>
    <phoneticPr fontId="19" type="noConversion"/>
  </si>
  <si>
    <t>576</t>
    <phoneticPr fontId="19" type="noConversion"/>
  </si>
  <si>
    <t>530</t>
    <phoneticPr fontId="19" type="noConversion"/>
  </si>
  <si>
    <t>기타</t>
    <phoneticPr fontId="19" type="noConversion"/>
  </si>
  <si>
    <t>532-1</t>
    <phoneticPr fontId="19" type="noConversion"/>
  </si>
  <si>
    <t>568-3</t>
    <phoneticPr fontId="19" type="noConversion"/>
  </si>
  <si>
    <t>532</t>
    <phoneticPr fontId="19" type="noConversion"/>
  </si>
  <si>
    <t>528-13</t>
    <phoneticPr fontId="19" type="noConversion"/>
  </si>
  <si>
    <t>528-2</t>
    <phoneticPr fontId="19" type="noConversion"/>
  </si>
  <si>
    <t>528-24</t>
    <phoneticPr fontId="19" type="noConversion"/>
  </si>
  <si>
    <t>537-2</t>
    <phoneticPr fontId="19" type="noConversion"/>
  </si>
  <si>
    <t>간이상수도</t>
    <phoneticPr fontId="19" type="noConversion"/>
  </si>
  <si>
    <t>528-6</t>
    <phoneticPr fontId="19" type="noConversion"/>
  </si>
  <si>
    <t>525-4</t>
    <phoneticPr fontId="19" type="noConversion"/>
  </si>
  <si>
    <t>554-1</t>
    <phoneticPr fontId="19" type="noConversion"/>
  </si>
  <si>
    <t>555</t>
    <phoneticPr fontId="19" type="noConversion"/>
  </si>
  <si>
    <t>552</t>
    <phoneticPr fontId="19" type="noConversion"/>
  </si>
  <si>
    <t>618-4</t>
    <phoneticPr fontId="19" type="noConversion"/>
  </si>
  <si>
    <t>629-2</t>
    <phoneticPr fontId="19" type="noConversion"/>
  </si>
  <si>
    <t>626</t>
    <phoneticPr fontId="19" type="noConversion"/>
  </si>
  <si>
    <t>862-1</t>
    <phoneticPr fontId="19" type="noConversion"/>
  </si>
  <si>
    <t>548</t>
    <phoneticPr fontId="19" type="noConversion"/>
  </si>
  <si>
    <t>862-2</t>
    <phoneticPr fontId="19" type="noConversion"/>
  </si>
  <si>
    <t>866-6</t>
    <phoneticPr fontId="19" type="noConversion"/>
  </si>
  <si>
    <t>854-14</t>
    <phoneticPr fontId="19" type="noConversion"/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</si>
  <si>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</si>
  <si>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</si>
  <si>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</si>
  <si>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</si>
  <si>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</si>
  <si>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</si>
  <si>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</si>
  <si>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</si>
  <si>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</si>
  <si>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</si>
  <si>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</si>
  <si>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</si>
  <si>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</si>
  <si>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</si>
  <si>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</si>
  <si>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</si>
  <si>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867-6</t>
    <phoneticPr fontId="19" type="noConversion"/>
  </si>
  <si>
    <t>867-2</t>
    <phoneticPr fontId="19" type="noConversion"/>
  </si>
  <si>
    <t>893</t>
    <phoneticPr fontId="19" type="noConversion"/>
  </si>
  <si>
    <t>892</t>
    <phoneticPr fontId="19" type="noConversion"/>
  </si>
  <si>
    <t>원예용</t>
    <phoneticPr fontId="19" type="noConversion"/>
  </si>
  <si>
    <t>894-1</t>
    <phoneticPr fontId="19" type="noConversion"/>
  </si>
  <si>
    <t>894-14</t>
    <phoneticPr fontId="19" type="noConversion"/>
  </si>
  <si>
    <t>894-12</t>
    <phoneticPr fontId="19" type="noConversion"/>
  </si>
  <si>
    <t>950-32</t>
    <phoneticPr fontId="19" type="noConversion"/>
  </si>
  <si>
    <t>950-28</t>
    <phoneticPr fontId="19" type="noConversion"/>
  </si>
  <si>
    <t>955-8</t>
    <phoneticPr fontId="19" type="noConversion"/>
  </si>
  <si>
    <t>분천리</t>
    <phoneticPr fontId="19" type="noConversion"/>
  </si>
  <si>
    <t>산124</t>
    <phoneticPr fontId="19" type="noConversion"/>
  </si>
  <si>
    <t>32-14</t>
    <phoneticPr fontId="19" type="noConversion"/>
  </si>
  <si>
    <t>35-10</t>
    <phoneticPr fontId="19" type="noConversion"/>
  </si>
  <si>
    <t>35-16</t>
    <phoneticPr fontId="19" type="noConversion"/>
  </si>
  <si>
    <t>35-31</t>
    <phoneticPr fontId="19" type="noConversion"/>
  </si>
  <si>
    <t>35-12</t>
    <phoneticPr fontId="19" type="noConversion"/>
  </si>
  <si>
    <t>955-40</t>
    <phoneticPr fontId="19" type="noConversion"/>
  </si>
  <si>
    <t>955-31</t>
    <phoneticPr fontId="19" type="noConversion"/>
  </si>
  <si>
    <t>955-36</t>
    <phoneticPr fontId="19" type="noConversion"/>
  </si>
  <si>
    <t>955-32</t>
    <phoneticPr fontId="19" type="noConversion"/>
  </si>
  <si>
    <t>837</t>
    <phoneticPr fontId="19" type="noConversion"/>
  </si>
  <si>
    <t>836</t>
    <phoneticPr fontId="19" type="noConversion"/>
  </si>
  <si>
    <t>820</t>
    <phoneticPr fontId="19" type="noConversion"/>
  </si>
  <si>
    <t>822</t>
    <phoneticPr fontId="19" type="noConversion"/>
  </si>
  <si>
    <t>831</t>
    <phoneticPr fontId="19" type="noConversion"/>
  </si>
  <si>
    <t>828</t>
    <phoneticPr fontId="19" type="noConversion"/>
  </si>
  <si>
    <t>828-3</t>
    <phoneticPr fontId="19" type="noConversion"/>
  </si>
  <si>
    <t>958</t>
    <phoneticPr fontId="19" type="noConversion"/>
  </si>
  <si>
    <t>960-1</t>
    <phoneticPr fontId="19" type="noConversion"/>
  </si>
  <si>
    <t>958-1</t>
    <phoneticPr fontId="19" type="noConversion"/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</si>
  <si>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</si>
  <si>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</si>
  <si>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</si>
  <si>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</si>
  <si>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</si>
  <si>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</si>
  <si>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</si>
  <si>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</si>
  <si>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</si>
  <si>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</si>
  <si>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</si>
  <si>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</si>
  <si>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</si>
  <si>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</si>
  <si>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14-51</t>
    <phoneticPr fontId="19" type="noConversion"/>
  </si>
  <si>
    <t>33-4</t>
    <phoneticPr fontId="19" type="noConversion"/>
  </si>
  <si>
    <t>14-59</t>
    <phoneticPr fontId="19" type="noConversion"/>
  </si>
  <si>
    <t>14-50</t>
    <phoneticPr fontId="19" type="noConversion"/>
  </si>
  <si>
    <t>14-57</t>
    <phoneticPr fontId="19" type="noConversion"/>
  </si>
  <si>
    <t>14-15</t>
    <phoneticPr fontId="19" type="noConversion"/>
  </si>
  <si>
    <t>14-16</t>
    <phoneticPr fontId="19" type="noConversion"/>
  </si>
  <si>
    <t>11-32</t>
    <phoneticPr fontId="19" type="noConversion"/>
  </si>
  <si>
    <t>14-25</t>
    <phoneticPr fontId="19" type="noConversion"/>
  </si>
  <si>
    <t>14-54</t>
    <phoneticPr fontId="19" type="noConversion"/>
  </si>
  <si>
    <t>14-7</t>
    <phoneticPr fontId="19" type="noConversion"/>
  </si>
  <si>
    <t>14-63</t>
    <phoneticPr fontId="19" type="noConversion"/>
  </si>
  <si>
    <t>14-33</t>
    <phoneticPr fontId="19" type="noConversion"/>
  </si>
  <si>
    <t>10-47</t>
    <phoneticPr fontId="19" type="noConversion"/>
  </si>
  <si>
    <t>10-45</t>
    <phoneticPr fontId="19" type="noConversion"/>
  </si>
  <si>
    <t>14-3</t>
    <phoneticPr fontId="19" type="noConversion"/>
  </si>
  <si>
    <t>10-96</t>
    <phoneticPr fontId="19" type="noConversion"/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</si>
  <si>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</si>
  <si>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</si>
  <si>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</si>
  <si>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</si>
  <si>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</si>
  <si>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</si>
  <si>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</si>
  <si>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</si>
  <si>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</si>
  <si>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</si>
  <si>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10-42</t>
    <phoneticPr fontId="19" type="noConversion"/>
  </si>
  <si>
    <t>10-41</t>
    <phoneticPr fontId="19" type="noConversion"/>
  </si>
  <si>
    <t>13-2</t>
    <phoneticPr fontId="19" type="noConversion"/>
  </si>
  <si>
    <t>618</t>
    <phoneticPr fontId="19" type="noConversion"/>
  </si>
  <si>
    <t>11-39</t>
    <phoneticPr fontId="19" type="noConversion"/>
  </si>
  <si>
    <t>950-31</t>
    <phoneticPr fontId="19" type="noConversion"/>
  </si>
  <si>
    <t>28-2</t>
    <phoneticPr fontId="19" type="noConversion"/>
  </si>
  <si>
    <t>27</t>
    <phoneticPr fontId="19" type="noConversion"/>
  </si>
  <si>
    <t>24-1</t>
    <phoneticPr fontId="19" type="noConversion"/>
  </si>
  <si>
    <t>19</t>
    <phoneticPr fontId="19" type="noConversion"/>
  </si>
  <si>
    <t>17</t>
    <phoneticPr fontId="19" type="noConversion"/>
  </si>
  <si>
    <t>114-13</t>
    <phoneticPr fontId="19" type="noConversion"/>
  </si>
  <si>
    <t>121-42</t>
    <phoneticPr fontId="19" type="noConversion"/>
  </si>
  <si>
    <t>121-41</t>
    <phoneticPr fontId="19" type="noConversion"/>
  </si>
  <si>
    <t>114-7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</si>
</sst>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76200</xdr:rowOff>
        </xdr:from>
        <xdr:to>
          <xdr:col>19</xdr:col>
          <xdr:colOff>628650</xdr:colOff>
          <xdr:row>3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105"/>
  <sheetViews>
    <sheetView tabSelected="1" workbookViewId="0">
      <selection activeCell="P50" sqref="P50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33</v>
      </c>
      <c r="B2" s="1" t="s">
        <v>31</v>
      </c>
      <c r="C2" s="2" t="s">
        <v>97</v>
      </c>
      <c r="D2" s="2" t="s">
        <v>98</v>
      </c>
      <c r="E2" s="7" t="s">
        <v>99</v>
      </c>
      <c r="F2" s="2">
        <v>50</v>
      </c>
      <c r="G2" s="2">
        <v>100</v>
      </c>
      <c r="H2" s="2">
        <v>1</v>
      </c>
      <c r="I2" s="2">
        <v>25</v>
      </c>
      <c r="J2" s="2" t="s">
        <v>100</v>
      </c>
      <c r="K2" s="3">
        <f t="shared" ref="K2:K58" si="0">ss_water(I2,J2)</f>
        <v>0.71</v>
      </c>
      <c r="L2" s="2" t="str">
        <f t="shared" ref="L2" si="1">D2&amp;" "&amp;E2&amp;" 번지"</f>
        <v>원천리 964-2 번지</v>
      </c>
      <c r="R2" s="2" t="s">
        <v>101</v>
      </c>
    </row>
    <row r="3" spans="1:18" ht="21.75" customHeight="1" x14ac:dyDescent="0.3">
      <c r="A3" s="2" t="s">
        <v>57</v>
      </c>
      <c r="B3" s="1" t="s">
        <v>31</v>
      </c>
      <c r="C3" s="2" t="s">
        <v>97</v>
      </c>
      <c r="D3" s="2" t="s">
        <v>98</v>
      </c>
      <c r="E3" s="7" t="s">
        <v>102</v>
      </c>
      <c r="F3" s="2">
        <v>50</v>
      </c>
      <c r="G3" s="2">
        <v>100</v>
      </c>
      <c r="H3" s="2">
        <v>1</v>
      </c>
      <c r="I3" s="2">
        <v>25</v>
      </c>
      <c r="J3" s="2" t="s">
        <v>100</v>
      </c>
      <c r="K3" s="3">
        <f t="shared" si="0"/>
        <v>0.71</v>
      </c>
      <c r="L3" s="2" t="str">
        <f t="shared" ref="L3:L4" si="2">D3&amp;" "&amp;E3&amp;" 번지"</f>
        <v>원천리 965 번지</v>
      </c>
      <c r="R3" s="2" t="s">
        <v>101</v>
      </c>
    </row>
    <row r="4" spans="1:18" ht="21.75" customHeight="1" x14ac:dyDescent="0.3">
      <c r="A4" s="2" t="s">
        <v>58</v>
      </c>
      <c r="B4" s="1" t="s">
        <v>31</v>
      </c>
      <c r="C4" s="2" t="s">
        <v>97</v>
      </c>
      <c r="D4" s="2" t="s">
        <v>98</v>
      </c>
      <c r="E4" s="7" t="s">
        <v>103</v>
      </c>
      <c r="F4" s="2">
        <v>50</v>
      </c>
      <c r="G4" s="2">
        <v>50</v>
      </c>
      <c r="H4" s="2">
        <v>1</v>
      </c>
      <c r="I4" s="2">
        <v>25</v>
      </c>
      <c r="J4" s="2" t="s">
        <v>100</v>
      </c>
      <c r="K4" s="3">
        <f t="shared" si="0"/>
        <v>0.71</v>
      </c>
      <c r="L4" s="2" t="str">
        <f t="shared" si="2"/>
        <v>원천리 964 번지</v>
      </c>
      <c r="R4" s="2" t="s">
        <v>101</v>
      </c>
    </row>
    <row r="5" spans="1:18" ht="21.75" customHeight="1" x14ac:dyDescent="0.3">
      <c r="A5" s="2" t="s">
        <v>59</v>
      </c>
      <c r="B5" s="1" t="s">
        <v>31</v>
      </c>
      <c r="C5" s="2" t="s">
        <v>97</v>
      </c>
      <c r="D5" s="2" t="s">
        <v>98</v>
      </c>
      <c r="E5" s="7" t="s">
        <v>105</v>
      </c>
      <c r="F5" s="2">
        <v>70</v>
      </c>
      <c r="G5" s="2">
        <v>150</v>
      </c>
      <c r="H5" s="2">
        <v>1</v>
      </c>
      <c r="I5" s="2">
        <v>50</v>
      </c>
      <c r="J5" s="2" t="s">
        <v>32</v>
      </c>
      <c r="K5" s="3">
        <f t="shared" si="0"/>
        <v>4.07</v>
      </c>
      <c r="L5" s="2" t="str">
        <f t="shared" ref="L5:L6" si="3">D5&amp;" "&amp;E5&amp;" 번지"</f>
        <v>원천리 964-1 번지</v>
      </c>
      <c r="R5" s="2" t="s">
        <v>101</v>
      </c>
    </row>
    <row r="6" spans="1:18" ht="21.75" customHeight="1" x14ac:dyDescent="0.3">
      <c r="A6" s="2" t="s">
        <v>60</v>
      </c>
      <c r="B6" s="1" t="s">
        <v>31</v>
      </c>
      <c r="C6" s="2" t="s">
        <v>97</v>
      </c>
      <c r="D6" s="2" t="s">
        <v>98</v>
      </c>
      <c r="E6" s="7" t="s">
        <v>106</v>
      </c>
      <c r="F6" s="2">
        <v>50</v>
      </c>
      <c r="G6" s="2">
        <v>50</v>
      </c>
      <c r="H6" s="2">
        <v>1</v>
      </c>
      <c r="I6" s="2">
        <v>25</v>
      </c>
      <c r="J6" s="2" t="s">
        <v>100</v>
      </c>
      <c r="K6" s="3">
        <f t="shared" si="0"/>
        <v>0.71</v>
      </c>
      <c r="L6" s="2" t="str">
        <f t="shared" si="3"/>
        <v>원천리 751 번지</v>
      </c>
      <c r="R6" s="2" t="s">
        <v>101</v>
      </c>
    </row>
    <row r="7" spans="1:18" ht="21.75" customHeight="1" x14ac:dyDescent="0.3">
      <c r="A7" s="2" t="s">
        <v>61</v>
      </c>
      <c r="B7" s="1" t="s">
        <v>31</v>
      </c>
      <c r="C7" s="2" t="s">
        <v>97</v>
      </c>
      <c r="D7" s="2" t="s">
        <v>98</v>
      </c>
      <c r="E7" s="7" t="s">
        <v>107</v>
      </c>
      <c r="F7" s="2">
        <v>50</v>
      </c>
      <c r="G7" s="2">
        <v>50</v>
      </c>
      <c r="H7" s="2">
        <v>1</v>
      </c>
      <c r="I7" s="2">
        <v>25</v>
      </c>
      <c r="J7" s="2" t="s">
        <v>100</v>
      </c>
      <c r="K7" s="3">
        <f t="shared" si="0"/>
        <v>0.71</v>
      </c>
      <c r="L7" s="2" t="str">
        <f t="shared" ref="L7:L8" si="4">D7&amp;" "&amp;E7&amp;" 번지"</f>
        <v>원천리 746-2 번지</v>
      </c>
      <c r="R7" s="2" t="s">
        <v>101</v>
      </c>
    </row>
    <row r="8" spans="1:18" ht="21.75" customHeight="1" x14ac:dyDescent="0.3">
      <c r="A8" s="2" t="s">
        <v>62</v>
      </c>
      <c r="B8" s="1" t="s">
        <v>31</v>
      </c>
      <c r="C8" s="2" t="s">
        <v>97</v>
      </c>
      <c r="D8" s="2" t="s">
        <v>98</v>
      </c>
      <c r="E8" s="7" t="s">
        <v>108</v>
      </c>
      <c r="F8" s="2">
        <v>50</v>
      </c>
      <c r="G8" s="2">
        <v>50</v>
      </c>
      <c r="H8" s="2">
        <v>1</v>
      </c>
      <c r="I8" s="2">
        <v>25</v>
      </c>
      <c r="J8" s="2" t="s">
        <v>100</v>
      </c>
      <c r="K8" s="3">
        <f t="shared" si="0"/>
        <v>0.71</v>
      </c>
      <c r="L8" s="2" t="str">
        <f t="shared" si="4"/>
        <v>원천리 산65-10 번지</v>
      </c>
      <c r="R8" s="2" t="s">
        <v>101</v>
      </c>
    </row>
    <row r="9" spans="1:18" ht="21.75" customHeight="1" x14ac:dyDescent="0.3">
      <c r="A9" s="2" t="s">
        <v>63</v>
      </c>
      <c r="B9" s="1" t="s">
        <v>31</v>
      </c>
      <c r="C9" s="2" t="s">
        <v>97</v>
      </c>
      <c r="D9" s="2" t="s">
        <v>98</v>
      </c>
      <c r="E9" s="7" t="s">
        <v>109</v>
      </c>
      <c r="F9" s="2">
        <v>36</v>
      </c>
      <c r="G9" s="2">
        <v>50</v>
      </c>
      <c r="H9" s="2">
        <v>1</v>
      </c>
      <c r="I9" s="2">
        <v>25</v>
      </c>
      <c r="J9" s="2" t="s">
        <v>100</v>
      </c>
      <c r="K9" s="3">
        <f t="shared" si="0"/>
        <v>0.71</v>
      </c>
      <c r="L9" s="2" t="str">
        <f t="shared" ref="L9:L10" si="5">D9&amp;" "&amp;E9&amp;" 번지"</f>
        <v>원천리 773 번지</v>
      </c>
      <c r="R9" s="2" t="s">
        <v>101</v>
      </c>
    </row>
    <row r="10" spans="1:18" ht="21.75" customHeight="1" x14ac:dyDescent="0.3">
      <c r="A10" s="2" t="s">
        <v>64</v>
      </c>
      <c r="B10" s="1" t="s">
        <v>31</v>
      </c>
      <c r="C10" s="2" t="s">
        <v>97</v>
      </c>
      <c r="D10" s="2" t="s">
        <v>98</v>
      </c>
      <c r="E10" s="7" t="s">
        <v>110</v>
      </c>
      <c r="F10" s="2">
        <v>50</v>
      </c>
      <c r="G10" s="2">
        <v>50</v>
      </c>
      <c r="H10" s="2">
        <v>1</v>
      </c>
      <c r="I10" s="2">
        <v>25</v>
      </c>
      <c r="J10" s="2" t="s">
        <v>100</v>
      </c>
      <c r="K10" s="3">
        <f t="shared" si="0"/>
        <v>0.71</v>
      </c>
      <c r="L10" s="2" t="str">
        <f t="shared" si="5"/>
        <v>원천리 767-1 번지</v>
      </c>
      <c r="R10" s="2" t="s">
        <v>101</v>
      </c>
    </row>
    <row r="11" spans="1:18" ht="21.75" customHeight="1" x14ac:dyDescent="0.3">
      <c r="A11" s="2" t="s">
        <v>65</v>
      </c>
      <c r="B11" s="1" t="s">
        <v>31</v>
      </c>
      <c r="C11" s="2" t="s">
        <v>97</v>
      </c>
      <c r="D11" s="2" t="s">
        <v>98</v>
      </c>
      <c r="E11" s="7" t="s">
        <v>111</v>
      </c>
      <c r="F11" s="2">
        <v>50</v>
      </c>
      <c r="G11" s="2">
        <v>100</v>
      </c>
      <c r="H11" s="2">
        <v>1</v>
      </c>
      <c r="I11" s="2">
        <v>25</v>
      </c>
      <c r="J11" s="2" t="s">
        <v>100</v>
      </c>
      <c r="K11" s="3">
        <f t="shared" si="0"/>
        <v>0.71</v>
      </c>
      <c r="L11" s="2" t="str">
        <f t="shared" ref="L11:L12" si="6">D11&amp;" "&amp;E11&amp;" 번지"</f>
        <v>원천리 763-2 번지</v>
      </c>
      <c r="R11" s="2" t="s">
        <v>101</v>
      </c>
    </row>
    <row r="12" spans="1:18" ht="21.75" customHeight="1" x14ac:dyDescent="0.3">
      <c r="A12" s="2" t="s">
        <v>66</v>
      </c>
      <c r="B12" s="1" t="s">
        <v>31</v>
      </c>
      <c r="C12" s="2" t="s">
        <v>97</v>
      </c>
      <c r="D12" s="2" t="s">
        <v>98</v>
      </c>
      <c r="E12" s="7" t="s">
        <v>112</v>
      </c>
      <c r="F12" s="2">
        <v>50</v>
      </c>
      <c r="G12" s="2">
        <v>50</v>
      </c>
      <c r="H12" s="2">
        <v>1</v>
      </c>
      <c r="I12" s="2">
        <v>25</v>
      </c>
      <c r="J12" s="2" t="s">
        <v>100</v>
      </c>
      <c r="K12" s="3">
        <f t="shared" si="0"/>
        <v>0.71</v>
      </c>
      <c r="L12" s="2" t="str">
        <f t="shared" si="6"/>
        <v>원천리 762-2 번지</v>
      </c>
      <c r="R12" s="2" t="s">
        <v>101</v>
      </c>
    </row>
    <row r="13" spans="1:18" ht="21.75" customHeight="1" x14ac:dyDescent="0.3">
      <c r="A13" s="2" t="s">
        <v>67</v>
      </c>
      <c r="B13" s="1" t="s">
        <v>31</v>
      </c>
      <c r="C13" s="2" t="s">
        <v>97</v>
      </c>
      <c r="D13" s="2" t="s">
        <v>98</v>
      </c>
      <c r="E13" s="7" t="s">
        <v>115</v>
      </c>
      <c r="F13" s="2">
        <v>50</v>
      </c>
      <c r="G13" s="2">
        <v>50</v>
      </c>
      <c r="H13" s="2">
        <v>0.3</v>
      </c>
      <c r="I13" s="2">
        <v>25</v>
      </c>
      <c r="J13" s="2" t="s">
        <v>100</v>
      </c>
      <c r="K13" s="3">
        <f t="shared" si="0"/>
        <v>0.71</v>
      </c>
      <c r="L13" s="2" t="str">
        <f t="shared" ref="L13:L14" si="7">D13&amp;" "&amp;E13&amp;" 번지"</f>
        <v>원천리 1100 번지</v>
      </c>
      <c r="R13" s="2" t="s">
        <v>13</v>
      </c>
    </row>
    <row r="14" spans="1:18" ht="21.75" customHeight="1" x14ac:dyDescent="0.3">
      <c r="A14" s="2" t="s">
        <v>68</v>
      </c>
      <c r="B14" s="1" t="s">
        <v>31</v>
      </c>
      <c r="C14" s="2" t="s">
        <v>97</v>
      </c>
      <c r="D14" s="2" t="s">
        <v>98</v>
      </c>
      <c r="E14" s="7" t="s">
        <v>116</v>
      </c>
      <c r="F14" s="2">
        <v>50</v>
      </c>
      <c r="G14" s="2">
        <v>50</v>
      </c>
      <c r="H14" s="2">
        <v>0.3</v>
      </c>
      <c r="I14" s="2">
        <v>25</v>
      </c>
      <c r="J14" s="2" t="s">
        <v>100</v>
      </c>
      <c r="K14" s="3">
        <f t="shared" si="0"/>
        <v>0.71</v>
      </c>
      <c r="L14" s="2" t="str">
        <f t="shared" si="7"/>
        <v>원천리 1099 번지</v>
      </c>
      <c r="R14" s="2" t="s">
        <v>13</v>
      </c>
    </row>
    <row r="15" spans="1:18" ht="21.75" customHeight="1" x14ac:dyDescent="0.3">
      <c r="A15" s="2" t="s">
        <v>69</v>
      </c>
      <c r="B15" s="1" t="s">
        <v>31</v>
      </c>
      <c r="C15" s="2" t="s">
        <v>97</v>
      </c>
      <c r="D15" s="2" t="s">
        <v>98</v>
      </c>
      <c r="E15" s="7" t="s">
        <v>117</v>
      </c>
      <c r="F15" s="2">
        <v>25</v>
      </c>
      <c r="G15" s="2">
        <v>50</v>
      </c>
      <c r="H15" s="2">
        <v>0.5</v>
      </c>
      <c r="I15" s="2">
        <v>15</v>
      </c>
      <c r="J15" s="2" t="s">
        <v>100</v>
      </c>
      <c r="K15" s="3">
        <f t="shared" si="0"/>
        <v>0.71</v>
      </c>
      <c r="L15" s="2" t="str">
        <f t="shared" ref="L15:L16" si="8">D15&amp;" "&amp;E15&amp;" 번지"</f>
        <v>원천리 493-1 번지</v>
      </c>
      <c r="R15" s="2" t="s">
        <v>13</v>
      </c>
    </row>
    <row r="16" spans="1:18" ht="21.75" customHeight="1" x14ac:dyDescent="0.3">
      <c r="A16" s="2" t="s">
        <v>70</v>
      </c>
      <c r="B16" s="1" t="s">
        <v>31</v>
      </c>
      <c r="C16" s="2" t="s">
        <v>97</v>
      </c>
      <c r="D16" s="2" t="s">
        <v>98</v>
      </c>
      <c r="E16" s="7" t="s">
        <v>119</v>
      </c>
      <c r="F16" s="2">
        <v>40</v>
      </c>
      <c r="G16" s="2">
        <v>50</v>
      </c>
      <c r="H16" s="2">
        <v>1</v>
      </c>
      <c r="I16" s="2">
        <v>25</v>
      </c>
      <c r="J16" s="2" t="s">
        <v>100</v>
      </c>
      <c r="K16" s="3">
        <f t="shared" si="0"/>
        <v>0.71</v>
      </c>
      <c r="L16" s="2" t="str">
        <f t="shared" si="8"/>
        <v>원천리 523-1 번지</v>
      </c>
      <c r="R16" s="2" t="s">
        <v>13</v>
      </c>
    </row>
    <row r="17" spans="1:18" ht="21.75" customHeight="1" x14ac:dyDescent="0.3">
      <c r="A17" s="2" t="s">
        <v>71</v>
      </c>
      <c r="B17" s="1" t="s">
        <v>31</v>
      </c>
      <c r="C17" s="2" t="s">
        <v>97</v>
      </c>
      <c r="D17" s="2" t="s">
        <v>98</v>
      </c>
      <c r="E17" s="7" t="s">
        <v>120</v>
      </c>
      <c r="F17" s="2">
        <v>40</v>
      </c>
      <c r="G17" s="2">
        <v>40</v>
      </c>
      <c r="H17" s="2">
        <v>0.5</v>
      </c>
      <c r="I17" s="2">
        <v>20</v>
      </c>
      <c r="J17" s="2" t="s">
        <v>100</v>
      </c>
      <c r="K17" s="3">
        <f t="shared" si="0"/>
        <v>0.71</v>
      </c>
      <c r="L17" s="2" t="str">
        <f t="shared" ref="L17:L18" si="9">D17&amp;" "&amp;E17&amp;" 번지"</f>
        <v>원천리 576 번지</v>
      </c>
      <c r="R17" s="2" t="s">
        <v>13</v>
      </c>
    </row>
    <row r="18" spans="1:18" ht="21.75" customHeight="1" x14ac:dyDescent="0.3">
      <c r="A18" s="2" t="s">
        <v>72</v>
      </c>
      <c r="B18" s="1" t="s">
        <v>31</v>
      </c>
      <c r="C18" s="2" t="s">
        <v>97</v>
      </c>
      <c r="D18" s="2" t="s">
        <v>98</v>
      </c>
      <c r="E18" s="7" t="s">
        <v>121</v>
      </c>
      <c r="F18" s="2">
        <v>30</v>
      </c>
      <c r="G18" s="2">
        <v>50</v>
      </c>
      <c r="H18" s="2">
        <v>0.5</v>
      </c>
      <c r="I18" s="2">
        <v>30</v>
      </c>
      <c r="J18" s="2" t="s">
        <v>122</v>
      </c>
      <c r="K18" s="3">
        <f t="shared" si="0"/>
        <v>0.71</v>
      </c>
      <c r="L18" s="2" t="str">
        <f t="shared" si="9"/>
        <v>원천리 530 번지</v>
      </c>
      <c r="R18" s="2" t="s">
        <v>13</v>
      </c>
    </row>
    <row r="19" spans="1:18" ht="21.75" customHeight="1" x14ac:dyDescent="0.3">
      <c r="A19" s="2" t="s">
        <v>73</v>
      </c>
      <c r="B19" s="1" t="s">
        <v>31</v>
      </c>
      <c r="C19" s="2" t="s">
        <v>97</v>
      </c>
      <c r="D19" s="2" t="s">
        <v>98</v>
      </c>
      <c r="E19" s="7" t="s">
        <v>123</v>
      </c>
      <c r="F19" s="2">
        <v>30</v>
      </c>
      <c r="G19" s="2">
        <v>40</v>
      </c>
      <c r="H19" s="2">
        <v>0.5</v>
      </c>
      <c r="I19" s="2">
        <v>20</v>
      </c>
      <c r="J19" s="2" t="s">
        <v>100</v>
      </c>
      <c r="K19" s="3">
        <f t="shared" si="0"/>
        <v>0.71</v>
      </c>
      <c r="L19" s="2" t="str">
        <f t="shared" ref="L19:L20" si="10">D19&amp;" "&amp;E19&amp;" 번지"</f>
        <v>원천리 532-1 번지</v>
      </c>
      <c r="R19" s="2" t="s">
        <v>13</v>
      </c>
    </row>
    <row r="20" spans="1:18" ht="21.75" customHeight="1" x14ac:dyDescent="0.3">
      <c r="A20" s="2" t="s">
        <v>74</v>
      </c>
      <c r="B20" s="1" t="s">
        <v>31</v>
      </c>
      <c r="C20" s="2" t="s">
        <v>97</v>
      </c>
      <c r="D20" s="2" t="s">
        <v>98</v>
      </c>
      <c r="E20" s="7" t="s">
        <v>124</v>
      </c>
      <c r="F20" s="2">
        <v>30</v>
      </c>
      <c r="G20" s="2">
        <v>40</v>
      </c>
      <c r="H20" s="2">
        <v>0.5</v>
      </c>
      <c r="I20" s="2">
        <v>20</v>
      </c>
      <c r="J20" s="2" t="s">
        <v>100</v>
      </c>
      <c r="K20" s="3">
        <f t="shared" si="0"/>
        <v>0.71</v>
      </c>
      <c r="L20" s="2" t="str">
        <f t="shared" si="10"/>
        <v>원천리 568-3 번지</v>
      </c>
      <c r="R20" s="2" t="s">
        <v>13</v>
      </c>
    </row>
    <row r="21" spans="1:18" ht="21.75" customHeight="1" x14ac:dyDescent="0.3">
      <c r="A21" s="2" t="s">
        <v>75</v>
      </c>
      <c r="B21" s="1" t="s">
        <v>31</v>
      </c>
      <c r="C21" s="2" t="s">
        <v>97</v>
      </c>
      <c r="D21" s="2" t="s">
        <v>98</v>
      </c>
      <c r="E21" s="7" t="s">
        <v>125</v>
      </c>
      <c r="F21" s="2">
        <v>30</v>
      </c>
      <c r="G21" s="2">
        <v>40</v>
      </c>
      <c r="H21" s="2">
        <v>0.5</v>
      </c>
      <c r="I21" s="2">
        <v>20</v>
      </c>
      <c r="J21" s="2" t="s">
        <v>100</v>
      </c>
      <c r="K21" s="3">
        <f t="shared" si="0"/>
        <v>0.71</v>
      </c>
      <c r="L21" s="2" t="str">
        <f t="shared" ref="L21:L22" si="11">D21&amp;" "&amp;E21&amp;" 번지"</f>
        <v>원천리 532 번지</v>
      </c>
      <c r="R21" s="2" t="s">
        <v>13</v>
      </c>
    </row>
    <row r="22" spans="1:18" ht="21.75" customHeight="1" x14ac:dyDescent="0.3">
      <c r="A22" s="2" t="s">
        <v>76</v>
      </c>
      <c r="B22" s="1" t="s">
        <v>31</v>
      </c>
      <c r="C22" s="2" t="s">
        <v>97</v>
      </c>
      <c r="D22" s="2" t="s">
        <v>98</v>
      </c>
      <c r="E22" s="7" t="s">
        <v>126</v>
      </c>
      <c r="F22" s="2">
        <v>40</v>
      </c>
      <c r="G22" s="2">
        <v>40</v>
      </c>
      <c r="H22" s="2">
        <v>1</v>
      </c>
      <c r="I22" s="2">
        <v>20</v>
      </c>
      <c r="J22" s="2" t="s">
        <v>100</v>
      </c>
      <c r="K22" s="3">
        <f t="shared" si="0"/>
        <v>0.71</v>
      </c>
      <c r="L22" s="2" t="str">
        <f t="shared" si="11"/>
        <v>원천리 528-13 번지</v>
      </c>
      <c r="R22" s="2" t="s">
        <v>13</v>
      </c>
    </row>
    <row r="23" spans="1:18" ht="21.75" customHeight="1" x14ac:dyDescent="0.3">
      <c r="A23" s="2" t="s">
        <v>77</v>
      </c>
      <c r="B23" s="1" t="s">
        <v>31</v>
      </c>
      <c r="C23" s="2" t="s">
        <v>97</v>
      </c>
      <c r="D23" s="2" t="s">
        <v>98</v>
      </c>
      <c r="E23" s="7" t="s">
        <v>127</v>
      </c>
      <c r="F23" s="2">
        <v>40</v>
      </c>
      <c r="G23" s="2">
        <v>50</v>
      </c>
      <c r="H23" s="2">
        <v>1</v>
      </c>
      <c r="I23" s="2">
        <v>20</v>
      </c>
      <c r="J23" s="2" t="s">
        <v>100</v>
      </c>
      <c r="K23" s="3">
        <f t="shared" si="0"/>
        <v>0.71</v>
      </c>
      <c r="L23" s="2" t="str">
        <f t="shared" ref="L23:L24" si="12">D23&amp;" "&amp;E23&amp;" 번지"</f>
        <v>원천리 528-2 번지</v>
      </c>
      <c r="R23" s="2" t="s">
        <v>13</v>
      </c>
    </row>
    <row r="24" spans="1:18" ht="21.75" customHeight="1" x14ac:dyDescent="0.3">
      <c r="A24" s="2" t="s">
        <v>78</v>
      </c>
      <c r="B24" s="1" t="s">
        <v>31</v>
      </c>
      <c r="C24" s="2" t="s">
        <v>97</v>
      </c>
      <c r="D24" s="2" t="s">
        <v>98</v>
      </c>
      <c r="E24" s="7" t="s">
        <v>128</v>
      </c>
      <c r="F24" s="2">
        <v>30</v>
      </c>
      <c r="G24" s="2">
        <v>50</v>
      </c>
      <c r="H24" s="2">
        <v>1</v>
      </c>
      <c r="I24" s="2">
        <v>20</v>
      </c>
      <c r="J24" s="2" t="s">
        <v>100</v>
      </c>
      <c r="K24" s="3">
        <f t="shared" si="0"/>
        <v>0.71</v>
      </c>
      <c r="L24" s="2" t="str">
        <f t="shared" si="12"/>
        <v>원천리 528-24 번지</v>
      </c>
      <c r="R24" s="2" t="s">
        <v>13</v>
      </c>
    </row>
    <row r="25" spans="1:18" ht="21.75" customHeight="1" x14ac:dyDescent="0.3">
      <c r="A25" s="2" t="s">
        <v>79</v>
      </c>
      <c r="B25" s="1" t="s">
        <v>31</v>
      </c>
      <c r="C25" s="2" t="s">
        <v>97</v>
      </c>
      <c r="D25" s="2" t="s">
        <v>98</v>
      </c>
      <c r="E25" s="7" t="s">
        <v>129</v>
      </c>
      <c r="F25" s="2">
        <v>150</v>
      </c>
      <c r="G25" s="2">
        <v>250</v>
      </c>
      <c r="H25" s="2">
        <v>5</v>
      </c>
      <c r="I25" s="2">
        <v>263</v>
      </c>
      <c r="J25" s="2" t="s">
        <v>130</v>
      </c>
      <c r="K25" s="3">
        <f t="shared" si="0"/>
        <v>7.35</v>
      </c>
      <c r="L25" s="2" t="str">
        <f t="shared" ref="L25:L26" si="13">D25&amp;" "&amp;E25&amp;" 번지"</f>
        <v>원천리 537-2 번지</v>
      </c>
      <c r="R25" s="2" t="s">
        <v>13</v>
      </c>
    </row>
    <row r="26" spans="1:18" ht="21.75" customHeight="1" x14ac:dyDescent="0.3">
      <c r="A26" s="2" t="s">
        <v>80</v>
      </c>
      <c r="B26" s="1" t="s">
        <v>31</v>
      </c>
      <c r="C26" s="2" t="s">
        <v>97</v>
      </c>
      <c r="D26" s="2" t="s">
        <v>98</v>
      </c>
      <c r="E26" s="7" t="s">
        <v>131</v>
      </c>
      <c r="F26" s="2">
        <v>40</v>
      </c>
      <c r="G26" s="2">
        <v>50</v>
      </c>
      <c r="H26" s="2">
        <v>1</v>
      </c>
      <c r="I26" s="2">
        <v>20</v>
      </c>
      <c r="J26" s="2" t="s">
        <v>100</v>
      </c>
      <c r="K26" s="3">
        <f t="shared" si="0"/>
        <v>0.71</v>
      </c>
      <c r="L26" s="2" t="str">
        <f t="shared" si="13"/>
        <v>원천리 528-6 번지</v>
      </c>
      <c r="R26" s="2" t="s">
        <v>13</v>
      </c>
    </row>
    <row r="27" spans="1:18" ht="21.75" customHeight="1" x14ac:dyDescent="0.3">
      <c r="A27" s="2" t="s">
        <v>81</v>
      </c>
      <c r="B27" s="1" t="s">
        <v>31</v>
      </c>
      <c r="C27" s="2" t="s">
        <v>97</v>
      </c>
      <c r="D27" s="2" t="s">
        <v>98</v>
      </c>
      <c r="E27" s="7" t="s">
        <v>132</v>
      </c>
      <c r="F27" s="2">
        <v>40</v>
      </c>
      <c r="G27" s="2">
        <v>40</v>
      </c>
      <c r="H27" s="2">
        <v>1</v>
      </c>
      <c r="I27" s="2">
        <v>20</v>
      </c>
      <c r="J27" s="2" t="s">
        <v>100</v>
      </c>
      <c r="K27" s="3">
        <f t="shared" si="0"/>
        <v>0.71</v>
      </c>
      <c r="L27" s="2" t="str">
        <f t="shared" ref="L27:L28" si="14">D27&amp;" "&amp;E27&amp;" 번지"</f>
        <v>원천리 525-4 번지</v>
      </c>
      <c r="R27" s="2" t="s">
        <v>13</v>
      </c>
    </row>
    <row r="28" spans="1:18" ht="21.75" customHeight="1" x14ac:dyDescent="0.3">
      <c r="A28" s="2" t="s">
        <v>82</v>
      </c>
      <c r="B28" s="1" t="s">
        <v>31</v>
      </c>
      <c r="C28" s="2" t="s">
        <v>97</v>
      </c>
      <c r="D28" s="2" t="s">
        <v>98</v>
      </c>
      <c r="E28" s="7" t="s">
        <v>133</v>
      </c>
      <c r="F28" s="2">
        <v>30</v>
      </c>
      <c r="G28" s="2">
        <v>40</v>
      </c>
      <c r="H28" s="2">
        <v>0.5</v>
      </c>
      <c r="I28" s="2">
        <v>20</v>
      </c>
      <c r="J28" s="2" t="s">
        <v>100</v>
      </c>
      <c r="K28" s="3">
        <f t="shared" si="0"/>
        <v>0.71</v>
      </c>
      <c r="L28" s="2" t="str">
        <f t="shared" si="14"/>
        <v>원천리 554-1 번지</v>
      </c>
      <c r="R28" s="2" t="s">
        <v>13</v>
      </c>
    </row>
    <row r="29" spans="1:18" ht="21.75" customHeight="1" x14ac:dyDescent="0.3">
      <c r="A29" s="2" t="s">
        <v>83</v>
      </c>
      <c r="B29" s="1" t="s">
        <v>31</v>
      </c>
      <c r="C29" s="2" t="s">
        <v>97</v>
      </c>
      <c r="D29" s="2" t="s">
        <v>98</v>
      </c>
      <c r="E29" s="7" t="s">
        <v>134</v>
      </c>
      <c r="F29" s="2">
        <v>30</v>
      </c>
      <c r="G29" s="2">
        <v>40</v>
      </c>
      <c r="H29" s="2">
        <v>0.5</v>
      </c>
      <c r="I29" s="2">
        <v>20</v>
      </c>
      <c r="J29" s="2" t="s">
        <v>100</v>
      </c>
      <c r="K29" s="3">
        <f t="shared" si="0"/>
        <v>0.71</v>
      </c>
      <c r="L29" s="2" t="str">
        <f t="shared" ref="L29:L30" si="15">D29&amp;" "&amp;E29&amp;" 번지"</f>
        <v>원천리 555 번지</v>
      </c>
      <c r="R29" s="2" t="s">
        <v>13</v>
      </c>
    </row>
    <row r="30" spans="1:18" ht="21.75" customHeight="1" x14ac:dyDescent="0.3">
      <c r="A30" s="2" t="s">
        <v>84</v>
      </c>
      <c r="B30" s="1" t="s">
        <v>31</v>
      </c>
      <c r="C30" s="2" t="s">
        <v>97</v>
      </c>
      <c r="D30" s="2" t="s">
        <v>98</v>
      </c>
      <c r="E30" s="7" t="s">
        <v>135</v>
      </c>
      <c r="F30" s="2">
        <v>30</v>
      </c>
      <c r="G30" s="2">
        <v>50</v>
      </c>
      <c r="H30" s="2">
        <v>0.5</v>
      </c>
      <c r="I30" s="2">
        <v>20</v>
      </c>
      <c r="J30" s="2" t="s">
        <v>100</v>
      </c>
      <c r="K30" s="3">
        <f t="shared" si="0"/>
        <v>0.71</v>
      </c>
      <c r="L30" s="2" t="str">
        <f t="shared" si="15"/>
        <v>원천리 552 번지</v>
      </c>
      <c r="R30" s="2" t="s">
        <v>13</v>
      </c>
    </row>
    <row r="31" spans="1:18" ht="21.75" customHeight="1" x14ac:dyDescent="0.3">
      <c r="A31" s="2" t="s">
        <v>85</v>
      </c>
      <c r="B31" s="1" t="s">
        <v>31</v>
      </c>
      <c r="C31" s="2" t="s">
        <v>97</v>
      </c>
      <c r="D31" s="2" t="s">
        <v>98</v>
      </c>
      <c r="E31" s="7" t="s">
        <v>136</v>
      </c>
      <c r="F31" s="2">
        <v>30</v>
      </c>
      <c r="G31" s="2">
        <v>50</v>
      </c>
      <c r="H31" s="2">
        <v>0.5</v>
      </c>
      <c r="I31" s="2">
        <v>20</v>
      </c>
      <c r="J31" s="2" t="s">
        <v>100</v>
      </c>
      <c r="K31" s="3">
        <f t="shared" si="0"/>
        <v>0.71</v>
      </c>
      <c r="L31" s="2" t="str">
        <f t="shared" ref="L31:L32" si="16">D31&amp;" "&amp;E31&amp;" 번지"</f>
        <v>원천리 618-4 번지</v>
      </c>
      <c r="R31" s="2" t="s">
        <v>13</v>
      </c>
    </row>
    <row r="32" spans="1:18" ht="21.75" customHeight="1" x14ac:dyDescent="0.3">
      <c r="A32" s="2" t="s">
        <v>86</v>
      </c>
      <c r="B32" s="1" t="s">
        <v>31</v>
      </c>
      <c r="C32" s="2" t="s">
        <v>97</v>
      </c>
      <c r="D32" s="2" t="s">
        <v>98</v>
      </c>
      <c r="E32" s="7" t="s">
        <v>137</v>
      </c>
      <c r="F32" s="2">
        <v>30</v>
      </c>
      <c r="G32" s="2">
        <v>40</v>
      </c>
      <c r="H32" s="2">
        <v>0.5</v>
      </c>
      <c r="I32" s="2">
        <v>25</v>
      </c>
      <c r="J32" s="2" t="s">
        <v>100</v>
      </c>
      <c r="K32" s="3">
        <f t="shared" si="0"/>
        <v>0.71</v>
      </c>
      <c r="L32" s="2" t="str">
        <f t="shared" si="16"/>
        <v>원천리 629-2 번지</v>
      </c>
      <c r="R32" s="2" t="s">
        <v>13</v>
      </c>
    </row>
    <row r="33" spans="1:18" ht="21.75" customHeight="1" x14ac:dyDescent="0.3">
      <c r="A33" s="2" t="s">
        <v>87</v>
      </c>
      <c r="B33" s="1" t="s">
        <v>31</v>
      </c>
      <c r="C33" s="2" t="s">
        <v>97</v>
      </c>
      <c r="D33" s="2" t="s">
        <v>98</v>
      </c>
      <c r="E33" s="7" t="s">
        <v>138</v>
      </c>
      <c r="F33" s="2">
        <v>40</v>
      </c>
      <c r="G33" s="2">
        <v>40</v>
      </c>
      <c r="H33" s="2">
        <v>1</v>
      </c>
      <c r="I33" s="2">
        <v>25</v>
      </c>
      <c r="J33" s="2" t="s">
        <v>100</v>
      </c>
      <c r="K33" s="3">
        <f t="shared" si="0"/>
        <v>0.71</v>
      </c>
      <c r="L33" s="2" t="str">
        <f t="shared" ref="L33:L34" si="17">D33&amp;" "&amp;E33&amp;" 번지"</f>
        <v>원천리 626 번지</v>
      </c>
      <c r="R33" s="2" t="s">
        <v>13</v>
      </c>
    </row>
    <row r="34" spans="1:18" ht="21.75" customHeight="1" x14ac:dyDescent="0.3">
      <c r="A34" s="2" t="s">
        <v>88</v>
      </c>
      <c r="B34" s="1" t="s">
        <v>31</v>
      </c>
      <c r="C34" s="2" t="s">
        <v>97</v>
      </c>
      <c r="D34" s="2" t="s">
        <v>98</v>
      </c>
      <c r="E34" s="7" t="s">
        <v>139</v>
      </c>
      <c r="F34" s="2">
        <v>30</v>
      </c>
      <c r="G34" s="2">
        <v>50</v>
      </c>
      <c r="H34" s="2">
        <v>1</v>
      </c>
      <c r="I34" s="2">
        <v>15</v>
      </c>
      <c r="J34" s="2" t="s">
        <v>100</v>
      </c>
      <c r="K34" s="3">
        <f t="shared" si="0"/>
        <v>0.71</v>
      </c>
      <c r="L34" s="2" t="str">
        <f t="shared" si="17"/>
        <v>원천리 862-1 번지</v>
      </c>
      <c r="R34" s="2" t="s">
        <v>13</v>
      </c>
    </row>
    <row r="35" spans="1:18" ht="21.75" customHeight="1" x14ac:dyDescent="0.3">
      <c r="A35" s="2" t="s">
        <v>89</v>
      </c>
      <c r="B35" s="1" t="s">
        <v>31</v>
      </c>
      <c r="C35" s="2" t="s">
        <v>97</v>
      </c>
      <c r="D35" s="2" t="s">
        <v>98</v>
      </c>
      <c r="E35" s="7" t="s">
        <v>140</v>
      </c>
      <c r="F35" s="2">
        <v>40</v>
      </c>
      <c r="G35" s="2">
        <v>40</v>
      </c>
      <c r="H35" s="2">
        <v>1</v>
      </c>
      <c r="I35" s="2">
        <v>20</v>
      </c>
      <c r="J35" s="2" t="s">
        <v>100</v>
      </c>
      <c r="K35" s="3">
        <f t="shared" si="0"/>
        <v>0.71</v>
      </c>
      <c r="L35" s="2" t="str">
        <f t="shared" ref="L35:L36" si="18">D35&amp;" "&amp;E35&amp;" 번지"</f>
        <v>원천리 548 번지</v>
      </c>
      <c r="R35" s="2" t="s">
        <v>13</v>
      </c>
    </row>
    <row r="36" spans="1:18" ht="21.75" customHeight="1" x14ac:dyDescent="0.3">
      <c r="A36" s="2" t="s">
        <v>90</v>
      </c>
      <c r="B36" s="1" t="s">
        <v>31</v>
      </c>
      <c r="C36" s="2" t="s">
        <v>97</v>
      </c>
      <c r="D36" s="2" t="s">
        <v>98</v>
      </c>
      <c r="E36" s="7" t="s">
        <v>141</v>
      </c>
      <c r="F36" s="2">
        <v>30</v>
      </c>
      <c r="G36" s="2">
        <v>40</v>
      </c>
      <c r="H36" s="2">
        <v>0.5</v>
      </c>
      <c r="I36" s="2">
        <v>20</v>
      </c>
      <c r="J36" s="2" t="s">
        <v>100</v>
      </c>
      <c r="K36" s="3">
        <f t="shared" si="0"/>
        <v>0.71</v>
      </c>
      <c r="L36" s="2" t="str">
        <f t="shared" si="18"/>
        <v>원천리 862-2 번지</v>
      </c>
      <c r="R36" s="2" t="s">
        <v>13</v>
      </c>
    </row>
    <row r="37" spans="1:18" ht="21.75" customHeight="1" x14ac:dyDescent="0.3">
      <c r="A37" s="2" t="s">
        <v>91</v>
      </c>
      <c r="B37" s="1" t="s">
        <v>31</v>
      </c>
      <c r="C37" s="2" t="s">
        <v>97</v>
      </c>
      <c r="D37" s="2" t="s">
        <v>98</v>
      </c>
      <c r="E37" s="7" t="s">
        <v>142</v>
      </c>
      <c r="F37" s="2">
        <v>35</v>
      </c>
      <c r="G37" s="2">
        <v>50</v>
      </c>
      <c r="H37" s="2">
        <v>1</v>
      </c>
      <c r="I37" s="2">
        <v>20</v>
      </c>
      <c r="J37" s="2" t="s">
        <v>100</v>
      </c>
      <c r="K37" s="3">
        <f t="shared" si="0"/>
        <v>0.71</v>
      </c>
      <c r="L37" s="2" t="str">
        <f t="shared" ref="L37:L38" si="19">D37&amp;" "&amp;E37&amp;" 번지"</f>
        <v>원천리 866-6 번지</v>
      </c>
      <c r="R37" s="2" t="s">
        <v>13</v>
      </c>
    </row>
    <row r="38" spans="1:18" ht="21.75" customHeight="1" x14ac:dyDescent="0.3">
      <c r="A38" s="2" t="s">
        <v>92</v>
      </c>
      <c r="B38" s="1" t="s">
        <v>31</v>
      </c>
      <c r="C38" s="2" t="s">
        <v>97</v>
      </c>
      <c r="D38" s="2" t="s">
        <v>98</v>
      </c>
      <c r="E38" s="7" t="s">
        <v>143</v>
      </c>
      <c r="F38" s="2">
        <v>30</v>
      </c>
      <c r="G38" s="2">
        <v>40</v>
      </c>
      <c r="H38" s="2">
        <v>1</v>
      </c>
      <c r="I38" s="2">
        <v>20</v>
      </c>
      <c r="J38" s="2" t="s">
        <v>100</v>
      </c>
      <c r="K38" s="3">
        <f t="shared" si="0"/>
        <v>0.71</v>
      </c>
      <c r="L38" s="2" t="str">
        <f t="shared" si="19"/>
        <v>원천리 854-14 번지</v>
      </c>
      <c r="R38" s="2" t="s">
        <v>13</v>
      </c>
    </row>
    <row r="39" spans="1:18" ht="21.75" customHeight="1" x14ac:dyDescent="0.3">
      <c r="A39" s="2" t="s">
        <v>93</v>
      </c>
      <c r="B39" s="1" t="s">
        <v>31</v>
      </c>
      <c r="C39" s="2" t="s">
        <v>97</v>
      </c>
      <c r="D39" s="2" t="s">
        <v>98</v>
      </c>
      <c r="E39" s="7" t="s">
        <v>161</v>
      </c>
      <c r="F39" s="2">
        <v>40</v>
      </c>
      <c r="G39" s="2">
        <v>40</v>
      </c>
      <c r="H39" s="2">
        <v>1</v>
      </c>
      <c r="I39" s="2">
        <v>20</v>
      </c>
      <c r="J39" s="2" t="s">
        <v>100</v>
      </c>
      <c r="K39" s="3">
        <f t="shared" si="0"/>
        <v>0.71</v>
      </c>
      <c r="L39" s="2" t="str">
        <f t="shared" ref="L39:L40" si="20">D39&amp;" "&amp;E39&amp;" 번지"</f>
        <v>원천리 867-2 번지</v>
      </c>
      <c r="R39" s="2" t="s">
        <v>13</v>
      </c>
    </row>
    <row r="40" spans="1:18" ht="21.75" customHeight="1" x14ac:dyDescent="0.3">
      <c r="A40" s="2" t="s">
        <v>94</v>
      </c>
      <c r="B40" s="1" t="s">
        <v>31</v>
      </c>
      <c r="C40" s="2" t="s">
        <v>97</v>
      </c>
      <c r="D40" s="2" t="s">
        <v>98</v>
      </c>
      <c r="E40" s="7" t="s">
        <v>162</v>
      </c>
      <c r="F40" s="2">
        <v>35</v>
      </c>
      <c r="G40" s="2">
        <v>50</v>
      </c>
      <c r="H40" s="2">
        <v>1</v>
      </c>
      <c r="I40" s="2">
        <v>20</v>
      </c>
      <c r="J40" s="2" t="s">
        <v>100</v>
      </c>
      <c r="K40" s="3">
        <f t="shared" si="0"/>
        <v>0.71</v>
      </c>
      <c r="L40" s="2" t="str">
        <f t="shared" si="20"/>
        <v>원천리 893 번지</v>
      </c>
      <c r="R40" s="2" t="s">
        <v>13</v>
      </c>
    </row>
    <row r="41" spans="1:18" ht="21.75" customHeight="1" x14ac:dyDescent="0.3">
      <c r="A41" s="2" t="s">
        <v>95</v>
      </c>
      <c r="B41" s="1" t="s">
        <v>31</v>
      </c>
      <c r="C41" s="2" t="s">
        <v>97</v>
      </c>
      <c r="D41" s="2" t="s">
        <v>98</v>
      </c>
      <c r="E41" s="7" t="s">
        <v>167</v>
      </c>
      <c r="F41" s="2">
        <v>30</v>
      </c>
      <c r="G41" s="2">
        <v>50</v>
      </c>
      <c r="H41" s="2">
        <v>0.3</v>
      </c>
      <c r="I41" s="2">
        <v>20</v>
      </c>
      <c r="J41" s="2" t="s">
        <v>100</v>
      </c>
      <c r="K41" s="3">
        <f t="shared" si="0"/>
        <v>0.71</v>
      </c>
      <c r="L41" s="2" t="str">
        <f t="shared" ref="L41:L42" si="21">D41&amp;" "&amp;E41&amp;" 번지"</f>
        <v>원천리 894-12 번지</v>
      </c>
      <c r="R41" s="2" t="s">
        <v>13</v>
      </c>
    </row>
    <row r="42" spans="1:18" ht="21.75" customHeight="1" x14ac:dyDescent="0.3">
      <c r="A42" s="2" t="s">
        <v>96</v>
      </c>
      <c r="B42" s="1" t="s">
        <v>31</v>
      </c>
      <c r="C42" s="2" t="s">
        <v>97</v>
      </c>
      <c r="D42" s="2" t="s">
        <v>171</v>
      </c>
      <c r="E42" s="7" t="s">
        <v>172</v>
      </c>
      <c r="F42" s="2">
        <v>25</v>
      </c>
      <c r="G42" s="2">
        <v>40</v>
      </c>
      <c r="H42" s="2">
        <v>0.5</v>
      </c>
      <c r="I42" s="2">
        <v>25</v>
      </c>
      <c r="J42" s="2" t="s">
        <v>100</v>
      </c>
      <c r="K42" s="3">
        <f t="shared" si="0"/>
        <v>0.71</v>
      </c>
      <c r="L42" s="2" t="str">
        <f t="shared" si="21"/>
        <v>분천리 산124 번지</v>
      </c>
      <c r="R42" s="2" t="s">
        <v>13</v>
      </c>
    </row>
    <row r="43" spans="1:18" ht="21.75" customHeight="1" x14ac:dyDescent="0.3">
      <c r="A43" s="2" t="s">
        <v>144</v>
      </c>
      <c r="B43" s="1" t="s">
        <v>31</v>
      </c>
      <c r="C43" s="2" t="s">
        <v>97</v>
      </c>
      <c r="D43" s="2" t="s">
        <v>171</v>
      </c>
      <c r="E43" s="7" t="s">
        <v>173</v>
      </c>
      <c r="F43" s="2">
        <v>25</v>
      </c>
      <c r="G43" s="2">
        <v>40</v>
      </c>
      <c r="H43" s="2">
        <v>0.5</v>
      </c>
      <c r="I43" s="2">
        <v>25</v>
      </c>
      <c r="J43" s="2" t="s">
        <v>100</v>
      </c>
      <c r="K43" s="3">
        <f t="shared" si="0"/>
        <v>0.71</v>
      </c>
      <c r="L43" s="2" t="str">
        <f t="shared" ref="L43:L44" si="22">D43&amp;" "&amp;E43&amp;" 번지"</f>
        <v>분천리 32-14 번지</v>
      </c>
      <c r="R43" s="2" t="s">
        <v>13</v>
      </c>
    </row>
    <row r="44" spans="1:18" ht="21.75" customHeight="1" x14ac:dyDescent="0.3">
      <c r="A44" s="2" t="s">
        <v>145</v>
      </c>
      <c r="B44" s="1" t="s">
        <v>31</v>
      </c>
      <c r="C44" s="2" t="s">
        <v>97</v>
      </c>
      <c r="D44" s="2" t="s">
        <v>171</v>
      </c>
      <c r="E44" s="7" t="s">
        <v>174</v>
      </c>
      <c r="F44" s="2">
        <v>30</v>
      </c>
      <c r="G44" s="2">
        <v>50</v>
      </c>
      <c r="H44" s="2">
        <v>0.5</v>
      </c>
      <c r="I44" s="2">
        <v>25</v>
      </c>
      <c r="J44" s="2" t="s">
        <v>100</v>
      </c>
      <c r="K44" s="3">
        <f t="shared" si="0"/>
        <v>0.71</v>
      </c>
      <c r="L44" s="2" t="str">
        <f t="shared" si="22"/>
        <v>분천리 35-10 번지</v>
      </c>
      <c r="R44" s="2" t="s">
        <v>13</v>
      </c>
    </row>
    <row r="45" spans="1:18" ht="21.75" customHeight="1" x14ac:dyDescent="0.3">
      <c r="A45" s="2" t="s">
        <v>146</v>
      </c>
      <c r="B45" s="1" t="s">
        <v>31</v>
      </c>
      <c r="C45" s="2" t="s">
        <v>97</v>
      </c>
      <c r="D45" s="2" t="s">
        <v>171</v>
      </c>
      <c r="E45" s="7" t="s">
        <v>175</v>
      </c>
      <c r="F45" s="2">
        <v>25</v>
      </c>
      <c r="G45" s="2">
        <v>40</v>
      </c>
      <c r="H45" s="2">
        <v>0.5</v>
      </c>
      <c r="I45" s="2">
        <v>25</v>
      </c>
      <c r="J45" s="2" t="s">
        <v>100</v>
      </c>
      <c r="K45" s="3">
        <f t="shared" si="0"/>
        <v>0.71</v>
      </c>
      <c r="L45" s="2" t="str">
        <f t="shared" ref="L45:L46" si="23">D45&amp;" "&amp;E45&amp;" 번지"</f>
        <v>분천리 35-16 번지</v>
      </c>
      <c r="R45" s="2" t="s">
        <v>13</v>
      </c>
    </row>
    <row r="46" spans="1:18" ht="21.75" customHeight="1" x14ac:dyDescent="0.3">
      <c r="A46" s="2" t="s">
        <v>147</v>
      </c>
      <c r="B46" s="1" t="s">
        <v>31</v>
      </c>
      <c r="C46" s="2" t="s">
        <v>97</v>
      </c>
      <c r="D46" s="2" t="s">
        <v>98</v>
      </c>
      <c r="E46" s="7" t="s">
        <v>178</v>
      </c>
      <c r="F46" s="2">
        <v>50</v>
      </c>
      <c r="G46" s="2">
        <v>50</v>
      </c>
      <c r="H46" s="2">
        <v>1</v>
      </c>
      <c r="I46" s="2">
        <v>25</v>
      </c>
      <c r="J46" s="2" t="s">
        <v>100</v>
      </c>
      <c r="K46" s="3">
        <f t="shared" si="0"/>
        <v>0.71</v>
      </c>
      <c r="L46" s="2" t="str">
        <f t="shared" si="23"/>
        <v>원천리 955-40 번지</v>
      </c>
      <c r="R46" s="2" t="s">
        <v>13</v>
      </c>
    </row>
    <row r="47" spans="1:18" ht="21.75" customHeight="1" x14ac:dyDescent="0.3">
      <c r="A47" s="2" t="s">
        <v>148</v>
      </c>
      <c r="B47" s="1" t="s">
        <v>31</v>
      </c>
      <c r="C47" s="2" t="s">
        <v>97</v>
      </c>
      <c r="D47" s="2" t="s">
        <v>98</v>
      </c>
      <c r="E47" s="7" t="s">
        <v>179</v>
      </c>
      <c r="F47" s="2">
        <v>50</v>
      </c>
      <c r="G47" s="2">
        <v>50</v>
      </c>
      <c r="H47" s="2">
        <v>1</v>
      </c>
      <c r="I47" s="2">
        <v>25</v>
      </c>
      <c r="J47" s="2" t="s">
        <v>100</v>
      </c>
      <c r="K47" s="3">
        <f t="shared" si="0"/>
        <v>0.71</v>
      </c>
      <c r="L47" s="2" t="str">
        <f t="shared" ref="L47:L48" si="24">D47&amp;" "&amp;E47&amp;" 번지"</f>
        <v>원천리 955-31 번지</v>
      </c>
      <c r="R47" s="2" t="s">
        <v>13</v>
      </c>
    </row>
    <row r="48" spans="1:18" ht="21.75" customHeight="1" x14ac:dyDescent="0.3">
      <c r="A48" s="2" t="s">
        <v>149</v>
      </c>
      <c r="B48" s="1" t="s">
        <v>31</v>
      </c>
      <c r="C48" s="2" t="s">
        <v>97</v>
      </c>
      <c r="D48" s="2" t="s">
        <v>98</v>
      </c>
      <c r="E48" s="7" t="s">
        <v>180</v>
      </c>
      <c r="F48" s="2">
        <v>25</v>
      </c>
      <c r="G48" s="2">
        <v>50</v>
      </c>
      <c r="H48" s="2">
        <v>1</v>
      </c>
      <c r="I48" s="2">
        <v>25</v>
      </c>
      <c r="J48" s="2" t="s">
        <v>100</v>
      </c>
      <c r="K48" s="3">
        <f t="shared" si="0"/>
        <v>0.71</v>
      </c>
      <c r="L48" s="2" t="str">
        <f t="shared" si="24"/>
        <v>원천리 955-36 번지</v>
      </c>
      <c r="R48" s="2" t="s">
        <v>13</v>
      </c>
    </row>
    <row r="49" spans="1:18" ht="21.75" customHeight="1" x14ac:dyDescent="0.3">
      <c r="A49" s="2" t="s">
        <v>150</v>
      </c>
      <c r="B49" s="1" t="s">
        <v>31</v>
      </c>
      <c r="C49" s="2" t="s">
        <v>97</v>
      </c>
      <c r="D49" s="2" t="s">
        <v>98</v>
      </c>
      <c r="E49" s="7" t="s">
        <v>182</v>
      </c>
      <c r="F49" s="2">
        <v>50</v>
      </c>
      <c r="G49" s="2">
        <v>50</v>
      </c>
      <c r="H49" s="2">
        <v>1</v>
      </c>
      <c r="I49" s="2">
        <v>25</v>
      </c>
      <c r="J49" s="2" t="s">
        <v>100</v>
      </c>
      <c r="K49" s="3">
        <f t="shared" si="0"/>
        <v>0.71</v>
      </c>
      <c r="L49" s="2" t="str">
        <f t="shared" ref="L49:L50" si="25">D49&amp;" "&amp;E49&amp;" 번지"</f>
        <v>원천리 837 번지</v>
      </c>
      <c r="R49" s="2" t="s">
        <v>13</v>
      </c>
    </row>
    <row r="50" spans="1:18" ht="21.75" customHeight="1" x14ac:dyDescent="0.3">
      <c r="A50" s="2" t="s">
        <v>151</v>
      </c>
      <c r="B50" s="1" t="s">
        <v>31</v>
      </c>
      <c r="C50" s="2" t="s">
        <v>97</v>
      </c>
      <c r="D50" s="2" t="s">
        <v>98</v>
      </c>
      <c r="E50" s="7" t="s">
        <v>184</v>
      </c>
      <c r="F50" s="2">
        <v>50</v>
      </c>
      <c r="G50" s="2">
        <v>50</v>
      </c>
      <c r="H50" s="2">
        <v>1</v>
      </c>
      <c r="I50" s="2">
        <v>25</v>
      </c>
      <c r="J50" s="2" t="s">
        <v>100</v>
      </c>
      <c r="K50" s="3">
        <f t="shared" si="0"/>
        <v>0.71</v>
      </c>
      <c r="L50" s="2" t="str">
        <f t="shared" si="25"/>
        <v>원천리 820 번지</v>
      </c>
      <c r="R50" s="2" t="s">
        <v>13</v>
      </c>
    </row>
    <row r="51" spans="1:18" ht="21.75" customHeight="1" x14ac:dyDescent="0.3">
      <c r="A51" s="2" t="s">
        <v>152</v>
      </c>
      <c r="B51" s="1" t="s">
        <v>31</v>
      </c>
      <c r="C51" s="2" t="s">
        <v>97</v>
      </c>
      <c r="D51" s="2" t="s">
        <v>98</v>
      </c>
      <c r="E51" s="7" t="s">
        <v>185</v>
      </c>
      <c r="F51" s="2">
        <v>50</v>
      </c>
      <c r="G51" s="2">
        <v>50</v>
      </c>
      <c r="H51" s="2">
        <v>1</v>
      </c>
      <c r="I51" s="2">
        <v>25</v>
      </c>
      <c r="J51" s="2" t="s">
        <v>100</v>
      </c>
      <c r="K51" s="3">
        <f t="shared" si="0"/>
        <v>0.71</v>
      </c>
      <c r="L51" s="2" t="str">
        <f t="shared" ref="L51:L52" si="26">D51&amp;" "&amp;E51&amp;" 번지"</f>
        <v>원천리 822 번지</v>
      </c>
      <c r="R51" s="2" t="s">
        <v>13</v>
      </c>
    </row>
    <row r="52" spans="1:18" ht="21.75" customHeight="1" x14ac:dyDescent="0.3">
      <c r="A52" s="2" t="s">
        <v>153</v>
      </c>
      <c r="B52" s="1" t="s">
        <v>31</v>
      </c>
      <c r="C52" s="2" t="s">
        <v>97</v>
      </c>
      <c r="D52" s="2" t="s">
        <v>98</v>
      </c>
      <c r="E52" s="7" t="s">
        <v>186</v>
      </c>
      <c r="F52" s="2">
        <v>50</v>
      </c>
      <c r="G52" s="2">
        <v>70</v>
      </c>
      <c r="H52" s="2">
        <v>1</v>
      </c>
      <c r="I52" s="2">
        <v>25</v>
      </c>
      <c r="J52" s="2" t="s">
        <v>100</v>
      </c>
      <c r="K52" s="3">
        <f t="shared" si="0"/>
        <v>0.71</v>
      </c>
      <c r="L52" s="2" t="str">
        <f t="shared" si="26"/>
        <v>원천리 831 번지</v>
      </c>
      <c r="R52" s="2" t="s">
        <v>13</v>
      </c>
    </row>
    <row r="53" spans="1:18" ht="21.75" customHeight="1" x14ac:dyDescent="0.3">
      <c r="A53" s="2" t="s">
        <v>154</v>
      </c>
      <c r="B53" s="1" t="s">
        <v>31</v>
      </c>
      <c r="C53" s="2" t="s">
        <v>97</v>
      </c>
      <c r="D53" s="2" t="s">
        <v>98</v>
      </c>
      <c r="E53" s="7" t="s">
        <v>187</v>
      </c>
      <c r="F53" s="2">
        <v>30</v>
      </c>
      <c r="G53" s="2">
        <v>50</v>
      </c>
      <c r="H53" s="2">
        <v>1</v>
      </c>
      <c r="I53" s="2">
        <v>25</v>
      </c>
      <c r="J53" s="2" t="s">
        <v>100</v>
      </c>
      <c r="K53" s="3">
        <f t="shared" si="0"/>
        <v>0.71</v>
      </c>
      <c r="L53" s="2" t="str">
        <f t="shared" ref="L53:L54" si="27">D53&amp;" "&amp;E53&amp;" 번지"</f>
        <v>원천리 828 번지</v>
      </c>
      <c r="R53" s="2" t="s">
        <v>13</v>
      </c>
    </row>
    <row r="54" spans="1:18" ht="21.75" customHeight="1" x14ac:dyDescent="0.3">
      <c r="A54" s="2" t="s">
        <v>155</v>
      </c>
      <c r="B54" s="1" t="s">
        <v>31</v>
      </c>
      <c r="C54" s="2" t="s">
        <v>97</v>
      </c>
      <c r="D54" s="2" t="s">
        <v>98</v>
      </c>
      <c r="E54" s="7" t="s">
        <v>188</v>
      </c>
      <c r="F54" s="2">
        <v>50</v>
      </c>
      <c r="G54" s="2">
        <v>50</v>
      </c>
      <c r="H54" s="2">
        <v>1</v>
      </c>
      <c r="I54" s="2">
        <v>25</v>
      </c>
      <c r="J54" s="2" t="s">
        <v>100</v>
      </c>
      <c r="K54" s="3">
        <f t="shared" si="0"/>
        <v>0.71</v>
      </c>
      <c r="L54" s="2" t="str">
        <f t="shared" si="27"/>
        <v>원천리 828-3 번지</v>
      </c>
      <c r="R54" s="2" t="s">
        <v>13</v>
      </c>
    </row>
    <row r="55" spans="1:18" ht="21.75" customHeight="1" x14ac:dyDescent="0.3">
      <c r="A55" s="2" t="s">
        <v>156</v>
      </c>
      <c r="B55" s="1" t="s">
        <v>31</v>
      </c>
      <c r="C55" s="2" t="s">
        <v>97</v>
      </c>
      <c r="D55" s="2" t="s">
        <v>98</v>
      </c>
      <c r="E55" s="7" t="s">
        <v>189</v>
      </c>
      <c r="F55" s="2">
        <v>30</v>
      </c>
      <c r="G55" s="2">
        <v>100</v>
      </c>
      <c r="H55" s="2">
        <v>0.3</v>
      </c>
      <c r="I55" s="2">
        <v>20</v>
      </c>
      <c r="J55" s="2" t="s">
        <v>122</v>
      </c>
      <c r="K55" s="3">
        <f t="shared" si="0"/>
        <v>0.71</v>
      </c>
      <c r="L55" s="2" t="str">
        <f t="shared" ref="L55:L56" si="28">D55&amp;" "&amp;E55&amp;" 번지"</f>
        <v>원천리 958 번지</v>
      </c>
      <c r="R55" s="2" t="s">
        <v>13</v>
      </c>
    </row>
    <row r="56" spans="1:18" ht="21.75" customHeight="1" x14ac:dyDescent="0.3">
      <c r="A56" s="2" t="s">
        <v>157</v>
      </c>
      <c r="B56" s="1" t="s">
        <v>31</v>
      </c>
      <c r="C56" s="2" t="s">
        <v>97</v>
      </c>
      <c r="D56" s="2" t="s">
        <v>98</v>
      </c>
      <c r="E56" s="7" t="s">
        <v>191</v>
      </c>
      <c r="F56" s="2">
        <v>50</v>
      </c>
      <c r="G56" s="2">
        <v>50</v>
      </c>
      <c r="H56" s="2">
        <v>1</v>
      </c>
      <c r="I56" s="2">
        <v>25</v>
      </c>
      <c r="J56" s="2" t="s">
        <v>100</v>
      </c>
      <c r="K56" s="3">
        <f t="shared" si="0"/>
        <v>0.71</v>
      </c>
      <c r="L56" s="2" t="str">
        <f t="shared" si="28"/>
        <v>원천리 958-1 번지</v>
      </c>
      <c r="R56" s="2" t="s">
        <v>13</v>
      </c>
    </row>
    <row r="57" spans="1:18" ht="21.75" customHeight="1" x14ac:dyDescent="0.3">
      <c r="A57" s="2" t="s">
        <v>158</v>
      </c>
      <c r="B57" s="1" t="s">
        <v>31</v>
      </c>
      <c r="C57" s="2" t="s">
        <v>97</v>
      </c>
      <c r="D57" s="2" t="s">
        <v>171</v>
      </c>
      <c r="E57" s="7" t="s">
        <v>206</v>
      </c>
      <c r="F57" s="2">
        <v>25</v>
      </c>
      <c r="G57" s="2">
        <v>40</v>
      </c>
      <c r="H57" s="2">
        <v>0.5</v>
      </c>
      <c r="I57" s="2">
        <v>25</v>
      </c>
      <c r="J57" s="2" t="s">
        <v>100</v>
      </c>
      <c r="K57" s="3">
        <f t="shared" si="0"/>
        <v>0.71</v>
      </c>
      <c r="L57" s="2" t="str">
        <f t="shared" ref="L57:L58" si="29">D57&amp;" "&amp;E57&amp;" 번지"</f>
        <v>분천리 14-51 번지</v>
      </c>
      <c r="R57" s="2" t="s">
        <v>13</v>
      </c>
    </row>
    <row r="58" spans="1:18" ht="21.75" customHeight="1" x14ac:dyDescent="0.3">
      <c r="A58" s="2" t="s">
        <v>159</v>
      </c>
      <c r="B58" s="1" t="s">
        <v>31</v>
      </c>
      <c r="C58" s="2" t="s">
        <v>97</v>
      </c>
      <c r="D58" s="2" t="s">
        <v>171</v>
      </c>
      <c r="E58" s="7" t="s">
        <v>207</v>
      </c>
      <c r="F58" s="2">
        <v>25</v>
      </c>
      <c r="G58" s="2">
        <v>40</v>
      </c>
      <c r="H58" s="2">
        <v>0.5</v>
      </c>
      <c r="I58" s="2">
        <v>25</v>
      </c>
      <c r="J58" s="2" t="s">
        <v>100</v>
      </c>
      <c r="K58" s="3">
        <f t="shared" si="0"/>
        <v>0.71</v>
      </c>
      <c r="L58" s="2" t="str">
        <f t="shared" si="29"/>
        <v>분천리 33-4 번지</v>
      </c>
      <c r="R58" s="2" t="s">
        <v>13</v>
      </c>
    </row>
    <row r="59" spans="1:18" ht="21.75" customHeight="1" x14ac:dyDescent="0.3">
      <c r="A59" s="2" t="s">
        <v>192</v>
      </c>
      <c r="B59" s="1" t="s">
        <v>31</v>
      </c>
      <c r="C59" s="2" t="s">
        <v>97</v>
      </c>
      <c r="D59" s="2" t="s">
        <v>171</v>
      </c>
      <c r="E59" s="7" t="s">
        <v>208</v>
      </c>
      <c r="F59" s="2">
        <v>25</v>
      </c>
      <c r="G59" s="2">
        <v>40</v>
      </c>
      <c r="H59" s="2">
        <v>0.5</v>
      </c>
      <c r="I59" s="2">
        <v>25</v>
      </c>
      <c r="J59" s="2" t="s">
        <v>100</v>
      </c>
      <c r="K59" s="3">
        <f t="shared" ref="K59:K60" si="30">ss_water(I59,J59)</f>
        <v>0.71</v>
      </c>
      <c r="L59" s="2" t="str">
        <f t="shared" ref="L59:L60" si="31">D59&amp;" "&amp;E59&amp;" 번지"</f>
        <v>분천리 14-59 번지</v>
      </c>
      <c r="R59" s="2" t="s">
        <v>13</v>
      </c>
    </row>
    <row r="60" spans="1:18" ht="21.75" customHeight="1" x14ac:dyDescent="0.3">
      <c r="A60" s="2" t="s">
        <v>193</v>
      </c>
      <c r="B60" s="1" t="s">
        <v>31</v>
      </c>
      <c r="C60" s="2" t="s">
        <v>97</v>
      </c>
      <c r="D60" s="2" t="s">
        <v>171</v>
      </c>
      <c r="E60" s="7" t="s">
        <v>209</v>
      </c>
      <c r="F60" s="2">
        <v>25</v>
      </c>
      <c r="G60" s="2">
        <v>40</v>
      </c>
      <c r="H60" s="2">
        <v>0.5</v>
      </c>
      <c r="I60" s="2">
        <v>25</v>
      </c>
      <c r="J60" s="2" t="s">
        <v>100</v>
      </c>
      <c r="K60" s="3">
        <f t="shared" si="30"/>
        <v>0.71</v>
      </c>
      <c r="L60" s="2" t="str">
        <f t="shared" si="31"/>
        <v>분천리 14-50 번지</v>
      </c>
      <c r="R60" s="2" t="s">
        <v>13</v>
      </c>
    </row>
    <row r="61" spans="1:18" ht="21.75" customHeight="1" x14ac:dyDescent="0.3">
      <c r="A61" s="2" t="s">
        <v>194</v>
      </c>
      <c r="B61" s="1" t="s">
        <v>31</v>
      </c>
      <c r="C61" s="2" t="s">
        <v>97</v>
      </c>
      <c r="D61" s="2" t="s">
        <v>171</v>
      </c>
      <c r="E61" s="7" t="s">
        <v>210</v>
      </c>
      <c r="F61" s="2">
        <v>25</v>
      </c>
      <c r="G61" s="2">
        <v>40</v>
      </c>
      <c r="H61" s="2">
        <v>0.5</v>
      </c>
      <c r="I61" s="2">
        <v>25</v>
      </c>
      <c r="J61" s="2" t="s">
        <v>100</v>
      </c>
      <c r="K61" s="3">
        <f t="shared" ref="K61:K62" si="32">ss_water(I61,J61)</f>
        <v>0.71</v>
      </c>
      <c r="L61" s="2" t="str">
        <f t="shared" ref="L61:L62" si="33">D61&amp;" "&amp;E61&amp;" 번지"</f>
        <v>분천리 14-57 번지</v>
      </c>
      <c r="R61" s="2" t="s">
        <v>13</v>
      </c>
    </row>
    <row r="62" spans="1:18" ht="21.75" customHeight="1" x14ac:dyDescent="0.3">
      <c r="A62" s="2" t="s">
        <v>195</v>
      </c>
      <c r="B62" s="1" t="s">
        <v>31</v>
      </c>
      <c r="C62" s="2" t="s">
        <v>97</v>
      </c>
      <c r="D62" s="2" t="s">
        <v>171</v>
      </c>
      <c r="E62" s="7" t="s">
        <v>211</v>
      </c>
      <c r="F62" s="2">
        <v>25</v>
      </c>
      <c r="G62" s="2">
        <v>40</v>
      </c>
      <c r="H62" s="2">
        <v>0.5</v>
      </c>
      <c r="I62" s="2">
        <v>25</v>
      </c>
      <c r="J62" s="2" t="s">
        <v>100</v>
      </c>
      <c r="K62" s="3">
        <f t="shared" si="32"/>
        <v>0.71</v>
      </c>
      <c r="L62" s="2" t="str">
        <f t="shared" si="33"/>
        <v>분천리 14-15 번지</v>
      </c>
      <c r="R62" s="2" t="s">
        <v>13</v>
      </c>
    </row>
    <row r="63" spans="1:18" ht="21.75" customHeight="1" x14ac:dyDescent="0.3">
      <c r="A63" s="2" t="s">
        <v>196</v>
      </c>
      <c r="B63" s="1" t="s">
        <v>31</v>
      </c>
      <c r="C63" s="2" t="s">
        <v>97</v>
      </c>
      <c r="D63" s="2" t="s">
        <v>171</v>
      </c>
      <c r="E63" s="7" t="s">
        <v>212</v>
      </c>
      <c r="F63" s="2">
        <v>25</v>
      </c>
      <c r="G63" s="2">
        <v>40</v>
      </c>
      <c r="H63" s="2">
        <v>0.5</v>
      </c>
      <c r="I63" s="2">
        <v>25</v>
      </c>
      <c r="J63" s="2" t="s">
        <v>100</v>
      </c>
      <c r="K63" s="3">
        <f t="shared" ref="K63:K64" si="34">ss_water(I63,J63)</f>
        <v>0.71</v>
      </c>
      <c r="L63" s="2" t="str">
        <f t="shared" ref="L63:L64" si="35">D63&amp;" "&amp;E63&amp;" 번지"</f>
        <v>분천리 14-16 번지</v>
      </c>
      <c r="R63" s="2" t="s">
        <v>13</v>
      </c>
    </row>
    <row r="64" spans="1:18" ht="21.75" customHeight="1" x14ac:dyDescent="0.3">
      <c r="A64" s="2" t="s">
        <v>197</v>
      </c>
      <c r="B64" s="1" t="s">
        <v>31</v>
      </c>
      <c r="C64" s="2" t="s">
        <v>97</v>
      </c>
      <c r="D64" s="2" t="s">
        <v>171</v>
      </c>
      <c r="E64" s="7" t="s">
        <v>213</v>
      </c>
      <c r="F64" s="2">
        <v>33</v>
      </c>
      <c r="G64" s="2">
        <v>50</v>
      </c>
      <c r="H64" s="2">
        <v>0.5</v>
      </c>
      <c r="I64" s="2">
        <v>25</v>
      </c>
      <c r="J64" s="2" t="s">
        <v>100</v>
      </c>
      <c r="K64" s="3">
        <f t="shared" si="34"/>
        <v>0.71</v>
      </c>
      <c r="L64" s="2" t="str">
        <f t="shared" si="35"/>
        <v>분천리 11-32 번지</v>
      </c>
      <c r="R64" s="2" t="s">
        <v>13</v>
      </c>
    </row>
    <row r="65" spans="1:18" ht="21.75" customHeight="1" x14ac:dyDescent="0.3">
      <c r="A65" s="2" t="s">
        <v>198</v>
      </c>
      <c r="B65" s="1" t="s">
        <v>31</v>
      </c>
      <c r="C65" s="2" t="s">
        <v>97</v>
      </c>
      <c r="D65" s="2" t="s">
        <v>171</v>
      </c>
      <c r="E65" s="7" t="s">
        <v>214</v>
      </c>
      <c r="F65" s="2">
        <v>25</v>
      </c>
      <c r="G65" s="2">
        <v>40</v>
      </c>
      <c r="H65" s="2">
        <v>0.5</v>
      </c>
      <c r="I65" s="2">
        <v>25</v>
      </c>
      <c r="J65" s="2" t="s">
        <v>100</v>
      </c>
      <c r="K65" s="3">
        <f t="shared" ref="K65:K66" si="36">ss_water(I65,J65)</f>
        <v>0.71</v>
      </c>
      <c r="L65" s="2" t="str">
        <f t="shared" ref="L65:L66" si="37">D65&amp;" "&amp;E65&amp;" 번지"</f>
        <v>분천리 14-25 번지</v>
      </c>
      <c r="R65" s="2" t="s">
        <v>13</v>
      </c>
    </row>
    <row r="66" spans="1:18" ht="21.75" customHeight="1" x14ac:dyDescent="0.3">
      <c r="A66" s="2" t="s">
        <v>199</v>
      </c>
      <c r="B66" s="1" t="s">
        <v>31</v>
      </c>
      <c r="C66" s="2" t="s">
        <v>97</v>
      </c>
      <c r="D66" s="2" t="s">
        <v>171</v>
      </c>
      <c r="E66" s="7" t="s">
        <v>215</v>
      </c>
      <c r="F66" s="2">
        <v>25</v>
      </c>
      <c r="G66" s="2">
        <v>40</v>
      </c>
      <c r="H66" s="2">
        <v>0.5</v>
      </c>
      <c r="I66" s="2">
        <v>25</v>
      </c>
      <c r="J66" s="2" t="s">
        <v>100</v>
      </c>
      <c r="K66" s="3">
        <f t="shared" si="36"/>
        <v>0.71</v>
      </c>
      <c r="L66" s="2" t="str">
        <f t="shared" si="37"/>
        <v>분천리 14-54 번지</v>
      </c>
      <c r="R66" s="2" t="s">
        <v>13</v>
      </c>
    </row>
    <row r="67" spans="1:18" ht="21.75" customHeight="1" x14ac:dyDescent="0.3">
      <c r="A67" s="2" t="s">
        <v>200</v>
      </c>
      <c r="B67" s="1" t="s">
        <v>31</v>
      </c>
      <c r="C67" s="2" t="s">
        <v>97</v>
      </c>
      <c r="D67" s="2" t="s">
        <v>171</v>
      </c>
      <c r="E67" s="7" t="s">
        <v>216</v>
      </c>
      <c r="F67" s="2">
        <v>25</v>
      </c>
      <c r="G67" s="2">
        <v>40</v>
      </c>
      <c r="H67" s="2">
        <v>0.5</v>
      </c>
      <c r="I67" s="2">
        <v>25</v>
      </c>
      <c r="J67" s="2" t="s">
        <v>100</v>
      </c>
      <c r="K67" s="3">
        <f t="shared" ref="K67:K68" si="38">ss_water(I67,J67)</f>
        <v>0.71</v>
      </c>
      <c r="L67" s="2" t="str">
        <f t="shared" ref="L67:L68" si="39">D67&amp;" "&amp;E67&amp;" 번지"</f>
        <v>분천리 14-7 번지</v>
      </c>
      <c r="R67" s="2" t="s">
        <v>13</v>
      </c>
    </row>
    <row r="68" spans="1:18" ht="21.75" customHeight="1" x14ac:dyDescent="0.3">
      <c r="A68" s="2" t="s">
        <v>201</v>
      </c>
      <c r="B68" s="1" t="s">
        <v>31</v>
      </c>
      <c r="C68" s="2" t="s">
        <v>97</v>
      </c>
      <c r="D68" s="2" t="s">
        <v>171</v>
      </c>
      <c r="E68" s="7" t="s">
        <v>217</v>
      </c>
      <c r="F68" s="2">
        <v>25</v>
      </c>
      <c r="G68" s="2">
        <v>40</v>
      </c>
      <c r="H68" s="2">
        <v>0.5</v>
      </c>
      <c r="I68" s="2">
        <v>25</v>
      </c>
      <c r="J68" s="2" t="s">
        <v>100</v>
      </c>
      <c r="K68" s="3">
        <f t="shared" si="38"/>
        <v>0.71</v>
      </c>
      <c r="L68" s="2" t="str">
        <f t="shared" si="39"/>
        <v>분천리 14-63 번지</v>
      </c>
      <c r="R68" s="2" t="s">
        <v>13</v>
      </c>
    </row>
    <row r="69" spans="1:18" ht="21.75" customHeight="1" x14ac:dyDescent="0.3">
      <c r="A69" s="2" t="s">
        <v>202</v>
      </c>
      <c r="B69" s="1" t="s">
        <v>31</v>
      </c>
      <c r="C69" s="2" t="s">
        <v>97</v>
      </c>
      <c r="D69" s="2" t="s">
        <v>171</v>
      </c>
      <c r="E69" s="7" t="s">
        <v>219</v>
      </c>
      <c r="F69" s="2">
        <v>25</v>
      </c>
      <c r="G69" s="2">
        <v>40</v>
      </c>
      <c r="H69" s="2">
        <v>0.5</v>
      </c>
      <c r="I69" s="2">
        <v>25</v>
      </c>
      <c r="J69" s="2" t="s">
        <v>100</v>
      </c>
      <c r="K69" s="3">
        <f t="shared" ref="K69:K70" si="40">ss_water(I69,J69)</f>
        <v>0.71</v>
      </c>
      <c r="L69" s="2" t="str">
        <f t="shared" ref="L69:L70" si="41">D69&amp;" "&amp;E69&amp;" 번지"</f>
        <v>분천리 10-47 번지</v>
      </c>
      <c r="R69" s="2" t="s">
        <v>13</v>
      </c>
    </row>
    <row r="70" spans="1:18" ht="21.75" customHeight="1" x14ac:dyDescent="0.3">
      <c r="A70" s="2" t="s">
        <v>203</v>
      </c>
      <c r="B70" s="1" t="s">
        <v>31</v>
      </c>
      <c r="C70" s="2" t="s">
        <v>97</v>
      </c>
      <c r="D70" s="2" t="s">
        <v>171</v>
      </c>
      <c r="E70" s="7" t="s">
        <v>220</v>
      </c>
      <c r="F70" s="2">
        <v>25</v>
      </c>
      <c r="G70" s="2">
        <v>40</v>
      </c>
      <c r="H70" s="2">
        <v>0.5</v>
      </c>
      <c r="I70" s="2">
        <v>25</v>
      </c>
      <c r="J70" s="2" t="s">
        <v>100</v>
      </c>
      <c r="K70" s="3">
        <f t="shared" si="40"/>
        <v>0.71</v>
      </c>
      <c r="L70" s="2" t="str">
        <f t="shared" si="41"/>
        <v>분천리 10-45 번지</v>
      </c>
      <c r="R70" s="2" t="s">
        <v>13</v>
      </c>
    </row>
    <row r="71" spans="1:18" ht="21.75" customHeight="1" x14ac:dyDescent="0.3">
      <c r="A71" s="2" t="s">
        <v>204</v>
      </c>
      <c r="B71" s="1" t="s">
        <v>31</v>
      </c>
      <c r="C71" s="2" t="s">
        <v>97</v>
      </c>
      <c r="D71" s="2" t="s">
        <v>171</v>
      </c>
      <c r="E71" s="7" t="s">
        <v>221</v>
      </c>
      <c r="F71" s="2">
        <v>36</v>
      </c>
      <c r="G71" s="2">
        <v>45</v>
      </c>
      <c r="H71" s="2">
        <v>0.5</v>
      </c>
      <c r="I71" s="2">
        <v>25</v>
      </c>
      <c r="J71" s="2" t="s">
        <v>100</v>
      </c>
      <c r="K71" s="3">
        <f t="shared" ref="K71:K72" si="42">ss_water(I71,J71)</f>
        <v>0.71</v>
      </c>
      <c r="L71" s="2" t="str">
        <f t="shared" ref="L71:L72" si="43">D71&amp;" "&amp;E71&amp;" 번지"</f>
        <v>분천리 14-3 번지</v>
      </c>
      <c r="R71" s="2" t="s">
        <v>13</v>
      </c>
    </row>
    <row r="72" spans="1:18" ht="21.75" customHeight="1" x14ac:dyDescent="0.3">
      <c r="A72" s="2" t="s">
        <v>205</v>
      </c>
      <c r="B72" s="1" t="s">
        <v>31</v>
      </c>
      <c r="C72" s="2" t="s">
        <v>97</v>
      </c>
      <c r="D72" s="2" t="s">
        <v>171</v>
      </c>
      <c r="E72" s="7" t="s">
        <v>222</v>
      </c>
      <c r="F72" s="2">
        <v>25</v>
      </c>
      <c r="G72" s="2">
        <v>40</v>
      </c>
      <c r="H72" s="2">
        <v>0.5</v>
      </c>
      <c r="I72" s="2">
        <v>25</v>
      </c>
      <c r="J72" s="2" t="s">
        <v>100</v>
      </c>
      <c r="K72" s="3">
        <f t="shared" si="42"/>
        <v>0.71</v>
      </c>
      <c r="L72" s="2" t="str">
        <f t="shared" si="43"/>
        <v>분천리 10-96 번지</v>
      </c>
      <c r="R72" s="2" t="s">
        <v>13</v>
      </c>
    </row>
    <row r="73" spans="1:18" ht="21.75" customHeight="1" x14ac:dyDescent="0.3">
      <c r="A73" s="2" t="s">
        <v>223</v>
      </c>
      <c r="B73" s="1" t="s">
        <v>31</v>
      </c>
      <c r="C73" s="2" t="s">
        <v>97</v>
      </c>
      <c r="D73" s="2" t="s">
        <v>171</v>
      </c>
      <c r="E73" s="7" t="s">
        <v>234</v>
      </c>
      <c r="F73" s="2">
        <v>150</v>
      </c>
      <c r="G73" s="2">
        <v>250</v>
      </c>
      <c r="H73" s="2">
        <v>7.5</v>
      </c>
      <c r="I73" s="2">
        <v>320</v>
      </c>
      <c r="J73" s="2" t="s">
        <v>130</v>
      </c>
      <c r="K73" s="3">
        <f>ss_water(I73,J73,150)</f>
        <v>7.44</v>
      </c>
      <c r="L73" s="2" t="str">
        <f t="shared" ref="L73:L74" si="44">D73&amp;" "&amp;E73&amp;" 번지"</f>
        <v>분천리 10-41 번지</v>
      </c>
      <c r="R73" s="2" t="s">
        <v>13</v>
      </c>
    </row>
    <row r="74" spans="1:18" ht="21.75" customHeight="1" x14ac:dyDescent="0.3">
      <c r="A74" s="2" t="s">
        <v>224</v>
      </c>
      <c r="B74" s="1" t="s">
        <v>31</v>
      </c>
      <c r="C74" s="2" t="s">
        <v>97</v>
      </c>
      <c r="D74" s="2" t="s">
        <v>171</v>
      </c>
      <c r="E74" s="7" t="s">
        <v>235</v>
      </c>
      <c r="F74" s="2">
        <v>25</v>
      </c>
      <c r="G74" s="2">
        <v>40</v>
      </c>
      <c r="H74" s="2">
        <v>0.5</v>
      </c>
      <c r="I74" s="2">
        <v>25</v>
      </c>
      <c r="J74" s="2" t="s">
        <v>100</v>
      </c>
      <c r="K74" s="3">
        <f t="shared" ref="K73:K74" si="45">ss_water(I74,J74)</f>
        <v>0.71</v>
      </c>
      <c r="L74" s="2" t="str">
        <f t="shared" si="44"/>
        <v>분천리 13-2 번지</v>
      </c>
      <c r="R74" s="2" t="s">
        <v>13</v>
      </c>
    </row>
    <row r="75" spans="1:18" ht="21.75" customHeight="1" x14ac:dyDescent="0.3">
      <c r="A75" s="2" t="s">
        <v>225</v>
      </c>
      <c r="B75" s="1" t="s">
        <v>31</v>
      </c>
      <c r="C75" s="2" t="s">
        <v>97</v>
      </c>
      <c r="D75" s="2" t="s">
        <v>171</v>
      </c>
      <c r="E75" s="7" t="s">
        <v>237</v>
      </c>
      <c r="F75" s="2">
        <v>20</v>
      </c>
      <c r="G75" s="2">
        <v>50</v>
      </c>
      <c r="H75" s="2">
        <v>0.5</v>
      </c>
      <c r="I75" s="2">
        <v>25</v>
      </c>
      <c r="J75" s="2" t="s">
        <v>100</v>
      </c>
      <c r="K75" s="3">
        <f t="shared" ref="K75:K76" si="46">ss_water(I75,J75)</f>
        <v>0.71</v>
      </c>
      <c r="L75" s="2" t="str">
        <f t="shared" ref="L75:L76" si="47">D75&amp;" "&amp;E75&amp;" 번지"</f>
        <v>분천리 11-39 번지</v>
      </c>
      <c r="R75" s="2" t="s">
        <v>13</v>
      </c>
    </row>
    <row r="76" spans="1:18" ht="21.75" customHeight="1" x14ac:dyDescent="0.3">
      <c r="A76" s="2" t="s">
        <v>226</v>
      </c>
      <c r="B76" s="1" t="s">
        <v>31</v>
      </c>
      <c r="C76" s="2" t="s">
        <v>97</v>
      </c>
      <c r="D76" s="2" t="s">
        <v>171</v>
      </c>
      <c r="E76" s="7" t="s">
        <v>239</v>
      </c>
      <c r="F76" s="2">
        <v>30</v>
      </c>
      <c r="G76" s="2">
        <v>45</v>
      </c>
      <c r="H76" s="2">
        <v>0.5</v>
      </c>
      <c r="I76" s="2">
        <v>25</v>
      </c>
      <c r="J76" s="2" t="s">
        <v>100</v>
      </c>
      <c r="K76" s="3">
        <f t="shared" si="46"/>
        <v>0.71</v>
      </c>
      <c r="L76" s="2" t="str">
        <f t="shared" si="47"/>
        <v>분천리 28-2 번지</v>
      </c>
      <c r="R76" s="2" t="s">
        <v>13</v>
      </c>
    </row>
    <row r="77" spans="1:18" ht="21.75" customHeight="1" x14ac:dyDescent="0.3">
      <c r="A77" s="2" t="s">
        <v>227</v>
      </c>
      <c r="B77" s="1" t="s">
        <v>31</v>
      </c>
      <c r="C77" s="2" t="s">
        <v>97</v>
      </c>
      <c r="D77" s="2" t="s">
        <v>171</v>
      </c>
      <c r="E77" s="7" t="s">
        <v>241</v>
      </c>
      <c r="F77" s="2">
        <v>45</v>
      </c>
      <c r="G77" s="2">
        <v>45</v>
      </c>
      <c r="H77" s="2">
        <v>0.5</v>
      </c>
      <c r="I77" s="2">
        <v>25</v>
      </c>
      <c r="J77" s="2" t="s">
        <v>100</v>
      </c>
      <c r="K77" s="3">
        <f t="shared" ref="K77:K78" si="48">ss_water(I77,J77)</f>
        <v>0.71</v>
      </c>
      <c r="L77" s="2" t="str">
        <f t="shared" ref="L77:L78" si="49">D77&amp;" "&amp;E77&amp;" 번지"</f>
        <v>분천리 24-1 번지</v>
      </c>
      <c r="R77" s="2" t="s">
        <v>13</v>
      </c>
    </row>
    <row r="78" spans="1:18" ht="21.75" customHeight="1" x14ac:dyDescent="0.3">
      <c r="A78" s="2" t="s">
        <v>228</v>
      </c>
      <c r="B78" s="1" t="s">
        <v>31</v>
      </c>
      <c r="C78" s="2" t="s">
        <v>97</v>
      </c>
      <c r="D78" s="2" t="s">
        <v>171</v>
      </c>
      <c r="E78" s="7" t="s">
        <v>242</v>
      </c>
      <c r="F78" s="2">
        <v>35</v>
      </c>
      <c r="G78" s="2">
        <v>45</v>
      </c>
      <c r="H78" s="2">
        <v>0.5</v>
      </c>
      <c r="I78" s="2">
        <v>25</v>
      </c>
      <c r="J78" s="2" t="s">
        <v>100</v>
      </c>
      <c r="K78" s="3">
        <f t="shared" si="48"/>
        <v>0.71</v>
      </c>
      <c r="L78" s="2" t="str">
        <f t="shared" si="49"/>
        <v>분천리 19 번지</v>
      </c>
      <c r="R78" s="2" t="s">
        <v>13</v>
      </c>
    </row>
    <row r="79" spans="1:18" ht="21.75" customHeight="1" x14ac:dyDescent="0.3">
      <c r="A79" s="2" t="s">
        <v>229</v>
      </c>
      <c r="B79" s="1" t="s">
        <v>31</v>
      </c>
      <c r="C79" s="2" t="s">
        <v>97</v>
      </c>
      <c r="D79" s="2" t="s">
        <v>171</v>
      </c>
      <c r="E79" s="7" t="s">
        <v>243</v>
      </c>
      <c r="F79" s="2">
        <v>45</v>
      </c>
      <c r="G79" s="2">
        <v>45</v>
      </c>
      <c r="H79" s="2">
        <v>0.5</v>
      </c>
      <c r="I79" s="2">
        <v>25</v>
      </c>
      <c r="J79" s="2" t="s">
        <v>100</v>
      </c>
      <c r="K79" s="3">
        <f t="shared" ref="K79:K80" si="50">ss_water(I79,J79)</f>
        <v>0.71</v>
      </c>
      <c r="L79" s="2" t="str">
        <f t="shared" ref="L79:L80" si="51">D79&amp;" "&amp;E79&amp;" 번지"</f>
        <v>분천리 17 번지</v>
      </c>
      <c r="R79" s="2" t="s">
        <v>13</v>
      </c>
    </row>
    <row r="80" spans="1:18" ht="21.75" customHeight="1" x14ac:dyDescent="0.3">
      <c r="A80" s="2" t="s">
        <v>230</v>
      </c>
      <c r="B80" s="1" t="s">
        <v>31</v>
      </c>
      <c r="C80" s="2" t="s">
        <v>97</v>
      </c>
      <c r="D80" s="2" t="s">
        <v>171</v>
      </c>
      <c r="E80" s="7" t="s">
        <v>244</v>
      </c>
      <c r="F80" s="2">
        <v>45</v>
      </c>
      <c r="G80" s="2">
        <v>45</v>
      </c>
      <c r="H80" s="2">
        <v>0.5</v>
      </c>
      <c r="I80" s="2">
        <v>25</v>
      </c>
      <c r="J80" s="2" t="s">
        <v>100</v>
      </c>
      <c r="K80" s="3">
        <f t="shared" si="50"/>
        <v>0.71</v>
      </c>
      <c r="L80" s="2" t="str">
        <f t="shared" si="51"/>
        <v>분천리 114-13 번지</v>
      </c>
      <c r="R80" s="2" t="s">
        <v>13</v>
      </c>
    </row>
    <row r="81" spans="1:18" ht="21.75" customHeight="1" x14ac:dyDescent="0.3">
      <c r="A81" s="2" t="s">
        <v>231</v>
      </c>
      <c r="B81" s="1" t="s">
        <v>31</v>
      </c>
      <c r="C81" s="2" t="s">
        <v>97</v>
      </c>
      <c r="D81" s="2" t="s">
        <v>171</v>
      </c>
      <c r="E81" s="7" t="s">
        <v>246</v>
      </c>
      <c r="F81" s="2">
        <v>45</v>
      </c>
      <c r="G81" s="2">
        <v>45</v>
      </c>
      <c r="H81" s="2">
        <v>0.5</v>
      </c>
      <c r="I81" s="2">
        <v>25</v>
      </c>
      <c r="J81" s="2" t="s">
        <v>100</v>
      </c>
      <c r="K81" s="3">
        <f t="shared" ref="K81:K82" si="52">ss_water(I81,J81)</f>
        <v>0.71</v>
      </c>
      <c r="L81" s="2" t="str">
        <f t="shared" ref="L81:L82" si="53">D81&amp;" "&amp;E81&amp;" 번지"</f>
        <v>분천리 121-41 번지</v>
      </c>
      <c r="R81" s="2" t="s">
        <v>13</v>
      </c>
    </row>
    <row r="82" spans="1:18" ht="21.75" customHeight="1" x14ac:dyDescent="0.3">
      <c r="A82" s="2" t="s">
        <v>232</v>
      </c>
      <c r="B82" s="1" t="s">
        <v>31</v>
      </c>
      <c r="C82" s="2" t="s">
        <v>97</v>
      </c>
      <c r="D82" s="2" t="s">
        <v>171</v>
      </c>
      <c r="E82" s="7" t="s">
        <v>247</v>
      </c>
      <c r="F82" s="2">
        <v>45</v>
      </c>
      <c r="G82" s="2">
        <v>45</v>
      </c>
      <c r="H82" s="2">
        <v>0.5</v>
      </c>
      <c r="I82" s="2">
        <v>29</v>
      </c>
      <c r="J82" s="2" t="s">
        <v>100</v>
      </c>
      <c r="K82" s="3">
        <f t="shared" si="52"/>
        <v>0.71</v>
      </c>
      <c r="L82" s="2" t="str">
        <f t="shared" si="53"/>
        <v>분천리 114-7 번지</v>
      </c>
      <c r="R82" s="2" t="s">
        <v>13</v>
      </c>
    </row>
    <row r="83" spans="1:18" ht="21" customHeight="1" x14ac:dyDescent="0.3">
      <c r="B83" s="1"/>
      <c r="I83" s="2"/>
      <c r="K83" s="3"/>
    </row>
    <row r="84" spans="1:18" ht="21.75" customHeight="1" x14ac:dyDescent="0.3">
      <c r="I84" s="2"/>
    </row>
    <row r="85" spans="1:18" ht="21.75" customHeight="1" x14ac:dyDescent="0.3">
      <c r="K85" s="28">
        <f>SUM(K2:K84)</f>
        <v>74.239999999999995</v>
      </c>
    </row>
    <row r="87" spans="1:18" ht="21.75" customHeight="1" x14ac:dyDescent="0.3">
      <c r="B87" s="12" t="s">
        <v>24</v>
      </c>
      <c r="C87" s="13" t="s">
        <v>22</v>
      </c>
      <c r="D87" s="14" t="s">
        <v>7</v>
      </c>
      <c r="K87" s="4">
        <f>K85+aa!K26+ii!K5</f>
        <v>190.29</v>
      </c>
    </row>
    <row r="88" spans="1:18" ht="21.75" customHeight="1" x14ac:dyDescent="0.3">
      <c r="B88" s="15" t="s">
        <v>20</v>
      </c>
      <c r="C88" s="16">
        <f ca="1">COUNTIF(SS_INSIDE_AREA,"O")</f>
        <v>70</v>
      </c>
      <c r="D88" s="17">
        <f ca="1">SUMIF(SS_INSIDE_AREA,"O",K2:K2)</f>
        <v>63.070000000000043</v>
      </c>
    </row>
    <row r="89" spans="1:18" ht="21.75" customHeight="1" x14ac:dyDescent="0.3">
      <c r="B89" s="15" t="s">
        <v>21</v>
      </c>
      <c r="C89" s="16">
        <f ca="1">COUNTIF(SS_INSIDE_AREA,"X")</f>
        <v>11</v>
      </c>
      <c r="D89" s="17">
        <f ca="1">SUMIF(SS_INSIDE_AREA,"X",K2:K2)</f>
        <v>11.170000000000002</v>
      </c>
    </row>
    <row r="90" spans="1:18" ht="21.75" customHeight="1" x14ac:dyDescent="0.3">
      <c r="B90" s="18"/>
      <c r="C90" s="19"/>
      <c r="D90" s="20">
        <f ca="1">SUM(D88:D89)</f>
        <v>74.240000000000038</v>
      </c>
    </row>
    <row r="92" spans="1:18" ht="21.75" customHeight="1" x14ac:dyDescent="0.3">
      <c r="B92" s="12" t="s">
        <v>23</v>
      </c>
      <c r="C92" s="13" t="s">
        <v>22</v>
      </c>
      <c r="D92" s="14" t="s">
        <v>7</v>
      </c>
    </row>
    <row r="93" spans="1:18" ht="21.75" customHeight="1" x14ac:dyDescent="0.3">
      <c r="B93" s="15" t="s">
        <v>20</v>
      </c>
      <c r="C93" s="16">
        <f ca="1">COUNTIF(AA_INSIDE_AREA,"O")</f>
        <v>21</v>
      </c>
      <c r="D93" s="17">
        <f ca="1">aa!D27</f>
        <v>112.88999999999999</v>
      </c>
    </row>
    <row r="94" spans="1:18" ht="21.75" customHeight="1" x14ac:dyDescent="0.3">
      <c r="B94" s="15" t="s">
        <v>21</v>
      </c>
      <c r="C94" s="16">
        <f ca="1">COUNTIF(AA_INSIDE_AREA,"X")</f>
        <v>1</v>
      </c>
      <c r="D94" s="17">
        <f ca="1">aa!D28</f>
        <v>3.16</v>
      </c>
    </row>
    <row r="95" spans="1:18" ht="21.75" customHeight="1" x14ac:dyDescent="0.3">
      <c r="B95" s="18"/>
      <c r="C95" s="19"/>
      <c r="D95" s="20">
        <f ca="1">SUM(D93:D94)</f>
        <v>116.04999999999998</v>
      </c>
    </row>
    <row r="97" spans="2:16" ht="21.75" customHeight="1" x14ac:dyDescent="0.3">
      <c r="B97" s="12" t="s">
        <v>25</v>
      </c>
      <c r="C97" s="13" t="s">
        <v>22</v>
      </c>
      <c r="D97" s="14" t="s">
        <v>7</v>
      </c>
    </row>
    <row r="98" spans="2:16" ht="21.75" customHeight="1" x14ac:dyDescent="0.3">
      <c r="B98" s="15" t="s">
        <v>20</v>
      </c>
      <c r="C98" s="16">
        <f ca="1">C88+C93</f>
        <v>91</v>
      </c>
      <c r="D98" s="17">
        <f ca="1">D88+D93</f>
        <v>175.96000000000004</v>
      </c>
    </row>
    <row r="99" spans="2:16" ht="21.75" customHeight="1" x14ac:dyDescent="0.3">
      <c r="B99" s="18" t="s">
        <v>21</v>
      </c>
      <c r="C99" s="19">
        <f ca="1">C89+C94</f>
        <v>12</v>
      </c>
      <c r="D99" s="20">
        <f ca="1">D89+D94</f>
        <v>14.330000000000002</v>
      </c>
    </row>
    <row r="105" spans="2:16" ht="21.75" customHeight="1" x14ac:dyDescent="0.3">
      <c r="J105" s="26"/>
      <c r="K105" s="26"/>
      <c r="L105" s="26"/>
      <c r="M105" s="26"/>
      <c r="N105" s="26"/>
      <c r="O105" s="26"/>
      <c r="P105" s="2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18</xdr:col>
                <xdr:colOff>95250</xdr:colOff>
                <xdr:row>2</xdr:row>
                <xdr:rowOff>76200</xdr:rowOff>
              </from>
              <to>
                <xdr:col>19</xdr:col>
                <xdr:colOff>628650</xdr:colOff>
                <xdr:row>3</xdr:row>
                <xdr:rowOff>161925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29"/>
  <sheetViews>
    <sheetView workbookViewId="0">
      <selection activeCell="K41" sqref="K41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31</v>
      </c>
      <c r="C2" s="2" t="s">
        <v>97</v>
      </c>
      <c r="D2" s="2" t="s">
        <v>98</v>
      </c>
      <c r="E2" s="25" t="s">
        <v>104</v>
      </c>
      <c r="F2" s="24">
        <v>50</v>
      </c>
      <c r="G2" s="24">
        <v>100</v>
      </c>
      <c r="H2" s="24">
        <v>1</v>
      </c>
      <c r="I2" s="24">
        <v>25</v>
      </c>
      <c r="J2" s="24" t="s">
        <v>30</v>
      </c>
      <c r="K2" s="2">
        <f t="shared" ref="K2:K4" si="0">aa_water(I2,J2)</f>
        <v>3.16</v>
      </c>
      <c r="L2" s="2" t="str">
        <f t="shared" ref="L2" si="1">D2&amp;" "&amp;E2&amp;" 번지"</f>
        <v>원천리 961 번지</v>
      </c>
      <c r="M2" s="24"/>
      <c r="N2" s="24"/>
      <c r="O2" s="24"/>
      <c r="P2" s="3"/>
      <c r="Q2" s="24"/>
      <c r="R2" s="2" t="s">
        <v>101</v>
      </c>
    </row>
    <row r="3" spans="1:18" s="8" customFormat="1" ht="21.75" customHeight="1" x14ac:dyDescent="0.3">
      <c r="A3" s="1" t="s">
        <v>34</v>
      </c>
      <c r="B3" s="1" t="s">
        <v>31</v>
      </c>
      <c r="C3" s="2" t="s">
        <v>97</v>
      </c>
      <c r="D3" s="2" t="s">
        <v>98</v>
      </c>
      <c r="E3" s="25" t="s">
        <v>113</v>
      </c>
      <c r="F3" s="24">
        <v>80</v>
      </c>
      <c r="G3" s="24">
        <v>150</v>
      </c>
      <c r="H3" s="24">
        <v>1</v>
      </c>
      <c r="I3" s="24">
        <v>50</v>
      </c>
      <c r="J3" s="24" t="s">
        <v>114</v>
      </c>
      <c r="K3" s="2">
        <f t="shared" si="0"/>
        <v>3.75</v>
      </c>
      <c r="L3" s="2" t="str">
        <f t="shared" ref="L3:L4" si="2">D3&amp;" "&amp;E3&amp;" 번지"</f>
        <v>원천리 1102 번지</v>
      </c>
      <c r="M3" s="24"/>
      <c r="N3" s="24"/>
      <c r="O3" s="24"/>
      <c r="P3" s="3"/>
      <c r="Q3" s="24"/>
      <c r="R3" s="2" t="s">
        <v>36</v>
      </c>
    </row>
    <row r="4" spans="1:18" s="8" customFormat="1" ht="21.75" customHeight="1" x14ac:dyDescent="0.3">
      <c r="A4" s="1" t="s">
        <v>35</v>
      </c>
      <c r="B4" s="1" t="s">
        <v>31</v>
      </c>
      <c r="C4" s="2" t="s">
        <v>97</v>
      </c>
      <c r="D4" s="2" t="s">
        <v>98</v>
      </c>
      <c r="E4" s="25" t="s">
        <v>118</v>
      </c>
      <c r="F4" s="24">
        <v>40</v>
      </c>
      <c r="G4" s="24">
        <v>40</v>
      </c>
      <c r="H4" s="24">
        <v>10</v>
      </c>
      <c r="I4" s="24">
        <v>20</v>
      </c>
      <c r="J4" s="24" t="s">
        <v>30</v>
      </c>
      <c r="K4" s="2">
        <f t="shared" si="0"/>
        <v>2.95</v>
      </c>
      <c r="L4" s="2" t="str">
        <f t="shared" si="2"/>
        <v>원천리 490-4 번지</v>
      </c>
      <c r="M4" s="24"/>
      <c r="N4" s="24"/>
      <c r="O4" s="24"/>
      <c r="P4" s="3"/>
      <c r="Q4" s="24"/>
      <c r="R4" s="2" t="s">
        <v>36</v>
      </c>
    </row>
    <row r="5" spans="1:18" s="8" customFormat="1" ht="21.75" customHeight="1" x14ac:dyDescent="0.3">
      <c r="A5" s="1" t="s">
        <v>38</v>
      </c>
      <c r="B5" s="1" t="s">
        <v>31</v>
      </c>
      <c r="C5" s="2" t="s">
        <v>97</v>
      </c>
      <c r="D5" s="2" t="s">
        <v>98</v>
      </c>
      <c r="E5" s="25" t="s">
        <v>160</v>
      </c>
      <c r="F5" s="24">
        <v>70</v>
      </c>
      <c r="G5" s="24">
        <v>150</v>
      </c>
      <c r="H5" s="24">
        <v>1</v>
      </c>
      <c r="I5" s="24">
        <v>70</v>
      </c>
      <c r="J5" s="24" t="s">
        <v>37</v>
      </c>
      <c r="K5" s="2">
        <f t="shared" ref="K5:K6" si="3">aa_water(I5,J5)</f>
        <v>7.87</v>
      </c>
      <c r="L5" s="2" t="str">
        <f t="shared" ref="L5:L6" si="4">D5&amp;" "&amp;E5&amp;" 번지"</f>
        <v>원천리 867-6 번지</v>
      </c>
      <c r="M5" s="24"/>
      <c r="N5" s="24"/>
      <c r="O5" s="24"/>
      <c r="P5" s="3"/>
      <c r="Q5" s="24"/>
      <c r="R5" s="2" t="s">
        <v>36</v>
      </c>
    </row>
    <row r="6" spans="1:18" s="8" customFormat="1" ht="21.75" customHeight="1" x14ac:dyDescent="0.3">
      <c r="A6" s="1" t="s">
        <v>39</v>
      </c>
      <c r="B6" s="1" t="s">
        <v>31</v>
      </c>
      <c r="C6" s="2" t="s">
        <v>97</v>
      </c>
      <c r="D6" s="2" t="s">
        <v>98</v>
      </c>
      <c r="E6" s="25" t="s">
        <v>163</v>
      </c>
      <c r="F6" s="24">
        <v>60</v>
      </c>
      <c r="G6" s="24">
        <v>150</v>
      </c>
      <c r="H6" s="24">
        <v>1</v>
      </c>
      <c r="I6" s="24">
        <v>58</v>
      </c>
      <c r="J6" s="24" t="s">
        <v>164</v>
      </c>
      <c r="K6" s="2">
        <f t="shared" si="3"/>
        <v>3.43</v>
      </c>
      <c r="L6" s="2" t="str">
        <f t="shared" si="4"/>
        <v>원천리 892 번지</v>
      </c>
      <c r="M6" s="24"/>
      <c r="N6" s="24"/>
      <c r="O6" s="24"/>
      <c r="P6" s="3"/>
      <c r="Q6" s="24"/>
      <c r="R6" s="2" t="s">
        <v>36</v>
      </c>
    </row>
    <row r="7" spans="1:18" s="8" customFormat="1" ht="21.75" customHeight="1" x14ac:dyDescent="0.3">
      <c r="A7" s="1" t="s">
        <v>40</v>
      </c>
      <c r="B7" s="1" t="s">
        <v>31</v>
      </c>
      <c r="C7" s="2" t="s">
        <v>97</v>
      </c>
      <c r="D7" s="2" t="s">
        <v>98</v>
      </c>
      <c r="E7" s="25" t="s">
        <v>165</v>
      </c>
      <c r="F7" s="24">
        <v>60</v>
      </c>
      <c r="G7" s="24">
        <v>150</v>
      </c>
      <c r="H7" s="24">
        <v>1</v>
      </c>
      <c r="I7" s="24">
        <v>58</v>
      </c>
      <c r="J7" s="24" t="s">
        <v>37</v>
      </c>
      <c r="K7" s="2">
        <f t="shared" ref="K7:K8" si="5">aa_water(I7,J7)</f>
        <v>7.72</v>
      </c>
      <c r="L7" s="2" t="str">
        <f t="shared" ref="L7:L8" si="6">D7&amp;" "&amp;E7&amp;" 번지"</f>
        <v>원천리 894-1 번지</v>
      </c>
      <c r="M7" s="24"/>
      <c r="N7" s="24"/>
      <c r="O7" s="24"/>
      <c r="P7" s="3"/>
      <c r="Q7" s="24"/>
      <c r="R7" s="2" t="s">
        <v>36</v>
      </c>
    </row>
    <row r="8" spans="1:18" s="8" customFormat="1" ht="21.75" customHeight="1" x14ac:dyDescent="0.3">
      <c r="A8" s="1" t="s">
        <v>41</v>
      </c>
      <c r="B8" s="1" t="s">
        <v>31</v>
      </c>
      <c r="C8" s="2" t="s">
        <v>97</v>
      </c>
      <c r="D8" s="2" t="s">
        <v>98</v>
      </c>
      <c r="E8" s="25" t="s">
        <v>166</v>
      </c>
      <c r="F8" s="24">
        <v>60</v>
      </c>
      <c r="G8" s="24">
        <v>150</v>
      </c>
      <c r="H8" s="24">
        <v>1</v>
      </c>
      <c r="I8" s="24">
        <v>58</v>
      </c>
      <c r="J8" s="24" t="s">
        <v>122</v>
      </c>
      <c r="K8" s="2">
        <f t="shared" si="5"/>
        <v>3.38</v>
      </c>
      <c r="L8" s="2" t="str">
        <f t="shared" si="6"/>
        <v>원천리 894-14 번지</v>
      </c>
      <c r="M8" s="24"/>
      <c r="N8" s="24"/>
      <c r="O8" s="24"/>
      <c r="P8" s="3"/>
      <c r="Q8" s="24"/>
      <c r="R8" s="2" t="s">
        <v>36</v>
      </c>
    </row>
    <row r="9" spans="1:18" s="8" customFormat="1" ht="21.75" customHeight="1" x14ac:dyDescent="0.3">
      <c r="A9" s="1" t="s">
        <v>42</v>
      </c>
      <c r="B9" s="1" t="s">
        <v>31</v>
      </c>
      <c r="C9" s="2" t="s">
        <v>97</v>
      </c>
      <c r="D9" s="2" t="s">
        <v>98</v>
      </c>
      <c r="E9" s="25" t="s">
        <v>168</v>
      </c>
      <c r="F9" s="24">
        <v>100</v>
      </c>
      <c r="G9" s="24">
        <v>150</v>
      </c>
      <c r="H9" s="24">
        <v>2</v>
      </c>
      <c r="I9" s="24">
        <v>80</v>
      </c>
      <c r="J9" s="24" t="s">
        <v>37</v>
      </c>
      <c r="K9" s="2">
        <f t="shared" ref="K9:K10" si="7">aa_water(I9,J9)</f>
        <v>8</v>
      </c>
      <c r="L9" s="2" t="str">
        <f t="shared" ref="L9:L10" si="8">D9&amp;" "&amp;E9&amp;" 번지"</f>
        <v>원천리 950-32 번지</v>
      </c>
      <c r="M9" s="24"/>
      <c r="N9" s="24"/>
      <c r="O9" s="24"/>
      <c r="P9" s="3"/>
      <c r="Q9" s="24"/>
      <c r="R9" s="2" t="s">
        <v>36</v>
      </c>
    </row>
    <row r="10" spans="1:18" s="8" customFormat="1" ht="21.75" customHeight="1" x14ac:dyDescent="0.3">
      <c r="A10" s="1" t="s">
        <v>43</v>
      </c>
      <c r="B10" s="1" t="s">
        <v>31</v>
      </c>
      <c r="C10" s="2" t="s">
        <v>97</v>
      </c>
      <c r="D10" s="2" t="s">
        <v>98</v>
      </c>
      <c r="E10" s="25" t="s">
        <v>169</v>
      </c>
      <c r="F10" s="24">
        <v>50</v>
      </c>
      <c r="G10" s="24">
        <v>150</v>
      </c>
      <c r="H10" s="24">
        <v>1</v>
      </c>
      <c r="I10" s="24">
        <v>70</v>
      </c>
      <c r="J10" s="24" t="s">
        <v>37</v>
      </c>
      <c r="K10" s="2">
        <f t="shared" si="7"/>
        <v>7.87</v>
      </c>
      <c r="L10" s="2" t="str">
        <f t="shared" si="8"/>
        <v>원천리 950-28 번지</v>
      </c>
      <c r="M10" s="24"/>
      <c r="N10" s="24"/>
      <c r="O10" s="24"/>
      <c r="P10" s="3"/>
      <c r="Q10" s="24"/>
      <c r="R10" s="2" t="s">
        <v>36</v>
      </c>
    </row>
    <row r="11" spans="1:18" s="8" customFormat="1" ht="21.75" customHeight="1" x14ac:dyDescent="0.3">
      <c r="A11" s="1" t="s">
        <v>44</v>
      </c>
      <c r="B11" s="1" t="s">
        <v>31</v>
      </c>
      <c r="C11" s="2" t="s">
        <v>97</v>
      </c>
      <c r="D11" s="2" t="s">
        <v>98</v>
      </c>
      <c r="E11" s="25" t="s">
        <v>170</v>
      </c>
      <c r="F11" s="24">
        <v>25</v>
      </c>
      <c r="G11" s="24">
        <v>40</v>
      </c>
      <c r="H11" s="24">
        <v>0.5</v>
      </c>
      <c r="I11" s="24">
        <v>30</v>
      </c>
      <c r="J11" s="24" t="s">
        <v>30</v>
      </c>
      <c r="K11" s="2">
        <f t="shared" ref="K11:K12" si="9">aa_water(I11,J11)</f>
        <v>3.38</v>
      </c>
      <c r="L11" s="2" t="str">
        <f t="shared" ref="L11:L12" si="10">D11&amp;" "&amp;E11&amp;" 번지"</f>
        <v>원천리 955-8 번지</v>
      </c>
      <c r="M11" s="24"/>
      <c r="N11" s="24"/>
      <c r="O11" s="24"/>
      <c r="P11" s="3"/>
      <c r="Q11" s="24"/>
      <c r="R11" s="2" t="s">
        <v>36</v>
      </c>
    </row>
    <row r="12" spans="1:18" s="8" customFormat="1" ht="21.75" customHeight="1" x14ac:dyDescent="0.3">
      <c r="A12" s="1" t="s">
        <v>45</v>
      </c>
      <c r="B12" s="1" t="s">
        <v>31</v>
      </c>
      <c r="C12" s="2" t="s">
        <v>97</v>
      </c>
      <c r="D12" s="2" t="s">
        <v>171</v>
      </c>
      <c r="E12" s="25" t="s">
        <v>176</v>
      </c>
      <c r="F12" s="24">
        <v>70</v>
      </c>
      <c r="G12" s="24">
        <v>150</v>
      </c>
      <c r="H12" s="24">
        <v>3</v>
      </c>
      <c r="I12" s="24">
        <v>50</v>
      </c>
      <c r="J12" s="24" t="s">
        <v>37</v>
      </c>
      <c r="K12" s="2">
        <f t="shared" si="9"/>
        <v>7.61</v>
      </c>
      <c r="L12" s="2" t="str">
        <f t="shared" si="10"/>
        <v>분천리 35-31 번지</v>
      </c>
      <c r="M12" s="24"/>
      <c r="N12" s="24"/>
      <c r="O12" s="24"/>
      <c r="P12" s="3"/>
      <c r="Q12" s="24"/>
      <c r="R12" s="2" t="s">
        <v>36</v>
      </c>
    </row>
    <row r="13" spans="1:18" s="8" customFormat="1" ht="21.75" customHeight="1" x14ac:dyDescent="0.3">
      <c r="A13" s="1" t="s">
        <v>46</v>
      </c>
      <c r="B13" s="1" t="s">
        <v>31</v>
      </c>
      <c r="C13" s="2" t="s">
        <v>97</v>
      </c>
      <c r="D13" s="2" t="s">
        <v>171</v>
      </c>
      <c r="E13" s="25" t="s">
        <v>177</v>
      </c>
      <c r="F13" s="24">
        <v>18</v>
      </c>
      <c r="G13" s="24">
        <v>45</v>
      </c>
      <c r="H13" s="24">
        <v>0.5</v>
      </c>
      <c r="I13" s="24">
        <v>50</v>
      </c>
      <c r="J13" s="24" t="s">
        <v>37</v>
      </c>
      <c r="K13" s="2">
        <f t="shared" ref="K13:K14" si="11">aa_water(I13,J13)</f>
        <v>7.61</v>
      </c>
      <c r="L13" s="2" t="str">
        <f t="shared" ref="L13:L14" si="12">D13&amp;" "&amp;E13&amp;" 번지"</f>
        <v>분천리 35-12 번지</v>
      </c>
      <c r="M13" s="24"/>
      <c r="N13" s="24"/>
      <c r="O13" s="24"/>
      <c r="P13" s="3"/>
      <c r="Q13" s="24"/>
      <c r="R13" s="2" t="s">
        <v>36</v>
      </c>
    </row>
    <row r="14" spans="1:18" s="8" customFormat="1" ht="21.75" customHeight="1" x14ac:dyDescent="0.3">
      <c r="A14" s="1" t="s">
        <v>47</v>
      </c>
      <c r="B14" s="1" t="s">
        <v>31</v>
      </c>
      <c r="C14" s="2" t="s">
        <v>97</v>
      </c>
      <c r="D14" s="2" t="s">
        <v>98</v>
      </c>
      <c r="E14" s="25" t="s">
        <v>181</v>
      </c>
      <c r="F14" s="24">
        <v>50</v>
      </c>
      <c r="G14" s="24">
        <v>50</v>
      </c>
      <c r="H14" s="24">
        <v>1</v>
      </c>
      <c r="I14" s="24">
        <v>50</v>
      </c>
      <c r="J14" s="24" t="s">
        <v>37</v>
      </c>
      <c r="K14" s="2">
        <f t="shared" si="11"/>
        <v>7.61</v>
      </c>
      <c r="L14" s="2" t="str">
        <f t="shared" si="12"/>
        <v>원천리 955-32 번지</v>
      </c>
      <c r="M14" s="24"/>
      <c r="N14" s="24"/>
      <c r="O14" s="24"/>
      <c r="P14" s="3"/>
      <c r="Q14" s="24"/>
      <c r="R14" s="2" t="s">
        <v>36</v>
      </c>
    </row>
    <row r="15" spans="1:18" s="8" customFormat="1" ht="21.75" customHeight="1" x14ac:dyDescent="0.3">
      <c r="A15" s="1" t="s">
        <v>48</v>
      </c>
      <c r="B15" s="1" t="s">
        <v>31</v>
      </c>
      <c r="C15" s="2" t="s">
        <v>97</v>
      </c>
      <c r="D15" s="2" t="s">
        <v>98</v>
      </c>
      <c r="E15" s="25" t="s">
        <v>183</v>
      </c>
      <c r="F15" s="24">
        <v>50</v>
      </c>
      <c r="G15" s="24">
        <v>50</v>
      </c>
      <c r="H15" s="24">
        <v>1</v>
      </c>
      <c r="I15" s="24">
        <v>25</v>
      </c>
      <c r="J15" s="24" t="s">
        <v>37</v>
      </c>
      <c r="K15" s="2">
        <f t="shared" ref="K15:K16" si="13">aa_water(I15,J15)</f>
        <v>7.29</v>
      </c>
      <c r="L15" s="2" t="str">
        <f t="shared" ref="L15:L16" si="14">D15&amp;" "&amp;E15&amp;" 번지"</f>
        <v>원천리 836 번지</v>
      </c>
      <c r="M15" s="24"/>
      <c r="N15" s="24"/>
      <c r="O15" s="24"/>
      <c r="P15" s="3"/>
      <c r="Q15" s="24"/>
      <c r="R15" s="2" t="s">
        <v>36</v>
      </c>
    </row>
    <row r="16" spans="1:18" s="8" customFormat="1" ht="21.75" customHeight="1" x14ac:dyDescent="0.3">
      <c r="A16" s="1" t="s">
        <v>49</v>
      </c>
      <c r="B16" s="1" t="s">
        <v>31</v>
      </c>
      <c r="C16" s="2" t="s">
        <v>97</v>
      </c>
      <c r="D16" s="2" t="s">
        <v>98</v>
      </c>
      <c r="E16" s="25" t="s">
        <v>190</v>
      </c>
      <c r="F16" s="24">
        <v>90</v>
      </c>
      <c r="G16" s="24">
        <v>35</v>
      </c>
      <c r="H16" s="24">
        <v>1</v>
      </c>
      <c r="I16" s="24">
        <v>60</v>
      </c>
      <c r="J16" s="24" t="s">
        <v>114</v>
      </c>
      <c r="K16" s="2">
        <f t="shared" si="13"/>
        <v>3.75</v>
      </c>
      <c r="L16" s="2" t="str">
        <f t="shared" si="14"/>
        <v>원천리 960-1 번지</v>
      </c>
      <c r="M16" s="24"/>
      <c r="N16" s="24"/>
      <c r="O16" s="24"/>
      <c r="P16" s="3"/>
      <c r="Q16" s="24"/>
      <c r="R16" s="2" t="s">
        <v>36</v>
      </c>
    </row>
    <row r="17" spans="1:18" s="8" customFormat="1" ht="21.75" customHeight="1" x14ac:dyDescent="0.3">
      <c r="A17" s="1" t="s">
        <v>50</v>
      </c>
      <c r="B17" s="1" t="s">
        <v>31</v>
      </c>
      <c r="C17" s="2" t="s">
        <v>97</v>
      </c>
      <c r="D17" s="2" t="s">
        <v>171</v>
      </c>
      <c r="E17" s="25" t="s">
        <v>217</v>
      </c>
      <c r="F17" s="24">
        <v>100</v>
      </c>
      <c r="G17" s="24">
        <v>150</v>
      </c>
      <c r="H17" s="24">
        <v>2</v>
      </c>
      <c r="I17" s="24">
        <v>75</v>
      </c>
      <c r="J17" s="24" t="s">
        <v>114</v>
      </c>
      <c r="K17" s="2">
        <f t="shared" ref="K17:K18" si="15">aa_water(I17,J17)</f>
        <v>3.75</v>
      </c>
      <c r="L17" s="2" t="str">
        <f t="shared" ref="L17:L18" si="16">D17&amp;" "&amp;E17&amp;" 번지"</f>
        <v>분천리 14-63 번지</v>
      </c>
      <c r="M17" s="24"/>
      <c r="N17" s="24"/>
      <c r="O17" s="24"/>
      <c r="P17" s="3"/>
      <c r="Q17" s="24"/>
      <c r="R17" s="2" t="s">
        <v>36</v>
      </c>
    </row>
    <row r="18" spans="1:18" s="8" customFormat="1" ht="21.75" customHeight="1" x14ac:dyDescent="0.3">
      <c r="A18" s="1" t="s">
        <v>51</v>
      </c>
      <c r="B18" s="1" t="s">
        <v>31</v>
      </c>
      <c r="C18" s="2" t="s">
        <v>97</v>
      </c>
      <c r="D18" s="2" t="s">
        <v>171</v>
      </c>
      <c r="E18" s="25" t="s">
        <v>218</v>
      </c>
      <c r="F18" s="24">
        <v>15</v>
      </c>
      <c r="G18" s="24">
        <v>50</v>
      </c>
      <c r="H18" s="24">
        <v>0.5</v>
      </c>
      <c r="I18" s="24">
        <v>50</v>
      </c>
      <c r="J18" s="24" t="s">
        <v>37</v>
      </c>
      <c r="K18" s="2">
        <f t="shared" si="15"/>
        <v>7.61</v>
      </c>
      <c r="L18" s="2" t="str">
        <f t="shared" si="16"/>
        <v>분천리 14-33 번지</v>
      </c>
      <c r="M18" s="24"/>
      <c r="N18" s="24"/>
      <c r="O18" s="24"/>
      <c r="P18" s="3"/>
      <c r="Q18" s="24"/>
      <c r="R18" s="2" t="s">
        <v>36</v>
      </c>
    </row>
    <row r="19" spans="1:18" s="8" customFormat="1" ht="21.75" customHeight="1" x14ac:dyDescent="0.3">
      <c r="A19" s="1" t="s">
        <v>52</v>
      </c>
      <c r="B19" s="1" t="s">
        <v>31</v>
      </c>
      <c r="C19" s="2" t="s">
        <v>97</v>
      </c>
      <c r="D19" s="2" t="s">
        <v>171</v>
      </c>
      <c r="E19" s="25" t="s">
        <v>233</v>
      </c>
      <c r="F19" s="24">
        <v>25</v>
      </c>
      <c r="G19" s="24">
        <v>40</v>
      </c>
      <c r="H19" s="24">
        <v>0.5</v>
      </c>
      <c r="I19" s="24">
        <v>30</v>
      </c>
      <c r="J19" s="24" t="s">
        <v>30</v>
      </c>
      <c r="K19" s="2">
        <f t="shared" ref="K19:K20" si="17">aa_water(I19,J19)</f>
        <v>3.38</v>
      </c>
      <c r="L19" s="2" t="str">
        <f t="shared" ref="L19:L20" si="18">D19&amp;" "&amp;E19&amp;" 번지"</f>
        <v>분천리 10-42 번지</v>
      </c>
      <c r="M19" s="24"/>
      <c r="N19" s="24"/>
      <c r="O19" s="24"/>
      <c r="P19" s="3"/>
      <c r="Q19" s="24"/>
      <c r="R19" s="2" t="s">
        <v>36</v>
      </c>
    </row>
    <row r="20" spans="1:18" s="8" customFormat="1" ht="21.75" customHeight="1" x14ac:dyDescent="0.3">
      <c r="A20" s="1" t="s">
        <v>53</v>
      </c>
      <c r="B20" s="1" t="s">
        <v>31</v>
      </c>
      <c r="C20" s="2" t="s">
        <v>97</v>
      </c>
      <c r="D20" s="2" t="s">
        <v>171</v>
      </c>
      <c r="E20" s="25" t="s">
        <v>236</v>
      </c>
      <c r="F20" s="24">
        <v>25</v>
      </c>
      <c r="G20" s="24">
        <v>50</v>
      </c>
      <c r="H20" s="24">
        <v>1</v>
      </c>
      <c r="I20" s="24">
        <v>50</v>
      </c>
      <c r="J20" s="24" t="s">
        <v>30</v>
      </c>
      <c r="K20" s="2">
        <f t="shared" si="17"/>
        <v>4.24</v>
      </c>
      <c r="L20" s="2" t="str">
        <f t="shared" si="18"/>
        <v>분천리 618 번지</v>
      </c>
      <c r="M20" s="24"/>
      <c r="N20" s="24"/>
      <c r="O20" s="24"/>
      <c r="P20" s="3"/>
      <c r="Q20" s="24"/>
      <c r="R20" s="2" t="s">
        <v>36</v>
      </c>
    </row>
    <row r="21" spans="1:18" s="8" customFormat="1" ht="21.75" customHeight="1" x14ac:dyDescent="0.3">
      <c r="A21" s="1" t="s">
        <v>54</v>
      </c>
      <c r="B21" s="1" t="s">
        <v>31</v>
      </c>
      <c r="C21" s="2" t="s">
        <v>97</v>
      </c>
      <c r="D21" s="2" t="s">
        <v>98</v>
      </c>
      <c r="E21" s="25" t="s">
        <v>238</v>
      </c>
      <c r="F21" s="24">
        <v>120</v>
      </c>
      <c r="G21" s="24">
        <v>150</v>
      </c>
      <c r="H21" s="24">
        <v>1</v>
      </c>
      <c r="I21" s="24">
        <v>56</v>
      </c>
      <c r="J21" s="24" t="s">
        <v>30</v>
      </c>
      <c r="K21" s="2">
        <f t="shared" ref="K21:K22" si="19">aa_water(I21,J21)</f>
        <v>4.5</v>
      </c>
      <c r="L21" s="2" t="str">
        <f t="shared" ref="L21:L22" si="20">D21&amp;" "&amp;E21&amp;" 번지"</f>
        <v>원천리 950-31 번지</v>
      </c>
      <c r="M21" s="24"/>
      <c r="N21" s="24"/>
      <c r="O21" s="24"/>
      <c r="P21" s="3"/>
      <c r="Q21" s="24"/>
      <c r="R21" s="2" t="s">
        <v>36</v>
      </c>
    </row>
    <row r="22" spans="1:18" s="8" customFormat="1" ht="21.75" customHeight="1" x14ac:dyDescent="0.3">
      <c r="A22" s="1" t="s">
        <v>55</v>
      </c>
      <c r="B22" s="1" t="s">
        <v>31</v>
      </c>
      <c r="C22" s="2" t="s">
        <v>97</v>
      </c>
      <c r="D22" s="2" t="s">
        <v>171</v>
      </c>
      <c r="E22" s="25" t="s">
        <v>240</v>
      </c>
      <c r="F22" s="24">
        <v>30</v>
      </c>
      <c r="G22" s="24">
        <v>50</v>
      </c>
      <c r="H22" s="24">
        <v>1</v>
      </c>
      <c r="I22" s="24">
        <v>40</v>
      </c>
      <c r="J22" s="24" t="s">
        <v>30</v>
      </c>
      <c r="K22" s="2">
        <f t="shared" si="19"/>
        <v>3.81</v>
      </c>
      <c r="L22" s="2" t="str">
        <f t="shared" si="20"/>
        <v>분천리 27 번지</v>
      </c>
      <c r="M22" s="24"/>
      <c r="N22" s="24"/>
      <c r="O22" s="24"/>
      <c r="P22" s="3"/>
      <c r="Q22" s="24"/>
      <c r="R22" s="2" t="s">
        <v>36</v>
      </c>
    </row>
    <row r="23" spans="1:18" s="8" customFormat="1" ht="21.75" customHeight="1" x14ac:dyDescent="0.3">
      <c r="A23" s="1" t="s">
        <v>56</v>
      </c>
      <c r="B23" s="1" t="s">
        <v>31</v>
      </c>
      <c r="C23" s="2" t="s">
        <v>97</v>
      </c>
      <c r="D23" s="2" t="s">
        <v>171</v>
      </c>
      <c r="E23" s="25" t="s">
        <v>245</v>
      </c>
      <c r="F23" s="24">
        <v>60</v>
      </c>
      <c r="G23" s="24">
        <v>150</v>
      </c>
      <c r="H23" s="24">
        <v>1</v>
      </c>
      <c r="I23" s="24">
        <v>58</v>
      </c>
      <c r="J23" s="24" t="s">
        <v>122</v>
      </c>
      <c r="K23" s="2">
        <f t="shared" ref="K23" si="21">aa_water(I23,J23)</f>
        <v>3.38</v>
      </c>
      <c r="L23" s="2" t="str">
        <f t="shared" ref="L23" si="22">D23&amp;" "&amp;E23&amp;" 번지"</f>
        <v>분천리 121-42 번지</v>
      </c>
      <c r="M23" s="24"/>
      <c r="N23" s="24"/>
      <c r="O23" s="24"/>
      <c r="P23" s="3"/>
      <c r="Q23" s="24"/>
      <c r="R23" s="2" t="s">
        <v>36</v>
      </c>
    </row>
    <row r="24" spans="1:18" ht="21.75" customHeight="1" x14ac:dyDescent="0.3">
      <c r="I24" s="2"/>
      <c r="K24" s="3"/>
      <c r="N24" s="3"/>
      <c r="O24" s="3"/>
      <c r="P24" s="3"/>
    </row>
    <row r="25" spans="1:18" ht="21.75" customHeight="1" x14ac:dyDescent="0.3">
      <c r="K25" s="5"/>
    </row>
    <row r="26" spans="1:18" ht="21.75" customHeight="1" x14ac:dyDescent="0.3">
      <c r="B26" s="21" t="s">
        <v>23</v>
      </c>
      <c r="C26" s="13" t="s">
        <v>22</v>
      </c>
      <c r="D26" s="14" t="s">
        <v>7</v>
      </c>
      <c r="K26" s="27">
        <f>SUM(K2:K25)</f>
        <v>116.05</v>
      </c>
      <c r="L26" s="11"/>
    </row>
    <row r="27" spans="1:18" ht="21.75" customHeight="1" x14ac:dyDescent="0.3">
      <c r="B27" s="22" t="s">
        <v>20</v>
      </c>
      <c r="C27" s="16">
        <f ca="1">COUNTIF(AA_INSIDE_AREA,"O")</f>
        <v>21</v>
      </c>
      <c r="D27" s="17">
        <f ca="1">SUMIF(AA_INSIDE_AREA,"O",$K$2:$K$2)</f>
        <v>112.88999999999999</v>
      </c>
    </row>
    <row r="28" spans="1:18" ht="21.75" customHeight="1" x14ac:dyDescent="0.3">
      <c r="B28" s="22" t="s">
        <v>21</v>
      </c>
      <c r="C28" s="16">
        <f ca="1">COUNTIF(AA_INSIDE_AREA,"X")</f>
        <v>1</v>
      </c>
      <c r="D28" s="17">
        <f ca="1">SUMIF(AA_INSIDE_AREA,"X",$K$2:$K$2)</f>
        <v>3.16</v>
      </c>
    </row>
    <row r="29" spans="1:18" ht="21.75" customHeight="1" x14ac:dyDescent="0.3">
      <c r="B29" s="23"/>
      <c r="C29" s="19"/>
      <c r="D29" s="20">
        <f ca="1">D27+D28</f>
        <v>116.04999999999998</v>
      </c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H5" sqref="H5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26</v>
      </c>
      <c r="D2" s="2" t="s">
        <v>27</v>
      </c>
      <c r="E2" s="7" t="s">
        <v>29</v>
      </c>
      <c r="F2" s="2">
        <v>100</v>
      </c>
      <c r="G2" s="2">
        <v>150</v>
      </c>
      <c r="H2" s="2">
        <v>5</v>
      </c>
      <c r="I2" s="2">
        <v>90</v>
      </c>
      <c r="J2" s="2" t="s">
        <v>28</v>
      </c>
      <c r="K2" s="2">
        <v>0</v>
      </c>
      <c r="L2" s="2" t="str">
        <f t="shared" ref="L2" si="0">D2&amp;" "&amp;E2&amp;" 번지"</f>
        <v>외성리 451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K5" s="28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2021-03-28T03:34:52Z</dcterms:modified>
</cp:coreProperties>
</file>