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3_2021년 지하수 영향조사 용역 - 산수개발\08_천북면 낙동리 255-1\"/>
    </mc:Choice>
  </mc:AlternateContent>
  <xr:revisionPtr revIDLastSave="0" documentId="13_ncr:1_{9859673F-7CC7-47B1-8A64-2C23FB8BE839}" xr6:coauthVersionLast="46" xr6:coauthVersionMax="46" xr10:uidLastSave="{00000000-0000-0000-0000-000000000000}"/>
  <bookViews>
    <workbookView xWindow="6045" yWindow="2565" windowWidth="26415" windowHeight="1662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L10" i="10" l="1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3" i="10"/>
  <c r="L4" i="10"/>
  <c r="L5" i="10"/>
  <c r="L6" i="10"/>
  <c r="L7" i="10"/>
  <c r="L8" i="10"/>
  <c r="L9" i="10"/>
  <c r="K10" i="10"/>
  <c r="K16" i="10"/>
  <c r="K22" i="10"/>
  <c r="K28" i="10"/>
  <c r="K11" i="10"/>
  <c r="K17" i="10"/>
  <c r="K23" i="10"/>
  <c r="K12" i="10"/>
  <c r="K18" i="10"/>
  <c r="K24" i="10"/>
  <c r="K13" i="10"/>
  <c r="K19" i="10"/>
  <c r="K25" i="10"/>
  <c r="K14" i="10"/>
  <c r="K20" i="10"/>
  <c r="K26" i="10"/>
  <c r="K15" i="10"/>
  <c r="K21" i="10"/>
  <c r="K27" i="10"/>
  <c r="K6" i="8"/>
  <c r="K7" i="8"/>
  <c r="K3" i="8"/>
  <c r="K4" i="8"/>
  <c r="K2" i="10"/>
  <c r="K5" i="10"/>
  <c r="K5" i="8"/>
  <c r="K3" i="10"/>
  <c r="K6" i="10"/>
  <c r="K13" i="8"/>
  <c r="K9" i="10"/>
  <c r="K18" i="8"/>
  <c r="K15" i="8"/>
  <c r="K16" i="8"/>
  <c r="K17" i="8"/>
  <c r="K8" i="8"/>
  <c r="K14" i="8"/>
  <c r="K10" i="8"/>
  <c r="K7" i="10"/>
  <c r="K11" i="8"/>
  <c r="K4" i="10"/>
  <c r="K8" i="10"/>
  <c r="K12" i="8"/>
  <c r="K9" i="8"/>
  <c r="K19" i="8"/>
  <c r="K2" i="8"/>
  <c r="L13" i="8" l="1"/>
  <c r="L14" i="8"/>
  <c r="L15" i="8"/>
  <c r="L16" i="8"/>
  <c r="L17" i="8"/>
  <c r="L18" i="8"/>
  <c r="L19" i="8"/>
  <c r="L12" i="8"/>
  <c r="L11" i="8" l="1"/>
  <c r="L10" i="8"/>
  <c r="L9" i="8"/>
  <c r="L8" i="8"/>
  <c r="L7" i="8"/>
  <c r="K22" i="8" l="1"/>
  <c r="L6" i="8"/>
  <c r="C31" i="8" l="1"/>
  <c r="C30" i="8"/>
  <c r="C25" i="8"/>
  <c r="C26" i="8"/>
  <c r="C33" i="10"/>
  <c r="C32" i="10"/>
  <c r="C36" i="8" l="1"/>
  <c r="C35" i="8"/>
  <c r="D25" i="8" l="1"/>
  <c r="D26" i="8"/>
  <c r="D27" i="8" l="1"/>
  <c r="D33" i="10"/>
  <c r="D31" i="8" s="1"/>
  <c r="D32" i="10"/>
  <c r="D30" i="8" s="1"/>
  <c r="D35" i="8" s="1"/>
  <c r="D34" i="10" l="1"/>
  <c r="D36" i="8"/>
  <c r="D32" i="8"/>
  <c r="L4" i="8" l="1"/>
  <c r="L5" i="8"/>
  <c r="L2" i="11" l="1"/>
  <c r="K31" i="10" l="1"/>
  <c r="K24" i="8" s="1"/>
  <c r="L2" i="10" l="1"/>
  <c r="L2" i="8" l="1"/>
  <c r="L3" i="8"/>
</calcChain>
</file>

<file path=xl/sharedStrings.xml><?xml version="1.0" encoding="utf-8"?>
<sst xmlns="http://schemas.openxmlformats.org/spreadsheetml/2006/main" count="413" uniqueCount="127">
  <si>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</si>
  <si>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</si>
  <si>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</si>
  <si>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</si>
  <si>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</si>
  <si>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</si>
  <si>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</si>
  <si>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</si>
  <si>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</si>
  <si>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</si>
  <si>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</si>
  <si>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</si>
  <si>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</si>
  <si>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</si>
  <si>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</si>
  <si>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</si>
  <si>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</si>
  <si>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</si>
  <si>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</si>
  <si>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</si>
  <si>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</si>
  <si>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</si>
  <si>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</si>
  <si>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</si>
  <si>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</si>
  <si>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</si>
  <si>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</si>
  <si>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</si>
  <si>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</si>
  <si>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</si>
  <si>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</si>
  <si>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</si>
  <si>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</si>
  <si>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공업용</t>
    <phoneticPr fontId="19" type="noConversion"/>
  </si>
  <si>
    <t>s5</t>
    <phoneticPr fontId="19" type="noConversion"/>
  </si>
  <si>
    <t>s6</t>
  </si>
  <si>
    <t>s7</t>
  </si>
  <si>
    <t>s8</t>
  </si>
  <si>
    <t>s9</t>
  </si>
  <si>
    <t>s10</t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</si>
  <si>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</si>
  <si>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</si>
  <si>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</si>
  <si>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</si>
  <si>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s11</t>
  </si>
  <si>
    <t>s12</t>
  </si>
  <si>
    <t>s13</t>
  </si>
  <si>
    <t>s14</t>
  </si>
  <si>
    <t>s15</t>
  </si>
  <si>
    <t>s16</t>
  </si>
  <si>
    <t>s17</t>
  </si>
  <si>
    <t>s18</t>
  </si>
  <si>
    <t>s1</t>
    <phoneticPr fontId="19" type="noConversion"/>
  </si>
  <si>
    <t>a2</t>
  </si>
  <si>
    <t>a3</t>
  </si>
  <si>
    <t>a4</t>
  </si>
  <si>
    <t>a5</t>
  </si>
  <si>
    <t>a6</t>
  </si>
  <si>
    <t>a7</t>
  </si>
  <si>
    <t>a8</t>
  </si>
  <si>
    <t>O</t>
  </si>
  <si>
    <t>전작용</t>
    <phoneticPr fontId="19" type="noConversion"/>
  </si>
  <si>
    <t>천북면</t>
    <phoneticPr fontId="19" type="noConversion"/>
  </si>
  <si>
    <t>낙동리</t>
    <phoneticPr fontId="19" type="noConversion"/>
  </si>
  <si>
    <t>산17-16</t>
    <phoneticPr fontId="19" type="noConversion"/>
  </si>
  <si>
    <t>산17-15</t>
    <phoneticPr fontId="19" type="noConversion"/>
  </si>
  <si>
    <t>364-1</t>
    <phoneticPr fontId="19" type="noConversion"/>
  </si>
  <si>
    <t>361-1</t>
    <phoneticPr fontId="19" type="noConversion"/>
  </si>
  <si>
    <t>352</t>
    <phoneticPr fontId="19" type="noConversion"/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</si>
  <si>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</si>
  <si>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</si>
  <si>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</si>
  <si>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</si>
  <si>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</si>
  <si>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</si>
  <si>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</si>
  <si>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</si>
  <si>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</si>
  <si>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</si>
  <si>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</si>
  <si>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</si>
  <si>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</si>
  <si>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</si>
  <si>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</si>
  <si>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</si>
  <si>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</si>
  <si>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</si>
  <si>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</si>
  <si>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353-5</t>
    <phoneticPr fontId="19" type="noConversion"/>
  </si>
  <si>
    <t>360-27</t>
    <phoneticPr fontId="19" type="noConversion"/>
  </si>
  <si>
    <t>351-11</t>
    <phoneticPr fontId="19" type="noConversion"/>
  </si>
  <si>
    <t>348</t>
    <phoneticPr fontId="19" type="noConversion"/>
  </si>
  <si>
    <t>345</t>
    <phoneticPr fontId="19" type="noConversion"/>
  </si>
  <si>
    <t>357</t>
    <phoneticPr fontId="19" type="noConversion"/>
  </si>
  <si>
    <t>338-2</t>
    <phoneticPr fontId="19" type="noConversion"/>
  </si>
  <si>
    <t>344</t>
    <phoneticPr fontId="19" type="noConversion"/>
  </si>
  <si>
    <t>367</t>
    <phoneticPr fontId="19" type="noConversion"/>
  </si>
  <si>
    <t>322</t>
    <phoneticPr fontId="19" type="noConversion"/>
  </si>
  <si>
    <t>350-1</t>
    <phoneticPr fontId="19" type="noConversion"/>
  </si>
  <si>
    <t>325</t>
    <phoneticPr fontId="19" type="noConversion"/>
  </si>
  <si>
    <t>305-2</t>
    <phoneticPr fontId="19" type="noConversion"/>
  </si>
  <si>
    <t>222-14</t>
    <phoneticPr fontId="19" type="noConversion"/>
  </si>
  <si>
    <t>228</t>
    <phoneticPr fontId="19" type="noConversion"/>
  </si>
  <si>
    <t>227</t>
    <phoneticPr fontId="19" type="noConversion"/>
  </si>
  <si>
    <t>265</t>
    <phoneticPr fontId="19" type="noConversion"/>
  </si>
  <si>
    <t>229</t>
    <phoneticPr fontId="19" type="noConversion"/>
  </si>
  <si>
    <t>230</t>
    <phoneticPr fontId="19" type="noConversion"/>
  </si>
  <si>
    <t>573</t>
    <phoneticPr fontId="19" type="noConversion"/>
  </si>
  <si>
    <t>570-1</t>
    <phoneticPr fontId="19" type="noConversion"/>
  </si>
  <si>
    <t>232</t>
    <phoneticPr fontId="19" type="noConversion"/>
  </si>
  <si>
    <t>235</t>
    <phoneticPr fontId="19" type="noConversion"/>
  </si>
  <si>
    <t>236</t>
    <phoneticPr fontId="19" type="noConversion"/>
  </si>
  <si>
    <t>269</t>
    <phoneticPr fontId="19" type="noConversion"/>
  </si>
  <si>
    <t>267</t>
    <phoneticPr fontId="19" type="noConversion"/>
  </si>
  <si>
    <t>570-9</t>
    <phoneticPr fontId="19" type="noConversion"/>
  </si>
  <si>
    <t>555</t>
    <phoneticPr fontId="19" type="noConversion"/>
  </si>
  <si>
    <t>559</t>
    <phoneticPr fontId="19" type="noConversion"/>
  </si>
  <si>
    <t>425</t>
    <phoneticPr fontId="19" type="noConversion"/>
  </si>
  <si>
    <t>413</t>
    <phoneticPr fontId="19" type="noConversion"/>
  </si>
  <si>
    <t>421-3</t>
    <phoneticPr fontId="19" type="noConversion"/>
  </si>
  <si>
    <t>390</t>
    <phoneticPr fontId="19" type="noConversion"/>
  </si>
  <si>
    <t>1447-6</t>
    <phoneticPr fontId="19" type="noConversion"/>
  </si>
  <si>
    <t>1449</t>
    <phoneticPr fontId="19" type="noConversion"/>
  </si>
  <si>
    <t>1458-1</t>
    <phoneticPr fontId="19" type="noConversion"/>
  </si>
  <si>
    <t>463-1</t>
    <phoneticPr fontId="19" type="noConversion"/>
  </si>
  <si>
    <t>산21-1</t>
    <phoneticPr fontId="19" type="noConversion"/>
  </si>
  <si>
    <t>458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</si>
</sst>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  <font>
      <b/>
      <sz val="9"/>
      <color rgb="FF33333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42"/>
  <sheetViews>
    <sheetView tabSelected="1" workbookViewId="0">
      <selection activeCell="M21" sqref="M21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/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15</v>
      </c>
    </row>
    <row r="2" spans="1:18" ht="21.75" customHeight="1" x14ac:dyDescent="0.3">
      <c r="A2" s="2" t="s">
        <v>52</v>
      </c>
      <c r="B2" s="1" t="s">
        <v>41</v>
      </c>
      <c r="C2" s="2" t="s">
        <v>62</v>
      </c>
      <c r="D2" s="2" t="s">
        <v>63</v>
      </c>
      <c r="E2" s="7" t="s">
        <v>64</v>
      </c>
      <c r="F2" s="2">
        <v>40</v>
      </c>
      <c r="G2" s="2">
        <v>50</v>
      </c>
      <c r="H2" s="2">
        <v>0.5</v>
      </c>
      <c r="I2" s="2">
        <v>30</v>
      </c>
      <c r="J2" s="2" t="s">
        <v>42</v>
      </c>
      <c r="K2" s="3">
        <f t="shared" ref="K2:K19" si="0">ss_water(I2,J2)</f>
        <v>3.84</v>
      </c>
      <c r="L2" s="2" t="str">
        <f t="shared" ref="L2:L11" si="1">D2&amp;" "&amp;E2&amp;" 번지"</f>
        <v>낙동리 산17-16 번지</v>
      </c>
      <c r="M2" s="2">
        <v>40</v>
      </c>
      <c r="N2" s="2">
        <v>50</v>
      </c>
      <c r="O2" s="2">
        <v>0.5</v>
      </c>
      <c r="P2" s="2">
        <v>3.84</v>
      </c>
      <c r="Q2" s="2" t="s">
        <v>42</v>
      </c>
      <c r="R2" s="2" t="s">
        <v>16</v>
      </c>
    </row>
    <row r="3" spans="1:18" ht="21.75" customHeight="1" x14ac:dyDescent="0.3">
      <c r="A3" s="2" t="s">
        <v>6</v>
      </c>
      <c r="B3" s="1" t="s">
        <v>41</v>
      </c>
      <c r="C3" s="2" t="s">
        <v>62</v>
      </c>
      <c r="D3" s="2" t="s">
        <v>63</v>
      </c>
      <c r="E3" s="7" t="s">
        <v>65</v>
      </c>
      <c r="F3" s="2">
        <v>80</v>
      </c>
      <c r="G3" s="2">
        <v>150</v>
      </c>
      <c r="H3" s="2">
        <v>0.5</v>
      </c>
      <c r="I3" s="2">
        <v>40</v>
      </c>
      <c r="J3" s="2" t="s">
        <v>42</v>
      </c>
      <c r="K3" s="3">
        <f t="shared" si="0"/>
        <v>4.07</v>
      </c>
      <c r="L3" s="2" t="str">
        <f t="shared" si="1"/>
        <v>낙동리 산17-15 번지</v>
      </c>
      <c r="M3" s="2">
        <v>80</v>
      </c>
      <c r="N3" s="2">
        <v>150</v>
      </c>
      <c r="O3" s="2">
        <v>0.5</v>
      </c>
      <c r="P3" s="2">
        <v>4.07</v>
      </c>
      <c r="Q3" s="2" t="s">
        <v>42</v>
      </c>
      <c r="R3" s="2" t="s">
        <v>16</v>
      </c>
    </row>
    <row r="4" spans="1:18" ht="21.75" customHeight="1" x14ac:dyDescent="0.3">
      <c r="A4" s="2" t="s">
        <v>7</v>
      </c>
      <c r="B4" s="1" t="s">
        <v>41</v>
      </c>
      <c r="C4" s="2" t="s">
        <v>62</v>
      </c>
      <c r="D4" s="2" t="s">
        <v>63</v>
      </c>
      <c r="E4" s="7" t="s">
        <v>89</v>
      </c>
      <c r="F4" s="2">
        <v>30</v>
      </c>
      <c r="G4" s="2">
        <v>50</v>
      </c>
      <c r="H4" s="2">
        <v>0.5</v>
      </c>
      <c r="I4" s="2">
        <v>15</v>
      </c>
      <c r="J4" s="2" t="s">
        <v>43</v>
      </c>
      <c r="K4" s="3">
        <f t="shared" si="0"/>
        <v>0.7</v>
      </c>
      <c r="L4" s="2" t="str">
        <f t="shared" si="1"/>
        <v>낙동리 360-27 번지</v>
      </c>
      <c r="M4" s="2">
        <v>30</v>
      </c>
      <c r="N4" s="2">
        <v>50</v>
      </c>
      <c r="O4" s="2">
        <v>0.5</v>
      </c>
      <c r="P4" s="2">
        <v>0.7</v>
      </c>
      <c r="Q4" s="2" t="s">
        <v>43</v>
      </c>
      <c r="R4" s="2" t="s">
        <v>16</v>
      </c>
    </row>
    <row r="5" spans="1:18" ht="21.75" customHeight="1" x14ac:dyDescent="0.3">
      <c r="A5" s="2" t="s">
        <v>8</v>
      </c>
      <c r="B5" s="1" t="s">
        <v>41</v>
      </c>
      <c r="C5" s="2" t="s">
        <v>62</v>
      </c>
      <c r="D5" s="2" t="s">
        <v>63</v>
      </c>
      <c r="E5" s="7" t="s">
        <v>91</v>
      </c>
      <c r="F5" s="2">
        <v>32</v>
      </c>
      <c r="G5" s="2">
        <v>50</v>
      </c>
      <c r="H5" s="2">
        <v>0.5</v>
      </c>
      <c r="I5" s="2">
        <v>20</v>
      </c>
      <c r="J5" s="2" t="s">
        <v>43</v>
      </c>
      <c r="K5" s="3">
        <f t="shared" si="0"/>
        <v>0.7</v>
      </c>
      <c r="L5" s="2" t="str">
        <f t="shared" si="1"/>
        <v>낙동리 348 번지</v>
      </c>
      <c r="M5" s="2">
        <v>32</v>
      </c>
      <c r="N5" s="2">
        <v>50</v>
      </c>
      <c r="O5" s="2">
        <v>0.5</v>
      </c>
      <c r="P5" s="2">
        <v>0.7</v>
      </c>
      <c r="Q5" s="2" t="s">
        <v>43</v>
      </c>
      <c r="R5" s="2" t="s">
        <v>16</v>
      </c>
    </row>
    <row r="6" spans="1:18" ht="21.75" customHeight="1" x14ac:dyDescent="0.3">
      <c r="A6" s="2" t="s">
        <v>34</v>
      </c>
      <c r="B6" s="1" t="s">
        <v>41</v>
      </c>
      <c r="C6" s="2" t="s">
        <v>62</v>
      </c>
      <c r="D6" s="2" t="s">
        <v>63</v>
      </c>
      <c r="E6" s="7" t="s">
        <v>92</v>
      </c>
      <c r="F6" s="2">
        <v>30</v>
      </c>
      <c r="G6" s="2">
        <v>50</v>
      </c>
      <c r="H6" s="2">
        <v>0.5</v>
      </c>
      <c r="I6" s="2">
        <v>20</v>
      </c>
      <c r="J6" s="2" t="s">
        <v>43</v>
      </c>
      <c r="K6" s="3">
        <f t="shared" si="0"/>
        <v>0.7</v>
      </c>
      <c r="L6" s="2" t="str">
        <f t="shared" si="1"/>
        <v>낙동리 345 번지</v>
      </c>
      <c r="M6" s="2">
        <v>30</v>
      </c>
      <c r="N6" s="2">
        <v>50</v>
      </c>
      <c r="O6" s="2">
        <v>0.5</v>
      </c>
      <c r="P6" s="2">
        <v>0.7</v>
      </c>
      <c r="Q6" s="2" t="s">
        <v>43</v>
      </c>
      <c r="R6" s="2" t="s">
        <v>16</v>
      </c>
    </row>
    <row r="7" spans="1:18" ht="21.75" customHeight="1" x14ac:dyDescent="0.3">
      <c r="A7" s="2" t="s">
        <v>35</v>
      </c>
      <c r="B7" s="1" t="s">
        <v>41</v>
      </c>
      <c r="C7" s="2" t="s">
        <v>62</v>
      </c>
      <c r="D7" s="2" t="s">
        <v>63</v>
      </c>
      <c r="E7" s="7" t="s">
        <v>93</v>
      </c>
      <c r="F7" s="2">
        <v>50</v>
      </c>
      <c r="G7" s="2">
        <v>50</v>
      </c>
      <c r="H7" s="2">
        <v>0.5</v>
      </c>
      <c r="I7" s="2">
        <v>20</v>
      </c>
      <c r="J7" s="2" t="s">
        <v>43</v>
      </c>
      <c r="K7" s="3">
        <f t="shared" si="0"/>
        <v>0.7</v>
      </c>
      <c r="L7" s="2" t="str">
        <f t="shared" si="1"/>
        <v>낙동리 357 번지</v>
      </c>
      <c r="M7" s="2">
        <v>50</v>
      </c>
      <c r="N7" s="2">
        <v>50</v>
      </c>
      <c r="O7" s="2">
        <v>0.5</v>
      </c>
      <c r="P7" s="2">
        <v>0.7</v>
      </c>
      <c r="Q7" s="2" t="s">
        <v>43</v>
      </c>
      <c r="R7" s="2" t="s">
        <v>16</v>
      </c>
    </row>
    <row r="8" spans="1:18" ht="21.75" customHeight="1" x14ac:dyDescent="0.3">
      <c r="A8" s="2" t="s">
        <v>36</v>
      </c>
      <c r="B8" s="1" t="s">
        <v>41</v>
      </c>
      <c r="C8" s="2" t="s">
        <v>62</v>
      </c>
      <c r="D8" s="2" t="s">
        <v>63</v>
      </c>
      <c r="E8" s="7" t="s">
        <v>95</v>
      </c>
      <c r="F8" s="2">
        <v>60</v>
      </c>
      <c r="G8" s="2">
        <v>50</v>
      </c>
      <c r="H8" s="2">
        <v>1</v>
      </c>
      <c r="I8" s="2">
        <v>30</v>
      </c>
      <c r="J8" s="2" t="s">
        <v>43</v>
      </c>
      <c r="K8" s="3">
        <f t="shared" si="0"/>
        <v>0.7</v>
      </c>
      <c r="L8" s="2" t="str">
        <f t="shared" si="1"/>
        <v>낙동리 344 번지</v>
      </c>
      <c r="M8" s="2">
        <v>60</v>
      </c>
      <c r="N8" s="2">
        <v>50</v>
      </c>
      <c r="O8" s="2">
        <v>1</v>
      </c>
      <c r="P8" s="2">
        <v>0.7</v>
      </c>
      <c r="Q8" s="2" t="s">
        <v>43</v>
      </c>
      <c r="R8" s="2" t="s">
        <v>16</v>
      </c>
    </row>
    <row r="9" spans="1:18" ht="21.75" customHeight="1" x14ac:dyDescent="0.3">
      <c r="A9" s="2" t="s">
        <v>37</v>
      </c>
      <c r="B9" s="1" t="s">
        <v>41</v>
      </c>
      <c r="C9" s="2" t="s">
        <v>62</v>
      </c>
      <c r="D9" s="2" t="s">
        <v>63</v>
      </c>
      <c r="E9" s="7" t="s">
        <v>100</v>
      </c>
      <c r="F9" s="2">
        <v>40</v>
      </c>
      <c r="G9" s="2">
        <v>50</v>
      </c>
      <c r="H9" s="2">
        <v>1</v>
      </c>
      <c r="I9" s="2">
        <v>20</v>
      </c>
      <c r="J9" s="2" t="s">
        <v>43</v>
      </c>
      <c r="K9" s="3">
        <f t="shared" si="0"/>
        <v>0.7</v>
      </c>
      <c r="L9" s="2" t="str">
        <f t="shared" si="1"/>
        <v>낙동리 305-2 번지</v>
      </c>
      <c r="M9" s="2">
        <v>40</v>
      </c>
      <c r="N9" s="2">
        <v>50</v>
      </c>
      <c r="O9" s="2">
        <v>1</v>
      </c>
      <c r="P9" s="2">
        <v>0.7</v>
      </c>
      <c r="Q9" s="2" t="s">
        <v>43</v>
      </c>
      <c r="R9" s="2" t="s">
        <v>16</v>
      </c>
    </row>
    <row r="10" spans="1:18" ht="21.75" customHeight="1" x14ac:dyDescent="0.3">
      <c r="A10" s="2" t="s">
        <v>38</v>
      </c>
      <c r="B10" s="1" t="s">
        <v>41</v>
      </c>
      <c r="C10" s="2" t="s">
        <v>62</v>
      </c>
      <c r="D10" s="2" t="s">
        <v>63</v>
      </c>
      <c r="E10" s="7" t="s">
        <v>104</v>
      </c>
      <c r="F10" s="2">
        <v>30</v>
      </c>
      <c r="G10" s="2">
        <v>50</v>
      </c>
      <c r="H10" s="2">
        <v>0.5</v>
      </c>
      <c r="I10" s="2">
        <v>20</v>
      </c>
      <c r="J10" s="2" t="s">
        <v>43</v>
      </c>
      <c r="K10" s="3">
        <f t="shared" si="0"/>
        <v>0.7</v>
      </c>
      <c r="L10" s="2" t="str">
        <f t="shared" si="1"/>
        <v>낙동리 265 번지</v>
      </c>
      <c r="M10" s="2">
        <v>30</v>
      </c>
      <c r="N10" s="2">
        <v>50</v>
      </c>
      <c r="O10" s="2">
        <v>0.5</v>
      </c>
      <c r="P10" s="2">
        <v>0.7</v>
      </c>
      <c r="Q10" s="2" t="s">
        <v>43</v>
      </c>
      <c r="R10" s="2" t="s">
        <v>16</v>
      </c>
    </row>
    <row r="11" spans="1:18" ht="21" customHeight="1" x14ac:dyDescent="0.3">
      <c r="A11" s="2" t="s">
        <v>39</v>
      </c>
      <c r="B11" s="1" t="s">
        <v>41</v>
      </c>
      <c r="C11" s="2" t="s">
        <v>62</v>
      </c>
      <c r="D11" s="2" t="s">
        <v>63</v>
      </c>
      <c r="E11" s="7" t="s">
        <v>112</v>
      </c>
      <c r="F11" s="2">
        <v>17</v>
      </c>
      <c r="G11" s="2">
        <v>50</v>
      </c>
      <c r="H11" s="2">
        <v>0.5</v>
      </c>
      <c r="I11" s="2">
        <v>20</v>
      </c>
      <c r="J11" s="2" t="s">
        <v>43</v>
      </c>
      <c r="K11" s="3">
        <f t="shared" si="0"/>
        <v>0.7</v>
      </c>
      <c r="L11" s="2" t="str">
        <f t="shared" si="1"/>
        <v>낙동리 269 번지</v>
      </c>
      <c r="M11" s="2">
        <v>17</v>
      </c>
      <c r="N11" s="2">
        <v>50</v>
      </c>
      <c r="O11" s="2">
        <v>0.5</v>
      </c>
      <c r="P11" s="2">
        <v>0.7</v>
      </c>
      <c r="Q11" s="2" t="s">
        <v>43</v>
      </c>
      <c r="R11" s="2" t="s">
        <v>16</v>
      </c>
    </row>
    <row r="12" spans="1:18" ht="21" customHeight="1" x14ac:dyDescent="0.3">
      <c r="A12" s="2" t="s">
        <v>44</v>
      </c>
      <c r="B12" s="1" t="s">
        <v>41</v>
      </c>
      <c r="C12" s="2" t="s">
        <v>62</v>
      </c>
      <c r="D12" s="2" t="s">
        <v>63</v>
      </c>
      <c r="E12" s="7" t="s">
        <v>113</v>
      </c>
      <c r="F12" s="2">
        <v>30</v>
      </c>
      <c r="G12" s="2">
        <v>50</v>
      </c>
      <c r="H12" s="2">
        <v>0.5</v>
      </c>
      <c r="I12" s="2">
        <v>20</v>
      </c>
      <c r="J12" s="2" t="s">
        <v>43</v>
      </c>
      <c r="K12" s="3">
        <f t="shared" si="0"/>
        <v>0.7</v>
      </c>
      <c r="L12" s="2" t="str">
        <f t="shared" ref="L12:L19" si="2">D12&amp;" "&amp;E12&amp;" 번지"</f>
        <v>낙동리 267 번지</v>
      </c>
      <c r="M12" s="2">
        <v>30</v>
      </c>
      <c r="N12" s="2">
        <v>50</v>
      </c>
      <c r="O12" s="2">
        <v>0.5</v>
      </c>
      <c r="P12" s="2">
        <v>0.7</v>
      </c>
      <c r="Q12" s="2" t="s">
        <v>43</v>
      </c>
      <c r="R12" s="2" t="s">
        <v>16</v>
      </c>
    </row>
    <row r="13" spans="1:18" ht="21" customHeight="1" x14ac:dyDescent="0.3">
      <c r="A13" s="2" t="s">
        <v>45</v>
      </c>
      <c r="B13" s="1" t="s">
        <v>41</v>
      </c>
      <c r="C13" s="2" t="s">
        <v>62</v>
      </c>
      <c r="D13" s="2" t="s">
        <v>63</v>
      </c>
      <c r="E13" s="7" t="s">
        <v>114</v>
      </c>
      <c r="F13" s="2">
        <v>30</v>
      </c>
      <c r="G13" s="2">
        <v>40</v>
      </c>
      <c r="H13" s="2">
        <v>0.5</v>
      </c>
      <c r="I13" s="2">
        <v>30</v>
      </c>
      <c r="J13" s="2" t="s">
        <v>43</v>
      </c>
      <c r="K13" s="3">
        <f t="shared" si="0"/>
        <v>0.7</v>
      </c>
      <c r="L13" s="2" t="str">
        <f t="shared" si="2"/>
        <v>낙동리 570-9 번지</v>
      </c>
      <c r="M13" s="2">
        <v>30</v>
      </c>
      <c r="N13" s="2">
        <v>40</v>
      </c>
      <c r="O13" s="2">
        <v>0.5</v>
      </c>
      <c r="P13" s="2">
        <v>0.7</v>
      </c>
      <c r="Q13" s="2" t="s">
        <v>43</v>
      </c>
      <c r="R13" s="2" t="s">
        <v>16</v>
      </c>
    </row>
    <row r="14" spans="1:18" ht="21" customHeight="1" x14ac:dyDescent="0.3">
      <c r="A14" s="2" t="s">
        <v>46</v>
      </c>
      <c r="B14" s="1" t="s">
        <v>41</v>
      </c>
      <c r="C14" s="2" t="s">
        <v>62</v>
      </c>
      <c r="D14" s="2" t="s">
        <v>63</v>
      </c>
      <c r="E14" s="7" t="s">
        <v>118</v>
      </c>
      <c r="F14" s="2">
        <v>45</v>
      </c>
      <c r="G14" s="2">
        <v>50</v>
      </c>
      <c r="H14" s="2">
        <v>0.5</v>
      </c>
      <c r="I14" s="2">
        <v>20</v>
      </c>
      <c r="J14" s="2" t="s">
        <v>43</v>
      </c>
      <c r="K14" s="3">
        <f t="shared" si="0"/>
        <v>0.7</v>
      </c>
      <c r="L14" s="2" t="str">
        <f t="shared" si="2"/>
        <v>낙동리 413 번지</v>
      </c>
      <c r="M14" s="2">
        <v>45</v>
      </c>
      <c r="N14" s="2">
        <v>50</v>
      </c>
      <c r="O14" s="2">
        <v>0.5</v>
      </c>
      <c r="P14" s="2">
        <v>0.7</v>
      </c>
      <c r="Q14" s="2" t="s">
        <v>43</v>
      </c>
      <c r="R14" s="2" t="s">
        <v>16</v>
      </c>
    </row>
    <row r="15" spans="1:18" ht="21" customHeight="1" x14ac:dyDescent="0.3">
      <c r="A15" s="2" t="s">
        <v>47</v>
      </c>
      <c r="B15" s="1" t="s">
        <v>41</v>
      </c>
      <c r="C15" s="2" t="s">
        <v>62</v>
      </c>
      <c r="D15" s="2" t="s">
        <v>63</v>
      </c>
      <c r="E15" s="7" t="s">
        <v>119</v>
      </c>
      <c r="F15" s="2">
        <v>50</v>
      </c>
      <c r="G15" s="2">
        <v>50</v>
      </c>
      <c r="H15" s="2">
        <v>0.5</v>
      </c>
      <c r="I15" s="2">
        <v>30</v>
      </c>
      <c r="J15" s="2" t="s">
        <v>43</v>
      </c>
      <c r="K15" s="3">
        <f t="shared" si="0"/>
        <v>0.7</v>
      </c>
      <c r="L15" s="2" t="str">
        <f t="shared" si="2"/>
        <v>낙동리 421-3 번지</v>
      </c>
      <c r="M15" s="2">
        <v>50</v>
      </c>
      <c r="N15" s="2">
        <v>50</v>
      </c>
      <c r="O15" s="2">
        <v>0.5</v>
      </c>
      <c r="P15" s="2">
        <v>0.7</v>
      </c>
      <c r="Q15" s="2" t="s">
        <v>43</v>
      </c>
      <c r="R15" s="2" t="s">
        <v>16</v>
      </c>
    </row>
    <row r="16" spans="1:18" ht="21" customHeight="1" x14ac:dyDescent="0.3">
      <c r="A16" s="2" t="s">
        <v>48</v>
      </c>
      <c r="B16" s="1" t="s">
        <v>41</v>
      </c>
      <c r="C16" s="2" t="s">
        <v>62</v>
      </c>
      <c r="D16" s="2" t="s">
        <v>63</v>
      </c>
      <c r="E16" s="7" t="s">
        <v>120</v>
      </c>
      <c r="F16" s="2">
        <v>30</v>
      </c>
      <c r="G16" s="2">
        <v>50</v>
      </c>
      <c r="H16" s="2">
        <v>0.5</v>
      </c>
      <c r="I16" s="2">
        <v>20</v>
      </c>
      <c r="J16" s="2" t="s">
        <v>43</v>
      </c>
      <c r="K16" s="3">
        <f t="shared" si="0"/>
        <v>0.7</v>
      </c>
      <c r="L16" s="2" t="str">
        <f t="shared" si="2"/>
        <v>낙동리 390 번지</v>
      </c>
      <c r="M16" s="2">
        <v>30</v>
      </c>
      <c r="N16" s="2">
        <v>50</v>
      </c>
      <c r="O16" s="2">
        <v>0.5</v>
      </c>
      <c r="P16" s="2">
        <v>0.7</v>
      </c>
      <c r="Q16" s="2" t="s">
        <v>43</v>
      </c>
      <c r="R16" s="2" t="s">
        <v>16</v>
      </c>
    </row>
    <row r="17" spans="1:18" ht="21" customHeight="1" x14ac:dyDescent="0.3">
      <c r="A17" s="2" t="s">
        <v>49</v>
      </c>
      <c r="B17" s="1" t="s">
        <v>41</v>
      </c>
      <c r="C17" s="2" t="s">
        <v>62</v>
      </c>
      <c r="D17" s="2" t="s">
        <v>63</v>
      </c>
      <c r="E17" s="7" t="s">
        <v>121</v>
      </c>
      <c r="F17" s="2">
        <v>30</v>
      </c>
      <c r="G17" s="2">
        <v>50</v>
      </c>
      <c r="H17" s="2">
        <v>0.5</v>
      </c>
      <c r="I17" s="2">
        <v>20</v>
      </c>
      <c r="J17" s="2" t="s">
        <v>43</v>
      </c>
      <c r="K17" s="3">
        <f t="shared" si="0"/>
        <v>0.7</v>
      </c>
      <c r="L17" s="2" t="str">
        <f t="shared" si="2"/>
        <v>낙동리 1447-6 번지</v>
      </c>
      <c r="M17" s="2">
        <v>30</v>
      </c>
      <c r="N17" s="2">
        <v>50</v>
      </c>
      <c r="O17" s="2">
        <v>0.5</v>
      </c>
      <c r="P17" s="2">
        <v>0.7</v>
      </c>
      <c r="Q17" s="2" t="s">
        <v>43</v>
      </c>
      <c r="R17" s="2" t="s">
        <v>16</v>
      </c>
    </row>
    <row r="18" spans="1:18" ht="21" customHeight="1" x14ac:dyDescent="0.3">
      <c r="A18" s="2" t="s">
        <v>50</v>
      </c>
      <c r="B18" s="1" t="s">
        <v>41</v>
      </c>
      <c r="C18" s="2" t="s">
        <v>62</v>
      </c>
      <c r="D18" s="2" t="s">
        <v>63</v>
      </c>
      <c r="E18" s="7" t="s">
        <v>122</v>
      </c>
      <c r="F18" s="2">
        <v>25</v>
      </c>
      <c r="G18" s="2">
        <v>50</v>
      </c>
      <c r="H18" s="2">
        <v>0.5</v>
      </c>
      <c r="I18" s="2">
        <v>30</v>
      </c>
      <c r="J18" s="2" t="s">
        <v>43</v>
      </c>
      <c r="K18" s="3">
        <f t="shared" si="0"/>
        <v>0.7</v>
      </c>
      <c r="L18" s="2" t="str">
        <f t="shared" si="2"/>
        <v>낙동리 1449 번지</v>
      </c>
      <c r="M18" s="2">
        <v>25</v>
      </c>
      <c r="N18" s="2">
        <v>50</v>
      </c>
      <c r="O18" s="2">
        <v>0.5</v>
      </c>
      <c r="P18" s="2">
        <v>0.7</v>
      </c>
      <c r="Q18" s="2" t="s">
        <v>43</v>
      </c>
      <c r="R18" s="2" t="s">
        <v>16</v>
      </c>
    </row>
    <row r="19" spans="1:18" ht="21" customHeight="1" x14ac:dyDescent="0.3">
      <c r="A19" s="2" t="s">
        <v>51</v>
      </c>
      <c r="B19" s="1" t="s">
        <v>41</v>
      </c>
      <c r="C19" s="2" t="s">
        <v>62</v>
      </c>
      <c r="D19" s="2" t="s">
        <v>63</v>
      </c>
      <c r="E19" s="7" t="s">
        <v>125</v>
      </c>
      <c r="F19" s="2">
        <v>30</v>
      </c>
      <c r="G19" s="2">
        <v>50</v>
      </c>
      <c r="H19" s="2">
        <v>0.3</v>
      </c>
      <c r="I19" s="2">
        <v>20</v>
      </c>
      <c r="J19" s="2" t="s">
        <v>43</v>
      </c>
      <c r="K19" s="3">
        <f t="shared" si="0"/>
        <v>0.7</v>
      </c>
      <c r="L19" s="2" t="str">
        <f t="shared" si="2"/>
        <v>낙동리 산21-1 번지</v>
      </c>
      <c r="M19" s="2">
        <v>30</v>
      </c>
      <c r="N19" s="2">
        <v>50</v>
      </c>
      <c r="O19" s="2">
        <v>0.3</v>
      </c>
      <c r="P19" s="2">
        <v>0.7</v>
      </c>
      <c r="Q19" s="2" t="s">
        <v>43</v>
      </c>
      <c r="R19" s="2" t="s">
        <v>16</v>
      </c>
    </row>
    <row r="20" spans="1:18" ht="21" customHeight="1" x14ac:dyDescent="0.3">
      <c r="B20" s="1"/>
      <c r="I20" s="2"/>
      <c r="K20" s="3"/>
    </row>
    <row r="21" spans="1:18" ht="21.75" customHeight="1" x14ac:dyDescent="0.3">
      <c r="I21" s="2"/>
    </row>
    <row r="22" spans="1:18" ht="21.75" customHeight="1" x14ac:dyDescent="0.3">
      <c r="K22" s="2">
        <f>SUM(K2:K21)</f>
        <v>19.109999999999989</v>
      </c>
    </row>
    <row r="24" spans="1:18" ht="21.75" customHeight="1" x14ac:dyDescent="0.3">
      <c r="B24" s="12" t="s">
        <v>27</v>
      </c>
      <c r="C24" s="13" t="s">
        <v>25</v>
      </c>
      <c r="D24" s="14" t="s">
        <v>10</v>
      </c>
      <c r="K24" s="4">
        <f>K22+aa!K31+ii!K2</f>
        <v>137.69999999999996</v>
      </c>
    </row>
    <row r="25" spans="1:18" ht="21.75" customHeight="1" x14ac:dyDescent="0.3">
      <c r="B25" s="15" t="s">
        <v>23</v>
      </c>
      <c r="C25" s="16">
        <f ca="1">COUNTIF(SS_INSIDE_AREA,"O")</f>
        <v>18</v>
      </c>
      <c r="D25" s="17">
        <f ca="1">SUMIF(SS_INSIDE_AREA,"O",K2:K5)</f>
        <v>19.109999999999989</v>
      </c>
    </row>
    <row r="26" spans="1:18" ht="21.75" customHeight="1" x14ac:dyDescent="0.3">
      <c r="B26" s="15" t="s">
        <v>24</v>
      </c>
      <c r="C26" s="16">
        <f ca="1">COUNTIF(SS_INSIDE_AREA,"X")</f>
        <v>0</v>
      </c>
      <c r="D26" s="17">
        <f ca="1">SUMIF(SS_INSIDE_AREA,"X",K2:K5)</f>
        <v>0</v>
      </c>
    </row>
    <row r="27" spans="1:18" ht="21.75" customHeight="1" x14ac:dyDescent="0.3">
      <c r="B27" s="18"/>
      <c r="C27" s="19"/>
      <c r="D27" s="20">
        <f ca="1">SUM(D25:D26)</f>
        <v>19.109999999999989</v>
      </c>
    </row>
    <row r="29" spans="1:18" ht="21.75" customHeight="1" x14ac:dyDescent="0.3">
      <c r="B29" s="12" t="s">
        <v>26</v>
      </c>
      <c r="C29" s="13" t="s">
        <v>25</v>
      </c>
      <c r="D29" s="14" t="s">
        <v>10</v>
      </c>
    </row>
    <row r="30" spans="1:18" ht="21.75" customHeight="1" x14ac:dyDescent="0.3">
      <c r="B30" s="15" t="s">
        <v>23</v>
      </c>
      <c r="C30" s="16">
        <f ca="1">COUNTIF(AA_INSIDE_AREA,"O")</f>
        <v>27</v>
      </c>
      <c r="D30" s="17">
        <f ca="1">aa!D32</f>
        <v>118.58999999999996</v>
      </c>
    </row>
    <row r="31" spans="1:18" ht="21.75" customHeight="1" x14ac:dyDescent="0.3">
      <c r="B31" s="15" t="s">
        <v>24</v>
      </c>
      <c r="C31" s="16">
        <f ca="1">COUNTIF(AA_INSIDE_AREA,"X")</f>
        <v>0</v>
      </c>
      <c r="D31" s="17">
        <f>aa!D33</f>
        <v>0</v>
      </c>
    </row>
    <row r="32" spans="1:18" ht="21.75" customHeight="1" x14ac:dyDescent="0.3">
      <c r="B32" s="18"/>
      <c r="C32" s="19"/>
      <c r="D32" s="20">
        <f ca="1">SUM(D30:D31)</f>
        <v>118.58999999999996</v>
      </c>
    </row>
    <row r="34" spans="2:16" ht="21.75" customHeight="1" x14ac:dyDescent="0.3">
      <c r="B34" s="12" t="s">
        <v>28</v>
      </c>
      <c r="C34" s="13" t="s">
        <v>25</v>
      </c>
      <c r="D34" s="14" t="s">
        <v>10</v>
      </c>
    </row>
    <row r="35" spans="2:16" ht="21.75" customHeight="1" x14ac:dyDescent="0.3">
      <c r="B35" s="15" t="s">
        <v>23</v>
      </c>
      <c r="C35" s="16">
        <f ca="1">C25+C30</f>
        <v>45</v>
      </c>
      <c r="D35" s="17">
        <f ca="1">D25+D30</f>
        <v>137.69999999999996</v>
      </c>
    </row>
    <row r="36" spans="2:16" ht="21.75" customHeight="1" x14ac:dyDescent="0.3">
      <c r="B36" s="18" t="s">
        <v>24</v>
      </c>
      <c r="C36" s="19">
        <f ca="1">C26+C31</f>
        <v>0</v>
      </c>
      <c r="D36" s="20">
        <f ca="1">D26+D31</f>
        <v>0</v>
      </c>
    </row>
    <row r="42" spans="2:16" ht="21.75" customHeight="1" x14ac:dyDescent="0.3">
      <c r="J42" s="27"/>
      <c r="K42" s="27"/>
      <c r="L42" s="27"/>
      <c r="M42" s="27"/>
      <c r="N42" s="27"/>
      <c r="O42" s="27"/>
      <c r="P42" s="27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34"/>
  <sheetViews>
    <sheetView topLeftCell="A13" workbookViewId="0">
      <selection activeCell="H42" sqref="H4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20</v>
      </c>
      <c r="Q1" s="2" t="s">
        <v>21</v>
      </c>
      <c r="R1" s="2" t="s">
        <v>15</v>
      </c>
    </row>
    <row r="2" spans="1:18" s="8" customFormat="1" ht="21.75" customHeight="1" x14ac:dyDescent="0.3">
      <c r="A2" s="1" t="s">
        <v>9</v>
      </c>
      <c r="B2" s="1" t="s">
        <v>41</v>
      </c>
      <c r="C2" s="25" t="s">
        <v>62</v>
      </c>
      <c r="D2" s="25" t="s">
        <v>63</v>
      </c>
      <c r="E2" s="26" t="s">
        <v>66</v>
      </c>
      <c r="F2" s="25">
        <v>40</v>
      </c>
      <c r="G2" s="25">
        <v>50</v>
      </c>
      <c r="H2" s="25">
        <v>0.5</v>
      </c>
      <c r="I2" s="25">
        <v>25</v>
      </c>
      <c r="J2" s="25" t="s">
        <v>40</v>
      </c>
      <c r="K2" s="2">
        <f t="shared" ref="K2:K9" si="0">aa_water(I2,J2)</f>
        <v>3.16</v>
      </c>
      <c r="L2" s="2" t="str">
        <f t="shared" ref="L2" si="1">D2&amp;" "&amp;E2&amp;" 번지"</f>
        <v>낙동리 364-1 번지</v>
      </c>
      <c r="M2" s="25"/>
      <c r="N2" s="25"/>
      <c r="O2" s="25"/>
      <c r="P2" s="3"/>
      <c r="Q2" s="25"/>
      <c r="R2" s="2" t="s">
        <v>60</v>
      </c>
    </row>
    <row r="3" spans="1:18" s="8" customFormat="1" ht="21.75" customHeight="1" x14ac:dyDescent="0.3">
      <c r="A3" s="1" t="s">
        <v>53</v>
      </c>
      <c r="B3" s="1" t="s">
        <v>41</v>
      </c>
      <c r="C3" s="25" t="s">
        <v>62</v>
      </c>
      <c r="D3" s="25" t="s">
        <v>63</v>
      </c>
      <c r="E3" s="26" t="s">
        <v>67</v>
      </c>
      <c r="F3" s="25">
        <v>54</v>
      </c>
      <c r="G3" s="25">
        <v>50</v>
      </c>
      <c r="H3" s="25">
        <v>0.5</v>
      </c>
      <c r="I3" s="25">
        <v>10</v>
      </c>
      <c r="J3" s="25" t="s">
        <v>40</v>
      </c>
      <c r="K3" s="2">
        <f t="shared" si="0"/>
        <v>2.52</v>
      </c>
      <c r="L3" s="2" t="str">
        <f t="shared" ref="L3:L9" si="2">D3&amp;" "&amp;E3&amp;" 번지"</f>
        <v>낙동리 361-1 번지</v>
      </c>
      <c r="M3" s="25"/>
      <c r="N3" s="25"/>
      <c r="O3" s="25"/>
      <c r="P3" s="3"/>
      <c r="Q3" s="25"/>
      <c r="R3" s="2" t="s">
        <v>60</v>
      </c>
    </row>
    <row r="4" spans="1:18" s="8" customFormat="1" ht="21.75" customHeight="1" x14ac:dyDescent="0.3">
      <c r="A4" s="1" t="s">
        <v>54</v>
      </c>
      <c r="B4" s="1" t="s">
        <v>41</v>
      </c>
      <c r="C4" s="25" t="s">
        <v>62</v>
      </c>
      <c r="D4" s="25" t="s">
        <v>63</v>
      </c>
      <c r="E4" s="26" t="s">
        <v>68</v>
      </c>
      <c r="F4" s="25">
        <v>55</v>
      </c>
      <c r="G4" s="25">
        <v>50</v>
      </c>
      <c r="H4" s="25">
        <v>0.5</v>
      </c>
      <c r="I4" s="25">
        <v>25</v>
      </c>
      <c r="J4" s="25" t="s">
        <v>40</v>
      </c>
      <c r="K4" s="2">
        <f t="shared" si="0"/>
        <v>3.16</v>
      </c>
      <c r="L4" s="2" t="str">
        <f t="shared" si="2"/>
        <v>낙동리 352 번지</v>
      </c>
      <c r="M4" s="25"/>
      <c r="N4" s="25"/>
      <c r="O4" s="25"/>
      <c r="P4" s="3"/>
      <c r="Q4" s="25"/>
      <c r="R4" s="2" t="s">
        <v>60</v>
      </c>
    </row>
    <row r="5" spans="1:18" s="8" customFormat="1" ht="21.75" customHeight="1" x14ac:dyDescent="0.3">
      <c r="A5" s="1" t="s">
        <v>55</v>
      </c>
      <c r="B5" s="1" t="s">
        <v>41</v>
      </c>
      <c r="C5" s="25" t="s">
        <v>62</v>
      </c>
      <c r="D5" s="25" t="s">
        <v>63</v>
      </c>
      <c r="E5" s="26" t="s">
        <v>88</v>
      </c>
      <c r="F5" s="25">
        <v>40</v>
      </c>
      <c r="G5" s="25">
        <v>50</v>
      </c>
      <c r="H5" s="25">
        <v>0.5</v>
      </c>
      <c r="I5" s="25">
        <v>10</v>
      </c>
      <c r="J5" s="25" t="s">
        <v>40</v>
      </c>
      <c r="K5" s="2">
        <f t="shared" si="0"/>
        <v>2.52</v>
      </c>
      <c r="L5" s="2" t="str">
        <f t="shared" si="2"/>
        <v>낙동리 353-5 번지</v>
      </c>
      <c r="M5" s="25"/>
      <c r="N5" s="25"/>
      <c r="O5" s="25"/>
      <c r="P5" s="3"/>
      <c r="Q5" s="25"/>
      <c r="R5" s="2" t="s">
        <v>60</v>
      </c>
    </row>
    <row r="6" spans="1:18" s="8" customFormat="1" ht="21.75" customHeight="1" x14ac:dyDescent="0.3">
      <c r="A6" s="1" t="s">
        <v>56</v>
      </c>
      <c r="B6" s="1" t="s">
        <v>41</v>
      </c>
      <c r="C6" s="25" t="s">
        <v>62</v>
      </c>
      <c r="D6" s="25" t="s">
        <v>63</v>
      </c>
      <c r="E6" s="26" t="s">
        <v>90</v>
      </c>
      <c r="F6" s="25">
        <v>35</v>
      </c>
      <c r="G6" s="25">
        <v>50</v>
      </c>
      <c r="H6" s="25">
        <v>1</v>
      </c>
      <c r="I6" s="25">
        <v>30</v>
      </c>
      <c r="J6" s="25" t="s">
        <v>61</v>
      </c>
      <c r="K6" s="2">
        <f t="shared" si="0"/>
        <v>7.35</v>
      </c>
      <c r="L6" s="2" t="str">
        <f t="shared" si="2"/>
        <v>낙동리 351-11 번지</v>
      </c>
      <c r="M6" s="25"/>
      <c r="N6" s="25"/>
      <c r="O6" s="25"/>
      <c r="P6" s="3"/>
      <c r="Q6" s="25"/>
      <c r="R6" s="2" t="s">
        <v>60</v>
      </c>
    </row>
    <row r="7" spans="1:18" s="8" customFormat="1" ht="21.75" customHeight="1" x14ac:dyDescent="0.3">
      <c r="A7" s="1" t="s">
        <v>57</v>
      </c>
      <c r="B7" s="1" t="s">
        <v>41</v>
      </c>
      <c r="C7" s="25" t="s">
        <v>62</v>
      </c>
      <c r="D7" s="25" t="s">
        <v>63</v>
      </c>
      <c r="E7" s="26" t="s">
        <v>94</v>
      </c>
      <c r="F7" s="25">
        <v>30</v>
      </c>
      <c r="G7" s="25">
        <v>50</v>
      </c>
      <c r="H7" s="25">
        <v>0.5</v>
      </c>
      <c r="I7" s="25">
        <v>30</v>
      </c>
      <c r="J7" s="25" t="s">
        <v>40</v>
      </c>
      <c r="K7" s="2">
        <f t="shared" si="0"/>
        <v>3.38</v>
      </c>
      <c r="L7" s="2" t="str">
        <f t="shared" si="2"/>
        <v>낙동리 338-2 번지</v>
      </c>
      <c r="M7" s="25"/>
      <c r="N7" s="25"/>
      <c r="O7" s="25"/>
      <c r="P7" s="3"/>
      <c r="Q7" s="25"/>
      <c r="R7" s="2" t="s">
        <v>60</v>
      </c>
    </row>
    <row r="8" spans="1:18" s="8" customFormat="1" ht="21.75" customHeight="1" x14ac:dyDescent="0.3">
      <c r="A8" s="1" t="s">
        <v>58</v>
      </c>
      <c r="B8" s="1" t="s">
        <v>41</v>
      </c>
      <c r="C8" s="25" t="s">
        <v>62</v>
      </c>
      <c r="D8" s="25" t="s">
        <v>63</v>
      </c>
      <c r="E8" s="26" t="s">
        <v>96</v>
      </c>
      <c r="F8" s="25">
        <v>35</v>
      </c>
      <c r="G8" s="25">
        <v>60</v>
      </c>
      <c r="H8" s="25">
        <v>0.5</v>
      </c>
      <c r="I8" s="25">
        <v>30</v>
      </c>
      <c r="J8" s="25" t="s">
        <v>40</v>
      </c>
      <c r="K8" s="2">
        <f t="shared" si="0"/>
        <v>3.38</v>
      </c>
      <c r="L8" s="2" t="str">
        <f t="shared" si="2"/>
        <v>낙동리 367 번지</v>
      </c>
      <c r="M8" s="25"/>
      <c r="N8" s="25"/>
      <c r="O8" s="25"/>
      <c r="P8" s="3"/>
      <c r="Q8" s="25"/>
      <c r="R8" s="2" t="s">
        <v>60</v>
      </c>
    </row>
    <row r="9" spans="1:18" s="8" customFormat="1" ht="21.75" customHeight="1" x14ac:dyDescent="0.3">
      <c r="A9" s="1" t="s">
        <v>59</v>
      </c>
      <c r="B9" s="1" t="s">
        <v>41</v>
      </c>
      <c r="C9" s="25" t="s">
        <v>62</v>
      </c>
      <c r="D9" s="25" t="s">
        <v>63</v>
      </c>
      <c r="E9" s="26" t="s">
        <v>97</v>
      </c>
      <c r="F9" s="25">
        <v>74</v>
      </c>
      <c r="G9" s="25">
        <v>200</v>
      </c>
      <c r="H9" s="25">
        <v>3</v>
      </c>
      <c r="I9" s="25">
        <v>145</v>
      </c>
      <c r="J9" s="25" t="s">
        <v>40</v>
      </c>
      <c r="K9" s="2">
        <f t="shared" si="0"/>
        <v>8.32</v>
      </c>
      <c r="L9" s="2" t="str">
        <f t="shared" si="2"/>
        <v>낙동리 322 번지</v>
      </c>
      <c r="M9" s="25"/>
      <c r="N9" s="25"/>
      <c r="O9" s="25"/>
      <c r="P9" s="3"/>
      <c r="Q9" s="25"/>
      <c r="R9" s="2" t="s">
        <v>60</v>
      </c>
    </row>
    <row r="10" spans="1:18" s="8" customFormat="1" ht="21.75" customHeight="1" x14ac:dyDescent="0.3">
      <c r="A10" s="1" t="s">
        <v>69</v>
      </c>
      <c r="B10" s="1" t="s">
        <v>41</v>
      </c>
      <c r="C10" s="25" t="s">
        <v>62</v>
      </c>
      <c r="D10" s="25" t="s">
        <v>63</v>
      </c>
      <c r="E10" s="26" t="s">
        <v>98</v>
      </c>
      <c r="F10" s="25">
        <v>27</v>
      </c>
      <c r="G10" s="25">
        <v>50</v>
      </c>
      <c r="H10" s="25">
        <v>1</v>
      </c>
      <c r="I10" s="25">
        <v>30</v>
      </c>
      <c r="J10" s="25" t="s">
        <v>61</v>
      </c>
      <c r="K10" s="2">
        <f t="shared" ref="K10:K28" si="3">aa_water(I10,J10)</f>
        <v>7.35</v>
      </c>
      <c r="L10" s="2" t="str">
        <f t="shared" ref="L10:L28" si="4">D10&amp;" "&amp;E10&amp;" 번지"</f>
        <v>낙동리 350-1 번지</v>
      </c>
      <c r="M10" s="25"/>
      <c r="N10" s="25"/>
      <c r="O10" s="25"/>
      <c r="P10" s="3"/>
      <c r="Q10" s="25"/>
      <c r="R10" s="2" t="s">
        <v>60</v>
      </c>
    </row>
    <row r="11" spans="1:18" s="8" customFormat="1" ht="21.75" customHeight="1" x14ac:dyDescent="0.3">
      <c r="A11" s="1" t="s">
        <v>70</v>
      </c>
      <c r="B11" s="1" t="s">
        <v>41</v>
      </c>
      <c r="C11" s="25" t="s">
        <v>62</v>
      </c>
      <c r="D11" s="25" t="s">
        <v>63</v>
      </c>
      <c r="E11" s="26" t="s">
        <v>99</v>
      </c>
      <c r="F11" s="25">
        <v>35</v>
      </c>
      <c r="G11" s="25">
        <v>50</v>
      </c>
      <c r="H11" s="25">
        <v>0.5</v>
      </c>
      <c r="I11" s="25">
        <v>30</v>
      </c>
      <c r="J11" s="25" t="s">
        <v>61</v>
      </c>
      <c r="K11" s="2">
        <f t="shared" si="3"/>
        <v>7.35</v>
      </c>
      <c r="L11" s="2" t="str">
        <f t="shared" si="4"/>
        <v>낙동리 325 번지</v>
      </c>
      <c r="M11" s="25"/>
      <c r="N11" s="25"/>
      <c r="O11" s="25"/>
      <c r="P11" s="3"/>
      <c r="Q11" s="25"/>
      <c r="R11" s="2" t="s">
        <v>60</v>
      </c>
    </row>
    <row r="12" spans="1:18" s="8" customFormat="1" ht="21.75" customHeight="1" x14ac:dyDescent="0.3">
      <c r="A12" s="1" t="s">
        <v>71</v>
      </c>
      <c r="B12" s="1" t="s">
        <v>41</v>
      </c>
      <c r="C12" s="25" t="s">
        <v>62</v>
      </c>
      <c r="D12" s="25" t="s">
        <v>63</v>
      </c>
      <c r="E12" s="26" t="s">
        <v>101</v>
      </c>
      <c r="F12" s="25">
        <v>70</v>
      </c>
      <c r="G12" s="25">
        <v>150</v>
      </c>
      <c r="H12" s="25">
        <v>1</v>
      </c>
      <c r="I12" s="25">
        <v>60</v>
      </c>
      <c r="J12" s="25" t="s">
        <v>40</v>
      </c>
      <c r="K12" s="2">
        <f t="shared" si="3"/>
        <v>4.67</v>
      </c>
      <c r="L12" s="2" t="str">
        <f t="shared" si="4"/>
        <v>낙동리 222-14 번지</v>
      </c>
      <c r="M12" s="25"/>
      <c r="N12" s="25"/>
      <c r="O12" s="25"/>
      <c r="P12" s="3"/>
      <c r="Q12" s="25"/>
      <c r="R12" s="2" t="s">
        <v>60</v>
      </c>
    </row>
    <row r="13" spans="1:18" s="8" customFormat="1" ht="21.75" customHeight="1" x14ac:dyDescent="0.3">
      <c r="A13" s="1" t="s">
        <v>72</v>
      </c>
      <c r="B13" s="1" t="s">
        <v>41</v>
      </c>
      <c r="C13" s="25" t="s">
        <v>62</v>
      </c>
      <c r="D13" s="25" t="s">
        <v>63</v>
      </c>
      <c r="E13" s="26" t="s">
        <v>102</v>
      </c>
      <c r="F13" s="25">
        <v>35</v>
      </c>
      <c r="G13" s="25">
        <v>50</v>
      </c>
      <c r="H13" s="25">
        <v>0.5</v>
      </c>
      <c r="I13" s="25">
        <v>30</v>
      </c>
      <c r="J13" s="25" t="s">
        <v>40</v>
      </c>
      <c r="K13" s="2">
        <f t="shared" si="3"/>
        <v>3.38</v>
      </c>
      <c r="L13" s="2" t="str">
        <f t="shared" si="4"/>
        <v>낙동리 228 번지</v>
      </c>
      <c r="M13" s="25"/>
      <c r="N13" s="25"/>
      <c r="O13" s="25"/>
      <c r="P13" s="3"/>
      <c r="Q13" s="25"/>
      <c r="R13" s="2" t="s">
        <v>60</v>
      </c>
    </row>
    <row r="14" spans="1:18" s="8" customFormat="1" ht="21.75" customHeight="1" x14ac:dyDescent="0.3">
      <c r="A14" s="1" t="s">
        <v>73</v>
      </c>
      <c r="B14" s="1" t="s">
        <v>41</v>
      </c>
      <c r="C14" s="25" t="s">
        <v>62</v>
      </c>
      <c r="D14" s="25" t="s">
        <v>63</v>
      </c>
      <c r="E14" s="26" t="s">
        <v>103</v>
      </c>
      <c r="F14" s="25">
        <v>35</v>
      </c>
      <c r="G14" s="25">
        <v>60</v>
      </c>
      <c r="H14" s="25">
        <v>1</v>
      </c>
      <c r="I14" s="25">
        <v>30</v>
      </c>
      <c r="J14" s="25" t="s">
        <v>40</v>
      </c>
      <c r="K14" s="2">
        <f t="shared" si="3"/>
        <v>3.38</v>
      </c>
      <c r="L14" s="2" t="str">
        <f t="shared" si="4"/>
        <v>낙동리 227 번지</v>
      </c>
      <c r="M14" s="25"/>
      <c r="N14" s="25"/>
      <c r="O14" s="25"/>
      <c r="P14" s="3"/>
      <c r="Q14" s="25"/>
      <c r="R14" s="2" t="s">
        <v>60</v>
      </c>
    </row>
    <row r="15" spans="1:18" s="8" customFormat="1" ht="21.75" customHeight="1" x14ac:dyDescent="0.3">
      <c r="A15" s="1" t="s">
        <v>74</v>
      </c>
      <c r="B15" s="1" t="s">
        <v>41</v>
      </c>
      <c r="C15" s="25" t="s">
        <v>62</v>
      </c>
      <c r="D15" s="25" t="s">
        <v>63</v>
      </c>
      <c r="E15" s="26" t="s">
        <v>105</v>
      </c>
      <c r="F15" s="25">
        <v>60</v>
      </c>
      <c r="G15" s="25">
        <v>100</v>
      </c>
      <c r="H15" s="25">
        <v>1</v>
      </c>
      <c r="I15" s="25">
        <v>30</v>
      </c>
      <c r="J15" s="25" t="s">
        <v>40</v>
      </c>
      <c r="K15" s="2">
        <f t="shared" si="3"/>
        <v>3.38</v>
      </c>
      <c r="L15" s="2" t="str">
        <f t="shared" si="4"/>
        <v>낙동리 229 번지</v>
      </c>
      <c r="M15" s="25"/>
      <c r="N15" s="25"/>
      <c r="O15" s="25"/>
      <c r="P15" s="3"/>
      <c r="Q15" s="25"/>
      <c r="R15" s="2" t="s">
        <v>60</v>
      </c>
    </row>
    <row r="16" spans="1:18" s="8" customFormat="1" ht="21.75" customHeight="1" x14ac:dyDescent="0.3">
      <c r="A16" s="1" t="s">
        <v>75</v>
      </c>
      <c r="B16" s="1" t="s">
        <v>41</v>
      </c>
      <c r="C16" s="25" t="s">
        <v>62</v>
      </c>
      <c r="D16" s="25" t="s">
        <v>63</v>
      </c>
      <c r="E16" s="26" t="s">
        <v>106</v>
      </c>
      <c r="F16" s="25">
        <v>28</v>
      </c>
      <c r="G16" s="25">
        <v>50</v>
      </c>
      <c r="H16" s="25">
        <v>1</v>
      </c>
      <c r="I16" s="25">
        <v>30</v>
      </c>
      <c r="J16" s="25" t="s">
        <v>61</v>
      </c>
      <c r="K16" s="2">
        <f t="shared" si="3"/>
        <v>7.35</v>
      </c>
      <c r="L16" s="2" t="str">
        <f t="shared" si="4"/>
        <v>낙동리 230 번지</v>
      </c>
      <c r="M16" s="25"/>
      <c r="N16" s="25"/>
      <c r="O16" s="25"/>
      <c r="P16" s="3"/>
      <c r="Q16" s="25"/>
      <c r="R16" s="2" t="s">
        <v>60</v>
      </c>
    </row>
    <row r="17" spans="1:18" s="8" customFormat="1" ht="21.75" customHeight="1" x14ac:dyDescent="0.3">
      <c r="A17" s="1" t="s">
        <v>76</v>
      </c>
      <c r="B17" s="1" t="s">
        <v>41</v>
      </c>
      <c r="C17" s="25" t="s">
        <v>62</v>
      </c>
      <c r="D17" s="25" t="s">
        <v>63</v>
      </c>
      <c r="E17" s="26" t="s">
        <v>107</v>
      </c>
      <c r="F17" s="25">
        <v>25</v>
      </c>
      <c r="G17" s="25">
        <v>60</v>
      </c>
      <c r="H17" s="25">
        <v>5</v>
      </c>
      <c r="I17" s="25">
        <v>30</v>
      </c>
      <c r="J17" s="25" t="s">
        <v>40</v>
      </c>
      <c r="K17" s="2">
        <f t="shared" si="3"/>
        <v>3.38</v>
      </c>
      <c r="L17" s="2" t="str">
        <f t="shared" si="4"/>
        <v>낙동리 573 번지</v>
      </c>
      <c r="M17" s="25"/>
      <c r="N17" s="25"/>
      <c r="O17" s="25"/>
      <c r="P17" s="3"/>
      <c r="Q17" s="25"/>
      <c r="R17" s="2" t="s">
        <v>60</v>
      </c>
    </row>
    <row r="18" spans="1:18" s="8" customFormat="1" ht="21.75" customHeight="1" x14ac:dyDescent="0.3">
      <c r="A18" s="1" t="s">
        <v>77</v>
      </c>
      <c r="B18" s="1" t="s">
        <v>41</v>
      </c>
      <c r="C18" s="25" t="s">
        <v>62</v>
      </c>
      <c r="D18" s="25" t="s">
        <v>63</v>
      </c>
      <c r="E18" s="26" t="s">
        <v>108</v>
      </c>
      <c r="F18" s="25">
        <v>40</v>
      </c>
      <c r="G18" s="25">
        <v>50</v>
      </c>
      <c r="H18" s="25">
        <v>1</v>
      </c>
      <c r="I18" s="25">
        <v>30</v>
      </c>
      <c r="J18" s="25" t="s">
        <v>61</v>
      </c>
      <c r="K18" s="2">
        <f t="shared" si="3"/>
        <v>7.35</v>
      </c>
      <c r="L18" s="2" t="str">
        <f t="shared" si="4"/>
        <v>낙동리 570-1 번지</v>
      </c>
      <c r="M18" s="25"/>
      <c r="N18" s="25"/>
      <c r="O18" s="25"/>
      <c r="P18" s="3"/>
      <c r="Q18" s="25"/>
      <c r="R18" s="2" t="s">
        <v>60</v>
      </c>
    </row>
    <row r="19" spans="1:18" s="8" customFormat="1" ht="21.75" customHeight="1" x14ac:dyDescent="0.3">
      <c r="A19" s="1" t="s">
        <v>78</v>
      </c>
      <c r="B19" s="1" t="s">
        <v>41</v>
      </c>
      <c r="C19" s="25" t="s">
        <v>62</v>
      </c>
      <c r="D19" s="25" t="s">
        <v>63</v>
      </c>
      <c r="E19" s="26" t="s">
        <v>109</v>
      </c>
      <c r="F19" s="25">
        <v>35</v>
      </c>
      <c r="G19" s="25">
        <v>60</v>
      </c>
      <c r="H19" s="25">
        <v>0.5</v>
      </c>
      <c r="I19" s="25">
        <v>20</v>
      </c>
      <c r="J19" s="25" t="s">
        <v>40</v>
      </c>
      <c r="K19" s="2">
        <f t="shared" si="3"/>
        <v>2.95</v>
      </c>
      <c r="L19" s="2" t="str">
        <f t="shared" si="4"/>
        <v>낙동리 232 번지</v>
      </c>
      <c r="M19" s="25"/>
      <c r="N19" s="25"/>
      <c r="O19" s="25"/>
      <c r="P19" s="3"/>
      <c r="Q19" s="25"/>
      <c r="R19" s="2" t="s">
        <v>60</v>
      </c>
    </row>
    <row r="20" spans="1:18" s="8" customFormat="1" ht="21.75" customHeight="1" x14ac:dyDescent="0.3">
      <c r="A20" s="1" t="s">
        <v>79</v>
      </c>
      <c r="B20" s="1" t="s">
        <v>41</v>
      </c>
      <c r="C20" s="25" t="s">
        <v>62</v>
      </c>
      <c r="D20" s="25" t="s">
        <v>63</v>
      </c>
      <c r="E20" s="26" t="s">
        <v>110</v>
      </c>
      <c r="F20" s="25">
        <v>30</v>
      </c>
      <c r="G20" s="25">
        <v>50</v>
      </c>
      <c r="H20" s="25">
        <v>0.5</v>
      </c>
      <c r="I20" s="25">
        <v>30</v>
      </c>
      <c r="J20" s="25" t="s">
        <v>40</v>
      </c>
      <c r="K20" s="2">
        <f t="shared" si="3"/>
        <v>3.38</v>
      </c>
      <c r="L20" s="2" t="str">
        <f t="shared" si="4"/>
        <v>낙동리 235 번지</v>
      </c>
      <c r="M20" s="25"/>
      <c r="N20" s="25"/>
      <c r="O20" s="25"/>
      <c r="P20" s="3"/>
      <c r="Q20" s="25"/>
      <c r="R20" s="2" t="s">
        <v>60</v>
      </c>
    </row>
    <row r="21" spans="1:18" s="8" customFormat="1" ht="21.75" customHeight="1" x14ac:dyDescent="0.3">
      <c r="A21" s="1" t="s">
        <v>80</v>
      </c>
      <c r="B21" s="1" t="s">
        <v>41</v>
      </c>
      <c r="C21" s="25" t="s">
        <v>62</v>
      </c>
      <c r="D21" s="25" t="s">
        <v>63</v>
      </c>
      <c r="E21" s="26" t="s">
        <v>111</v>
      </c>
      <c r="F21" s="25">
        <v>27</v>
      </c>
      <c r="G21" s="25">
        <v>50</v>
      </c>
      <c r="H21" s="25">
        <v>0.5</v>
      </c>
      <c r="I21" s="25">
        <v>20</v>
      </c>
      <c r="J21" s="25" t="s">
        <v>61</v>
      </c>
      <c r="K21" s="2">
        <f t="shared" si="3"/>
        <v>7.22</v>
      </c>
      <c r="L21" s="2" t="str">
        <f t="shared" si="4"/>
        <v>낙동리 236 번지</v>
      </c>
      <c r="M21" s="25"/>
      <c r="N21" s="25"/>
      <c r="O21" s="25"/>
      <c r="P21" s="3"/>
      <c r="Q21" s="25"/>
      <c r="R21" s="2" t="s">
        <v>60</v>
      </c>
    </row>
    <row r="22" spans="1:18" s="8" customFormat="1" ht="21.75" customHeight="1" x14ac:dyDescent="0.3">
      <c r="A22" s="1" t="s">
        <v>81</v>
      </c>
      <c r="B22" s="1" t="s">
        <v>41</v>
      </c>
      <c r="C22" s="25" t="s">
        <v>62</v>
      </c>
      <c r="D22" s="25" t="s">
        <v>63</v>
      </c>
      <c r="E22" s="26" t="s">
        <v>108</v>
      </c>
      <c r="F22" s="25">
        <v>50</v>
      </c>
      <c r="G22" s="25">
        <v>50</v>
      </c>
      <c r="H22" s="25">
        <v>0.5</v>
      </c>
      <c r="I22" s="25">
        <v>30</v>
      </c>
      <c r="J22" s="25" t="s">
        <v>40</v>
      </c>
      <c r="K22" s="2">
        <f t="shared" si="3"/>
        <v>3.38</v>
      </c>
      <c r="L22" s="2" t="str">
        <f t="shared" si="4"/>
        <v>낙동리 570-1 번지</v>
      </c>
      <c r="M22" s="25"/>
      <c r="N22" s="25"/>
      <c r="O22" s="25"/>
      <c r="P22" s="3"/>
      <c r="Q22" s="25"/>
      <c r="R22" s="2" t="s">
        <v>60</v>
      </c>
    </row>
    <row r="23" spans="1:18" s="8" customFormat="1" ht="21.75" customHeight="1" x14ac:dyDescent="0.3">
      <c r="A23" s="1" t="s">
        <v>82</v>
      </c>
      <c r="B23" s="1" t="s">
        <v>41</v>
      </c>
      <c r="C23" s="25" t="s">
        <v>62</v>
      </c>
      <c r="D23" s="25" t="s">
        <v>63</v>
      </c>
      <c r="E23" s="26" t="s">
        <v>115</v>
      </c>
      <c r="F23" s="25">
        <v>30</v>
      </c>
      <c r="G23" s="25">
        <v>50</v>
      </c>
      <c r="H23" s="25">
        <v>0.5</v>
      </c>
      <c r="I23" s="25">
        <v>30</v>
      </c>
      <c r="J23" s="25" t="s">
        <v>40</v>
      </c>
      <c r="K23" s="2">
        <f t="shared" si="3"/>
        <v>3.38</v>
      </c>
      <c r="L23" s="2" t="str">
        <f t="shared" si="4"/>
        <v>낙동리 555 번지</v>
      </c>
      <c r="M23" s="25"/>
      <c r="N23" s="25"/>
      <c r="O23" s="25"/>
      <c r="P23" s="3"/>
      <c r="Q23" s="25"/>
      <c r="R23" s="2" t="s">
        <v>60</v>
      </c>
    </row>
    <row r="24" spans="1:18" s="8" customFormat="1" ht="21.75" customHeight="1" x14ac:dyDescent="0.3">
      <c r="A24" s="1" t="s">
        <v>83</v>
      </c>
      <c r="B24" s="1" t="s">
        <v>41</v>
      </c>
      <c r="C24" s="25" t="s">
        <v>62</v>
      </c>
      <c r="D24" s="25" t="s">
        <v>63</v>
      </c>
      <c r="E24" s="26" t="s">
        <v>116</v>
      </c>
      <c r="F24" s="25">
        <v>30</v>
      </c>
      <c r="G24" s="25">
        <v>50</v>
      </c>
      <c r="H24" s="25">
        <v>0.5</v>
      </c>
      <c r="I24" s="25">
        <v>30</v>
      </c>
      <c r="J24" s="25" t="s">
        <v>40</v>
      </c>
      <c r="K24" s="2">
        <f t="shared" si="3"/>
        <v>3.38</v>
      </c>
      <c r="L24" s="2" t="str">
        <f t="shared" si="4"/>
        <v>낙동리 559 번지</v>
      </c>
      <c r="M24" s="25"/>
      <c r="N24" s="25"/>
      <c r="O24" s="25"/>
      <c r="P24" s="3"/>
      <c r="Q24" s="25"/>
      <c r="R24" s="2" t="s">
        <v>60</v>
      </c>
    </row>
    <row r="25" spans="1:18" s="8" customFormat="1" ht="21.75" customHeight="1" x14ac:dyDescent="0.3">
      <c r="A25" s="1" t="s">
        <v>84</v>
      </c>
      <c r="B25" s="1" t="s">
        <v>41</v>
      </c>
      <c r="C25" s="25" t="s">
        <v>62</v>
      </c>
      <c r="D25" s="25" t="s">
        <v>63</v>
      </c>
      <c r="E25" s="26" t="s">
        <v>117</v>
      </c>
      <c r="F25" s="25">
        <v>50</v>
      </c>
      <c r="G25" s="25">
        <v>50</v>
      </c>
      <c r="H25" s="25">
        <v>1</v>
      </c>
      <c r="I25" s="25">
        <v>30</v>
      </c>
      <c r="J25" s="25" t="s">
        <v>40</v>
      </c>
      <c r="K25" s="2">
        <f t="shared" si="3"/>
        <v>3.38</v>
      </c>
      <c r="L25" s="2" t="str">
        <f t="shared" si="4"/>
        <v>낙동리 425 번지</v>
      </c>
      <c r="M25" s="25"/>
      <c r="N25" s="25"/>
      <c r="O25" s="25"/>
      <c r="P25" s="3"/>
      <c r="Q25" s="25"/>
      <c r="R25" s="2" t="s">
        <v>60</v>
      </c>
    </row>
    <row r="26" spans="1:18" s="8" customFormat="1" ht="21.75" customHeight="1" x14ac:dyDescent="0.3">
      <c r="A26" s="1" t="s">
        <v>85</v>
      </c>
      <c r="B26" s="1" t="s">
        <v>41</v>
      </c>
      <c r="C26" s="25" t="s">
        <v>62</v>
      </c>
      <c r="D26" s="25" t="s">
        <v>63</v>
      </c>
      <c r="E26" s="26" t="s">
        <v>123</v>
      </c>
      <c r="F26" s="25">
        <v>40</v>
      </c>
      <c r="G26" s="25">
        <v>50</v>
      </c>
      <c r="H26" s="25">
        <v>0.5</v>
      </c>
      <c r="I26" s="25">
        <v>30</v>
      </c>
      <c r="J26" s="25" t="s">
        <v>40</v>
      </c>
      <c r="K26" s="2">
        <f t="shared" si="3"/>
        <v>3.38</v>
      </c>
      <c r="L26" s="2" t="str">
        <f t="shared" si="4"/>
        <v>낙동리 1458-1 번지</v>
      </c>
      <c r="M26" s="25"/>
      <c r="N26" s="25"/>
      <c r="O26" s="25"/>
      <c r="P26" s="3"/>
      <c r="Q26" s="25"/>
      <c r="R26" s="2" t="s">
        <v>60</v>
      </c>
    </row>
    <row r="27" spans="1:18" s="8" customFormat="1" ht="21.75" customHeight="1" x14ac:dyDescent="0.3">
      <c r="A27" s="1" t="s">
        <v>86</v>
      </c>
      <c r="B27" s="1" t="s">
        <v>41</v>
      </c>
      <c r="C27" s="25" t="s">
        <v>62</v>
      </c>
      <c r="D27" s="25" t="s">
        <v>63</v>
      </c>
      <c r="E27" s="26" t="s">
        <v>124</v>
      </c>
      <c r="F27" s="25">
        <v>62</v>
      </c>
      <c r="G27" s="25">
        <v>50</v>
      </c>
      <c r="H27" s="25">
        <v>1</v>
      </c>
      <c r="I27" s="25">
        <v>30</v>
      </c>
      <c r="J27" s="25" t="s">
        <v>40</v>
      </c>
      <c r="K27" s="2">
        <f t="shared" si="3"/>
        <v>3.38</v>
      </c>
      <c r="L27" s="2" t="str">
        <f t="shared" si="4"/>
        <v>낙동리 463-1 번지</v>
      </c>
      <c r="M27" s="25"/>
      <c r="N27" s="25"/>
      <c r="O27" s="25"/>
      <c r="P27" s="3"/>
      <c r="Q27" s="25"/>
      <c r="R27" s="2" t="s">
        <v>60</v>
      </c>
    </row>
    <row r="28" spans="1:18" s="8" customFormat="1" ht="21.75" customHeight="1" x14ac:dyDescent="0.3">
      <c r="A28" s="1" t="s">
        <v>87</v>
      </c>
      <c r="B28" s="1" t="s">
        <v>41</v>
      </c>
      <c r="C28" s="25" t="s">
        <v>62</v>
      </c>
      <c r="D28" s="25" t="s">
        <v>63</v>
      </c>
      <c r="E28" s="26" t="s">
        <v>126</v>
      </c>
      <c r="F28" s="25">
        <v>30</v>
      </c>
      <c r="G28" s="25">
        <v>50</v>
      </c>
      <c r="H28" s="25">
        <v>0.5</v>
      </c>
      <c r="I28" s="25">
        <v>30</v>
      </c>
      <c r="J28" s="25" t="s">
        <v>40</v>
      </c>
      <c r="K28" s="2">
        <f t="shared" si="3"/>
        <v>3.38</v>
      </c>
      <c r="L28" s="2" t="str">
        <f t="shared" si="4"/>
        <v>낙동리 458 번지</v>
      </c>
      <c r="M28" s="25"/>
      <c r="N28" s="25"/>
      <c r="O28" s="25"/>
      <c r="P28" s="3"/>
      <c r="Q28" s="25"/>
      <c r="R28" s="2" t="s">
        <v>60</v>
      </c>
    </row>
    <row r="29" spans="1:18" ht="21.75" customHeight="1" x14ac:dyDescent="0.3">
      <c r="I29" s="2"/>
      <c r="K29" s="3"/>
      <c r="N29" s="3"/>
      <c r="O29" s="3"/>
      <c r="P29" s="3"/>
    </row>
    <row r="30" spans="1:18" ht="21.75" customHeight="1" x14ac:dyDescent="0.3">
      <c r="K30" s="5"/>
    </row>
    <row r="31" spans="1:18" ht="21.75" customHeight="1" x14ac:dyDescent="0.3">
      <c r="B31" s="21" t="s">
        <v>26</v>
      </c>
      <c r="C31" s="13" t="s">
        <v>25</v>
      </c>
      <c r="D31" s="14" t="s">
        <v>10</v>
      </c>
      <c r="K31" s="24">
        <f>SUM(K2:K30)</f>
        <v>118.58999999999996</v>
      </c>
      <c r="L31" s="11"/>
    </row>
    <row r="32" spans="1:18" ht="21.75" customHeight="1" x14ac:dyDescent="0.3">
      <c r="B32" s="22" t="s">
        <v>23</v>
      </c>
      <c r="C32" s="16">
        <f ca="1">COUNTIF(AA_INSIDE_AREA,"O")</f>
        <v>27</v>
      </c>
      <c r="D32" s="17">
        <f ca="1">SUMIF(AA_INSIDE_AREA,"O",$K$2:$K$2)</f>
        <v>118.58999999999996</v>
      </c>
    </row>
    <row r="33" spans="2:4" ht="21.75" customHeight="1" x14ac:dyDescent="0.3">
      <c r="B33" s="22" t="s">
        <v>24</v>
      </c>
      <c r="C33" s="16">
        <f ca="1">COUNTIF(AA_INSIDE_AREA,"X")</f>
        <v>0</v>
      </c>
      <c r="D33" s="17">
        <f>SUMIF($R$2:$R$2,"X",$K$2:$K$2)</f>
        <v>0</v>
      </c>
    </row>
    <row r="34" spans="2:4" ht="21.75" customHeight="1" x14ac:dyDescent="0.3">
      <c r="B34" s="23"/>
      <c r="C34" s="19"/>
      <c r="D34" s="20">
        <f ca="1">D32+D33</f>
        <v>118.58999999999996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F24" sqref="F24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9" style="8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10</v>
      </c>
      <c r="Q1" s="2" t="s">
        <v>21</v>
      </c>
      <c r="R1" s="2" t="s">
        <v>15</v>
      </c>
    </row>
    <row r="2" spans="1:18" ht="18.75" customHeight="1" x14ac:dyDescent="0.3">
      <c r="A2" s="8" t="s">
        <v>14</v>
      </c>
      <c r="B2" s="1" t="s">
        <v>4</v>
      </c>
      <c r="C2" s="2" t="s">
        <v>29</v>
      </c>
      <c r="D2" s="2" t="s">
        <v>30</v>
      </c>
      <c r="E2" s="7" t="s">
        <v>32</v>
      </c>
      <c r="F2" s="2">
        <v>100</v>
      </c>
      <c r="G2" s="2">
        <v>150</v>
      </c>
      <c r="H2" s="2">
        <v>5</v>
      </c>
      <c r="I2" s="2">
        <v>90</v>
      </c>
      <c r="J2" s="2" t="s">
        <v>31</v>
      </c>
      <c r="K2" s="2">
        <v>0</v>
      </c>
      <c r="L2" s="2" t="str">
        <f t="shared" ref="L2" si="0">D2&amp;" "&amp;E2&amp;" 번지"</f>
        <v>외성리 451 번지</v>
      </c>
      <c r="M2" s="2">
        <v>100</v>
      </c>
      <c r="N2" s="2">
        <v>150</v>
      </c>
      <c r="O2" s="2">
        <v>5</v>
      </c>
      <c r="P2" s="2">
        <v>10</v>
      </c>
      <c r="Q2" s="8" t="s">
        <v>33</v>
      </c>
      <c r="R2" s="8" t="s">
        <v>16</v>
      </c>
    </row>
    <row r="3" spans="1:18" ht="18.75" customHeight="1" x14ac:dyDescent="0.3"/>
    <row r="4" spans="1:18" ht="18.75" customHeight="1" x14ac:dyDescent="0.3"/>
    <row r="5" spans="1:18" ht="18.75" customHeight="1" x14ac:dyDescent="0.3"/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2021-02-04T06:04:53Z</dcterms:modified>
</cp:coreProperties>
</file>