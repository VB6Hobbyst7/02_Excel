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\07_LandSlide\06_기사용관정\"/>
    </mc:Choice>
  </mc:AlternateContent>
  <xr:revisionPtr revIDLastSave="0" documentId="13_ncr:1_{FE96CEB1-3A06-48D6-AA7B-D84F39073DA7}" xr6:coauthVersionLast="46" xr6:coauthVersionMax="46" xr10:uidLastSave="{00000000-0000-0000-0000-000000000000}"/>
  <bookViews>
    <workbookView xWindow="6240" yWindow="3330" windowWidth="26325" windowHeight="17370" activeTab="2" xr2:uid="{00000000-000D-0000-FFFF-FFFF00000000}"/>
  </bookViews>
  <sheets>
    <sheet name="ss" sheetId="8" r:id="rId1"/>
    <sheet name="aa" sheetId="10" r:id="rId2"/>
    <sheet name="ii" sheetId="11" r:id="rId3"/>
  </sheets>
  <functionGroups builtInGroupCount="19"/>
  <definedNames>
    <definedName name="AA_INSIDE_AREA">OFFSET(aa!$R$2,0,0,COUNTA(aa!$R:$R),1)</definedName>
    <definedName name="SS_INSIDE_AREA">OFFSET(ss!$R$2,0,0,COUNTA(ss!$R:$R),1)</definedName>
  </definedNames>
  <calcPr calcId="191029"/>
</workbook>
</file>

<file path=xl/calcChain.xml><?xml version="1.0" encoding="utf-8"?>
<calcChain xmlns="http://schemas.openxmlformats.org/spreadsheetml/2006/main">
  <c r="K5" i="11" l="1"/>
  <c r="K10" i="8" s="1"/>
  <c r="D13" i="10"/>
  <c r="L3" i="10"/>
  <c r="L4" i="10"/>
  <c r="L5" i="10"/>
  <c r="L6" i="10"/>
  <c r="L7" i="10"/>
  <c r="L8" i="10"/>
  <c r="K5" i="10"/>
  <c r="K3" i="10"/>
  <c r="K6" i="10"/>
  <c r="K7" i="10"/>
  <c r="K2" i="10"/>
  <c r="K5" i="8"/>
  <c r="K4" i="10"/>
  <c r="K3" i="8"/>
  <c r="K4" i="8"/>
  <c r="K2" i="8"/>
  <c r="K8" i="10"/>
  <c r="K8" i="8" l="1"/>
  <c r="C17" i="8" l="1"/>
  <c r="C16" i="8"/>
  <c r="C11" i="8"/>
  <c r="C12" i="8"/>
  <c r="C13" i="10"/>
  <c r="C12" i="10"/>
  <c r="C22" i="8" l="1"/>
  <c r="C21" i="8"/>
  <c r="D11" i="8" l="1"/>
  <c r="D12" i="8"/>
  <c r="D13" i="8" l="1"/>
  <c r="D17" i="8"/>
  <c r="D12" i="10"/>
  <c r="D16" i="8" s="1"/>
  <c r="D21" i="8" s="1"/>
  <c r="D14" i="10" l="1"/>
  <c r="D22" i="8"/>
  <c r="D18" i="8"/>
  <c r="L4" i="8" l="1"/>
  <c r="L5" i="8"/>
  <c r="L2" i="11" l="1"/>
  <c r="K11" i="10" l="1"/>
  <c r="L2" i="10" l="1"/>
  <c r="L2" i="8" l="1"/>
  <c r="L3" i="8"/>
</calcChain>
</file>

<file path=xl/sharedStrings.xml><?xml version="1.0" encoding="utf-8"?>
<sst xmlns="http://schemas.openxmlformats.org/spreadsheetml/2006/main" count="156" uniqueCount="60">
  <si>
    <t>종류</t>
  </si>
  <si>
    <t>굴착심도(m)</t>
  </si>
  <si>
    <t>굴착직경(mm)</t>
  </si>
  <si>
    <t>동력장치마력(마력)</t>
  </si>
  <si>
    <t>신고공</t>
  </si>
  <si>
    <t>id</t>
    <phoneticPr fontId="19" type="noConversion"/>
  </si>
  <si>
    <t>s2</t>
  </si>
  <si>
    <t>s3</t>
  </si>
  <si>
    <t>s4</t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</si>
  <si>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</si>
  <si>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</si>
  <si>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</si>
  <si>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</si>
  <si>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</si>
  <si>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</si>
  <si>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</si>
  <si>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</si>
  <si>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</si>
  <si>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</si>
  <si>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</si>
  <si>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</si>
  <si>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</si>
  <si>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</si>
  <si>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</si>
  <si>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</si>
  <si>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</si>
  <si>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</si>
  <si>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SS</t>
    <phoneticPr fontId="19" type="noConversion"/>
  </si>
  <si>
    <t>SUM</t>
    <phoneticPr fontId="19" type="noConversion"/>
  </si>
  <si>
    <t>부적면</t>
  </si>
  <si>
    <t>외성리</t>
  </si>
  <si>
    <t>자유입지업체</t>
  </si>
  <si>
    <t>451</t>
    <phoneticPr fontId="19" type="noConversion"/>
  </si>
  <si>
    <t>답작용</t>
    <phoneticPr fontId="19" type="noConversion"/>
  </si>
  <si>
    <t>신고공</t>
    <phoneticPr fontId="19" type="noConversion"/>
  </si>
  <si>
    <t>일반용</t>
    <phoneticPr fontId="19" type="noConversion"/>
  </si>
  <si>
    <t>가정용</t>
    <phoneticPr fontId="19" type="noConversion"/>
  </si>
  <si>
    <t>s1</t>
    <phoneticPr fontId="19" type="noConversion"/>
  </si>
  <si>
    <t>a2</t>
  </si>
  <si>
    <t>a3</t>
  </si>
  <si>
    <t>a4</t>
  </si>
  <si>
    <t>a5</t>
  </si>
  <si>
    <t>a6</t>
  </si>
  <si>
    <t>a7</t>
  </si>
  <si>
    <t>O</t>
  </si>
  <si>
    <t>전작용</t>
    <phoneticPr fontId="19" type="noConversion"/>
  </si>
  <si>
    <t>미산면</t>
    <phoneticPr fontId="19" type="noConversion"/>
  </si>
  <si>
    <t>풍산리</t>
    <phoneticPr fontId="19" type="noConversion"/>
  </si>
  <si>
    <t>447-4</t>
    <phoneticPr fontId="19" type="noConversion"/>
  </si>
  <si>
    <t>372</t>
    <phoneticPr fontId="19" type="noConversion"/>
  </si>
  <si>
    <t>간이상수도</t>
    <phoneticPr fontId="19" type="noConversion"/>
  </si>
  <si>
    <t>156-1</t>
    <phoneticPr fontId="19" type="noConversion"/>
  </si>
  <si>
    <t>92-2</t>
    <phoneticPr fontId="19" type="noConversion"/>
  </si>
  <si>
    <t>96</t>
    <phoneticPr fontId="19" type="noConversion"/>
  </si>
  <si>
    <t>278-3</t>
    <phoneticPr fontId="19" type="noConversion"/>
  </si>
  <si>
    <t>78</t>
    <phoneticPr fontId="19" type="noConversion"/>
  </si>
  <si>
    <t>41</t>
    <phoneticPr fontId="19" type="noConversion"/>
  </si>
  <si>
    <t>176-11</t>
    <phoneticPr fontId="19" type="noConversion"/>
  </si>
  <si>
    <t>176-2</t>
    <phoneticPr fontId="19" type="noConversion"/>
  </si>
  <si>
    <t>28-1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</si>
</sst>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00_ "/>
  </numFmts>
  <fonts count="2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0"/>
      <color rgb="FFFF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rgb="FF333333"/>
      <name val="Arial"/>
      <family val="2"/>
    </font>
    <font>
      <b/>
      <i/>
      <sz val="11"/>
      <color rgb="FFFF0000"/>
      <name val="맑은 고딕"/>
      <family val="3"/>
      <charset val="129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49" fontId="18" fillId="0" borderId="0" xfId="0" quotePrefix="1" applyNumberFormat="1" applyFont="1" applyFill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176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0</xdr:row>
          <xdr:rowOff>247650</xdr:rowOff>
        </xdr:from>
        <xdr:to>
          <xdr:col>20</xdr:col>
          <xdr:colOff>133350</xdr:colOff>
          <xdr:row>1</xdr:row>
          <xdr:rowOff>9525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1</xdr:row>
          <xdr:rowOff>123825</xdr:rowOff>
        </xdr:from>
        <xdr:to>
          <xdr:col>20</xdr:col>
          <xdr:colOff>133350</xdr:colOff>
          <xdr:row>2</xdr:row>
          <xdr:rowOff>209550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3</xdr:row>
          <xdr:rowOff>38100</xdr:rowOff>
        </xdr:from>
        <xdr:to>
          <xdr:col>20</xdr:col>
          <xdr:colOff>133350</xdr:colOff>
          <xdr:row>4</xdr:row>
          <xdr:rowOff>123825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0</xdr:row>
          <xdr:rowOff>295275</xdr:rowOff>
        </xdr:from>
        <xdr:to>
          <xdr:col>20</xdr:col>
          <xdr:colOff>114300</xdr:colOff>
          <xdr:row>1</xdr:row>
          <xdr:rowOff>57150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1</xdr:row>
          <xdr:rowOff>190500</xdr:rowOff>
        </xdr:from>
        <xdr:to>
          <xdr:col>20</xdr:col>
          <xdr:colOff>114300</xdr:colOff>
          <xdr:row>3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266700</xdr:colOff>
          <xdr:row>3</xdr:row>
          <xdr:rowOff>133350</xdr:rowOff>
        </xdr:from>
        <xdr:to>
          <xdr:col>20</xdr:col>
          <xdr:colOff>114300</xdr:colOff>
          <xdr:row>4</xdr:row>
          <xdr:rowOff>219075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133350</xdr:rowOff>
        </xdr:from>
        <xdr:to>
          <xdr:col>19</xdr:col>
          <xdr:colOff>666750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BAD34E1-3445-4CB5-A0BD-EB3ED18B9F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133350</xdr:colOff>
          <xdr:row>0</xdr:row>
          <xdr:rowOff>523875</xdr:rowOff>
        </xdr:from>
        <xdr:to>
          <xdr:col>19</xdr:col>
          <xdr:colOff>666750</xdr:colOff>
          <xdr:row>2</xdr:row>
          <xdr:rowOff>47625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E334553C-45EE-494F-9891-1C7FE14A0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76200</xdr:colOff>
          <xdr:row>0</xdr:row>
          <xdr:rowOff>276225</xdr:rowOff>
        </xdr:from>
        <xdr:to>
          <xdr:col>21</xdr:col>
          <xdr:colOff>609600</xdr:colOff>
          <xdr:row>1</xdr:row>
          <xdr:rowOff>38100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B62DEDEE-7468-4323-AC17-3BCCEB5114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"/>
  <dimension ref="A1:R28"/>
  <sheetViews>
    <sheetView workbookViewId="0">
      <selection activeCell="K10" sqref="K10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11.375" style="2" bestFit="1" customWidth="1"/>
    <col min="11" max="11" width="11.5" style="2" customWidth="1"/>
    <col min="12" max="12" width="25.25" style="2" customWidth="1"/>
    <col min="13" max="16" width="9" style="2"/>
    <col min="17" max="17" width="11.375" style="2" bestFit="1" customWidth="1"/>
    <col min="18" max="16384" width="9" style="2"/>
  </cols>
  <sheetData>
    <row r="1" spans="1:18" ht="47.25" customHeight="1" x14ac:dyDescent="0.3">
      <c r="A1" s="2" t="s">
        <v>5</v>
      </c>
      <c r="B1" s="1" t="s">
        <v>0</v>
      </c>
      <c r="C1" s="1" t="s">
        <v>12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J1" s="2" t="s">
        <v>21</v>
      </c>
      <c r="K1" s="1" t="s">
        <v>10</v>
      </c>
      <c r="L1" s="1"/>
      <c r="M1" s="2" t="s">
        <v>17</v>
      </c>
      <c r="N1" s="2" t="s">
        <v>18</v>
      </c>
      <c r="O1" s="2" t="s">
        <v>19</v>
      </c>
      <c r="P1" s="2" t="s">
        <v>20</v>
      </c>
      <c r="Q1" s="2" t="s">
        <v>21</v>
      </c>
      <c r="R1" s="2" t="s">
        <v>15</v>
      </c>
    </row>
    <row r="2" spans="1:18" ht="21.75" customHeight="1" x14ac:dyDescent="0.3">
      <c r="A2" s="2" t="s">
        <v>37</v>
      </c>
      <c r="B2" s="1" t="s">
        <v>34</v>
      </c>
      <c r="C2" s="2" t="s">
        <v>46</v>
      </c>
      <c r="D2" s="2" t="s">
        <v>47</v>
      </c>
      <c r="E2" s="7" t="s">
        <v>49</v>
      </c>
      <c r="F2" s="2">
        <v>21</v>
      </c>
      <c r="G2" s="2">
        <v>200</v>
      </c>
      <c r="H2" s="2">
        <v>3</v>
      </c>
      <c r="I2" s="2">
        <v>100</v>
      </c>
      <c r="J2" s="2" t="s">
        <v>50</v>
      </c>
      <c r="K2" s="3">
        <f t="shared" ref="K2:K5" si="0">ss_water(I2,J2)</f>
        <v>7.19</v>
      </c>
      <c r="L2" s="2" t="str">
        <f t="shared" ref="L2:L5" si="1">D2&amp;" "&amp;E2&amp;" 번지"</f>
        <v>풍산리 372 번지</v>
      </c>
      <c r="R2" s="2" t="s">
        <v>16</v>
      </c>
    </row>
    <row r="3" spans="1:18" ht="21.75" customHeight="1" x14ac:dyDescent="0.3">
      <c r="A3" s="2" t="s">
        <v>6</v>
      </c>
      <c r="B3" s="1" t="s">
        <v>34</v>
      </c>
      <c r="C3" s="2" t="s">
        <v>46</v>
      </c>
      <c r="D3" s="2" t="s">
        <v>47</v>
      </c>
      <c r="E3" s="7" t="s">
        <v>51</v>
      </c>
      <c r="F3" s="2">
        <v>30</v>
      </c>
      <c r="G3" s="2">
        <v>50</v>
      </c>
      <c r="H3" s="2">
        <v>0.3</v>
      </c>
      <c r="I3" s="2">
        <v>20</v>
      </c>
      <c r="J3" s="2" t="s">
        <v>36</v>
      </c>
      <c r="K3" s="3">
        <f t="shared" si="0"/>
        <v>0.7</v>
      </c>
      <c r="L3" s="2" t="str">
        <f t="shared" si="1"/>
        <v>풍산리 156-1 번지</v>
      </c>
      <c r="R3" s="2" t="s">
        <v>16</v>
      </c>
    </row>
    <row r="4" spans="1:18" ht="21.75" customHeight="1" x14ac:dyDescent="0.3">
      <c r="A4" s="2" t="s">
        <v>7</v>
      </c>
      <c r="B4" s="1" t="s">
        <v>34</v>
      </c>
      <c r="C4" s="2" t="s">
        <v>46</v>
      </c>
      <c r="D4" s="2" t="s">
        <v>47</v>
      </c>
      <c r="E4" s="7" t="s">
        <v>58</v>
      </c>
      <c r="F4" s="2">
        <v>120</v>
      </c>
      <c r="G4" s="2">
        <v>200</v>
      </c>
      <c r="H4" s="2">
        <v>2</v>
      </c>
      <c r="I4" s="2">
        <v>70</v>
      </c>
      <c r="J4" s="2" t="s">
        <v>50</v>
      </c>
      <c r="K4" s="3">
        <f t="shared" si="0"/>
        <v>7.19</v>
      </c>
      <c r="L4" s="2" t="str">
        <f t="shared" si="1"/>
        <v>풍산리 176-2 번지</v>
      </c>
      <c r="R4" s="2" t="s">
        <v>16</v>
      </c>
    </row>
    <row r="5" spans="1:18" ht="21.75" customHeight="1" x14ac:dyDescent="0.3">
      <c r="A5" s="2" t="s">
        <v>8</v>
      </c>
      <c r="B5" s="1" t="s">
        <v>34</v>
      </c>
      <c r="C5" s="2" t="s">
        <v>46</v>
      </c>
      <c r="D5" s="2" t="s">
        <v>47</v>
      </c>
      <c r="E5" s="7" t="s">
        <v>59</v>
      </c>
      <c r="F5" s="2">
        <v>90</v>
      </c>
      <c r="G5" s="2">
        <v>150</v>
      </c>
      <c r="H5" s="2">
        <v>2</v>
      </c>
      <c r="I5" s="2">
        <v>80</v>
      </c>
      <c r="J5" s="2" t="s">
        <v>35</v>
      </c>
      <c r="K5" s="3">
        <f t="shared" si="0"/>
        <v>4.99</v>
      </c>
      <c r="L5" s="2" t="str">
        <f t="shared" si="1"/>
        <v>풍산리 28-1 번지</v>
      </c>
      <c r="R5" s="2" t="s">
        <v>16</v>
      </c>
    </row>
    <row r="6" spans="1:18" ht="21" customHeight="1" x14ac:dyDescent="0.3">
      <c r="B6" s="1"/>
      <c r="I6" s="2"/>
      <c r="K6" s="3"/>
    </row>
    <row r="7" spans="1:18" ht="21.75" customHeight="1" x14ac:dyDescent="0.3">
      <c r="I7" s="2"/>
    </row>
    <row r="8" spans="1:18" ht="21.75" customHeight="1" x14ac:dyDescent="0.3">
      <c r="K8" s="28">
        <f>SUM(K2:K7)</f>
        <v>20.07</v>
      </c>
    </row>
    <row r="10" spans="1:18" ht="21.75" customHeight="1" x14ac:dyDescent="0.3">
      <c r="B10" s="12" t="s">
        <v>27</v>
      </c>
      <c r="C10" s="13" t="s">
        <v>25</v>
      </c>
      <c r="D10" s="14" t="s">
        <v>10</v>
      </c>
      <c r="K10" s="4">
        <f>K8+aa!K11+ii!K5</f>
        <v>66.31</v>
      </c>
    </row>
    <row r="11" spans="1:18" ht="21.75" customHeight="1" x14ac:dyDescent="0.3">
      <c r="B11" s="15" t="s">
        <v>23</v>
      </c>
      <c r="C11" s="16">
        <f ca="1">COUNTIF(SS_INSIDE_AREA,"O")</f>
        <v>4</v>
      </c>
      <c r="D11" s="17">
        <f ca="1">SUMIF(SS_INSIDE_AREA,"O",K2:K5)</f>
        <v>20.07</v>
      </c>
    </row>
    <row r="12" spans="1:18" ht="21.75" customHeight="1" x14ac:dyDescent="0.3">
      <c r="B12" s="15" t="s">
        <v>24</v>
      </c>
      <c r="C12" s="16">
        <f ca="1">COUNTIF(SS_INSIDE_AREA,"X")</f>
        <v>0</v>
      </c>
      <c r="D12" s="17">
        <f ca="1">SUMIF(SS_INSIDE_AREA,"X",K2:K5)</f>
        <v>0</v>
      </c>
    </row>
    <row r="13" spans="1:18" ht="21.75" customHeight="1" x14ac:dyDescent="0.3">
      <c r="B13" s="18"/>
      <c r="C13" s="19"/>
      <c r="D13" s="20">
        <f ca="1">SUM(D11:D12)</f>
        <v>20.07</v>
      </c>
    </row>
    <row r="15" spans="1:18" ht="21.75" customHeight="1" x14ac:dyDescent="0.3">
      <c r="B15" s="12" t="s">
        <v>26</v>
      </c>
      <c r="C15" s="13" t="s">
        <v>25</v>
      </c>
      <c r="D15" s="14" t="s">
        <v>10</v>
      </c>
    </row>
    <row r="16" spans="1:18" ht="21.75" customHeight="1" x14ac:dyDescent="0.3">
      <c r="B16" s="15" t="s">
        <v>23</v>
      </c>
      <c r="C16" s="16">
        <f ca="1">COUNTIF(AA_INSIDE_AREA,"O")</f>
        <v>7</v>
      </c>
      <c r="D16" s="17">
        <f ca="1">aa!D12</f>
        <v>46.239999999999995</v>
      </c>
    </row>
    <row r="17" spans="2:16" ht="21.75" customHeight="1" x14ac:dyDescent="0.3">
      <c r="B17" s="15" t="s">
        <v>24</v>
      </c>
      <c r="C17" s="16">
        <f ca="1">COUNTIF(AA_INSIDE_AREA,"X")</f>
        <v>0</v>
      </c>
      <c r="D17" s="17">
        <f ca="1">aa!D13</f>
        <v>0</v>
      </c>
    </row>
    <row r="18" spans="2:16" ht="21.75" customHeight="1" x14ac:dyDescent="0.3">
      <c r="B18" s="18"/>
      <c r="C18" s="19"/>
      <c r="D18" s="20">
        <f ca="1">SUM(D16:D17)</f>
        <v>46.239999999999995</v>
      </c>
    </row>
    <row r="20" spans="2:16" ht="21.75" customHeight="1" x14ac:dyDescent="0.3">
      <c r="B20" s="12" t="s">
        <v>28</v>
      </c>
      <c r="C20" s="13" t="s">
        <v>25</v>
      </c>
      <c r="D20" s="14" t="s">
        <v>10</v>
      </c>
    </row>
    <row r="21" spans="2:16" ht="21.75" customHeight="1" x14ac:dyDescent="0.3">
      <c r="B21" s="15" t="s">
        <v>23</v>
      </c>
      <c r="C21" s="16">
        <f ca="1">C11+C16</f>
        <v>11</v>
      </c>
      <c r="D21" s="17">
        <f ca="1">D11+D16</f>
        <v>66.31</v>
      </c>
    </row>
    <row r="22" spans="2:16" ht="21.75" customHeight="1" x14ac:dyDescent="0.3">
      <c r="B22" s="18" t="s">
        <v>24</v>
      </c>
      <c r="C22" s="19">
        <f ca="1">C12+C17</f>
        <v>0</v>
      </c>
      <c r="D22" s="20">
        <f ca="1">D12+D17</f>
        <v>0</v>
      </c>
    </row>
    <row r="28" spans="2:16" ht="21.75" customHeight="1" x14ac:dyDescent="0.3">
      <c r="J28" s="26"/>
      <c r="K28" s="26"/>
      <c r="L28" s="26"/>
      <c r="M28" s="26"/>
      <c r="N28" s="26"/>
      <c r="O28" s="26"/>
      <c r="P28" s="2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Copy">
          <controlPr defaultSize="0" autoLine="0" r:id="rId5">
            <anchor moveWithCells="1">
              <from>
                <xdr:col>18</xdr:col>
                <xdr:colOff>285750</xdr:colOff>
                <xdr:row>0</xdr:row>
                <xdr:rowOff>247650</xdr:rowOff>
              </from>
              <to>
                <xdr:col>20</xdr:col>
                <xdr:colOff>133350</xdr:colOff>
                <xdr:row>1</xdr:row>
                <xdr:rowOff>9525</xdr:rowOff>
              </to>
            </anchor>
          </controlPr>
        </control>
      </mc:Choice>
      <mc:Fallback>
        <control shapeId="2049" r:id="rId4" name="CommandButtonCopy"/>
      </mc:Fallback>
    </mc:AlternateContent>
    <mc:AlternateContent xmlns:mc="http://schemas.openxmlformats.org/markup-compatibility/2006">
      <mc:Choice Requires="x14">
        <control shapeId="2050" r:id="rId6" name="CommandButtonDelete">
          <controlPr defaultSize="0" autoLine="0" r:id="rId7">
            <anchor moveWithCells="1">
              <from>
                <xdr:col>18</xdr:col>
                <xdr:colOff>285750</xdr:colOff>
                <xdr:row>1</xdr:row>
                <xdr:rowOff>123825</xdr:rowOff>
              </from>
              <to>
                <xdr:col>20</xdr:col>
                <xdr:colOff>133350</xdr:colOff>
                <xdr:row>2</xdr:row>
                <xdr:rowOff>209550</xdr:rowOff>
              </to>
            </anchor>
          </controlPr>
        </control>
      </mc:Choice>
      <mc:Fallback>
        <control shapeId="2050" r:id="rId6" name="CommandButtonDelete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r:id="rId9">
            <anchor moveWithCells="1">
              <from>
                <xdr:col>18</xdr:col>
                <xdr:colOff>285750</xdr:colOff>
                <xdr:row>3</xdr:row>
                <xdr:rowOff>38100</xdr:rowOff>
              </from>
              <to>
                <xdr:col>20</xdr:col>
                <xdr:colOff>133350</xdr:colOff>
                <xdr:row>4</xdr:row>
                <xdr:rowOff>123825</xdr:rowOff>
              </to>
            </anchor>
          </controlPr>
        </control>
      </mc:Choice>
      <mc:Fallback>
        <control shapeId="2051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"/>
  <dimension ref="A1:R14"/>
  <sheetViews>
    <sheetView workbookViewId="0">
      <selection activeCell="T2" sqref="T2"/>
    </sheetView>
  </sheetViews>
  <sheetFormatPr defaultColWidth="9" defaultRowHeight="21.75" customHeight="1" x14ac:dyDescent="0.3"/>
  <cols>
    <col min="1" max="1" width="9" style="2"/>
    <col min="2" max="2" width="7.75" style="10" customWidth="1"/>
    <col min="3" max="3" width="7.5" style="2" customWidth="1"/>
    <col min="4" max="4" width="7.875" style="2" customWidth="1"/>
    <col min="5" max="5" width="10.125" style="7" customWidth="1"/>
    <col min="6" max="6" width="9.125" style="2" customWidth="1"/>
    <col min="7" max="7" width="9.875" style="2" customWidth="1"/>
    <col min="8" max="8" width="10.125" style="2" customWidth="1"/>
    <col min="9" max="9" width="9" style="8"/>
    <col min="10" max="10" width="9" style="2"/>
    <col min="11" max="11" width="15.875" style="2" customWidth="1"/>
    <col min="12" max="12" width="25.25" style="2" customWidth="1"/>
    <col min="13" max="16384" width="9" style="2"/>
  </cols>
  <sheetData>
    <row r="1" spans="1:18" ht="47.25" customHeight="1" x14ac:dyDescent="0.3">
      <c r="A1" s="2" t="s">
        <v>5</v>
      </c>
      <c r="B1" s="10" t="s">
        <v>0</v>
      </c>
      <c r="C1" s="1" t="s">
        <v>11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J1" s="2" t="s">
        <v>21</v>
      </c>
      <c r="K1" s="1" t="s">
        <v>10</v>
      </c>
      <c r="L1" s="1" t="s">
        <v>11</v>
      </c>
      <c r="M1" s="2" t="s">
        <v>17</v>
      </c>
      <c r="N1" s="2" t="s">
        <v>18</v>
      </c>
      <c r="O1" s="2" t="s">
        <v>22</v>
      </c>
      <c r="P1" s="2" t="s">
        <v>20</v>
      </c>
      <c r="Q1" s="2" t="s">
        <v>21</v>
      </c>
      <c r="R1" s="2" t="s">
        <v>15</v>
      </c>
    </row>
    <row r="2" spans="1:18" s="8" customFormat="1" ht="21.75" customHeight="1" x14ac:dyDescent="0.3">
      <c r="A2" s="1" t="s">
        <v>9</v>
      </c>
      <c r="B2" s="1" t="s">
        <v>34</v>
      </c>
      <c r="C2" s="24" t="s">
        <v>46</v>
      </c>
      <c r="D2" s="24" t="s">
        <v>47</v>
      </c>
      <c r="E2" s="25" t="s">
        <v>48</v>
      </c>
      <c r="F2" s="24">
        <v>30</v>
      </c>
      <c r="G2" s="24">
        <v>50</v>
      </c>
      <c r="H2" s="24">
        <v>0.5</v>
      </c>
      <c r="I2" s="24">
        <v>30</v>
      </c>
      <c r="J2" s="24" t="s">
        <v>33</v>
      </c>
      <c r="K2" s="2">
        <f t="shared" ref="K2:K8" si="0">aa_water(I2,J2)</f>
        <v>3.38</v>
      </c>
      <c r="L2" s="2" t="str">
        <f t="shared" ref="L2" si="1">D2&amp;" "&amp;E2&amp;" 번지"</f>
        <v>풍산리 447-4 번지</v>
      </c>
      <c r="M2" s="24"/>
      <c r="N2" s="24"/>
      <c r="O2" s="24"/>
      <c r="P2" s="3"/>
      <c r="Q2" s="24"/>
      <c r="R2" s="2" t="s">
        <v>44</v>
      </c>
    </row>
    <row r="3" spans="1:18" s="8" customFormat="1" ht="21.75" customHeight="1" x14ac:dyDescent="0.3">
      <c r="A3" s="1" t="s">
        <v>38</v>
      </c>
      <c r="B3" s="1" t="s">
        <v>34</v>
      </c>
      <c r="C3" s="24" t="s">
        <v>46</v>
      </c>
      <c r="D3" s="24" t="s">
        <v>47</v>
      </c>
      <c r="E3" s="25" t="s">
        <v>52</v>
      </c>
      <c r="F3" s="24">
        <v>25</v>
      </c>
      <c r="G3" s="24">
        <v>50</v>
      </c>
      <c r="H3" s="24">
        <v>0.3</v>
      </c>
      <c r="I3" s="24">
        <v>48</v>
      </c>
      <c r="J3" s="24" t="s">
        <v>45</v>
      </c>
      <c r="K3" s="2">
        <f t="shared" si="0"/>
        <v>7.59</v>
      </c>
      <c r="L3" s="2" t="str">
        <f t="shared" ref="L3:L8" si="2">D3&amp;" "&amp;E3&amp;" 번지"</f>
        <v>풍산리 92-2 번지</v>
      </c>
      <c r="M3" s="24"/>
      <c r="N3" s="24"/>
      <c r="O3" s="24"/>
      <c r="P3" s="3"/>
      <c r="Q3" s="24"/>
      <c r="R3" s="2" t="s">
        <v>44</v>
      </c>
    </row>
    <row r="4" spans="1:18" s="8" customFormat="1" ht="21.75" customHeight="1" x14ac:dyDescent="0.3">
      <c r="A4" s="1" t="s">
        <v>39</v>
      </c>
      <c r="B4" s="1" t="s">
        <v>34</v>
      </c>
      <c r="C4" s="24" t="s">
        <v>46</v>
      </c>
      <c r="D4" s="24" t="s">
        <v>47</v>
      </c>
      <c r="E4" s="25" t="s">
        <v>53</v>
      </c>
      <c r="F4" s="24">
        <v>24</v>
      </c>
      <c r="G4" s="24">
        <v>40</v>
      </c>
      <c r="H4" s="24">
        <v>0.5</v>
      </c>
      <c r="I4" s="24">
        <v>83</v>
      </c>
      <c r="J4" s="24" t="s">
        <v>33</v>
      </c>
      <c r="K4" s="2">
        <f t="shared" si="0"/>
        <v>5.66</v>
      </c>
      <c r="L4" s="2" t="str">
        <f t="shared" si="2"/>
        <v>풍산리 96 번지</v>
      </c>
      <c r="M4" s="24"/>
      <c r="N4" s="24"/>
      <c r="O4" s="24"/>
      <c r="P4" s="3"/>
      <c r="Q4" s="24"/>
      <c r="R4" s="2" t="s">
        <v>44</v>
      </c>
    </row>
    <row r="5" spans="1:18" s="8" customFormat="1" ht="21.75" customHeight="1" x14ac:dyDescent="0.3">
      <c r="A5" s="1" t="s">
        <v>40</v>
      </c>
      <c r="B5" s="1" t="s">
        <v>34</v>
      </c>
      <c r="C5" s="24" t="s">
        <v>46</v>
      </c>
      <c r="D5" s="24" t="s">
        <v>47</v>
      </c>
      <c r="E5" s="25" t="s">
        <v>54</v>
      </c>
      <c r="F5" s="24">
        <v>150</v>
      </c>
      <c r="G5" s="24">
        <v>200</v>
      </c>
      <c r="H5" s="24">
        <v>3</v>
      </c>
      <c r="I5" s="24">
        <v>100</v>
      </c>
      <c r="J5" s="24" t="s">
        <v>33</v>
      </c>
      <c r="K5" s="2">
        <f t="shared" si="0"/>
        <v>6.39</v>
      </c>
      <c r="L5" s="2" t="str">
        <f t="shared" si="2"/>
        <v>풍산리 278-3 번지</v>
      </c>
      <c r="M5" s="24"/>
      <c r="N5" s="24"/>
      <c r="O5" s="24"/>
      <c r="P5" s="3"/>
      <c r="Q5" s="24"/>
      <c r="R5" s="2" t="s">
        <v>44</v>
      </c>
    </row>
    <row r="6" spans="1:18" s="8" customFormat="1" ht="21.75" customHeight="1" x14ac:dyDescent="0.3">
      <c r="A6" s="1" t="s">
        <v>41</v>
      </c>
      <c r="B6" s="1" t="s">
        <v>34</v>
      </c>
      <c r="C6" s="24" t="s">
        <v>46</v>
      </c>
      <c r="D6" s="24" t="s">
        <v>47</v>
      </c>
      <c r="E6" s="25" t="s">
        <v>55</v>
      </c>
      <c r="F6" s="24">
        <v>30</v>
      </c>
      <c r="G6" s="24">
        <v>50</v>
      </c>
      <c r="H6" s="24">
        <v>0.5</v>
      </c>
      <c r="I6" s="24">
        <v>20</v>
      </c>
      <c r="J6" s="24" t="s">
        <v>45</v>
      </c>
      <c r="K6" s="2">
        <f t="shared" si="0"/>
        <v>7.22</v>
      </c>
      <c r="L6" s="2" t="str">
        <f t="shared" si="2"/>
        <v>풍산리 78 번지</v>
      </c>
      <c r="M6" s="24"/>
      <c r="N6" s="24"/>
      <c r="O6" s="24"/>
      <c r="P6" s="3"/>
      <c r="Q6" s="24"/>
      <c r="R6" s="2" t="s">
        <v>44</v>
      </c>
    </row>
    <row r="7" spans="1:18" s="8" customFormat="1" ht="21.75" customHeight="1" x14ac:dyDescent="0.3">
      <c r="A7" s="1" t="s">
        <v>42</v>
      </c>
      <c r="B7" s="1" t="s">
        <v>34</v>
      </c>
      <c r="C7" s="24" t="s">
        <v>46</v>
      </c>
      <c r="D7" s="24" t="s">
        <v>47</v>
      </c>
      <c r="E7" s="25" t="s">
        <v>56</v>
      </c>
      <c r="F7" s="24">
        <v>40</v>
      </c>
      <c r="G7" s="24">
        <v>50</v>
      </c>
      <c r="H7" s="24">
        <v>0.3</v>
      </c>
      <c r="I7" s="24">
        <v>30</v>
      </c>
      <c r="J7" s="24" t="s">
        <v>45</v>
      </c>
      <c r="K7" s="2">
        <f t="shared" si="0"/>
        <v>7.35</v>
      </c>
      <c r="L7" s="2" t="str">
        <f t="shared" si="2"/>
        <v>풍산리 41 번지</v>
      </c>
      <c r="M7" s="24"/>
      <c r="N7" s="24"/>
      <c r="O7" s="24"/>
      <c r="P7" s="3"/>
      <c r="Q7" s="24"/>
      <c r="R7" s="2" t="s">
        <v>44</v>
      </c>
    </row>
    <row r="8" spans="1:18" s="8" customFormat="1" ht="21.75" customHeight="1" x14ac:dyDescent="0.3">
      <c r="A8" s="1" t="s">
        <v>43</v>
      </c>
      <c r="B8" s="1" t="s">
        <v>34</v>
      </c>
      <c r="C8" s="24" t="s">
        <v>46</v>
      </c>
      <c r="D8" s="24" t="s">
        <v>47</v>
      </c>
      <c r="E8" s="25" t="s">
        <v>57</v>
      </c>
      <c r="F8" s="24">
        <v>150</v>
      </c>
      <c r="G8" s="24">
        <v>200</v>
      </c>
      <c r="H8" s="24">
        <v>5</v>
      </c>
      <c r="I8" s="24">
        <v>130</v>
      </c>
      <c r="J8" s="24" t="s">
        <v>45</v>
      </c>
      <c r="K8" s="2">
        <f t="shared" si="0"/>
        <v>8.65</v>
      </c>
      <c r="L8" s="2" t="str">
        <f t="shared" si="2"/>
        <v>풍산리 176-11 번지</v>
      </c>
      <c r="M8" s="24"/>
      <c r="N8" s="24"/>
      <c r="O8" s="24"/>
      <c r="P8" s="3"/>
      <c r="Q8" s="24"/>
      <c r="R8" s="2" t="s">
        <v>44</v>
      </c>
    </row>
    <row r="9" spans="1:18" ht="21.75" customHeight="1" x14ac:dyDescent="0.3">
      <c r="I9" s="2"/>
      <c r="K9" s="3"/>
      <c r="N9" s="3"/>
      <c r="O9" s="3"/>
      <c r="P9" s="3"/>
    </row>
    <row r="10" spans="1:18" ht="21.75" customHeight="1" x14ac:dyDescent="0.3">
      <c r="K10" s="5"/>
    </row>
    <row r="11" spans="1:18" ht="21.75" customHeight="1" x14ac:dyDescent="0.3">
      <c r="B11" s="21" t="s">
        <v>26</v>
      </c>
      <c r="C11" s="13" t="s">
        <v>25</v>
      </c>
      <c r="D11" s="14" t="s">
        <v>10</v>
      </c>
      <c r="K11" s="27">
        <f>SUM(K2:K10)</f>
        <v>46.239999999999995</v>
      </c>
      <c r="L11" s="11"/>
    </row>
    <row r="12" spans="1:18" ht="21.75" customHeight="1" x14ac:dyDescent="0.3">
      <c r="B12" s="22" t="s">
        <v>23</v>
      </c>
      <c r="C12" s="16">
        <f ca="1">COUNTIF(AA_INSIDE_AREA,"O")</f>
        <v>7</v>
      </c>
      <c r="D12" s="17">
        <f ca="1">SUMIF(AA_INSIDE_AREA,"O",$K$2:$K$2)</f>
        <v>46.239999999999995</v>
      </c>
    </row>
    <row r="13" spans="1:18" ht="21.75" customHeight="1" x14ac:dyDescent="0.3">
      <c r="B13" s="22" t="s">
        <v>24</v>
      </c>
      <c r="C13" s="16">
        <f ca="1">COUNTIF(AA_INSIDE_AREA,"X")</f>
        <v>0</v>
      </c>
      <c r="D13" s="17">
        <f ca="1">SUMIF(AA_INSIDE_AREA,"X",$K$2:$K$2)</f>
        <v>0</v>
      </c>
    </row>
    <row r="14" spans="1:18" ht="21.75" customHeight="1" x14ac:dyDescent="0.3">
      <c r="B14" s="23"/>
      <c r="C14" s="19"/>
      <c r="D14" s="20">
        <f ca="1">D12+D13</f>
        <v>46.239999999999995</v>
      </c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18</xdr:col>
                <xdr:colOff>266700</xdr:colOff>
                <xdr:row>0</xdr:row>
                <xdr:rowOff>295275</xdr:rowOff>
              </from>
              <to>
                <xdr:col>20</xdr:col>
                <xdr:colOff>114300</xdr:colOff>
                <xdr:row>1</xdr:row>
                <xdr:rowOff>57150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18</xdr:col>
                <xdr:colOff>266700</xdr:colOff>
                <xdr:row>1</xdr:row>
                <xdr:rowOff>190500</xdr:rowOff>
              </from>
              <to>
                <xdr:col>20</xdr:col>
                <xdr:colOff>114300</xdr:colOff>
                <xdr:row>3</xdr:row>
                <xdr:rowOff>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18</xdr:col>
                <xdr:colOff>266700</xdr:colOff>
                <xdr:row>3</xdr:row>
                <xdr:rowOff>133350</xdr:rowOff>
              </from>
              <to>
                <xdr:col>20</xdr:col>
                <xdr:colOff>114300</xdr:colOff>
                <xdr:row>4</xdr:row>
                <xdr:rowOff>219075</xdr:rowOff>
              </to>
            </anchor>
          </controlPr>
        </control>
      </mc:Choice>
      <mc:Fallback>
        <control shapeId="3075" r:id="rId8" name="CommandButto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"/>
  <dimension ref="A1:R50"/>
  <sheetViews>
    <sheetView tabSelected="1" workbookViewId="0">
      <selection activeCell="L13" sqref="L13"/>
    </sheetView>
  </sheetViews>
  <sheetFormatPr defaultRowHeight="16.5" x14ac:dyDescent="0.3"/>
  <cols>
    <col min="1" max="4" width="9" style="8"/>
    <col min="5" max="5" width="9" style="9"/>
    <col min="6" max="9" width="9" style="8"/>
    <col min="10" max="10" width="11.375" style="8" bestFit="1" customWidth="1"/>
    <col min="11" max="11" width="10.875" style="8" customWidth="1"/>
    <col min="12" max="12" width="19.875" customWidth="1"/>
  </cols>
  <sheetData>
    <row r="1" spans="1:18" s="2" customFormat="1" ht="47.25" customHeight="1" x14ac:dyDescent="0.3">
      <c r="A1" s="2" t="s">
        <v>5</v>
      </c>
      <c r="B1" s="1" t="s">
        <v>0</v>
      </c>
      <c r="C1" s="1" t="s">
        <v>11</v>
      </c>
      <c r="D1" s="1" t="s">
        <v>11</v>
      </c>
      <c r="E1" s="6" t="s">
        <v>11</v>
      </c>
      <c r="F1" s="1" t="s">
        <v>1</v>
      </c>
      <c r="G1" s="1" t="s">
        <v>2</v>
      </c>
      <c r="H1" s="1" t="s">
        <v>3</v>
      </c>
      <c r="I1" s="1" t="s">
        <v>13</v>
      </c>
      <c r="K1" s="1" t="s">
        <v>10</v>
      </c>
      <c r="L1" s="1" t="s">
        <v>11</v>
      </c>
      <c r="M1" s="2" t="s">
        <v>17</v>
      </c>
      <c r="N1" s="2" t="s">
        <v>18</v>
      </c>
      <c r="O1" s="2" t="s">
        <v>22</v>
      </c>
      <c r="P1" s="2" t="s">
        <v>10</v>
      </c>
      <c r="Q1" s="2" t="s">
        <v>21</v>
      </c>
      <c r="R1" s="2" t="s">
        <v>15</v>
      </c>
    </row>
    <row r="2" spans="1:18" ht="18.75" customHeight="1" x14ac:dyDescent="0.3">
      <c r="A2" s="8" t="s">
        <v>14</v>
      </c>
      <c r="B2" s="1" t="s">
        <v>4</v>
      </c>
      <c r="C2" s="2" t="s">
        <v>29</v>
      </c>
      <c r="D2" s="2" t="s">
        <v>30</v>
      </c>
      <c r="E2" s="7" t="s">
        <v>32</v>
      </c>
      <c r="F2" s="2">
        <v>100</v>
      </c>
      <c r="G2" s="2">
        <v>150</v>
      </c>
      <c r="H2" s="2">
        <v>5</v>
      </c>
      <c r="I2" s="2">
        <v>90</v>
      </c>
      <c r="J2" s="2" t="s">
        <v>31</v>
      </c>
      <c r="K2" s="2">
        <v>0</v>
      </c>
      <c r="L2" s="2" t="str">
        <f t="shared" ref="L2" si="0">D2&amp;" "&amp;E2&amp;" 번지"</f>
        <v>외성리 451 번지</v>
      </c>
      <c r="M2" s="2"/>
      <c r="N2" s="2"/>
      <c r="O2" s="2"/>
      <c r="P2" s="2"/>
      <c r="Q2" s="2"/>
      <c r="R2" s="8" t="s">
        <v>16</v>
      </c>
    </row>
    <row r="3" spans="1:18" ht="18.75" customHeight="1" x14ac:dyDescent="0.3"/>
    <row r="4" spans="1:18" ht="18.75" customHeight="1" x14ac:dyDescent="0.3"/>
    <row r="5" spans="1:18" ht="18.75" customHeight="1" x14ac:dyDescent="0.3">
      <c r="K5" s="28">
        <f>SUM(K2:K4)</f>
        <v>0</v>
      </c>
    </row>
    <row r="6" spans="1:18" ht="18.75" customHeight="1" x14ac:dyDescent="0.3"/>
    <row r="7" spans="1:18" ht="18.75" customHeight="1" x14ac:dyDescent="0.3"/>
    <row r="8" spans="1:18" ht="18.75" customHeight="1" x14ac:dyDescent="0.3"/>
    <row r="9" spans="1:18" ht="18.75" customHeight="1" x14ac:dyDescent="0.3"/>
    <row r="10" spans="1:18" ht="18.75" customHeight="1" x14ac:dyDescent="0.3"/>
    <row r="11" spans="1:18" ht="18.75" customHeight="1" x14ac:dyDescent="0.3"/>
    <row r="12" spans="1:18" ht="18.75" customHeight="1" x14ac:dyDescent="0.3"/>
    <row r="13" spans="1:18" ht="18.75" customHeight="1" x14ac:dyDescent="0.3"/>
    <row r="14" spans="1:18" ht="18.75" customHeight="1" x14ac:dyDescent="0.3"/>
    <row r="15" spans="1:18" ht="18.75" customHeight="1" x14ac:dyDescent="0.3"/>
    <row r="16" spans="1:18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3">
          <controlPr defaultSize="0" autoLine="0" r:id="rId5">
            <anchor moveWithCells="1">
              <from>
                <xdr:col>20</xdr:col>
                <xdr:colOff>76200</xdr:colOff>
                <xdr:row>0</xdr:row>
                <xdr:rowOff>276225</xdr:rowOff>
              </from>
              <to>
                <xdr:col>21</xdr:col>
                <xdr:colOff>609600</xdr:colOff>
                <xdr:row>1</xdr:row>
                <xdr:rowOff>38100</xdr:rowOff>
              </to>
            </anchor>
          </controlPr>
        </control>
      </mc:Choice>
      <mc:Fallback>
        <control shapeId="4099" r:id="rId4" name="CommandButton3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18</xdr:col>
                <xdr:colOff>133350</xdr:colOff>
                <xdr:row>0</xdr:row>
                <xdr:rowOff>523875</xdr:rowOff>
              </from>
              <to>
                <xdr:col>19</xdr:col>
                <xdr:colOff>666750</xdr:colOff>
                <xdr:row>2</xdr:row>
                <xdr:rowOff>47625</xdr:rowOff>
              </to>
            </anchor>
          </controlPr>
        </control>
      </mc:Choice>
      <mc:Fallback>
        <control shapeId="4098" r:id="rId6" name="CommandButton2"/>
      </mc:Fallback>
    </mc:AlternateContent>
    <mc:AlternateContent xmlns:mc="http://schemas.openxmlformats.org/markup-compatibility/2006">
      <mc:Choice Requires="x14">
        <control shapeId="4097" r:id="rId8" name="CommandButton1">
          <controlPr defaultSize="0" autoLine="0" r:id="rId9">
            <anchor moveWithCells="1">
              <from>
                <xdr:col>18</xdr:col>
                <xdr:colOff>133350</xdr:colOff>
                <xdr:row>0</xdr:row>
                <xdr:rowOff>133350</xdr:rowOff>
              </from>
              <to>
                <xdr:col>19</xdr:col>
                <xdr:colOff>666750</xdr:colOff>
                <xdr:row>0</xdr:row>
                <xdr:rowOff>495300</xdr:rowOff>
              </to>
            </anchor>
          </controlPr>
        </control>
      </mc:Choice>
      <mc:Fallback>
        <control shapeId="4097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ss</vt:lpstr>
      <vt:lpstr>aa</vt:lpstr>
      <vt:lpstr>ii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dcterms:created xsi:type="dcterms:W3CDTF">2018-04-27T02:28:11Z</dcterms:created>
  <dcterms:modified xsi:type="dcterms:W3CDTF">2021-02-16T10:50:40Z</dcterms:modified>
</cp:coreProperties>
</file>