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6_ihanseol - 2021\18_생활용 - 지족동휴사우나 - 동해엔지니어링\"/>
    </mc:Choice>
  </mc:AlternateContent>
  <xr:revisionPtr revIDLastSave="0" documentId="13_ncr:1_{DD4A6E1C-8588-4203-ADAA-B3F88D4EF785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ss" sheetId="8" r:id="rId1"/>
    <sheet name="aa" sheetId="10" r:id="rId2"/>
    <sheet name="ii" sheetId="11" r:id="rId3"/>
  </sheets>
  <functionGroups builtInGroupCount="19"/>
  <definedNames>
    <definedName name="AA_INSIDE_AREA">OFFSET(aa!$R$2,0,0,COUNTA(aa!$R:$R),1)</definedName>
    <definedName name="II_INSIDE_AREA">OFFSET(ii!$R$2,0,0,COUNTA(ii!$R:$R),1)</definedName>
    <definedName name="SS_INSIDE_AREA">OFFSET(ss!$R$2,0,0,COUNTA(ss!$R:$R),1)</definedName>
  </definedNames>
  <calcPr calcId="191029"/>
</workbook>
</file>

<file path=xl/calcChain.xml><?xml version="1.0" encoding="utf-8"?>
<calcChain xmlns="http://schemas.openxmlformats.org/spreadsheetml/2006/main">
  <c r="L3" i="8" l="1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2" i="8"/>
  <c r="L2" i="10"/>
  <c r="L4" i="10"/>
  <c r="L3" i="10"/>
  <c r="D9" i="11"/>
  <c r="H24" i="8" s="1"/>
  <c r="C9" i="11"/>
  <c r="D8" i="11"/>
  <c r="C8" i="11"/>
  <c r="K5" i="11"/>
  <c r="L2" i="11"/>
  <c r="C9" i="10"/>
  <c r="C8" i="10"/>
  <c r="C29" i="8"/>
  <c r="C28" i="8"/>
  <c r="G24" i="8"/>
  <c r="C24" i="8"/>
  <c r="G23" i="8"/>
  <c r="C23" i="8"/>
  <c r="K17" i="8"/>
  <c r="K16" i="8"/>
  <c r="K13" i="8"/>
  <c r="K5" i="8"/>
  <c r="K2" i="8"/>
  <c r="K7" i="8"/>
  <c r="K3" i="8"/>
  <c r="K6" i="8"/>
  <c r="K4" i="8"/>
  <c r="K9" i="8"/>
  <c r="K8" i="8"/>
  <c r="K12" i="8"/>
  <c r="K15" i="8"/>
  <c r="K11" i="8"/>
  <c r="K14" i="8"/>
  <c r="K10" i="8"/>
  <c r="K3" i="10"/>
  <c r="K4" i="10"/>
  <c r="K2" i="10"/>
  <c r="D24" i="8" l="1"/>
  <c r="D9" i="10"/>
  <c r="D29" i="8" s="1"/>
  <c r="D10" i="11"/>
  <c r="H25" i="8" s="1"/>
  <c r="D8" i="10"/>
  <c r="K7" i="10"/>
  <c r="D23" i="8"/>
  <c r="K20" i="8"/>
  <c r="C34" i="8"/>
  <c r="H23" i="8"/>
  <c r="D34" i="8" l="1"/>
  <c r="D25" i="8"/>
  <c r="K22" i="8"/>
  <c r="D10" i="10"/>
  <c r="D28" i="8"/>
  <c r="D30" i="8" s="1"/>
  <c r="C33" i="8"/>
  <c r="K25" i="8" s="1"/>
  <c r="D33" i="8" l="1"/>
  <c r="K24" i="8" s="1"/>
</calcChain>
</file>

<file path=xl/sharedStrings.xml><?xml version="1.0" encoding="utf-8"?>
<sst xmlns="http://schemas.openxmlformats.org/spreadsheetml/2006/main" count="227" uniqueCount="81">
  <si>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</si>
  <si>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</si>
  <si>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</si>
  <si>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</si>
  <si>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</si>
  <si>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</si>
  <si>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</si>
  <si>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</si>
  <si>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</si>
  <si>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</si>
  <si>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</si>
  <si>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</si>
  <si>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</si>
  <si>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</si>
  <si>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</si>
  <si>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</si>
  <si>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</si>
  <si>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</si>
  <si>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</si>
  <si>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</si>
  <si>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</si>
  <si>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</si>
  <si>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</si>
  <si>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</si>
  <si>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</si>
  <si>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</si>
  <si>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자유입지업체</t>
  </si>
  <si>
    <t>신고공</t>
    <phoneticPr fontId="19" type="noConversion"/>
  </si>
  <si>
    <t>s1</t>
    <phoneticPr fontId="19" type="noConversion"/>
  </si>
  <si>
    <t>a2</t>
  </si>
  <si>
    <t>a3</t>
  </si>
  <si>
    <t>O</t>
  </si>
  <si>
    <t>전작용</t>
    <phoneticPr fontId="19" type="noConversion"/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</si>
  <si>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</si>
  <si>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</si>
  <si>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</si>
  <si>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</si>
  <si>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</si>
  <si>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</si>
  <si>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</si>
  <si>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</si>
  <si>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</si>
  <si>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</si>
  <si>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</si>
  <si>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</si>
  <si>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답작용</t>
    <phoneticPr fontId="19" type="noConversion"/>
  </si>
  <si>
    <t>s14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</si>
  <si>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</si>
  <si>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</si>
  <si>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</si>
  <si>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</si>
  <si>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</si>
  <si>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s15</t>
  </si>
  <si>
    <t>일반용</t>
    <phoneticPr fontId="19" type="noConversion"/>
  </si>
  <si>
    <t>s16</t>
  </si>
  <si>
    <t>유성구</t>
    <phoneticPr fontId="19" type="noConversion"/>
  </si>
  <si>
    <t>지족동</t>
    <phoneticPr fontId="19" type="noConversion"/>
  </si>
  <si>
    <t>858</t>
    <phoneticPr fontId="19" type="noConversion"/>
  </si>
  <si>
    <t>공동주택용</t>
    <phoneticPr fontId="19" type="noConversion"/>
  </si>
  <si>
    <t>857</t>
    <phoneticPr fontId="19" type="noConversion"/>
  </si>
  <si>
    <t>학교용</t>
    <phoneticPr fontId="19" type="noConversion"/>
  </si>
  <si>
    <t>859</t>
    <phoneticPr fontId="19" type="noConversion"/>
  </si>
  <si>
    <t>민방위용</t>
    <phoneticPr fontId="19" type="noConversion"/>
  </si>
  <si>
    <t>877</t>
    <phoneticPr fontId="19" type="noConversion"/>
  </si>
  <si>
    <t>879</t>
    <phoneticPr fontId="19" type="noConversion"/>
  </si>
  <si>
    <t>853</t>
    <phoneticPr fontId="19" type="noConversion"/>
  </si>
  <si>
    <t>262</t>
    <phoneticPr fontId="19" type="noConversion"/>
  </si>
  <si>
    <t>850</t>
    <phoneticPr fontId="19" type="noConversion"/>
  </si>
  <si>
    <t>130-52</t>
    <phoneticPr fontId="19" type="noConversion"/>
  </si>
  <si>
    <t>1008</t>
    <phoneticPr fontId="19" type="noConversion"/>
  </si>
  <si>
    <t>233-14</t>
    <phoneticPr fontId="19" type="noConversion"/>
  </si>
  <si>
    <t>987-1</t>
    <phoneticPr fontId="19" type="noConversion"/>
  </si>
  <si>
    <t>993</t>
    <phoneticPr fontId="19" type="noConversion"/>
  </si>
  <si>
    <t>하기동</t>
    <phoneticPr fontId="19" type="noConversion"/>
  </si>
  <si>
    <t>511-1</t>
    <phoneticPr fontId="19" type="noConversion"/>
  </si>
  <si>
    <t>X</t>
    <phoneticPr fontId="19" type="noConversion"/>
  </si>
  <si>
    <t>412</t>
    <phoneticPr fontId="19" type="noConversion"/>
  </si>
  <si>
    <t>411</t>
    <phoneticPr fontId="19" type="noConversion"/>
  </si>
  <si>
    <t>411-6</t>
    <phoneticPr fontId="19" type="noConversion"/>
  </si>
  <si>
    <t>514</t>
    <phoneticPr fontId="19" type="noConversion"/>
  </si>
  <si>
    <t>520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</si>
</sst>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49" fontId="18" fillId="0" borderId="0" xfId="0" quotePrefix="1" applyNumberFormat="1" applyFont="1" applyFill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176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0" borderId="18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0</xdr:row>
          <xdr:rowOff>66675</xdr:rowOff>
        </xdr:from>
        <xdr:to>
          <xdr:col>19</xdr:col>
          <xdr:colOff>619125</xdr:colOff>
          <xdr:row>0</xdr:row>
          <xdr:rowOff>428625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0</xdr:row>
          <xdr:rowOff>476250</xdr:rowOff>
        </xdr:from>
        <xdr:to>
          <xdr:col>19</xdr:col>
          <xdr:colOff>628650</xdr:colOff>
          <xdr:row>1</xdr:row>
          <xdr:rowOff>238125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2</xdr:row>
          <xdr:rowOff>47625</xdr:rowOff>
        </xdr:from>
        <xdr:to>
          <xdr:col>19</xdr:col>
          <xdr:colOff>628650</xdr:colOff>
          <xdr:row>3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0</xdr:row>
          <xdr:rowOff>85725</xdr:rowOff>
        </xdr:from>
        <xdr:to>
          <xdr:col>19</xdr:col>
          <xdr:colOff>647700</xdr:colOff>
          <xdr:row>0</xdr:row>
          <xdr:rowOff>447675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123825</xdr:colOff>
          <xdr:row>0</xdr:row>
          <xdr:rowOff>523875</xdr:rowOff>
        </xdr:from>
        <xdr:to>
          <xdr:col>19</xdr:col>
          <xdr:colOff>657225</xdr:colOff>
          <xdr:row>2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2</xdr:row>
          <xdr:rowOff>133350</xdr:rowOff>
        </xdr:from>
        <xdr:to>
          <xdr:col>19</xdr:col>
          <xdr:colOff>666750</xdr:colOff>
          <xdr:row>3</xdr:row>
          <xdr:rowOff>219075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133350</xdr:rowOff>
        </xdr:from>
        <xdr:to>
          <xdr:col>19</xdr:col>
          <xdr:colOff>666750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523875</xdr:rowOff>
        </xdr:from>
        <xdr:to>
          <xdr:col>19</xdr:col>
          <xdr:colOff>666750</xdr:colOff>
          <xdr:row>2</xdr:row>
          <xdr:rowOff>47625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0</xdr:row>
          <xdr:rowOff>276225</xdr:rowOff>
        </xdr:from>
        <xdr:to>
          <xdr:col>21</xdr:col>
          <xdr:colOff>609600</xdr:colOff>
          <xdr:row>1</xdr:row>
          <xdr:rowOff>38100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40"/>
  <sheetViews>
    <sheetView tabSelected="1" topLeftCell="A13" workbookViewId="0">
      <selection activeCell="M2" sqref="M2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2.375" style="2" customWidth="1"/>
    <col min="11" max="11" width="11.5" style="2" customWidth="1"/>
    <col min="12" max="12" width="25.25" style="2" customWidth="1"/>
    <col min="13" max="16" width="9" style="2"/>
    <col min="17" max="17" width="11.375" style="2" bestFit="1" customWidth="1"/>
    <col min="18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/>
      <c r="M1" s="2" t="s">
        <v>14</v>
      </c>
      <c r="N1" s="2" t="s">
        <v>15</v>
      </c>
      <c r="O1" s="2" t="s">
        <v>16</v>
      </c>
      <c r="P1" s="2" t="s">
        <v>17</v>
      </c>
      <c r="Q1" s="2" t="s">
        <v>18</v>
      </c>
      <c r="R1" s="2" t="s">
        <v>12</v>
      </c>
    </row>
    <row r="2" spans="1:18" ht="21.75" customHeight="1" x14ac:dyDescent="0.3">
      <c r="A2" s="2" t="s">
        <v>28</v>
      </c>
      <c r="B2" s="1" t="s">
        <v>27</v>
      </c>
      <c r="C2" s="2" t="s">
        <v>55</v>
      </c>
      <c r="D2" s="2" t="s">
        <v>56</v>
      </c>
      <c r="E2" s="7" t="s">
        <v>57</v>
      </c>
      <c r="F2" s="2">
        <v>150</v>
      </c>
      <c r="G2" s="2">
        <v>200</v>
      </c>
      <c r="H2" s="2">
        <v>2</v>
      </c>
      <c r="I2" s="2">
        <v>80</v>
      </c>
      <c r="J2" s="2" t="s">
        <v>58</v>
      </c>
      <c r="K2" s="28">
        <f>ss_water(I2,J2,100)</f>
        <v>7.23</v>
      </c>
      <c r="L2" s="2" t="str">
        <f>C2 &amp; " " &amp;D2&amp;" "&amp;E2</f>
        <v>유성구 지족동 858</v>
      </c>
      <c r="R2" s="2" t="s">
        <v>13</v>
      </c>
    </row>
    <row r="3" spans="1:18" ht="21.75" customHeight="1" x14ac:dyDescent="0.3">
      <c r="A3" s="2" t="s">
        <v>33</v>
      </c>
      <c r="B3" s="1" t="s">
        <v>27</v>
      </c>
      <c r="C3" s="2" t="s">
        <v>55</v>
      </c>
      <c r="D3" s="2" t="s">
        <v>56</v>
      </c>
      <c r="E3" s="7" t="s">
        <v>59</v>
      </c>
      <c r="F3" s="2">
        <v>90</v>
      </c>
      <c r="G3" s="2">
        <v>200</v>
      </c>
      <c r="H3" s="2">
        <v>2</v>
      </c>
      <c r="I3" s="2">
        <v>90</v>
      </c>
      <c r="J3" s="2" t="s">
        <v>60</v>
      </c>
      <c r="K3" s="28">
        <f>ss_water(I3,J3,700)</f>
        <v>11.49</v>
      </c>
      <c r="L3" s="2" t="str">
        <f t="shared" ref="L3:L17" si="0">C3 &amp; " " &amp;D3&amp;" "&amp;E3</f>
        <v>유성구 지족동 857</v>
      </c>
      <c r="R3" s="2" t="s">
        <v>13</v>
      </c>
    </row>
    <row r="4" spans="1:18" ht="21.75" customHeight="1" x14ac:dyDescent="0.3">
      <c r="A4" s="2" t="s">
        <v>34</v>
      </c>
      <c r="B4" s="1" t="s">
        <v>27</v>
      </c>
      <c r="C4" s="2" t="s">
        <v>55</v>
      </c>
      <c r="D4" s="2" t="s">
        <v>56</v>
      </c>
      <c r="E4" s="7" t="s">
        <v>61</v>
      </c>
      <c r="F4" s="2">
        <v>100</v>
      </c>
      <c r="G4" s="2">
        <v>200</v>
      </c>
      <c r="H4" s="2">
        <v>3</v>
      </c>
      <c r="I4" s="2">
        <v>160</v>
      </c>
      <c r="J4" s="2" t="s">
        <v>62</v>
      </c>
      <c r="K4" s="28">
        <f t="shared" ref="K4:K15" si="1">ss_water(I4,J4)</f>
        <v>5.48</v>
      </c>
      <c r="L4" s="2" t="str">
        <f t="shared" si="0"/>
        <v>유성구 지족동 859</v>
      </c>
      <c r="R4" s="2" t="s">
        <v>13</v>
      </c>
    </row>
    <row r="5" spans="1:18" ht="21.75" customHeight="1" x14ac:dyDescent="0.3">
      <c r="A5" s="2" t="s">
        <v>35</v>
      </c>
      <c r="B5" s="1" t="s">
        <v>27</v>
      </c>
      <c r="C5" s="2" t="s">
        <v>55</v>
      </c>
      <c r="D5" s="2" t="s">
        <v>56</v>
      </c>
      <c r="E5" s="7" t="s">
        <v>63</v>
      </c>
      <c r="F5" s="2">
        <v>200</v>
      </c>
      <c r="G5" s="2">
        <v>200</v>
      </c>
      <c r="H5" s="2">
        <v>3</v>
      </c>
      <c r="I5" s="2">
        <v>140</v>
      </c>
      <c r="J5" s="2" t="s">
        <v>58</v>
      </c>
      <c r="K5" s="28">
        <f>ss_water(I5,J5,80)</f>
        <v>7.21</v>
      </c>
      <c r="L5" s="2" t="str">
        <f t="shared" si="0"/>
        <v>유성구 지족동 877</v>
      </c>
      <c r="R5" s="2" t="s">
        <v>13</v>
      </c>
    </row>
    <row r="6" spans="1:18" ht="21.75" customHeight="1" x14ac:dyDescent="0.3">
      <c r="A6" s="2" t="s">
        <v>36</v>
      </c>
      <c r="B6" s="1" t="s">
        <v>27</v>
      </c>
      <c r="C6" s="2" t="s">
        <v>55</v>
      </c>
      <c r="D6" s="2" t="s">
        <v>56</v>
      </c>
      <c r="E6" s="7" t="s">
        <v>64</v>
      </c>
      <c r="F6" s="2">
        <v>95</v>
      </c>
      <c r="G6" s="2">
        <v>200</v>
      </c>
      <c r="H6" s="2">
        <v>2</v>
      </c>
      <c r="I6" s="2">
        <v>95</v>
      </c>
      <c r="J6" s="2" t="s">
        <v>60</v>
      </c>
      <c r="K6" s="28">
        <f>ss_water(I6,J6,600)</f>
        <v>10.99</v>
      </c>
      <c r="L6" s="2" t="str">
        <f t="shared" si="0"/>
        <v>유성구 지족동 879</v>
      </c>
      <c r="R6" s="2" t="s">
        <v>13</v>
      </c>
    </row>
    <row r="7" spans="1:18" ht="21.75" customHeight="1" x14ac:dyDescent="0.3">
      <c r="A7" s="2" t="s">
        <v>37</v>
      </c>
      <c r="B7" s="1" t="s">
        <v>27</v>
      </c>
      <c r="C7" s="2" t="s">
        <v>55</v>
      </c>
      <c r="D7" s="2" t="s">
        <v>56</v>
      </c>
      <c r="E7" s="7" t="s">
        <v>65</v>
      </c>
      <c r="F7" s="2">
        <v>120</v>
      </c>
      <c r="G7" s="2">
        <v>200</v>
      </c>
      <c r="H7" s="2">
        <v>2</v>
      </c>
      <c r="I7" s="2">
        <v>98</v>
      </c>
      <c r="J7" s="2" t="s">
        <v>58</v>
      </c>
      <c r="K7" s="28">
        <f>ss_water(I7,J7,600)</f>
        <v>7.73</v>
      </c>
      <c r="L7" s="2" t="str">
        <f t="shared" si="0"/>
        <v>유성구 지족동 853</v>
      </c>
      <c r="R7" s="2" t="s">
        <v>13</v>
      </c>
    </row>
    <row r="8" spans="1:18" ht="21.75" customHeight="1" x14ac:dyDescent="0.3">
      <c r="A8" s="2" t="s">
        <v>38</v>
      </c>
      <c r="B8" s="1" t="s">
        <v>27</v>
      </c>
      <c r="C8" s="2" t="s">
        <v>55</v>
      </c>
      <c r="D8" s="2" t="s">
        <v>56</v>
      </c>
      <c r="E8" s="7" t="s">
        <v>67</v>
      </c>
      <c r="F8" s="2">
        <v>90</v>
      </c>
      <c r="G8" s="2">
        <v>200</v>
      </c>
      <c r="H8" s="2">
        <v>1</v>
      </c>
      <c r="I8" s="2">
        <v>95</v>
      </c>
      <c r="J8" s="2" t="s">
        <v>60</v>
      </c>
      <c r="K8" s="28">
        <f t="shared" si="1"/>
        <v>8.2899999999999991</v>
      </c>
      <c r="L8" s="2" t="str">
        <f t="shared" si="0"/>
        <v>유성구 지족동 850</v>
      </c>
      <c r="R8" s="2" t="s">
        <v>13</v>
      </c>
    </row>
    <row r="9" spans="1:18" ht="21.75" customHeight="1" x14ac:dyDescent="0.3">
      <c r="A9" s="2" t="s">
        <v>39</v>
      </c>
      <c r="B9" s="1" t="s">
        <v>27</v>
      </c>
      <c r="C9" s="2" t="s">
        <v>55</v>
      </c>
      <c r="D9" s="2" t="s">
        <v>56</v>
      </c>
      <c r="E9" s="7" t="s">
        <v>68</v>
      </c>
      <c r="F9" s="2">
        <v>30</v>
      </c>
      <c r="G9" s="2">
        <v>50</v>
      </c>
      <c r="H9" s="2">
        <v>0.5</v>
      </c>
      <c r="I9" s="2">
        <v>30</v>
      </c>
      <c r="J9" s="2" t="s">
        <v>53</v>
      </c>
      <c r="K9" s="28">
        <f t="shared" si="1"/>
        <v>2.75</v>
      </c>
      <c r="L9" s="2" t="str">
        <f t="shared" si="0"/>
        <v>유성구 지족동 130-52</v>
      </c>
      <c r="R9" s="2" t="s">
        <v>13</v>
      </c>
    </row>
    <row r="10" spans="1:18" ht="21.75" customHeight="1" x14ac:dyDescent="0.3">
      <c r="A10" s="2" t="s">
        <v>40</v>
      </c>
      <c r="B10" s="1" t="s">
        <v>27</v>
      </c>
      <c r="C10" s="2" t="s">
        <v>55</v>
      </c>
      <c r="D10" s="2" t="s">
        <v>56</v>
      </c>
      <c r="E10" s="7" t="s">
        <v>69</v>
      </c>
      <c r="F10" s="2">
        <v>100</v>
      </c>
      <c r="G10" s="2">
        <v>250</v>
      </c>
      <c r="H10" s="2">
        <v>3</v>
      </c>
      <c r="I10" s="2">
        <v>100</v>
      </c>
      <c r="J10" s="2" t="s">
        <v>62</v>
      </c>
      <c r="K10" s="28">
        <f t="shared" si="1"/>
        <v>4.22</v>
      </c>
      <c r="L10" s="2" t="str">
        <f t="shared" si="0"/>
        <v>유성구 지족동 1008</v>
      </c>
      <c r="R10" s="2" t="s">
        <v>13</v>
      </c>
    </row>
    <row r="11" spans="1:18" ht="21.75" customHeight="1" x14ac:dyDescent="0.3">
      <c r="A11" s="2" t="s">
        <v>41</v>
      </c>
      <c r="B11" s="1" t="s">
        <v>27</v>
      </c>
      <c r="C11" s="2" t="s">
        <v>55</v>
      </c>
      <c r="D11" s="2" t="s">
        <v>56</v>
      </c>
      <c r="E11" s="7" t="s">
        <v>70</v>
      </c>
      <c r="F11" s="2">
        <v>120</v>
      </c>
      <c r="G11" s="2">
        <v>150</v>
      </c>
      <c r="H11" s="2">
        <v>2</v>
      </c>
      <c r="I11" s="2">
        <v>90</v>
      </c>
      <c r="J11" s="2" t="s">
        <v>53</v>
      </c>
      <c r="K11" s="28">
        <f t="shared" si="1"/>
        <v>4.01</v>
      </c>
      <c r="L11" s="2" t="str">
        <f t="shared" si="0"/>
        <v>유성구 지족동 233-14</v>
      </c>
      <c r="R11" s="2" t="s">
        <v>13</v>
      </c>
    </row>
    <row r="12" spans="1:18" ht="21.75" customHeight="1" x14ac:dyDescent="0.3">
      <c r="A12" s="2" t="s">
        <v>42</v>
      </c>
      <c r="B12" s="1" t="s">
        <v>27</v>
      </c>
      <c r="C12" s="2" t="s">
        <v>55</v>
      </c>
      <c r="D12" s="2" t="s">
        <v>56</v>
      </c>
      <c r="E12" s="7" t="s">
        <v>71</v>
      </c>
      <c r="F12" s="2">
        <v>30</v>
      </c>
      <c r="G12" s="2">
        <v>50</v>
      </c>
      <c r="H12" s="2">
        <v>0.5</v>
      </c>
      <c r="I12" s="2">
        <v>25</v>
      </c>
      <c r="J12" s="2" t="s">
        <v>53</v>
      </c>
      <c r="K12" s="28">
        <f t="shared" si="1"/>
        <v>2.64</v>
      </c>
      <c r="L12" s="2" t="str">
        <f t="shared" si="0"/>
        <v>유성구 지족동 987-1</v>
      </c>
      <c r="R12" s="2" t="s">
        <v>13</v>
      </c>
    </row>
    <row r="13" spans="1:18" ht="21.75" customHeight="1" x14ac:dyDescent="0.3">
      <c r="A13" s="2" t="s">
        <v>43</v>
      </c>
      <c r="B13" s="1" t="s">
        <v>27</v>
      </c>
      <c r="C13" s="2" t="s">
        <v>55</v>
      </c>
      <c r="D13" s="2" t="s">
        <v>56</v>
      </c>
      <c r="E13" s="7" t="s">
        <v>72</v>
      </c>
      <c r="F13" s="2">
        <v>70</v>
      </c>
      <c r="G13" s="2">
        <v>200</v>
      </c>
      <c r="H13" s="2">
        <v>1</v>
      </c>
      <c r="I13" s="2">
        <v>95</v>
      </c>
      <c r="J13" s="2" t="s">
        <v>60</v>
      </c>
      <c r="K13" s="28">
        <f>ss_water(I13,J13,300)</f>
        <v>9.49</v>
      </c>
      <c r="L13" s="2" t="str">
        <f t="shared" si="0"/>
        <v>유성구 지족동 993</v>
      </c>
      <c r="R13" s="2" t="s">
        <v>13</v>
      </c>
    </row>
    <row r="14" spans="1:18" ht="21.75" customHeight="1" x14ac:dyDescent="0.3">
      <c r="A14" s="2" t="s">
        <v>44</v>
      </c>
      <c r="B14" s="1" t="s">
        <v>27</v>
      </c>
      <c r="C14" s="2" t="s">
        <v>55</v>
      </c>
      <c r="D14" s="2" t="s">
        <v>73</v>
      </c>
      <c r="E14" s="7" t="s">
        <v>74</v>
      </c>
      <c r="F14" s="2">
        <v>80</v>
      </c>
      <c r="G14" s="2">
        <v>150</v>
      </c>
      <c r="H14" s="2">
        <v>1</v>
      </c>
      <c r="I14" s="2">
        <v>60</v>
      </c>
      <c r="J14" s="2" t="s">
        <v>53</v>
      </c>
      <c r="K14" s="28">
        <f t="shared" si="1"/>
        <v>3.38</v>
      </c>
      <c r="L14" s="2" t="str">
        <f t="shared" si="0"/>
        <v>유성구 하기동 511-1</v>
      </c>
      <c r="R14" s="2" t="s">
        <v>75</v>
      </c>
    </row>
    <row r="15" spans="1:18" ht="21.75" customHeight="1" x14ac:dyDescent="0.3">
      <c r="A15" s="2" t="s">
        <v>46</v>
      </c>
      <c r="B15" s="1" t="s">
        <v>27</v>
      </c>
      <c r="C15" s="2" t="s">
        <v>55</v>
      </c>
      <c r="D15" s="2" t="s">
        <v>73</v>
      </c>
      <c r="E15" s="7" t="s">
        <v>78</v>
      </c>
      <c r="F15" s="2">
        <v>30</v>
      </c>
      <c r="G15" s="2">
        <v>84</v>
      </c>
      <c r="H15" s="2">
        <v>1</v>
      </c>
      <c r="I15" s="2">
        <v>25</v>
      </c>
      <c r="J15" s="2" t="s">
        <v>53</v>
      </c>
      <c r="K15" s="28">
        <f t="shared" si="1"/>
        <v>2.64</v>
      </c>
      <c r="L15" s="2" t="str">
        <f t="shared" si="0"/>
        <v>유성구 하기동 411-6</v>
      </c>
      <c r="R15" s="2" t="s">
        <v>75</v>
      </c>
    </row>
    <row r="16" spans="1:18" ht="23.25" customHeight="1" x14ac:dyDescent="0.3">
      <c r="A16" s="2" t="s">
        <v>52</v>
      </c>
      <c r="B16" s="1" t="s">
        <v>27</v>
      </c>
      <c r="C16" s="2" t="s">
        <v>55</v>
      </c>
      <c r="D16" s="2" t="s">
        <v>73</v>
      </c>
      <c r="E16" s="7" t="s">
        <v>79</v>
      </c>
      <c r="F16" s="2">
        <v>90</v>
      </c>
      <c r="G16" s="2">
        <v>200</v>
      </c>
      <c r="H16" s="2">
        <v>2</v>
      </c>
      <c r="I16" s="2">
        <v>95</v>
      </c>
      <c r="J16" s="2" t="s">
        <v>60</v>
      </c>
      <c r="K16" s="28">
        <f>ss_water(I16,J16,120)</f>
        <v>8.59</v>
      </c>
      <c r="L16" s="2" t="str">
        <f t="shared" si="0"/>
        <v>유성구 하기동 514</v>
      </c>
      <c r="R16" s="2" t="s">
        <v>75</v>
      </c>
    </row>
    <row r="17" spans="1:18" ht="23.25" customHeight="1" x14ac:dyDescent="0.3">
      <c r="A17" s="2" t="s">
        <v>54</v>
      </c>
      <c r="B17" s="1" t="s">
        <v>27</v>
      </c>
      <c r="C17" s="2" t="s">
        <v>55</v>
      </c>
      <c r="D17" s="2" t="s">
        <v>73</v>
      </c>
      <c r="E17" s="7" t="s">
        <v>80</v>
      </c>
      <c r="F17" s="2">
        <v>70</v>
      </c>
      <c r="G17" s="2">
        <v>200</v>
      </c>
      <c r="H17" s="2">
        <v>1</v>
      </c>
      <c r="I17" s="2">
        <v>80</v>
      </c>
      <c r="J17" s="2" t="s">
        <v>60</v>
      </c>
      <c r="K17" s="28">
        <f>ss_water(I17,J17,100)</f>
        <v>8.49</v>
      </c>
      <c r="L17" s="2" t="str">
        <f t="shared" si="0"/>
        <v>유성구 하기동 520</v>
      </c>
      <c r="R17" s="2" t="s">
        <v>75</v>
      </c>
    </row>
    <row r="18" spans="1:18" ht="21" customHeight="1" x14ac:dyDescent="0.3">
      <c r="B18" s="1"/>
      <c r="I18" s="2"/>
      <c r="K18" s="3"/>
    </row>
    <row r="19" spans="1:18" ht="21.75" customHeight="1" x14ac:dyDescent="0.3">
      <c r="I19" s="2"/>
    </row>
    <row r="20" spans="1:18" ht="21.75" customHeight="1" x14ac:dyDescent="0.3">
      <c r="J20" s="2" t="s">
        <v>51</v>
      </c>
      <c r="K20" s="27">
        <f>SUM(K2:K19)</f>
        <v>104.63</v>
      </c>
    </row>
    <row r="21" spans="1:18" ht="21.75" customHeight="1" x14ac:dyDescent="0.3">
      <c r="K21" s="27"/>
    </row>
    <row r="22" spans="1:18" ht="21.75" customHeight="1" x14ac:dyDescent="0.3">
      <c r="B22" s="33" t="s">
        <v>24</v>
      </c>
      <c r="C22" s="12" t="s">
        <v>22</v>
      </c>
      <c r="D22" s="13" t="s">
        <v>7</v>
      </c>
      <c r="F22" s="33" t="s">
        <v>47</v>
      </c>
      <c r="G22" s="12" t="s">
        <v>22</v>
      </c>
      <c r="H22" s="13" t="s">
        <v>7</v>
      </c>
      <c r="J22" s="2" t="s">
        <v>48</v>
      </c>
      <c r="K22" s="4">
        <f>K20+aa!K7+ii!K5</f>
        <v>118.88</v>
      </c>
    </row>
    <row r="23" spans="1:18" ht="21.75" customHeight="1" thickBot="1" x14ac:dyDescent="0.35">
      <c r="B23" s="14" t="s">
        <v>20</v>
      </c>
      <c r="C23" s="15">
        <f ca="1">COUNTIF(SS_INSIDE_AREA,"O")</f>
        <v>12</v>
      </c>
      <c r="D23" s="16">
        <f ca="1">SUMIF(SS_INSIDE_AREA,"O",K2:K2)</f>
        <v>81.53</v>
      </c>
      <c r="F23" s="21" t="s">
        <v>20</v>
      </c>
      <c r="G23" s="15">
        <f ca="1">COUNTIF(II_INSIDE_AREA,"O")</f>
        <v>1</v>
      </c>
      <c r="H23" s="16">
        <f ca="1">ii!D8</f>
        <v>0</v>
      </c>
    </row>
    <row r="24" spans="1:18" ht="21.75" customHeight="1" x14ac:dyDescent="0.3">
      <c r="B24" s="14" t="s">
        <v>21</v>
      </c>
      <c r="C24" s="15">
        <f ca="1">COUNTIF(SS_INSIDE_AREA,"X")</f>
        <v>4</v>
      </c>
      <c r="D24" s="16">
        <f ca="1">SUMIF(SS_INSIDE_AREA,"X",K2:K2)</f>
        <v>23.1</v>
      </c>
      <c r="F24" s="21" t="s">
        <v>21</v>
      </c>
      <c r="G24" s="15">
        <f ca="1">COUNTIF(II_INSIDE_AREA,"X")</f>
        <v>0</v>
      </c>
      <c r="H24" s="16">
        <f ca="1">ii!D9</f>
        <v>0</v>
      </c>
      <c r="J24" s="29" t="s">
        <v>49</v>
      </c>
      <c r="K24" s="31">
        <f ca="1">D33</f>
        <v>88.52</v>
      </c>
    </row>
    <row r="25" spans="1:18" ht="21.75" customHeight="1" thickBot="1" x14ac:dyDescent="0.35">
      <c r="B25" s="17"/>
      <c r="C25" s="18"/>
      <c r="D25" s="19">
        <f ca="1">SUM(D23:D24)</f>
        <v>104.63</v>
      </c>
      <c r="F25" s="22"/>
      <c r="G25" s="18"/>
      <c r="H25" s="19">
        <f ca="1">ii!D10</f>
        <v>0</v>
      </c>
      <c r="J25" s="30" t="s">
        <v>50</v>
      </c>
      <c r="K25" s="32">
        <f ca="1">C33</f>
        <v>13</v>
      </c>
    </row>
    <row r="27" spans="1:18" ht="21.75" customHeight="1" x14ac:dyDescent="0.3">
      <c r="B27" s="33" t="s">
        <v>23</v>
      </c>
      <c r="C27" s="12" t="s">
        <v>22</v>
      </c>
      <c r="D27" s="13" t="s">
        <v>7</v>
      </c>
    </row>
    <row r="28" spans="1:18" ht="21.75" customHeight="1" x14ac:dyDescent="0.3">
      <c r="B28" s="14" t="s">
        <v>20</v>
      </c>
      <c r="C28" s="15">
        <f ca="1">COUNTIF(AA_INSIDE_AREA,"O")</f>
        <v>1</v>
      </c>
      <c r="D28" s="16">
        <f ca="1">aa!D8</f>
        <v>6.99</v>
      </c>
    </row>
    <row r="29" spans="1:18" ht="21.75" customHeight="1" x14ac:dyDescent="0.3">
      <c r="B29" s="14" t="s">
        <v>21</v>
      </c>
      <c r="C29" s="15">
        <f ca="1">COUNTIF(AA_INSIDE_AREA,"X")</f>
        <v>2</v>
      </c>
      <c r="D29" s="16">
        <f ca="1">aa!D9</f>
        <v>7.26</v>
      </c>
    </row>
    <row r="30" spans="1:18" ht="21.75" customHeight="1" x14ac:dyDescent="0.3">
      <c r="B30" s="17"/>
      <c r="C30" s="18"/>
      <c r="D30" s="19">
        <f ca="1">SUM(D28:D29)</f>
        <v>14.25</v>
      </c>
    </row>
    <row r="32" spans="1:18" ht="21.75" customHeight="1" x14ac:dyDescent="0.3">
      <c r="B32" s="33" t="s">
        <v>25</v>
      </c>
      <c r="C32" s="12" t="s">
        <v>22</v>
      </c>
      <c r="D32" s="13" t="s">
        <v>7</v>
      </c>
    </row>
    <row r="33" spans="2:16" ht="21.75" customHeight="1" x14ac:dyDescent="0.3">
      <c r="B33" s="14" t="s">
        <v>20</v>
      </c>
      <c r="C33" s="15">
        <f ca="1">C23+C28+IF(H23=0,0,G23)</f>
        <v>13</v>
      </c>
      <c r="D33" s="16">
        <f ca="1">D23+D28+H23</f>
        <v>88.52</v>
      </c>
    </row>
    <row r="34" spans="2:16" ht="21.75" customHeight="1" x14ac:dyDescent="0.3">
      <c r="B34" s="17" t="s">
        <v>21</v>
      </c>
      <c r="C34" s="18">
        <f ca="1">C24+C29+IF(H24=0,0,G24)</f>
        <v>6</v>
      </c>
      <c r="D34" s="19">
        <f ca="1">D24+D29+H24</f>
        <v>30.36</v>
      </c>
    </row>
    <row r="40" spans="2:16" ht="21.75" customHeight="1" x14ac:dyDescent="0.3">
      <c r="J40" s="25"/>
      <c r="K40" s="25"/>
      <c r="L40" s="25"/>
      <c r="M40" s="25"/>
      <c r="N40" s="25"/>
      <c r="O40" s="25"/>
      <c r="P40" s="25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Copy">
          <controlPr defaultSize="0" autoLine="0" r:id="rId5">
            <anchor moveWithCells="1">
              <from>
                <xdr:col>18</xdr:col>
                <xdr:colOff>85725</xdr:colOff>
                <xdr:row>0</xdr:row>
                <xdr:rowOff>66675</xdr:rowOff>
              </from>
              <to>
                <xdr:col>19</xdr:col>
                <xdr:colOff>619125</xdr:colOff>
                <xdr:row>0</xdr:row>
                <xdr:rowOff>428625</xdr:rowOff>
              </to>
            </anchor>
          </controlPr>
        </control>
      </mc:Choice>
      <mc:Fallback>
        <control shapeId="2049" r:id="rId4" name="CommandButtonCopy"/>
      </mc:Fallback>
    </mc:AlternateContent>
    <mc:AlternateContent xmlns:mc="http://schemas.openxmlformats.org/markup-compatibility/2006">
      <mc:Choice Requires="x14">
        <control shapeId="2050" r:id="rId6" name="CommandButtonDelete">
          <controlPr defaultSize="0" autoLine="0" r:id="rId7">
            <anchor moveWithCells="1">
              <from>
                <xdr:col>18</xdr:col>
                <xdr:colOff>95250</xdr:colOff>
                <xdr:row>0</xdr:row>
                <xdr:rowOff>476250</xdr:rowOff>
              </from>
              <to>
                <xdr:col>19</xdr:col>
                <xdr:colOff>628650</xdr:colOff>
                <xdr:row>1</xdr:row>
                <xdr:rowOff>238125</xdr:rowOff>
              </to>
            </anchor>
          </controlPr>
        </control>
      </mc:Choice>
      <mc:Fallback>
        <control shapeId="2050" r:id="rId6" name="CommandButtonDelete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r:id="rId9">
            <anchor moveWithCells="1">
              <from>
                <xdr:col>18</xdr:col>
                <xdr:colOff>95250</xdr:colOff>
                <xdr:row>2</xdr:row>
                <xdr:rowOff>47625</xdr:rowOff>
              </from>
              <to>
                <xdr:col>19</xdr:col>
                <xdr:colOff>628650</xdr:colOff>
                <xdr:row>3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10"/>
  <sheetViews>
    <sheetView workbookViewId="0">
      <selection activeCell="M2" sqref="M2"/>
    </sheetView>
  </sheetViews>
  <sheetFormatPr defaultColWidth="9" defaultRowHeight="21.75" customHeight="1" x14ac:dyDescent="0.3"/>
  <cols>
    <col min="1" max="1" width="9" style="2"/>
    <col min="2" max="2" width="7.75" style="10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0.62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17</v>
      </c>
      <c r="Q1" s="2" t="s">
        <v>18</v>
      </c>
      <c r="R1" s="2" t="s">
        <v>12</v>
      </c>
    </row>
    <row r="2" spans="1:18" s="8" customFormat="1" ht="21.75" customHeight="1" x14ac:dyDescent="0.3">
      <c r="A2" s="1" t="s">
        <v>6</v>
      </c>
      <c r="B2" s="1" t="s">
        <v>27</v>
      </c>
      <c r="C2" s="2" t="s">
        <v>55</v>
      </c>
      <c r="D2" s="2" t="s">
        <v>56</v>
      </c>
      <c r="E2" s="24" t="s">
        <v>66</v>
      </c>
      <c r="F2" s="23">
        <v>100</v>
      </c>
      <c r="G2" s="23">
        <v>150</v>
      </c>
      <c r="H2" s="23">
        <v>2</v>
      </c>
      <c r="I2" s="23">
        <v>95</v>
      </c>
      <c r="J2" s="23" t="s">
        <v>32</v>
      </c>
      <c r="K2" s="2">
        <f t="shared" ref="K2:K4" si="0">aa_water(I2,J2)</f>
        <v>6.99</v>
      </c>
      <c r="L2" s="2" t="str">
        <f>C2 &amp; " " &amp;D2&amp;" "&amp;E2</f>
        <v>유성구 지족동 262</v>
      </c>
      <c r="M2" s="23"/>
      <c r="N2" s="23"/>
      <c r="O2" s="23"/>
      <c r="P2" s="3"/>
      <c r="Q2" s="23"/>
      <c r="R2" s="2" t="s">
        <v>31</v>
      </c>
    </row>
    <row r="3" spans="1:18" s="8" customFormat="1" ht="21.75" customHeight="1" x14ac:dyDescent="0.3">
      <c r="A3" s="1" t="s">
        <v>29</v>
      </c>
      <c r="B3" s="1" t="s">
        <v>27</v>
      </c>
      <c r="C3" s="2" t="s">
        <v>55</v>
      </c>
      <c r="D3" s="2" t="s">
        <v>73</v>
      </c>
      <c r="E3" s="24" t="s">
        <v>76</v>
      </c>
      <c r="F3" s="23">
        <v>24</v>
      </c>
      <c r="G3" s="23">
        <v>50</v>
      </c>
      <c r="H3" s="23">
        <v>0.5</v>
      </c>
      <c r="I3" s="23">
        <v>50</v>
      </c>
      <c r="J3" s="23" t="s">
        <v>45</v>
      </c>
      <c r="K3" s="2">
        <f t="shared" si="0"/>
        <v>4.18</v>
      </c>
      <c r="L3" s="2" t="str">
        <f>C3 &amp; " " &amp;D3&amp;" "&amp;E3</f>
        <v>유성구 하기동 412</v>
      </c>
      <c r="M3" s="23"/>
      <c r="N3" s="23"/>
      <c r="O3" s="23"/>
      <c r="P3" s="3"/>
      <c r="Q3" s="23"/>
      <c r="R3" s="2" t="s">
        <v>75</v>
      </c>
    </row>
    <row r="4" spans="1:18" s="8" customFormat="1" ht="21.75" customHeight="1" x14ac:dyDescent="0.3">
      <c r="A4" s="1" t="s">
        <v>30</v>
      </c>
      <c r="B4" s="1" t="s">
        <v>27</v>
      </c>
      <c r="C4" s="2" t="s">
        <v>55</v>
      </c>
      <c r="D4" s="2" t="s">
        <v>73</v>
      </c>
      <c r="E4" s="24" t="s">
        <v>77</v>
      </c>
      <c r="F4" s="23">
        <v>30</v>
      </c>
      <c r="G4" s="23">
        <v>50</v>
      </c>
      <c r="H4" s="23">
        <v>0.5</v>
      </c>
      <c r="I4" s="23">
        <v>25</v>
      </c>
      <c r="J4" s="23" t="s">
        <v>45</v>
      </c>
      <c r="K4" s="2">
        <f t="shared" si="0"/>
        <v>3.08</v>
      </c>
      <c r="L4" s="2" t="str">
        <f t="shared" ref="L4" si="1">C4 &amp; " " &amp;D4&amp;" "&amp;E4</f>
        <v>유성구 하기동 411</v>
      </c>
      <c r="M4" s="23"/>
      <c r="N4" s="23"/>
      <c r="O4" s="23"/>
      <c r="P4" s="3"/>
      <c r="Q4" s="23"/>
      <c r="R4" s="2" t="s">
        <v>75</v>
      </c>
    </row>
    <row r="5" spans="1:18" s="8" customFormat="1" ht="21.75" customHeight="1" x14ac:dyDescent="0.3">
      <c r="A5" s="1"/>
      <c r="B5" s="1"/>
      <c r="C5" s="2"/>
      <c r="D5" s="2"/>
      <c r="E5" s="24"/>
      <c r="F5" s="23"/>
      <c r="G5" s="23"/>
      <c r="H5" s="23"/>
      <c r="I5" s="23"/>
      <c r="J5" s="23"/>
      <c r="K5" s="2"/>
      <c r="L5" s="2"/>
      <c r="M5" s="23"/>
      <c r="N5" s="23"/>
      <c r="O5" s="23"/>
      <c r="P5" s="3"/>
      <c r="Q5" s="23"/>
      <c r="R5" s="2"/>
    </row>
    <row r="6" spans="1:18" ht="21.75" customHeight="1" x14ac:dyDescent="0.3">
      <c r="K6" s="5"/>
    </row>
    <row r="7" spans="1:18" ht="21.75" customHeight="1" x14ac:dyDescent="0.3">
      <c r="B7" s="20" t="s">
        <v>23</v>
      </c>
      <c r="C7" s="12" t="s">
        <v>22</v>
      </c>
      <c r="D7" s="13" t="s">
        <v>7</v>
      </c>
      <c r="J7" s="2" t="s">
        <v>48</v>
      </c>
      <c r="K7" s="26">
        <f>SUM(K2:K6)</f>
        <v>14.25</v>
      </c>
      <c r="L7" s="11"/>
    </row>
    <row r="8" spans="1:18" ht="21.75" customHeight="1" x14ac:dyDescent="0.3">
      <c r="B8" s="21" t="s">
        <v>20</v>
      </c>
      <c r="C8" s="15">
        <f ca="1">COUNTIF(AA_INSIDE_AREA,"O")</f>
        <v>1</v>
      </c>
      <c r="D8" s="16">
        <f ca="1">SUMIF(AA_INSIDE_AREA,"O",$K$2:$K$2)</f>
        <v>6.99</v>
      </c>
    </row>
    <row r="9" spans="1:18" ht="21.75" customHeight="1" x14ac:dyDescent="0.3">
      <c r="B9" s="21" t="s">
        <v>21</v>
      </c>
      <c r="C9" s="15">
        <f ca="1">COUNTIF(AA_INSIDE_AREA,"X")</f>
        <v>2</v>
      </c>
      <c r="D9" s="16">
        <f ca="1">SUMIF(AA_INSIDE_AREA,"X",$K$2:$K$2)</f>
        <v>7.26</v>
      </c>
      <c r="K9" s="4"/>
    </row>
    <row r="10" spans="1:18" ht="21.75" customHeight="1" x14ac:dyDescent="0.3">
      <c r="B10" s="22"/>
      <c r="C10" s="18"/>
      <c r="D10" s="19">
        <f ca="1">D8+D9</f>
        <v>14.25</v>
      </c>
      <c r="K10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18</xdr:col>
                <xdr:colOff>114300</xdr:colOff>
                <xdr:row>0</xdr:row>
                <xdr:rowOff>85725</xdr:rowOff>
              </from>
              <to>
                <xdr:col>19</xdr:col>
                <xdr:colOff>647700</xdr:colOff>
                <xdr:row>0</xdr:row>
                <xdr:rowOff>447675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18</xdr:col>
                <xdr:colOff>123825</xdr:colOff>
                <xdr:row>0</xdr:row>
                <xdr:rowOff>523875</xdr:rowOff>
              </from>
              <to>
                <xdr:col>19</xdr:col>
                <xdr:colOff>657225</xdr:colOff>
                <xdr:row>2</xdr:row>
                <xdr:rowOff>9525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18</xdr:col>
                <xdr:colOff>133350</xdr:colOff>
                <xdr:row>2</xdr:row>
                <xdr:rowOff>133350</xdr:rowOff>
              </from>
              <to>
                <xdr:col>19</xdr:col>
                <xdr:colOff>666750</xdr:colOff>
                <xdr:row>3</xdr:row>
                <xdr:rowOff>219075</xdr:rowOff>
              </to>
            </anchor>
          </controlPr>
        </control>
      </mc:Choice>
      <mc:Fallback>
        <control shapeId="3075" r:id="rId8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0"/>
  <sheetViews>
    <sheetView workbookViewId="0">
      <selection activeCell="C3" sqref="C3"/>
    </sheetView>
  </sheetViews>
  <sheetFormatPr defaultRowHeight="16.5" x14ac:dyDescent="0.3"/>
  <cols>
    <col min="1" max="4" width="9" style="8"/>
    <col min="5" max="5" width="9" style="9"/>
    <col min="6" max="9" width="9" style="8"/>
    <col min="10" max="10" width="11.375" style="8" bestFit="1" customWidth="1"/>
    <col min="11" max="11" width="10.875" style="8" customWidth="1"/>
    <col min="12" max="12" width="19.875" customWidth="1"/>
  </cols>
  <sheetData>
    <row r="1" spans="1:18" s="2" customFormat="1" ht="47.25" customHeight="1" x14ac:dyDescent="0.3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7</v>
      </c>
      <c r="Q1" s="2" t="s">
        <v>18</v>
      </c>
      <c r="R1" s="2" t="s">
        <v>12</v>
      </c>
    </row>
    <row r="2" spans="1:18" ht="18.75" customHeight="1" x14ac:dyDescent="0.3">
      <c r="A2" s="8" t="s">
        <v>11</v>
      </c>
      <c r="B2" s="1" t="s">
        <v>4</v>
      </c>
      <c r="C2" s="2" t="s">
        <v>55</v>
      </c>
      <c r="D2" s="2" t="s">
        <v>73</v>
      </c>
      <c r="E2" s="7"/>
      <c r="F2" s="2"/>
      <c r="G2" s="2"/>
      <c r="H2" s="2"/>
      <c r="I2" s="2"/>
      <c r="J2" s="2" t="s">
        <v>26</v>
      </c>
      <c r="K2" s="2">
        <v>0</v>
      </c>
      <c r="L2" s="2" t="str">
        <f>D2&amp;" "&amp;E2&amp;" 번지"</f>
        <v>하기동  번지</v>
      </c>
      <c r="M2" s="2"/>
      <c r="N2" s="2"/>
      <c r="O2" s="2"/>
      <c r="P2" s="2"/>
      <c r="Q2" s="2"/>
      <c r="R2" s="8" t="s">
        <v>13</v>
      </c>
    </row>
    <row r="3" spans="1:18" ht="18.75" customHeight="1" x14ac:dyDescent="0.3"/>
    <row r="4" spans="1:18" ht="18.75" customHeight="1" x14ac:dyDescent="0.3"/>
    <row r="5" spans="1:18" ht="18.75" customHeight="1" x14ac:dyDescent="0.3">
      <c r="J5" s="8" t="s">
        <v>48</v>
      </c>
      <c r="K5" s="27">
        <f>SUM(K2:K4)</f>
        <v>0</v>
      </c>
    </row>
    <row r="6" spans="1:18" ht="18.75" customHeight="1" x14ac:dyDescent="0.3"/>
    <row r="7" spans="1:18" ht="18.75" customHeight="1" x14ac:dyDescent="0.3">
      <c r="B7" s="20" t="s">
        <v>47</v>
      </c>
      <c r="C7" s="12" t="s">
        <v>22</v>
      </c>
      <c r="D7" s="13" t="s">
        <v>7</v>
      </c>
      <c r="K7" s="4"/>
    </row>
    <row r="8" spans="1:18" ht="18.75" customHeight="1" x14ac:dyDescent="0.3">
      <c r="B8" s="21" t="s">
        <v>20</v>
      </c>
      <c r="C8" s="15">
        <f ca="1">COUNTIF(II_INSIDE_AREA,"O")</f>
        <v>1</v>
      </c>
      <c r="D8" s="16">
        <f ca="1">SUMIF(II_INSIDE_AREA,"O",$K$2:$K$2)</f>
        <v>0</v>
      </c>
      <c r="K8" s="4"/>
    </row>
    <row r="9" spans="1:18" ht="18.75" customHeight="1" x14ac:dyDescent="0.3">
      <c r="B9" s="21" t="s">
        <v>21</v>
      </c>
      <c r="C9" s="15">
        <f ca="1">COUNTIF(II_INSIDE_AREA,"X")</f>
        <v>0</v>
      </c>
      <c r="D9" s="16">
        <f ca="1">SUMIF(II_INSIDE_AREA,"X",$K$2:$K$2)</f>
        <v>0</v>
      </c>
    </row>
    <row r="10" spans="1:18" ht="18.75" customHeight="1" x14ac:dyDescent="0.3">
      <c r="B10" s="22"/>
      <c r="C10" s="18"/>
      <c r="D10" s="19">
        <f ca="1">D8+D9</f>
        <v>0</v>
      </c>
    </row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20</xdr:col>
                <xdr:colOff>76200</xdr:colOff>
                <xdr:row>0</xdr:row>
                <xdr:rowOff>276225</xdr:rowOff>
              </from>
              <to>
                <xdr:col>21</xdr:col>
                <xdr:colOff>609600</xdr:colOff>
                <xdr:row>1</xdr:row>
                <xdr:rowOff>38100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18</xdr:col>
                <xdr:colOff>133350</xdr:colOff>
                <xdr:row>0</xdr:row>
                <xdr:rowOff>523875</xdr:rowOff>
              </from>
              <to>
                <xdr:col>19</xdr:col>
                <xdr:colOff>666750</xdr:colOff>
                <xdr:row>2</xdr:row>
                <xdr:rowOff>47625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18</xdr:col>
                <xdr:colOff>133350</xdr:colOff>
                <xdr:row>0</xdr:row>
                <xdr:rowOff>133350</xdr:rowOff>
              </from>
              <to>
                <xdr:col>19</xdr:col>
                <xdr:colOff>666750</xdr:colOff>
                <xdr:row>0</xdr:row>
                <xdr:rowOff>495300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2021-07-20T04:23:25Z</dcterms:modified>
</cp:coreProperties>
</file>