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7_경북대학교 지열시스템 - 한일지하수\"/>
    </mc:Choice>
  </mc:AlternateContent>
  <xr:revisionPtr revIDLastSave="0" documentId="13_ncr:1_{E8AA86AB-C32C-49B0-BE1A-A7E815E6CB1B}" xr6:coauthVersionLast="46" xr6:coauthVersionMax="46" xr10:uidLastSave="{00000000-0000-0000-0000-000000000000}"/>
  <bookViews>
    <workbookView xWindow="5325" yWindow="3660" windowWidth="26085" windowHeight="16965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L17" i="8" l="1"/>
  <c r="L18" i="8"/>
  <c r="L15" i="8"/>
  <c r="L16" i="8"/>
  <c r="L13" i="8"/>
  <c r="L14" i="8"/>
  <c r="L11" i="8"/>
  <c r="L12" i="8"/>
  <c r="L9" i="8"/>
  <c r="L10" i="8"/>
  <c r="L7" i="8"/>
  <c r="L8" i="8"/>
  <c r="L5" i="8"/>
  <c r="L6" i="8"/>
  <c r="L3" i="8"/>
  <c r="L4" i="8"/>
  <c r="K5" i="11"/>
  <c r="K2" i="10"/>
  <c r="K18" i="8"/>
  <c r="K17" i="8"/>
  <c r="K16" i="8"/>
  <c r="K15" i="8"/>
  <c r="K14" i="8"/>
  <c r="K6" i="8"/>
  <c r="K12" i="8"/>
  <c r="K4" i="8"/>
  <c r="K10" i="8"/>
  <c r="K7" i="8"/>
  <c r="K13" i="8"/>
  <c r="K5" i="8"/>
  <c r="K9" i="8"/>
  <c r="K8" i="8"/>
  <c r="K11" i="8"/>
  <c r="K3" i="8"/>
  <c r="K2" i="8"/>
  <c r="D7" i="10" l="1"/>
  <c r="K21" i="8"/>
  <c r="C30" i="8" l="1"/>
  <c r="C29" i="8"/>
  <c r="C24" i="8"/>
  <c r="C25" i="8"/>
  <c r="C7" i="10"/>
  <c r="C6" i="10"/>
  <c r="C35" i="8" l="1"/>
  <c r="C34" i="8"/>
  <c r="D24" i="8" l="1"/>
  <c r="D25" i="8"/>
  <c r="D26" i="8" l="1"/>
  <c r="D30" i="8"/>
  <c r="D6" i="10"/>
  <c r="D29" i="8" s="1"/>
  <c r="D34" i="8" s="1"/>
  <c r="D8" i="10" l="1"/>
  <c r="D35" i="8"/>
  <c r="D31" i="8"/>
  <c r="L2" i="11" l="1"/>
  <c r="K5" i="10" l="1"/>
  <c r="K23" i="8" s="1"/>
  <c r="L2" i="10" l="1"/>
  <c r="L2" i="8" l="1"/>
</calcChain>
</file>

<file path=xl/sharedStrings.xml><?xml version="1.0" encoding="utf-8"?>
<sst xmlns="http://schemas.openxmlformats.org/spreadsheetml/2006/main" count="205" uniqueCount="74">
  <si>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</si>
  <si>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</si>
  <si>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</si>
  <si>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</si>
  <si>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</si>
  <si>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</si>
  <si>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</si>
  <si>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</si>
  <si>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</si>
  <si>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</si>
  <si>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</si>
  <si>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</si>
  <si>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</si>
  <si>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</si>
  <si>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</si>
  <si>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</si>
  <si>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</si>
  <si>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</si>
  <si>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</si>
  <si>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</si>
  <si>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</si>
  <si>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</si>
  <si>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</si>
  <si>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</si>
  <si>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</si>
  <si>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</si>
  <si>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</si>
  <si>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일반용</t>
    <phoneticPr fontId="19" type="noConversion"/>
  </si>
  <si>
    <t>s1</t>
    <phoneticPr fontId="19" type="noConversion"/>
  </si>
  <si>
    <t>O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</si>
  <si>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</si>
  <si>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</si>
  <si>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</si>
  <si>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</si>
  <si>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</si>
  <si>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</si>
  <si>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</si>
  <si>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</si>
  <si>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</si>
  <si>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</si>
  <si>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</si>
  <si>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</si>
  <si>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</si>
  <si>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</si>
  <si>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</si>
  <si>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</si>
  <si>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기타</t>
    <phoneticPr fontId="19" type="noConversion"/>
  </si>
  <si>
    <t>북구</t>
    <phoneticPr fontId="19" type="noConversion"/>
  </si>
  <si>
    <t>복현동</t>
    <phoneticPr fontId="19" type="noConversion"/>
  </si>
  <si>
    <t>대현동</t>
    <phoneticPr fontId="19" type="noConversion"/>
  </si>
  <si>
    <t>232-1</t>
    <phoneticPr fontId="19" type="noConversion"/>
  </si>
  <si>
    <t>157-3</t>
    <phoneticPr fontId="19" type="noConversion"/>
  </si>
  <si>
    <t>215-2</t>
    <phoneticPr fontId="19" type="noConversion"/>
  </si>
  <si>
    <t>민방위용</t>
    <phoneticPr fontId="19" type="noConversion"/>
  </si>
  <si>
    <t>201-26</t>
    <phoneticPr fontId="19" type="noConversion"/>
  </si>
  <si>
    <t>111-42</t>
    <phoneticPr fontId="19" type="noConversion"/>
  </si>
  <si>
    <t>공동주택용</t>
    <phoneticPr fontId="19" type="noConversion"/>
  </si>
  <si>
    <t>신암동</t>
    <phoneticPr fontId="19" type="noConversion"/>
  </si>
  <si>
    <t>593-5</t>
    <phoneticPr fontId="19" type="noConversion"/>
  </si>
  <si>
    <t>청소용</t>
    <phoneticPr fontId="19" type="noConversion"/>
  </si>
  <si>
    <t>726-21</t>
    <phoneticPr fontId="19" type="noConversion"/>
  </si>
  <si>
    <t>공사용</t>
    <phoneticPr fontId="19" type="noConversion"/>
  </si>
  <si>
    <t>634-3</t>
    <phoneticPr fontId="19" type="noConversion"/>
  </si>
  <si>
    <t>623-27</t>
    <phoneticPr fontId="19" type="noConversion"/>
  </si>
  <si>
    <t>661-11</t>
    <phoneticPr fontId="19" type="noConversion"/>
  </si>
  <si>
    <t>661-23</t>
    <phoneticPr fontId="19" type="noConversion"/>
  </si>
  <si>
    <t>461-5</t>
    <phoneticPr fontId="19" type="noConversion"/>
  </si>
  <si>
    <t>460-3</t>
    <phoneticPr fontId="19" type="noConversion"/>
  </si>
  <si>
    <t>427-6</t>
    <phoneticPr fontId="19" type="noConversion"/>
  </si>
  <si>
    <t>403-6</t>
    <phoneticPr fontId="19" type="noConversion"/>
  </si>
  <si>
    <t>623</t>
    <phoneticPr fontId="19" type="noConversion"/>
  </si>
  <si>
    <t>산격동</t>
    <phoneticPr fontId="19" type="noConversion"/>
  </si>
  <si>
    <t>1370-1</t>
    <phoneticPr fontId="19" type="noConversion"/>
  </si>
  <si>
    <t>1419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</si>
</sst>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76200</xdr:rowOff>
        </xdr:from>
        <xdr:to>
          <xdr:col>19</xdr:col>
          <xdr:colOff>628650</xdr:colOff>
          <xdr:row>3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0</xdr:rowOff>
        </xdr:from>
        <xdr:to>
          <xdr:col>19</xdr:col>
          <xdr:colOff>666750</xdr:colOff>
          <xdr:row>3</xdr:row>
          <xdr:rowOff>85725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104775</xdr:rowOff>
        </xdr:from>
        <xdr:to>
          <xdr:col>19</xdr:col>
          <xdr:colOff>666750</xdr:colOff>
          <xdr:row>3</xdr:row>
          <xdr:rowOff>228600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41"/>
  <sheetViews>
    <sheetView tabSelected="1" workbookViewId="0">
      <selection activeCell="L27" sqref="L27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28</v>
      </c>
      <c r="B2" s="1" t="s">
        <v>26</v>
      </c>
      <c r="C2" s="2" t="s">
        <v>47</v>
      </c>
      <c r="D2" s="2" t="s">
        <v>49</v>
      </c>
      <c r="E2" s="7" t="s">
        <v>50</v>
      </c>
      <c r="F2" s="2">
        <v>120</v>
      </c>
      <c r="G2" s="2">
        <v>150</v>
      </c>
      <c r="H2" s="2">
        <v>2</v>
      </c>
      <c r="I2" s="2">
        <v>40</v>
      </c>
      <c r="J2" s="2" t="s">
        <v>27</v>
      </c>
      <c r="K2" s="3">
        <f t="shared" ref="K2:K18" si="0">ss_water(I2,J2)</f>
        <v>2.96</v>
      </c>
      <c r="L2" s="2" t="str">
        <f t="shared" ref="L2" si="1">D2&amp;" "&amp;E2&amp;" 번지"</f>
        <v>대현동 232-1 번지</v>
      </c>
      <c r="R2" s="2" t="s">
        <v>13</v>
      </c>
    </row>
    <row r="3" spans="1:18" ht="21.75" customHeight="1" x14ac:dyDescent="0.3">
      <c r="A3" s="2" t="s">
        <v>30</v>
      </c>
      <c r="B3" s="1" t="s">
        <v>26</v>
      </c>
      <c r="C3" s="2" t="s">
        <v>47</v>
      </c>
      <c r="D3" s="2" t="s">
        <v>49</v>
      </c>
      <c r="E3" s="7" t="s">
        <v>51</v>
      </c>
      <c r="F3" s="2">
        <v>100</v>
      </c>
      <c r="G3" s="2">
        <v>150</v>
      </c>
      <c r="H3" s="2">
        <v>1</v>
      </c>
      <c r="I3" s="2">
        <v>70</v>
      </c>
      <c r="J3" s="2" t="s">
        <v>27</v>
      </c>
      <c r="K3" s="3">
        <f t="shared" si="0"/>
        <v>3.59</v>
      </c>
      <c r="L3" s="2" t="str">
        <f t="shared" ref="L3:L4" si="2">D3&amp;" "&amp;E3&amp;" 번지"</f>
        <v>대현동 157-3 번지</v>
      </c>
      <c r="R3" s="2" t="s">
        <v>13</v>
      </c>
    </row>
    <row r="4" spans="1:18" ht="21.75" customHeight="1" x14ac:dyDescent="0.3">
      <c r="A4" s="2" t="s">
        <v>31</v>
      </c>
      <c r="B4" s="1" t="s">
        <v>26</v>
      </c>
      <c r="C4" s="2" t="s">
        <v>47</v>
      </c>
      <c r="D4" s="2" t="s">
        <v>49</v>
      </c>
      <c r="E4" s="7" t="s">
        <v>52</v>
      </c>
      <c r="F4" s="2">
        <v>84</v>
      </c>
      <c r="G4" s="2">
        <v>250</v>
      </c>
      <c r="H4" s="2">
        <v>7.5</v>
      </c>
      <c r="I4" s="2">
        <v>200</v>
      </c>
      <c r="J4" s="2" t="s">
        <v>53</v>
      </c>
      <c r="K4" s="3">
        <f t="shared" si="0"/>
        <v>6.32</v>
      </c>
      <c r="L4" s="2" t="str">
        <f t="shared" si="2"/>
        <v>대현동 215-2 번지</v>
      </c>
      <c r="R4" s="2" t="s">
        <v>13</v>
      </c>
    </row>
    <row r="5" spans="1:18" ht="21.75" customHeight="1" x14ac:dyDescent="0.3">
      <c r="A5" s="2" t="s">
        <v>32</v>
      </c>
      <c r="B5" s="1" t="s">
        <v>26</v>
      </c>
      <c r="C5" s="2" t="s">
        <v>47</v>
      </c>
      <c r="D5" s="2" t="s">
        <v>49</v>
      </c>
      <c r="E5" s="7" t="s">
        <v>54</v>
      </c>
      <c r="F5" s="2">
        <v>120</v>
      </c>
      <c r="G5" s="2">
        <v>100</v>
      </c>
      <c r="H5" s="2">
        <v>7.5</v>
      </c>
      <c r="I5" s="2">
        <v>100</v>
      </c>
      <c r="J5" s="2" t="s">
        <v>27</v>
      </c>
      <c r="K5" s="3">
        <f t="shared" si="0"/>
        <v>4.22</v>
      </c>
      <c r="L5" s="2" t="str">
        <f t="shared" ref="L5:L6" si="3">D5&amp;" "&amp;E5&amp;" 번지"</f>
        <v>대현동 201-26 번지</v>
      </c>
      <c r="R5" s="2" t="s">
        <v>13</v>
      </c>
    </row>
    <row r="6" spans="1:18" ht="21.75" customHeight="1" x14ac:dyDescent="0.3">
      <c r="A6" s="2" t="s">
        <v>33</v>
      </c>
      <c r="B6" s="1" t="s">
        <v>26</v>
      </c>
      <c r="C6" s="2" t="s">
        <v>47</v>
      </c>
      <c r="D6" s="2" t="s">
        <v>49</v>
      </c>
      <c r="E6" s="7" t="s">
        <v>55</v>
      </c>
      <c r="F6" s="2">
        <v>150</v>
      </c>
      <c r="G6" s="2">
        <v>40</v>
      </c>
      <c r="H6" s="2">
        <v>3</v>
      </c>
      <c r="I6" s="2">
        <v>35</v>
      </c>
      <c r="J6" s="2" t="s">
        <v>56</v>
      </c>
      <c r="K6" s="3">
        <f t="shared" si="0"/>
        <v>7.19</v>
      </c>
      <c r="L6" s="2" t="str">
        <f t="shared" si="3"/>
        <v>대현동 111-42 번지</v>
      </c>
      <c r="R6" s="2" t="s">
        <v>13</v>
      </c>
    </row>
    <row r="7" spans="1:18" ht="21.75" customHeight="1" x14ac:dyDescent="0.3">
      <c r="A7" s="2" t="s">
        <v>34</v>
      </c>
      <c r="B7" s="1" t="s">
        <v>26</v>
      </c>
      <c r="C7" s="2" t="s">
        <v>47</v>
      </c>
      <c r="D7" s="2" t="s">
        <v>57</v>
      </c>
      <c r="E7" s="7" t="s">
        <v>58</v>
      </c>
      <c r="F7" s="2">
        <v>120</v>
      </c>
      <c r="G7" s="2">
        <v>200</v>
      </c>
      <c r="H7" s="2">
        <v>2</v>
      </c>
      <c r="I7" s="2">
        <v>92</v>
      </c>
      <c r="J7" s="2" t="s">
        <v>59</v>
      </c>
      <c r="K7" s="3">
        <f t="shared" si="0"/>
        <v>0.76</v>
      </c>
      <c r="L7" s="2" t="str">
        <f t="shared" ref="L7:L8" si="4">D7&amp;" "&amp;E7&amp;" 번지"</f>
        <v>신암동 593-5 번지</v>
      </c>
      <c r="R7" s="2" t="s">
        <v>13</v>
      </c>
    </row>
    <row r="8" spans="1:18" ht="21.75" customHeight="1" x14ac:dyDescent="0.3">
      <c r="A8" s="2" t="s">
        <v>35</v>
      </c>
      <c r="B8" s="1" t="s">
        <v>26</v>
      </c>
      <c r="C8" s="2" t="s">
        <v>47</v>
      </c>
      <c r="D8" s="2" t="s">
        <v>57</v>
      </c>
      <c r="E8" s="7" t="s">
        <v>60</v>
      </c>
      <c r="F8" s="2">
        <v>100</v>
      </c>
      <c r="G8" s="2">
        <v>200</v>
      </c>
      <c r="H8" s="2">
        <v>3</v>
      </c>
      <c r="I8" s="2">
        <v>95</v>
      </c>
      <c r="J8" s="2" t="s">
        <v>61</v>
      </c>
      <c r="K8" s="3">
        <f t="shared" si="0"/>
        <v>7.19</v>
      </c>
      <c r="L8" s="2" t="str">
        <f t="shared" si="4"/>
        <v>신암동 726-21 번지</v>
      </c>
      <c r="R8" s="2" t="s">
        <v>13</v>
      </c>
    </row>
    <row r="9" spans="1:18" ht="21.75" customHeight="1" x14ac:dyDescent="0.3">
      <c r="A9" s="2" t="s">
        <v>36</v>
      </c>
      <c r="B9" s="1" t="s">
        <v>26</v>
      </c>
      <c r="C9" s="2" t="s">
        <v>47</v>
      </c>
      <c r="D9" s="2" t="s">
        <v>57</v>
      </c>
      <c r="E9" s="7" t="s">
        <v>62</v>
      </c>
      <c r="F9" s="2">
        <v>120</v>
      </c>
      <c r="G9" s="2">
        <v>150</v>
      </c>
      <c r="H9" s="2">
        <v>1</v>
      </c>
      <c r="I9" s="2">
        <v>30</v>
      </c>
      <c r="J9" s="2" t="s">
        <v>27</v>
      </c>
      <c r="K9" s="3">
        <f t="shared" si="0"/>
        <v>2.75</v>
      </c>
      <c r="L9" s="2" t="str">
        <f t="shared" ref="L9:L10" si="5">D9&amp;" "&amp;E9&amp;" 번지"</f>
        <v>신암동 634-3 번지</v>
      </c>
      <c r="R9" s="2" t="s">
        <v>13</v>
      </c>
    </row>
    <row r="10" spans="1:18" ht="21.75" customHeight="1" x14ac:dyDescent="0.3">
      <c r="A10" s="2" t="s">
        <v>37</v>
      </c>
      <c r="B10" s="1" t="s">
        <v>26</v>
      </c>
      <c r="C10" s="2" t="s">
        <v>47</v>
      </c>
      <c r="D10" s="2" t="s">
        <v>57</v>
      </c>
      <c r="E10" s="7" t="s">
        <v>63</v>
      </c>
      <c r="F10" s="2">
        <v>120</v>
      </c>
      <c r="G10" s="2">
        <v>50</v>
      </c>
      <c r="H10" s="2">
        <v>3</v>
      </c>
      <c r="I10" s="2">
        <v>35</v>
      </c>
      <c r="J10" s="2" t="s">
        <v>27</v>
      </c>
      <c r="K10" s="3">
        <f t="shared" si="0"/>
        <v>2.85</v>
      </c>
      <c r="L10" s="2" t="str">
        <f t="shared" si="5"/>
        <v>신암동 623-27 번지</v>
      </c>
      <c r="R10" s="2" t="s">
        <v>13</v>
      </c>
    </row>
    <row r="11" spans="1:18" ht="21.75" customHeight="1" x14ac:dyDescent="0.3">
      <c r="A11" s="2" t="s">
        <v>38</v>
      </c>
      <c r="B11" s="1" t="s">
        <v>26</v>
      </c>
      <c r="C11" s="2" t="s">
        <v>47</v>
      </c>
      <c r="D11" s="2" t="s">
        <v>57</v>
      </c>
      <c r="E11" s="7" t="s">
        <v>64</v>
      </c>
      <c r="F11" s="2">
        <v>100</v>
      </c>
      <c r="G11" s="2">
        <v>200</v>
      </c>
      <c r="H11" s="2">
        <v>2</v>
      </c>
      <c r="I11" s="2">
        <v>86</v>
      </c>
      <c r="J11" s="2" t="s">
        <v>27</v>
      </c>
      <c r="K11" s="3">
        <f t="shared" si="0"/>
        <v>3.92</v>
      </c>
      <c r="L11" s="2" t="str">
        <f t="shared" ref="L11:L12" si="6">D11&amp;" "&amp;E11&amp;" 번지"</f>
        <v>신암동 661-11 번지</v>
      </c>
      <c r="R11" s="2" t="s">
        <v>13</v>
      </c>
    </row>
    <row r="12" spans="1:18" ht="21.75" customHeight="1" x14ac:dyDescent="0.3">
      <c r="A12" s="2" t="s">
        <v>39</v>
      </c>
      <c r="B12" s="1" t="s">
        <v>26</v>
      </c>
      <c r="C12" s="2" t="s">
        <v>47</v>
      </c>
      <c r="D12" s="2" t="s">
        <v>57</v>
      </c>
      <c r="E12" s="7" t="s">
        <v>65</v>
      </c>
      <c r="F12" s="2">
        <v>120</v>
      </c>
      <c r="G12" s="2">
        <v>40</v>
      </c>
      <c r="H12" s="2">
        <v>1</v>
      </c>
      <c r="I12" s="2">
        <v>60</v>
      </c>
      <c r="J12" s="2" t="s">
        <v>27</v>
      </c>
      <c r="K12" s="3">
        <f t="shared" si="0"/>
        <v>3.38</v>
      </c>
      <c r="L12" s="2" t="str">
        <f t="shared" si="6"/>
        <v>신암동 661-23 번지</v>
      </c>
      <c r="R12" s="2" t="s">
        <v>13</v>
      </c>
    </row>
    <row r="13" spans="1:18" ht="21.75" customHeight="1" x14ac:dyDescent="0.3">
      <c r="A13" s="2" t="s">
        <v>40</v>
      </c>
      <c r="B13" s="1" t="s">
        <v>26</v>
      </c>
      <c r="C13" s="2" t="s">
        <v>47</v>
      </c>
      <c r="D13" s="2" t="s">
        <v>48</v>
      </c>
      <c r="E13" s="7" t="s">
        <v>66</v>
      </c>
      <c r="F13" s="2">
        <v>130</v>
      </c>
      <c r="G13" s="2">
        <v>200</v>
      </c>
      <c r="H13" s="2">
        <v>2</v>
      </c>
      <c r="I13" s="2">
        <v>50</v>
      </c>
      <c r="J13" s="2" t="s">
        <v>27</v>
      </c>
      <c r="K13" s="3">
        <f t="shared" si="0"/>
        <v>3.17</v>
      </c>
      <c r="L13" s="2" t="str">
        <f t="shared" ref="L13:L14" si="7">D13&amp;" "&amp;E13&amp;" 번지"</f>
        <v>복현동 461-5 번지</v>
      </c>
      <c r="R13" s="2" t="s">
        <v>13</v>
      </c>
    </row>
    <row r="14" spans="1:18" ht="21.75" customHeight="1" x14ac:dyDescent="0.3">
      <c r="A14" s="2" t="s">
        <v>41</v>
      </c>
      <c r="B14" s="1" t="s">
        <v>26</v>
      </c>
      <c r="C14" s="2" t="s">
        <v>47</v>
      </c>
      <c r="D14" s="2" t="s">
        <v>48</v>
      </c>
      <c r="E14" s="7" t="s">
        <v>67</v>
      </c>
      <c r="F14" s="2">
        <v>70</v>
      </c>
      <c r="G14" s="2">
        <v>38</v>
      </c>
      <c r="H14" s="2">
        <v>1</v>
      </c>
      <c r="I14" s="2">
        <v>80</v>
      </c>
      <c r="J14" s="2" t="s">
        <v>27</v>
      </c>
      <c r="K14" s="3">
        <f t="shared" si="0"/>
        <v>3.8</v>
      </c>
      <c r="L14" s="2" t="str">
        <f t="shared" si="7"/>
        <v>복현동 460-3 번지</v>
      </c>
      <c r="R14" s="2" t="s">
        <v>13</v>
      </c>
    </row>
    <row r="15" spans="1:18" ht="21.75" customHeight="1" x14ac:dyDescent="0.3">
      <c r="A15" s="2" t="s">
        <v>42</v>
      </c>
      <c r="B15" s="1" t="s">
        <v>26</v>
      </c>
      <c r="C15" s="2" t="s">
        <v>47</v>
      </c>
      <c r="D15" s="2" t="s">
        <v>48</v>
      </c>
      <c r="E15" s="7" t="s">
        <v>68</v>
      </c>
      <c r="F15" s="2">
        <v>250</v>
      </c>
      <c r="G15" s="2">
        <v>200</v>
      </c>
      <c r="H15" s="2">
        <v>3</v>
      </c>
      <c r="I15" s="2">
        <v>90</v>
      </c>
      <c r="J15" s="2" t="s">
        <v>27</v>
      </c>
      <c r="K15" s="3">
        <f t="shared" si="0"/>
        <v>4.01</v>
      </c>
      <c r="L15" s="2" t="str">
        <f t="shared" ref="L15:L16" si="8">D15&amp;" "&amp;E15&amp;" 번지"</f>
        <v>복현동 427-6 번지</v>
      </c>
      <c r="R15" s="2" t="s">
        <v>13</v>
      </c>
    </row>
    <row r="16" spans="1:18" ht="21.75" customHeight="1" x14ac:dyDescent="0.3">
      <c r="A16" s="2" t="s">
        <v>43</v>
      </c>
      <c r="B16" s="1" t="s">
        <v>26</v>
      </c>
      <c r="C16" s="2" t="s">
        <v>47</v>
      </c>
      <c r="D16" s="2" t="s">
        <v>48</v>
      </c>
      <c r="E16" s="7" t="s">
        <v>69</v>
      </c>
      <c r="F16" s="2">
        <v>120</v>
      </c>
      <c r="G16" s="2">
        <v>150</v>
      </c>
      <c r="H16" s="2">
        <v>2</v>
      </c>
      <c r="I16" s="2">
        <v>87</v>
      </c>
      <c r="J16" s="2" t="s">
        <v>27</v>
      </c>
      <c r="K16" s="3">
        <f t="shared" si="0"/>
        <v>3.95</v>
      </c>
      <c r="L16" s="2" t="str">
        <f t="shared" si="8"/>
        <v>복현동 403-6 번지</v>
      </c>
      <c r="R16" s="2" t="s">
        <v>13</v>
      </c>
    </row>
    <row r="17" spans="1:18" ht="21.75" customHeight="1" x14ac:dyDescent="0.3">
      <c r="A17" s="2" t="s">
        <v>44</v>
      </c>
      <c r="B17" s="1" t="s">
        <v>26</v>
      </c>
      <c r="C17" s="2" t="s">
        <v>47</v>
      </c>
      <c r="D17" s="2" t="s">
        <v>48</v>
      </c>
      <c r="E17" s="7" t="s">
        <v>70</v>
      </c>
      <c r="F17" s="2">
        <v>40</v>
      </c>
      <c r="G17" s="2">
        <v>25</v>
      </c>
      <c r="H17" s="2">
        <v>0.5</v>
      </c>
      <c r="I17" s="2">
        <v>30</v>
      </c>
      <c r="J17" s="2" t="s">
        <v>27</v>
      </c>
      <c r="K17" s="3">
        <f t="shared" si="0"/>
        <v>2.75</v>
      </c>
      <c r="L17" s="2" t="str">
        <f t="shared" ref="L17:L18" si="9">D17&amp;" "&amp;E17&amp;" 번지"</f>
        <v>복현동 623 번지</v>
      </c>
      <c r="R17" s="2" t="s">
        <v>13</v>
      </c>
    </row>
    <row r="18" spans="1:18" ht="21.75" customHeight="1" x14ac:dyDescent="0.3">
      <c r="A18" s="2" t="s">
        <v>45</v>
      </c>
      <c r="B18" s="1" t="s">
        <v>26</v>
      </c>
      <c r="C18" s="2" t="s">
        <v>47</v>
      </c>
      <c r="D18" s="2" t="s">
        <v>71</v>
      </c>
      <c r="E18" s="7" t="s">
        <v>72</v>
      </c>
      <c r="F18" s="2">
        <v>120</v>
      </c>
      <c r="G18" s="2">
        <v>150</v>
      </c>
      <c r="H18" s="2">
        <v>2</v>
      </c>
      <c r="I18" s="2">
        <v>93</v>
      </c>
      <c r="J18" s="2" t="s">
        <v>27</v>
      </c>
      <c r="K18" s="3">
        <f t="shared" si="0"/>
        <v>4.07</v>
      </c>
      <c r="L18" s="2" t="str">
        <f t="shared" si="9"/>
        <v>산격동 1370-1 번지</v>
      </c>
      <c r="R18" s="2" t="s">
        <v>13</v>
      </c>
    </row>
    <row r="19" spans="1:18" ht="21" customHeight="1" x14ac:dyDescent="0.3">
      <c r="B19" s="1"/>
      <c r="I19" s="2"/>
      <c r="K19" s="3"/>
    </row>
    <row r="20" spans="1:18" ht="21.75" customHeight="1" x14ac:dyDescent="0.3">
      <c r="I20" s="2"/>
    </row>
    <row r="21" spans="1:18" ht="21.75" customHeight="1" x14ac:dyDescent="0.3">
      <c r="K21" s="28">
        <f>SUM(K2:K20)</f>
        <v>66.88000000000001</v>
      </c>
    </row>
    <row r="23" spans="1:18" ht="21.75" customHeight="1" x14ac:dyDescent="0.3">
      <c r="B23" s="12" t="s">
        <v>24</v>
      </c>
      <c r="C23" s="13" t="s">
        <v>22</v>
      </c>
      <c r="D23" s="14" t="s">
        <v>7</v>
      </c>
      <c r="K23" s="4">
        <f>K21+aa!K5+ii!K5</f>
        <v>80.180000000000007</v>
      </c>
    </row>
    <row r="24" spans="1:18" ht="21.75" customHeight="1" x14ac:dyDescent="0.3">
      <c r="B24" s="15" t="s">
        <v>20</v>
      </c>
      <c r="C24" s="16">
        <f ca="1">COUNTIF(SS_INSIDE_AREA,"O")</f>
        <v>17</v>
      </c>
      <c r="D24" s="17">
        <f ca="1">SUMIF(SS_INSIDE_AREA,"O",K2:K2)</f>
        <v>66.88000000000001</v>
      </c>
    </row>
    <row r="25" spans="1:18" ht="21.75" customHeight="1" x14ac:dyDescent="0.3">
      <c r="B25" s="15" t="s">
        <v>21</v>
      </c>
      <c r="C25" s="16">
        <f ca="1">COUNTIF(SS_INSIDE_AREA,"X")</f>
        <v>0</v>
      </c>
      <c r="D25" s="17">
        <f ca="1">SUMIF(SS_INSIDE_AREA,"X",K2:K2)</f>
        <v>0</v>
      </c>
    </row>
    <row r="26" spans="1:18" ht="21.75" customHeight="1" x14ac:dyDescent="0.3">
      <c r="B26" s="18"/>
      <c r="C26" s="19"/>
      <c r="D26" s="20">
        <f ca="1">SUM(D24:D25)</f>
        <v>66.88000000000001</v>
      </c>
    </row>
    <row r="28" spans="1:18" ht="21.75" customHeight="1" x14ac:dyDescent="0.3">
      <c r="B28" s="12" t="s">
        <v>23</v>
      </c>
      <c r="C28" s="13" t="s">
        <v>22</v>
      </c>
      <c r="D28" s="14" t="s">
        <v>7</v>
      </c>
    </row>
    <row r="29" spans="1:18" ht="21.75" customHeight="1" x14ac:dyDescent="0.3">
      <c r="B29" s="15" t="s">
        <v>20</v>
      </c>
      <c r="C29" s="16">
        <f ca="1">COUNTIF(AA_INSIDE_AREA,"O")</f>
        <v>1</v>
      </c>
      <c r="D29" s="17">
        <f ca="1">aa!D6</f>
        <v>3.3</v>
      </c>
    </row>
    <row r="30" spans="1:18" ht="21.75" customHeight="1" x14ac:dyDescent="0.3">
      <c r="B30" s="15" t="s">
        <v>21</v>
      </c>
      <c r="C30" s="16">
        <f ca="1">COUNTIF(AA_INSIDE_AREA,"X")</f>
        <v>0</v>
      </c>
      <c r="D30" s="17">
        <f ca="1">aa!D7</f>
        <v>0</v>
      </c>
    </row>
    <row r="31" spans="1:18" ht="21.75" customHeight="1" x14ac:dyDescent="0.3">
      <c r="B31" s="18"/>
      <c r="C31" s="19"/>
      <c r="D31" s="20">
        <f ca="1">SUM(D29:D30)</f>
        <v>3.3</v>
      </c>
    </row>
    <row r="33" spans="2:16" ht="21.75" customHeight="1" x14ac:dyDescent="0.3">
      <c r="B33" s="12" t="s">
        <v>25</v>
      </c>
      <c r="C33" s="13" t="s">
        <v>22</v>
      </c>
      <c r="D33" s="14" t="s">
        <v>7</v>
      </c>
    </row>
    <row r="34" spans="2:16" ht="21.75" customHeight="1" x14ac:dyDescent="0.3">
      <c r="B34" s="15" t="s">
        <v>20</v>
      </c>
      <c r="C34" s="16">
        <f ca="1">C24+C29</f>
        <v>18</v>
      </c>
      <c r="D34" s="17">
        <f ca="1">D24+D29</f>
        <v>70.180000000000007</v>
      </c>
    </row>
    <row r="35" spans="2:16" ht="21.75" customHeight="1" x14ac:dyDescent="0.3">
      <c r="B35" s="18" t="s">
        <v>21</v>
      </c>
      <c r="C35" s="19">
        <f ca="1">C25+C30</f>
        <v>0</v>
      </c>
      <c r="D35" s="20">
        <f ca="1">D25+D30</f>
        <v>0</v>
      </c>
    </row>
    <row r="41" spans="2:16" ht="21.75" customHeight="1" x14ac:dyDescent="0.3">
      <c r="J41" s="26"/>
      <c r="K41" s="26"/>
      <c r="L41" s="26"/>
      <c r="M41" s="26"/>
      <c r="N41" s="26"/>
      <c r="O41" s="26"/>
      <c r="P41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76200</xdr:rowOff>
              </from>
              <to>
                <xdr:col>19</xdr:col>
                <xdr:colOff>628650</xdr:colOff>
                <xdr:row>3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8"/>
  <sheetViews>
    <sheetView workbookViewId="0">
      <selection activeCell="N22" sqref="N2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26</v>
      </c>
      <c r="C2" s="2" t="s">
        <v>47</v>
      </c>
      <c r="D2" s="2" t="s">
        <v>71</v>
      </c>
      <c r="E2" s="25" t="s">
        <v>72</v>
      </c>
      <c r="F2" s="24">
        <v>90</v>
      </c>
      <c r="G2" s="24">
        <v>200</v>
      </c>
      <c r="H2" s="24">
        <v>3</v>
      </c>
      <c r="I2" s="24">
        <v>136</v>
      </c>
      <c r="J2" s="24" t="s">
        <v>46</v>
      </c>
      <c r="K2" s="2">
        <f t="shared" ref="K2" si="0">aa_water(I2,J2)</f>
        <v>3.3</v>
      </c>
      <c r="L2" s="2" t="str">
        <f t="shared" ref="L2" si="1">D2&amp;" "&amp;E2&amp;" 번지"</f>
        <v>산격동 1370-1 번지</v>
      </c>
      <c r="M2" s="24"/>
      <c r="N2" s="24"/>
      <c r="O2" s="24"/>
      <c r="P2" s="3"/>
      <c r="Q2" s="24"/>
      <c r="R2" s="2" t="s">
        <v>29</v>
      </c>
    </row>
    <row r="3" spans="1:18" ht="21.75" customHeight="1" x14ac:dyDescent="0.3">
      <c r="I3" s="2"/>
      <c r="K3" s="3"/>
      <c r="N3" s="3"/>
      <c r="O3" s="3"/>
      <c r="P3" s="3"/>
    </row>
    <row r="4" spans="1:18" ht="21.75" customHeight="1" x14ac:dyDescent="0.3">
      <c r="K4" s="5"/>
    </row>
    <row r="5" spans="1:18" ht="21.75" customHeight="1" x14ac:dyDescent="0.3">
      <c r="B5" s="21" t="s">
        <v>23</v>
      </c>
      <c r="C5" s="13" t="s">
        <v>22</v>
      </c>
      <c r="D5" s="14" t="s">
        <v>7</v>
      </c>
      <c r="K5" s="27">
        <f>SUM(K2:K4)</f>
        <v>3.3</v>
      </c>
      <c r="L5" s="11"/>
    </row>
    <row r="6" spans="1:18" ht="21.75" customHeight="1" x14ac:dyDescent="0.3">
      <c r="B6" s="22" t="s">
        <v>20</v>
      </c>
      <c r="C6" s="16">
        <f ca="1">COUNTIF(AA_INSIDE_AREA,"O")</f>
        <v>1</v>
      </c>
      <c r="D6" s="17">
        <f ca="1">SUMIF(AA_INSIDE_AREA,"O",$K$2:$K$2)</f>
        <v>3.3</v>
      </c>
    </row>
    <row r="7" spans="1:18" ht="21.75" customHeight="1" x14ac:dyDescent="0.3">
      <c r="B7" s="22" t="s">
        <v>21</v>
      </c>
      <c r="C7" s="16">
        <f ca="1">COUNTIF(AA_INSIDE_AREA,"X")</f>
        <v>0</v>
      </c>
      <c r="D7" s="17">
        <f ca="1">SUMIF(AA_INSIDE_AREA,"X",$K$2:$K$2)</f>
        <v>0</v>
      </c>
    </row>
    <row r="8" spans="1:18" ht="21.75" customHeight="1" x14ac:dyDescent="0.3">
      <c r="B8" s="23"/>
      <c r="C8" s="19"/>
      <c r="D8" s="20">
        <f ca="1">D6+D7</f>
        <v>3.3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0</xdr:rowOff>
              </from>
              <to>
                <xdr:col>19</xdr:col>
                <xdr:colOff>666750</xdr:colOff>
                <xdr:row>3</xdr:row>
                <xdr:rowOff>85725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N10" sqref="N10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47</v>
      </c>
      <c r="D2" s="2" t="s">
        <v>71</v>
      </c>
      <c r="E2" s="7" t="s">
        <v>73</v>
      </c>
      <c r="F2" s="2">
        <v>100</v>
      </c>
      <c r="G2" s="2">
        <v>150</v>
      </c>
      <c r="H2" s="2">
        <v>1</v>
      </c>
      <c r="I2" s="2">
        <v>50</v>
      </c>
      <c r="J2" s="2" t="s">
        <v>46</v>
      </c>
      <c r="K2" s="2">
        <v>10</v>
      </c>
      <c r="L2" s="2" t="str">
        <f t="shared" ref="L2" si="0">D2&amp;" "&amp;E2&amp;" 번지"</f>
        <v>산격동 1419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K5" s="28">
        <f>SUM(K2:K4)</f>
        <v>10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104775</xdr:rowOff>
              </from>
              <to>
                <xdr:col>19</xdr:col>
                <xdr:colOff>666750</xdr:colOff>
                <xdr:row>3</xdr:row>
                <xdr:rowOff>228600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2021-03-29T02:09:14Z</dcterms:modified>
</cp:coreProperties>
</file>