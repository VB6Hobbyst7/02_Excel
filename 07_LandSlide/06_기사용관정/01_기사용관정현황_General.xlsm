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9_hardRain\06_ihanseol - 2021\99_Excel\"/>
    </mc:Choice>
  </mc:AlternateContent>
  <xr:revisionPtr revIDLastSave="0" documentId="13_ncr:1_{1DD790BB-98B8-4AB5-9E32-9E83A0899499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s" sheetId="8" r:id="rId1"/>
    <sheet name="aa" sheetId="10" r:id="rId2"/>
    <sheet name="ii" sheetId="11" r:id="rId3"/>
  </sheets>
  <functionGroups builtInGroupCount="19"/>
  <definedNames>
    <definedName name="AA_INSIDE_AREA">OFFSET(aa!$R$2,0,0,COUNTA(aa!$R:$R),1)</definedName>
    <definedName name="II_INSIDE_AREA">OFFSET(ii!$R$2,0,0,COUNTA(ii!$R:$R),1)</definedName>
    <definedName name="SS_INSIDE_AREA">OFFSET(ss!$R$2,0,0,COUNTA(ss!$R:$R),1)</definedName>
  </definedNames>
  <calcPr calcId="181029"/>
</workbook>
</file>

<file path=xl/calcChain.xml><?xml version="1.0" encoding="utf-8"?>
<calcChain xmlns="http://schemas.openxmlformats.org/spreadsheetml/2006/main">
  <c r="K2" i="8" l="1"/>
  <c r="K3" i="8"/>
  <c r="G22" i="8"/>
  <c r="G21" i="8"/>
  <c r="D9" i="11"/>
  <c r="H22" i="8" s="1"/>
  <c r="D8" i="11"/>
  <c r="H21" i="8" s="1"/>
  <c r="C9" i="11"/>
  <c r="C8" i="11"/>
  <c r="D18" i="10"/>
  <c r="L2" i="10"/>
  <c r="L3" i="10"/>
  <c r="L4" i="10"/>
  <c r="L5" i="10"/>
  <c r="L6" i="10"/>
  <c r="L7" i="10"/>
  <c r="L8" i="10"/>
  <c r="L9" i="10"/>
  <c r="L10" i="10"/>
  <c r="L11" i="10"/>
  <c r="L12" i="10"/>
  <c r="L13" i="10"/>
  <c r="L3" i="8"/>
  <c r="L4" i="8"/>
  <c r="L5" i="8"/>
  <c r="L6" i="8"/>
  <c r="L7" i="8"/>
  <c r="L8" i="8"/>
  <c r="L9" i="8"/>
  <c r="L10" i="8"/>
  <c r="L11" i="8"/>
  <c r="L12" i="8"/>
  <c r="L13" i="8"/>
  <c r="L14" i="8"/>
  <c r="L15" i="8"/>
  <c r="L2" i="8"/>
  <c r="K4" i="8"/>
  <c r="K12" i="8"/>
  <c r="K5" i="8"/>
  <c r="K13" i="8"/>
  <c r="K6" i="8"/>
  <c r="K14" i="8"/>
  <c r="K7" i="8"/>
  <c r="K15" i="8"/>
  <c r="K11" i="8"/>
  <c r="K8" i="8"/>
  <c r="K9" i="8"/>
  <c r="K10" i="8"/>
  <c r="K5" i="11" l="1"/>
  <c r="D10" i="11" s="1"/>
  <c r="H23" i="8" s="1"/>
  <c r="D27" i="8"/>
  <c r="K6" i="10"/>
  <c r="K7" i="10"/>
  <c r="K13" i="10"/>
  <c r="K9" i="10"/>
  <c r="K12" i="10"/>
  <c r="K4" i="10"/>
  <c r="K10" i="10"/>
  <c r="K8" i="10"/>
  <c r="K11" i="10"/>
  <c r="K5" i="10"/>
  <c r="K3" i="10"/>
  <c r="K2" i="10"/>
  <c r="K18" i="8" l="1"/>
  <c r="C27" i="8" l="1"/>
  <c r="C26" i="8"/>
  <c r="C21" i="8"/>
  <c r="C22" i="8"/>
  <c r="C18" i="10"/>
  <c r="C17" i="10"/>
  <c r="C32" i="8" l="1"/>
  <c r="C31" i="8"/>
  <c r="K23" i="8" s="1"/>
  <c r="D21" i="8" l="1"/>
  <c r="D22" i="8"/>
  <c r="D32" i="8" s="1"/>
  <c r="D23" i="8" l="1"/>
  <c r="D17" i="10"/>
  <c r="D26" i="8" l="1"/>
  <c r="D31" i="8" s="1"/>
  <c r="K22" i="8" s="1"/>
  <c r="D19" i="10"/>
  <c r="D28" i="8" l="1"/>
  <c r="L2" i="11"/>
  <c r="K16" i="10" l="1"/>
  <c r="K20" i="8" s="1"/>
</calcChain>
</file>

<file path=xl/sharedStrings.xml><?xml version="1.0" encoding="utf-8"?>
<sst xmlns="http://schemas.openxmlformats.org/spreadsheetml/2006/main" count="251" uniqueCount="74">
  <si>
    <t>종류</t>
  </si>
  <si>
    <t>굴착심도(m)</t>
  </si>
  <si>
    <t>굴착직경(mm)</t>
  </si>
  <si>
    <t>동력장치마력(마력)</t>
  </si>
  <si>
    <t>신고공</t>
  </si>
  <si>
    <t>id</t>
    <phoneticPr fontId="19" type="noConversion"/>
  </si>
  <si>
    <t>a1</t>
    <phoneticPr fontId="19" type="noConversion"/>
  </si>
  <si>
    <t>물량</t>
    <phoneticPr fontId="19" type="noConversion"/>
  </si>
  <si>
    <t>주소</t>
    <phoneticPr fontId="19" type="noConversion"/>
  </si>
  <si>
    <t>주소</t>
    <phoneticPr fontId="19" type="noConversion"/>
  </si>
  <si>
    <t>양수능력</t>
    <phoneticPr fontId="19" type="noConversion"/>
  </si>
  <si>
    <t>i1</t>
    <phoneticPr fontId="19" type="noConversion"/>
  </si>
  <si>
    <t>유역내외</t>
    <phoneticPr fontId="19" type="noConversion"/>
  </si>
  <si>
    <t>O</t>
    <phoneticPr fontId="19" type="noConversion"/>
  </si>
  <si>
    <t>심도</t>
    <phoneticPr fontId="19" type="noConversion"/>
  </si>
  <si>
    <t>구경</t>
    <phoneticPr fontId="19" type="noConversion"/>
  </si>
  <si>
    <t xml:space="preserve">마력 </t>
    <phoneticPr fontId="19" type="noConversion"/>
  </si>
  <si>
    <t>사용량</t>
    <phoneticPr fontId="19" type="noConversion"/>
  </si>
  <si>
    <t>용도</t>
    <phoneticPr fontId="19" type="noConversion"/>
  </si>
  <si>
    <t>마력</t>
    <phoneticPr fontId="19" type="noConversion"/>
  </si>
  <si>
    <t>유역내</t>
    <phoneticPr fontId="19" type="noConversion"/>
  </si>
  <si>
    <t>유역외</t>
    <phoneticPr fontId="19" type="noConversion"/>
  </si>
  <si>
    <t>갯수</t>
    <phoneticPr fontId="19" type="noConversion"/>
  </si>
  <si>
    <t>AA</t>
    <phoneticPr fontId="19" type="noConversion"/>
  </si>
  <si>
    <t>SS</t>
    <phoneticPr fontId="19" type="noConversion"/>
  </si>
  <si>
    <t>SUM</t>
    <phoneticPr fontId="19" type="noConversion"/>
  </si>
  <si>
    <t>부적면</t>
  </si>
  <si>
    <t>외성리</t>
  </si>
  <si>
    <t>자유입지업체</t>
  </si>
  <si>
    <t>451</t>
    <phoneticPr fontId="19" type="noConversion"/>
  </si>
  <si>
    <t>신고공</t>
    <phoneticPr fontId="19" type="noConversion"/>
  </si>
  <si>
    <t>s1</t>
    <phoneticPr fontId="19" type="noConversion"/>
  </si>
  <si>
    <t>a2</t>
  </si>
  <si>
    <t>a3</t>
  </si>
  <si>
    <t>O</t>
  </si>
  <si>
    <t>전작용</t>
    <phoneticPr fontId="19" type="noConversion"/>
  </si>
  <si>
    <t>s2</t>
  </si>
  <si>
    <t>s3</t>
  </si>
  <si>
    <t>s4</t>
  </si>
  <si>
    <t>s5</t>
  </si>
  <si>
    <t>s6</t>
  </si>
  <si>
    <t>s7</t>
  </si>
  <si>
    <t>가정용</t>
    <phoneticPr fontId="19" type="noConversion"/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</si>
  <si>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</si>
  <si>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</si>
  <si>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</si>
  <si>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</si>
  <si>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</si>
  <si>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</si>
  <si>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</si>
  <si>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</si>
  <si>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</si>
  <si>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s8</t>
  </si>
  <si>
    <t>s9</t>
  </si>
  <si>
    <t>s10</t>
  </si>
  <si>
    <t>s11</t>
  </si>
  <si>
    <t>s12</t>
  </si>
  <si>
    <t>s13</t>
  </si>
  <si>
    <t>답작용</t>
    <phoneticPr fontId="19" type="noConversion"/>
  </si>
  <si>
    <t>s14</t>
  </si>
  <si>
    <t>남포면</t>
    <phoneticPr fontId="19" type="noConversion"/>
  </si>
  <si>
    <t>양항리</t>
    <phoneticPr fontId="19" type="noConversion"/>
  </si>
  <si>
    <t>농생활겸용</t>
    <phoneticPr fontId="19" type="noConversion"/>
  </si>
  <si>
    <t>축산업</t>
    <phoneticPr fontId="19" type="noConversion"/>
  </si>
  <si>
    <t>양기리</t>
    <phoneticPr fontId="19" type="noConversion"/>
  </si>
  <si>
    <t>영기리</t>
    <phoneticPr fontId="19" type="noConversion"/>
  </si>
  <si>
    <t>일반용</t>
    <phoneticPr fontId="19" type="noConversion"/>
  </si>
  <si>
    <t>신흥리</t>
    <phoneticPr fontId="19" type="noConversion"/>
  </si>
  <si>
    <t>허가공</t>
    <phoneticPr fontId="19" type="noConversion"/>
  </si>
  <si>
    <t>II</t>
    <phoneticPr fontId="19" type="noConversion"/>
  </si>
  <si>
    <t>총물량</t>
    <phoneticPr fontId="19" type="noConversion"/>
  </si>
  <si>
    <t>총유역내</t>
    <phoneticPr fontId="19" type="noConversion"/>
  </si>
  <si>
    <t>총유역내관정수</t>
    <phoneticPr fontId="19" type="noConversion"/>
  </si>
  <si>
    <t>생활용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</si>
</sst>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"/>
    <numFmt numFmtId="177" formatCode="0.000_ "/>
  </numFmts>
  <fonts count="2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inor"/>
    </font>
    <font>
      <b/>
      <i/>
      <sz val="10"/>
      <color rgb="FFFF0000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9"/>
      <color rgb="FF333333"/>
      <name val="Arial"/>
      <family val="2"/>
    </font>
    <font>
      <b/>
      <i/>
      <sz val="11"/>
      <color rgb="FFFF0000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35">
    <xf numFmtId="0" fontId="0" fillId="0" borderId="0" xfId="0">
      <alignment vertical="center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22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49" fontId="18" fillId="0" borderId="0" xfId="0" applyNumberFormat="1" applyFont="1" applyAlignment="1">
      <alignment horizontal="center" vertical="center" wrapText="1"/>
    </xf>
    <xf numFmtId="49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23" fillId="0" borderId="0" xfId="0" applyFont="1" applyAlignment="1">
      <alignment horizontal="center" vertical="center"/>
    </xf>
    <xf numFmtId="177" fontId="18" fillId="0" borderId="0" xfId="0" applyNumberFormat="1" applyFont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8" fillId="0" borderId="12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18" fillId="0" borderId="0" xfId="0" applyFont="1" applyBorder="1" applyAlignment="1">
      <alignment horizontal="center" vertical="center"/>
    </xf>
    <xf numFmtId="0" fontId="18" fillId="0" borderId="14" xfId="0" applyFont="1" applyBorder="1" applyAlignment="1">
      <alignment horizontal="center" vertical="center"/>
    </xf>
    <xf numFmtId="0" fontId="18" fillId="0" borderId="15" xfId="0" applyFont="1" applyBorder="1" applyAlignment="1">
      <alignment horizontal="center" vertical="center"/>
    </xf>
    <xf numFmtId="0" fontId="18" fillId="0" borderId="16" xfId="0" applyFont="1" applyBorder="1" applyAlignment="1">
      <alignment horizontal="center" vertical="center"/>
    </xf>
    <xf numFmtId="0" fontId="18" fillId="0" borderId="17" xfId="0" applyFont="1" applyBorder="1" applyAlignment="1">
      <alignment horizontal="center" vertical="center"/>
    </xf>
    <xf numFmtId="0" fontId="23" fillId="0" borderId="10" xfId="0" applyFont="1" applyBorder="1" applyAlignment="1">
      <alignment horizontal="center" vertical="center"/>
    </xf>
    <xf numFmtId="0" fontId="23" fillId="0" borderId="13" xfId="0" applyFont="1" applyBorder="1" applyAlignment="1">
      <alignment horizontal="center" vertical="center"/>
    </xf>
    <xf numFmtId="0" fontId="23" fillId="0" borderId="15" xfId="0" applyFont="1" applyBorder="1" applyAlignment="1">
      <alignment horizontal="center" vertical="center"/>
    </xf>
    <xf numFmtId="0" fontId="23" fillId="0" borderId="0" xfId="0" applyFont="1" applyFill="1" applyAlignment="1">
      <alignment horizontal="center" vertical="center"/>
    </xf>
    <xf numFmtId="49" fontId="18" fillId="0" borderId="0" xfId="0" quotePrefix="1" applyNumberFormat="1" applyFont="1" applyFill="1" applyAlignment="1">
      <alignment horizontal="center" vertical="center"/>
    </xf>
    <xf numFmtId="0" fontId="24" fillId="33" borderId="0" xfId="0" applyFont="1" applyFill="1" applyAlignment="1">
      <alignment horizontal="center" vertical="center" wrapText="1"/>
    </xf>
    <xf numFmtId="176" fontId="25" fillId="0" borderId="0" xfId="0" applyNumberFormat="1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2" fontId="20" fillId="0" borderId="0" xfId="0" applyNumberFormat="1" applyFont="1" applyAlignment="1">
      <alignment horizontal="center" vertical="center" wrapText="1"/>
    </xf>
    <xf numFmtId="0" fontId="26" fillId="0" borderId="0" xfId="0" applyFont="1" applyAlignment="1">
      <alignment horizontal="center" vertical="center" wrapText="1"/>
    </xf>
    <xf numFmtId="0" fontId="18" fillId="0" borderId="18" xfId="0" applyFont="1" applyBorder="1" applyAlignment="1">
      <alignment horizontal="center" vertical="center"/>
    </xf>
    <xf numFmtId="0" fontId="18" fillId="0" borderId="20" xfId="0" applyFont="1" applyBorder="1" applyAlignment="1">
      <alignment horizontal="center" vertical="center"/>
    </xf>
    <xf numFmtId="0" fontId="22" fillId="0" borderId="19" xfId="0" applyFont="1" applyBorder="1" applyAlignment="1">
      <alignment horizontal="center" vertical="center"/>
    </xf>
    <xf numFmtId="0" fontId="22" fillId="0" borderId="21" xfId="0" applyFont="1" applyBorder="1" applyAlignment="1">
      <alignment horizontal="center" vertical="center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85725</xdr:colOff>
          <xdr:row>0</xdr:row>
          <xdr:rowOff>66675</xdr:rowOff>
        </xdr:from>
        <xdr:to>
          <xdr:col>19</xdr:col>
          <xdr:colOff>619125</xdr:colOff>
          <xdr:row>0</xdr:row>
          <xdr:rowOff>428625</xdr:rowOff>
        </xdr:to>
        <xdr:sp macro="" textlink="">
          <xdr:nvSpPr>
            <xdr:cNvPr id="2049" name="CommandButtonCopy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95250</xdr:colOff>
          <xdr:row>0</xdr:row>
          <xdr:rowOff>476250</xdr:rowOff>
        </xdr:from>
        <xdr:to>
          <xdr:col>19</xdr:col>
          <xdr:colOff>628650</xdr:colOff>
          <xdr:row>1</xdr:row>
          <xdr:rowOff>238125</xdr:rowOff>
        </xdr:to>
        <xdr:sp macro="" textlink="">
          <xdr:nvSpPr>
            <xdr:cNvPr id="2050" name="CommandButtonDelet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95250</xdr:colOff>
          <xdr:row>2</xdr:row>
          <xdr:rowOff>47625</xdr:rowOff>
        </xdr:from>
        <xdr:to>
          <xdr:col>19</xdr:col>
          <xdr:colOff>628650</xdr:colOff>
          <xdr:row>3</xdr:row>
          <xdr:rowOff>133350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0</xdr:row>
          <xdr:rowOff>85725</xdr:rowOff>
        </xdr:from>
        <xdr:to>
          <xdr:col>19</xdr:col>
          <xdr:colOff>647700</xdr:colOff>
          <xdr:row>0</xdr:row>
          <xdr:rowOff>447675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123825</xdr:colOff>
          <xdr:row>0</xdr:row>
          <xdr:rowOff>523875</xdr:rowOff>
        </xdr:from>
        <xdr:to>
          <xdr:col>19</xdr:col>
          <xdr:colOff>657225</xdr:colOff>
          <xdr:row>2</xdr:row>
          <xdr:rowOff>9525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133350</xdr:colOff>
          <xdr:row>2</xdr:row>
          <xdr:rowOff>133350</xdr:rowOff>
        </xdr:from>
        <xdr:to>
          <xdr:col>19</xdr:col>
          <xdr:colOff>666750</xdr:colOff>
          <xdr:row>3</xdr:row>
          <xdr:rowOff>219075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133350</xdr:colOff>
          <xdr:row>0</xdr:row>
          <xdr:rowOff>133350</xdr:rowOff>
        </xdr:from>
        <xdr:to>
          <xdr:col>19</xdr:col>
          <xdr:colOff>666750</xdr:colOff>
          <xdr:row>0</xdr:row>
          <xdr:rowOff>495300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133350</xdr:colOff>
          <xdr:row>0</xdr:row>
          <xdr:rowOff>523875</xdr:rowOff>
        </xdr:from>
        <xdr:to>
          <xdr:col>19</xdr:col>
          <xdr:colOff>666750</xdr:colOff>
          <xdr:row>2</xdr:row>
          <xdr:rowOff>47625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76200</xdr:colOff>
          <xdr:row>0</xdr:row>
          <xdr:rowOff>276225</xdr:rowOff>
        </xdr:from>
        <xdr:to>
          <xdr:col>21</xdr:col>
          <xdr:colOff>609600</xdr:colOff>
          <xdr:row>1</xdr:row>
          <xdr:rowOff>38100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Relationship Id="rId9" Type="http://schemas.openxmlformats.org/officeDocument/2006/relationships/image" Target="../media/image9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13DBA-9FB2-4973-854E-504327365C37}">
  <sheetPr codeName="Sheet5"/>
  <dimension ref="A1:R38"/>
  <sheetViews>
    <sheetView tabSelected="1" workbookViewId="0">
      <selection activeCell="J16" sqref="J16"/>
    </sheetView>
  </sheetViews>
  <sheetFormatPr defaultColWidth="9" defaultRowHeight="21.75" customHeight="1" x14ac:dyDescent="0.3"/>
  <cols>
    <col min="1" max="1" width="9" style="2"/>
    <col min="2" max="2" width="7.75" style="2" customWidth="1"/>
    <col min="3" max="3" width="7.5" style="2" customWidth="1"/>
    <col min="4" max="4" width="7.875" style="2" customWidth="1"/>
    <col min="5" max="5" width="10.125" style="7" customWidth="1"/>
    <col min="6" max="6" width="9.125" style="2" customWidth="1"/>
    <col min="7" max="7" width="9.875" style="2" customWidth="1"/>
    <col min="8" max="8" width="10.125" style="2" customWidth="1"/>
    <col min="9" max="9" width="9" style="8"/>
    <col min="10" max="10" width="12.375" style="2" customWidth="1"/>
    <col min="11" max="11" width="11.5" style="2" customWidth="1"/>
    <col min="12" max="12" width="25.25" style="2" customWidth="1"/>
    <col min="13" max="16" width="9" style="2"/>
    <col min="17" max="17" width="11.375" style="2" bestFit="1" customWidth="1"/>
    <col min="18" max="16384" width="9" style="2"/>
  </cols>
  <sheetData>
    <row r="1" spans="1:18" ht="47.25" customHeight="1" x14ac:dyDescent="0.3">
      <c r="A1" s="2" t="s">
        <v>5</v>
      </c>
      <c r="B1" s="1" t="s">
        <v>0</v>
      </c>
      <c r="C1" s="1" t="s">
        <v>9</v>
      </c>
      <c r="D1" s="1" t="s">
        <v>8</v>
      </c>
      <c r="E1" s="6" t="s">
        <v>8</v>
      </c>
      <c r="F1" s="1" t="s">
        <v>1</v>
      </c>
      <c r="G1" s="1" t="s">
        <v>2</v>
      </c>
      <c r="H1" s="1" t="s">
        <v>3</v>
      </c>
      <c r="I1" s="1" t="s">
        <v>10</v>
      </c>
      <c r="J1" s="2" t="s">
        <v>18</v>
      </c>
      <c r="K1" s="1" t="s">
        <v>7</v>
      </c>
      <c r="L1" s="1"/>
      <c r="M1" s="2" t="s">
        <v>14</v>
      </c>
      <c r="N1" s="2" t="s">
        <v>15</v>
      </c>
      <c r="O1" s="2" t="s">
        <v>16</v>
      </c>
      <c r="P1" s="2" t="s">
        <v>17</v>
      </c>
      <c r="Q1" s="2" t="s">
        <v>18</v>
      </c>
      <c r="R1" s="2" t="s">
        <v>12</v>
      </c>
    </row>
    <row r="2" spans="1:18" ht="21.75" customHeight="1" x14ac:dyDescent="0.3">
      <c r="A2" s="2" t="s">
        <v>31</v>
      </c>
      <c r="B2" s="1" t="s">
        <v>30</v>
      </c>
      <c r="C2" s="2" t="s">
        <v>60</v>
      </c>
      <c r="D2" s="2" t="s">
        <v>61</v>
      </c>
      <c r="I2" s="2"/>
      <c r="J2" s="2" t="s">
        <v>42</v>
      </c>
      <c r="K2" s="29">
        <f t="shared" ref="K2:K15" si="0">ss_water(I2,J2)</f>
        <v>0.71</v>
      </c>
      <c r="L2" s="2" t="str">
        <f>D2&amp;" "&amp;E2&amp;"번지"</f>
        <v>양항리 번지</v>
      </c>
      <c r="R2" s="2" t="s">
        <v>13</v>
      </c>
    </row>
    <row r="3" spans="1:18" ht="21.75" customHeight="1" x14ac:dyDescent="0.3">
      <c r="A3" s="2" t="s">
        <v>36</v>
      </c>
      <c r="B3" s="1" t="s">
        <v>30</v>
      </c>
      <c r="C3" s="2" t="s">
        <v>60</v>
      </c>
      <c r="D3" s="2" t="s">
        <v>61</v>
      </c>
      <c r="I3" s="2"/>
      <c r="J3" s="2" t="s">
        <v>62</v>
      </c>
      <c r="K3" s="29">
        <f t="shared" si="0"/>
        <v>3.15</v>
      </c>
      <c r="L3" s="2" t="str">
        <f t="shared" ref="L3:L15" si="1">D3&amp;" "&amp;E3&amp;"번지"</f>
        <v>양항리 번지</v>
      </c>
      <c r="R3" s="2" t="s">
        <v>13</v>
      </c>
    </row>
    <row r="4" spans="1:18" ht="21.75" customHeight="1" x14ac:dyDescent="0.3">
      <c r="A4" s="2" t="s">
        <v>37</v>
      </c>
      <c r="B4" s="1" t="s">
        <v>30</v>
      </c>
      <c r="C4" s="2" t="s">
        <v>60</v>
      </c>
      <c r="D4" s="2" t="s">
        <v>61</v>
      </c>
      <c r="I4" s="2"/>
      <c r="J4" s="2" t="s">
        <v>62</v>
      </c>
      <c r="K4" s="29">
        <f t="shared" si="0"/>
        <v>3.15</v>
      </c>
      <c r="L4" s="2" t="str">
        <f t="shared" si="1"/>
        <v>양항리 번지</v>
      </c>
      <c r="R4" s="2" t="s">
        <v>13</v>
      </c>
    </row>
    <row r="5" spans="1:18" ht="21.75" customHeight="1" x14ac:dyDescent="0.3">
      <c r="A5" s="2" t="s">
        <v>38</v>
      </c>
      <c r="B5" s="1" t="s">
        <v>30</v>
      </c>
      <c r="C5" s="2" t="s">
        <v>60</v>
      </c>
      <c r="D5" s="2" t="s">
        <v>65</v>
      </c>
      <c r="I5" s="2"/>
      <c r="J5" s="2" t="s">
        <v>66</v>
      </c>
      <c r="K5" s="29">
        <f t="shared" si="0"/>
        <v>3.15</v>
      </c>
      <c r="L5" s="2" t="str">
        <f t="shared" si="1"/>
        <v>영기리 번지</v>
      </c>
      <c r="R5" s="2" t="s">
        <v>13</v>
      </c>
    </row>
    <row r="6" spans="1:18" ht="21.75" customHeight="1" x14ac:dyDescent="0.3">
      <c r="A6" s="2" t="s">
        <v>39</v>
      </c>
      <c r="B6" s="1" t="s">
        <v>30</v>
      </c>
      <c r="C6" s="2" t="s">
        <v>60</v>
      </c>
      <c r="D6" s="2" t="s">
        <v>67</v>
      </c>
      <c r="I6" s="2"/>
      <c r="J6" s="2" t="s">
        <v>42</v>
      </c>
      <c r="K6" s="29">
        <f t="shared" si="0"/>
        <v>0.71</v>
      </c>
      <c r="L6" s="2" t="str">
        <f t="shared" si="1"/>
        <v>신흥리 번지</v>
      </c>
      <c r="R6" s="2" t="s">
        <v>13</v>
      </c>
    </row>
    <row r="7" spans="1:18" ht="21.75" customHeight="1" x14ac:dyDescent="0.3">
      <c r="A7" s="2" t="s">
        <v>40</v>
      </c>
      <c r="B7" s="30" t="s">
        <v>68</v>
      </c>
      <c r="C7" s="2" t="s">
        <v>60</v>
      </c>
      <c r="D7" s="2" t="s">
        <v>67</v>
      </c>
      <c r="I7" s="2"/>
      <c r="J7" s="2" t="s">
        <v>66</v>
      </c>
      <c r="K7" s="29">
        <f t="shared" si="0"/>
        <v>3.15</v>
      </c>
      <c r="L7" s="2" t="str">
        <f t="shared" si="1"/>
        <v>신흥리 번지</v>
      </c>
      <c r="R7" s="2" t="s">
        <v>13</v>
      </c>
    </row>
    <row r="8" spans="1:18" ht="21.75" customHeight="1" x14ac:dyDescent="0.3">
      <c r="A8" s="2" t="s">
        <v>41</v>
      </c>
      <c r="B8" s="1" t="s">
        <v>30</v>
      </c>
      <c r="C8" s="2" t="s">
        <v>60</v>
      </c>
      <c r="D8" s="2" t="s">
        <v>64</v>
      </c>
      <c r="I8" s="2"/>
      <c r="J8" s="2" t="s">
        <v>42</v>
      </c>
      <c r="K8" s="29">
        <f t="shared" si="0"/>
        <v>0.71</v>
      </c>
      <c r="L8" s="2" t="str">
        <f t="shared" si="1"/>
        <v>양기리 번지</v>
      </c>
      <c r="R8" s="2" t="s">
        <v>13</v>
      </c>
    </row>
    <row r="9" spans="1:18" ht="21.75" customHeight="1" x14ac:dyDescent="0.3">
      <c r="A9" s="2" t="s">
        <v>52</v>
      </c>
      <c r="B9" s="1" t="s">
        <v>30</v>
      </c>
      <c r="C9" s="2" t="s">
        <v>60</v>
      </c>
      <c r="D9" s="2" t="s">
        <v>61</v>
      </c>
      <c r="I9" s="2"/>
      <c r="J9" s="2" t="s">
        <v>42</v>
      </c>
      <c r="K9" s="29">
        <f t="shared" si="0"/>
        <v>0.71</v>
      </c>
      <c r="L9" s="2" t="str">
        <f t="shared" si="1"/>
        <v>양항리 번지</v>
      </c>
      <c r="R9" s="2" t="s">
        <v>13</v>
      </c>
    </row>
    <row r="10" spans="1:18" ht="21.75" customHeight="1" x14ac:dyDescent="0.3">
      <c r="A10" s="2" t="s">
        <v>53</v>
      </c>
      <c r="B10" s="1" t="s">
        <v>30</v>
      </c>
      <c r="C10" s="2" t="s">
        <v>60</v>
      </c>
      <c r="D10" s="2" t="s">
        <v>61</v>
      </c>
      <c r="I10" s="2"/>
      <c r="J10" s="2" t="s">
        <v>42</v>
      </c>
      <c r="K10" s="29">
        <f t="shared" si="0"/>
        <v>0.71</v>
      </c>
      <c r="L10" s="2" t="str">
        <f t="shared" si="1"/>
        <v>양항리 번지</v>
      </c>
      <c r="R10" s="2" t="s">
        <v>13</v>
      </c>
    </row>
    <row r="11" spans="1:18" ht="21.75" customHeight="1" x14ac:dyDescent="0.3">
      <c r="A11" s="2" t="s">
        <v>54</v>
      </c>
      <c r="B11" s="1" t="s">
        <v>30</v>
      </c>
      <c r="C11" s="2" t="s">
        <v>60</v>
      </c>
      <c r="D11" s="2" t="s">
        <v>61</v>
      </c>
      <c r="I11" s="2"/>
      <c r="J11" s="2" t="s">
        <v>42</v>
      </c>
      <c r="K11" s="29">
        <f t="shared" si="0"/>
        <v>0.71</v>
      </c>
      <c r="L11" s="2" t="str">
        <f t="shared" si="1"/>
        <v>양항리 번지</v>
      </c>
      <c r="R11" s="2" t="s">
        <v>13</v>
      </c>
    </row>
    <row r="12" spans="1:18" ht="21.75" customHeight="1" x14ac:dyDescent="0.3">
      <c r="A12" s="2" t="s">
        <v>55</v>
      </c>
      <c r="B12" s="1" t="s">
        <v>30</v>
      </c>
      <c r="C12" s="2" t="s">
        <v>60</v>
      </c>
      <c r="D12" s="2" t="s">
        <v>61</v>
      </c>
      <c r="I12" s="2"/>
      <c r="J12" s="2" t="s">
        <v>42</v>
      </c>
      <c r="K12" s="29">
        <f t="shared" si="0"/>
        <v>0.71</v>
      </c>
      <c r="L12" s="2" t="str">
        <f t="shared" si="1"/>
        <v>양항리 번지</v>
      </c>
      <c r="R12" s="2" t="s">
        <v>13</v>
      </c>
    </row>
    <row r="13" spans="1:18" ht="21.75" customHeight="1" x14ac:dyDescent="0.3">
      <c r="A13" s="2" t="s">
        <v>56</v>
      </c>
      <c r="B13" s="1" t="s">
        <v>30</v>
      </c>
      <c r="C13" s="2" t="s">
        <v>60</v>
      </c>
      <c r="D13" s="2" t="s">
        <v>61</v>
      </c>
      <c r="I13" s="2"/>
      <c r="J13" s="2" t="s">
        <v>42</v>
      </c>
      <c r="K13" s="29">
        <f t="shared" si="0"/>
        <v>0.71</v>
      </c>
      <c r="L13" s="2" t="str">
        <f t="shared" si="1"/>
        <v>양항리 번지</v>
      </c>
      <c r="R13" s="2" t="s">
        <v>13</v>
      </c>
    </row>
    <row r="14" spans="1:18" ht="21.75" customHeight="1" x14ac:dyDescent="0.3">
      <c r="A14" s="2" t="s">
        <v>57</v>
      </c>
      <c r="B14" s="1" t="s">
        <v>30</v>
      </c>
      <c r="C14" s="2" t="s">
        <v>60</v>
      </c>
      <c r="D14" s="2" t="s">
        <v>61</v>
      </c>
      <c r="I14" s="2"/>
      <c r="J14" s="2" t="s">
        <v>42</v>
      </c>
      <c r="K14" s="29">
        <f t="shared" si="0"/>
        <v>0.71</v>
      </c>
      <c r="L14" s="2" t="str">
        <f t="shared" si="1"/>
        <v>양항리 번지</v>
      </c>
      <c r="R14" s="2" t="s">
        <v>13</v>
      </c>
    </row>
    <row r="15" spans="1:18" ht="21.75" customHeight="1" x14ac:dyDescent="0.3">
      <c r="A15" s="2" t="s">
        <v>59</v>
      </c>
      <c r="B15" s="1" t="s">
        <v>30</v>
      </c>
      <c r="C15" s="2" t="s">
        <v>60</v>
      </c>
      <c r="D15" s="2" t="s">
        <v>61</v>
      </c>
      <c r="I15" s="2"/>
      <c r="J15" s="2" t="s">
        <v>42</v>
      </c>
      <c r="K15" s="29">
        <f t="shared" si="0"/>
        <v>0.71</v>
      </c>
      <c r="L15" s="2" t="str">
        <f t="shared" si="1"/>
        <v>양항리 번지</v>
      </c>
      <c r="R15" s="2" t="s">
        <v>13</v>
      </c>
    </row>
    <row r="16" spans="1:18" ht="21" customHeight="1" x14ac:dyDescent="0.3">
      <c r="B16" s="1"/>
      <c r="I16" s="2"/>
      <c r="K16" s="3"/>
    </row>
    <row r="17" spans="2:11" ht="21.75" customHeight="1" x14ac:dyDescent="0.3">
      <c r="I17" s="2"/>
    </row>
    <row r="18" spans="2:11" ht="21.75" customHeight="1" x14ac:dyDescent="0.3">
      <c r="J18" s="2" t="s">
        <v>73</v>
      </c>
      <c r="K18" s="28">
        <f>SUM(K2:K17)</f>
        <v>19.700000000000006</v>
      </c>
    </row>
    <row r="19" spans="2:11" ht="21.75" customHeight="1" x14ac:dyDescent="0.3">
      <c r="K19" s="28"/>
    </row>
    <row r="20" spans="2:11" ht="21.75" customHeight="1" x14ac:dyDescent="0.3">
      <c r="B20" s="12" t="s">
        <v>24</v>
      </c>
      <c r="C20" s="13" t="s">
        <v>22</v>
      </c>
      <c r="D20" s="14" t="s">
        <v>7</v>
      </c>
      <c r="F20" s="21" t="s">
        <v>69</v>
      </c>
      <c r="G20" s="13" t="s">
        <v>22</v>
      </c>
      <c r="H20" s="14" t="s">
        <v>7</v>
      </c>
      <c r="J20" s="2" t="s">
        <v>70</v>
      </c>
      <c r="K20" s="4">
        <f>K18+aa!K16+ii!K5</f>
        <v>67.58</v>
      </c>
    </row>
    <row r="21" spans="2:11" ht="21.75" customHeight="1" thickBot="1" x14ac:dyDescent="0.35">
      <c r="B21" s="15" t="s">
        <v>20</v>
      </c>
      <c r="C21" s="16">
        <f ca="1">COUNTIF(SS_INSIDE_AREA,"O")</f>
        <v>14</v>
      </c>
      <c r="D21" s="17">
        <f ca="1">SUMIF(SS_INSIDE_AREA,"O",K2:K2)</f>
        <v>19.700000000000006</v>
      </c>
      <c r="F21" s="22" t="s">
        <v>20</v>
      </c>
      <c r="G21" s="16">
        <f ca="1">COUNTIF(II_INSIDE_AREA,"O")</f>
        <v>1</v>
      </c>
      <c r="H21" s="17">
        <f ca="1">ii!D8</f>
        <v>0</v>
      </c>
    </row>
    <row r="22" spans="2:11" ht="21.75" customHeight="1" x14ac:dyDescent="0.3">
      <c r="B22" s="15" t="s">
        <v>21</v>
      </c>
      <c r="C22" s="16">
        <f ca="1">COUNTIF(SS_INSIDE_AREA,"X")</f>
        <v>0</v>
      </c>
      <c r="D22" s="17">
        <f ca="1">SUMIF(SS_INSIDE_AREA,"X",K2:K2)</f>
        <v>0</v>
      </c>
      <c r="F22" s="22" t="s">
        <v>21</v>
      </c>
      <c r="G22" s="16">
        <f ca="1">COUNTIF(II_INSIDE_AREA,"X")</f>
        <v>0</v>
      </c>
      <c r="H22" s="17">
        <f ca="1">ii!D9</f>
        <v>0</v>
      </c>
      <c r="J22" s="31" t="s">
        <v>71</v>
      </c>
      <c r="K22" s="33">
        <f ca="1">D31</f>
        <v>67.58</v>
      </c>
    </row>
    <row r="23" spans="2:11" ht="21.75" customHeight="1" thickBot="1" x14ac:dyDescent="0.35">
      <c r="B23" s="18"/>
      <c r="C23" s="19"/>
      <c r="D23" s="20">
        <f ca="1">SUM(D21:D22)</f>
        <v>19.700000000000006</v>
      </c>
      <c r="F23" s="23"/>
      <c r="G23" s="19"/>
      <c r="H23" s="20">
        <f ca="1">ii!D10</f>
        <v>0</v>
      </c>
      <c r="J23" s="32" t="s">
        <v>72</v>
      </c>
      <c r="K23" s="34">
        <f ca="1">C31+IF(H21=0,0,G21)</f>
        <v>26</v>
      </c>
    </row>
    <row r="25" spans="2:11" ht="21.75" customHeight="1" x14ac:dyDescent="0.3">
      <c r="B25" s="12" t="s">
        <v>23</v>
      </c>
      <c r="C25" s="13" t="s">
        <v>22</v>
      </c>
      <c r="D25" s="14" t="s">
        <v>7</v>
      </c>
    </row>
    <row r="26" spans="2:11" ht="21.75" customHeight="1" x14ac:dyDescent="0.3">
      <c r="B26" s="15" t="s">
        <v>20</v>
      </c>
      <c r="C26" s="16">
        <f ca="1">COUNTIF(AA_INSIDE_AREA,"O")</f>
        <v>12</v>
      </c>
      <c r="D26" s="17">
        <f ca="1">aa!D17</f>
        <v>47.879999999999995</v>
      </c>
    </row>
    <row r="27" spans="2:11" ht="21.75" customHeight="1" x14ac:dyDescent="0.3">
      <c r="B27" s="15" t="s">
        <v>21</v>
      </c>
      <c r="C27" s="16">
        <f ca="1">COUNTIF(AA_INSIDE_AREA,"X")</f>
        <v>0</v>
      </c>
      <c r="D27" s="17">
        <f ca="1">aa!D18</f>
        <v>0</v>
      </c>
    </row>
    <row r="28" spans="2:11" ht="21.75" customHeight="1" x14ac:dyDescent="0.3">
      <c r="B28" s="18"/>
      <c r="C28" s="19"/>
      <c r="D28" s="20">
        <f ca="1">SUM(D26:D27)</f>
        <v>47.879999999999995</v>
      </c>
    </row>
    <row r="30" spans="2:11" ht="21.75" customHeight="1" x14ac:dyDescent="0.3">
      <c r="B30" s="12" t="s">
        <v>25</v>
      </c>
      <c r="C30" s="13" t="s">
        <v>22</v>
      </c>
      <c r="D30" s="14" t="s">
        <v>7</v>
      </c>
    </row>
    <row r="31" spans="2:11" ht="21.75" customHeight="1" x14ac:dyDescent="0.3">
      <c r="B31" s="15" t="s">
        <v>20</v>
      </c>
      <c r="C31" s="16">
        <f ca="1">C21+C26+IF(H21=0,0,G21)</f>
        <v>26</v>
      </c>
      <c r="D31" s="17">
        <f ca="1">D21+D26+H21</f>
        <v>67.58</v>
      </c>
    </row>
    <row r="32" spans="2:11" ht="21.75" customHeight="1" x14ac:dyDescent="0.3">
      <c r="B32" s="18" t="s">
        <v>21</v>
      </c>
      <c r="C32" s="19">
        <f ca="1">C22+C27+IF(H22=0,0,G22)</f>
        <v>0</v>
      </c>
      <c r="D32" s="20">
        <f ca="1">D22+D27+H22</f>
        <v>0</v>
      </c>
    </row>
    <row r="38" spans="10:16" ht="21.75" customHeight="1" x14ac:dyDescent="0.3">
      <c r="J38" s="26"/>
      <c r="K38" s="26"/>
      <c r="L38" s="26"/>
      <c r="M38" s="26"/>
      <c r="N38" s="26"/>
      <c r="O38" s="26"/>
      <c r="P38" s="26"/>
    </row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Copy">
          <controlPr defaultSize="0" autoLine="0" r:id="rId5">
            <anchor moveWithCells="1">
              <from>
                <xdr:col>18</xdr:col>
                <xdr:colOff>85725</xdr:colOff>
                <xdr:row>0</xdr:row>
                <xdr:rowOff>66675</xdr:rowOff>
              </from>
              <to>
                <xdr:col>19</xdr:col>
                <xdr:colOff>619125</xdr:colOff>
                <xdr:row>0</xdr:row>
                <xdr:rowOff>428625</xdr:rowOff>
              </to>
            </anchor>
          </controlPr>
        </control>
      </mc:Choice>
      <mc:Fallback>
        <control shapeId="2049" r:id="rId4" name="CommandButtonCopy"/>
      </mc:Fallback>
    </mc:AlternateContent>
    <mc:AlternateContent xmlns:mc="http://schemas.openxmlformats.org/markup-compatibility/2006">
      <mc:Choice Requires="x14">
        <control shapeId="2050" r:id="rId6" name="CommandButtonDelete">
          <controlPr defaultSize="0" autoLine="0" r:id="rId7">
            <anchor moveWithCells="1">
              <from>
                <xdr:col>18</xdr:col>
                <xdr:colOff>95250</xdr:colOff>
                <xdr:row>0</xdr:row>
                <xdr:rowOff>476250</xdr:rowOff>
              </from>
              <to>
                <xdr:col>19</xdr:col>
                <xdr:colOff>628650</xdr:colOff>
                <xdr:row>1</xdr:row>
                <xdr:rowOff>238125</xdr:rowOff>
              </to>
            </anchor>
          </controlPr>
        </control>
      </mc:Choice>
      <mc:Fallback>
        <control shapeId="2050" r:id="rId6" name="CommandButtonDelete"/>
      </mc:Fallback>
    </mc:AlternateContent>
    <mc:AlternateContent xmlns:mc="http://schemas.openxmlformats.org/markup-compatibility/2006">
      <mc:Choice Requires="x14">
        <control shapeId="2051" r:id="rId8" name="CommandButton1">
          <controlPr defaultSize="0" autoLine="0" r:id="rId9">
            <anchor moveWithCells="1">
              <from>
                <xdr:col>18</xdr:col>
                <xdr:colOff>95250</xdr:colOff>
                <xdr:row>2</xdr:row>
                <xdr:rowOff>47625</xdr:rowOff>
              </from>
              <to>
                <xdr:col>19</xdr:col>
                <xdr:colOff>628650</xdr:colOff>
                <xdr:row>3</xdr:row>
                <xdr:rowOff>133350</xdr:rowOff>
              </to>
            </anchor>
          </controlPr>
        </control>
      </mc:Choice>
      <mc:Fallback>
        <control shapeId="2051" r:id="rId8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DAE35-2816-4FB6-B258-392D87014E0E}">
  <sheetPr codeName="Sheet2"/>
  <dimension ref="A1:R19"/>
  <sheetViews>
    <sheetView topLeftCell="A4" workbookViewId="0">
      <selection activeCell="I16" sqref="I16"/>
    </sheetView>
  </sheetViews>
  <sheetFormatPr defaultColWidth="9" defaultRowHeight="21.75" customHeight="1" x14ac:dyDescent="0.3"/>
  <cols>
    <col min="1" max="1" width="9" style="2"/>
    <col min="2" max="2" width="7.75" style="10" customWidth="1"/>
    <col min="3" max="3" width="7.5" style="2" customWidth="1"/>
    <col min="4" max="4" width="7.875" style="2" customWidth="1"/>
    <col min="5" max="5" width="10.125" style="7" customWidth="1"/>
    <col min="6" max="6" width="9.125" style="2" customWidth="1"/>
    <col min="7" max="7" width="9.875" style="2" customWidth="1"/>
    <col min="8" max="8" width="10.125" style="2" customWidth="1"/>
    <col min="9" max="9" width="9" style="8"/>
    <col min="10" max="10" width="9" style="2"/>
    <col min="11" max="11" width="10.625" style="2" customWidth="1"/>
    <col min="12" max="12" width="25.25" style="2" customWidth="1"/>
    <col min="13" max="16384" width="9" style="2"/>
  </cols>
  <sheetData>
    <row r="1" spans="1:18" ht="47.25" customHeight="1" x14ac:dyDescent="0.3">
      <c r="A1" s="2" t="s">
        <v>5</v>
      </c>
      <c r="B1" s="10" t="s">
        <v>0</v>
      </c>
      <c r="C1" s="1" t="s">
        <v>8</v>
      </c>
      <c r="D1" s="1" t="s">
        <v>8</v>
      </c>
      <c r="E1" s="6" t="s">
        <v>8</v>
      </c>
      <c r="F1" s="1" t="s">
        <v>1</v>
      </c>
      <c r="G1" s="1" t="s">
        <v>2</v>
      </c>
      <c r="H1" s="1" t="s">
        <v>3</v>
      </c>
      <c r="I1" s="1" t="s">
        <v>10</v>
      </c>
      <c r="J1" s="2" t="s">
        <v>18</v>
      </c>
      <c r="K1" s="1" t="s">
        <v>7</v>
      </c>
      <c r="L1" s="1" t="s">
        <v>8</v>
      </c>
      <c r="M1" s="2" t="s">
        <v>14</v>
      </c>
      <c r="N1" s="2" t="s">
        <v>15</v>
      </c>
      <c r="O1" s="2" t="s">
        <v>19</v>
      </c>
      <c r="P1" s="2" t="s">
        <v>17</v>
      </c>
      <c r="Q1" s="2" t="s">
        <v>18</v>
      </c>
      <c r="R1" s="2" t="s">
        <v>12</v>
      </c>
    </row>
    <row r="2" spans="1:18" s="8" customFormat="1" ht="21.75" customHeight="1" x14ac:dyDescent="0.3">
      <c r="A2" s="1" t="s">
        <v>6</v>
      </c>
      <c r="B2" s="1" t="s">
        <v>30</v>
      </c>
      <c r="C2" s="2" t="s">
        <v>60</v>
      </c>
      <c r="D2" s="2" t="s">
        <v>61</v>
      </c>
      <c r="E2" s="25"/>
      <c r="F2" s="24"/>
      <c r="G2" s="24"/>
      <c r="H2" s="24"/>
      <c r="I2" s="24"/>
      <c r="J2" s="24" t="s">
        <v>35</v>
      </c>
      <c r="K2" s="2">
        <f>aa_water(I2,J2)</f>
        <v>6.96</v>
      </c>
      <c r="L2" s="2" t="str">
        <f>D2&amp;" "&amp;E2&amp;"번지"</f>
        <v>양항리 번지</v>
      </c>
      <c r="M2" s="24"/>
      <c r="N2" s="24"/>
      <c r="O2" s="24"/>
      <c r="P2" s="3"/>
      <c r="Q2" s="24"/>
      <c r="R2" s="2" t="s">
        <v>34</v>
      </c>
    </row>
    <row r="3" spans="1:18" s="8" customFormat="1" ht="21.75" customHeight="1" x14ac:dyDescent="0.3">
      <c r="A3" s="1" t="s">
        <v>32</v>
      </c>
      <c r="B3" s="1" t="s">
        <v>30</v>
      </c>
      <c r="C3" s="2" t="s">
        <v>60</v>
      </c>
      <c r="D3" s="2" t="s">
        <v>61</v>
      </c>
      <c r="E3" s="25"/>
      <c r="F3" s="24"/>
      <c r="G3" s="24"/>
      <c r="H3" s="24"/>
      <c r="I3" s="24"/>
      <c r="J3" s="24" t="s">
        <v>58</v>
      </c>
      <c r="K3" s="2">
        <f t="shared" ref="K3:K4" si="0">aa_water(I3,J3)</f>
        <v>2.09</v>
      </c>
      <c r="L3" s="2" t="str">
        <f t="shared" ref="L3:L13" si="1">D3&amp;" "&amp;E3&amp;"번지"</f>
        <v>양항리 번지</v>
      </c>
      <c r="M3" s="24"/>
      <c r="N3" s="24"/>
      <c r="O3" s="24"/>
      <c r="P3" s="3"/>
      <c r="Q3" s="24"/>
      <c r="R3" s="2" t="s">
        <v>34</v>
      </c>
    </row>
    <row r="4" spans="1:18" s="8" customFormat="1" ht="21.75" customHeight="1" x14ac:dyDescent="0.3">
      <c r="A4" s="1" t="s">
        <v>33</v>
      </c>
      <c r="B4" s="1" t="s">
        <v>30</v>
      </c>
      <c r="C4" s="2" t="s">
        <v>60</v>
      </c>
      <c r="D4" s="2" t="s">
        <v>61</v>
      </c>
      <c r="E4" s="25"/>
      <c r="F4" s="24"/>
      <c r="G4" s="24"/>
      <c r="H4" s="24"/>
      <c r="I4" s="24"/>
      <c r="J4" s="24" t="s">
        <v>63</v>
      </c>
      <c r="K4" s="2">
        <f t="shared" si="0"/>
        <v>3.75</v>
      </c>
      <c r="L4" s="2" t="str">
        <f t="shared" si="1"/>
        <v>양항리 번지</v>
      </c>
      <c r="M4" s="24"/>
      <c r="N4" s="24"/>
      <c r="O4" s="24"/>
      <c r="P4" s="3"/>
      <c r="Q4" s="24"/>
      <c r="R4" s="2" t="s">
        <v>34</v>
      </c>
    </row>
    <row r="5" spans="1:18" s="8" customFormat="1" ht="21.75" customHeight="1" x14ac:dyDescent="0.3">
      <c r="A5" s="1" t="s">
        <v>43</v>
      </c>
      <c r="B5" s="1" t="s">
        <v>30</v>
      </c>
      <c r="C5" s="2" t="s">
        <v>60</v>
      </c>
      <c r="D5" s="2" t="s">
        <v>64</v>
      </c>
      <c r="E5" s="25"/>
      <c r="F5" s="24"/>
      <c r="G5" s="24"/>
      <c r="H5" s="24"/>
      <c r="I5" s="24"/>
      <c r="J5" s="24" t="s">
        <v>58</v>
      </c>
      <c r="K5" s="2">
        <f t="shared" ref="K5:K6" si="2">aa_water(I5,J5)</f>
        <v>2.09</v>
      </c>
      <c r="L5" s="2" t="str">
        <f t="shared" si="1"/>
        <v>양기리 번지</v>
      </c>
      <c r="M5" s="24"/>
      <c r="N5" s="24"/>
      <c r="O5" s="24"/>
      <c r="P5" s="3"/>
      <c r="Q5" s="24"/>
      <c r="R5" s="2" t="s">
        <v>34</v>
      </c>
    </row>
    <row r="6" spans="1:18" s="8" customFormat="1" ht="21.75" customHeight="1" x14ac:dyDescent="0.3">
      <c r="A6" s="1" t="s">
        <v>44</v>
      </c>
      <c r="B6" s="1" t="s">
        <v>30</v>
      </c>
      <c r="C6" s="2" t="s">
        <v>60</v>
      </c>
      <c r="D6" s="2" t="s">
        <v>64</v>
      </c>
      <c r="E6" s="25"/>
      <c r="F6" s="24"/>
      <c r="G6" s="24"/>
      <c r="H6" s="24"/>
      <c r="I6" s="24"/>
      <c r="J6" s="24" t="s">
        <v>58</v>
      </c>
      <c r="K6" s="2">
        <f t="shared" si="2"/>
        <v>2.09</v>
      </c>
      <c r="L6" s="2" t="str">
        <f t="shared" si="1"/>
        <v>양기리 번지</v>
      </c>
      <c r="M6" s="24"/>
      <c r="N6" s="24"/>
      <c r="O6" s="24"/>
      <c r="P6" s="3"/>
      <c r="Q6" s="24"/>
      <c r="R6" s="2" t="s">
        <v>34</v>
      </c>
    </row>
    <row r="7" spans="1:18" s="8" customFormat="1" ht="20.25" customHeight="1" x14ac:dyDescent="0.3">
      <c r="A7" s="1" t="s">
        <v>45</v>
      </c>
      <c r="B7" s="1" t="s">
        <v>30</v>
      </c>
      <c r="C7" s="2" t="s">
        <v>60</v>
      </c>
      <c r="D7" s="2" t="s">
        <v>67</v>
      </c>
      <c r="E7" s="25"/>
      <c r="F7" s="24"/>
      <c r="G7" s="24"/>
      <c r="H7" s="24"/>
      <c r="I7" s="24"/>
      <c r="J7" s="24" t="s">
        <v>58</v>
      </c>
      <c r="K7" s="2">
        <f t="shared" ref="K7:K8" si="3">aa_water(I7,J7)</f>
        <v>2.09</v>
      </c>
      <c r="L7" s="2" t="str">
        <f t="shared" si="1"/>
        <v>신흥리 번지</v>
      </c>
      <c r="M7" s="24"/>
      <c r="N7" s="24"/>
      <c r="O7" s="24"/>
      <c r="P7" s="3"/>
      <c r="Q7" s="24"/>
      <c r="R7" s="2" t="s">
        <v>34</v>
      </c>
    </row>
    <row r="8" spans="1:18" s="8" customFormat="1" ht="21.75" customHeight="1" x14ac:dyDescent="0.3">
      <c r="A8" s="1" t="s">
        <v>46</v>
      </c>
      <c r="B8" s="1" t="s">
        <v>30</v>
      </c>
      <c r="C8" s="2" t="s">
        <v>60</v>
      </c>
      <c r="D8" s="2" t="s">
        <v>67</v>
      </c>
      <c r="E8" s="25"/>
      <c r="F8" s="24"/>
      <c r="G8" s="24"/>
      <c r="H8" s="24"/>
      <c r="I8" s="24"/>
      <c r="J8" s="24" t="s">
        <v>58</v>
      </c>
      <c r="K8" s="2">
        <f t="shared" si="3"/>
        <v>2.09</v>
      </c>
      <c r="L8" s="2" t="str">
        <f t="shared" si="1"/>
        <v>신흥리 번지</v>
      </c>
      <c r="M8" s="24"/>
      <c r="N8" s="24"/>
      <c r="O8" s="24"/>
      <c r="P8" s="3"/>
      <c r="Q8" s="24"/>
      <c r="R8" s="2" t="s">
        <v>34</v>
      </c>
    </row>
    <row r="9" spans="1:18" s="8" customFormat="1" ht="21.75" customHeight="1" x14ac:dyDescent="0.3">
      <c r="A9" s="1" t="s">
        <v>47</v>
      </c>
      <c r="B9" s="1" t="s">
        <v>30</v>
      </c>
      <c r="C9" s="2" t="s">
        <v>60</v>
      </c>
      <c r="D9" s="2" t="s">
        <v>61</v>
      </c>
      <c r="E9" s="25"/>
      <c r="F9" s="24"/>
      <c r="G9" s="24"/>
      <c r="H9" s="24"/>
      <c r="I9" s="24"/>
      <c r="J9" s="24" t="s">
        <v>35</v>
      </c>
      <c r="K9" s="2">
        <f t="shared" ref="K9:K10" si="4">aa_water(I9,J9)</f>
        <v>6.96</v>
      </c>
      <c r="L9" s="2" t="str">
        <f t="shared" si="1"/>
        <v>양항리 번지</v>
      </c>
      <c r="M9" s="24"/>
      <c r="N9" s="24"/>
      <c r="O9" s="24"/>
      <c r="P9" s="3"/>
      <c r="Q9" s="24"/>
      <c r="R9" s="2" t="s">
        <v>34</v>
      </c>
    </row>
    <row r="10" spans="1:18" s="8" customFormat="1" ht="21.75" customHeight="1" x14ac:dyDescent="0.3">
      <c r="A10" s="1" t="s">
        <v>48</v>
      </c>
      <c r="B10" s="1" t="s">
        <v>30</v>
      </c>
      <c r="C10" s="2" t="s">
        <v>60</v>
      </c>
      <c r="D10" s="2" t="s">
        <v>61</v>
      </c>
      <c r="E10" s="25"/>
      <c r="F10" s="24"/>
      <c r="G10" s="24"/>
      <c r="H10" s="24"/>
      <c r="I10" s="24"/>
      <c r="J10" s="24" t="s">
        <v>35</v>
      </c>
      <c r="K10" s="2">
        <f t="shared" si="4"/>
        <v>6.96</v>
      </c>
      <c r="L10" s="2" t="str">
        <f t="shared" si="1"/>
        <v>양항리 번지</v>
      </c>
      <c r="M10" s="24"/>
      <c r="N10" s="24"/>
      <c r="O10" s="24"/>
      <c r="P10" s="3"/>
      <c r="Q10" s="24"/>
      <c r="R10" s="2" t="s">
        <v>34</v>
      </c>
    </row>
    <row r="11" spans="1:18" s="8" customFormat="1" ht="21.75" customHeight="1" x14ac:dyDescent="0.3">
      <c r="A11" s="1" t="s">
        <v>49</v>
      </c>
      <c r="B11" s="1" t="s">
        <v>30</v>
      </c>
      <c r="C11" s="2" t="s">
        <v>60</v>
      </c>
      <c r="D11" s="2" t="s">
        <v>61</v>
      </c>
      <c r="E11" s="25"/>
      <c r="F11" s="24"/>
      <c r="G11" s="24"/>
      <c r="H11" s="24"/>
      <c r="I11" s="24"/>
      <c r="J11" s="24" t="s">
        <v>35</v>
      </c>
      <c r="K11" s="2">
        <f t="shared" ref="K11:K12" si="5">aa_water(I11,J11)</f>
        <v>6.96</v>
      </c>
      <c r="L11" s="2" t="str">
        <f t="shared" si="1"/>
        <v>양항리 번지</v>
      </c>
      <c r="M11" s="24"/>
      <c r="N11" s="24"/>
      <c r="O11" s="24"/>
      <c r="P11" s="3"/>
      <c r="Q11" s="24"/>
      <c r="R11" s="2" t="s">
        <v>34</v>
      </c>
    </row>
    <row r="12" spans="1:18" s="8" customFormat="1" ht="21.75" customHeight="1" x14ac:dyDescent="0.3">
      <c r="A12" s="1" t="s">
        <v>50</v>
      </c>
      <c r="B12" s="1" t="s">
        <v>30</v>
      </c>
      <c r="C12" s="2" t="s">
        <v>60</v>
      </c>
      <c r="D12" s="2" t="s">
        <v>61</v>
      </c>
      <c r="E12" s="25"/>
      <c r="F12" s="24"/>
      <c r="G12" s="24"/>
      <c r="H12" s="24"/>
      <c r="I12" s="24"/>
      <c r="J12" s="24" t="s">
        <v>58</v>
      </c>
      <c r="K12" s="2">
        <f t="shared" si="5"/>
        <v>2.09</v>
      </c>
      <c r="L12" s="2" t="str">
        <f t="shared" si="1"/>
        <v>양항리 번지</v>
      </c>
      <c r="M12" s="24"/>
      <c r="N12" s="24"/>
      <c r="O12" s="24"/>
      <c r="P12" s="3"/>
      <c r="Q12" s="24"/>
      <c r="R12" s="2" t="s">
        <v>34</v>
      </c>
    </row>
    <row r="13" spans="1:18" s="8" customFormat="1" ht="21.75" customHeight="1" x14ac:dyDescent="0.3">
      <c r="A13" s="1" t="s">
        <v>51</v>
      </c>
      <c r="B13" s="1" t="s">
        <v>30</v>
      </c>
      <c r="C13" s="2" t="s">
        <v>60</v>
      </c>
      <c r="D13" s="2" t="s">
        <v>61</v>
      </c>
      <c r="E13" s="25"/>
      <c r="F13" s="24"/>
      <c r="G13" s="24"/>
      <c r="H13" s="24"/>
      <c r="I13" s="24"/>
      <c r="J13" s="24" t="s">
        <v>63</v>
      </c>
      <c r="K13" s="2">
        <f t="shared" ref="K13" si="6">aa_water(I13,J13)</f>
        <v>3.75</v>
      </c>
      <c r="L13" s="2" t="str">
        <f t="shared" si="1"/>
        <v>양항리 번지</v>
      </c>
      <c r="M13" s="24"/>
      <c r="N13" s="24"/>
      <c r="O13" s="24"/>
      <c r="P13" s="3"/>
      <c r="Q13" s="24"/>
      <c r="R13" s="2" t="s">
        <v>34</v>
      </c>
    </row>
    <row r="14" spans="1:18" ht="21.75" customHeight="1" x14ac:dyDescent="0.3">
      <c r="I14" s="2"/>
      <c r="K14" s="3"/>
      <c r="N14" s="3"/>
      <c r="O14" s="3"/>
      <c r="P14" s="3"/>
    </row>
    <row r="15" spans="1:18" ht="21.75" customHeight="1" x14ac:dyDescent="0.3">
      <c r="K15" s="5"/>
    </row>
    <row r="16" spans="1:18" ht="21.75" customHeight="1" x14ac:dyDescent="0.3">
      <c r="B16" s="21" t="s">
        <v>23</v>
      </c>
      <c r="C16" s="13" t="s">
        <v>22</v>
      </c>
      <c r="D16" s="14" t="s">
        <v>7</v>
      </c>
      <c r="J16" s="2" t="s">
        <v>70</v>
      </c>
      <c r="K16" s="27">
        <f>SUM(K2:K15)</f>
        <v>47.879999999999995</v>
      </c>
      <c r="L16" s="11"/>
    </row>
    <row r="17" spans="2:11" ht="21.75" customHeight="1" x14ac:dyDescent="0.3">
      <c r="B17" s="22" t="s">
        <v>20</v>
      </c>
      <c r="C17" s="16">
        <f ca="1">COUNTIF(AA_INSIDE_AREA,"O")</f>
        <v>12</v>
      </c>
      <c r="D17" s="17">
        <f ca="1">SUMIF(AA_INSIDE_AREA,"O",$K$2:$K$2)</f>
        <v>47.879999999999995</v>
      </c>
    </row>
    <row r="18" spans="2:11" ht="21.75" customHeight="1" x14ac:dyDescent="0.3">
      <c r="B18" s="22" t="s">
        <v>21</v>
      </c>
      <c r="C18" s="16">
        <f ca="1">COUNTIF(AA_INSIDE_AREA,"X")</f>
        <v>0</v>
      </c>
      <c r="D18" s="17">
        <f ca="1">SUMIF(AA_INSIDE_AREA,"X",$K$2:$K$2)</f>
        <v>0</v>
      </c>
      <c r="K18" s="4"/>
    </row>
    <row r="19" spans="2:11" ht="21.75" customHeight="1" x14ac:dyDescent="0.3">
      <c r="B19" s="23"/>
      <c r="C19" s="19"/>
      <c r="D19" s="20">
        <f ca="1">D17+D18</f>
        <v>47.879999999999995</v>
      </c>
      <c r="K19" s="4"/>
    </row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r:id="rId5">
            <anchor moveWithCells="1">
              <from>
                <xdr:col>18</xdr:col>
                <xdr:colOff>114300</xdr:colOff>
                <xdr:row>0</xdr:row>
                <xdr:rowOff>85725</xdr:rowOff>
              </from>
              <to>
                <xdr:col>19</xdr:col>
                <xdr:colOff>647700</xdr:colOff>
                <xdr:row>0</xdr:row>
                <xdr:rowOff>447675</xdr:rowOff>
              </to>
            </anchor>
          </controlPr>
        </control>
      </mc:Choice>
      <mc:Fallback>
        <control shapeId="3073" r:id="rId4" name="CommandButton1"/>
      </mc:Fallback>
    </mc:AlternateContent>
    <mc:AlternateContent xmlns:mc="http://schemas.openxmlformats.org/markup-compatibility/2006">
      <mc:Choice Requires="x14">
        <control shapeId="3074" r:id="rId6" name="CommandButton2">
          <controlPr defaultSize="0" autoLine="0" r:id="rId7">
            <anchor moveWithCells="1">
              <from>
                <xdr:col>18</xdr:col>
                <xdr:colOff>123825</xdr:colOff>
                <xdr:row>0</xdr:row>
                <xdr:rowOff>523875</xdr:rowOff>
              </from>
              <to>
                <xdr:col>19</xdr:col>
                <xdr:colOff>657225</xdr:colOff>
                <xdr:row>2</xdr:row>
                <xdr:rowOff>9525</xdr:rowOff>
              </to>
            </anchor>
          </controlPr>
        </control>
      </mc:Choice>
      <mc:Fallback>
        <control shapeId="3074" r:id="rId6" name="CommandButton2"/>
      </mc:Fallback>
    </mc:AlternateContent>
    <mc:AlternateContent xmlns:mc="http://schemas.openxmlformats.org/markup-compatibility/2006">
      <mc:Choice Requires="x14">
        <control shapeId="3075" r:id="rId8" name="CommandButton3">
          <controlPr defaultSize="0" autoLine="0" r:id="rId9">
            <anchor moveWithCells="1">
              <from>
                <xdr:col>18</xdr:col>
                <xdr:colOff>133350</xdr:colOff>
                <xdr:row>2</xdr:row>
                <xdr:rowOff>133350</xdr:rowOff>
              </from>
              <to>
                <xdr:col>19</xdr:col>
                <xdr:colOff>666750</xdr:colOff>
                <xdr:row>3</xdr:row>
                <xdr:rowOff>219075</xdr:rowOff>
              </to>
            </anchor>
          </controlPr>
        </control>
      </mc:Choice>
      <mc:Fallback>
        <control shapeId="3075" r:id="rId8" name="CommandButton3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87956-6825-43EC-A322-E9E7417D5598}">
  <sheetPr codeName="Sheet3"/>
  <dimension ref="A1:R50"/>
  <sheetViews>
    <sheetView workbookViewId="0">
      <selection activeCell="K5" sqref="K5"/>
    </sheetView>
  </sheetViews>
  <sheetFormatPr defaultRowHeight="16.5" x14ac:dyDescent="0.3"/>
  <cols>
    <col min="1" max="4" width="9" style="8"/>
    <col min="5" max="5" width="9" style="9"/>
    <col min="6" max="9" width="9" style="8"/>
    <col min="10" max="10" width="11.375" style="8" bestFit="1" customWidth="1"/>
    <col min="11" max="11" width="10.875" style="8" customWidth="1"/>
    <col min="12" max="12" width="19.875" customWidth="1"/>
  </cols>
  <sheetData>
    <row r="1" spans="1:18" s="2" customFormat="1" ht="47.25" customHeight="1" x14ac:dyDescent="0.3">
      <c r="A1" s="2" t="s">
        <v>5</v>
      </c>
      <c r="B1" s="1" t="s">
        <v>0</v>
      </c>
      <c r="C1" s="1" t="s">
        <v>8</v>
      </c>
      <c r="D1" s="1" t="s">
        <v>8</v>
      </c>
      <c r="E1" s="6" t="s">
        <v>8</v>
      </c>
      <c r="F1" s="1" t="s">
        <v>1</v>
      </c>
      <c r="G1" s="1" t="s">
        <v>2</v>
      </c>
      <c r="H1" s="1" t="s">
        <v>3</v>
      </c>
      <c r="I1" s="1" t="s">
        <v>10</v>
      </c>
      <c r="K1" s="1" t="s">
        <v>7</v>
      </c>
      <c r="L1" s="1" t="s">
        <v>8</v>
      </c>
      <c r="M1" s="2" t="s">
        <v>14</v>
      </c>
      <c r="N1" s="2" t="s">
        <v>15</v>
      </c>
      <c r="O1" s="2" t="s">
        <v>19</v>
      </c>
      <c r="P1" s="2" t="s">
        <v>7</v>
      </c>
      <c r="Q1" s="2" t="s">
        <v>18</v>
      </c>
      <c r="R1" s="2" t="s">
        <v>12</v>
      </c>
    </row>
    <row r="2" spans="1:18" ht="18.75" customHeight="1" x14ac:dyDescent="0.3">
      <c r="A2" s="8" t="s">
        <v>11</v>
      </c>
      <c r="B2" s="1" t="s">
        <v>4</v>
      </c>
      <c r="C2" s="2" t="s">
        <v>26</v>
      </c>
      <c r="D2" s="2" t="s">
        <v>27</v>
      </c>
      <c r="E2" s="7" t="s">
        <v>29</v>
      </c>
      <c r="F2" s="2">
        <v>100</v>
      </c>
      <c r="G2" s="2">
        <v>150</v>
      </c>
      <c r="H2" s="2">
        <v>5</v>
      </c>
      <c r="I2" s="2">
        <v>90</v>
      </c>
      <c r="J2" s="2" t="s">
        <v>28</v>
      </c>
      <c r="K2" s="2">
        <v>0</v>
      </c>
      <c r="L2" s="2" t="str">
        <f t="shared" ref="L2" si="0">D2&amp;" "&amp;E2&amp;" 번지"</f>
        <v>외성리 451 번지</v>
      </c>
      <c r="M2" s="2"/>
      <c r="N2" s="2"/>
      <c r="O2" s="2"/>
      <c r="P2" s="2"/>
      <c r="Q2" s="2"/>
      <c r="R2" s="8" t="s">
        <v>13</v>
      </c>
    </row>
    <row r="3" spans="1:18" ht="18.75" customHeight="1" x14ac:dyDescent="0.3"/>
    <row r="4" spans="1:18" ht="18.75" customHeight="1" x14ac:dyDescent="0.3"/>
    <row r="5" spans="1:18" ht="18.75" customHeight="1" x14ac:dyDescent="0.3">
      <c r="J5" s="8" t="s">
        <v>70</v>
      </c>
      <c r="K5" s="28">
        <f>SUM(K2:K4)</f>
        <v>0</v>
      </c>
    </row>
    <row r="6" spans="1:18" ht="18.75" customHeight="1" x14ac:dyDescent="0.3"/>
    <row r="7" spans="1:18" ht="18.75" customHeight="1" x14ac:dyDescent="0.3">
      <c r="B7" s="21" t="s">
        <v>69</v>
      </c>
      <c r="C7" s="13" t="s">
        <v>22</v>
      </c>
      <c r="D7" s="14" t="s">
        <v>7</v>
      </c>
      <c r="K7" s="4"/>
    </row>
    <row r="8" spans="1:18" ht="18.75" customHeight="1" x14ac:dyDescent="0.3">
      <c r="B8" s="22" t="s">
        <v>20</v>
      </c>
      <c r="C8" s="16">
        <f ca="1">COUNTIF(II_INSIDE_AREA,"O")</f>
        <v>1</v>
      </c>
      <c r="D8" s="17">
        <f ca="1">SUMIF(II_INSIDE_AREA,"O",$K$2:$K$2)</f>
        <v>0</v>
      </c>
      <c r="K8" s="4"/>
    </row>
    <row r="9" spans="1:18" ht="18.75" customHeight="1" x14ac:dyDescent="0.3">
      <c r="B9" s="22" t="s">
        <v>21</v>
      </c>
      <c r="C9" s="16">
        <f ca="1">COUNTIF(II_INSIDE_AREA,"X")</f>
        <v>0</v>
      </c>
      <c r="D9" s="17">
        <f ca="1">SUMIF(II_INSIDE_AREA,"X",$K$2:$K$2)</f>
        <v>0</v>
      </c>
    </row>
    <row r="10" spans="1:18" ht="18.75" customHeight="1" x14ac:dyDescent="0.3">
      <c r="B10" s="23"/>
      <c r="C10" s="19"/>
      <c r="D10" s="20">
        <f ca="1">D8+D9</f>
        <v>0</v>
      </c>
    </row>
    <row r="11" spans="1:18" ht="18.75" customHeight="1" x14ac:dyDescent="0.3"/>
    <row r="12" spans="1:18" ht="18.75" customHeight="1" x14ac:dyDescent="0.3"/>
    <row r="13" spans="1:18" ht="18.75" customHeight="1" x14ac:dyDescent="0.3"/>
    <row r="14" spans="1:18" ht="18.75" customHeight="1" x14ac:dyDescent="0.3"/>
    <row r="15" spans="1:18" ht="18.75" customHeight="1" x14ac:dyDescent="0.3"/>
    <row r="16" spans="1:18" ht="18.75" customHeight="1" x14ac:dyDescent="0.3"/>
    <row r="17" ht="18.75" customHeight="1" x14ac:dyDescent="0.3"/>
    <row r="18" ht="18.75" customHeight="1" x14ac:dyDescent="0.3"/>
    <row r="19" ht="18.75" customHeight="1" x14ac:dyDescent="0.3"/>
    <row r="20" ht="18.75" customHeight="1" x14ac:dyDescent="0.3"/>
    <row r="21" ht="18.75" customHeight="1" x14ac:dyDescent="0.3"/>
    <row r="22" ht="18.75" customHeight="1" x14ac:dyDescent="0.3"/>
    <row r="23" ht="18.75" customHeight="1" x14ac:dyDescent="0.3"/>
    <row r="24" ht="18.75" customHeight="1" x14ac:dyDescent="0.3"/>
    <row r="25" ht="18.75" customHeight="1" x14ac:dyDescent="0.3"/>
    <row r="26" ht="18.75" customHeight="1" x14ac:dyDescent="0.3"/>
    <row r="27" ht="18.75" customHeight="1" x14ac:dyDescent="0.3"/>
    <row r="28" ht="18.75" customHeight="1" x14ac:dyDescent="0.3"/>
    <row r="29" ht="18.75" customHeight="1" x14ac:dyDescent="0.3"/>
    <row r="30" ht="18.75" customHeight="1" x14ac:dyDescent="0.3"/>
    <row r="31" ht="18.75" customHeight="1" x14ac:dyDescent="0.3"/>
    <row r="32" ht="18.75" customHeight="1" x14ac:dyDescent="0.3"/>
    <row r="33" ht="18.75" customHeight="1" x14ac:dyDescent="0.3"/>
    <row r="34" ht="18.75" customHeight="1" x14ac:dyDescent="0.3"/>
    <row r="35" ht="18.75" customHeight="1" x14ac:dyDescent="0.3"/>
    <row r="36" ht="18.75" customHeight="1" x14ac:dyDescent="0.3"/>
    <row r="37" ht="18.75" customHeight="1" x14ac:dyDescent="0.3"/>
    <row r="38" ht="18.75" customHeight="1" x14ac:dyDescent="0.3"/>
    <row r="39" ht="18.75" customHeight="1" x14ac:dyDescent="0.3"/>
    <row r="40" ht="18.75" customHeight="1" x14ac:dyDescent="0.3"/>
    <row r="41" ht="18.75" customHeight="1" x14ac:dyDescent="0.3"/>
    <row r="42" ht="18.75" customHeight="1" x14ac:dyDescent="0.3"/>
    <row r="43" ht="18.75" customHeight="1" x14ac:dyDescent="0.3"/>
    <row r="44" ht="18.75" customHeight="1" x14ac:dyDescent="0.3"/>
    <row r="45" ht="18.75" customHeight="1" x14ac:dyDescent="0.3"/>
    <row r="46" ht="18.75" customHeight="1" x14ac:dyDescent="0.3"/>
    <row r="47" ht="18.75" customHeight="1" x14ac:dyDescent="0.3"/>
    <row r="48" ht="18.75" customHeight="1" x14ac:dyDescent="0.3"/>
    <row r="49" ht="18.75" customHeight="1" x14ac:dyDescent="0.3"/>
    <row r="50" ht="18.75" customHeight="1" x14ac:dyDescent="0.3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9" r:id="rId4" name="CommandButton3">
          <controlPr defaultSize="0" autoLine="0" r:id="rId5">
            <anchor moveWithCells="1">
              <from>
                <xdr:col>20</xdr:col>
                <xdr:colOff>76200</xdr:colOff>
                <xdr:row>0</xdr:row>
                <xdr:rowOff>276225</xdr:rowOff>
              </from>
              <to>
                <xdr:col>21</xdr:col>
                <xdr:colOff>609600</xdr:colOff>
                <xdr:row>1</xdr:row>
                <xdr:rowOff>38100</xdr:rowOff>
              </to>
            </anchor>
          </controlPr>
        </control>
      </mc:Choice>
      <mc:Fallback>
        <control shapeId="4099" r:id="rId4" name="CommandButton3"/>
      </mc:Fallback>
    </mc:AlternateContent>
    <mc:AlternateContent xmlns:mc="http://schemas.openxmlformats.org/markup-compatibility/2006">
      <mc:Choice Requires="x14">
        <control shapeId="4098" r:id="rId6" name="CommandButton2">
          <controlPr defaultSize="0" autoLine="0" r:id="rId7">
            <anchor moveWithCells="1">
              <from>
                <xdr:col>18</xdr:col>
                <xdr:colOff>133350</xdr:colOff>
                <xdr:row>0</xdr:row>
                <xdr:rowOff>523875</xdr:rowOff>
              </from>
              <to>
                <xdr:col>19</xdr:col>
                <xdr:colOff>666750</xdr:colOff>
                <xdr:row>2</xdr:row>
                <xdr:rowOff>47625</xdr:rowOff>
              </to>
            </anchor>
          </controlPr>
        </control>
      </mc:Choice>
      <mc:Fallback>
        <control shapeId="4098" r:id="rId6" name="CommandButton2"/>
      </mc:Fallback>
    </mc:AlternateContent>
    <mc:AlternateContent xmlns:mc="http://schemas.openxmlformats.org/markup-compatibility/2006">
      <mc:Choice Requires="x14">
        <control shapeId="4097" r:id="rId8" name="CommandButton1">
          <controlPr defaultSize="0" autoLine="0" r:id="rId9">
            <anchor moveWithCells="1">
              <from>
                <xdr:col>18</xdr:col>
                <xdr:colOff>133350</xdr:colOff>
                <xdr:row>0</xdr:row>
                <xdr:rowOff>133350</xdr:rowOff>
              </from>
              <to>
                <xdr:col>19</xdr:col>
                <xdr:colOff>666750</xdr:colOff>
                <xdr:row>0</xdr:row>
                <xdr:rowOff>495300</xdr:rowOff>
              </to>
            </anchor>
          </controlPr>
        </control>
      </mc:Choice>
      <mc:Fallback>
        <control shapeId="4097" r:id="rId8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ss</vt:lpstr>
      <vt:lpstr>aa</vt:lpstr>
      <vt:lpstr>ii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hwa soo min</dc:creator>
  <cp:lastModifiedBy>minhwasoo</cp:lastModifiedBy>
  <dcterms:created xsi:type="dcterms:W3CDTF">2018-04-27T02:28:11Z</dcterms:created>
  <dcterms:modified xsi:type="dcterms:W3CDTF">2021-06-22T16:44:23Z</dcterms:modified>
</cp:coreProperties>
</file>