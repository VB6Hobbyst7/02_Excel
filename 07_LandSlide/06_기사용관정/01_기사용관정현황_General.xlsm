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8AE8FE1F-2AD1-4A3A-88D8-DA5A52B087A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II_INSIDE_AREA">OFFSET(ii!$R$2,0,0,COUNTA(ii!$R:$R),1)</definedName>
    <definedName name="SS_INSIDE_AREA">OFFSET(ss!$R$2,0,0,COUNTA(ss!$R:$R),1)</definedName>
  </definedNames>
  <calcPr calcId="181029"/>
</workbook>
</file>

<file path=xl/calcChain.xml><?xml version="1.0" encoding="utf-8"?>
<calcChain xmlns="http://schemas.openxmlformats.org/spreadsheetml/2006/main">
  <c r="G22" i="8" l="1"/>
  <c r="G21" i="8"/>
  <c r="D9" i="11"/>
  <c r="H22" i="8" s="1"/>
  <c r="D8" i="11"/>
  <c r="H21" i="8" s="1"/>
  <c r="C9" i="11"/>
  <c r="C8" i="11"/>
  <c r="D18" i="10"/>
  <c r="L2" i="10"/>
  <c r="L3" i="10"/>
  <c r="L4" i="10"/>
  <c r="L5" i="10"/>
  <c r="L6" i="10"/>
  <c r="L7" i="10"/>
  <c r="L8" i="10"/>
  <c r="L9" i="10"/>
  <c r="L10" i="10"/>
  <c r="L11" i="10"/>
  <c r="L12" i="10"/>
  <c r="L13" i="10"/>
  <c r="L3" i="8"/>
  <c r="L4" i="8"/>
  <c r="L5" i="8"/>
  <c r="L6" i="8"/>
  <c r="L7" i="8"/>
  <c r="L8" i="8"/>
  <c r="L9" i="8"/>
  <c r="L10" i="8"/>
  <c r="L11" i="8"/>
  <c r="L12" i="8"/>
  <c r="L13" i="8"/>
  <c r="L14" i="8"/>
  <c r="L15" i="8"/>
  <c r="L2" i="8"/>
  <c r="K2" i="8"/>
  <c r="K12" i="8"/>
  <c r="K5" i="8"/>
  <c r="K7" i="8"/>
  <c r="K3" i="8"/>
  <c r="K8" i="8"/>
  <c r="K13" i="8"/>
  <c r="K6" i="8"/>
  <c r="K14" i="8"/>
  <c r="K15" i="8"/>
  <c r="K11" i="8"/>
  <c r="K4" i="8"/>
  <c r="K9" i="8"/>
  <c r="K10" i="8"/>
  <c r="K5" i="11" l="1"/>
  <c r="D10" i="11" s="1"/>
  <c r="H23" i="8" s="1"/>
  <c r="D27" i="8"/>
  <c r="K2" i="10"/>
  <c r="K6" i="10"/>
  <c r="K7" i="10"/>
  <c r="K13" i="10"/>
  <c r="K9" i="10"/>
  <c r="K12" i="10"/>
  <c r="K4" i="10"/>
  <c r="K10" i="10"/>
  <c r="K3" i="10"/>
  <c r="K8" i="10"/>
  <c r="K5" i="10"/>
  <c r="K11" i="10"/>
  <c r="K18" i="8" l="1"/>
  <c r="C27" i="8" l="1"/>
  <c r="C26" i="8"/>
  <c r="C21" i="8"/>
  <c r="C22" i="8"/>
  <c r="C18" i="10"/>
  <c r="C17" i="10"/>
  <c r="C32" i="8" l="1"/>
  <c r="C31" i="8"/>
  <c r="K23" i="8" s="1"/>
  <c r="D21" i="8" l="1"/>
  <c r="D22" i="8"/>
  <c r="D32" i="8" s="1"/>
  <c r="D23" i="8" l="1"/>
  <c r="D17" i="10"/>
  <c r="D26" i="8" l="1"/>
  <c r="D31" i="8" s="1"/>
  <c r="K22" i="8" s="1"/>
  <c r="D19" i="10"/>
  <c r="D28" i="8" l="1"/>
  <c r="L2" i="11"/>
  <c r="K16" i="10" l="1"/>
  <c r="K20" i="8" s="1"/>
</calcChain>
</file>

<file path=xl/sharedStrings.xml><?xml version="1.0" encoding="utf-8"?>
<sst xmlns="http://schemas.openxmlformats.org/spreadsheetml/2006/main" count="251" uniqueCount="74">
  <si>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</si>
  <si>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</si>
  <si>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</si>
  <si>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</si>
  <si>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</si>
  <si>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</si>
  <si>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</si>
  <si>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</si>
  <si>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</si>
  <si>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</si>
  <si>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</si>
  <si>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</si>
  <si>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</si>
  <si>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</si>
  <si>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</si>
  <si>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</si>
  <si>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</si>
  <si>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</si>
  <si>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</si>
  <si>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</si>
  <si>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</si>
  <si>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</si>
  <si>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</si>
  <si>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</si>
  <si>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</si>
  <si>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</si>
  <si>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부적면</t>
  </si>
  <si>
    <t>외성리</t>
  </si>
  <si>
    <t>자유입지업체</t>
  </si>
  <si>
    <t>451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</si>
  <si>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</si>
  <si>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</si>
  <si>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</si>
  <si>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</si>
  <si>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O</t>
  </si>
  <si>
    <t>전작용</t>
    <phoneticPr fontId="19" type="noConversion"/>
  </si>
  <si>
    <t>s2</t>
  </si>
  <si>
    <t>s3</t>
  </si>
  <si>
    <t>s4</t>
  </si>
  <si>
    <t>s5</t>
  </si>
  <si>
    <t>s6</t>
  </si>
  <si>
    <t>s7</t>
  </si>
  <si>
    <t>가정용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</si>
  <si>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</si>
  <si>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</si>
  <si>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</si>
  <si>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</si>
  <si>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</si>
  <si>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</si>
  <si>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</si>
  <si>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</si>
  <si>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</si>
  <si>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s8</t>
  </si>
  <si>
    <t>s9</t>
  </si>
  <si>
    <t>s10</t>
  </si>
  <si>
    <t>s11</t>
  </si>
  <si>
    <t>s12</t>
  </si>
  <si>
    <t>s13</t>
  </si>
  <si>
    <t>답작용</t>
    <phoneticPr fontId="19" type="noConversion"/>
  </si>
  <si>
    <t>s14</t>
  </si>
  <si>
    <t>남포면</t>
    <phoneticPr fontId="19" type="noConversion"/>
  </si>
  <si>
    <t>양항리</t>
    <phoneticPr fontId="19" type="noConversion"/>
  </si>
  <si>
    <t>농생활겸용</t>
    <phoneticPr fontId="19" type="noConversion"/>
  </si>
  <si>
    <t>축산업</t>
    <phoneticPr fontId="19" type="noConversion"/>
  </si>
  <si>
    <t>양기리</t>
    <phoneticPr fontId="19" type="noConversion"/>
  </si>
  <si>
    <t>영기리</t>
    <phoneticPr fontId="19" type="noConversion"/>
  </si>
  <si>
    <t>일반용</t>
    <phoneticPr fontId="19" type="noConversion"/>
  </si>
  <si>
    <t>신흥리</t>
    <phoneticPr fontId="19" type="noConversion"/>
  </si>
  <si>
    <t>허가공</t>
    <phoneticPr fontId="19" type="noConversion"/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</si>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</sst>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19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19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47625</xdr:rowOff>
        </xdr:from>
        <xdr:to>
          <xdr:col>19</xdr:col>
          <xdr:colOff>628650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19</xdr:col>
          <xdr:colOff>647700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19</xdr:col>
          <xdr:colOff>657225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133350</xdr:rowOff>
        </xdr:from>
        <xdr:to>
          <xdr:col>19</xdr:col>
          <xdr:colOff>666750</xdr:colOff>
          <xdr:row>3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47625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21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38"/>
  <sheetViews>
    <sheetView tabSelected="1" workbookViewId="0">
      <selection activeCell="H12" sqref="H1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2.375" style="2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 x14ac:dyDescent="0.3">
      <c r="A2" s="2" t="s">
        <v>31</v>
      </c>
      <c r="B2" s="1" t="s">
        <v>30</v>
      </c>
      <c r="C2" s="2" t="s">
        <v>60</v>
      </c>
      <c r="D2" s="2" t="s">
        <v>61</v>
      </c>
      <c r="I2" s="2"/>
      <c r="J2" s="2" t="s">
        <v>42</v>
      </c>
      <c r="K2" s="28">
        <f t="shared" ref="K2:K15" si="0">ss_water(I2,J2)</f>
        <v>0.71</v>
      </c>
      <c r="L2" s="2" t="str">
        <f>D2&amp;" "&amp;E2&amp;"번지"</f>
        <v>양항리 번지</v>
      </c>
      <c r="R2" s="2" t="s">
        <v>13</v>
      </c>
    </row>
    <row r="3" spans="1:18" ht="21.75" customHeight="1" x14ac:dyDescent="0.3">
      <c r="A3" s="2" t="s">
        <v>36</v>
      </c>
      <c r="B3" s="1" t="s">
        <v>30</v>
      </c>
      <c r="C3" s="2" t="s">
        <v>60</v>
      </c>
      <c r="D3" s="2" t="s">
        <v>61</v>
      </c>
      <c r="I3" s="2"/>
      <c r="J3" s="2" t="s">
        <v>62</v>
      </c>
      <c r="K3" s="28">
        <f t="shared" si="0"/>
        <v>3.15</v>
      </c>
      <c r="L3" s="2" t="str">
        <f t="shared" ref="L3:L15" si="1">D3&amp;" "&amp;E3&amp;"번지"</f>
        <v>양항리 번지</v>
      </c>
      <c r="R3" s="2" t="s">
        <v>13</v>
      </c>
    </row>
    <row r="4" spans="1:18" ht="21.75" customHeight="1" x14ac:dyDescent="0.3">
      <c r="A4" s="2" t="s">
        <v>37</v>
      </c>
      <c r="B4" s="1" t="s">
        <v>30</v>
      </c>
      <c r="C4" s="2" t="s">
        <v>60</v>
      </c>
      <c r="D4" s="2" t="s">
        <v>61</v>
      </c>
      <c r="I4" s="2"/>
      <c r="J4" s="2" t="s">
        <v>62</v>
      </c>
      <c r="K4" s="28">
        <f t="shared" si="0"/>
        <v>3.15</v>
      </c>
      <c r="L4" s="2" t="str">
        <f t="shared" si="1"/>
        <v>양항리 번지</v>
      </c>
      <c r="R4" s="2" t="s">
        <v>13</v>
      </c>
    </row>
    <row r="5" spans="1:18" ht="21.75" customHeight="1" x14ac:dyDescent="0.3">
      <c r="A5" s="2" t="s">
        <v>38</v>
      </c>
      <c r="B5" s="1" t="s">
        <v>30</v>
      </c>
      <c r="C5" s="2" t="s">
        <v>60</v>
      </c>
      <c r="D5" s="2" t="s">
        <v>65</v>
      </c>
      <c r="I5" s="2"/>
      <c r="J5" s="2" t="s">
        <v>66</v>
      </c>
      <c r="K5" s="28">
        <f t="shared" si="0"/>
        <v>3.15</v>
      </c>
      <c r="L5" s="2" t="str">
        <f t="shared" si="1"/>
        <v>영기리 번지</v>
      </c>
      <c r="R5" s="2" t="s">
        <v>13</v>
      </c>
    </row>
    <row r="6" spans="1:18" ht="21.75" customHeight="1" x14ac:dyDescent="0.3">
      <c r="A6" s="2" t="s">
        <v>39</v>
      </c>
      <c r="B6" s="1" t="s">
        <v>30</v>
      </c>
      <c r="C6" s="2" t="s">
        <v>60</v>
      </c>
      <c r="D6" s="2" t="s">
        <v>67</v>
      </c>
      <c r="I6" s="2"/>
      <c r="J6" s="2" t="s">
        <v>42</v>
      </c>
      <c r="K6" s="28">
        <f t="shared" si="0"/>
        <v>0.71</v>
      </c>
      <c r="L6" s="2" t="str">
        <f t="shared" si="1"/>
        <v>신흥리 번지</v>
      </c>
      <c r="R6" s="2" t="s">
        <v>13</v>
      </c>
    </row>
    <row r="7" spans="1:18" ht="21.75" customHeight="1" x14ac:dyDescent="0.3">
      <c r="A7" s="2" t="s">
        <v>40</v>
      </c>
      <c r="B7" s="29" t="s">
        <v>68</v>
      </c>
      <c r="C7" s="2" t="s">
        <v>60</v>
      </c>
      <c r="D7" s="2" t="s">
        <v>67</v>
      </c>
      <c r="I7" s="2"/>
      <c r="J7" s="2" t="s">
        <v>66</v>
      </c>
      <c r="K7" s="28">
        <f t="shared" si="0"/>
        <v>3.15</v>
      </c>
      <c r="L7" s="2" t="str">
        <f t="shared" si="1"/>
        <v>신흥리 번지</v>
      </c>
      <c r="R7" s="2" t="s">
        <v>13</v>
      </c>
    </row>
    <row r="8" spans="1:18" ht="21.75" customHeight="1" x14ac:dyDescent="0.3">
      <c r="A8" s="2" t="s">
        <v>41</v>
      </c>
      <c r="B8" s="1" t="s">
        <v>30</v>
      </c>
      <c r="C8" s="2" t="s">
        <v>60</v>
      </c>
      <c r="D8" s="2" t="s">
        <v>64</v>
      </c>
      <c r="I8" s="2"/>
      <c r="J8" s="2" t="s">
        <v>42</v>
      </c>
      <c r="K8" s="28">
        <f t="shared" si="0"/>
        <v>0.71</v>
      </c>
      <c r="L8" s="2" t="str">
        <f t="shared" si="1"/>
        <v>양기리 번지</v>
      </c>
      <c r="R8" s="2" t="s">
        <v>13</v>
      </c>
    </row>
    <row r="9" spans="1:18" ht="21.75" customHeight="1" x14ac:dyDescent="0.3">
      <c r="A9" s="2" t="s">
        <v>52</v>
      </c>
      <c r="B9" s="1" t="s">
        <v>30</v>
      </c>
      <c r="C9" s="2" t="s">
        <v>60</v>
      </c>
      <c r="D9" s="2" t="s">
        <v>61</v>
      </c>
      <c r="I9" s="2"/>
      <c r="J9" s="2" t="s">
        <v>42</v>
      </c>
      <c r="K9" s="28">
        <f t="shared" si="0"/>
        <v>0.71</v>
      </c>
      <c r="L9" s="2" t="str">
        <f t="shared" si="1"/>
        <v>양항리 번지</v>
      </c>
      <c r="R9" s="2" t="s">
        <v>13</v>
      </c>
    </row>
    <row r="10" spans="1:18" ht="21.75" customHeight="1" x14ac:dyDescent="0.3">
      <c r="A10" s="2" t="s">
        <v>53</v>
      </c>
      <c r="B10" s="1" t="s">
        <v>30</v>
      </c>
      <c r="C10" s="2" t="s">
        <v>60</v>
      </c>
      <c r="D10" s="2" t="s">
        <v>61</v>
      </c>
      <c r="I10" s="2"/>
      <c r="J10" s="2" t="s">
        <v>42</v>
      </c>
      <c r="K10" s="28">
        <f t="shared" si="0"/>
        <v>0.71</v>
      </c>
      <c r="L10" s="2" t="str">
        <f t="shared" si="1"/>
        <v>양항리 번지</v>
      </c>
      <c r="R10" s="2" t="s">
        <v>13</v>
      </c>
    </row>
    <row r="11" spans="1:18" ht="21.75" customHeight="1" x14ac:dyDescent="0.3">
      <c r="A11" s="2" t="s">
        <v>54</v>
      </c>
      <c r="B11" s="1" t="s">
        <v>30</v>
      </c>
      <c r="C11" s="2" t="s">
        <v>60</v>
      </c>
      <c r="D11" s="2" t="s">
        <v>61</v>
      </c>
      <c r="I11" s="2"/>
      <c r="J11" s="2" t="s">
        <v>42</v>
      </c>
      <c r="K11" s="28">
        <f t="shared" si="0"/>
        <v>0.71</v>
      </c>
      <c r="L11" s="2" t="str">
        <f t="shared" si="1"/>
        <v>양항리 번지</v>
      </c>
      <c r="R11" s="2" t="s">
        <v>13</v>
      </c>
    </row>
    <row r="12" spans="1:18" ht="21.75" customHeight="1" x14ac:dyDescent="0.3">
      <c r="A12" s="2" t="s">
        <v>55</v>
      </c>
      <c r="B12" s="1" t="s">
        <v>30</v>
      </c>
      <c r="C12" s="2" t="s">
        <v>60</v>
      </c>
      <c r="D12" s="2" t="s">
        <v>61</v>
      </c>
      <c r="I12" s="2"/>
      <c r="J12" s="2" t="s">
        <v>42</v>
      </c>
      <c r="K12" s="28">
        <f t="shared" si="0"/>
        <v>0.71</v>
      </c>
      <c r="L12" s="2" t="str">
        <f t="shared" si="1"/>
        <v>양항리 번지</v>
      </c>
      <c r="R12" s="2" t="s">
        <v>13</v>
      </c>
    </row>
    <row r="13" spans="1:18" ht="21.75" customHeight="1" x14ac:dyDescent="0.3">
      <c r="A13" s="2" t="s">
        <v>56</v>
      </c>
      <c r="B13" s="1" t="s">
        <v>30</v>
      </c>
      <c r="C13" s="2" t="s">
        <v>60</v>
      </c>
      <c r="D13" s="2" t="s">
        <v>61</v>
      </c>
      <c r="I13" s="2"/>
      <c r="J13" s="2" t="s">
        <v>42</v>
      </c>
      <c r="K13" s="28">
        <f t="shared" si="0"/>
        <v>0.71</v>
      </c>
      <c r="L13" s="2" t="str">
        <f t="shared" si="1"/>
        <v>양항리 번지</v>
      </c>
      <c r="R13" s="2" t="s">
        <v>13</v>
      </c>
    </row>
    <row r="14" spans="1:18" ht="21.75" customHeight="1" x14ac:dyDescent="0.3">
      <c r="A14" s="2" t="s">
        <v>57</v>
      </c>
      <c r="B14" s="1" t="s">
        <v>30</v>
      </c>
      <c r="C14" s="2" t="s">
        <v>60</v>
      </c>
      <c r="D14" s="2" t="s">
        <v>61</v>
      </c>
      <c r="I14" s="2"/>
      <c r="J14" s="2" t="s">
        <v>42</v>
      </c>
      <c r="K14" s="28">
        <f t="shared" si="0"/>
        <v>0.71</v>
      </c>
      <c r="L14" s="2" t="str">
        <f t="shared" si="1"/>
        <v>양항리 번지</v>
      </c>
      <c r="R14" s="2" t="s">
        <v>13</v>
      </c>
    </row>
    <row r="15" spans="1:18" ht="21.75" customHeight="1" x14ac:dyDescent="0.3">
      <c r="A15" s="2" t="s">
        <v>59</v>
      </c>
      <c r="B15" s="1" t="s">
        <v>30</v>
      </c>
      <c r="C15" s="2" t="s">
        <v>60</v>
      </c>
      <c r="D15" s="2" t="s">
        <v>61</v>
      </c>
      <c r="I15" s="2"/>
      <c r="J15" s="2" t="s">
        <v>42</v>
      </c>
      <c r="K15" s="28">
        <f t="shared" si="0"/>
        <v>0.71</v>
      </c>
      <c r="L15" s="2" t="str">
        <f t="shared" si="1"/>
        <v>양항리 번지</v>
      </c>
      <c r="R15" s="2" t="s">
        <v>13</v>
      </c>
    </row>
    <row r="16" spans="1:18" ht="21" customHeight="1" x14ac:dyDescent="0.3">
      <c r="B16" s="1"/>
      <c r="I16" s="2"/>
      <c r="K16" s="3"/>
    </row>
    <row r="17" spans="2:11" ht="21.75" customHeight="1" x14ac:dyDescent="0.3">
      <c r="I17" s="2"/>
    </row>
    <row r="18" spans="2:11" ht="21.75" customHeight="1" x14ac:dyDescent="0.3">
      <c r="J18" s="2" t="s">
        <v>73</v>
      </c>
      <c r="K18" s="27">
        <f>SUM(K2:K17)</f>
        <v>19.700000000000006</v>
      </c>
    </row>
    <row r="19" spans="2:11" ht="21.75" customHeight="1" x14ac:dyDescent="0.3">
      <c r="K19" s="27"/>
    </row>
    <row r="20" spans="2:11" ht="21.75" customHeight="1" x14ac:dyDescent="0.3">
      <c r="B20" s="34" t="s">
        <v>24</v>
      </c>
      <c r="C20" s="12" t="s">
        <v>22</v>
      </c>
      <c r="D20" s="13" t="s">
        <v>7</v>
      </c>
      <c r="F20" s="34" t="s">
        <v>69</v>
      </c>
      <c r="G20" s="12" t="s">
        <v>22</v>
      </c>
      <c r="H20" s="13" t="s">
        <v>7</v>
      </c>
      <c r="J20" s="2" t="s">
        <v>70</v>
      </c>
      <c r="K20" s="4">
        <f>K18+aa!K16+ii!K5</f>
        <v>61.720000000000013</v>
      </c>
    </row>
    <row r="21" spans="2:11" ht="21.75" customHeight="1" thickBot="1" x14ac:dyDescent="0.35">
      <c r="B21" s="14" t="s">
        <v>20</v>
      </c>
      <c r="C21" s="15">
        <f ca="1">COUNTIF(SS_INSIDE_AREA,"O")</f>
        <v>14</v>
      </c>
      <c r="D21" s="16">
        <f ca="1">SUMIF(SS_INSIDE_AREA,"O",K2:K2)</f>
        <v>19.700000000000006</v>
      </c>
      <c r="F21" s="21" t="s">
        <v>20</v>
      </c>
      <c r="G21" s="15">
        <f ca="1">COUNTIF(II_INSIDE_AREA,"O")</f>
        <v>1</v>
      </c>
      <c r="H21" s="16">
        <f ca="1">ii!D8</f>
        <v>0</v>
      </c>
    </row>
    <row r="22" spans="2:11" ht="21.75" customHeight="1" x14ac:dyDescent="0.3">
      <c r="B22" s="14" t="s">
        <v>21</v>
      </c>
      <c r="C22" s="15">
        <f ca="1">COUNTIF(SS_INSIDE_AREA,"X")</f>
        <v>0</v>
      </c>
      <c r="D22" s="16">
        <f ca="1">SUMIF(SS_INSIDE_AREA,"X",K2:K2)</f>
        <v>0</v>
      </c>
      <c r="F22" s="21" t="s">
        <v>21</v>
      </c>
      <c r="G22" s="15">
        <f ca="1">COUNTIF(II_INSIDE_AREA,"X")</f>
        <v>0</v>
      </c>
      <c r="H22" s="16">
        <f ca="1">ii!D9</f>
        <v>0</v>
      </c>
      <c r="J22" s="30" t="s">
        <v>71</v>
      </c>
      <c r="K22" s="32">
        <f ca="1">D31</f>
        <v>61.720000000000013</v>
      </c>
    </row>
    <row r="23" spans="2:11" ht="21.75" customHeight="1" thickBot="1" x14ac:dyDescent="0.35">
      <c r="B23" s="17"/>
      <c r="C23" s="18"/>
      <c r="D23" s="19">
        <f ca="1">SUM(D21:D22)</f>
        <v>19.700000000000006</v>
      </c>
      <c r="F23" s="22"/>
      <c r="G23" s="18"/>
      <c r="H23" s="19">
        <f ca="1">ii!D10</f>
        <v>0</v>
      </c>
      <c r="J23" s="31" t="s">
        <v>72</v>
      </c>
      <c r="K23" s="33">
        <f ca="1">C31+IF(H21=0,0,G21)</f>
        <v>26</v>
      </c>
    </row>
    <row r="25" spans="2:11" ht="21.75" customHeight="1" x14ac:dyDescent="0.3">
      <c r="B25" s="34" t="s">
        <v>23</v>
      </c>
      <c r="C25" s="12" t="s">
        <v>22</v>
      </c>
      <c r="D25" s="13" t="s">
        <v>7</v>
      </c>
    </row>
    <row r="26" spans="2:11" ht="21.75" customHeight="1" x14ac:dyDescent="0.3">
      <c r="B26" s="14" t="s">
        <v>20</v>
      </c>
      <c r="C26" s="15">
        <f ca="1">COUNTIF(AA_INSIDE_AREA,"O")</f>
        <v>12</v>
      </c>
      <c r="D26" s="16">
        <f ca="1">aa!D17</f>
        <v>42.02</v>
      </c>
    </row>
    <row r="27" spans="2:11" ht="21.75" customHeight="1" x14ac:dyDescent="0.3">
      <c r="B27" s="14" t="s">
        <v>21</v>
      </c>
      <c r="C27" s="15">
        <f ca="1">COUNTIF(AA_INSIDE_AREA,"X")</f>
        <v>0</v>
      </c>
      <c r="D27" s="16">
        <f ca="1">aa!D18</f>
        <v>0</v>
      </c>
    </row>
    <row r="28" spans="2:11" ht="21.75" customHeight="1" x14ac:dyDescent="0.3">
      <c r="B28" s="17"/>
      <c r="C28" s="18"/>
      <c r="D28" s="19">
        <f ca="1">SUM(D26:D27)</f>
        <v>42.02</v>
      </c>
    </row>
    <row r="30" spans="2:11" ht="21.75" customHeight="1" x14ac:dyDescent="0.3">
      <c r="B30" s="34" t="s">
        <v>25</v>
      </c>
      <c r="C30" s="12" t="s">
        <v>22</v>
      </c>
      <c r="D30" s="13" t="s">
        <v>7</v>
      </c>
    </row>
    <row r="31" spans="2:11" ht="21.75" customHeight="1" x14ac:dyDescent="0.3">
      <c r="B31" s="14" t="s">
        <v>20</v>
      </c>
      <c r="C31" s="15">
        <f ca="1">C21+C26+IF(H21=0,0,G21)</f>
        <v>26</v>
      </c>
      <c r="D31" s="16">
        <f ca="1">D21+D26+H21</f>
        <v>61.720000000000013</v>
      </c>
    </row>
    <row r="32" spans="2:11" ht="21.75" customHeight="1" x14ac:dyDescent="0.3">
      <c r="B32" s="17" t="s">
        <v>21</v>
      </c>
      <c r="C32" s="18">
        <f ca="1">C22+C27+IF(H22=0,0,G22)</f>
        <v>0</v>
      </c>
      <c r="D32" s="19">
        <f ca="1">D22+D27+H22</f>
        <v>0</v>
      </c>
    </row>
    <row r="38" spans="10:16" ht="21.75" customHeight="1" x14ac:dyDescent="0.3">
      <c r="J38" s="25"/>
      <c r="K38" s="25"/>
      <c r="L38" s="25"/>
      <c r="M38" s="25"/>
      <c r="N38" s="25"/>
      <c r="O38" s="25"/>
      <c r="P38" s="2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18</xdr:col>
                <xdr:colOff>95250</xdr:colOff>
                <xdr:row>2</xdr:row>
                <xdr:rowOff>47625</xdr:rowOff>
              </from>
              <to>
                <xdr:col>19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19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49" r:id="rId8" name="CommandButtonCopy">
          <controlPr defaultSize="0" autoLine="0" r:id="rId9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19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8" name="CommandButtonCop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19"/>
  <sheetViews>
    <sheetView topLeftCell="A4" workbookViewId="0">
      <selection activeCell="I16" sqref="I16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0.62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17</v>
      </c>
      <c r="Q1" s="2" t="s">
        <v>18</v>
      </c>
      <c r="R1" s="2" t="s">
        <v>12</v>
      </c>
    </row>
    <row r="2" spans="1:18" s="8" customFormat="1" ht="21.75" customHeight="1" x14ac:dyDescent="0.3">
      <c r="A2" s="1" t="s">
        <v>6</v>
      </c>
      <c r="B2" s="1" t="s">
        <v>30</v>
      </c>
      <c r="C2" s="2" t="s">
        <v>60</v>
      </c>
      <c r="D2" s="2" t="s">
        <v>61</v>
      </c>
      <c r="E2" s="24"/>
      <c r="F2" s="23"/>
      <c r="G2" s="23"/>
      <c r="H2" s="23"/>
      <c r="I2" s="23"/>
      <c r="J2" s="23" t="s">
        <v>35</v>
      </c>
      <c r="K2" s="2">
        <f>aa_water(I2,J2)</f>
        <v>5.66</v>
      </c>
      <c r="L2" s="2" t="str">
        <f>D2&amp;" "&amp;E2&amp;"번지"</f>
        <v>양항리 번지</v>
      </c>
      <c r="M2" s="23"/>
      <c r="N2" s="23"/>
      <c r="O2" s="23"/>
      <c r="P2" s="3"/>
      <c r="Q2" s="23"/>
      <c r="R2" s="2" t="s">
        <v>34</v>
      </c>
    </row>
    <row r="3" spans="1:18" s="8" customFormat="1" ht="21.75" customHeight="1" x14ac:dyDescent="0.3">
      <c r="A3" s="1" t="s">
        <v>32</v>
      </c>
      <c r="B3" s="1" t="s">
        <v>30</v>
      </c>
      <c r="C3" s="2" t="s">
        <v>60</v>
      </c>
      <c r="D3" s="2" t="s">
        <v>61</v>
      </c>
      <c r="E3" s="24"/>
      <c r="F3" s="23"/>
      <c r="G3" s="23"/>
      <c r="H3" s="23"/>
      <c r="I3" s="23"/>
      <c r="J3" s="23" t="s">
        <v>58</v>
      </c>
      <c r="K3" s="2">
        <f t="shared" ref="K3:K4" si="0">aa_water(I3,J3)</f>
        <v>1.98</v>
      </c>
      <c r="L3" s="2" t="str">
        <f t="shared" ref="L3:L13" si="1">D3&amp;" "&amp;E3&amp;"번지"</f>
        <v>양항리 번지</v>
      </c>
      <c r="M3" s="23"/>
      <c r="N3" s="23"/>
      <c r="O3" s="23"/>
      <c r="P3" s="3"/>
      <c r="Q3" s="23"/>
      <c r="R3" s="2" t="s">
        <v>34</v>
      </c>
    </row>
    <row r="4" spans="1:18" s="8" customFormat="1" ht="21.75" customHeight="1" x14ac:dyDescent="0.3">
      <c r="A4" s="1" t="s">
        <v>33</v>
      </c>
      <c r="B4" s="1" t="s">
        <v>30</v>
      </c>
      <c r="C4" s="2" t="s">
        <v>60</v>
      </c>
      <c r="D4" s="2" t="s">
        <v>61</v>
      </c>
      <c r="E4" s="24"/>
      <c r="F4" s="23"/>
      <c r="G4" s="23"/>
      <c r="H4" s="23"/>
      <c r="I4" s="23"/>
      <c r="J4" s="23" t="s">
        <v>63</v>
      </c>
      <c r="K4" s="2">
        <f t="shared" si="0"/>
        <v>3.75</v>
      </c>
      <c r="L4" s="2" t="str">
        <f t="shared" si="1"/>
        <v>양항리 번지</v>
      </c>
      <c r="M4" s="23"/>
      <c r="N4" s="23"/>
      <c r="O4" s="23"/>
      <c r="P4" s="3"/>
      <c r="Q4" s="23"/>
      <c r="R4" s="2" t="s">
        <v>34</v>
      </c>
    </row>
    <row r="5" spans="1:18" s="8" customFormat="1" ht="21.75" customHeight="1" x14ac:dyDescent="0.3">
      <c r="A5" s="1" t="s">
        <v>43</v>
      </c>
      <c r="B5" s="1" t="s">
        <v>30</v>
      </c>
      <c r="C5" s="2" t="s">
        <v>60</v>
      </c>
      <c r="D5" s="2" t="s">
        <v>64</v>
      </c>
      <c r="E5" s="24"/>
      <c r="F5" s="23"/>
      <c r="G5" s="23"/>
      <c r="H5" s="23"/>
      <c r="I5" s="23"/>
      <c r="J5" s="23" t="s">
        <v>58</v>
      </c>
      <c r="K5" s="2">
        <f t="shared" ref="K5:K6" si="2">aa_water(I5,J5)</f>
        <v>1.98</v>
      </c>
      <c r="L5" s="2" t="str">
        <f t="shared" si="1"/>
        <v>양기리 번지</v>
      </c>
      <c r="M5" s="23"/>
      <c r="N5" s="23"/>
      <c r="O5" s="23"/>
      <c r="P5" s="3"/>
      <c r="Q5" s="23"/>
      <c r="R5" s="2" t="s">
        <v>34</v>
      </c>
    </row>
    <row r="6" spans="1:18" s="8" customFormat="1" ht="21.75" customHeight="1" x14ac:dyDescent="0.3">
      <c r="A6" s="1" t="s">
        <v>44</v>
      </c>
      <c r="B6" s="1" t="s">
        <v>30</v>
      </c>
      <c r="C6" s="2" t="s">
        <v>60</v>
      </c>
      <c r="D6" s="2" t="s">
        <v>64</v>
      </c>
      <c r="E6" s="24"/>
      <c r="F6" s="23"/>
      <c r="G6" s="23"/>
      <c r="H6" s="23"/>
      <c r="I6" s="23"/>
      <c r="J6" s="23" t="s">
        <v>58</v>
      </c>
      <c r="K6" s="2">
        <f t="shared" si="2"/>
        <v>1.98</v>
      </c>
      <c r="L6" s="2" t="str">
        <f t="shared" si="1"/>
        <v>양기리 번지</v>
      </c>
      <c r="M6" s="23"/>
      <c r="N6" s="23"/>
      <c r="O6" s="23"/>
      <c r="P6" s="3"/>
      <c r="Q6" s="23"/>
      <c r="R6" s="2" t="s">
        <v>34</v>
      </c>
    </row>
    <row r="7" spans="1:18" s="8" customFormat="1" ht="20.25" customHeight="1" x14ac:dyDescent="0.3">
      <c r="A7" s="1" t="s">
        <v>45</v>
      </c>
      <c r="B7" s="1" t="s">
        <v>30</v>
      </c>
      <c r="C7" s="2" t="s">
        <v>60</v>
      </c>
      <c r="D7" s="2" t="s">
        <v>67</v>
      </c>
      <c r="E7" s="24"/>
      <c r="F7" s="23"/>
      <c r="G7" s="23"/>
      <c r="H7" s="23"/>
      <c r="I7" s="23"/>
      <c r="J7" s="23" t="s">
        <v>58</v>
      </c>
      <c r="K7" s="2">
        <f t="shared" ref="K7:K8" si="3">aa_water(I7,J7)</f>
        <v>1.98</v>
      </c>
      <c r="L7" s="2" t="str">
        <f t="shared" si="1"/>
        <v>신흥리 번지</v>
      </c>
      <c r="M7" s="23"/>
      <c r="N7" s="23"/>
      <c r="O7" s="23"/>
      <c r="P7" s="3"/>
      <c r="Q7" s="23"/>
      <c r="R7" s="2" t="s">
        <v>34</v>
      </c>
    </row>
    <row r="8" spans="1:18" s="8" customFormat="1" ht="21.75" customHeight="1" x14ac:dyDescent="0.3">
      <c r="A8" s="1" t="s">
        <v>46</v>
      </c>
      <c r="B8" s="1" t="s">
        <v>30</v>
      </c>
      <c r="C8" s="2" t="s">
        <v>60</v>
      </c>
      <c r="D8" s="2" t="s">
        <v>67</v>
      </c>
      <c r="E8" s="24"/>
      <c r="F8" s="23"/>
      <c r="G8" s="23"/>
      <c r="H8" s="23"/>
      <c r="I8" s="23"/>
      <c r="J8" s="23" t="s">
        <v>58</v>
      </c>
      <c r="K8" s="2">
        <f t="shared" si="3"/>
        <v>1.98</v>
      </c>
      <c r="L8" s="2" t="str">
        <f t="shared" si="1"/>
        <v>신흥리 번지</v>
      </c>
      <c r="M8" s="23"/>
      <c r="N8" s="23"/>
      <c r="O8" s="23"/>
      <c r="P8" s="3"/>
      <c r="Q8" s="23"/>
      <c r="R8" s="2" t="s">
        <v>34</v>
      </c>
    </row>
    <row r="9" spans="1:18" s="8" customFormat="1" ht="21.75" customHeight="1" x14ac:dyDescent="0.3">
      <c r="A9" s="1" t="s">
        <v>47</v>
      </c>
      <c r="B9" s="1" t="s">
        <v>30</v>
      </c>
      <c r="C9" s="2" t="s">
        <v>60</v>
      </c>
      <c r="D9" s="2" t="s">
        <v>61</v>
      </c>
      <c r="E9" s="24"/>
      <c r="F9" s="23"/>
      <c r="G9" s="23"/>
      <c r="H9" s="23"/>
      <c r="I9" s="23"/>
      <c r="J9" s="23" t="s">
        <v>35</v>
      </c>
      <c r="K9" s="2">
        <f t="shared" ref="K9:K10" si="4">aa_water(I9,J9)</f>
        <v>5.66</v>
      </c>
      <c r="L9" s="2" t="str">
        <f t="shared" si="1"/>
        <v>양항리 번지</v>
      </c>
      <c r="M9" s="23"/>
      <c r="N9" s="23"/>
      <c r="O9" s="23"/>
      <c r="P9" s="3"/>
      <c r="Q9" s="23"/>
      <c r="R9" s="2" t="s">
        <v>34</v>
      </c>
    </row>
    <row r="10" spans="1:18" s="8" customFormat="1" ht="21.75" customHeight="1" x14ac:dyDescent="0.3">
      <c r="A10" s="1" t="s">
        <v>48</v>
      </c>
      <c r="B10" s="1" t="s">
        <v>30</v>
      </c>
      <c r="C10" s="2" t="s">
        <v>60</v>
      </c>
      <c r="D10" s="2" t="s">
        <v>61</v>
      </c>
      <c r="E10" s="24"/>
      <c r="F10" s="23"/>
      <c r="G10" s="23"/>
      <c r="H10" s="23"/>
      <c r="I10" s="23"/>
      <c r="J10" s="23" t="s">
        <v>35</v>
      </c>
      <c r="K10" s="2">
        <f t="shared" si="4"/>
        <v>5.66</v>
      </c>
      <c r="L10" s="2" t="str">
        <f t="shared" si="1"/>
        <v>양항리 번지</v>
      </c>
      <c r="M10" s="23"/>
      <c r="N10" s="23"/>
      <c r="O10" s="23"/>
      <c r="P10" s="3"/>
      <c r="Q10" s="23"/>
      <c r="R10" s="2" t="s">
        <v>34</v>
      </c>
    </row>
    <row r="11" spans="1:18" s="8" customFormat="1" ht="21.75" customHeight="1" x14ac:dyDescent="0.3">
      <c r="A11" s="1" t="s">
        <v>49</v>
      </c>
      <c r="B11" s="1" t="s">
        <v>30</v>
      </c>
      <c r="C11" s="2" t="s">
        <v>60</v>
      </c>
      <c r="D11" s="2" t="s">
        <v>61</v>
      </c>
      <c r="E11" s="24"/>
      <c r="F11" s="23"/>
      <c r="G11" s="23"/>
      <c r="H11" s="23"/>
      <c r="I11" s="23"/>
      <c r="J11" s="23" t="s">
        <v>35</v>
      </c>
      <c r="K11" s="2">
        <f t="shared" ref="K11:K12" si="5">aa_water(I11,J11)</f>
        <v>5.66</v>
      </c>
      <c r="L11" s="2" t="str">
        <f t="shared" si="1"/>
        <v>양항리 번지</v>
      </c>
      <c r="M11" s="23"/>
      <c r="N11" s="23"/>
      <c r="O11" s="23"/>
      <c r="P11" s="3"/>
      <c r="Q11" s="23"/>
      <c r="R11" s="2" t="s">
        <v>34</v>
      </c>
    </row>
    <row r="12" spans="1:18" s="8" customFormat="1" ht="21.75" customHeight="1" x14ac:dyDescent="0.3">
      <c r="A12" s="1" t="s">
        <v>50</v>
      </c>
      <c r="B12" s="1" t="s">
        <v>30</v>
      </c>
      <c r="C12" s="2" t="s">
        <v>60</v>
      </c>
      <c r="D12" s="2" t="s">
        <v>61</v>
      </c>
      <c r="E12" s="24"/>
      <c r="F12" s="23"/>
      <c r="G12" s="23"/>
      <c r="H12" s="23"/>
      <c r="I12" s="23"/>
      <c r="J12" s="23" t="s">
        <v>58</v>
      </c>
      <c r="K12" s="2">
        <f t="shared" si="5"/>
        <v>1.98</v>
      </c>
      <c r="L12" s="2" t="str">
        <f t="shared" si="1"/>
        <v>양항리 번지</v>
      </c>
      <c r="M12" s="23"/>
      <c r="N12" s="23"/>
      <c r="O12" s="23"/>
      <c r="P12" s="3"/>
      <c r="Q12" s="23"/>
      <c r="R12" s="2" t="s">
        <v>34</v>
      </c>
    </row>
    <row r="13" spans="1:18" s="8" customFormat="1" ht="21.75" customHeight="1" x14ac:dyDescent="0.3">
      <c r="A13" s="1" t="s">
        <v>51</v>
      </c>
      <c r="B13" s="1" t="s">
        <v>30</v>
      </c>
      <c r="C13" s="2" t="s">
        <v>60</v>
      </c>
      <c r="D13" s="2" t="s">
        <v>61</v>
      </c>
      <c r="E13" s="24"/>
      <c r="F13" s="23"/>
      <c r="G13" s="23"/>
      <c r="H13" s="23"/>
      <c r="I13" s="23"/>
      <c r="J13" s="23" t="s">
        <v>63</v>
      </c>
      <c r="K13" s="2">
        <f t="shared" ref="K13" si="6">aa_water(I13,J13)</f>
        <v>3.75</v>
      </c>
      <c r="L13" s="2" t="str">
        <f t="shared" si="1"/>
        <v>양항리 번지</v>
      </c>
      <c r="M13" s="23"/>
      <c r="N13" s="23"/>
      <c r="O13" s="23"/>
      <c r="P13" s="3"/>
      <c r="Q13" s="23"/>
      <c r="R13" s="2" t="s">
        <v>34</v>
      </c>
    </row>
    <row r="14" spans="1:18" ht="21.75" customHeight="1" x14ac:dyDescent="0.3">
      <c r="I14" s="2"/>
      <c r="K14" s="3"/>
      <c r="N14" s="3"/>
      <c r="O14" s="3"/>
      <c r="P14" s="3"/>
    </row>
    <row r="15" spans="1:18" ht="21.75" customHeight="1" x14ac:dyDescent="0.3">
      <c r="K15" s="5"/>
    </row>
    <row r="16" spans="1:18" ht="21.75" customHeight="1" x14ac:dyDescent="0.3">
      <c r="B16" s="20" t="s">
        <v>23</v>
      </c>
      <c r="C16" s="12" t="s">
        <v>22</v>
      </c>
      <c r="D16" s="13" t="s">
        <v>7</v>
      </c>
      <c r="J16" s="2" t="s">
        <v>70</v>
      </c>
      <c r="K16" s="26">
        <f>SUM(K2:K15)</f>
        <v>42.02</v>
      </c>
      <c r="L16" s="11"/>
    </row>
    <row r="17" spans="2:11" ht="21.75" customHeight="1" x14ac:dyDescent="0.3">
      <c r="B17" s="21" t="s">
        <v>20</v>
      </c>
      <c r="C17" s="15">
        <f ca="1">COUNTIF(AA_INSIDE_AREA,"O")</f>
        <v>12</v>
      </c>
      <c r="D17" s="16">
        <f ca="1">SUMIF(AA_INSIDE_AREA,"O",$K$2:$K$2)</f>
        <v>42.02</v>
      </c>
    </row>
    <row r="18" spans="2:11" ht="21.75" customHeight="1" x14ac:dyDescent="0.3">
      <c r="B18" s="21" t="s">
        <v>21</v>
      </c>
      <c r="C18" s="15">
        <f ca="1">COUNTIF(AA_INSIDE_AREA,"X")</f>
        <v>0</v>
      </c>
      <c r="D18" s="16">
        <f ca="1">SUMIF(AA_INSIDE_AREA,"X",$K$2:$K$2)</f>
        <v>0</v>
      </c>
      <c r="K18" s="4"/>
    </row>
    <row r="19" spans="2:11" ht="21.75" customHeight="1" x14ac:dyDescent="0.3">
      <c r="B19" s="22"/>
      <c r="C19" s="18"/>
      <c r="D19" s="19">
        <f ca="1">D17+D18</f>
        <v>42.02</v>
      </c>
      <c r="K19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3">
          <controlPr defaultSize="0" autoLine="0" r:id="rId5">
            <anchor moveWithCells="1">
              <from>
                <xdr:col>18</xdr:col>
                <xdr:colOff>133350</xdr:colOff>
                <xdr:row>2</xdr:row>
                <xdr:rowOff>133350</xdr:rowOff>
              </from>
              <to>
                <xdr:col>19</xdr:col>
                <xdr:colOff>666750</xdr:colOff>
                <xdr:row>3</xdr:row>
                <xdr:rowOff>219075</xdr:rowOff>
              </to>
            </anchor>
          </controlPr>
        </control>
      </mc:Choice>
      <mc:Fallback>
        <control shapeId="3075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19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19</xdr:col>
                <xdr:colOff>647700</xdr:colOff>
                <xdr:row>0</xdr:row>
                <xdr:rowOff>447675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workbookViewId="0">
      <selection activeCell="K5" sqref="K5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10.875" style="8" customWidth="1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18.75" customHeight="1" x14ac:dyDescent="0.3">
      <c r="A2" s="8" t="s">
        <v>11</v>
      </c>
      <c r="B2" s="1" t="s">
        <v>4</v>
      </c>
      <c r="C2" s="2" t="s">
        <v>26</v>
      </c>
      <c r="D2" s="2" t="s">
        <v>27</v>
      </c>
      <c r="E2" s="7" t="s">
        <v>29</v>
      </c>
      <c r="F2" s="2">
        <v>100</v>
      </c>
      <c r="G2" s="2">
        <v>150</v>
      </c>
      <c r="H2" s="2">
        <v>5</v>
      </c>
      <c r="I2" s="2">
        <v>90</v>
      </c>
      <c r="J2" s="2" t="s">
        <v>28</v>
      </c>
      <c r="K2" s="2">
        <v>0</v>
      </c>
      <c r="L2" s="2" t="str">
        <f t="shared" ref="L2" si="0">D2&amp;" "&amp;E2&amp;" 번지"</f>
        <v>외성리 451 번지</v>
      </c>
      <c r="M2" s="2"/>
      <c r="N2" s="2"/>
      <c r="O2" s="2"/>
      <c r="P2" s="2"/>
      <c r="Q2" s="2"/>
      <c r="R2" s="8" t="s">
        <v>13</v>
      </c>
    </row>
    <row r="3" spans="1:18" ht="18.75" customHeight="1" x14ac:dyDescent="0.3"/>
    <row r="4" spans="1:18" ht="18.75" customHeight="1" x14ac:dyDescent="0.3"/>
    <row r="5" spans="1:18" ht="18.75" customHeight="1" x14ac:dyDescent="0.3">
      <c r="J5" s="8" t="s">
        <v>70</v>
      </c>
      <c r="K5" s="27">
        <f>SUM(K2:K4)</f>
        <v>0</v>
      </c>
    </row>
    <row r="6" spans="1:18" ht="18.75" customHeight="1" x14ac:dyDescent="0.3"/>
    <row r="7" spans="1:18" ht="18.75" customHeight="1" x14ac:dyDescent="0.3">
      <c r="B7" s="20" t="s">
        <v>69</v>
      </c>
      <c r="C7" s="12" t="s">
        <v>22</v>
      </c>
      <c r="D7" s="13" t="s">
        <v>7</v>
      </c>
      <c r="K7" s="4"/>
    </row>
    <row r="8" spans="1:18" ht="18.75" customHeight="1" x14ac:dyDescent="0.3">
      <c r="B8" s="21" t="s">
        <v>20</v>
      </c>
      <c r="C8" s="15">
        <f ca="1">COUNTIF(II_INSIDE_AREA,"O")</f>
        <v>1</v>
      </c>
      <c r="D8" s="16">
        <f ca="1">SUMIF(II_INSIDE_AREA,"O",$K$2:$K$2)</f>
        <v>0</v>
      </c>
      <c r="K8" s="4"/>
    </row>
    <row r="9" spans="1:18" ht="18.75" customHeight="1" x14ac:dyDescent="0.3">
      <c r="B9" s="21" t="s">
        <v>21</v>
      </c>
      <c r="C9" s="15">
        <f ca="1">COUNTIF(II_INSIDE_AREA,"X")</f>
        <v>0</v>
      </c>
      <c r="D9" s="16">
        <f ca="1">SUMIF(II_INSIDE_AREA,"X",$K$2:$K$2)</f>
        <v>0</v>
      </c>
    </row>
    <row r="10" spans="1:18" ht="18.75" customHeight="1" x14ac:dyDescent="0.3">
      <c r="B10" s="22"/>
      <c r="C10" s="18"/>
      <c r="D10" s="19">
        <f ca="1">D8+D9</f>
        <v>0</v>
      </c>
    </row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47625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21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2021-06-24T01:53:14Z</dcterms:modified>
</cp:coreProperties>
</file>