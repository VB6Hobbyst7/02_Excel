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14_농업용 - 예산군 지하수 시설개량사업 - 현윤이엔씨\01_예산군 광시면 노전리 744\04_양수시험\"/>
    </mc:Choice>
  </mc:AlternateContent>
  <xr:revisionPtr revIDLastSave="0" documentId="13_ncr:1_{9E754917-FE7F-4769-BF02-05E3B1DC2FBB}" xr6:coauthVersionLast="47" xr6:coauthVersionMax="47" xr10:uidLastSave="{00000000-0000-0000-0000-000000000000}"/>
  <bookViews>
    <workbookView xWindow="28680" yWindow="-120" windowWidth="29040" windowHeight="15840" tabRatio="619" firstSheet="2" activeTab="4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5" r:id="rId13"/>
    <sheet name="w1" sheetId="33" r:id="rId14"/>
    <sheet name="단계양수시험 (2)" sheetId="34" r:id="rId15"/>
    <sheet name="시추주상" sheetId="23" state="hidden" r:id="rId16"/>
  </sheets>
  <functionGroups builtInGroupCount="19"/>
  <externalReferences>
    <externalReference r:id="rId17"/>
    <externalReference r:id="rId18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REF!$D$4:$D$14</definedName>
    <definedName name="gongbun2">REF!$E$4:$E$14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12">out!$A$1:$I$101</definedName>
    <definedName name="_xlnm.Print_Area" localSheetId="6">단계양수시험!$A$1:$I$51</definedName>
    <definedName name="_xlnm.Print_Area" localSheetId="14">'단계양수시험 (2)'!$A$1:$I$51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14">'단계양수시험 (2)'!$3:$10</definedName>
    <definedName name="_xlnm.Print_Titles" localSheetId="7">장기양수시험!$1:$9</definedName>
    <definedName name="pump_hp">REF!$C$4:$C$13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 localSheetId="14">'단계양수시험 (2)'!$A$3:$I$51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G10" i="27" l="1"/>
  <c r="F7" i="27" l="1"/>
  <c r="E8" i="27" s="1"/>
  <c r="C7" i="27"/>
  <c r="B43" i="1"/>
  <c r="C6" i="33"/>
  <c r="I77" i="35"/>
  <c r="H77" i="35"/>
  <c r="G77" i="35"/>
  <c r="I61" i="35"/>
  <c r="H61" i="35"/>
  <c r="G61" i="35"/>
  <c r="I57" i="35"/>
  <c r="H57" i="35"/>
  <c r="G57" i="35"/>
  <c r="I53" i="35"/>
  <c r="H53" i="35"/>
  <c r="G53" i="35"/>
  <c r="I37" i="35"/>
  <c r="H37" i="35"/>
  <c r="G37" i="35"/>
  <c r="I33" i="35"/>
  <c r="H33" i="35"/>
  <c r="G33" i="35"/>
  <c r="I29" i="35"/>
  <c r="H29" i="35"/>
  <c r="G29" i="35"/>
  <c r="I25" i="35"/>
  <c r="H25" i="35"/>
  <c r="G25" i="35"/>
  <c r="I19" i="35"/>
  <c r="H19" i="35"/>
  <c r="G19" i="35"/>
  <c r="I14" i="35"/>
  <c r="H14" i="35"/>
  <c r="G14" i="35"/>
  <c r="I9" i="35"/>
  <c r="H9" i="35"/>
  <c r="G9" i="35"/>
  <c r="L16" i="33"/>
  <c r="L21" i="33"/>
  <c r="L22" i="33"/>
  <c r="L14" i="33"/>
  <c r="L18" i="33"/>
  <c r="L19" i="33"/>
  <c r="L15" i="33"/>
  <c r="L23" i="33"/>
  <c r="L17" i="33"/>
  <c r="L20" i="33"/>
  <c r="M47" i="1" l="1"/>
  <c r="F13" i="27" l="1"/>
  <c r="H60" i="1"/>
  <c r="H16" i="27"/>
  <c r="M15" i="33"/>
  <c r="N18" i="33"/>
  <c r="N21" i="33"/>
  <c r="M23" i="33"/>
  <c r="N14" i="33"/>
  <c r="M19" i="33"/>
  <c r="M17" i="33"/>
  <c r="N22" i="33"/>
  <c r="N16" i="33"/>
  <c r="N20" i="33"/>
  <c r="M22" i="33"/>
  <c r="M21" i="33"/>
  <c r="N19" i="33"/>
  <c r="N17" i="33"/>
  <c r="M16" i="33"/>
  <c r="M18" i="33"/>
  <c r="N23" i="33"/>
  <c r="M14" i="33"/>
  <c r="N15" i="33"/>
  <c r="M20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H7" i="27" l="1"/>
  <c r="H8" i="27" s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A27" i="21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5" i="3" s="1"/>
  <c r="AC36" i="3" s="1"/>
  <c r="AC37" i="3" s="1"/>
  <c r="AC38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여기서</t>
        </r>
        <r>
          <rPr>
            <sz val="9"/>
            <color indexed="81"/>
            <rFont val="Tahoma"/>
            <family val="2"/>
          </rPr>
          <t xml:space="preserve"> 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7D4873BD-0199-4DE7-B8BC-A29628652A2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EE7B45BD-C233-4109-8335-47B10A077D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<sst xmlns="http://schemas.openxmlformats.org/spreadsheetml/2006/main" count="1220" uniqueCount="300">
  <si>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</si>
  <si>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</si>
  <si>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</si>
  <si>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</si>
  <si>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</si>
  <si>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</si>
  <si>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</si>
  <si>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</si>
  <si>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</si>
  <si>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</si>
  <si>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</si>
  <si>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</si>
  <si>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</si>
  <si>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</si>
  <si>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</si>
  <si>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</si>
  <si>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</si>
  <si>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</si>
  <si>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</si>
  <si>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</si>
  <si>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</si>
  <si>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</si>
  <si>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</si>
  <si>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</si>
  <si>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</si>
  <si>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</si>
  <si>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</si>
  <si>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</si>
  <si>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</si>
  <si>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</si>
  <si>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</si>
  <si>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</si>
  <si>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</si>
  <si>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</si>
  <si>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</si>
  <si>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</si>
  <si>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</si>
  <si>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</si>
  <si>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</si>
  <si>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</si>
  <si>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</si>
  <si>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</si>
  <si>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</si>
  <si>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</si>
  <si>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</si>
  <si>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</si>
  <si>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</si>
  <si>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</si>
  <si>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</si>
  <si>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</si>
  <si>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</si>
  <si>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</si>
  <si>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</si>
  <si>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</si>
  <si>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</si>
  <si>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</si>
  <si>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</si>
  <si>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</si>
  <si>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</si>
  <si>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</si>
  <si>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</si>
  <si>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</si>
  <si>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</si>
  <si>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</si>
  <si>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</si>
  <si>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</si>
  <si>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</si>
  <si>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</si>
  <si>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</si>
  <si>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</si>
  <si>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</si>
  <si>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</si>
  <si>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</si>
  <si>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</si>
  <si>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</si>
  <si>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</si>
  <si>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</si>
  <si>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</si>
  <si>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</si>
  <si>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</si>
  <si>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</si>
  <si>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</si>
  <si>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</si>
  <si>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</si>
  <si>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</si>
  <si>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</si>
  <si>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</si>
  <si>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</si>
  <si>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</si>
  <si>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</si>
  <si>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</si>
  <si>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</si>
  <si>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</si>
  <si>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</si>
  <si>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</si>
  <si>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</si>
  <si>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</si>
  <si>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</si>
  <si>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</si>
  <si>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</si>
  <si>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</si>
  <si>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</si>
  <si>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</si>
  <si>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</si>
  <si>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</si>
  <si>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</si>
  <si>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</si>
  <si>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</si>
  <si>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</si>
  <si>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</si>
  <si>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</si>
  <si>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</si>
  <si>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</si>
  <si>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</si>
  <si>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</si>
  <si>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</si>
  <si>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</si>
  <si>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</si>
  <si>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</si>
  <si>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</si>
  <si>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</si>
  <si>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</si>
  <si>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</si>
  <si>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</si>
  <si>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</si>
  <si>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</si>
  <si>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</si>
  <si>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</si>
  <si>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</si>
  <si>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</si>
  <si>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</si>
  <si>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</si>
  <si>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</si>
  <si>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</si>
  <si>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</si>
  <si>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</si>
  <si>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</si>
  <si>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</si>
  <si>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</si>
  <si>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</si>
  <si>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</si>
  <si>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</si>
  <si>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</si>
  <si>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</si>
  <si>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</si>
  <si>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</si>
  <si>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</si>
  <si>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</si>
  <si>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</si>
  <si>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</si>
  <si>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</si>
  <si>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</si>
  <si>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</si>
  <si>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</si>
  <si>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</si>
  <si>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</si>
  <si>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</si>
  <si>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</si>
  <si>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</si>
  <si>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</si>
  <si>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</si>
  <si>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</si>
  <si>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</si>
  <si>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</si>
  <si>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</si>
  <si>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</si>
  <si>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</si>
  <si>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</si>
  <si>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</si>
  <si>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</si>
  <si>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</si>
  <si>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</si>
  <si>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</si>
  <si>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</si>
  <si>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</si>
  <si>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</si>
  <si>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</si>
  <si>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</si>
  <si>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</si>
  <si>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</si>
  <si>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</si>
  <si>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</si>
  <si>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</si>
  <si>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</si>
  <si>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</si>
  <si>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</si>
  <si>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</si>
  <si>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</si>
  <si>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</si>
  <si>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</si>
  <si>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</si>
  <si>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</si>
  <si>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</si>
  <si>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</si>
  <si>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</si>
  <si>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</si>
  <si>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</si>
  <si>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</si>
  <si>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</si>
  <si>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</si>
  <si>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</si>
  <si>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</si>
  <si>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</si>
  <si>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</si>
  <si>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</si>
  <si>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</si>
  <si>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</si>
  <si>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</si>
  <si>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</si>
  <si>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</si>
  <si>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</si>
  <si>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</si>
  <si>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</si>
  <si>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</si>
  <si>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</si>
  <si>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</si>
  <si>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</si>
  <si>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</si>
  <si>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</si>
  <si>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</si>
  <si>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</si>
  <si>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</si>
  <si>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</si>
  <si>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</si>
  <si>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</si>
  <si>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</si>
  <si>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</si>
  <si>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</si>
  <si>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</si>
  <si>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</si>
  <si>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</si>
  <si>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</si>
  <si>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</si>
  <si>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</si>
  <si>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</si>
  <si>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</si>
  <si>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</si>
  <si>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</si>
  <si>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</si>
  <si>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</si>
  <si>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</si>
  <si>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</si>
  <si>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</si>
  <si>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</si>
  <si>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</si>
  <si>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</si>
  <si>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</si>
  <si>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</si>
  <si>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</si>
  <si>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</si>
  <si>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</si>
  <si>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</si>
  <si>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</si>
  <si>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</si>
  <si>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</si>
  <si>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</si>
  <si>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</si>
  <si>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</si>
  <si>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</si>
  <si>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</si>
  <si>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</si>
  <si>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</si>
  <si>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</si>
  <si>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</si>
  <si>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</si>
  <si>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</si>
  <si>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</si>
  <si>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</si>
  <si>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</si>
  <si>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</si>
  <si>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</si>
  <si>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</si>
  <si>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</si>
  <si>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</si>
  <si>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</si>
  <si>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</si>
  <si>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</si>
  <si>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</si>
  <si>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</si>
  <si>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</si>
  <si>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</si>
  <si>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</si>
  <si>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</si>
  <si>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</si>
  <si>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</si>
  <si>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공  번 : W - 1</t>
  </si>
  <si>
    <t xml:space="preserve"> 2021년 예산군 대용량지하수 시설개량사업 지하수영향조사</t>
    <phoneticPr fontId="6" type="noConversion"/>
  </si>
  <si>
    <t xml:space="preserve"> 노전리 744</t>
    <phoneticPr fontId="6" type="noConversion"/>
  </si>
  <si>
    <t xml:space="preserve"> 충청남도 예산군 광시면 노전리 744</t>
  </si>
  <si>
    <t xml:space="preserve"> (주)현윤이앤씨</t>
    <phoneticPr fontId="6" type="noConversion"/>
  </si>
  <si>
    <t xml:space="preserve"> 2021년 예산군 대용량지하수 시설개량사업 지하수영향조사</t>
  </si>
  <si>
    <t xml:space="preserve"> 노전리 744</t>
  </si>
  <si>
    <t xml:space="preserve"> (주)현윤이앤씨</t>
  </si>
  <si>
    <t>조 사 명</t>
  </si>
  <si>
    <t>지 구 명</t>
  </si>
  <si>
    <t>위    치</t>
  </si>
  <si>
    <t>조 사 자</t>
  </si>
  <si>
    <t>개발시 적정채수량으로 적용 =</t>
  </si>
  <si>
    <t>직     경</t>
  </si>
  <si>
    <t>경험식Re3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</si>
</sst>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75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642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57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  <xf numFmtId="1" fontId="38" fillId="2" borderId="3" xfId="15" applyNumberFormat="1" applyFont="1" applyFill="1" applyBorder="1" applyAlignment="1">
      <alignment horizontal="center" vertical="center"/>
    </xf>
    <xf numFmtId="215" fontId="57" fillId="36" borderId="0" xfId="15" applyNumberFormat="1" applyFont="1" applyFill="1" applyAlignment="1">
      <alignment horizontal="center" vertical="center"/>
    </xf>
    <xf numFmtId="0" fontId="57" fillId="34" borderId="0" xfId="15" applyFont="1" applyFill="1" applyAlignment="1">
      <alignment horizontal="center" vertical="center"/>
    </xf>
    <xf numFmtId="215" fontId="67" fillId="34" borderId="0" xfId="0" applyNumberFormat="1" applyFont="1" applyFill="1" applyAlignment="1">
      <alignment vertical="center"/>
    </xf>
    <xf numFmtId="177" fontId="36" fillId="0" borderId="60" xfId="0" applyNumberFormat="1" applyFont="1" applyBorder="1" applyAlignment="1">
      <alignment horizontal="center" vertical="center"/>
    </xf>
    <xf numFmtId="0" fontId="68" fillId="0" borderId="0" xfId="0" applyFont="1"/>
    <xf numFmtId="0" fontId="47" fillId="0" borderId="0" xfId="0" applyFont="1"/>
    <xf numFmtId="0" fontId="47" fillId="0" borderId="0" xfId="0" applyFont="1" applyAlignment="1">
      <alignment horizontal="center"/>
    </xf>
    <xf numFmtId="0" fontId="69" fillId="0" borderId="0" xfId="0" applyFont="1"/>
    <xf numFmtId="0" fontId="70" fillId="0" borderId="0" xfId="0" applyFont="1" applyAlignment="1">
      <alignment horizontal="centerContinuous" vertical="top"/>
    </xf>
    <xf numFmtId="184" fontId="47" fillId="0" borderId="0" xfId="0" applyNumberFormat="1" applyFont="1" applyAlignment="1">
      <alignment horizontal="centerContinuous"/>
    </xf>
    <xf numFmtId="0" fontId="71" fillId="0" borderId="4" xfId="0" applyFont="1" applyBorder="1" applyAlignment="1">
      <alignment horizontal="left" vertical="center"/>
    </xf>
    <xf numFmtId="0" fontId="71" fillId="0" borderId="2" xfId="0" applyFont="1" applyBorder="1" applyAlignment="1">
      <alignment vertical="center"/>
    </xf>
    <xf numFmtId="184" fontId="71" fillId="0" borderId="2" xfId="0" applyNumberFormat="1" applyFont="1" applyBorder="1"/>
    <xf numFmtId="0" fontId="71" fillId="0" borderId="36" xfId="0" applyFont="1" applyBorder="1" applyAlignment="1">
      <alignment horizontal="center" vertical="center"/>
    </xf>
    <xf numFmtId="201" fontId="71" fillId="0" borderId="4" xfId="0" applyNumberFormat="1" applyFont="1" applyBorder="1" applyAlignment="1">
      <alignment horizontal="left" vertical="center"/>
    </xf>
    <xf numFmtId="0" fontId="71" fillId="0" borderId="2" xfId="0" applyFont="1" applyBorder="1" applyAlignment="1">
      <alignment horizontal="right" vertical="center"/>
    </xf>
    <xf numFmtId="184" fontId="71" fillId="0" borderId="2" xfId="0" applyNumberFormat="1" applyFont="1" applyBorder="1" applyAlignment="1">
      <alignment horizontal="centerContinuous" vertical="center"/>
    </xf>
    <xf numFmtId="0" fontId="71" fillId="0" borderId="36" xfId="0" applyFont="1" applyBorder="1" applyAlignment="1">
      <alignment horizontal="centerContinuous" vertical="center"/>
    </xf>
    <xf numFmtId="0" fontId="71" fillId="0" borderId="4" xfId="0" applyFont="1" applyBorder="1" applyAlignment="1">
      <alignment vertical="center"/>
    </xf>
    <xf numFmtId="0" fontId="71" fillId="0" borderId="2" xfId="0" applyFont="1" applyBorder="1" applyAlignment="1">
      <alignment horizontal="left" vertical="center"/>
    </xf>
    <xf numFmtId="0" fontId="71" fillId="0" borderId="0" xfId="0" applyFont="1" applyAlignment="1">
      <alignment vertical="center"/>
    </xf>
    <xf numFmtId="0" fontId="72" fillId="0" borderId="2" xfId="0" applyFont="1" applyBorder="1" applyAlignment="1">
      <alignment horizontal="centerContinuous" vertical="center"/>
    </xf>
    <xf numFmtId="187" fontId="72" fillId="0" borderId="2" xfId="0" applyNumberFormat="1" applyFont="1" applyBorder="1" applyAlignment="1">
      <alignment horizontal="centerContinuous" vertical="center"/>
    </xf>
    <xf numFmtId="184" fontId="72" fillId="0" borderId="2" xfId="0" applyNumberFormat="1" applyFont="1" applyBorder="1" applyAlignment="1">
      <alignment horizontal="centerContinuous"/>
    </xf>
    <xf numFmtId="0" fontId="72" fillId="0" borderId="36" xfId="0" applyFont="1" applyBorder="1" applyAlignment="1">
      <alignment horizontal="centerContinuous" vertical="center"/>
    </xf>
    <xf numFmtId="0" fontId="71" fillId="0" borderId="3" xfId="0" applyFont="1" applyBorder="1" applyAlignment="1">
      <alignment horizontal="centerContinuous" vertical="center"/>
    </xf>
    <xf numFmtId="0" fontId="72" fillId="0" borderId="4" xfId="0" applyFont="1" applyBorder="1" applyAlignment="1">
      <alignment horizontal="centerContinuous" vertical="center"/>
    </xf>
    <xf numFmtId="184" fontId="72" fillId="0" borderId="36" xfId="0" applyNumberFormat="1" applyFont="1" applyBorder="1" applyAlignment="1">
      <alignment horizontal="centerContinuous"/>
    </xf>
    <xf numFmtId="186" fontId="71" fillId="0" borderId="3" xfId="0" applyNumberFormat="1" applyFont="1" applyBorder="1" applyAlignment="1">
      <alignment horizontal="center" vertical="center"/>
    </xf>
    <xf numFmtId="0" fontId="71" fillId="0" borderId="3" xfId="0" applyFont="1" applyBorder="1" applyAlignment="1">
      <alignment horizontal="center" vertical="center"/>
    </xf>
    <xf numFmtId="0" fontId="71" fillId="0" borderId="2" xfId="0" applyFont="1" applyBorder="1" applyAlignment="1">
      <alignment horizontal="center" vertical="center"/>
    </xf>
    <xf numFmtId="0" fontId="71" fillId="0" borderId="3" xfId="0" applyFont="1" applyBorder="1" applyAlignment="1">
      <alignment horizontal="center" vertical="center" wrapText="1"/>
    </xf>
    <xf numFmtId="0" fontId="71" fillId="0" borderId="3" xfId="0" applyFont="1" applyBorder="1" applyAlignment="1">
      <alignment vertical="center"/>
    </xf>
    <xf numFmtId="1" fontId="71" fillId="0" borderId="3" xfId="0" applyNumberFormat="1" applyFont="1" applyBorder="1" applyAlignment="1">
      <alignment vertical="center"/>
    </xf>
    <xf numFmtId="186" fontId="71" fillId="0" borderId="3" xfId="0" applyNumberFormat="1" applyFont="1" applyBorder="1" applyAlignment="1">
      <alignment vertical="center"/>
    </xf>
    <xf numFmtId="191" fontId="71" fillId="0" borderId="3" xfId="0" applyNumberFormat="1" applyFont="1" applyBorder="1" applyAlignment="1">
      <alignment vertical="center"/>
    </xf>
    <xf numFmtId="191" fontId="71" fillId="0" borderId="3" xfId="0" applyNumberFormat="1" applyFont="1" applyBorder="1" applyAlignment="1">
      <alignment horizontal="center" vertical="center"/>
    </xf>
    <xf numFmtId="0" fontId="73" fillId="0" borderId="0" xfId="0" applyFont="1" applyFill="1" applyAlignment="1">
      <alignment horizontal="centerContinuous" vertical="center"/>
    </xf>
    <xf numFmtId="0" fontId="70" fillId="0" borderId="0" xfId="0" applyFont="1" applyFill="1" applyAlignment="1">
      <alignment horizontal="centerContinuous" vertical="center"/>
    </xf>
    <xf numFmtId="0" fontId="47" fillId="0" borderId="3" xfId="0" applyFont="1" applyFill="1" applyBorder="1" applyAlignment="1">
      <alignment horizontal="centerContinuous" vertical="center"/>
    </xf>
    <xf numFmtId="0" fontId="47" fillId="0" borderId="4" xfId="0" applyFont="1" applyFill="1" applyBorder="1" applyAlignment="1">
      <alignment horizontal="left" vertical="center"/>
    </xf>
    <xf numFmtId="0" fontId="47" fillId="0" borderId="2" xfId="0" applyFont="1" applyFill="1" applyBorder="1" applyAlignment="1">
      <alignment vertical="center"/>
    </xf>
    <xf numFmtId="0" fontId="47" fillId="0" borderId="2" xfId="0" applyFont="1" applyFill="1" applyBorder="1" applyAlignment="1">
      <alignment horizontal="right" vertical="center"/>
    </xf>
    <xf numFmtId="0" fontId="47" fillId="0" borderId="2" xfId="0" applyFont="1" applyFill="1" applyBorder="1" applyAlignment="1">
      <alignment horizontal="centerContinuous" vertical="center"/>
    </xf>
    <xf numFmtId="0" fontId="47" fillId="0" borderId="4" xfId="0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74" fillId="0" borderId="2" xfId="0" applyFont="1" applyFill="1" applyBorder="1" applyAlignment="1">
      <alignment horizontal="center" vertical="center"/>
    </xf>
    <xf numFmtId="187" fontId="74" fillId="0" borderId="36" xfId="0" applyNumberFormat="1" applyFont="1" applyFill="1" applyBorder="1" applyAlignment="1">
      <alignment horizontal="centerContinuous" vertical="center"/>
    </xf>
    <xf numFmtId="185" fontId="47" fillId="0" borderId="3" xfId="0" applyNumberFormat="1" applyFont="1" applyFill="1" applyBorder="1" applyAlignment="1">
      <alignment horizontal="center" vertical="center"/>
    </xf>
    <xf numFmtId="179" fontId="47" fillId="0" borderId="4" xfId="0" applyNumberFormat="1" applyFont="1" applyFill="1" applyBorder="1" applyAlignment="1">
      <alignment horizontal="center" vertical="center"/>
    </xf>
    <xf numFmtId="0" fontId="47" fillId="0" borderId="36" xfId="0" applyFont="1" applyFill="1" applyBorder="1" applyAlignment="1">
      <alignment vertical="center"/>
    </xf>
    <xf numFmtId="0" fontId="47" fillId="0" borderId="3" xfId="0" applyFont="1" applyFill="1" applyBorder="1" applyAlignment="1">
      <alignment horizontal="center" vertical="center"/>
    </xf>
    <xf numFmtId="180" fontId="47" fillId="0" borderId="3" xfId="0" applyNumberFormat="1" applyFont="1" applyFill="1" applyBorder="1" applyAlignment="1">
      <alignment horizontal="right" vertical="center"/>
    </xf>
    <xf numFmtId="186" fontId="47" fillId="0" borderId="3" xfId="0" applyNumberFormat="1" applyFont="1" applyFill="1" applyBorder="1" applyAlignment="1">
      <alignment horizontal="center" vertical="center"/>
    </xf>
    <xf numFmtId="181" fontId="47" fillId="0" borderId="4" xfId="0" applyNumberFormat="1" applyFont="1" applyFill="1" applyBorder="1" applyAlignment="1">
      <alignment horizontal="center" vertical="center"/>
    </xf>
    <xf numFmtId="181" fontId="47" fillId="0" borderId="3" xfId="0" applyNumberFormat="1" applyFont="1" applyFill="1" applyBorder="1" applyAlignment="1">
      <alignment horizontal="right" vertical="center"/>
    </xf>
    <xf numFmtId="0" fontId="47" fillId="0" borderId="3" xfId="0" applyFont="1" applyFill="1" applyBorder="1" applyAlignment="1">
      <alignment horizontal="center" vertical="center" wrapText="1"/>
    </xf>
    <xf numFmtId="0" fontId="47" fillId="0" borderId="3" xfId="0" applyFont="1" applyFill="1" applyBorder="1" applyAlignment="1">
      <alignment vertical="center"/>
    </xf>
    <xf numFmtId="1" fontId="47" fillId="0" borderId="3" xfId="0" applyNumberFormat="1" applyFont="1" applyFill="1" applyBorder="1" applyAlignment="1">
      <alignment vertical="center"/>
    </xf>
    <xf numFmtId="186" fontId="47" fillId="0" borderId="3" xfId="0" applyNumberFormat="1" applyFont="1" applyFill="1" applyBorder="1" applyAlignment="1">
      <alignment vertical="center"/>
    </xf>
    <xf numFmtId="189" fontId="47" fillId="0" borderId="4" xfId="0" applyNumberFormat="1" applyFont="1" applyFill="1" applyBorder="1" applyAlignment="1">
      <alignment horizontal="right" vertical="center"/>
    </xf>
    <xf numFmtId="192" fontId="47" fillId="0" borderId="3" xfId="0" applyNumberFormat="1" applyFont="1" applyFill="1" applyBorder="1" applyAlignment="1">
      <alignment vertical="center"/>
    </xf>
    <xf numFmtId="0" fontId="70" fillId="0" borderId="0" xfId="0" applyNumberFormat="1" applyFont="1" applyFill="1" applyAlignment="1">
      <alignment horizontal="centerContinuous" vertical="center"/>
    </xf>
    <xf numFmtId="0" fontId="47" fillId="0" borderId="2" xfId="0" applyNumberFormat="1" applyFont="1" applyFill="1" applyBorder="1" applyAlignment="1">
      <alignment vertical="center"/>
    </xf>
    <xf numFmtId="0" fontId="47" fillId="0" borderId="36" xfId="0" applyNumberFormat="1" applyFont="1" applyFill="1" applyBorder="1" applyAlignment="1">
      <alignment horizontal="center" vertical="center"/>
    </xf>
    <xf numFmtId="0" fontId="47" fillId="0" borderId="2" xfId="0" applyNumberFormat="1" applyFont="1" applyFill="1" applyBorder="1" applyAlignment="1">
      <alignment horizontal="centerContinuous" vertical="center"/>
    </xf>
    <xf numFmtId="0" fontId="47" fillId="0" borderId="36" xfId="0" applyNumberFormat="1" applyFont="1" applyFill="1" applyBorder="1" applyAlignment="1">
      <alignment horizontal="centerContinuous" vertical="center"/>
    </xf>
    <xf numFmtId="0" fontId="74" fillId="0" borderId="3" xfId="0" applyNumberFormat="1" applyFont="1" applyFill="1" applyBorder="1" applyAlignment="1">
      <alignment horizontal="centerContinuous" vertical="center"/>
    </xf>
    <xf numFmtId="0" fontId="47" fillId="0" borderId="3" xfId="0" applyNumberFormat="1" applyFont="1" applyFill="1" applyBorder="1" applyAlignment="1">
      <alignment horizontal="centerContinuous" vertical="center"/>
    </xf>
    <xf numFmtId="0" fontId="47" fillId="0" borderId="3" xfId="0" applyNumberFormat="1" applyFont="1" applyFill="1" applyBorder="1" applyAlignment="1">
      <alignment horizontal="center" vertical="center"/>
    </xf>
    <xf numFmtId="0" fontId="47" fillId="0" borderId="3" xfId="0" applyNumberFormat="1" applyFont="1" applyFill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/>
    <xf numFmtId="0" fontId="3" fillId="0" borderId="0" xfId="0" applyNumberFormat="1" applyFont="1" applyAlignment="1">
      <alignment horizontal="center"/>
    </xf>
    <xf numFmtId="195" fontId="57" fillId="33" borderId="93" xfId="15" applyNumberFormat="1" applyFont="1" applyFill="1" applyBorder="1" applyAlignment="1">
      <alignment horizontal="center" vertic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0" xfId="0" applyFont="1" applyAlignment="1">
      <alignment horizontal="center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91" fontId="23" fillId="0" borderId="3" xfId="0" applyNumberFormat="1" applyFont="1" applyBorder="1" applyAlignment="1">
      <alignment horizontal="center" vertical="center"/>
    </xf>
    <xf numFmtId="0" fontId="16" fillId="4" borderId="0" xfId="0" applyFont="1" applyFill="1" applyAlignment="1">
      <alignment horizontal="right" vertical="center" wrapText="1"/>
    </xf>
    <xf numFmtId="219" fontId="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0" fontId="21" fillId="0" borderId="3" xfId="0" applyFont="1" applyBorder="1" applyAlignment="1">
      <alignment horizontal="center" vertical="center" wrapText="1"/>
    </xf>
    <xf numFmtId="0" fontId="47" fillId="0" borderId="3" xfId="0" applyNumberFormat="1" applyFont="1" applyFill="1" applyBorder="1" applyAlignment="1">
      <alignment horizontal="center" vertical="center"/>
    </xf>
    <xf numFmtId="213" fontId="47" fillId="0" borderId="3" xfId="0" applyNumberFormat="1" applyFont="1" applyFill="1" applyBorder="1" applyAlignment="1">
      <alignment horizontal="left" vertical="center"/>
    </xf>
    <xf numFmtId="213" fontId="47" fillId="0" borderId="4" xfId="0" applyNumberFormat="1" applyFont="1" applyFill="1" applyBorder="1" applyAlignment="1">
      <alignment horizontal="left" vertical="center"/>
    </xf>
    <xf numFmtId="0" fontId="47" fillId="0" borderId="3" xfId="0" applyFont="1" applyFill="1" applyBorder="1" applyAlignment="1">
      <alignment horizontal="center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190" fontId="71" fillId="0" borderId="3" xfId="0" applyNumberFormat="1" applyFont="1" applyBorder="1" applyAlignment="1">
      <alignment horizontal="center" vertical="center"/>
    </xf>
    <xf numFmtId="191" fontId="71" fillId="0" borderId="3" xfId="0" applyNumberFormat="1" applyFont="1" applyBorder="1" applyAlignment="1">
      <alignment horizontal="center" vertical="center"/>
    </xf>
    <xf numFmtId="0" fontId="71" fillId="0" borderId="3" xfId="0" applyFont="1" applyBorder="1" applyAlignment="1">
      <alignment horizontal="center" vertical="center"/>
    </xf>
    <xf numFmtId="200" fontId="71" fillId="0" borderId="4" xfId="0" applyNumberFormat="1" applyFont="1" applyBorder="1" applyAlignment="1">
      <alignment horizontal="center" vertical="center"/>
    </xf>
    <xf numFmtId="200" fontId="71" fillId="0" borderId="2" xfId="0" applyNumberFormat="1" applyFont="1" applyBorder="1" applyAlignment="1">
      <alignment horizontal="center" vertical="center"/>
    </xf>
    <xf numFmtId="200" fontId="71" fillId="0" borderId="36" xfId="0" applyNumberFormat="1" applyFont="1" applyBorder="1" applyAlignment="1">
      <alignment horizontal="center" vertical="center"/>
    </xf>
    <xf numFmtId="179" fontId="71" fillId="0" borderId="3" xfId="0" applyNumberFormat="1" applyFont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181" fontId="71" fillId="0" borderId="4" xfId="0" applyNumberFormat="1" applyFont="1" applyBorder="1" applyAlignment="1">
      <alignment horizontal="center" vertical="center"/>
    </xf>
    <xf numFmtId="181" fontId="71" fillId="0" borderId="2" xfId="0" applyNumberFormat="1" applyFont="1" applyBorder="1" applyAlignment="1">
      <alignment horizontal="center" vertical="center"/>
    </xf>
    <xf numFmtId="182" fontId="71" fillId="0" borderId="2" xfId="0" applyNumberFormat="1" applyFont="1" applyBorder="1" applyAlignment="1">
      <alignment horizontal="center" vertical="center"/>
    </xf>
    <xf numFmtId="186" fontId="71" fillId="0" borderId="3" xfId="0" applyNumberFormat="1" applyFont="1" applyBorder="1" applyAlignment="1">
      <alignment horizontal="center" vertical="center" wrapText="1"/>
    </xf>
    <xf numFmtId="0" fontId="71" fillId="0" borderId="3" xfId="0" applyFont="1" applyBorder="1" applyAlignment="1">
      <alignment horizontal="center" vertical="center" wrapText="1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7A983E"/>
      <color rgb="FF647D33"/>
      <color rgb="FF467A75"/>
      <color rgb="FF579791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1.08</c:v>
                </c:pt>
                <c:pt idx="1">
                  <c:v>2.04</c:v>
                </c:pt>
                <c:pt idx="2">
                  <c:v>2.65</c:v>
                </c:pt>
                <c:pt idx="3">
                  <c:v>3.08</c:v>
                </c:pt>
                <c:pt idx="4">
                  <c:v>3.41</c:v>
                </c:pt>
                <c:pt idx="5">
                  <c:v>4.45</c:v>
                </c:pt>
                <c:pt idx="6">
                  <c:v>5.0599999999999996</c:v>
                </c:pt>
                <c:pt idx="7">
                  <c:v>5.49</c:v>
                </c:pt>
                <c:pt idx="8">
                  <c:v>5.82</c:v>
                </c:pt>
                <c:pt idx="9">
                  <c:v>6.1</c:v>
                </c:pt>
                <c:pt idx="10">
                  <c:v>6.33</c:v>
                </c:pt>
                <c:pt idx="11">
                  <c:v>6.53</c:v>
                </c:pt>
                <c:pt idx="12">
                  <c:v>6.71</c:v>
                </c:pt>
                <c:pt idx="13">
                  <c:v>6.86</c:v>
                </c:pt>
                <c:pt idx="14">
                  <c:v>7.01</c:v>
                </c:pt>
                <c:pt idx="15">
                  <c:v>7.14</c:v>
                </c:pt>
                <c:pt idx="16">
                  <c:v>7.47</c:v>
                </c:pt>
                <c:pt idx="17">
                  <c:v>7.74</c:v>
                </c:pt>
                <c:pt idx="18">
                  <c:v>7.97</c:v>
                </c:pt>
                <c:pt idx="19">
                  <c:v>8.18</c:v>
                </c:pt>
                <c:pt idx="20" formatCode="\ 0.00\ ">
                  <c:v>8.34</c:v>
                </c:pt>
                <c:pt idx="21" formatCode="\ 0.00\ ">
                  <c:v>8.49</c:v>
                </c:pt>
                <c:pt idx="22" formatCode="\ 0.00\ ">
                  <c:v>8.6300000000000008</c:v>
                </c:pt>
                <c:pt idx="23" formatCode="\ 0.00\ ">
                  <c:v>8.7600000000000016</c:v>
                </c:pt>
                <c:pt idx="24" formatCode="\ 0.00\ ">
                  <c:v>8.8900000000000023</c:v>
                </c:pt>
                <c:pt idx="25">
                  <c:v>9.81</c:v>
                </c:pt>
                <c:pt idx="26" formatCode="\ 0.00\ ">
                  <c:v>9.92</c:v>
                </c:pt>
                <c:pt idx="27">
                  <c:v>10.09</c:v>
                </c:pt>
                <c:pt idx="28" formatCode="\ 0.00\ ">
                  <c:v>10.19</c:v>
                </c:pt>
                <c:pt idx="29">
                  <c:v>10.36</c:v>
                </c:pt>
                <c:pt idx="30" formatCode="\ 0.00\ ">
                  <c:v>10.42</c:v>
                </c:pt>
                <c:pt idx="31" formatCode="\ 0.00\ ">
                  <c:v>10.47</c:v>
                </c:pt>
                <c:pt idx="32" formatCode="\ 0.00\ ">
                  <c:v>10.51</c:v>
                </c:pt>
                <c:pt idx="33" formatCode="\ 0.00\ ">
                  <c:v>10.54</c:v>
                </c:pt>
                <c:pt idx="34" formatCode="\ 0.00\ ">
                  <c:v>10.559999999999999</c:v>
                </c:pt>
                <c:pt idx="35">
                  <c:v>10.63</c:v>
                </c:pt>
                <c:pt idx="36" formatCode="\ 0.00\ ">
                  <c:v>10.700000000000001</c:v>
                </c:pt>
                <c:pt idx="37" formatCode="\ 0.00\ ">
                  <c:v>10.760000000000002</c:v>
                </c:pt>
                <c:pt idx="38" formatCode="\ 0.00\ ">
                  <c:v>10.810000000000002</c:v>
                </c:pt>
                <c:pt idx="39">
                  <c:v>10.91</c:v>
                </c:pt>
                <c:pt idx="40" formatCode="\ 0.00\ ">
                  <c:v>11.09</c:v>
                </c:pt>
                <c:pt idx="41" formatCode="\ 0.00\ ">
                  <c:v>11.25</c:v>
                </c:pt>
                <c:pt idx="42" formatCode="\ 0.00\ ">
                  <c:v>11.4</c:v>
                </c:pt>
                <c:pt idx="43" formatCode="\ 0.00\ ">
                  <c:v>11.540000000000001</c:v>
                </c:pt>
                <c:pt idx="44" formatCode="\ 0.00\ ">
                  <c:v>11.670000000000002</c:v>
                </c:pt>
                <c:pt idx="45">
                  <c:v>12.75</c:v>
                </c:pt>
                <c:pt idx="46" formatCode="\ 0.00\ ">
                  <c:v>12.86</c:v>
                </c:pt>
                <c:pt idx="47">
                  <c:v>13.05</c:v>
                </c:pt>
                <c:pt idx="48" formatCode="\ 0.00\ ">
                  <c:v>13.16</c:v>
                </c:pt>
                <c:pt idx="49">
                  <c:v>13.36</c:v>
                </c:pt>
                <c:pt idx="50" formatCode="\ 0.00\ ">
                  <c:v>13.43</c:v>
                </c:pt>
                <c:pt idx="51" formatCode="\ 0.00\ ">
                  <c:v>13.48</c:v>
                </c:pt>
                <c:pt idx="52" formatCode="\ 0.00\ ">
                  <c:v>13.52</c:v>
                </c:pt>
                <c:pt idx="53" formatCode="\ 0.00\ ">
                  <c:v>13.549999999999999</c:v>
                </c:pt>
                <c:pt idx="54" formatCode="\ 0.00\ ">
                  <c:v>13.569999999999999</c:v>
                </c:pt>
                <c:pt idx="55">
                  <c:v>13.67</c:v>
                </c:pt>
                <c:pt idx="56" formatCode="\ 0.00\ ">
                  <c:v>13.75</c:v>
                </c:pt>
                <c:pt idx="57" formatCode="\ 0.00\ ">
                  <c:v>13.81</c:v>
                </c:pt>
                <c:pt idx="58" formatCode="\ 0.00\ ">
                  <c:v>13.860000000000001</c:v>
                </c:pt>
                <c:pt idx="59">
                  <c:v>13.98</c:v>
                </c:pt>
                <c:pt idx="60" formatCode="\ 0.00\ ">
                  <c:v>14.17</c:v>
                </c:pt>
                <c:pt idx="61" formatCode="\ 0.00\ ">
                  <c:v>14.34</c:v>
                </c:pt>
                <c:pt idx="62" formatCode="\ 0.00\ ">
                  <c:v>14.5</c:v>
                </c:pt>
                <c:pt idx="63" formatCode="\ 0.00\ ">
                  <c:v>14.65</c:v>
                </c:pt>
                <c:pt idx="64" formatCode="\ 0.00\ ">
                  <c:v>14.790000000000001</c:v>
                </c:pt>
                <c:pt idx="65">
                  <c:v>16.03</c:v>
                </c:pt>
                <c:pt idx="66" formatCode="\ 0.00\ ">
                  <c:v>16.150000000000002</c:v>
                </c:pt>
                <c:pt idx="67" formatCode="\ 0.00\ ">
                  <c:v>16.37</c:v>
                </c:pt>
                <c:pt idx="68" formatCode="\ 0.00\ ">
                  <c:v>16.490000000000002</c:v>
                </c:pt>
                <c:pt idx="69" formatCode="\ 0.00\ ">
                  <c:v>16.71</c:v>
                </c:pt>
                <c:pt idx="70" formatCode="\ 0.00\ ">
                  <c:v>16.78</c:v>
                </c:pt>
                <c:pt idx="71" formatCode="\ 0.00\ ">
                  <c:v>16.830000000000002</c:v>
                </c:pt>
                <c:pt idx="72" formatCode="\ 0.00\ ">
                  <c:v>16.87</c:v>
                </c:pt>
                <c:pt idx="73" formatCode="\ 0.00\ ">
                  <c:v>16.900000000000002</c:v>
                </c:pt>
                <c:pt idx="74" formatCode="\ 0.00\ ">
                  <c:v>16.930000000000003</c:v>
                </c:pt>
                <c:pt idx="75" formatCode="\ 0.00\ ">
                  <c:v>17.05</c:v>
                </c:pt>
                <c:pt idx="76" formatCode="\ 0.00\ ">
                  <c:v>17.14</c:v>
                </c:pt>
                <c:pt idx="77" formatCode="\ 0.00\ ">
                  <c:v>17.21</c:v>
                </c:pt>
                <c:pt idx="78" formatCode="\ 0.00\ ">
                  <c:v>17.260000000000002</c:v>
                </c:pt>
                <c:pt idx="79" formatCode="\ 0.00\ ">
                  <c:v>17.399999999999999</c:v>
                </c:pt>
                <c:pt idx="80" formatCode="\ 0.00\ ">
                  <c:v>17.61</c:v>
                </c:pt>
                <c:pt idx="81" formatCode="\ 0.00\ ">
                  <c:v>17.8</c:v>
                </c:pt>
                <c:pt idx="82" formatCode="\ 0.00\ ">
                  <c:v>17.970000000000002</c:v>
                </c:pt>
                <c:pt idx="83" formatCode="\ 0.00\ ">
                  <c:v>18.130000000000003</c:v>
                </c:pt>
                <c:pt idx="84" formatCode="\ 0.00\ ">
                  <c:v>18.270000000000003</c:v>
                </c:pt>
                <c:pt idx="85" formatCode="\ 0.00\ ">
                  <c:v>19.48</c:v>
                </c:pt>
                <c:pt idx="86" formatCode="\ 0.00\ ">
                  <c:v>19.79</c:v>
                </c:pt>
                <c:pt idx="87" formatCode="\ 0.00\ ">
                  <c:v>20.27</c:v>
                </c:pt>
                <c:pt idx="88" formatCode="\ 0.00\ ">
                  <c:v>20.57</c:v>
                </c:pt>
                <c:pt idx="89" formatCode="\ 0.00\ ">
                  <c:v>21.05</c:v>
                </c:pt>
                <c:pt idx="90" formatCode="\ 0.00\ ">
                  <c:v>21.2</c:v>
                </c:pt>
                <c:pt idx="91" formatCode="\ 0.00\ ">
                  <c:v>21.33</c:v>
                </c:pt>
                <c:pt idx="92" formatCode="\ 0.00\ ">
                  <c:v>21.439999999999998</c:v>
                </c:pt>
                <c:pt idx="93" formatCode="\ 0.00\ ">
                  <c:v>21.519999999999996</c:v>
                </c:pt>
                <c:pt idx="94" formatCode="\ 0.00\ ">
                  <c:v>21.589999999999996</c:v>
                </c:pt>
                <c:pt idx="95" formatCode="\ 0.00\ ">
                  <c:v>21.83</c:v>
                </c:pt>
                <c:pt idx="96" formatCode="\ 0.00\ ">
                  <c:v>22.02</c:v>
                </c:pt>
                <c:pt idx="97" formatCode="\ 0.00\ ">
                  <c:v>22.18</c:v>
                </c:pt>
                <c:pt idx="98" formatCode="\ 0.00\ ">
                  <c:v>22.32</c:v>
                </c:pt>
                <c:pt idx="99" formatCode="\ 0.00\ ">
                  <c:v>22.62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758</c:v>
                </c:pt>
                <c:pt idx="1">
                  <c:v>911</c:v>
                </c:pt>
                <c:pt idx="2">
                  <c:v>1085.45</c:v>
                </c:pt>
                <c:pt idx="3">
                  <c:v>1277</c:v>
                </c:pt>
                <c:pt idx="4">
                  <c:v>1468.55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1.2999999999999999E-2</c:v>
                </c:pt>
                <c:pt idx="4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705.3999999999999"/>
          <c:min val="521.1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8.42499999999998"/>
      </c:valAx>
      <c:valAx>
        <c:axId val="1"/>
        <c:scaling>
          <c:orientation val="minMax"/>
          <c:max val="1.6666666666666666E-2"/>
          <c:min val="8.3333333333333332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833333333333333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682</c:v>
                </c:pt>
                <c:pt idx="1">
                  <c:v>758</c:v>
                </c:pt>
                <c:pt idx="2">
                  <c:v>911</c:v>
                </c:pt>
                <c:pt idx="3">
                  <c:v>1085.45</c:v>
                </c:pt>
                <c:pt idx="4">
                  <c:v>1277</c:v>
                </c:pt>
                <c:pt idx="5">
                  <c:v>1468.55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62.715538835703157</c:v>
                </c:pt>
                <c:pt idx="2">
                  <c:v>58.326062094963795</c:v>
                </c:pt>
                <c:pt idx="3">
                  <c:v>54.01548499866238</c:v>
                </c:pt>
                <c:pt idx="4">
                  <c:v>49.961178152370309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705.3999999999999"/>
          <c:min val="521.1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18.42499999999998"/>
      </c:valAx>
      <c:valAx>
        <c:axId val="1"/>
        <c:scaling>
          <c:orientation val="minMax"/>
          <c:max val="80"/>
          <c:min val="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758</c:v>
                </c:pt>
                <c:pt idx="1">
                  <c:v>911</c:v>
                </c:pt>
                <c:pt idx="2">
                  <c:v>1085.45</c:v>
                </c:pt>
                <c:pt idx="3">
                  <c:v>1277</c:v>
                </c:pt>
                <c:pt idx="4">
                  <c:v>1468.55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8.18</c:v>
                </c:pt>
                <c:pt idx="1">
                  <c:v>10.91</c:v>
                </c:pt>
                <c:pt idx="2">
                  <c:v>13.98</c:v>
                </c:pt>
                <c:pt idx="3">
                  <c:v>17.399999999999999</c:v>
                </c:pt>
                <c:pt idx="4">
                  <c:v>22.62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682</c:v>
                </c:pt>
                <c:pt idx="1">
                  <c:v>758</c:v>
                </c:pt>
                <c:pt idx="2">
                  <c:v>911</c:v>
                </c:pt>
                <c:pt idx="3">
                  <c:v>1085.45</c:v>
                </c:pt>
                <c:pt idx="4">
                  <c:v>1277</c:v>
                </c:pt>
                <c:pt idx="5">
                  <c:v>1468.55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1.0791556728232189E-2</c:v>
                </c:pt>
                <c:pt idx="2">
                  <c:v>1.1975850713501646E-2</c:v>
                </c:pt>
                <c:pt idx="3">
                  <c:v>1.2879450918973698E-2</c:v>
                </c:pt>
                <c:pt idx="4">
                  <c:v>1.3625685199686764E-2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705.3999999999999"/>
          <c:min val="521.1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8.42499999999998"/>
      </c:valAx>
      <c:valAx>
        <c:axId val="1"/>
        <c:scaling>
          <c:orientation val="minMax"/>
          <c:max val="1.6666666666666666E-2"/>
          <c:min val="8.3333333333333332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833333333333333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1.08</c:v>
                </c:pt>
                <c:pt idx="1">
                  <c:v>2.04</c:v>
                </c:pt>
                <c:pt idx="2">
                  <c:v>2.65</c:v>
                </c:pt>
                <c:pt idx="3">
                  <c:v>3.08</c:v>
                </c:pt>
                <c:pt idx="4">
                  <c:v>3.41</c:v>
                </c:pt>
                <c:pt idx="5">
                  <c:v>4.45</c:v>
                </c:pt>
                <c:pt idx="6">
                  <c:v>5.0599999999999996</c:v>
                </c:pt>
                <c:pt idx="7">
                  <c:v>5.49</c:v>
                </c:pt>
                <c:pt idx="8">
                  <c:v>5.82</c:v>
                </c:pt>
                <c:pt idx="9">
                  <c:v>6.1</c:v>
                </c:pt>
                <c:pt idx="10">
                  <c:v>6.33</c:v>
                </c:pt>
                <c:pt idx="11">
                  <c:v>6.53</c:v>
                </c:pt>
                <c:pt idx="12">
                  <c:v>6.71</c:v>
                </c:pt>
                <c:pt idx="13">
                  <c:v>6.86</c:v>
                </c:pt>
                <c:pt idx="14">
                  <c:v>7.01</c:v>
                </c:pt>
                <c:pt idx="15">
                  <c:v>7.14</c:v>
                </c:pt>
                <c:pt idx="16">
                  <c:v>7.47</c:v>
                </c:pt>
                <c:pt idx="17">
                  <c:v>7.74</c:v>
                </c:pt>
                <c:pt idx="18">
                  <c:v>7.97</c:v>
                </c:pt>
                <c:pt idx="19">
                  <c:v>8.18</c:v>
                </c:pt>
                <c:pt idx="20">
                  <c:v>9.81</c:v>
                </c:pt>
                <c:pt idx="21">
                  <c:v>10.09</c:v>
                </c:pt>
                <c:pt idx="22">
                  <c:v>10.36</c:v>
                </c:pt>
                <c:pt idx="23">
                  <c:v>10.63</c:v>
                </c:pt>
                <c:pt idx="24">
                  <c:v>10.91</c:v>
                </c:pt>
                <c:pt idx="25">
                  <c:v>12.75</c:v>
                </c:pt>
                <c:pt idx="26">
                  <c:v>13.05</c:v>
                </c:pt>
                <c:pt idx="27">
                  <c:v>13.36</c:v>
                </c:pt>
                <c:pt idx="28">
                  <c:v>13.67</c:v>
                </c:pt>
                <c:pt idx="29">
                  <c:v>13.98</c:v>
                </c:pt>
                <c:pt idx="30">
                  <c:v>16.03</c:v>
                </c:pt>
                <c:pt idx="31">
                  <c:v>16.37</c:v>
                </c:pt>
                <c:pt idx="32">
                  <c:v>16.71</c:v>
                </c:pt>
                <c:pt idx="33">
                  <c:v>17.05</c:v>
                </c:pt>
                <c:pt idx="34">
                  <c:v>17.399999999999999</c:v>
                </c:pt>
                <c:pt idx="35">
                  <c:v>19.48</c:v>
                </c:pt>
                <c:pt idx="36">
                  <c:v>20.27</c:v>
                </c:pt>
                <c:pt idx="37">
                  <c:v>21.05</c:v>
                </c:pt>
                <c:pt idx="38">
                  <c:v>21.83</c:v>
                </c:pt>
                <c:pt idx="39">
                  <c:v>22.62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1.0063379985114871</c:v>
                </c:pt>
                <c:pt idx="1">
                  <c:v>2.0449619497942244</c:v>
                </c:pt>
                <c:pt idx="2">
                  <c:v>2.6525180136454658</c:v>
                </c:pt>
                <c:pt idx="3">
                  <c:v>3.0835859010769653</c:v>
                </c:pt>
                <c:pt idx="4">
                  <c:v>3.4179481310178002</c:v>
                </c:pt>
                <c:pt idx="5">
                  <c:v>4.4565720823005393</c:v>
                </c:pt>
                <c:pt idx="6">
                  <c:v>5.0641281461517806</c:v>
                </c:pt>
                <c:pt idx="7">
                  <c:v>5.4951960335832801</c:v>
                </c:pt>
                <c:pt idx="8">
                  <c:v>5.8295582635241203</c:v>
                </c:pt>
                <c:pt idx="9">
                  <c:v>6.102752097434518</c:v>
                </c:pt>
                <c:pt idx="10">
                  <c:v>6.3337341928183157</c:v>
                </c:pt>
                <c:pt idx="11">
                  <c:v>6.5338199848660174</c:v>
                </c:pt>
                <c:pt idx="12">
                  <c:v>6.7103081612857594</c:v>
                </c:pt>
                <c:pt idx="13">
                  <c:v>6.8681822148068541</c:v>
                </c:pt>
                <c:pt idx="14">
                  <c:v>7.010996667959315</c:v>
                </c:pt>
                <c:pt idx="15">
                  <c:v>7.1413760487172588</c:v>
                </c:pt>
                <c:pt idx="16">
                  <c:v>7.4757382786580955</c:v>
                </c:pt>
                <c:pt idx="17">
                  <c:v>7.7489321125685002</c:v>
                </c:pt>
                <c:pt idx="18">
                  <c:v>7.9799142079522944</c:v>
                </c:pt>
                <c:pt idx="19">
                  <c:v>8.18</c:v>
                </c:pt>
                <c:pt idx="20">
                  <c:v>9.805879360527058</c:v>
                </c:pt>
                <c:pt idx="21">
                  <c:v>9.9393380861161802</c:v>
                </c:pt>
                <c:pt idx="22">
                  <c:v>10.063585187147133</c:v>
                </c:pt>
                <c:pt idx="23">
                  <c:v>10.391922367480085</c:v>
                </c:pt>
                <c:pt idx="24">
                  <c:v>10.91</c:v>
                </c:pt>
                <c:pt idx="25">
                  <c:v>13.197577184648953</c:v>
                </c:pt>
                <c:pt idx="26">
                  <c:v>13.281733938641974</c:v>
                </c:pt>
                <c:pt idx="27">
                  <c:v>13.36271419734496</c:v>
                </c:pt>
                <c:pt idx="28">
                  <c:v>13.588788592324477</c:v>
                </c:pt>
                <c:pt idx="29">
                  <c:v>13.98</c:v>
                </c:pt>
                <c:pt idx="30">
                  <c:v>16.742946804558891</c:v>
                </c:pt>
                <c:pt idx="31">
                  <c:v>16.810267568292836</c:v>
                </c:pt>
                <c:pt idx="32">
                  <c:v>16.875839541495303</c:v>
                </c:pt>
                <c:pt idx="33">
                  <c:v>17.062916152447343</c:v>
                </c:pt>
                <c:pt idx="34">
                  <c:v>17.399999999999999</c:v>
                </c:pt>
                <c:pt idx="35">
                  <c:v>22.032064793515314</c:v>
                </c:pt>
                <c:pt idx="36">
                  <c:v>22.090713977850765</c:v>
                </c:pt>
                <c:pt idx="37">
                  <c:v>22.148201715527026</c:v>
                </c:pt>
                <c:pt idx="38">
                  <c:v>22.31413464208654</c:v>
                </c:pt>
                <c:pt idx="39">
                  <c:v>22.62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1.08</c:v>
                </c:pt>
                <c:pt idx="1">
                  <c:v>2.04</c:v>
                </c:pt>
                <c:pt idx="2">
                  <c:v>2.65</c:v>
                </c:pt>
                <c:pt idx="3">
                  <c:v>3.08</c:v>
                </c:pt>
                <c:pt idx="4">
                  <c:v>3.41</c:v>
                </c:pt>
                <c:pt idx="5">
                  <c:v>4.45</c:v>
                </c:pt>
                <c:pt idx="6">
                  <c:v>5.0599999999999996</c:v>
                </c:pt>
                <c:pt idx="7">
                  <c:v>5.49</c:v>
                </c:pt>
                <c:pt idx="8">
                  <c:v>5.82</c:v>
                </c:pt>
                <c:pt idx="9">
                  <c:v>6.1</c:v>
                </c:pt>
                <c:pt idx="10">
                  <c:v>6.33</c:v>
                </c:pt>
                <c:pt idx="11">
                  <c:v>6.53</c:v>
                </c:pt>
                <c:pt idx="12">
                  <c:v>6.71</c:v>
                </c:pt>
                <c:pt idx="13">
                  <c:v>6.86</c:v>
                </c:pt>
                <c:pt idx="14">
                  <c:v>7.01</c:v>
                </c:pt>
                <c:pt idx="15">
                  <c:v>7.14</c:v>
                </c:pt>
                <c:pt idx="16">
                  <c:v>7.47</c:v>
                </c:pt>
                <c:pt idx="17">
                  <c:v>7.74</c:v>
                </c:pt>
                <c:pt idx="18">
                  <c:v>7.97</c:v>
                </c:pt>
                <c:pt idx="19">
                  <c:v>8.18</c:v>
                </c:pt>
                <c:pt idx="20">
                  <c:v>9.81</c:v>
                </c:pt>
                <c:pt idx="21">
                  <c:v>10.09</c:v>
                </c:pt>
                <c:pt idx="22">
                  <c:v>10.36</c:v>
                </c:pt>
                <c:pt idx="23">
                  <c:v>10.63</c:v>
                </c:pt>
                <c:pt idx="24">
                  <c:v>10.91</c:v>
                </c:pt>
                <c:pt idx="25">
                  <c:v>12.75</c:v>
                </c:pt>
                <c:pt idx="26">
                  <c:v>13.05</c:v>
                </c:pt>
                <c:pt idx="27">
                  <c:v>13.36</c:v>
                </c:pt>
                <c:pt idx="28">
                  <c:v>13.67</c:v>
                </c:pt>
                <c:pt idx="29">
                  <c:v>13.98</c:v>
                </c:pt>
                <c:pt idx="30">
                  <c:v>16.03</c:v>
                </c:pt>
                <c:pt idx="31">
                  <c:v>16.37</c:v>
                </c:pt>
                <c:pt idx="32">
                  <c:v>16.71</c:v>
                </c:pt>
                <c:pt idx="33">
                  <c:v>17.05</c:v>
                </c:pt>
                <c:pt idx="34">
                  <c:v>17.399999999999999</c:v>
                </c:pt>
                <c:pt idx="35">
                  <c:v>19.48</c:v>
                </c:pt>
                <c:pt idx="36">
                  <c:v>20.27</c:v>
                </c:pt>
                <c:pt idx="37">
                  <c:v>21.05</c:v>
                </c:pt>
                <c:pt idx="38">
                  <c:v>21.83</c:v>
                </c:pt>
                <c:pt idx="39">
                  <c:v>22.62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10.83948621572366</c:v>
                </c:pt>
                <c:pt idx="1">
                  <c:v>11.746785676638403</c:v>
                </c:pt>
                <c:pt idx="2">
                  <c:v>12.277521838198044</c:v>
                </c:pt>
                <c:pt idx="3">
                  <c:v>12.654085137553142</c:v>
                </c:pt>
                <c:pt idx="4">
                  <c:v>12.946170324497754</c:v>
                </c:pt>
                <c:pt idx="5">
                  <c:v>13.853469785412496</c:v>
                </c:pt>
                <c:pt idx="6">
                  <c:v>14.384205946972138</c:v>
                </c:pt>
                <c:pt idx="7">
                  <c:v>14.760769246327236</c:v>
                </c:pt>
                <c:pt idx="8">
                  <c:v>15.052854433271847</c:v>
                </c:pt>
                <c:pt idx="9">
                  <c:v>15.291505407886881</c:v>
                </c:pt>
                <c:pt idx="10">
                  <c:v>15.493281931876961</c:v>
                </c:pt>
                <c:pt idx="11">
                  <c:v>15.668068707241975</c:v>
                </c:pt>
                <c:pt idx="12">
                  <c:v>15.822241569446522</c:v>
                </c:pt>
                <c:pt idx="13">
                  <c:v>15.96015389418659</c:v>
                </c:pt>
                <c:pt idx="14">
                  <c:v>16.035830767158782</c:v>
                </c:pt>
                <c:pt idx="15">
                  <c:v>16.19880486880162</c:v>
                </c:pt>
                <c:pt idx="16">
                  <c:v>16.490890055746231</c:v>
                </c:pt>
                <c:pt idx="17">
                  <c:v>16.729541030361265</c:v>
                </c:pt>
                <c:pt idx="18">
                  <c:v>16.931317554351345</c:v>
                </c:pt>
                <c:pt idx="19">
                  <c:v>17.106104329716359</c:v>
                </c:pt>
                <c:pt idx="20">
                  <c:v>17.307880853706443</c:v>
                </c:pt>
                <c:pt idx="21">
                  <c:v>17.482667629071457</c:v>
                </c:pt>
                <c:pt idx="22">
                  <c:v>17.636840491276004</c:v>
                </c:pt>
                <c:pt idx="23">
                  <c:v>18.013403790631099</c:v>
                </c:pt>
                <c:pt idx="24">
                  <c:v>18.305488977575713</c:v>
                </c:pt>
                <c:pt idx="25">
                  <c:v>18.544139952190744</c:v>
                </c:pt>
                <c:pt idx="26">
                  <c:v>18.745916476180827</c:v>
                </c:pt>
                <c:pt idx="27">
                  <c:v>18.920703251545842</c:v>
                </c:pt>
                <c:pt idx="28">
                  <c:v>19.074876113750388</c:v>
                </c:pt>
                <c:pt idx="29">
                  <c:v>19.212788438490453</c:v>
                </c:pt>
                <c:pt idx="30">
                  <c:v>19.337545311462645</c:v>
                </c:pt>
                <c:pt idx="31">
                  <c:v>19.451439413105483</c:v>
                </c:pt>
                <c:pt idx="32">
                  <c:v>19.556211830218526</c:v>
                </c:pt>
                <c:pt idx="33">
                  <c:v>19.556211830218526</c:v>
                </c:pt>
                <c:pt idx="34">
                  <c:v>19.556211830218526</c:v>
                </c:pt>
                <c:pt idx="35">
                  <c:v>19.556211830218526</c:v>
                </c:pt>
                <c:pt idx="36">
                  <c:v>19.556211830218526</c:v>
                </c:pt>
                <c:pt idx="37">
                  <c:v>19.556211830218526</c:v>
                </c:pt>
                <c:pt idx="38">
                  <c:v>19.556211830218526</c:v>
                </c:pt>
                <c:pt idx="39">
                  <c:v>19.556211830218526</c:v>
                </c:pt>
                <c:pt idx="40">
                  <c:v>19.556211830218526</c:v>
                </c:pt>
                <c:pt idx="41">
                  <c:v>19.556211830218526</c:v>
                </c:pt>
                <c:pt idx="42">
                  <c:v>19.556211830218526</c:v>
                </c:pt>
                <c:pt idx="43">
                  <c:v>19.556211830218526</c:v>
                </c:pt>
                <c:pt idx="44">
                  <c:v>19.556211830218526</c:v>
                </c:pt>
                <c:pt idx="45">
                  <c:v>19.556211830218526</c:v>
                </c:pt>
                <c:pt idx="46">
                  <c:v>19.556211830218526</c:v>
                </c:pt>
                <c:pt idx="47">
                  <c:v>19.556211830218526</c:v>
                </c:pt>
                <c:pt idx="48">
                  <c:v>19.556211830218526</c:v>
                </c:pt>
                <c:pt idx="49">
                  <c:v>19.556211830218526</c:v>
                </c:pt>
                <c:pt idx="50">
                  <c:v>19.556211830218526</c:v>
                </c:pt>
                <c:pt idx="51">
                  <c:v>19.556211830218526</c:v>
                </c:pt>
                <c:pt idx="52">
                  <c:v>19.556211830218526</c:v>
                </c:pt>
                <c:pt idx="53">
                  <c:v>19.556211830218526</c:v>
                </c:pt>
                <c:pt idx="54">
                  <c:v>19.556211830218526</c:v>
                </c:pt>
                <c:pt idx="55">
                  <c:v>19.556211830218526</c:v>
                </c:pt>
                <c:pt idx="56">
                  <c:v>19.556211830218526</c:v>
                </c:pt>
                <c:pt idx="57">
                  <c:v>19.556211830218526</c:v>
                </c:pt>
                <c:pt idx="58">
                  <c:v>19.556211830218526</c:v>
                </c:pt>
                <c:pt idx="59">
                  <c:v>19.556211830218526</c:v>
                </c:pt>
                <c:pt idx="60">
                  <c:v>19.556211830218526</c:v>
                </c:pt>
                <c:pt idx="61">
                  <c:v>19.556211830218526</c:v>
                </c:pt>
                <c:pt idx="62">
                  <c:v>19.556211830218526</c:v>
                </c:pt>
                <c:pt idx="63">
                  <c:v>19.556211830218526</c:v>
                </c:pt>
                <c:pt idx="64">
                  <c:v>19.556211830218526</c:v>
                </c:pt>
                <c:pt idx="65">
                  <c:v>19.556211830218526</c:v>
                </c:pt>
                <c:pt idx="66">
                  <c:v>19.556211830218526</c:v>
                </c:pt>
                <c:pt idx="67">
                  <c:v>19.556211830218526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10.83948621572366</c:v>
                </c:pt>
                <c:pt idx="1">
                  <c:v>11.746785676638403</c:v>
                </c:pt>
                <c:pt idx="2">
                  <c:v>12.277521838198044</c:v>
                </c:pt>
                <c:pt idx="3">
                  <c:v>12.654085137553142</c:v>
                </c:pt>
                <c:pt idx="4">
                  <c:v>12.946170324497754</c:v>
                </c:pt>
                <c:pt idx="5">
                  <c:v>13.853469785412496</c:v>
                </c:pt>
                <c:pt idx="6">
                  <c:v>14.384205946972138</c:v>
                </c:pt>
                <c:pt idx="7">
                  <c:v>14.760769246327236</c:v>
                </c:pt>
                <c:pt idx="8">
                  <c:v>15.052854433271847</c:v>
                </c:pt>
                <c:pt idx="9">
                  <c:v>15.291505407886881</c:v>
                </c:pt>
                <c:pt idx="10">
                  <c:v>15.493281931876961</c:v>
                </c:pt>
                <c:pt idx="11">
                  <c:v>15.668068707241975</c:v>
                </c:pt>
                <c:pt idx="12">
                  <c:v>15.822241569446522</c:v>
                </c:pt>
                <c:pt idx="13">
                  <c:v>15.96015389418659</c:v>
                </c:pt>
                <c:pt idx="14">
                  <c:v>16.035830767158782</c:v>
                </c:pt>
                <c:pt idx="15">
                  <c:v>16.19880486880162</c:v>
                </c:pt>
                <c:pt idx="16">
                  <c:v>16.490890055746231</c:v>
                </c:pt>
                <c:pt idx="17">
                  <c:v>16.729541030361265</c:v>
                </c:pt>
                <c:pt idx="18">
                  <c:v>16.931317554351345</c:v>
                </c:pt>
                <c:pt idx="19">
                  <c:v>17.106104329716359</c:v>
                </c:pt>
                <c:pt idx="20">
                  <c:v>17.307880853706443</c:v>
                </c:pt>
                <c:pt idx="21">
                  <c:v>17.482667629071457</c:v>
                </c:pt>
                <c:pt idx="22">
                  <c:v>17.636840491276004</c:v>
                </c:pt>
                <c:pt idx="23">
                  <c:v>18.013403790631099</c:v>
                </c:pt>
                <c:pt idx="24">
                  <c:v>18.305488977575713</c:v>
                </c:pt>
                <c:pt idx="25">
                  <c:v>18.544139952190744</c:v>
                </c:pt>
                <c:pt idx="26">
                  <c:v>18.745916476180827</c:v>
                </c:pt>
                <c:pt idx="27">
                  <c:v>18.920703251545842</c:v>
                </c:pt>
                <c:pt idx="28">
                  <c:v>19.074876113750388</c:v>
                </c:pt>
                <c:pt idx="29">
                  <c:v>19.212788438490453</c:v>
                </c:pt>
                <c:pt idx="30">
                  <c:v>19.337545311462645</c:v>
                </c:pt>
                <c:pt idx="31">
                  <c:v>19.451439413105483</c:v>
                </c:pt>
                <c:pt idx="32">
                  <c:v>19.556211830218526</c:v>
                </c:pt>
                <c:pt idx="33">
                  <c:v>19.556211830218526</c:v>
                </c:pt>
                <c:pt idx="34">
                  <c:v>19.556211830218526</c:v>
                </c:pt>
                <c:pt idx="35">
                  <c:v>19.556211830218526</c:v>
                </c:pt>
                <c:pt idx="36">
                  <c:v>19.556211830218526</c:v>
                </c:pt>
                <c:pt idx="37">
                  <c:v>19.556211830218526</c:v>
                </c:pt>
                <c:pt idx="38">
                  <c:v>19.556211830218526</c:v>
                </c:pt>
                <c:pt idx="39">
                  <c:v>19.556211830218526</c:v>
                </c:pt>
                <c:pt idx="40">
                  <c:v>19.556211830218526</c:v>
                </c:pt>
                <c:pt idx="41">
                  <c:v>19.556211830218526</c:v>
                </c:pt>
                <c:pt idx="42">
                  <c:v>19.556211830218526</c:v>
                </c:pt>
                <c:pt idx="43">
                  <c:v>19.556211830218526</c:v>
                </c:pt>
                <c:pt idx="44">
                  <c:v>19.556211830218526</c:v>
                </c:pt>
                <c:pt idx="45">
                  <c:v>19.556211830218526</c:v>
                </c:pt>
                <c:pt idx="46">
                  <c:v>19.556211830218526</c:v>
                </c:pt>
                <c:pt idx="47">
                  <c:v>19.556211830218526</c:v>
                </c:pt>
                <c:pt idx="48">
                  <c:v>19.556211830218526</c:v>
                </c:pt>
                <c:pt idx="49">
                  <c:v>19.556211830218526</c:v>
                </c:pt>
                <c:pt idx="50">
                  <c:v>19.556211830218526</c:v>
                </c:pt>
                <c:pt idx="51">
                  <c:v>19.556211830218526</c:v>
                </c:pt>
                <c:pt idx="52">
                  <c:v>19.556211830218526</c:v>
                </c:pt>
                <c:pt idx="53">
                  <c:v>19.556211830218526</c:v>
                </c:pt>
                <c:pt idx="54">
                  <c:v>19.556211830218526</c:v>
                </c:pt>
                <c:pt idx="55">
                  <c:v>19.556211830218526</c:v>
                </c:pt>
                <c:pt idx="56">
                  <c:v>19.556211830218526</c:v>
                </c:pt>
                <c:pt idx="57">
                  <c:v>19.556211830218526</c:v>
                </c:pt>
                <c:pt idx="58">
                  <c:v>19.556211830218526</c:v>
                </c:pt>
                <c:pt idx="59">
                  <c:v>19.556211830218526</c:v>
                </c:pt>
                <c:pt idx="60">
                  <c:v>19.556211830218526</c:v>
                </c:pt>
                <c:pt idx="61">
                  <c:v>19.556211830218526</c:v>
                </c:pt>
                <c:pt idx="62">
                  <c:v>19.556211830218526</c:v>
                </c:pt>
                <c:pt idx="63">
                  <c:v>19.556211830218526</c:v>
                </c:pt>
                <c:pt idx="64">
                  <c:v>19.556211830218526</c:v>
                </c:pt>
                <c:pt idx="65">
                  <c:v>19.556211830218526</c:v>
                </c:pt>
                <c:pt idx="66">
                  <c:v>19.556211830218526</c:v>
                </c:pt>
                <c:pt idx="67">
                  <c:v>19.556211830218526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12.897480212316761</c:v>
                </c:pt>
                <c:pt idx="1">
                  <c:v>11.796857360390369</c:v>
                </c:pt>
                <c:pt idx="2">
                  <c:v>10.790157557171266</c:v>
                </c:pt>
                <c:pt idx="3">
                  <c:v>9.8693657600287743</c:v>
                </c:pt>
                <c:pt idx="4">
                  <c:v>9.0271509001731118</c:v>
                </c:pt>
                <c:pt idx="5">
                  <c:v>6.907725581908676</c:v>
                </c:pt>
                <c:pt idx="6">
                  <c:v>6.5089267135773952</c:v>
                </c:pt>
                <c:pt idx="7">
                  <c:v>5.4454314805236894</c:v>
                </c:pt>
                <c:pt idx="8">
                  <c:v>4.9807386701916219</c:v>
                </c:pt>
                <c:pt idx="9">
                  <c:v>4.5557010109245626</c:v>
                </c:pt>
                <c:pt idx="10">
                  <c:v>4.4222405893640078</c:v>
                </c:pt>
                <c:pt idx="11">
                  <c:v>4.2926899248486166</c:v>
                </c:pt>
                <c:pt idx="12">
                  <c:v>4.1669344800498429</c:v>
                </c:pt>
                <c:pt idx="13">
                  <c:v>4.0448630730393553</c:v>
                </c:pt>
                <c:pt idx="14">
                  <c:v>3.9263677789917351</c:v>
                </c:pt>
                <c:pt idx="15">
                  <c:v>3.8113438347668112</c:v>
                </c:pt>
                <c:pt idx="16">
                  <c:v>3.6996895462872952</c:v>
                </c:pt>
                <c:pt idx="17">
                  <c:v>3.5913061986297912</c:v>
                </c:pt>
                <c:pt idx="18">
                  <c:v>3.4860979687497329</c:v>
                </c:pt>
                <c:pt idx="19">
                  <c:v>3.1886073717262935</c:v>
                </c:pt>
                <c:pt idx="20">
                  <c:v>3.0951963065573529</c:v>
                </c:pt>
                <c:pt idx="21">
                  <c:v>2.589471374899611</c:v>
                </c:pt>
                <c:pt idx="22">
                  <c:v>2.1663769717025003</c:v>
                </c:pt>
                <c:pt idx="23">
                  <c:v>1.8124120733734088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4C-4A40-84BC-9F22E645EFAF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10.83948621572366</c:v>
                </c:pt>
                <c:pt idx="1">
                  <c:v>11.746785676638403</c:v>
                </c:pt>
                <c:pt idx="2">
                  <c:v>12.277521838198044</c:v>
                </c:pt>
                <c:pt idx="3">
                  <c:v>12.654085137553142</c:v>
                </c:pt>
                <c:pt idx="4">
                  <c:v>12.946170324497754</c:v>
                </c:pt>
                <c:pt idx="5">
                  <c:v>13.853469785412496</c:v>
                </c:pt>
                <c:pt idx="6">
                  <c:v>14.384205946972138</c:v>
                </c:pt>
                <c:pt idx="7">
                  <c:v>14.760769246327236</c:v>
                </c:pt>
                <c:pt idx="8">
                  <c:v>15.052854433271847</c:v>
                </c:pt>
                <c:pt idx="9">
                  <c:v>15.291505407886881</c:v>
                </c:pt>
                <c:pt idx="10">
                  <c:v>15.493281931876961</c:v>
                </c:pt>
                <c:pt idx="11">
                  <c:v>15.668068707241975</c:v>
                </c:pt>
                <c:pt idx="12">
                  <c:v>15.822241569446522</c:v>
                </c:pt>
                <c:pt idx="13">
                  <c:v>15.96015389418659</c:v>
                </c:pt>
                <c:pt idx="14">
                  <c:v>16.035830767158782</c:v>
                </c:pt>
                <c:pt idx="15">
                  <c:v>16.19880486880162</c:v>
                </c:pt>
                <c:pt idx="16">
                  <c:v>16.490890055746231</c:v>
                </c:pt>
                <c:pt idx="17">
                  <c:v>16.729541030361265</c:v>
                </c:pt>
                <c:pt idx="18">
                  <c:v>16.931317554351345</c:v>
                </c:pt>
                <c:pt idx="19">
                  <c:v>17.106104329716359</c:v>
                </c:pt>
                <c:pt idx="20">
                  <c:v>17.307880853706443</c:v>
                </c:pt>
                <c:pt idx="21">
                  <c:v>17.482667629071457</c:v>
                </c:pt>
                <c:pt idx="22">
                  <c:v>17.636840491276004</c:v>
                </c:pt>
                <c:pt idx="23">
                  <c:v>18.013403790631099</c:v>
                </c:pt>
                <c:pt idx="24">
                  <c:v>18.305488977575713</c:v>
                </c:pt>
                <c:pt idx="25">
                  <c:v>18.544139952190744</c:v>
                </c:pt>
                <c:pt idx="26">
                  <c:v>18.745916476180827</c:v>
                </c:pt>
                <c:pt idx="27">
                  <c:v>18.920703251545842</c:v>
                </c:pt>
                <c:pt idx="28">
                  <c:v>19.074876113750388</c:v>
                </c:pt>
                <c:pt idx="29">
                  <c:v>19.212788438490453</c:v>
                </c:pt>
                <c:pt idx="30">
                  <c:v>19.337545311462645</c:v>
                </c:pt>
                <c:pt idx="31">
                  <c:v>19.451439413105483</c:v>
                </c:pt>
                <c:pt idx="32">
                  <c:v>19.556211830218526</c:v>
                </c:pt>
                <c:pt idx="33">
                  <c:v>19.556211830218526</c:v>
                </c:pt>
                <c:pt idx="34">
                  <c:v>19.556211830218526</c:v>
                </c:pt>
                <c:pt idx="35">
                  <c:v>19.556211830218526</c:v>
                </c:pt>
                <c:pt idx="36">
                  <c:v>19.556211830218526</c:v>
                </c:pt>
                <c:pt idx="37">
                  <c:v>19.556211830218526</c:v>
                </c:pt>
                <c:pt idx="38">
                  <c:v>19.556211830218526</c:v>
                </c:pt>
                <c:pt idx="39">
                  <c:v>19.556211830218526</c:v>
                </c:pt>
                <c:pt idx="40">
                  <c:v>19.556211830218526</c:v>
                </c:pt>
                <c:pt idx="41">
                  <c:v>19.556211830218526</c:v>
                </c:pt>
                <c:pt idx="42">
                  <c:v>19.556211830218526</c:v>
                </c:pt>
                <c:pt idx="43">
                  <c:v>19.556211830218526</c:v>
                </c:pt>
                <c:pt idx="44">
                  <c:v>19.556211830218526</c:v>
                </c:pt>
                <c:pt idx="45">
                  <c:v>19.556211830218526</c:v>
                </c:pt>
                <c:pt idx="46">
                  <c:v>19.556211830218526</c:v>
                </c:pt>
                <c:pt idx="47">
                  <c:v>19.556211830218526</c:v>
                </c:pt>
                <c:pt idx="48">
                  <c:v>19.556211830218526</c:v>
                </c:pt>
                <c:pt idx="49">
                  <c:v>19.556211830218526</c:v>
                </c:pt>
                <c:pt idx="50">
                  <c:v>19.556211830218526</c:v>
                </c:pt>
                <c:pt idx="51">
                  <c:v>19.556211830218526</c:v>
                </c:pt>
                <c:pt idx="52">
                  <c:v>19.556211830218526</c:v>
                </c:pt>
                <c:pt idx="53">
                  <c:v>19.556211830218526</c:v>
                </c:pt>
                <c:pt idx="54">
                  <c:v>19.556211830218526</c:v>
                </c:pt>
                <c:pt idx="55">
                  <c:v>19.556211830218526</c:v>
                </c:pt>
                <c:pt idx="56">
                  <c:v>19.556211830218526</c:v>
                </c:pt>
                <c:pt idx="57">
                  <c:v>19.556211830218526</c:v>
                </c:pt>
                <c:pt idx="58">
                  <c:v>19.556211830218526</c:v>
                </c:pt>
                <c:pt idx="59">
                  <c:v>19.556211830218526</c:v>
                </c:pt>
                <c:pt idx="60">
                  <c:v>19.556211830218526</c:v>
                </c:pt>
                <c:pt idx="61">
                  <c:v>19.556211830218526</c:v>
                </c:pt>
                <c:pt idx="62">
                  <c:v>19.556211830218526</c:v>
                </c:pt>
                <c:pt idx="63">
                  <c:v>19.556211830218526</c:v>
                </c:pt>
                <c:pt idx="64">
                  <c:v>19.556211830218526</c:v>
                </c:pt>
                <c:pt idx="65">
                  <c:v>19.556211830218526</c:v>
                </c:pt>
                <c:pt idx="66">
                  <c:v>19.556211830218526</c:v>
                </c:pt>
                <c:pt idx="67">
                  <c:v>19.556211830218526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4C-4A40-84BC-9F22E645EFAF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14.799999999999999</c:v>
                </c:pt>
                <c:pt idx="9">
                  <c:v>14.7</c:v>
                </c:pt>
                <c:pt idx="15">
                  <c:v>14.6</c:v>
                </c:pt>
                <c:pt idx="19">
                  <c:v>14.6</c:v>
                </c:pt>
                <c:pt idx="23">
                  <c:v>14.6</c:v>
                </c:pt>
                <c:pt idx="27">
                  <c:v>14.7</c:v>
                </c:pt>
                <c:pt idx="43">
                  <c:v>14.7</c:v>
                </c:pt>
                <c:pt idx="47">
                  <c:v>14.7</c:v>
                </c:pt>
                <c:pt idx="51">
                  <c:v>14.799999999999999</c:v>
                </c:pt>
                <c:pt idx="67">
                  <c:v>14.7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4C-4A40-84BC-9F22E645E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304800</xdr:colOff>
      <xdr:row>0</xdr:row>
      <xdr:rowOff>219075</xdr:rowOff>
    </xdr:from>
    <xdr:to>
      <xdr:col>11</xdr:col>
      <xdr:colOff>656990</xdr:colOff>
      <xdr:row>3</xdr:row>
      <xdr:rowOff>133254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2EEB42C9-71C1-4ABB-9841-3D31B271D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0" y="2190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895350</xdr:colOff>
      <xdr:row>0</xdr:row>
      <xdr:rowOff>247650</xdr:rowOff>
    </xdr:from>
    <xdr:to>
      <xdr:col>13</xdr:col>
      <xdr:colOff>333375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3727FE-37B0-4013-BB45-5ABDB1EE4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2550" y="247650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114300</xdr:colOff>
          <xdr:row>37</xdr:row>
          <xdr:rowOff>57150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F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F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F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F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F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F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F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F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F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F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F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F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F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F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F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F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F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F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F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F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F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F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F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F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F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F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F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F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F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F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F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F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F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F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F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F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F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F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F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F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F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F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F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F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F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F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F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F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F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F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F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F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5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16.xml"/><Relationship Id="rId17" Type="http://schemas.openxmlformats.org/officeDocument/2006/relationships/image" Target="../media/image2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3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8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2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4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36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1.08</v>
      </c>
      <c r="E1">
        <v>1</v>
      </c>
      <c r="F1">
        <f>단계양수시험!G12</f>
        <v>1.08</v>
      </c>
    </row>
    <row r="2" spans="1:6" x14ac:dyDescent="0.15">
      <c r="A2" s="228">
        <v>2</v>
      </c>
      <c r="B2">
        <f t="shared" ref="B2:B20" si="0">F2</f>
        <v>2.04</v>
      </c>
      <c r="E2">
        <v>2</v>
      </c>
      <c r="F2">
        <f>단계양수시험!G13</f>
        <v>2.04</v>
      </c>
    </row>
    <row r="3" spans="1:6" x14ac:dyDescent="0.15">
      <c r="A3" s="228">
        <v>3</v>
      </c>
      <c r="B3">
        <f t="shared" si="0"/>
        <v>2.65</v>
      </c>
      <c r="E3">
        <v>3</v>
      </c>
      <c r="F3">
        <f>단계양수시험!G14</f>
        <v>2.65</v>
      </c>
    </row>
    <row r="4" spans="1:6" x14ac:dyDescent="0.15">
      <c r="A4" s="228">
        <v>4</v>
      </c>
      <c r="B4">
        <f t="shared" si="0"/>
        <v>3.08</v>
      </c>
      <c r="E4">
        <v>4</v>
      </c>
      <c r="F4">
        <f>단계양수시험!G15</f>
        <v>3.08</v>
      </c>
    </row>
    <row r="5" spans="1:6" x14ac:dyDescent="0.15">
      <c r="A5" s="228">
        <v>5</v>
      </c>
      <c r="B5">
        <f t="shared" si="0"/>
        <v>3.41</v>
      </c>
      <c r="E5">
        <v>5</v>
      </c>
      <c r="F5">
        <f>단계양수시험!G16</f>
        <v>3.41</v>
      </c>
    </row>
    <row r="6" spans="1:6" x14ac:dyDescent="0.15">
      <c r="A6" s="228">
        <v>10</v>
      </c>
      <c r="B6">
        <f t="shared" si="0"/>
        <v>4.45</v>
      </c>
      <c r="E6">
        <v>10</v>
      </c>
      <c r="F6">
        <f>단계양수시험!G17</f>
        <v>4.45</v>
      </c>
    </row>
    <row r="7" spans="1:6" x14ac:dyDescent="0.15">
      <c r="A7" s="228">
        <v>15</v>
      </c>
      <c r="B7">
        <f t="shared" si="0"/>
        <v>5.0599999999999996</v>
      </c>
      <c r="E7">
        <v>15</v>
      </c>
      <c r="F7">
        <f>단계양수시험!G18</f>
        <v>5.0599999999999996</v>
      </c>
    </row>
    <row r="8" spans="1:6" x14ac:dyDescent="0.15">
      <c r="A8" s="228">
        <v>20</v>
      </c>
      <c r="B8">
        <f t="shared" si="0"/>
        <v>5.49</v>
      </c>
      <c r="E8">
        <v>20</v>
      </c>
      <c r="F8">
        <f>단계양수시험!G19</f>
        <v>5.49</v>
      </c>
    </row>
    <row r="9" spans="1:6" x14ac:dyDescent="0.15">
      <c r="A9" s="228">
        <v>25</v>
      </c>
      <c r="B9">
        <f t="shared" si="0"/>
        <v>5.82</v>
      </c>
      <c r="E9">
        <v>25</v>
      </c>
      <c r="F9">
        <f>단계양수시험!G20</f>
        <v>5.82</v>
      </c>
    </row>
    <row r="10" spans="1:6" x14ac:dyDescent="0.15">
      <c r="A10" s="228">
        <v>30</v>
      </c>
      <c r="B10">
        <f t="shared" si="0"/>
        <v>6.1</v>
      </c>
      <c r="E10">
        <v>30</v>
      </c>
      <c r="F10">
        <f>단계양수시험!G21</f>
        <v>6.1</v>
      </c>
    </row>
    <row r="11" spans="1:6" x14ac:dyDescent="0.15">
      <c r="A11" s="228">
        <v>35</v>
      </c>
      <c r="B11">
        <f t="shared" si="0"/>
        <v>6.33</v>
      </c>
      <c r="E11">
        <v>35</v>
      </c>
      <c r="F11">
        <f>단계양수시험!G22</f>
        <v>6.33</v>
      </c>
    </row>
    <row r="12" spans="1:6" x14ac:dyDescent="0.15">
      <c r="A12" s="228">
        <v>40</v>
      </c>
      <c r="B12">
        <f t="shared" si="0"/>
        <v>6.53</v>
      </c>
      <c r="E12">
        <v>40</v>
      </c>
      <c r="F12">
        <f>단계양수시험!G23</f>
        <v>6.53</v>
      </c>
    </row>
    <row r="13" spans="1:6" x14ac:dyDescent="0.15">
      <c r="A13" s="228">
        <v>45</v>
      </c>
      <c r="B13">
        <f t="shared" si="0"/>
        <v>6.71</v>
      </c>
      <c r="E13">
        <v>45</v>
      </c>
      <c r="F13">
        <f>단계양수시험!G24</f>
        <v>6.71</v>
      </c>
    </row>
    <row r="14" spans="1:6" x14ac:dyDescent="0.15">
      <c r="A14" s="228">
        <v>50</v>
      </c>
      <c r="B14">
        <f t="shared" si="0"/>
        <v>6.86</v>
      </c>
      <c r="E14">
        <v>50</v>
      </c>
      <c r="F14">
        <f>단계양수시험!G25</f>
        <v>6.86</v>
      </c>
    </row>
    <row r="15" spans="1:6" x14ac:dyDescent="0.15">
      <c r="A15" s="228">
        <v>55</v>
      </c>
      <c r="B15">
        <f t="shared" si="0"/>
        <v>7.01</v>
      </c>
      <c r="E15">
        <v>55</v>
      </c>
      <c r="F15">
        <f>단계양수시험!G26</f>
        <v>7.01</v>
      </c>
    </row>
    <row r="16" spans="1:6" x14ac:dyDescent="0.15">
      <c r="A16" s="228">
        <v>60</v>
      </c>
      <c r="B16">
        <f t="shared" si="0"/>
        <v>7.14</v>
      </c>
      <c r="E16">
        <v>60</v>
      </c>
      <c r="F16">
        <f>단계양수시험!G27</f>
        <v>7.14</v>
      </c>
    </row>
    <row r="17" spans="1:6" x14ac:dyDescent="0.15">
      <c r="A17" s="228">
        <v>75</v>
      </c>
      <c r="B17">
        <f t="shared" si="0"/>
        <v>7.47</v>
      </c>
      <c r="E17">
        <v>75</v>
      </c>
      <c r="F17">
        <f>단계양수시험!G28</f>
        <v>7.47</v>
      </c>
    </row>
    <row r="18" spans="1:6" x14ac:dyDescent="0.15">
      <c r="A18" s="228">
        <v>90</v>
      </c>
      <c r="B18">
        <f t="shared" si="0"/>
        <v>7.74</v>
      </c>
      <c r="E18">
        <v>90</v>
      </c>
      <c r="F18">
        <f>단계양수시험!G29</f>
        <v>7.74</v>
      </c>
    </row>
    <row r="19" spans="1:6" x14ac:dyDescent="0.15">
      <c r="A19" s="228">
        <v>105</v>
      </c>
      <c r="B19">
        <f t="shared" si="0"/>
        <v>7.97</v>
      </c>
      <c r="E19">
        <v>105</v>
      </c>
      <c r="F19">
        <f>단계양수시험!G30</f>
        <v>7.97</v>
      </c>
    </row>
    <row r="20" spans="1:6" x14ac:dyDescent="0.15">
      <c r="A20" s="230">
        <v>120</v>
      </c>
      <c r="B20" s="236">
        <f t="shared" si="0"/>
        <v>8.18</v>
      </c>
      <c r="C20" s="236">
        <f>B26-B20</f>
        <v>1.6300000000000008</v>
      </c>
      <c r="D20" s="237">
        <f>C20/10</f>
        <v>0.16300000000000009</v>
      </c>
      <c r="E20">
        <v>120</v>
      </c>
      <c r="F20">
        <f>단계양수시험!G31</f>
        <v>8.18</v>
      </c>
    </row>
    <row r="21" spans="1:6" x14ac:dyDescent="0.15">
      <c r="A21" s="228">
        <v>121</v>
      </c>
      <c r="B21" s="235">
        <f>B20+D21</f>
        <v>8.34</v>
      </c>
      <c r="D21">
        <v>0.16</v>
      </c>
      <c r="E21">
        <v>130</v>
      </c>
      <c r="F21">
        <f>단계양수시험!G32</f>
        <v>9.81</v>
      </c>
    </row>
    <row r="22" spans="1:6" x14ac:dyDescent="0.15">
      <c r="A22" s="228">
        <v>122</v>
      </c>
      <c r="B22" s="235">
        <f>B21+D22</f>
        <v>8.49</v>
      </c>
      <c r="D22">
        <v>0.15</v>
      </c>
      <c r="E22">
        <v>140</v>
      </c>
      <c r="F22">
        <f>단계양수시험!G33</f>
        <v>10.09</v>
      </c>
    </row>
    <row r="23" spans="1:6" x14ac:dyDescent="0.15">
      <c r="A23" s="228">
        <v>123</v>
      </c>
      <c r="B23" s="235">
        <f>B22+D23</f>
        <v>8.6300000000000008</v>
      </c>
      <c r="D23">
        <v>0.14000000000000001</v>
      </c>
      <c r="E23">
        <v>150</v>
      </c>
      <c r="F23">
        <f>단계양수시험!G34</f>
        <v>10.36</v>
      </c>
    </row>
    <row r="24" spans="1:6" x14ac:dyDescent="0.15">
      <c r="A24" s="228">
        <v>124</v>
      </c>
      <c r="B24" s="235">
        <f>B23+D24</f>
        <v>8.7600000000000016</v>
      </c>
      <c r="D24">
        <v>0.13</v>
      </c>
      <c r="E24">
        <v>180</v>
      </c>
      <c r="F24">
        <f>단계양수시험!G35</f>
        <v>10.63</v>
      </c>
    </row>
    <row r="25" spans="1:6" x14ac:dyDescent="0.15">
      <c r="A25" s="228">
        <v>125</v>
      </c>
      <c r="B25" s="235">
        <f>B24+D25</f>
        <v>8.8900000000000023</v>
      </c>
      <c r="D25">
        <v>0.13</v>
      </c>
      <c r="E25">
        <v>240</v>
      </c>
      <c r="F25">
        <f>단계양수시험!G36</f>
        <v>10.91</v>
      </c>
    </row>
    <row r="26" spans="1:6" x14ac:dyDescent="0.15">
      <c r="A26" s="228">
        <v>130</v>
      </c>
      <c r="B26" s="236">
        <f>F21</f>
        <v>9.81</v>
      </c>
      <c r="C26" s="236">
        <f>B28-B26</f>
        <v>0.27999999999999936</v>
      </c>
      <c r="D26" s="236">
        <f>C26/2</f>
        <v>0.13999999999999968</v>
      </c>
      <c r="E26">
        <v>250</v>
      </c>
      <c r="F26">
        <f>단계양수시험!G37</f>
        <v>12.75</v>
      </c>
    </row>
    <row r="27" spans="1:6" x14ac:dyDescent="0.15">
      <c r="A27" s="228">
        <v>135</v>
      </c>
      <c r="B27" s="235">
        <f>B26+D27</f>
        <v>9.92</v>
      </c>
      <c r="D27">
        <v>0.11</v>
      </c>
      <c r="E27">
        <v>260</v>
      </c>
      <c r="F27">
        <f>단계양수시험!G38</f>
        <v>13.05</v>
      </c>
    </row>
    <row r="28" spans="1:6" x14ac:dyDescent="0.15">
      <c r="A28" s="228">
        <v>140</v>
      </c>
      <c r="B28" s="236">
        <f>F22</f>
        <v>10.09</v>
      </c>
      <c r="C28" s="236">
        <f>B30-B28</f>
        <v>0.26999999999999957</v>
      </c>
      <c r="D28" s="236">
        <f>C28/2</f>
        <v>0.13499999999999979</v>
      </c>
      <c r="E28">
        <v>270</v>
      </c>
      <c r="F28">
        <f>단계양수시험!G39</f>
        <v>13.36</v>
      </c>
    </row>
    <row r="29" spans="1:6" x14ac:dyDescent="0.15">
      <c r="A29" s="228">
        <v>145</v>
      </c>
      <c r="B29" s="235">
        <f>B28+D29</f>
        <v>10.19</v>
      </c>
      <c r="D29">
        <v>0.1</v>
      </c>
      <c r="E29">
        <v>300</v>
      </c>
      <c r="F29">
        <f>단계양수시험!G40</f>
        <v>13.67</v>
      </c>
    </row>
    <row r="30" spans="1:6" x14ac:dyDescent="0.15">
      <c r="A30" s="228">
        <v>150</v>
      </c>
      <c r="B30" s="236">
        <f>F23</f>
        <v>10.36</v>
      </c>
      <c r="C30" s="236">
        <f>B36-B30</f>
        <v>0.27000000000000135</v>
      </c>
      <c r="D30" s="238">
        <f>C30/6</f>
        <v>4.5000000000000227E-2</v>
      </c>
      <c r="E30">
        <v>360</v>
      </c>
      <c r="F30">
        <f>단계양수시험!G41</f>
        <v>13.98</v>
      </c>
    </row>
    <row r="31" spans="1:6" x14ac:dyDescent="0.15">
      <c r="A31" s="228">
        <v>155</v>
      </c>
      <c r="B31" s="235">
        <f>B30+D31</f>
        <v>10.42</v>
      </c>
      <c r="D31">
        <v>0.06</v>
      </c>
    </row>
    <row r="32" spans="1:6" x14ac:dyDescent="0.15">
      <c r="A32" s="228">
        <v>160</v>
      </c>
      <c r="B32" s="235">
        <f t="shared" ref="B32:B39" si="1">B31+D32</f>
        <v>10.47</v>
      </c>
      <c r="D32">
        <v>0.05</v>
      </c>
    </row>
    <row r="33" spans="1:4" x14ac:dyDescent="0.15">
      <c r="A33" s="228">
        <v>165</v>
      </c>
      <c r="B33" s="235">
        <f t="shared" si="1"/>
        <v>10.51</v>
      </c>
      <c r="D33">
        <v>0.04</v>
      </c>
    </row>
    <row r="34" spans="1:4" x14ac:dyDescent="0.15">
      <c r="A34" s="228">
        <v>170</v>
      </c>
      <c r="B34" s="235">
        <f t="shared" si="1"/>
        <v>10.54</v>
      </c>
      <c r="D34">
        <v>0.03</v>
      </c>
    </row>
    <row r="35" spans="1:4" x14ac:dyDescent="0.15">
      <c r="A35" s="228">
        <v>175</v>
      </c>
      <c r="B35" s="235">
        <f t="shared" si="1"/>
        <v>10.559999999999999</v>
      </c>
      <c r="D35">
        <v>0.02</v>
      </c>
    </row>
    <row r="36" spans="1:4" x14ac:dyDescent="0.15">
      <c r="A36" s="228">
        <v>180</v>
      </c>
      <c r="B36" s="236">
        <f>F24</f>
        <v>10.63</v>
      </c>
      <c r="C36" s="236">
        <f>B40-B36</f>
        <v>0.27999999999999936</v>
      </c>
      <c r="D36" s="236">
        <f>C36/4</f>
        <v>6.999999999999984E-2</v>
      </c>
    </row>
    <row r="37" spans="1:4" x14ac:dyDescent="0.15">
      <c r="A37" s="228">
        <v>195</v>
      </c>
      <c r="B37" s="235">
        <f t="shared" si="1"/>
        <v>10.700000000000001</v>
      </c>
      <c r="D37">
        <v>7.0000000000000007E-2</v>
      </c>
    </row>
    <row r="38" spans="1:4" x14ac:dyDescent="0.15">
      <c r="A38" s="228">
        <v>210</v>
      </c>
      <c r="B38" s="235">
        <f t="shared" si="1"/>
        <v>10.760000000000002</v>
      </c>
      <c r="D38">
        <v>0.06</v>
      </c>
    </row>
    <row r="39" spans="1:4" x14ac:dyDescent="0.15">
      <c r="A39" s="228">
        <v>225</v>
      </c>
      <c r="B39" s="235">
        <f t="shared" si="1"/>
        <v>10.810000000000002</v>
      </c>
      <c r="D39">
        <v>0.05</v>
      </c>
    </row>
    <row r="40" spans="1:4" x14ac:dyDescent="0.15">
      <c r="A40" s="230">
        <v>240</v>
      </c>
      <c r="B40" s="236">
        <f>F25</f>
        <v>10.91</v>
      </c>
      <c r="C40" s="236">
        <f>B46-B40</f>
        <v>1.8399999999999999</v>
      </c>
      <c r="D40" s="237">
        <f>C40/10</f>
        <v>0.184</v>
      </c>
    </row>
    <row r="41" spans="1:4" x14ac:dyDescent="0.15">
      <c r="A41" s="228">
        <v>241</v>
      </c>
      <c r="B41" s="235">
        <f>B40+D41</f>
        <v>11.09</v>
      </c>
      <c r="D41">
        <v>0.18</v>
      </c>
    </row>
    <row r="42" spans="1:4" x14ac:dyDescent="0.15">
      <c r="A42" s="228">
        <v>242</v>
      </c>
      <c r="B42" s="235">
        <f>B41+D42</f>
        <v>11.25</v>
      </c>
      <c r="D42">
        <v>0.16</v>
      </c>
    </row>
    <row r="43" spans="1:4" x14ac:dyDescent="0.15">
      <c r="A43" s="228">
        <v>243</v>
      </c>
      <c r="B43" s="235">
        <f>B42+D43</f>
        <v>11.4</v>
      </c>
      <c r="D43">
        <v>0.15</v>
      </c>
    </row>
    <row r="44" spans="1:4" x14ac:dyDescent="0.15">
      <c r="A44" s="228">
        <v>244</v>
      </c>
      <c r="B44" s="235">
        <f>B43+D44</f>
        <v>11.540000000000001</v>
      </c>
      <c r="D44">
        <v>0.14000000000000001</v>
      </c>
    </row>
    <row r="45" spans="1:4" x14ac:dyDescent="0.15">
      <c r="A45" s="228">
        <v>245</v>
      </c>
      <c r="B45" s="235">
        <f>B44+D45</f>
        <v>11.670000000000002</v>
      </c>
      <c r="D45">
        <v>0.13</v>
      </c>
    </row>
    <row r="46" spans="1:4" x14ac:dyDescent="0.15">
      <c r="A46" s="228">
        <v>250</v>
      </c>
      <c r="B46" s="236">
        <f>F26</f>
        <v>12.75</v>
      </c>
      <c r="C46" s="236">
        <f>B48-B46</f>
        <v>0.30000000000000071</v>
      </c>
      <c r="D46" s="236">
        <f>C46/2</f>
        <v>0.15000000000000036</v>
      </c>
    </row>
    <row r="47" spans="1:4" x14ac:dyDescent="0.15">
      <c r="A47" s="228">
        <v>255</v>
      </c>
      <c r="B47" s="235">
        <f>B46+D47</f>
        <v>12.86</v>
      </c>
      <c r="D47">
        <v>0.11</v>
      </c>
    </row>
    <row r="48" spans="1:4" x14ac:dyDescent="0.15">
      <c r="A48" s="228">
        <v>260</v>
      </c>
      <c r="B48" s="236">
        <f>F27</f>
        <v>13.05</v>
      </c>
      <c r="C48" s="236">
        <f>B50-B48</f>
        <v>0.30999999999999872</v>
      </c>
      <c r="D48" s="236">
        <f>C48/2</f>
        <v>0.15499999999999936</v>
      </c>
    </row>
    <row r="49" spans="1:6" x14ac:dyDescent="0.15">
      <c r="A49" s="228">
        <v>265</v>
      </c>
      <c r="B49" s="235">
        <f>B48+D49</f>
        <v>13.16</v>
      </c>
      <c r="D49">
        <v>0.11</v>
      </c>
    </row>
    <row r="50" spans="1:6" x14ac:dyDescent="0.15">
      <c r="A50" s="228">
        <v>270</v>
      </c>
      <c r="B50" s="236">
        <f>F28</f>
        <v>13.36</v>
      </c>
      <c r="C50" s="236">
        <f>B56-B50</f>
        <v>0.3100000000000005</v>
      </c>
      <c r="D50" s="238">
        <f>C50/6</f>
        <v>5.166666666666675E-2</v>
      </c>
    </row>
    <row r="51" spans="1:6" x14ac:dyDescent="0.15">
      <c r="A51" s="228">
        <v>275</v>
      </c>
      <c r="B51" s="235">
        <f>B50+D51</f>
        <v>13.43</v>
      </c>
      <c r="D51">
        <v>7.0000000000000007E-2</v>
      </c>
    </row>
    <row r="52" spans="1:6" x14ac:dyDescent="0.15">
      <c r="A52" s="228">
        <v>280</v>
      </c>
      <c r="B52" s="235">
        <f>B51+D52</f>
        <v>13.48</v>
      </c>
      <c r="D52">
        <v>0.05</v>
      </c>
    </row>
    <row r="53" spans="1:6" x14ac:dyDescent="0.15">
      <c r="A53" s="228">
        <v>285</v>
      </c>
      <c r="B53" s="235">
        <f>B52+D53</f>
        <v>13.52</v>
      </c>
      <c r="D53">
        <v>0.04</v>
      </c>
    </row>
    <row r="54" spans="1:6" x14ac:dyDescent="0.15">
      <c r="A54" s="228">
        <v>290</v>
      </c>
      <c r="B54" s="235">
        <f>B53+D54</f>
        <v>13.549999999999999</v>
      </c>
      <c r="D54">
        <v>0.03</v>
      </c>
    </row>
    <row r="55" spans="1:6" x14ac:dyDescent="0.15">
      <c r="A55" s="228">
        <v>295</v>
      </c>
      <c r="B55" s="235">
        <f>B54+D55</f>
        <v>13.569999999999999</v>
      </c>
      <c r="D55">
        <v>0.02</v>
      </c>
    </row>
    <row r="56" spans="1:6" x14ac:dyDescent="0.15">
      <c r="A56" s="228">
        <v>300</v>
      </c>
      <c r="B56" s="236">
        <f>F29</f>
        <v>13.67</v>
      </c>
      <c r="C56" s="236">
        <f>B60-B56</f>
        <v>0.3100000000000005</v>
      </c>
      <c r="D56" s="236">
        <f>C56/4</f>
        <v>7.7500000000000124E-2</v>
      </c>
    </row>
    <row r="57" spans="1:6" x14ac:dyDescent="0.15">
      <c r="A57" s="228">
        <v>315</v>
      </c>
      <c r="B57" s="235">
        <f>B56+D57</f>
        <v>13.75</v>
      </c>
      <c r="D57">
        <v>0.08</v>
      </c>
    </row>
    <row r="58" spans="1:6" x14ac:dyDescent="0.15">
      <c r="A58" s="228">
        <v>330</v>
      </c>
      <c r="B58" s="235">
        <f>B57+D58</f>
        <v>13.81</v>
      </c>
      <c r="D58">
        <v>0.06</v>
      </c>
    </row>
    <row r="59" spans="1:6" x14ac:dyDescent="0.15">
      <c r="A59" s="228">
        <v>345</v>
      </c>
      <c r="B59" s="235">
        <f>B58+D59</f>
        <v>13.860000000000001</v>
      </c>
      <c r="D59">
        <v>0.05</v>
      </c>
    </row>
    <row r="60" spans="1:6" x14ac:dyDescent="0.15">
      <c r="A60" s="230">
        <v>360</v>
      </c>
      <c r="B60" s="236">
        <f>F30</f>
        <v>13.98</v>
      </c>
      <c r="C60" s="236">
        <f>B66-B60</f>
        <v>2.0500000000000007</v>
      </c>
      <c r="D60" s="237">
        <f>C60/10</f>
        <v>0.20500000000000007</v>
      </c>
    </row>
    <row r="61" spans="1:6" x14ac:dyDescent="0.15">
      <c r="A61" s="228">
        <v>361</v>
      </c>
      <c r="B61" s="235">
        <f>B60+D61</f>
        <v>14.17</v>
      </c>
      <c r="D61">
        <v>0.19</v>
      </c>
    </row>
    <row r="62" spans="1:6" x14ac:dyDescent="0.15">
      <c r="A62" s="228">
        <v>362</v>
      </c>
      <c r="B62" s="235">
        <f>B61+D62</f>
        <v>14.34</v>
      </c>
      <c r="D62">
        <v>0.17</v>
      </c>
    </row>
    <row r="63" spans="1:6" x14ac:dyDescent="0.15">
      <c r="A63" s="228">
        <v>363</v>
      </c>
      <c r="B63" s="235">
        <f>B62+D63</f>
        <v>14.5</v>
      </c>
      <c r="D63">
        <v>0.16</v>
      </c>
      <c r="E63">
        <v>370</v>
      </c>
      <c r="F63">
        <f>단계양수시험!G42</f>
        <v>16.03</v>
      </c>
    </row>
    <row r="64" spans="1:6" x14ac:dyDescent="0.15">
      <c r="A64" s="228">
        <v>364</v>
      </c>
      <c r="B64" s="235">
        <f>B63+D64</f>
        <v>14.65</v>
      </c>
      <c r="D64">
        <v>0.15</v>
      </c>
      <c r="E64">
        <v>380</v>
      </c>
      <c r="F64">
        <f>단계양수시험!G43</f>
        <v>16.37</v>
      </c>
    </row>
    <row r="65" spans="1:6" x14ac:dyDescent="0.15">
      <c r="A65" s="228">
        <v>365</v>
      </c>
      <c r="B65" s="235">
        <f>B64+D65</f>
        <v>14.790000000000001</v>
      </c>
      <c r="D65">
        <v>0.14000000000000001</v>
      </c>
      <c r="E65">
        <v>390</v>
      </c>
      <c r="F65">
        <f>단계양수시험!G44</f>
        <v>16.71</v>
      </c>
    </row>
    <row r="66" spans="1:6" x14ac:dyDescent="0.15">
      <c r="A66" s="228">
        <v>370</v>
      </c>
      <c r="B66" s="236">
        <f>F63</f>
        <v>16.03</v>
      </c>
      <c r="C66" s="239">
        <f>B68-B66</f>
        <v>0.33999999999999986</v>
      </c>
      <c r="D66" s="236">
        <f>C66/2</f>
        <v>0.16999999999999993</v>
      </c>
      <c r="E66">
        <v>420</v>
      </c>
      <c r="F66">
        <f>단계양수시험!G45</f>
        <v>17.05</v>
      </c>
    </row>
    <row r="67" spans="1:6" x14ac:dyDescent="0.15">
      <c r="A67" s="228">
        <v>375</v>
      </c>
      <c r="B67" s="235">
        <f>B66+D67</f>
        <v>16.150000000000002</v>
      </c>
      <c r="D67">
        <v>0.12</v>
      </c>
      <c r="E67">
        <v>480</v>
      </c>
      <c r="F67">
        <f>단계양수시험!G46</f>
        <v>17.399999999999999</v>
      </c>
    </row>
    <row r="68" spans="1:6" x14ac:dyDescent="0.15">
      <c r="A68" s="228">
        <v>380</v>
      </c>
      <c r="B68" s="240">
        <f>F64</f>
        <v>16.37</v>
      </c>
      <c r="C68" s="236">
        <f>B70-B68</f>
        <v>0.33999999999999986</v>
      </c>
      <c r="D68" s="236">
        <f>C68/2</f>
        <v>0.16999999999999993</v>
      </c>
      <c r="E68">
        <v>490</v>
      </c>
      <c r="F68">
        <f>단계양수시험!G47</f>
        <v>19.48</v>
      </c>
    </row>
    <row r="69" spans="1:6" x14ac:dyDescent="0.15">
      <c r="A69" s="228">
        <v>385</v>
      </c>
      <c r="B69" s="235">
        <f>B68+D69</f>
        <v>16.490000000000002</v>
      </c>
      <c r="D69">
        <v>0.12</v>
      </c>
      <c r="E69">
        <v>500</v>
      </c>
      <c r="F69">
        <f>단계양수시험!G48</f>
        <v>20.27</v>
      </c>
    </row>
    <row r="70" spans="1:6" x14ac:dyDescent="0.15">
      <c r="A70" s="228">
        <v>390</v>
      </c>
      <c r="B70" s="240">
        <f>F65</f>
        <v>16.71</v>
      </c>
      <c r="C70" s="236">
        <f>B76-B70</f>
        <v>0.33999999999999986</v>
      </c>
      <c r="D70" s="238">
        <f>C70/6</f>
        <v>5.6666666666666643E-2</v>
      </c>
      <c r="E70">
        <v>510</v>
      </c>
      <c r="F70">
        <f>단계양수시험!G49</f>
        <v>21.05</v>
      </c>
    </row>
    <row r="71" spans="1:6" x14ac:dyDescent="0.15">
      <c r="A71" s="228">
        <v>395</v>
      </c>
      <c r="B71" s="235">
        <f>B70+D71</f>
        <v>16.78</v>
      </c>
      <c r="D71">
        <v>7.0000000000000007E-2</v>
      </c>
      <c r="E71">
        <v>540</v>
      </c>
      <c r="F71">
        <f>단계양수시험!G50</f>
        <v>21.83</v>
      </c>
    </row>
    <row r="72" spans="1:6" x14ac:dyDescent="0.15">
      <c r="A72" s="228">
        <v>400</v>
      </c>
      <c r="B72" s="235">
        <f>B71+D72</f>
        <v>16.830000000000002</v>
      </c>
      <c r="D72">
        <v>0.05</v>
      </c>
      <c r="E72">
        <v>600</v>
      </c>
      <c r="F72">
        <f>단계양수시험!G51</f>
        <v>22.62</v>
      </c>
    </row>
    <row r="73" spans="1:6" x14ac:dyDescent="0.15">
      <c r="A73" s="228">
        <v>405</v>
      </c>
      <c r="B73" s="235">
        <f>B72+D73</f>
        <v>16.87</v>
      </c>
      <c r="D73">
        <v>0.04</v>
      </c>
    </row>
    <row r="74" spans="1:6" x14ac:dyDescent="0.15">
      <c r="A74" s="228">
        <v>410</v>
      </c>
      <c r="B74" s="235">
        <f>B73+D74</f>
        <v>16.900000000000002</v>
      </c>
      <c r="D74">
        <v>0.03</v>
      </c>
    </row>
    <row r="75" spans="1:6" x14ac:dyDescent="0.15">
      <c r="A75" s="228">
        <v>415</v>
      </c>
      <c r="B75" s="235">
        <f>B74+D75</f>
        <v>16.930000000000003</v>
      </c>
      <c r="D75">
        <v>0.03</v>
      </c>
    </row>
    <row r="76" spans="1:6" x14ac:dyDescent="0.15">
      <c r="A76" s="228">
        <v>420</v>
      </c>
      <c r="B76" s="240">
        <f>F66</f>
        <v>17.05</v>
      </c>
      <c r="C76" s="236">
        <f>B80-B76</f>
        <v>0.34999999999999787</v>
      </c>
      <c r="D76" s="236">
        <f>C76/4</f>
        <v>8.7499999999999467E-2</v>
      </c>
    </row>
    <row r="77" spans="1:6" x14ac:dyDescent="0.15">
      <c r="A77" s="228">
        <v>435</v>
      </c>
      <c r="B77" s="235">
        <f>B76+D77</f>
        <v>17.14</v>
      </c>
      <c r="D77">
        <v>0.09</v>
      </c>
    </row>
    <row r="78" spans="1:6" x14ac:dyDescent="0.15">
      <c r="A78" s="228">
        <v>450</v>
      </c>
      <c r="B78" s="235">
        <f>B77+D78</f>
        <v>17.21</v>
      </c>
      <c r="D78">
        <v>7.0000000000000007E-2</v>
      </c>
    </row>
    <row r="79" spans="1:6" x14ac:dyDescent="0.15">
      <c r="A79" s="228">
        <v>465</v>
      </c>
      <c r="B79" s="235">
        <f>B78+D79</f>
        <v>17.260000000000002</v>
      </c>
      <c r="D79">
        <v>0.05</v>
      </c>
    </row>
    <row r="80" spans="1:6" x14ac:dyDescent="0.15">
      <c r="A80" s="230">
        <v>480</v>
      </c>
      <c r="B80" s="240">
        <f>F67</f>
        <v>17.399999999999999</v>
      </c>
      <c r="C80" s="236">
        <f>B86-B80</f>
        <v>2.0800000000000018</v>
      </c>
      <c r="D80" s="237">
        <f>C80/10</f>
        <v>0.20800000000000018</v>
      </c>
    </row>
    <row r="81" spans="1:4" x14ac:dyDescent="0.15">
      <c r="A81" s="228">
        <v>481</v>
      </c>
      <c r="B81" s="235">
        <f>B80+D81</f>
        <v>17.61</v>
      </c>
      <c r="D81">
        <v>0.21</v>
      </c>
    </row>
    <row r="82" spans="1:4" x14ac:dyDescent="0.15">
      <c r="A82" s="228">
        <v>482</v>
      </c>
      <c r="B82" s="235">
        <f>B81+D82</f>
        <v>17.8</v>
      </c>
      <c r="D82">
        <v>0.19</v>
      </c>
    </row>
    <row r="83" spans="1:4" x14ac:dyDescent="0.15">
      <c r="A83" s="228">
        <v>483</v>
      </c>
      <c r="B83" s="235">
        <f>B82+D83</f>
        <v>17.970000000000002</v>
      </c>
      <c r="D83">
        <v>0.17</v>
      </c>
    </row>
    <row r="84" spans="1:4" x14ac:dyDescent="0.15">
      <c r="A84" s="228">
        <v>484</v>
      </c>
      <c r="B84" s="235">
        <f>B83+D84</f>
        <v>18.130000000000003</v>
      </c>
      <c r="D84">
        <v>0.16</v>
      </c>
    </row>
    <row r="85" spans="1:4" x14ac:dyDescent="0.15">
      <c r="A85" s="228">
        <v>485</v>
      </c>
      <c r="B85" s="235">
        <f>B84+D85</f>
        <v>18.270000000000003</v>
      </c>
      <c r="D85">
        <v>0.14000000000000001</v>
      </c>
    </row>
    <row r="86" spans="1:4" x14ac:dyDescent="0.15">
      <c r="A86" s="228">
        <v>490</v>
      </c>
      <c r="B86" s="240">
        <f>F68</f>
        <v>19.48</v>
      </c>
      <c r="C86" s="236">
        <f>B88-B86</f>
        <v>0.78999999999999915</v>
      </c>
      <c r="D86" s="236">
        <f>C86/2</f>
        <v>0.39499999999999957</v>
      </c>
    </row>
    <row r="87" spans="1:4" x14ac:dyDescent="0.15">
      <c r="A87" s="228">
        <v>495</v>
      </c>
      <c r="B87" s="235">
        <f>B86+D87</f>
        <v>19.79</v>
      </c>
      <c r="D87">
        <v>0.31</v>
      </c>
    </row>
    <row r="88" spans="1:4" x14ac:dyDescent="0.15">
      <c r="A88" s="228">
        <v>500</v>
      </c>
      <c r="B88" s="240">
        <f>F69</f>
        <v>20.27</v>
      </c>
      <c r="C88" s="236">
        <f>B90-B88</f>
        <v>0.78000000000000114</v>
      </c>
      <c r="D88" s="236">
        <f>C88/2</f>
        <v>0.39000000000000057</v>
      </c>
    </row>
    <row r="89" spans="1:4" x14ac:dyDescent="0.15">
      <c r="A89" s="228">
        <v>505</v>
      </c>
      <c r="B89" s="235">
        <f>B88+D89</f>
        <v>20.57</v>
      </c>
      <c r="D89">
        <v>0.3</v>
      </c>
    </row>
    <row r="90" spans="1:4" x14ac:dyDescent="0.15">
      <c r="A90" s="228">
        <v>510</v>
      </c>
      <c r="B90" s="240">
        <f>F70</f>
        <v>21.05</v>
      </c>
      <c r="C90" s="236">
        <f>B96-B90</f>
        <v>0.77999999999999758</v>
      </c>
      <c r="D90" s="238">
        <f>C90/6</f>
        <v>0.12999999999999959</v>
      </c>
    </row>
    <row r="91" spans="1:4" x14ac:dyDescent="0.15">
      <c r="A91" s="228">
        <v>515</v>
      </c>
      <c r="B91" s="235">
        <f>B90+D91</f>
        <v>21.2</v>
      </c>
      <c r="D91">
        <v>0.15</v>
      </c>
    </row>
    <row r="92" spans="1:4" x14ac:dyDescent="0.15">
      <c r="A92" s="228">
        <v>520</v>
      </c>
      <c r="B92" s="235">
        <f>B91+D92</f>
        <v>21.33</v>
      </c>
      <c r="D92">
        <v>0.13</v>
      </c>
    </row>
    <row r="93" spans="1:4" x14ac:dyDescent="0.15">
      <c r="A93" s="228">
        <v>525</v>
      </c>
      <c r="B93" s="235">
        <f>B92+D93</f>
        <v>21.439999999999998</v>
      </c>
      <c r="D93">
        <v>0.11</v>
      </c>
    </row>
    <row r="94" spans="1:4" x14ac:dyDescent="0.15">
      <c r="A94" s="228">
        <v>530</v>
      </c>
      <c r="B94" s="235">
        <f>B93+D94</f>
        <v>21.519999999999996</v>
      </c>
      <c r="D94">
        <v>0.08</v>
      </c>
    </row>
    <row r="95" spans="1:4" x14ac:dyDescent="0.15">
      <c r="A95" s="228">
        <v>535</v>
      </c>
      <c r="B95" s="235">
        <f>B94+D95</f>
        <v>21.589999999999996</v>
      </c>
      <c r="D95">
        <v>7.0000000000000007E-2</v>
      </c>
    </row>
    <row r="96" spans="1:4" x14ac:dyDescent="0.15">
      <c r="A96" s="228">
        <v>540</v>
      </c>
      <c r="B96" s="240">
        <f>F71</f>
        <v>21.83</v>
      </c>
      <c r="C96" s="236">
        <f>B100-B96</f>
        <v>0.7900000000000027</v>
      </c>
      <c r="D96" s="236">
        <f>C96/4</f>
        <v>0.19750000000000068</v>
      </c>
    </row>
    <row r="97" spans="1:4" x14ac:dyDescent="0.15">
      <c r="A97" s="228">
        <v>555</v>
      </c>
      <c r="B97" s="235">
        <f>B96+D97</f>
        <v>22.02</v>
      </c>
      <c r="D97">
        <v>0.19</v>
      </c>
    </row>
    <row r="98" spans="1:4" x14ac:dyDescent="0.15">
      <c r="A98" s="228">
        <v>570</v>
      </c>
      <c r="B98" s="235">
        <f>B97+D98</f>
        <v>22.18</v>
      </c>
      <c r="D98">
        <v>0.16</v>
      </c>
    </row>
    <row r="99" spans="1:4" x14ac:dyDescent="0.15">
      <c r="A99" s="228">
        <v>585</v>
      </c>
      <c r="B99" s="235">
        <f>B98+D99</f>
        <v>22.32</v>
      </c>
      <c r="D99">
        <v>0.14000000000000001</v>
      </c>
    </row>
    <row r="100" spans="1:4" x14ac:dyDescent="0.15">
      <c r="A100" s="230">
        <v>600</v>
      </c>
      <c r="B100" s="203">
        <f>F72</f>
        <v>22.62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28" zoomScaleNormal="100" workbookViewId="0">
      <selection activeCell="B43" sqref="B43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335.95416666666671</v>
      </c>
      <c r="F1" s="231"/>
      <c r="G1" s="231">
        <f>E1/E2</f>
        <v>0.80500199680511197</v>
      </c>
    </row>
    <row r="2" spans="1:19" x14ac:dyDescent="0.15">
      <c r="A2" s="47" t="s">
        <v>186</v>
      </c>
      <c r="B2" s="47" t="s">
        <v>187</v>
      </c>
      <c r="D2" s="20">
        <f>D19</f>
        <v>682</v>
      </c>
      <c r="E2" s="231">
        <f>M51/3</f>
        <v>417.33333333333331</v>
      </c>
      <c r="F2" s="274" t="s">
        <v>189</v>
      </c>
      <c r="G2" s="273" t="s">
        <v>220</v>
      </c>
    </row>
    <row r="3" spans="1:19" x14ac:dyDescent="0.15">
      <c r="A3" s="179">
        <f>B3+$M$48</f>
        <v>11.48</v>
      </c>
      <c r="B3" s="276">
        <f>B20</f>
        <v>8.18</v>
      </c>
      <c r="C3" s="19"/>
      <c r="D3" s="275">
        <f t="shared" ref="D3:D7" si="0">D20</f>
        <v>758</v>
      </c>
      <c r="E3" s="17">
        <f>D3/12</f>
        <v>63.166666666666664</v>
      </c>
      <c r="F3" s="21">
        <f>INT(B3/D3*1000)/1000</f>
        <v>0.01</v>
      </c>
      <c r="G3" s="21">
        <f>1/F3</f>
        <v>100</v>
      </c>
    </row>
    <row r="4" spans="1:19" x14ac:dyDescent="0.15">
      <c r="A4" s="179">
        <f>B4+$M$48</f>
        <v>14.21</v>
      </c>
      <c r="B4" s="19">
        <f>B21</f>
        <v>10.91</v>
      </c>
      <c r="C4" s="19"/>
      <c r="D4" s="20">
        <f t="shared" si="0"/>
        <v>911</v>
      </c>
      <c r="E4" s="17">
        <f>D4/12</f>
        <v>75.916666666666671</v>
      </c>
      <c r="F4" s="21">
        <f>INT(B4/D4*1000)/1000</f>
        <v>1.0999999999999999E-2</v>
      </c>
      <c r="G4" s="21">
        <f t="shared" ref="G4:G7" si="1">1/F4</f>
        <v>90.909090909090921</v>
      </c>
    </row>
    <row r="5" spans="1:19" x14ac:dyDescent="0.15">
      <c r="A5" s="179">
        <f>B5+$M$48</f>
        <v>17.28</v>
      </c>
      <c r="B5" s="19">
        <f>B22</f>
        <v>13.98</v>
      </c>
      <c r="C5" s="19"/>
      <c r="D5" s="20">
        <f t="shared" si="0"/>
        <v>1085.45</v>
      </c>
      <c r="E5" s="17">
        <f>D5/12</f>
        <v>90.454166666666666</v>
      </c>
      <c r="F5" s="21">
        <f>INT(B5/D5*1000)/1000</f>
        <v>1.2E-2</v>
      </c>
      <c r="G5" s="21">
        <f t="shared" si="1"/>
        <v>83.333333333333329</v>
      </c>
    </row>
    <row r="6" spans="1:19" x14ac:dyDescent="0.15">
      <c r="A6" s="179">
        <f>B6+$M$48</f>
        <v>20.7</v>
      </c>
      <c r="B6" s="276">
        <f>B23</f>
        <v>17.399999999999999</v>
      </c>
      <c r="C6" s="19"/>
      <c r="D6" s="20">
        <f>D23</f>
        <v>1277</v>
      </c>
      <c r="E6" s="17">
        <f>D6/12</f>
        <v>106.41666666666667</v>
      </c>
      <c r="F6" s="21">
        <f>INT(B6/D6*1000)/1000</f>
        <v>1.2999999999999999E-2</v>
      </c>
      <c r="G6" s="21">
        <f t="shared" si="1"/>
        <v>76.92307692307692</v>
      </c>
    </row>
    <row r="7" spans="1:19" x14ac:dyDescent="0.15">
      <c r="A7" s="179">
        <f>B7+$M$48</f>
        <v>25.92</v>
      </c>
      <c r="B7" s="19">
        <f>B24</f>
        <v>22.62</v>
      </c>
      <c r="C7" s="19"/>
      <c r="D7" s="20">
        <f t="shared" si="0"/>
        <v>1468.55</v>
      </c>
      <c r="E7" s="17">
        <f>D7/12</f>
        <v>122.37916666666666</v>
      </c>
      <c r="F7" s="21">
        <f>INT(B7/D7*1000)/1000</f>
        <v>1.4999999999999999E-2</v>
      </c>
      <c r="G7" s="21">
        <f t="shared" si="1"/>
        <v>66.666666666666671</v>
      </c>
    </row>
    <row r="8" spans="1:19" x14ac:dyDescent="0.15">
      <c r="B8" s="17" t="s">
        <v>0</v>
      </c>
      <c r="E8" s="566" t="s">
        <v>124</v>
      </c>
      <c r="F8" s="566"/>
      <c r="G8" s="566"/>
    </row>
    <row r="9" spans="1:19" x14ac:dyDescent="0.15">
      <c r="A9" s="272" t="s">
        <v>194</v>
      </c>
      <c r="B9" s="272" t="s">
        <v>195</v>
      </c>
      <c r="E9" s="86">
        <v>0.98</v>
      </c>
      <c r="F9" s="567" t="s">
        <v>114</v>
      </c>
      <c r="G9" s="567"/>
    </row>
    <row r="10" spans="1:19" x14ac:dyDescent="0.15">
      <c r="A10" s="271">
        <f>D20/B20</f>
        <v>92.665036674816633</v>
      </c>
      <c r="B10" s="271">
        <f>B20/D20</f>
        <v>1.0791556728232189E-2</v>
      </c>
      <c r="E10" s="86">
        <v>0.98</v>
      </c>
      <c r="F10" s="567" t="s">
        <v>115</v>
      </c>
      <c r="G10" s="567"/>
    </row>
    <row r="11" spans="1:19" x14ac:dyDescent="0.15">
      <c r="A11" s="271">
        <f t="shared" ref="A11:A14" si="2">D21/B21</f>
        <v>83.501374885426216</v>
      </c>
      <c r="B11" s="271">
        <f t="shared" ref="B11:B14" si="3">B21/D21</f>
        <v>1.1975850713501646E-2</v>
      </c>
      <c r="D11" s="17" t="s">
        <v>0</v>
      </c>
      <c r="E11" s="86">
        <v>0.98</v>
      </c>
      <c r="F11" s="567" t="s">
        <v>116</v>
      </c>
      <c r="G11" s="567"/>
    </row>
    <row r="12" spans="1:19" x14ac:dyDescent="0.15">
      <c r="A12" s="271">
        <f t="shared" si="2"/>
        <v>77.643061516452079</v>
      </c>
      <c r="B12" s="271">
        <f t="shared" si="3"/>
        <v>1.2879450918973698E-2</v>
      </c>
      <c r="E12" s="86">
        <v>1</v>
      </c>
      <c r="F12" s="567" t="s">
        <v>117</v>
      </c>
      <c r="G12" s="567"/>
    </row>
    <row r="13" spans="1:19" x14ac:dyDescent="0.15">
      <c r="A13" s="271">
        <f t="shared" si="2"/>
        <v>73.390804597701162</v>
      </c>
      <c r="B13" s="271">
        <f t="shared" si="3"/>
        <v>1.3625685199686764E-2</v>
      </c>
      <c r="D13" s="17" t="s">
        <v>0</v>
      </c>
      <c r="E13" s="566" t="s">
        <v>123</v>
      </c>
      <c r="F13" s="566"/>
      <c r="G13" s="566"/>
    </row>
    <row r="14" spans="1:19" x14ac:dyDescent="0.15">
      <c r="A14" s="271">
        <f t="shared" si="2"/>
        <v>64.922634836427932</v>
      </c>
      <c r="B14" s="271">
        <f t="shared" si="3"/>
        <v>1.5402948486602432E-2</v>
      </c>
      <c r="E14" s="87">
        <v>1.08</v>
      </c>
      <c r="F14" s="567" t="s">
        <v>114</v>
      </c>
      <c r="G14" s="567"/>
    </row>
    <row r="15" spans="1:19" x14ac:dyDescent="0.15">
      <c r="E15" s="87">
        <v>1.02</v>
      </c>
      <c r="F15" s="567" t="s">
        <v>115</v>
      </c>
      <c r="G15" s="567"/>
    </row>
    <row r="16" spans="1:19" x14ac:dyDescent="0.15">
      <c r="B16" s="38" t="s">
        <v>121</v>
      </c>
      <c r="D16" s="77" t="s">
        <v>122</v>
      </c>
      <c r="E16" s="87">
        <v>1</v>
      </c>
      <c r="F16" s="567" t="s">
        <v>116</v>
      </c>
      <c r="G16" s="567"/>
      <c r="R16" s="18">
        <v>0.128</v>
      </c>
      <c r="S16" s="18">
        <f>ROUNDDOWN(R16,1)</f>
        <v>0.1</v>
      </c>
    </row>
    <row r="17" spans="1:21" x14ac:dyDescent="0.15">
      <c r="B17" s="82">
        <f>M52</f>
        <v>17.399999999999999</v>
      </c>
      <c r="D17" s="85">
        <f>M47</f>
        <v>1277</v>
      </c>
      <c r="E17" s="87">
        <v>1</v>
      </c>
      <c r="F17" s="567" t="s">
        <v>117</v>
      </c>
      <c r="G17" s="567"/>
      <c r="P17" s="325"/>
      <c r="Q17" s="32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5"/>
    </row>
    <row r="19" spans="1:21" x14ac:dyDescent="0.15">
      <c r="B19" s="83"/>
      <c r="C19" s="19"/>
      <c r="D19" s="81">
        <f>INT(D20*0.9)</f>
        <v>682</v>
      </c>
      <c r="F19" s="19"/>
      <c r="G19" s="19"/>
    </row>
    <row r="20" spans="1:21" x14ac:dyDescent="0.15">
      <c r="A20" s="252" t="s">
        <v>188</v>
      </c>
      <c r="B20" s="373">
        <f>INT(B$17*C20*100)/100</f>
        <v>8.18</v>
      </c>
      <c r="C20" s="17">
        <f>0.48*E9</f>
        <v>0.47039999999999998</v>
      </c>
      <c r="D20" s="374">
        <f>INT(D$17*E20)</f>
        <v>758</v>
      </c>
      <c r="E20" s="372">
        <f>0.55*E14</f>
        <v>0.59400000000000008</v>
      </c>
      <c r="F20" s="21">
        <f>B20/D20</f>
        <v>1.0791556728232189E-2</v>
      </c>
      <c r="G20" s="17">
        <f>F20-F19</f>
        <v>1.0791556728232189E-2</v>
      </c>
    </row>
    <row r="21" spans="1:21" x14ac:dyDescent="0.15">
      <c r="A21" s="19">
        <f>B21-B20</f>
        <v>2.7300000000000004</v>
      </c>
      <c r="B21" s="373">
        <f>INT(B$17*C21*100)/100</f>
        <v>10.91</v>
      </c>
      <c r="C21" s="17">
        <f>0.64*E10</f>
        <v>0.62719999999999998</v>
      </c>
      <c r="D21" s="374">
        <f>INT(D$17*E21)</f>
        <v>911</v>
      </c>
      <c r="E21" s="372">
        <f>0.7*E15</f>
        <v>0.71399999999999997</v>
      </c>
      <c r="F21" s="21">
        <f>B21/D21</f>
        <v>1.1975850713501646E-2</v>
      </c>
      <c r="G21" s="17">
        <f>F21-F20</f>
        <v>1.1842939852694575E-3</v>
      </c>
      <c r="N21" s="108" t="s">
        <v>135</v>
      </c>
      <c r="O21" s="581" t="s">
        <v>126</v>
      </c>
      <c r="P21" s="581"/>
      <c r="Q21" s="581" t="s">
        <v>129</v>
      </c>
      <c r="R21" s="581"/>
      <c r="S21" s="581" t="s">
        <v>131</v>
      </c>
      <c r="T21" s="581"/>
      <c r="U21" s="94" t="s">
        <v>132</v>
      </c>
    </row>
    <row r="22" spans="1:21" x14ac:dyDescent="0.15">
      <c r="A22" s="19">
        <f>B22-B21</f>
        <v>3.0700000000000003</v>
      </c>
      <c r="B22" s="373">
        <f>INT(B$17*C22*100)/100</f>
        <v>13.98</v>
      </c>
      <c r="C22" s="17">
        <f>0.82*E11</f>
        <v>0.80359999999999998</v>
      </c>
      <c r="D22" s="375">
        <f>(D$17*E22)</f>
        <v>1085.45</v>
      </c>
      <c r="E22" s="372">
        <f>0.85*E16</f>
        <v>0.85</v>
      </c>
      <c r="F22" s="21">
        <f>B22/D22</f>
        <v>1.2879450918973698E-2</v>
      </c>
      <c r="G22" s="17">
        <f>F22-F21</f>
        <v>9.0360020547205176E-4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3.4199999999999982</v>
      </c>
      <c r="B23" s="373">
        <f>INT(B$17*C23*100)/100</f>
        <v>17.399999999999999</v>
      </c>
      <c r="C23" s="17">
        <v>1</v>
      </c>
      <c r="D23" s="374">
        <f>D$17*E23</f>
        <v>1277</v>
      </c>
      <c r="E23" s="372">
        <v>1</v>
      </c>
      <c r="F23" s="21">
        <f>B23/D23</f>
        <v>1.3625685199686764E-2</v>
      </c>
      <c r="G23" s="17">
        <f>F23-F22</f>
        <v>7.4623428071306577E-4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5.2200000000000024</v>
      </c>
      <c r="B24" s="373">
        <f>INT(B$17*C24*100)/100</f>
        <v>22.62</v>
      </c>
      <c r="C24" s="17">
        <f>1.3*E12</f>
        <v>1.3</v>
      </c>
      <c r="D24" s="374">
        <f>D$17*E24</f>
        <v>1468.55</v>
      </c>
      <c r="E24" s="372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1.5402948486602432E-2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87" t="s">
        <v>118</v>
      </c>
      <c r="B26" s="587"/>
      <c r="C26" s="79">
        <f>INT(M51*1)</f>
        <v>1252</v>
      </c>
      <c r="F26" s="178">
        <f>M50/M51</f>
        <v>1.5623003194888178E-2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87" t="s">
        <v>119</v>
      </c>
      <c r="B27" s="587"/>
      <c r="C27" s="80">
        <f>가채수량!B7</f>
        <v>1253.7179254358145</v>
      </c>
      <c r="D27" s="19">
        <f>(C27/D6)*100</f>
        <v>98.176814834441231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70</v>
      </c>
      <c r="F30" s="23">
        <f>ROUNDDOWN(F35,-1)</f>
        <v>40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5.4E-6</v>
      </c>
      <c r="B31" s="32">
        <v>6.8850999999999999E-3</v>
      </c>
      <c r="D31" s="20">
        <f t="shared" ref="D31:D36" si="4">D19</f>
        <v>682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5.4E-6</v>
      </c>
      <c r="B32" s="17">
        <f t="shared" si="5"/>
        <v>6.8850999999999999E-3</v>
      </c>
      <c r="D32" s="20">
        <f t="shared" si="4"/>
        <v>758</v>
      </c>
      <c r="F32" s="23">
        <f>B32*D32/(B32*D32+A32*D32*D32)*100</f>
        <v>62.715538835703157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5.4E-6</v>
      </c>
      <c r="B33" s="17">
        <f t="shared" si="5"/>
        <v>6.8850999999999999E-3</v>
      </c>
      <c r="D33" s="20">
        <f t="shared" si="4"/>
        <v>911</v>
      </c>
      <c r="F33" s="23">
        <f>B33*D33/(B33*D33+A33*D33*D33)*100</f>
        <v>58.326062094963795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5.4E-6</v>
      </c>
      <c r="B34" s="17">
        <f t="shared" si="5"/>
        <v>6.8850999999999999E-3</v>
      </c>
      <c r="D34" s="20">
        <f t="shared" si="4"/>
        <v>1085.45</v>
      </c>
      <c r="F34" s="23">
        <f>B34*D34/(B34*D34+A34*D34*D34)*100</f>
        <v>54.01548499866238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5.4E-6</v>
      </c>
      <c r="B35" s="17">
        <f>B34</f>
        <v>6.8850999999999999E-3</v>
      </c>
      <c r="D35" s="20">
        <f t="shared" si="4"/>
        <v>1277</v>
      </c>
      <c r="F35" s="23">
        <f>B35*D35/(B35*D35+A35*D35*D35)*100</f>
        <v>49.961178152370309</v>
      </c>
      <c r="G35" s="23"/>
    </row>
    <row r="36" spans="1:21" x14ac:dyDescent="0.15">
      <c r="D36" s="20">
        <f t="shared" si="4"/>
        <v>1468.55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56.25456602042491</v>
      </c>
      <c r="P37" s="18">
        <v>5.4E-6</v>
      </c>
      <c r="Q37" s="18">
        <v>2.5000000000000001E-2</v>
      </c>
    </row>
    <row r="38" spans="1:21" x14ac:dyDescent="0.15">
      <c r="A38" s="46">
        <v>49.653999999999996</v>
      </c>
      <c r="B38" s="47">
        <v>2.5000000000000001E-2</v>
      </c>
      <c r="C38" s="47">
        <v>80.953999999999994</v>
      </c>
      <c r="E38" s="17" t="s">
        <v>33</v>
      </c>
      <c r="P38" s="18">
        <v>6.8850999999999999E-3</v>
      </c>
      <c r="Q38" s="18">
        <v>80.953999999999994</v>
      </c>
    </row>
    <row r="39" spans="1:21" x14ac:dyDescent="0.15">
      <c r="A39" s="24"/>
      <c r="B39" s="25" t="s">
        <v>34</v>
      </c>
      <c r="C39" s="19">
        <f>(C38-A38)/B38</f>
        <v>1251.9999999999998</v>
      </c>
      <c r="D39" s="17">
        <f>C38-B38*M51</f>
        <v>49.653999999999996</v>
      </c>
    </row>
    <row r="40" spans="1:21" x14ac:dyDescent="0.15">
      <c r="A40" s="24" t="s">
        <v>35</v>
      </c>
      <c r="B40" s="25" t="s">
        <v>34</v>
      </c>
      <c r="C40" s="17">
        <f>INT(C39)</f>
        <v>1252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21.545999999999999</v>
      </c>
      <c r="C43" s="17" t="s">
        <v>85</v>
      </c>
      <c r="I43" s="26"/>
      <c r="Q43" s="327" t="s">
        <v>233</v>
      </c>
      <c r="R43" s="327" t="s">
        <v>234</v>
      </c>
      <c r="S43" s="327" t="s">
        <v>235</v>
      </c>
      <c r="T43" s="327" t="s">
        <v>220</v>
      </c>
      <c r="U43" s="327" t="s">
        <v>189</v>
      </c>
    </row>
    <row r="44" spans="1:21" ht="16.5" x14ac:dyDescent="0.3">
      <c r="A44" s="109">
        <f>B58</f>
        <v>40.21</v>
      </c>
      <c r="B44" s="22" t="s">
        <v>16</v>
      </c>
      <c r="H44" s="376" t="s">
        <v>191</v>
      </c>
      <c r="I44" s="584" t="s">
        <v>286</v>
      </c>
      <c r="J44" s="585"/>
      <c r="K44" s="586"/>
      <c r="L44" s="338" t="s">
        <v>59</v>
      </c>
      <c r="M44" s="339">
        <v>250</v>
      </c>
      <c r="N44" s="338" t="s">
        <v>185</v>
      </c>
      <c r="Q44" s="329">
        <v>758</v>
      </c>
      <c r="R44" s="361">
        <v>11.48</v>
      </c>
      <c r="S44" s="361">
        <v>8.18</v>
      </c>
      <c r="T44" s="323">
        <v>100</v>
      </c>
      <c r="U44" s="18">
        <v>0.01</v>
      </c>
    </row>
    <row r="45" spans="1:21" ht="16.5" x14ac:dyDescent="0.3">
      <c r="A45" s="87">
        <v>5.0000000000000001E-4</v>
      </c>
      <c r="B45" s="22" t="s">
        <v>19</v>
      </c>
      <c r="H45" s="376" t="s">
        <v>54</v>
      </c>
      <c r="I45" s="340" t="s">
        <v>287</v>
      </c>
      <c r="J45" s="341"/>
      <c r="K45" s="339"/>
      <c r="L45" s="338" t="s">
        <v>60</v>
      </c>
      <c r="M45" s="483">
        <v>92</v>
      </c>
      <c r="N45" s="483">
        <f>M44</f>
        <v>250</v>
      </c>
      <c r="Q45" s="329">
        <v>911</v>
      </c>
      <c r="R45" s="361">
        <v>14.21</v>
      </c>
      <c r="S45" s="361">
        <v>10.91</v>
      </c>
      <c r="T45" s="323">
        <v>90.909090909090921</v>
      </c>
      <c r="U45" s="18">
        <v>1.0999999999999999E-2</v>
      </c>
    </row>
    <row r="46" spans="1:21" ht="16.5" x14ac:dyDescent="0.3">
      <c r="A46" s="17">
        <f>B34</f>
        <v>6.8850999999999999E-3</v>
      </c>
      <c r="B46" s="22" t="s">
        <v>36</v>
      </c>
      <c r="C46" s="572" t="s">
        <v>29</v>
      </c>
      <c r="D46" s="572"/>
      <c r="H46" s="376" t="s">
        <v>55</v>
      </c>
      <c r="I46" s="339" t="s">
        <v>288</v>
      </c>
      <c r="J46" s="341"/>
      <c r="K46" s="339"/>
      <c r="L46" s="338" t="s">
        <v>61</v>
      </c>
      <c r="M46" s="342">
        <f>IF(I52&gt;M48, M45-I52,M45-M48)</f>
        <v>80</v>
      </c>
      <c r="N46" s="343"/>
      <c r="Q46" s="329">
        <v>1085</v>
      </c>
      <c r="R46" s="361">
        <v>17.28</v>
      </c>
      <c r="S46" s="361">
        <v>13.98</v>
      </c>
      <c r="T46" s="323">
        <v>83.333333333333329</v>
      </c>
      <c r="U46" s="18">
        <v>1.2E-2</v>
      </c>
    </row>
    <row r="47" spans="1:21" ht="16.5" x14ac:dyDescent="0.3">
      <c r="A47" s="17">
        <f>120/1440</f>
        <v>8.3333333333333329E-2</v>
      </c>
      <c r="B47" s="22" t="s">
        <v>24</v>
      </c>
      <c r="C47" s="572" t="s">
        <v>28</v>
      </c>
      <c r="D47" s="572"/>
      <c r="H47" s="376" t="s">
        <v>56</v>
      </c>
      <c r="I47" s="339" t="s">
        <v>289</v>
      </c>
      <c r="J47" s="341"/>
      <c r="K47" s="339"/>
      <c r="L47" s="338" t="s">
        <v>62</v>
      </c>
      <c r="M47" s="344">
        <f>INT((M51*100)/M53)</f>
        <v>1277</v>
      </c>
      <c r="N47" s="343"/>
      <c r="Q47" s="329">
        <v>1277</v>
      </c>
      <c r="R47" s="361">
        <v>20.7</v>
      </c>
      <c r="S47" s="361">
        <v>17.399999999999999</v>
      </c>
      <c r="T47" s="323">
        <v>76.92307692307692</v>
      </c>
      <c r="U47" s="18">
        <v>1.2999999999999999E-2</v>
      </c>
    </row>
    <row r="48" spans="1:21" ht="16.5" x14ac:dyDescent="0.3">
      <c r="B48" s="22"/>
      <c r="H48" s="376" t="s">
        <v>57</v>
      </c>
      <c r="I48" s="484">
        <v>15</v>
      </c>
      <c r="J48" s="583" t="s">
        <v>285</v>
      </c>
      <c r="K48" s="583"/>
      <c r="L48" s="345" t="s">
        <v>63</v>
      </c>
      <c r="M48" s="485">
        <v>3.3</v>
      </c>
      <c r="N48" s="343"/>
      <c r="Q48" s="329">
        <v>1469</v>
      </c>
      <c r="R48" s="361">
        <v>25.92</v>
      </c>
      <c r="S48" s="361">
        <v>22.62</v>
      </c>
      <c r="T48" s="323">
        <v>66.666666666666671</v>
      </c>
      <c r="U48" s="18">
        <v>1.4999999999999999E-2</v>
      </c>
    </row>
    <row r="49" spans="1:17" ht="16.5" x14ac:dyDescent="0.3">
      <c r="A49" s="25" t="s">
        <v>37</v>
      </c>
      <c r="B49" s="21">
        <f>INT(SQRT(B54)*1000)/1000</f>
        <v>21.706</v>
      </c>
      <c r="C49" s="22" t="s">
        <v>38</v>
      </c>
      <c r="D49" s="27" t="s">
        <v>18</v>
      </c>
      <c r="H49" s="589" t="s">
        <v>58</v>
      </c>
      <c r="I49" s="582" t="str">
        <f>I45</f>
        <v xml:space="preserve"> 노전리 744</v>
      </c>
      <c r="J49" s="582"/>
      <c r="K49" s="582"/>
      <c r="L49" s="338" t="s">
        <v>64</v>
      </c>
      <c r="M49" s="485">
        <v>22.86</v>
      </c>
      <c r="N49" s="343"/>
    </row>
    <row r="50" spans="1:17" ht="16.5" x14ac:dyDescent="0.3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90"/>
      <c r="I50" s="582"/>
      <c r="J50" s="582"/>
      <c r="K50" s="582"/>
      <c r="L50" s="338" t="s">
        <v>65</v>
      </c>
      <c r="M50" s="346">
        <f>M49-M48</f>
        <v>19.559999999999999</v>
      </c>
      <c r="N50" s="343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91"/>
      <c r="I51" s="592" t="s">
        <v>113</v>
      </c>
      <c r="J51" s="593"/>
      <c r="K51" s="594"/>
      <c r="L51" s="347" t="s">
        <v>106</v>
      </c>
      <c r="M51" s="364">
        <v>1252</v>
      </c>
      <c r="N51" s="343"/>
      <c r="Q51" s="18">
        <v>758</v>
      </c>
    </row>
    <row r="52" spans="1:17" ht="16.5" x14ac:dyDescent="0.3">
      <c r="A52" s="28" t="s">
        <v>41</v>
      </c>
      <c r="B52" s="17">
        <f>INT(10^((INT(5.46*A44*A46*1000))/1000)*1000)/1000</f>
        <v>32.433</v>
      </c>
      <c r="C52" s="17">
        <f>INT(B52*B51*1000)/1000</f>
        <v>1.6E-2</v>
      </c>
      <c r="H52" s="348" t="s">
        <v>96</v>
      </c>
      <c r="I52" s="484">
        <v>12</v>
      </c>
      <c r="J52" s="348" t="s">
        <v>97</v>
      </c>
      <c r="K52" s="349">
        <v>0</v>
      </c>
      <c r="L52" s="350" t="s">
        <v>66</v>
      </c>
      <c r="M52" s="342">
        <f>INT(M50*0.89*100)/100</f>
        <v>17.399999999999999</v>
      </c>
      <c r="N52" s="351"/>
      <c r="Q52" s="18">
        <v>911</v>
      </c>
    </row>
    <row r="53" spans="1:17" ht="16.5" x14ac:dyDescent="0.3">
      <c r="H53" s="343"/>
      <c r="I53" s="588" t="s">
        <v>120</v>
      </c>
      <c r="J53" s="588"/>
      <c r="K53" s="588"/>
      <c r="L53" s="588"/>
      <c r="M53" s="472">
        <v>98</v>
      </c>
      <c r="N53" s="343"/>
      <c r="Q53" s="18">
        <v>1085</v>
      </c>
    </row>
    <row r="54" spans="1:17" ht="18.75" customHeight="1" x14ac:dyDescent="0.15">
      <c r="A54" s="25" t="s">
        <v>40</v>
      </c>
      <c r="B54" s="17">
        <f>INT(C50/C52*1000)/1000</f>
        <v>471.18700000000001</v>
      </c>
      <c r="H54" s="330" t="s">
        <v>236</v>
      </c>
      <c r="I54" s="486" t="s">
        <v>237</v>
      </c>
      <c r="Q54" s="18">
        <v>1277</v>
      </c>
    </row>
    <row r="55" spans="1:17" x14ac:dyDescent="0.15">
      <c r="A55" s="25"/>
      <c r="Q55" s="18">
        <v>1469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70" t="s">
        <v>76</v>
      </c>
      <c r="E57" s="570"/>
      <c r="F57" s="570" t="s">
        <v>53</v>
      </c>
      <c r="G57" s="571"/>
      <c r="H57" s="48" t="s">
        <v>176</v>
      </c>
      <c r="I57" s="232">
        <f>M50</f>
        <v>19.559999999999999</v>
      </c>
      <c r="J57" s="43" t="s">
        <v>67</v>
      </c>
      <c r="K57" s="48" t="s">
        <v>68</v>
      </c>
      <c r="L57" s="580" t="s">
        <v>73</v>
      </c>
      <c r="M57" s="580"/>
      <c r="Q57" s="18">
        <v>11.48</v>
      </c>
    </row>
    <row r="58" spans="1:17" x14ac:dyDescent="0.15">
      <c r="A58" s="38" t="s">
        <v>47</v>
      </c>
      <c r="B58" s="39">
        <v>40.21</v>
      </c>
      <c r="C58" s="38"/>
      <c r="D58" s="570">
        <v>0.22439999999999999</v>
      </c>
      <c r="E58" s="570"/>
      <c r="F58" s="570"/>
      <c r="G58" s="571"/>
      <c r="H58" s="48" t="s">
        <v>177</v>
      </c>
      <c r="I58" s="233">
        <f>C62/M46</f>
        <v>0.56774999999999998</v>
      </c>
      <c r="J58" s="49" t="s">
        <v>69</v>
      </c>
      <c r="K58" s="50">
        <f>INT((6*I57*I58*I60/I59)^0.5)</f>
        <v>14</v>
      </c>
      <c r="L58" s="48" t="s">
        <v>74</v>
      </c>
      <c r="M58" s="48" t="s">
        <v>75</v>
      </c>
      <c r="Q58" s="18">
        <v>14.21</v>
      </c>
    </row>
    <row r="59" spans="1:17" x14ac:dyDescent="0.15">
      <c r="A59" s="38" t="s">
        <v>48</v>
      </c>
      <c r="B59" s="39">
        <v>59.61</v>
      </c>
      <c r="C59" s="578">
        <f>B59</f>
        <v>59.61</v>
      </c>
      <c r="D59" s="568">
        <v>0.15190000000000001</v>
      </c>
      <c r="E59" s="569"/>
      <c r="F59" s="574">
        <f>INT((D59+D60)/1*10000000)/10000000</f>
        <v>0.15190000000000001</v>
      </c>
      <c r="G59" s="575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18</v>
      </c>
      <c r="L59" s="50"/>
      <c r="M59" s="50"/>
      <c r="Q59" s="18">
        <v>17.28</v>
      </c>
    </row>
    <row r="60" spans="1:17" x14ac:dyDescent="0.15">
      <c r="A60" s="38" t="s">
        <v>49</v>
      </c>
      <c r="B60" s="39"/>
      <c r="C60" s="578"/>
      <c r="D60" s="568"/>
      <c r="E60" s="569"/>
      <c r="F60" s="576"/>
      <c r="G60" s="577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20.7</v>
      </c>
    </row>
    <row r="61" spans="1:17" x14ac:dyDescent="0.15">
      <c r="A61" s="38" t="s">
        <v>50</v>
      </c>
      <c r="B61" s="39">
        <v>31.23</v>
      </c>
      <c r="C61" s="38">
        <f>B61</f>
        <v>31.23</v>
      </c>
      <c r="D61" s="570"/>
      <c r="E61" s="570"/>
      <c r="F61" s="570"/>
      <c r="G61" s="571"/>
      <c r="H61" s="48" t="s">
        <v>16</v>
      </c>
      <c r="I61" s="43">
        <f>C62</f>
        <v>45.42</v>
      </c>
      <c r="J61" s="49" t="s">
        <v>72</v>
      </c>
      <c r="K61" s="50">
        <f>((K58+K59+K60)/3)</f>
        <v>16.780304170529423</v>
      </c>
      <c r="L61" s="52"/>
      <c r="M61" s="44"/>
      <c r="Q61" s="18">
        <v>25.92</v>
      </c>
    </row>
    <row r="62" spans="1:17" x14ac:dyDescent="0.15">
      <c r="A62" s="40" t="s">
        <v>51</v>
      </c>
      <c r="B62" s="40"/>
      <c r="C62" s="229">
        <f>INT((C58+C59+C61)*1000/2)/1000</f>
        <v>45.42</v>
      </c>
      <c r="D62" s="579"/>
      <c r="E62" s="579"/>
      <c r="F62" s="573">
        <f>F59</f>
        <v>0.15190000000000001</v>
      </c>
      <c r="G62" s="573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 x14ac:dyDescent="0.15">
      <c r="Q63" s="18">
        <v>8.18</v>
      </c>
    </row>
    <row r="64" spans="1:17" x14ac:dyDescent="0.15">
      <c r="Q64" s="18">
        <v>10.91</v>
      </c>
    </row>
    <row r="65" spans="17:17" x14ac:dyDescent="0.15">
      <c r="Q65" s="18">
        <v>13.98</v>
      </c>
    </row>
    <row r="66" spans="17:17" x14ac:dyDescent="0.15">
      <c r="Q66" s="18">
        <v>17.399999999999999</v>
      </c>
    </row>
    <row r="67" spans="17:17" x14ac:dyDescent="0.15">
      <c r="Q67" s="18">
        <v>22.62</v>
      </c>
    </row>
    <row r="69" spans="17:17" x14ac:dyDescent="0.15">
      <c r="Q69" s="323">
        <v>100</v>
      </c>
    </row>
    <row r="70" spans="17:17" x14ac:dyDescent="0.15">
      <c r="Q70" s="323">
        <v>90.909090909090921</v>
      </c>
    </row>
    <row r="71" spans="17:17" x14ac:dyDescent="0.15">
      <c r="Q71" s="323">
        <v>83.333333333333329</v>
      </c>
    </row>
    <row r="72" spans="17:17" x14ac:dyDescent="0.15">
      <c r="Q72" s="323">
        <v>76.92307692307692</v>
      </c>
    </row>
    <row r="73" spans="17:17" x14ac:dyDescent="0.15">
      <c r="Q73" s="323">
        <v>66.666666666666671</v>
      </c>
    </row>
    <row r="75" spans="17:17" x14ac:dyDescent="0.15">
      <c r="Q75" s="18">
        <v>0.01</v>
      </c>
    </row>
    <row r="76" spans="17:17" x14ac:dyDescent="0.15">
      <c r="Q76" s="18">
        <v>1.0999999999999999E-2</v>
      </c>
    </row>
    <row r="77" spans="17:17" x14ac:dyDescent="0.15">
      <c r="Q77" s="18">
        <v>1.2E-2</v>
      </c>
    </row>
    <row r="78" spans="17:17" x14ac:dyDescent="0.15">
      <c r="Q78" s="18">
        <v>1.2999999999999999E-2</v>
      </c>
    </row>
    <row r="79" spans="17:17" x14ac:dyDescent="0.15">
      <c r="Q79" s="18">
        <v>1.4999999999999999E-2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58" customWidth="1"/>
    <col min="3" max="3" width="13.109375" style="358" customWidth="1"/>
    <col min="4" max="4" width="14.6640625" style="358" customWidth="1"/>
    <col min="5" max="5" width="10.5546875" style="358" customWidth="1"/>
    <col min="6" max="16384" width="8.88671875" style="358"/>
  </cols>
  <sheetData>
    <row r="3" spans="3:7" ht="18" customHeight="1" x14ac:dyDescent="0.15">
      <c r="C3" s="359" t="s">
        <v>57</v>
      </c>
      <c r="D3" s="359" t="s">
        <v>236</v>
      </c>
      <c r="E3" s="359" t="s">
        <v>243</v>
      </c>
      <c r="F3" s="359" t="s">
        <v>59</v>
      </c>
      <c r="G3" s="358" t="s">
        <v>273</v>
      </c>
    </row>
    <row r="4" spans="3:7" ht="18" customHeight="1" x14ac:dyDescent="0.15">
      <c r="C4" s="358">
        <v>1</v>
      </c>
      <c r="D4" s="360" t="s">
        <v>238</v>
      </c>
      <c r="E4" s="358" t="s">
        <v>237</v>
      </c>
      <c r="F4" s="358">
        <v>150</v>
      </c>
      <c r="G4" s="358">
        <v>5.0000000000000001E-4</v>
      </c>
    </row>
    <row r="5" spans="3:7" ht="18" customHeight="1" x14ac:dyDescent="0.15">
      <c r="C5" s="358">
        <v>2</v>
      </c>
      <c r="D5" s="358" t="s">
        <v>239</v>
      </c>
      <c r="E5" s="358" t="s">
        <v>244</v>
      </c>
      <c r="F5" s="358">
        <v>200</v>
      </c>
      <c r="G5" s="358">
        <v>0.1</v>
      </c>
    </row>
    <row r="6" spans="3:7" ht="18" customHeight="1" x14ac:dyDescent="0.15">
      <c r="C6" s="358">
        <v>3</v>
      </c>
      <c r="D6" s="358" t="s">
        <v>240</v>
      </c>
      <c r="E6" s="358" t="s">
        <v>245</v>
      </c>
      <c r="F6" s="358">
        <v>250</v>
      </c>
    </row>
    <row r="7" spans="3:7" ht="18" customHeight="1" x14ac:dyDescent="0.15">
      <c r="C7" s="358">
        <v>5</v>
      </c>
      <c r="D7" s="358" t="s">
        <v>241</v>
      </c>
      <c r="E7" s="358" t="s">
        <v>246</v>
      </c>
    </row>
    <row r="8" spans="3:7" ht="18" customHeight="1" x14ac:dyDescent="0.15">
      <c r="C8" s="358">
        <v>7.5</v>
      </c>
      <c r="D8" s="358" t="s">
        <v>242</v>
      </c>
      <c r="E8" s="358" t="s">
        <v>247</v>
      </c>
    </row>
    <row r="9" spans="3:7" ht="18" customHeight="1" x14ac:dyDescent="0.15">
      <c r="C9" s="358">
        <v>10</v>
      </c>
      <c r="D9" s="360" t="s">
        <v>250</v>
      </c>
      <c r="E9" s="358" t="s">
        <v>251</v>
      </c>
    </row>
    <row r="10" spans="3:7" ht="18" customHeight="1" x14ac:dyDescent="0.15">
      <c r="C10" s="358">
        <v>15</v>
      </c>
      <c r="D10" s="360" t="s">
        <v>276</v>
      </c>
      <c r="E10" s="358" t="s">
        <v>274</v>
      </c>
    </row>
    <row r="11" spans="3:7" ht="18" customHeight="1" x14ac:dyDescent="0.15">
      <c r="C11" s="358">
        <v>20</v>
      </c>
      <c r="D11" s="358" t="s">
        <v>277</v>
      </c>
      <c r="E11" s="358" t="s">
        <v>275</v>
      </c>
    </row>
    <row r="12" spans="3:7" ht="18" customHeight="1" x14ac:dyDescent="0.15">
      <c r="C12" s="358">
        <v>25</v>
      </c>
      <c r="D12" s="360" t="s">
        <v>278</v>
      </c>
      <c r="E12" s="358" t="s">
        <v>281</v>
      </c>
    </row>
    <row r="13" spans="3:7" ht="18" customHeight="1" x14ac:dyDescent="0.15">
      <c r="C13" s="358">
        <v>30</v>
      </c>
      <c r="D13" s="360" t="s">
        <v>279</v>
      </c>
      <c r="E13" s="358" t="s">
        <v>282</v>
      </c>
    </row>
    <row r="14" spans="3:7" ht="18" customHeight="1" x14ac:dyDescent="0.15">
      <c r="D14" s="360" t="s">
        <v>280</v>
      </c>
      <c r="E14" s="358" t="s">
        <v>283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tabSelected="1" zoomScaleNormal="100" workbookViewId="0">
      <selection activeCell="D4" sqref="D4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 xml:space="preserve"> 노전리 744</v>
      </c>
      <c r="C1" s="279"/>
      <c r="D1" s="279"/>
      <c r="E1" s="279"/>
      <c r="F1" s="279"/>
      <c r="G1" s="279"/>
      <c r="H1" s="424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 xml:space="preserve"> 충청남도 예산군 광시면 노전리 744</v>
      </c>
      <c r="D2" s="279"/>
      <c r="E2" s="279"/>
      <c r="F2" s="279"/>
      <c r="G2" s="279"/>
      <c r="H2" s="424"/>
      <c r="I2" s="279"/>
      <c r="J2" s="279"/>
      <c r="K2" s="331"/>
      <c r="L2" s="334"/>
      <c r="M2" s="335"/>
      <c r="N2" s="332"/>
      <c r="O2" s="279"/>
    </row>
    <row r="3" spans="1:15" ht="22.7" customHeight="1" x14ac:dyDescent="0.15">
      <c r="A3" s="279"/>
      <c r="B3" s="446" t="s">
        <v>198</v>
      </c>
      <c r="C3" s="447" t="s">
        <v>199</v>
      </c>
      <c r="D3" s="447" t="s">
        <v>16</v>
      </c>
      <c r="E3" s="447" t="s">
        <v>224</v>
      </c>
      <c r="F3" s="447" t="s">
        <v>19</v>
      </c>
      <c r="G3" s="447" t="s">
        <v>196</v>
      </c>
      <c r="H3" s="448" t="s">
        <v>36</v>
      </c>
      <c r="I3" s="444" t="s">
        <v>225</v>
      </c>
      <c r="J3" s="279"/>
      <c r="K3" s="331"/>
      <c r="L3" s="334"/>
      <c r="M3" s="334"/>
      <c r="N3" s="331"/>
      <c r="O3" s="279"/>
    </row>
    <row r="4" spans="1:15" ht="22.7" customHeight="1" thickBot="1" x14ac:dyDescent="0.2">
      <c r="A4" s="279"/>
      <c r="B4" s="456">
        <f>장기양수시험!G10</f>
        <v>10.83948621572366</v>
      </c>
      <c r="C4" s="490">
        <f>장기양수시험!B10</f>
        <v>1252</v>
      </c>
      <c r="D4" s="479">
        <v>40.21</v>
      </c>
      <c r="E4" s="457">
        <f>입력표!M44/2000</f>
        <v>0.125</v>
      </c>
      <c r="F4" s="455">
        <v>5.0000000000000001E-4</v>
      </c>
      <c r="G4" s="455">
        <f>PI()</f>
        <v>3.1415926535897931</v>
      </c>
      <c r="H4" s="449">
        <f>입력표!$A$46</f>
        <v>6.8850999999999999E-3</v>
      </c>
      <c r="I4" s="487">
        <f>입력표!M48</f>
        <v>3.3</v>
      </c>
      <c r="J4" s="279"/>
      <c r="K4" s="331"/>
      <c r="L4" s="334"/>
      <c r="M4" s="334"/>
      <c r="N4" s="331"/>
      <c r="O4" s="279"/>
    </row>
    <row r="5" spans="1:15" ht="22.7" customHeight="1" thickBot="1" x14ac:dyDescent="0.2">
      <c r="A5" s="279"/>
      <c r="B5" s="440"/>
      <c r="C5" s="441"/>
      <c r="D5" s="481">
        <v>59.61</v>
      </c>
      <c r="E5" s="442" t="s">
        <v>268</v>
      </c>
      <c r="F5" s="443"/>
      <c r="G5" s="443"/>
      <c r="H5" s="425"/>
      <c r="I5" s="445" t="s">
        <v>64</v>
      </c>
      <c r="J5" s="279"/>
      <c r="K5" s="331"/>
      <c r="L5" s="334"/>
      <c r="M5" s="334"/>
      <c r="N5" s="331"/>
      <c r="O5" s="279"/>
    </row>
    <row r="6" spans="1:15" ht="22.7" customHeight="1" thickBot="1" x14ac:dyDescent="0.2">
      <c r="A6" s="279"/>
      <c r="B6" s="469" t="s">
        <v>200</v>
      </c>
      <c r="C6" s="470">
        <f>(2*G4*B4*D5)/(C4)</f>
        <v>3.2426745179510457</v>
      </c>
      <c r="D6" s="480"/>
      <c r="E6" s="470">
        <f>1.15*LOG((2.25*D5*(1/1440))/(F4*E4^2))</f>
        <v>4.6878014851174772</v>
      </c>
      <c r="F6" s="471" t="s">
        <v>197</v>
      </c>
      <c r="G6" s="473">
        <f>C6-E6</f>
        <v>-1.4451269671664315</v>
      </c>
      <c r="H6" s="425"/>
      <c r="I6" s="487">
        <f>입력표!M49</f>
        <v>22.86</v>
      </c>
      <c r="J6" s="279"/>
      <c r="K6" s="331"/>
      <c r="L6" s="334"/>
      <c r="M6" s="336"/>
      <c r="N6" s="331"/>
      <c r="O6" s="279"/>
    </row>
    <row r="7" spans="1:15" ht="22.7" customHeight="1" x14ac:dyDescent="0.15">
      <c r="A7" s="279"/>
      <c r="B7" s="430" t="s">
        <v>265</v>
      </c>
      <c r="C7" s="435">
        <f>2.25*D4*(120/1440)</f>
        <v>7.5393749999999997</v>
      </c>
      <c r="D7" s="282"/>
      <c r="E7" s="438" t="s">
        <v>266</v>
      </c>
      <c r="F7" s="431">
        <f>F4*10^(5.46*D4*H4)</f>
        <v>1.623941199367749E-2</v>
      </c>
      <c r="G7" s="432" t="s">
        <v>270</v>
      </c>
      <c r="H7" s="425">
        <f>F4*EXP(4*G4*D4*H4)</f>
        <v>1.6213608216091736E-2</v>
      </c>
      <c r="I7" s="445" t="s">
        <v>221</v>
      </c>
      <c r="J7" s="279"/>
      <c r="K7" s="331"/>
      <c r="L7" s="334"/>
      <c r="M7" s="336"/>
      <c r="N7" s="331"/>
      <c r="O7" s="279"/>
    </row>
    <row r="8" spans="1:15" ht="22.7" customHeight="1" thickBot="1" x14ac:dyDescent="0.2">
      <c r="A8" s="279"/>
      <c r="B8" s="434" t="s">
        <v>272</v>
      </c>
      <c r="C8" s="478">
        <f>ROUND(E4*EXP(-1*G6),3)</f>
        <v>0.53</v>
      </c>
      <c r="D8" s="436" t="s">
        <v>267</v>
      </c>
      <c r="E8" s="450">
        <f>ROUND(SQRT(C7/F7),3)</f>
        <v>21.547000000000001</v>
      </c>
      <c r="F8" s="437" t="s">
        <v>269</v>
      </c>
      <c r="G8" s="439" t="s">
        <v>271</v>
      </c>
      <c r="H8" s="451">
        <f>ROUND(SQRT(C7/H7),3)</f>
        <v>21.564</v>
      </c>
      <c r="I8" s="488">
        <f>입력표!M45</f>
        <v>92</v>
      </c>
      <c r="J8" s="279"/>
      <c r="K8" s="331"/>
      <c r="L8" s="334"/>
      <c r="M8" s="334"/>
      <c r="N8" s="333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4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6">
        <f>장기양수시험!F101</f>
        <v>5.1124120733734086</v>
      </c>
      <c r="D10" s="310" t="s">
        <v>284</v>
      </c>
      <c r="E10" s="482">
        <v>2.3040000000000001E-2</v>
      </c>
      <c r="F10" s="310" t="s">
        <v>299</v>
      </c>
      <c r="G10" s="482">
        <f>ROUND(E4*SQRT(E10/F4),4)</f>
        <v>0.84850000000000003</v>
      </c>
      <c r="H10" s="424"/>
      <c r="I10" s="489">
        <f>입력표!I52</f>
        <v>12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6">
        <f>I6-C10</f>
        <v>17.74758792662659</v>
      </c>
      <c r="D11" s="279"/>
      <c r="E11" s="279"/>
      <c r="F11" s="279"/>
      <c r="G11" s="279"/>
      <c r="H11" s="424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4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5" t="s">
        <v>202</v>
      </c>
      <c r="C13" s="454">
        <f>ROUND(SQRT(6*B16*E16*H16/I16),1)</f>
        <v>163.69999999999999</v>
      </c>
      <c r="D13" s="452"/>
      <c r="E13" s="289" t="s">
        <v>203</v>
      </c>
      <c r="F13" s="428">
        <f>D5</f>
        <v>59.61</v>
      </c>
      <c r="G13" s="289" t="s">
        <v>204</v>
      </c>
      <c r="H13" s="477">
        <v>31.23</v>
      </c>
      <c r="I13" s="290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1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68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565">
        <f>I6-I4</f>
        <v>19.559999999999999</v>
      </c>
      <c r="C16" s="475">
        <f>I8-IF(I4&gt;I10,I4,I10)</f>
        <v>80</v>
      </c>
      <c r="D16" s="474">
        <f>(F13+H13)/2</f>
        <v>45.42</v>
      </c>
      <c r="E16" s="293">
        <f>INT(D16/C16*100000)/100000</f>
        <v>0.56774999999999998</v>
      </c>
      <c r="F16" s="294">
        <v>1440</v>
      </c>
      <c r="G16" s="423">
        <v>780</v>
      </c>
      <c r="H16" s="467">
        <f>INT(G16/F16*10000)/10000</f>
        <v>0.54159999999999997</v>
      </c>
      <c r="I16" s="476">
        <v>1.3470000000000001E-3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33"/>
      <c r="F17" s="279"/>
      <c r="G17" s="279"/>
      <c r="H17" s="424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5" t="s">
        <v>209</v>
      </c>
      <c r="C18" s="454">
        <f>ROUND(3*SQRT(B21*E21*H21/I21),1)</f>
        <v>200.5</v>
      </c>
      <c r="D18" s="296"/>
      <c r="E18" s="296"/>
      <c r="F18" s="296"/>
      <c r="G18" s="296"/>
      <c r="H18" s="426"/>
      <c r="I18" s="297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8"/>
      <c r="C19" s="453"/>
      <c r="D19" s="299"/>
      <c r="E19" s="299"/>
      <c r="F19" s="299"/>
      <c r="G19" s="299"/>
      <c r="H19" s="302"/>
      <c r="I19" s="300"/>
      <c r="J19" s="279"/>
      <c r="K19" s="279"/>
      <c r="L19" s="279"/>
      <c r="M19" s="279"/>
      <c r="N19" s="279"/>
      <c r="O19" s="279"/>
    </row>
    <row r="20" spans="1:15" ht="22.7" customHeight="1" thickBot="1" x14ac:dyDescent="0.2">
      <c r="A20" s="279"/>
      <c r="B20" s="301" t="s">
        <v>205</v>
      </c>
      <c r="C20" s="302" t="s">
        <v>61</v>
      </c>
      <c r="D20" s="302" t="s">
        <v>206</v>
      </c>
      <c r="E20" s="302" t="s">
        <v>210</v>
      </c>
      <c r="F20" s="302" t="s">
        <v>207</v>
      </c>
      <c r="G20" s="302" t="s">
        <v>208</v>
      </c>
      <c r="H20" s="302" t="s">
        <v>24</v>
      </c>
      <c r="I20" s="303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4">
        <f t="shared" ref="B21:I21" si="0">B16</f>
        <v>19.559999999999999</v>
      </c>
      <c r="C21" s="322">
        <f t="shared" si="0"/>
        <v>80</v>
      </c>
      <c r="D21" s="305">
        <f t="shared" si="0"/>
        <v>45.42</v>
      </c>
      <c r="E21" s="474">
        <f t="shared" si="0"/>
        <v>0.56774999999999998</v>
      </c>
      <c r="F21" s="305">
        <f t="shared" si="0"/>
        <v>1440</v>
      </c>
      <c r="G21" s="305">
        <f>G16</f>
        <v>780</v>
      </c>
      <c r="H21" s="322">
        <f t="shared" si="0"/>
        <v>0.54159999999999997</v>
      </c>
      <c r="I21" s="306">
        <f t="shared" si="0"/>
        <v>1.3470000000000001E-3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4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5" t="s">
        <v>211</v>
      </c>
      <c r="C23" s="454">
        <f>ROUND(SQRT((2.25*D26*H26)/I26),1)</f>
        <v>202.7</v>
      </c>
      <c r="D23" s="452"/>
      <c r="E23" s="288"/>
      <c r="F23" s="288"/>
      <c r="G23" s="288"/>
      <c r="H23" s="427"/>
      <c r="I23" s="307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 x14ac:dyDescent="0.2">
      <c r="A25" s="279"/>
      <c r="B25" s="291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2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8">
        <f t="shared" ref="B26:I26" si="1">B21</f>
        <v>19.559999999999999</v>
      </c>
      <c r="C26" s="294">
        <f t="shared" si="1"/>
        <v>80</v>
      </c>
      <c r="D26" s="422">
        <f t="shared" si="1"/>
        <v>45.42</v>
      </c>
      <c r="E26" s="293">
        <f t="shared" si="1"/>
        <v>0.56774999999999998</v>
      </c>
      <c r="F26" s="294">
        <f t="shared" si="1"/>
        <v>1440</v>
      </c>
      <c r="G26" s="294">
        <f t="shared" si="1"/>
        <v>780</v>
      </c>
      <c r="H26" s="474">
        <f>INT(G16/F16*10000)/10000</f>
        <v>0.54159999999999997</v>
      </c>
      <c r="I26" s="309">
        <f t="shared" si="1"/>
        <v>1.3470000000000001E-3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0" t="s">
        <v>216</v>
      </c>
      <c r="C27" s="311">
        <f>D16</f>
        <v>45.42</v>
      </c>
      <c r="D27" s="318">
        <f>(C27/C16)*(100/86400)</f>
        <v>6.5711805555555554E-4</v>
      </c>
      <c r="E27" s="279" t="s">
        <v>217</v>
      </c>
      <c r="F27" s="279"/>
      <c r="G27" s="279"/>
      <c r="H27" s="424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0" t="s">
        <v>218</v>
      </c>
      <c r="C28" s="279">
        <f>I21</f>
        <v>1.3470000000000001E-3</v>
      </c>
      <c r="D28" s="279">
        <f>C27/C16*100/86400</f>
        <v>6.5711805555555554E-4</v>
      </c>
      <c r="E28" s="279"/>
      <c r="F28" s="279"/>
      <c r="G28" s="279"/>
      <c r="H28" s="424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219</v>
      </c>
      <c r="C29" s="328">
        <f>(C13+C18+C23)/3</f>
        <v>188.96666666666667</v>
      </c>
      <c r="D29" s="279"/>
      <c r="E29" s="493">
        <f>(C13+C18)/2</f>
        <v>182.1</v>
      </c>
      <c r="F29" s="491">
        <f>MAX(C13,C18)</f>
        <v>200.5</v>
      </c>
      <c r="G29" s="492">
        <f>ROUND(C4/(G4*F29^2*I16),3)</f>
        <v>7.36</v>
      </c>
      <c r="H29" s="424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4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4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4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4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4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4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4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4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4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4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4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4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4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4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4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4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4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4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4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4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4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4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4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4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4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4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4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4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4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4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4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4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4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4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4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4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4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4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4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4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4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4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4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4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4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4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4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4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4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4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4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4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4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4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4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4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4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4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4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4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4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4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4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4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4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4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4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4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4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4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4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4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4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4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4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4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4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4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4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4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4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4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4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4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758</v>
      </c>
    </row>
    <row r="3" spans="1:2" ht="20.100000000000001" customHeight="1" x14ac:dyDescent="0.15">
      <c r="A3" s="315" t="s">
        <v>108</v>
      </c>
      <c r="B3" s="316">
        <f>단계양수시험!G31</f>
        <v>8.18</v>
      </c>
    </row>
    <row r="4" spans="1:2" ht="20.100000000000001" customHeight="1" x14ac:dyDescent="0.15">
      <c r="A4" s="315" t="s">
        <v>109</v>
      </c>
      <c r="B4" s="313">
        <f>단계양수시험!G46</f>
        <v>17.399999999999999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1253.7179254358145</v>
      </c>
    </row>
    <row r="8" spans="1:2" ht="20.100000000000001" customHeight="1" x14ac:dyDescent="0.15">
      <c r="A8" s="315" t="s">
        <v>112</v>
      </c>
      <c r="B8" s="313">
        <f>INT(B7)</f>
        <v>1253</v>
      </c>
    </row>
    <row r="9" spans="1:2" ht="24.75" customHeight="1" x14ac:dyDescent="0.15"/>
    <row r="10" spans="1:2" ht="24.75" customHeight="1" x14ac:dyDescent="0.15"/>
    <row r="11" spans="1:2" x14ac:dyDescent="0.15">
      <c r="B11" s="458">
        <f>B8/입력표!$D$23</f>
        <v>0.98120595144870792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98" t="s">
        <v>192</v>
      </c>
      <c r="B4" s="598"/>
      <c r="C4" s="205" t="str">
        <f>입력표!I44</f>
        <v xml:space="preserve"> 2021년 예산군 대용량지하수 시설개량사업 지하수영향조사</v>
      </c>
      <c r="D4" s="206"/>
      <c r="E4" s="206"/>
      <c r="F4" s="206"/>
      <c r="G4" s="206"/>
      <c r="H4" s="207"/>
      <c r="I4" s="208"/>
      <c r="P4" s="3">
        <v>1</v>
      </c>
      <c r="Q4" s="64">
        <v>-7.9999999999999946E-2</v>
      </c>
      <c r="R4" s="14">
        <f>B12</f>
        <v>758</v>
      </c>
      <c r="S4" s="3">
        <f>$R$4</f>
        <v>758</v>
      </c>
      <c r="T4" s="337">
        <v>40.210420662486094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13.474435895486213</v>
      </c>
      <c r="Z4" s="13">
        <f>Z22</f>
        <v>12.468097896974726</v>
      </c>
      <c r="AA4" s="10">
        <f>$Z$4</f>
        <v>12.468097896974726</v>
      </c>
      <c r="AB4" s="10">
        <f>X4</f>
        <v>1</v>
      </c>
      <c r="AC4" s="10">
        <f>Y4-AA4</f>
        <v>1.0063379985114871</v>
      </c>
      <c r="AD4" s="78">
        <f>INT((AC4-AE4)*100)/100</f>
        <v>1.08</v>
      </c>
      <c r="AE4" s="6">
        <f>Q4</f>
        <v>-7.9999999999999946E-2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98" t="s">
        <v>45</v>
      </c>
      <c r="B5" s="598"/>
      <c r="C5" s="209" t="str">
        <f>입력표!I45</f>
        <v xml:space="preserve"> 노전리 744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758</v>
      </c>
      <c r="T5" s="3">
        <f>$T4</f>
        <v>40.210420662486094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14.51305984676895</v>
      </c>
      <c r="AA5" s="10">
        <f t="shared" ref="AA5:AA23" si="5">$Z$4</f>
        <v>12.468097896974726</v>
      </c>
      <c r="AB5" s="10">
        <f t="shared" ref="AB5:AB43" si="6">X5</f>
        <v>2</v>
      </c>
      <c r="AC5" s="10">
        <f t="shared" ref="AC5:AC43" si="7">Y5-AA5</f>
        <v>2.0449619497942244</v>
      </c>
      <c r="AD5" s="78">
        <f t="shared" ref="AD5:AD16" si="8">INT((AC5-AE5)*100)/100</f>
        <v>2.04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98" t="s">
        <v>46</v>
      </c>
      <c r="B6" s="598"/>
      <c r="C6" s="213" t="str">
        <f>입력표!I46</f>
        <v xml:space="preserve"> 충청남도 예산군 광시면 노전리 744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758</v>
      </c>
      <c r="T6" s="3">
        <f t="shared" ref="T6:T51" si="10">$T5</f>
        <v>40.210420662486094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15.120615910620192</v>
      </c>
      <c r="AA6" s="10">
        <f t="shared" si="5"/>
        <v>12.468097896974726</v>
      </c>
      <c r="AB6" s="10">
        <f t="shared" si="6"/>
        <v>3</v>
      </c>
      <c r="AC6" s="10">
        <f t="shared" si="7"/>
        <v>2.6525180136454658</v>
      </c>
      <c r="AD6" s="78">
        <f t="shared" si="8"/>
        <v>2.65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98" t="s">
        <v>165</v>
      </c>
      <c r="B7" s="598"/>
      <c r="C7" s="214" t="str">
        <f>입력표!I47</f>
        <v xml:space="preserve"> (주)현윤이앤씨</v>
      </c>
      <c r="D7" s="215"/>
      <c r="E7" s="206"/>
      <c r="F7" s="216"/>
      <c r="G7" s="217" t="str">
        <f>입력표!I49</f>
        <v xml:space="preserve"> 노전리 744</v>
      </c>
      <c r="H7" s="218"/>
      <c r="I7" s="219"/>
      <c r="P7" s="3">
        <v>4</v>
      </c>
      <c r="Q7" s="64"/>
      <c r="S7" s="3">
        <f t="shared" si="3"/>
        <v>758</v>
      </c>
      <c r="T7" s="3">
        <f t="shared" si="10"/>
        <v>40.210420662486094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15.551683798051691</v>
      </c>
      <c r="AA7" s="10">
        <f t="shared" si="5"/>
        <v>12.468097896974726</v>
      </c>
      <c r="AB7" s="10">
        <f t="shared" si="6"/>
        <v>4</v>
      </c>
      <c r="AC7" s="10">
        <f t="shared" si="7"/>
        <v>3.0835859010769653</v>
      </c>
      <c r="AD7" s="78">
        <f t="shared" si="8"/>
        <v>3.08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99">
        <f>입력표!I48</f>
        <v>15</v>
      </c>
      <c r="D8" s="600"/>
      <c r="E8" s="601"/>
      <c r="F8" s="221" t="s">
        <v>6</v>
      </c>
      <c r="G8" s="217" t="str">
        <f>G7</f>
        <v xml:space="preserve"> 노전리 744</v>
      </c>
      <c r="H8" s="218"/>
      <c r="I8" s="222"/>
      <c r="K8" s="369"/>
      <c r="P8" s="3">
        <v>5</v>
      </c>
      <c r="Q8" s="64"/>
      <c r="S8" s="3">
        <f t="shared" si="3"/>
        <v>758</v>
      </c>
      <c r="T8" s="3">
        <f t="shared" si="10"/>
        <v>40.210420662486094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15.886046027992526</v>
      </c>
      <c r="AA8" s="10">
        <f t="shared" si="5"/>
        <v>12.468097896974726</v>
      </c>
      <c r="AB8" s="10">
        <f t="shared" si="6"/>
        <v>5</v>
      </c>
      <c r="AC8" s="10">
        <f t="shared" si="7"/>
        <v>3.4179481310178002</v>
      </c>
      <c r="AD8" s="78">
        <f t="shared" si="8"/>
        <v>3.41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602">
        <f>입력표!M44</f>
        <v>250</v>
      </c>
      <c r="E9" s="602"/>
      <c r="F9" s="204" t="s">
        <v>8</v>
      </c>
      <c r="G9" s="604">
        <f>입력표!M45</f>
        <v>92</v>
      </c>
      <c r="H9" s="604"/>
      <c r="I9" s="204"/>
      <c r="P9" s="3">
        <v>10</v>
      </c>
      <c r="Q9" s="64"/>
      <c r="S9" s="3">
        <f t="shared" si="3"/>
        <v>758</v>
      </c>
      <c r="T9" s="3">
        <f t="shared" si="10"/>
        <v>40.210420662486094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16.924669979275265</v>
      </c>
      <c r="AA9" s="10">
        <f t="shared" si="5"/>
        <v>12.468097896974726</v>
      </c>
      <c r="AB9" s="10">
        <f t="shared" si="6"/>
        <v>10</v>
      </c>
      <c r="AC9" s="10">
        <f t="shared" si="7"/>
        <v>4.4565720823005393</v>
      </c>
      <c r="AD9" s="78">
        <f t="shared" si="8"/>
        <v>4.45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95">
        <f>입력표!M48</f>
        <v>3.3</v>
      </c>
      <c r="E10" s="596"/>
      <c r="F10" s="224" t="s">
        <v>0</v>
      </c>
      <c r="G10" s="605" t="s">
        <v>0</v>
      </c>
      <c r="H10" s="605"/>
      <c r="I10" s="212"/>
      <c r="P10" s="3">
        <v>15</v>
      </c>
      <c r="Q10" s="64"/>
      <c r="S10" s="3">
        <f t="shared" si="3"/>
        <v>758</v>
      </c>
      <c r="T10" s="3">
        <f t="shared" si="10"/>
        <v>40.210420662486094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17.532226043126506</v>
      </c>
      <c r="AA10" s="10">
        <f t="shared" si="5"/>
        <v>12.468097896974726</v>
      </c>
      <c r="AB10" s="10">
        <f t="shared" si="6"/>
        <v>15</v>
      </c>
      <c r="AC10" s="10">
        <f t="shared" si="7"/>
        <v>5.0641281461517806</v>
      </c>
      <c r="AD10" s="78">
        <f t="shared" si="8"/>
        <v>5.0599999999999996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97" t="s">
        <v>172</v>
      </c>
      <c r="E11" s="597"/>
      <c r="F11" s="225" t="s">
        <v>173</v>
      </c>
      <c r="G11" s="606" t="s">
        <v>174</v>
      </c>
      <c r="H11" s="606"/>
      <c r="I11" s="204" t="s">
        <v>164</v>
      </c>
      <c r="J11" s="368">
        <f>G12-J13</f>
        <v>0.12000000000000011</v>
      </c>
      <c r="P11" s="3">
        <v>20</v>
      </c>
      <c r="Q11" s="64"/>
      <c r="S11" s="3">
        <f t="shared" si="3"/>
        <v>758</v>
      </c>
      <c r="T11" s="3">
        <f t="shared" si="10"/>
        <v>40.210420662486094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17.963293930558006</v>
      </c>
      <c r="AA11" s="10">
        <f t="shared" si="5"/>
        <v>12.468097896974726</v>
      </c>
      <c r="AB11" s="10">
        <f t="shared" si="6"/>
        <v>20</v>
      </c>
      <c r="AC11" s="10">
        <f t="shared" si="7"/>
        <v>5.4951960335832801</v>
      </c>
      <c r="AD11" s="78">
        <f t="shared" si="8"/>
        <v>5.49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758</v>
      </c>
      <c r="C12" s="201">
        <v>0.41736111111111113</v>
      </c>
      <c r="D12" s="603">
        <v>1</v>
      </c>
      <c r="E12" s="603"/>
      <c r="F12" s="202">
        <f>G12+$D$10</f>
        <v>4.38</v>
      </c>
      <c r="G12" s="607">
        <f>AD4</f>
        <v>1.08</v>
      </c>
      <c r="H12" s="607"/>
      <c r="I12" s="204" t="s">
        <v>12</v>
      </c>
      <c r="J12" s="8"/>
      <c r="P12" s="3">
        <v>25</v>
      </c>
      <c r="Q12" s="64"/>
      <c r="S12" s="3">
        <f t="shared" si="3"/>
        <v>758</v>
      </c>
      <c r="T12" s="3">
        <f t="shared" si="10"/>
        <v>40.210420662486094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18.297656160498846</v>
      </c>
      <c r="AA12" s="10">
        <f t="shared" si="5"/>
        <v>12.468097896974726</v>
      </c>
      <c r="AB12" s="10">
        <f t="shared" si="6"/>
        <v>25</v>
      </c>
      <c r="AC12" s="10">
        <f t="shared" si="7"/>
        <v>5.8295582635241203</v>
      </c>
      <c r="AD12" s="78">
        <f t="shared" si="8"/>
        <v>5.82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603">
        <v>2</v>
      </c>
      <c r="E13" s="603"/>
      <c r="F13" s="202">
        <f t="shared" ref="F13:F28" si="13">G13+$D$10</f>
        <v>5.34</v>
      </c>
      <c r="G13" s="607">
        <f t="shared" ref="G13:G51" si="14">AD5</f>
        <v>2.04</v>
      </c>
      <c r="H13" s="607"/>
      <c r="I13" s="203"/>
      <c r="J13" s="8">
        <f>G13-G12</f>
        <v>0.96</v>
      </c>
      <c r="P13" s="3">
        <v>30</v>
      </c>
      <c r="Q13" s="64"/>
      <c r="S13" s="3">
        <f t="shared" si="3"/>
        <v>758</v>
      </c>
      <c r="T13" s="3">
        <f t="shared" si="10"/>
        <v>40.210420662486094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18.570849994409244</v>
      </c>
      <c r="AA13" s="10">
        <f t="shared" si="5"/>
        <v>12.468097896974726</v>
      </c>
      <c r="AB13" s="10">
        <f t="shared" si="6"/>
        <v>30</v>
      </c>
      <c r="AC13" s="10">
        <f t="shared" si="7"/>
        <v>6.102752097434518</v>
      </c>
      <c r="AD13" s="78">
        <f t="shared" si="8"/>
        <v>6.1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603">
        <v>3</v>
      </c>
      <c r="E14" s="603"/>
      <c r="F14" s="202">
        <f t="shared" si="13"/>
        <v>5.9499999999999993</v>
      </c>
      <c r="G14" s="607">
        <f t="shared" si="14"/>
        <v>2.65</v>
      </c>
      <c r="H14" s="607"/>
      <c r="I14" s="203"/>
      <c r="J14" s="8">
        <f t="shared" ref="J14:J51" si="15">G14-G13</f>
        <v>0.60999999999999988</v>
      </c>
      <c r="Q14" s="64"/>
      <c r="S14" s="3">
        <f t="shared" si="3"/>
        <v>758</v>
      </c>
      <c r="T14" s="3">
        <f t="shared" si="10"/>
        <v>40.210420662486094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18.801832089793042</v>
      </c>
      <c r="AA14" s="10">
        <f t="shared" si="5"/>
        <v>12.468097896974726</v>
      </c>
      <c r="AB14" s="10">
        <f t="shared" si="6"/>
        <v>35</v>
      </c>
      <c r="AC14" s="10">
        <f t="shared" si="7"/>
        <v>6.3337341928183157</v>
      </c>
      <c r="AD14" s="78">
        <f t="shared" si="8"/>
        <v>6.33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603">
        <v>4</v>
      </c>
      <c r="E15" s="603"/>
      <c r="F15" s="202">
        <f t="shared" si="13"/>
        <v>6.38</v>
      </c>
      <c r="G15" s="607">
        <f t="shared" si="14"/>
        <v>3.08</v>
      </c>
      <c r="H15" s="607"/>
      <c r="I15" s="203"/>
      <c r="J15" s="8">
        <f t="shared" si="15"/>
        <v>0.43000000000000016</v>
      </c>
      <c r="Q15" s="64"/>
      <c r="S15" s="3">
        <f t="shared" si="3"/>
        <v>758</v>
      </c>
      <c r="T15" s="3">
        <f t="shared" si="10"/>
        <v>40.210420662486094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19.001917881840743</v>
      </c>
      <c r="AA15" s="10">
        <f t="shared" si="5"/>
        <v>12.468097896974726</v>
      </c>
      <c r="AB15" s="10">
        <f t="shared" si="6"/>
        <v>40</v>
      </c>
      <c r="AC15" s="10">
        <f t="shared" si="7"/>
        <v>6.5338199848660174</v>
      </c>
      <c r="AD15" s="78">
        <f t="shared" si="8"/>
        <v>6.53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603">
        <v>5</v>
      </c>
      <c r="E16" s="603"/>
      <c r="F16" s="202">
        <f t="shared" si="13"/>
        <v>6.71</v>
      </c>
      <c r="G16" s="607">
        <f t="shared" si="14"/>
        <v>3.41</v>
      </c>
      <c r="H16" s="607"/>
      <c r="I16" s="203"/>
      <c r="J16" s="8">
        <f t="shared" si="15"/>
        <v>0.33000000000000007</v>
      </c>
      <c r="L16" s="11" t="s">
        <v>94</v>
      </c>
      <c r="M16" s="11" t="s">
        <v>95</v>
      </c>
      <c r="S16" s="3">
        <f t="shared" si="3"/>
        <v>758</v>
      </c>
      <c r="T16" s="3">
        <f t="shared" si="10"/>
        <v>40.210420662486094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19.178406058260485</v>
      </c>
      <c r="AA16" s="10">
        <f t="shared" si="5"/>
        <v>12.468097896974726</v>
      </c>
      <c r="AB16" s="10">
        <f t="shared" si="6"/>
        <v>45</v>
      </c>
      <c r="AC16" s="10">
        <f t="shared" si="7"/>
        <v>6.7103081612857594</v>
      </c>
      <c r="AD16" s="78">
        <f t="shared" si="8"/>
        <v>6.71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603">
        <v>10</v>
      </c>
      <c r="E17" s="603"/>
      <c r="F17" s="202">
        <f t="shared" si="13"/>
        <v>7.75</v>
      </c>
      <c r="G17" s="607">
        <f t="shared" si="14"/>
        <v>4.45</v>
      </c>
      <c r="H17" s="607"/>
      <c r="I17" s="203"/>
      <c r="J17" s="8">
        <f t="shared" si="15"/>
        <v>1.04</v>
      </c>
      <c r="K17" s="29">
        <f>D12</f>
        <v>1</v>
      </c>
      <c r="L17" s="3">
        <f>INT(B12/1440*10000)/10000</f>
        <v>0.52629999999999999</v>
      </c>
      <c r="M17" s="3">
        <f>K17*L17</f>
        <v>0.52629999999999999</v>
      </c>
      <c r="N17" s="3">
        <f>INT((8*2.54/2/100)^2*3.14159*100000)/100000</f>
        <v>3.2419999999999997E-2</v>
      </c>
      <c r="O17" s="3">
        <f>INT(M17/N17*100)/100</f>
        <v>16.23</v>
      </c>
      <c r="P17" s="13">
        <f>INT((G12-O17)*100)/100</f>
        <v>-15.15</v>
      </c>
      <c r="S17" s="3">
        <f t="shared" si="3"/>
        <v>758</v>
      </c>
      <c r="T17" s="3">
        <f t="shared" si="10"/>
        <v>40.210420662486094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19.33628011178158</v>
      </c>
      <c r="AA17" s="10">
        <f t="shared" si="5"/>
        <v>12.468097896974726</v>
      </c>
      <c r="AB17" s="10">
        <f t="shared" si="6"/>
        <v>50</v>
      </c>
      <c r="AC17" s="10">
        <f t="shared" si="7"/>
        <v>6.8681822148068541</v>
      </c>
      <c r="AD17" s="78">
        <f t="shared" ref="AD17:AD22" si="16">INT(AC17*100)/100</f>
        <v>6.86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603">
        <v>15</v>
      </c>
      <c r="E18" s="603"/>
      <c r="F18" s="202">
        <f t="shared" si="13"/>
        <v>8.36</v>
      </c>
      <c r="G18" s="607">
        <f t="shared" si="14"/>
        <v>5.0599999999999996</v>
      </c>
      <c r="H18" s="607"/>
      <c r="I18" s="203"/>
      <c r="J18" s="8">
        <f t="shared" si="15"/>
        <v>0.60999999999999943</v>
      </c>
      <c r="K18" s="29">
        <f>D13</f>
        <v>2</v>
      </c>
      <c r="L18" s="3">
        <f>L17</f>
        <v>0.52629999999999999</v>
      </c>
      <c r="M18" s="3">
        <f t="shared" ref="M18:M32" si="17">K18*L18</f>
        <v>1.0526</v>
      </c>
      <c r="N18" s="3">
        <f>N17</f>
        <v>3.2419999999999997E-2</v>
      </c>
      <c r="O18" s="3">
        <f>INT(M18/N18*100)/100</f>
        <v>32.46</v>
      </c>
      <c r="P18" s="13">
        <f>INT((G13-O18)*100*0.98)/100</f>
        <v>-29.82</v>
      </c>
      <c r="S18" s="3">
        <f t="shared" si="3"/>
        <v>758</v>
      </c>
      <c r="T18" s="3">
        <f t="shared" si="10"/>
        <v>40.210420662486094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19.479094564934041</v>
      </c>
      <c r="AA18" s="10">
        <f t="shared" si="5"/>
        <v>12.468097896974726</v>
      </c>
      <c r="AB18" s="10">
        <f t="shared" si="6"/>
        <v>55</v>
      </c>
      <c r="AC18" s="10">
        <f t="shared" si="7"/>
        <v>7.010996667959315</v>
      </c>
      <c r="AD18" s="78">
        <f t="shared" si="16"/>
        <v>7.01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603">
        <v>20</v>
      </c>
      <c r="E19" s="603"/>
      <c r="F19" s="202">
        <f t="shared" si="13"/>
        <v>8.7899999999999991</v>
      </c>
      <c r="G19" s="607">
        <f t="shared" si="14"/>
        <v>5.49</v>
      </c>
      <c r="H19" s="607"/>
      <c r="I19" s="203"/>
      <c r="J19" s="8">
        <f t="shared" si="15"/>
        <v>0.4300000000000006</v>
      </c>
      <c r="K19" s="29">
        <f t="shared" ref="K19:K32" si="18">D14</f>
        <v>3</v>
      </c>
      <c r="L19" s="3">
        <f>L18</f>
        <v>0.52629999999999999</v>
      </c>
      <c r="M19" s="3">
        <f t="shared" si="17"/>
        <v>1.5789</v>
      </c>
      <c r="N19" s="3">
        <f t="shared" ref="N19:N32" si="19">N18</f>
        <v>3.2419999999999997E-2</v>
      </c>
      <c r="O19" s="3">
        <f>INT(M19/N19*100)/100</f>
        <v>48.7</v>
      </c>
      <c r="P19" s="13">
        <f>INT((G14-O19)*100*0.95)/100</f>
        <v>-43.75</v>
      </c>
      <c r="S19" s="3">
        <f t="shared" si="3"/>
        <v>758</v>
      </c>
      <c r="T19" s="3">
        <f t="shared" si="10"/>
        <v>40.210420662486094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19.609473945691985</v>
      </c>
      <c r="AA19" s="10">
        <f t="shared" si="5"/>
        <v>12.468097896974726</v>
      </c>
      <c r="AB19" s="10">
        <f t="shared" si="6"/>
        <v>60</v>
      </c>
      <c r="AC19" s="10">
        <f t="shared" si="7"/>
        <v>7.1413760487172588</v>
      </c>
      <c r="AD19" s="78">
        <f t="shared" si="16"/>
        <v>7.14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603">
        <v>25</v>
      </c>
      <c r="E20" s="603"/>
      <c r="F20" s="202">
        <f t="shared" si="13"/>
        <v>9.120000000000001</v>
      </c>
      <c r="G20" s="607">
        <f t="shared" si="14"/>
        <v>5.82</v>
      </c>
      <c r="H20" s="607"/>
      <c r="I20" s="203"/>
      <c r="J20" s="8">
        <f t="shared" si="15"/>
        <v>0.33000000000000007</v>
      </c>
      <c r="K20" s="29">
        <f t="shared" si="18"/>
        <v>4</v>
      </c>
      <c r="L20" s="3">
        <f>L19</f>
        <v>0.52629999999999999</v>
      </c>
      <c r="M20" s="3">
        <f t="shared" si="17"/>
        <v>2.1052</v>
      </c>
      <c r="N20" s="3">
        <f t="shared" si="19"/>
        <v>3.2419999999999997E-2</v>
      </c>
      <c r="O20" s="3">
        <f>INT(M20/N20*100)/100</f>
        <v>64.930000000000007</v>
      </c>
      <c r="P20" s="13">
        <f>INT((G15-O20)*100*0.91)/100</f>
        <v>-56.29</v>
      </c>
      <c r="S20" s="3">
        <f t="shared" si="3"/>
        <v>758</v>
      </c>
      <c r="T20" s="3">
        <f t="shared" si="10"/>
        <v>40.210420662486094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19.943836175632821</v>
      </c>
      <c r="AA20" s="10">
        <f t="shared" si="5"/>
        <v>12.468097896974726</v>
      </c>
      <c r="AB20" s="10">
        <f t="shared" si="6"/>
        <v>75</v>
      </c>
      <c r="AC20" s="10">
        <f t="shared" si="7"/>
        <v>7.4757382786580955</v>
      </c>
      <c r="AD20" s="78">
        <f t="shared" si="16"/>
        <v>7.47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603">
        <v>30</v>
      </c>
      <c r="E21" s="603"/>
      <c r="F21" s="202">
        <f t="shared" si="13"/>
        <v>9.3999999999999986</v>
      </c>
      <c r="G21" s="607">
        <f t="shared" si="14"/>
        <v>6.1</v>
      </c>
      <c r="H21" s="607"/>
      <c r="I21" s="203"/>
      <c r="J21" s="8">
        <f t="shared" si="15"/>
        <v>0.27999999999999936</v>
      </c>
      <c r="K21" s="29">
        <f t="shared" si="18"/>
        <v>5</v>
      </c>
      <c r="L21" s="29">
        <f>L20</f>
        <v>0.52629999999999999</v>
      </c>
      <c r="M21" s="3">
        <f t="shared" si="17"/>
        <v>2.6315</v>
      </c>
      <c r="N21" s="3">
        <f t="shared" si="19"/>
        <v>3.2419999999999997E-2</v>
      </c>
      <c r="O21" s="29">
        <f>INT(M21/N21*100)/100</f>
        <v>81.16</v>
      </c>
      <c r="P21" s="13">
        <f>INT((G16-O21)*100*0.86)/100</f>
        <v>-66.87</v>
      </c>
      <c r="S21" s="3">
        <f t="shared" si="3"/>
        <v>758</v>
      </c>
      <c r="T21" s="3">
        <f t="shared" si="10"/>
        <v>40.210420662486094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20.217030009543226</v>
      </c>
      <c r="AA21" s="10">
        <f t="shared" si="5"/>
        <v>12.468097896974726</v>
      </c>
      <c r="AB21" s="10">
        <f t="shared" si="6"/>
        <v>90</v>
      </c>
      <c r="AC21" s="10">
        <f t="shared" si="7"/>
        <v>7.7489321125685002</v>
      </c>
      <c r="AD21" s="78">
        <f t="shared" si="16"/>
        <v>7.74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603">
        <v>35</v>
      </c>
      <c r="E22" s="603"/>
      <c r="F22" s="202">
        <f t="shared" si="13"/>
        <v>9.629999999999999</v>
      </c>
      <c r="G22" s="607">
        <f t="shared" si="14"/>
        <v>6.33</v>
      </c>
      <c r="H22" s="607"/>
      <c r="I22" s="204"/>
      <c r="J22" s="8">
        <f t="shared" si="15"/>
        <v>0.23000000000000043</v>
      </c>
      <c r="K22" s="29">
        <f t="shared" si="18"/>
        <v>10</v>
      </c>
      <c r="L22" s="29">
        <f t="shared" ref="L22:L32" si="20">L21</f>
        <v>0.52629999999999999</v>
      </c>
      <c r="M22" s="3">
        <f t="shared" si="17"/>
        <v>5.2629999999999999</v>
      </c>
      <c r="N22" s="3">
        <f t="shared" si="19"/>
        <v>3.2419999999999997E-2</v>
      </c>
      <c r="O22" s="29">
        <f t="shared" ref="O22:O30" si="21">INT(M22/N22*100)/100</f>
        <v>162.33000000000001</v>
      </c>
      <c r="P22" s="13">
        <f>INT((G17-O22)*100*0.8)/100</f>
        <v>-126.31</v>
      </c>
      <c r="S22" s="3">
        <f t="shared" si="3"/>
        <v>758</v>
      </c>
      <c r="T22" s="3">
        <f t="shared" si="10"/>
        <v>40.210420662486094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20.44801210492702</v>
      </c>
      <c r="Z22" s="10">
        <f>Y23-Z23</f>
        <v>12.468097896974726</v>
      </c>
      <c r="AA22" s="10">
        <f t="shared" si="5"/>
        <v>12.468097896974726</v>
      </c>
      <c r="AB22" s="10">
        <f t="shared" si="6"/>
        <v>105</v>
      </c>
      <c r="AC22" s="10">
        <f t="shared" si="7"/>
        <v>7.9799142079522944</v>
      </c>
      <c r="AD22" s="78">
        <f t="shared" si="16"/>
        <v>7.97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603">
        <v>40</v>
      </c>
      <c r="E23" s="603"/>
      <c r="F23" s="202">
        <f t="shared" si="13"/>
        <v>9.83</v>
      </c>
      <c r="G23" s="607">
        <f t="shared" si="14"/>
        <v>6.53</v>
      </c>
      <c r="H23" s="607"/>
      <c r="I23" s="204"/>
      <c r="J23" s="8">
        <f t="shared" si="15"/>
        <v>0.20000000000000018</v>
      </c>
      <c r="K23" s="29">
        <f t="shared" si="18"/>
        <v>15</v>
      </c>
      <c r="L23" s="29">
        <f t="shared" si="20"/>
        <v>0.52629999999999999</v>
      </c>
      <c r="M23" s="3">
        <f t="shared" si="17"/>
        <v>7.8944999999999999</v>
      </c>
      <c r="N23" s="3">
        <f t="shared" si="19"/>
        <v>3.2419999999999997E-2</v>
      </c>
      <c r="O23" s="29">
        <f t="shared" si="21"/>
        <v>243.5</v>
      </c>
      <c r="P23" s="13">
        <f t="shared" ref="P23:P32" si="22">INT((G18-O23)*100)/100</f>
        <v>-238.44</v>
      </c>
      <c r="S23" s="3">
        <f t="shared" si="3"/>
        <v>758</v>
      </c>
      <c r="T23" s="3">
        <f t="shared" si="10"/>
        <v>40.210420662486094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20.648097896974726</v>
      </c>
      <c r="Z23" s="10">
        <f>입력표!B20</f>
        <v>8.18</v>
      </c>
      <c r="AA23" s="10">
        <f t="shared" si="5"/>
        <v>12.468097896974726</v>
      </c>
      <c r="AB23" s="10">
        <f t="shared" si="6"/>
        <v>120</v>
      </c>
      <c r="AC23" s="10">
        <f t="shared" si="7"/>
        <v>8.18</v>
      </c>
      <c r="AD23" s="78">
        <f>INT((AC$3+AE23)*100)/100</f>
        <v>8.18</v>
      </c>
      <c r="AE23" s="10">
        <f>AG$23*AF23</f>
        <v>8.18</v>
      </c>
      <c r="AF23" s="10">
        <v>1</v>
      </c>
      <c r="AG23" s="10">
        <f>AC23-AC3</f>
        <v>8.18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603">
        <v>45</v>
      </c>
      <c r="E24" s="603"/>
      <c r="F24" s="202">
        <f t="shared" si="13"/>
        <v>10.01</v>
      </c>
      <c r="G24" s="607">
        <f t="shared" si="14"/>
        <v>6.71</v>
      </c>
      <c r="H24" s="607"/>
      <c r="I24" s="204"/>
      <c r="J24" s="8">
        <f t="shared" si="15"/>
        <v>0.17999999999999972</v>
      </c>
      <c r="K24" s="29">
        <f t="shared" si="18"/>
        <v>20</v>
      </c>
      <c r="L24" s="29">
        <f t="shared" si="20"/>
        <v>0.52629999999999999</v>
      </c>
      <c r="M24" s="3">
        <f t="shared" si="17"/>
        <v>10.526</v>
      </c>
      <c r="N24" s="3">
        <f t="shared" si="19"/>
        <v>3.2419999999999997E-2</v>
      </c>
      <c r="O24" s="29">
        <f t="shared" si="21"/>
        <v>324.67</v>
      </c>
      <c r="P24" s="13">
        <f t="shared" si="22"/>
        <v>-319.18</v>
      </c>
      <c r="R24" s="14">
        <f>B32</f>
        <v>911</v>
      </c>
      <c r="S24" s="3">
        <f>$R$24</f>
        <v>911</v>
      </c>
      <c r="T24" s="3">
        <f t="shared" si="10"/>
        <v>40.210420662486094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24.960000209818016</v>
      </c>
      <c r="Z24" s="10">
        <f>Z27</f>
        <v>15.154120849290958</v>
      </c>
      <c r="AA24" s="10">
        <f>$Z$24</f>
        <v>15.154120849290958</v>
      </c>
      <c r="AB24" s="10">
        <f t="shared" si="6"/>
        <v>130</v>
      </c>
      <c r="AC24" s="10">
        <f t="shared" si="7"/>
        <v>9.805879360527058</v>
      </c>
      <c r="AD24" s="78">
        <f>INT((AC$23+AE24)*100)/100</f>
        <v>9.81</v>
      </c>
      <c r="AE24" s="10">
        <f>AF24*AG$28</f>
        <v>1.6380000000000001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603">
        <v>50</v>
      </c>
      <c r="E25" s="603"/>
      <c r="F25" s="202">
        <f t="shared" si="13"/>
        <v>10.16</v>
      </c>
      <c r="G25" s="607">
        <f t="shared" si="14"/>
        <v>6.86</v>
      </c>
      <c r="H25" s="607"/>
      <c r="I25" s="204"/>
      <c r="J25" s="8">
        <f t="shared" si="15"/>
        <v>0.15000000000000036</v>
      </c>
      <c r="K25" s="29">
        <f t="shared" si="18"/>
        <v>25</v>
      </c>
      <c r="L25" s="29">
        <f t="shared" si="20"/>
        <v>0.52629999999999999</v>
      </c>
      <c r="M25" s="3">
        <f t="shared" si="17"/>
        <v>13.157499999999999</v>
      </c>
      <c r="N25" s="3">
        <f t="shared" si="19"/>
        <v>3.2419999999999997E-2</v>
      </c>
      <c r="O25" s="29">
        <f t="shared" si="21"/>
        <v>405.84</v>
      </c>
      <c r="P25" s="13">
        <f t="shared" si="22"/>
        <v>-400.02</v>
      </c>
      <c r="S25" s="3">
        <f>$R$24</f>
        <v>911</v>
      </c>
      <c r="T25" s="3">
        <f t="shared" si="10"/>
        <v>40.210420662486094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25.093458935407138</v>
      </c>
      <c r="AA25" s="10">
        <f>$Z$24</f>
        <v>15.154120849290958</v>
      </c>
      <c r="AB25" s="10">
        <f t="shared" si="6"/>
        <v>140</v>
      </c>
      <c r="AC25" s="10">
        <f t="shared" si="7"/>
        <v>9.9393380861161802</v>
      </c>
      <c r="AD25" s="78">
        <f>INT((AC$23+AE25)*100)/100</f>
        <v>10.09</v>
      </c>
      <c r="AE25" s="10">
        <f>AF25*AG$28</f>
        <v>1.9110000000000003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603">
        <v>55</v>
      </c>
      <c r="E26" s="603"/>
      <c r="F26" s="202">
        <f t="shared" si="13"/>
        <v>10.309999999999999</v>
      </c>
      <c r="G26" s="607">
        <f t="shared" si="14"/>
        <v>7.01</v>
      </c>
      <c r="H26" s="607"/>
      <c r="I26" s="204"/>
      <c r="J26" s="8">
        <f t="shared" si="15"/>
        <v>0.14999999999999947</v>
      </c>
      <c r="K26" s="29">
        <f t="shared" si="18"/>
        <v>30</v>
      </c>
      <c r="L26" s="29">
        <f t="shared" si="20"/>
        <v>0.52629999999999999</v>
      </c>
      <c r="M26" s="3">
        <f t="shared" si="17"/>
        <v>15.789</v>
      </c>
      <c r="N26" s="3">
        <f t="shared" si="19"/>
        <v>3.2419999999999997E-2</v>
      </c>
      <c r="O26" s="3">
        <f t="shared" si="21"/>
        <v>487.01</v>
      </c>
      <c r="P26" s="13">
        <f t="shared" si="22"/>
        <v>-480.91</v>
      </c>
      <c r="S26" s="3">
        <f>$R$24</f>
        <v>911</v>
      </c>
      <c r="T26" s="3">
        <f t="shared" si="10"/>
        <v>40.210420662486094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25.217706036438091</v>
      </c>
      <c r="AA26" s="10">
        <f>$Z$24</f>
        <v>15.154120849290958</v>
      </c>
      <c r="AB26" s="10">
        <f t="shared" si="6"/>
        <v>150</v>
      </c>
      <c r="AC26" s="10">
        <f t="shared" si="7"/>
        <v>10.063585187147133</v>
      </c>
      <c r="AD26" s="78">
        <f>INT((AC$23+AE26)*100)/100</f>
        <v>10.36</v>
      </c>
      <c r="AE26" s="10">
        <f>AF26*AG$28</f>
        <v>2.1840000000000006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603">
        <v>60</v>
      </c>
      <c r="E27" s="603"/>
      <c r="F27" s="202">
        <f t="shared" si="13"/>
        <v>10.44</v>
      </c>
      <c r="G27" s="607">
        <f t="shared" si="14"/>
        <v>7.14</v>
      </c>
      <c r="H27" s="607"/>
      <c r="I27" s="204"/>
      <c r="J27" s="8">
        <f t="shared" si="15"/>
        <v>0.12999999999999989</v>
      </c>
      <c r="K27" s="29">
        <f t="shared" si="18"/>
        <v>35</v>
      </c>
      <c r="L27" s="29">
        <f t="shared" si="20"/>
        <v>0.52629999999999999</v>
      </c>
      <c r="M27" s="3">
        <f t="shared" si="17"/>
        <v>18.420500000000001</v>
      </c>
      <c r="N27" s="3">
        <f t="shared" si="19"/>
        <v>3.2419999999999997E-2</v>
      </c>
      <c r="O27" s="3">
        <f t="shared" si="21"/>
        <v>568.17999999999995</v>
      </c>
      <c r="P27" s="13">
        <f t="shared" si="22"/>
        <v>-561.85</v>
      </c>
      <c r="S27" s="3">
        <f>$R$24</f>
        <v>911</v>
      </c>
      <c r="T27" s="3">
        <f t="shared" si="10"/>
        <v>40.210420662486094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25.546043216771043</v>
      </c>
      <c r="Z27" s="10">
        <f>Y28-Z28</f>
        <v>15.154120849290958</v>
      </c>
      <c r="AA27" s="10">
        <f>$Z$24</f>
        <v>15.154120849290958</v>
      </c>
      <c r="AB27" s="10">
        <f t="shared" si="6"/>
        <v>180</v>
      </c>
      <c r="AC27" s="10">
        <f t="shared" si="7"/>
        <v>10.391922367480085</v>
      </c>
      <c r="AD27" s="78">
        <f>INT((AC$23+AE27)*100)/100</f>
        <v>10.63</v>
      </c>
      <c r="AE27" s="10">
        <f>AF27*AG$28</f>
        <v>2.4570000000000003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603">
        <v>75</v>
      </c>
      <c r="E28" s="603"/>
      <c r="F28" s="202">
        <f t="shared" si="13"/>
        <v>10.77</v>
      </c>
      <c r="G28" s="607">
        <f t="shared" si="14"/>
        <v>7.47</v>
      </c>
      <c r="H28" s="607"/>
      <c r="I28" s="204"/>
      <c r="J28" s="8">
        <f t="shared" si="15"/>
        <v>0.33000000000000007</v>
      </c>
      <c r="K28" s="29">
        <f t="shared" si="18"/>
        <v>40</v>
      </c>
      <c r="L28" s="29">
        <f t="shared" si="20"/>
        <v>0.52629999999999999</v>
      </c>
      <c r="M28" s="3">
        <f t="shared" si="17"/>
        <v>21.052</v>
      </c>
      <c r="N28" s="3">
        <f t="shared" si="19"/>
        <v>3.2419999999999997E-2</v>
      </c>
      <c r="O28" s="3">
        <f t="shared" si="21"/>
        <v>649.35</v>
      </c>
      <c r="P28" s="13">
        <f t="shared" si="22"/>
        <v>-642.82000000000005</v>
      </c>
      <c r="S28" s="3">
        <f>$R$24</f>
        <v>911</v>
      </c>
      <c r="T28" s="3">
        <f t="shared" si="10"/>
        <v>40.210420662486094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26.064120849290958</v>
      </c>
      <c r="Z28" s="10">
        <f>입력표!B21</f>
        <v>10.91</v>
      </c>
      <c r="AA28" s="10">
        <f>$Z$24</f>
        <v>15.154120849290958</v>
      </c>
      <c r="AB28" s="10">
        <f t="shared" si="6"/>
        <v>240</v>
      </c>
      <c r="AC28" s="10">
        <f t="shared" si="7"/>
        <v>10.91</v>
      </c>
      <c r="AD28" s="78">
        <f>INT((AC$23+AE28)*100)/100</f>
        <v>10.91</v>
      </c>
      <c r="AE28" s="10">
        <f>AF28*AG$28</f>
        <v>2.7300000000000004</v>
      </c>
      <c r="AF28" s="10">
        <v>1</v>
      </c>
      <c r="AG28" s="10">
        <f>AC28-AC23</f>
        <v>2.7300000000000004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603">
        <v>90</v>
      </c>
      <c r="E29" s="603"/>
      <c r="F29" s="202">
        <f t="shared" ref="F29:F44" si="24">G29+$D$10</f>
        <v>11.04</v>
      </c>
      <c r="G29" s="607">
        <f t="shared" si="14"/>
        <v>7.74</v>
      </c>
      <c r="H29" s="607"/>
      <c r="I29" s="204"/>
      <c r="J29" s="8">
        <f t="shared" si="15"/>
        <v>0.27000000000000046</v>
      </c>
      <c r="K29" s="29">
        <f t="shared" si="18"/>
        <v>45</v>
      </c>
      <c r="L29" s="29">
        <f t="shared" si="20"/>
        <v>0.52629999999999999</v>
      </c>
      <c r="M29" s="3">
        <f t="shared" si="17"/>
        <v>23.683499999999999</v>
      </c>
      <c r="N29" s="3">
        <f t="shared" si="19"/>
        <v>3.2419999999999997E-2</v>
      </c>
      <c r="O29" s="3">
        <f t="shared" si="21"/>
        <v>730.52</v>
      </c>
      <c r="P29" s="13">
        <f t="shared" si="22"/>
        <v>-723.81</v>
      </c>
      <c r="R29" s="14">
        <f>B37</f>
        <v>1085.45</v>
      </c>
      <c r="S29" s="3">
        <f>$R$29</f>
        <v>1085.45</v>
      </c>
      <c r="T29" s="3">
        <f t="shared" si="10"/>
        <v>40.210420662486094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31.142806682931791</v>
      </c>
      <c r="Z29" s="10">
        <f>Z32</f>
        <v>17.945229498282838</v>
      </c>
      <c r="AA29" s="10">
        <f>$Z$29</f>
        <v>17.945229498282838</v>
      </c>
      <c r="AB29" s="10">
        <f t="shared" si="6"/>
        <v>250</v>
      </c>
      <c r="AC29" s="10">
        <f t="shared" si="7"/>
        <v>13.197577184648953</v>
      </c>
      <c r="AD29" s="78">
        <f>INT((AC$28+AE29)*100)/100</f>
        <v>12.75</v>
      </c>
      <c r="AE29" s="10">
        <f>AF29*AG$33</f>
        <v>1.8420000000000001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603">
        <v>105</v>
      </c>
      <c r="E30" s="603"/>
      <c r="F30" s="202">
        <f t="shared" si="24"/>
        <v>11.27</v>
      </c>
      <c r="G30" s="607">
        <f t="shared" si="14"/>
        <v>7.97</v>
      </c>
      <c r="H30" s="607"/>
      <c r="I30" s="204"/>
      <c r="J30" s="8">
        <f t="shared" si="15"/>
        <v>0.22999999999999954</v>
      </c>
      <c r="K30" s="29">
        <f t="shared" si="18"/>
        <v>50</v>
      </c>
      <c r="L30" s="29">
        <f t="shared" si="20"/>
        <v>0.52629999999999999</v>
      </c>
      <c r="M30" s="3">
        <f t="shared" si="17"/>
        <v>26.314999999999998</v>
      </c>
      <c r="N30" s="3">
        <f t="shared" si="19"/>
        <v>3.2419999999999997E-2</v>
      </c>
      <c r="O30" s="3">
        <f t="shared" si="21"/>
        <v>811.69</v>
      </c>
      <c r="P30" s="13">
        <f t="shared" si="22"/>
        <v>-804.83</v>
      </c>
      <c r="R30" s="3" t="s">
        <v>23</v>
      </c>
      <c r="S30" s="3">
        <f>$R$29</f>
        <v>1085.45</v>
      </c>
      <c r="T30" s="3">
        <f t="shared" si="10"/>
        <v>40.210420662486094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31.226963436924812</v>
      </c>
      <c r="AA30" s="10">
        <f>$Z$29</f>
        <v>17.945229498282838</v>
      </c>
      <c r="AB30" s="10">
        <f t="shared" si="6"/>
        <v>260</v>
      </c>
      <c r="AC30" s="10">
        <f t="shared" si="7"/>
        <v>13.281733938641974</v>
      </c>
      <c r="AD30" s="78">
        <f>INT((AC$28+AE30)*100)/100</f>
        <v>13.05</v>
      </c>
      <c r="AE30" s="10">
        <f>AF30*AG$33</f>
        <v>2.149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603">
        <v>120</v>
      </c>
      <c r="E31" s="603"/>
      <c r="F31" s="202">
        <f t="shared" si="24"/>
        <v>11.48</v>
      </c>
      <c r="G31" s="607">
        <f t="shared" si="14"/>
        <v>8.18</v>
      </c>
      <c r="H31" s="607"/>
      <c r="I31" s="204"/>
      <c r="J31" s="8">
        <f t="shared" si="15"/>
        <v>0.20999999999999996</v>
      </c>
      <c r="K31" s="29">
        <f t="shared" si="18"/>
        <v>55</v>
      </c>
      <c r="L31" s="29">
        <f t="shared" si="20"/>
        <v>0.52629999999999999</v>
      </c>
      <c r="M31" s="3">
        <f t="shared" si="17"/>
        <v>28.9465</v>
      </c>
      <c r="N31" s="3">
        <f t="shared" si="19"/>
        <v>3.2419999999999997E-2</v>
      </c>
      <c r="O31" s="3">
        <f>INT(M31/N31*100)/100</f>
        <v>892.85</v>
      </c>
      <c r="P31" s="13">
        <f t="shared" si="22"/>
        <v>-885.84</v>
      </c>
      <c r="S31" s="3">
        <f>$R$29</f>
        <v>1085.45</v>
      </c>
      <c r="T31" s="3">
        <f t="shared" si="10"/>
        <v>40.210420662486094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31.307943695627799</v>
      </c>
      <c r="AA31" s="10">
        <f>$Z$29</f>
        <v>17.945229498282838</v>
      </c>
      <c r="AB31" s="10">
        <f t="shared" si="6"/>
        <v>270</v>
      </c>
      <c r="AC31" s="10">
        <f t="shared" si="7"/>
        <v>13.36271419734496</v>
      </c>
      <c r="AD31" s="78">
        <f>INT((AC$28+AE31)*100)/100</f>
        <v>13.36</v>
      </c>
      <c r="AE31" s="10">
        <f>AF31*AG$33</f>
        <v>2.4560000000000004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911</v>
      </c>
      <c r="C32" s="201">
        <v>0.50694444444444442</v>
      </c>
      <c r="D32" s="603">
        <v>130</v>
      </c>
      <c r="E32" s="603"/>
      <c r="F32" s="202">
        <f t="shared" si="24"/>
        <v>13.11</v>
      </c>
      <c r="G32" s="607">
        <f t="shared" si="14"/>
        <v>9.81</v>
      </c>
      <c r="H32" s="607"/>
      <c r="I32" s="204"/>
      <c r="J32" s="8">
        <f t="shared" si="15"/>
        <v>1.6300000000000008</v>
      </c>
      <c r="K32" s="29">
        <f t="shared" si="18"/>
        <v>60</v>
      </c>
      <c r="L32" s="29">
        <f t="shared" si="20"/>
        <v>0.52629999999999999</v>
      </c>
      <c r="M32" s="3">
        <f t="shared" si="17"/>
        <v>31.577999999999999</v>
      </c>
      <c r="N32" s="3">
        <f t="shared" si="19"/>
        <v>3.2419999999999997E-2</v>
      </c>
      <c r="O32" s="3">
        <f>INT(M32/N32*100)/100</f>
        <v>974.02</v>
      </c>
      <c r="P32" s="13">
        <f t="shared" si="22"/>
        <v>-966.88</v>
      </c>
      <c r="S32" s="3">
        <f>$R$29</f>
        <v>1085.45</v>
      </c>
      <c r="T32" s="3">
        <f t="shared" si="10"/>
        <v>40.210420662486094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31.534018090607315</v>
      </c>
      <c r="Z32" s="10">
        <f>Y33-Z33</f>
        <v>17.945229498282838</v>
      </c>
      <c r="AA32" s="10">
        <f>$Z$29</f>
        <v>17.945229498282838</v>
      </c>
      <c r="AB32" s="10">
        <f t="shared" si="6"/>
        <v>300</v>
      </c>
      <c r="AC32" s="10">
        <f t="shared" si="7"/>
        <v>13.588788592324477</v>
      </c>
      <c r="AD32" s="78">
        <f>INT((AC$28+AE32)*100)/100</f>
        <v>13.67</v>
      </c>
      <c r="AE32" s="10">
        <f>AF32*AG$33</f>
        <v>2.7630000000000003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603">
        <v>140</v>
      </c>
      <c r="E33" s="603"/>
      <c r="F33" s="202">
        <f t="shared" si="24"/>
        <v>13.39</v>
      </c>
      <c r="G33" s="607">
        <f t="shared" si="14"/>
        <v>10.09</v>
      </c>
      <c r="H33" s="607"/>
      <c r="I33" s="204"/>
      <c r="J33" s="8">
        <f t="shared" si="15"/>
        <v>0.27999999999999936</v>
      </c>
      <c r="L33" s="7" t="s">
        <v>23</v>
      </c>
      <c r="P33" s="13"/>
      <c r="S33" s="3">
        <f>$R$29</f>
        <v>1085.45</v>
      </c>
      <c r="T33" s="3">
        <f t="shared" si="10"/>
        <v>40.210420662486094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31.925229498282839</v>
      </c>
      <c r="Z33" s="10">
        <f>입력표!B22</f>
        <v>13.98</v>
      </c>
      <c r="AA33" s="10">
        <f>$Z$29</f>
        <v>17.945229498282838</v>
      </c>
      <c r="AB33" s="10">
        <f t="shared" si="6"/>
        <v>360</v>
      </c>
      <c r="AC33" s="10">
        <f t="shared" si="7"/>
        <v>13.98</v>
      </c>
      <c r="AD33" s="78">
        <f>INT((AC$28+AE33)*100)/100</f>
        <v>13.98</v>
      </c>
      <c r="AE33" s="10">
        <f>AF33*AG$33</f>
        <v>3.0700000000000003</v>
      </c>
      <c r="AF33" s="10">
        <v>1</v>
      </c>
      <c r="AG33" s="10">
        <f>AC33-AC28</f>
        <v>3.0700000000000003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603">
        <v>150</v>
      </c>
      <c r="E34" s="603"/>
      <c r="F34" s="202">
        <f t="shared" si="24"/>
        <v>13.66</v>
      </c>
      <c r="G34" s="607">
        <f t="shared" si="14"/>
        <v>10.36</v>
      </c>
      <c r="H34" s="607"/>
      <c r="I34" s="204"/>
      <c r="J34" s="8">
        <f t="shared" si="15"/>
        <v>0.26999999999999957</v>
      </c>
      <c r="L34" s="7" t="s">
        <v>23</v>
      </c>
      <c r="R34" s="3">
        <f>B42</f>
        <v>1277</v>
      </c>
      <c r="S34" s="3">
        <f>$R$34</f>
        <v>1277</v>
      </c>
      <c r="T34" s="3">
        <f t="shared" si="10"/>
        <v>40.210420662486094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37.628258923309339</v>
      </c>
      <c r="Z34" s="10">
        <f>Z37</f>
        <v>20.885312118750448</v>
      </c>
      <c r="AA34" s="10">
        <f>$Z$34</f>
        <v>20.885312118750448</v>
      </c>
      <c r="AB34" s="10">
        <f t="shared" si="6"/>
        <v>370</v>
      </c>
      <c r="AC34" s="10">
        <f t="shared" si="7"/>
        <v>16.742946804558891</v>
      </c>
      <c r="AD34" s="78">
        <f>INT((AC$33+AE34)*100)/100</f>
        <v>16.03</v>
      </c>
      <c r="AE34" s="10">
        <f>AG$38*AF34</f>
        <v>2.0519999999999987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603">
        <v>180</v>
      </c>
      <c r="E35" s="603"/>
      <c r="F35" s="202">
        <f t="shared" si="24"/>
        <v>13.93</v>
      </c>
      <c r="G35" s="607">
        <f t="shared" si="14"/>
        <v>10.63</v>
      </c>
      <c r="H35" s="607"/>
      <c r="I35" s="204"/>
      <c r="J35" s="8">
        <f t="shared" si="15"/>
        <v>0.27000000000000135</v>
      </c>
      <c r="L35" s="7" t="s">
        <v>23</v>
      </c>
      <c r="S35" s="3">
        <f>$R$34</f>
        <v>1277</v>
      </c>
      <c r="T35" s="3">
        <f t="shared" si="10"/>
        <v>40.210420662486094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37.695579687043285</v>
      </c>
      <c r="AA35" s="10">
        <f>$Z$34</f>
        <v>20.885312118750448</v>
      </c>
      <c r="AB35" s="10">
        <f t="shared" si="6"/>
        <v>380</v>
      </c>
      <c r="AC35" s="10">
        <f t="shared" si="7"/>
        <v>16.810267568292836</v>
      </c>
      <c r="AD35" s="78">
        <f>INT((AC$33+AE35)*100)/100</f>
        <v>16.37</v>
      </c>
      <c r="AE35" s="10">
        <f>AG$38*AF35</f>
        <v>2.3939999999999984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603">
        <v>240</v>
      </c>
      <c r="E36" s="603"/>
      <c r="F36" s="202">
        <f t="shared" si="24"/>
        <v>14.21</v>
      </c>
      <c r="G36" s="607">
        <f t="shared" si="14"/>
        <v>10.91</v>
      </c>
      <c r="H36" s="607"/>
      <c r="I36" s="204"/>
      <c r="J36" s="8">
        <f t="shared" si="15"/>
        <v>0.27999999999999936</v>
      </c>
      <c r="L36" s="7" t="s">
        <v>23</v>
      </c>
      <c r="S36" s="3">
        <f>$R$34</f>
        <v>1277</v>
      </c>
      <c r="T36" s="3">
        <f t="shared" si="10"/>
        <v>40.210420662486094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37.761151660245751</v>
      </c>
      <c r="AA36" s="10">
        <f>$Z$34</f>
        <v>20.885312118750448</v>
      </c>
      <c r="AB36" s="10">
        <f t="shared" si="6"/>
        <v>390</v>
      </c>
      <c r="AC36" s="10">
        <f t="shared" si="7"/>
        <v>16.875839541495303</v>
      </c>
      <c r="AD36" s="78">
        <f>INT((AC$33+AE36)*100)/100</f>
        <v>16.71</v>
      </c>
      <c r="AE36" s="10">
        <f>AG$38*AF36</f>
        <v>2.7359999999999989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1085.45</v>
      </c>
      <c r="C37" s="201">
        <v>0.59027777777777779</v>
      </c>
      <c r="D37" s="603">
        <v>250</v>
      </c>
      <c r="E37" s="603"/>
      <c r="F37" s="202">
        <f t="shared" si="24"/>
        <v>16.05</v>
      </c>
      <c r="G37" s="607">
        <f t="shared" si="14"/>
        <v>12.75</v>
      </c>
      <c r="H37" s="607"/>
      <c r="I37" s="204"/>
      <c r="J37" s="8">
        <f t="shared" si="15"/>
        <v>1.8399999999999999</v>
      </c>
      <c r="L37" s="7" t="s">
        <v>23</v>
      </c>
      <c r="S37" s="3">
        <f>$R$34</f>
        <v>1277</v>
      </c>
      <c r="T37" s="3">
        <f t="shared" si="10"/>
        <v>40.210420662486094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37.948228271197792</v>
      </c>
      <c r="Z37" s="10">
        <f>Y38-Z38</f>
        <v>20.885312118750448</v>
      </c>
      <c r="AA37" s="10">
        <f>$Z$34</f>
        <v>20.885312118750448</v>
      </c>
      <c r="AB37" s="10">
        <f t="shared" si="6"/>
        <v>420</v>
      </c>
      <c r="AC37" s="10">
        <f t="shared" si="7"/>
        <v>17.062916152447343</v>
      </c>
      <c r="AD37" s="78">
        <f>INT((AC$33+AE37)*100)/100</f>
        <v>17.05</v>
      </c>
      <c r="AE37" s="10">
        <f>AG$38*AF37</f>
        <v>3.0779999999999985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603">
        <v>260</v>
      </c>
      <c r="E38" s="603"/>
      <c r="F38" s="202">
        <f t="shared" si="24"/>
        <v>16.350000000000001</v>
      </c>
      <c r="G38" s="607">
        <f t="shared" si="14"/>
        <v>13.05</v>
      </c>
      <c r="H38" s="607"/>
      <c r="I38" s="204"/>
      <c r="J38" s="8">
        <f t="shared" si="15"/>
        <v>0.30000000000000071</v>
      </c>
      <c r="L38" s="7" t="s">
        <v>23</v>
      </c>
      <c r="S38" s="3">
        <f>$R$34</f>
        <v>1277</v>
      </c>
      <c r="T38" s="3">
        <f t="shared" si="10"/>
        <v>40.210420662486094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38.285312118750447</v>
      </c>
      <c r="Z38" s="10">
        <f>입력표!B23</f>
        <v>17.399999999999999</v>
      </c>
      <c r="AA38" s="10">
        <f>$Z$34</f>
        <v>20.885312118750448</v>
      </c>
      <c r="AB38" s="10">
        <f t="shared" si="6"/>
        <v>480</v>
      </c>
      <c r="AC38" s="10">
        <f t="shared" si="7"/>
        <v>17.399999999999999</v>
      </c>
      <c r="AD38" s="78">
        <f>INT((AC$33+AE38)*100)/100</f>
        <v>17.399999999999999</v>
      </c>
      <c r="AE38" s="10">
        <f>AG$38*AF38</f>
        <v>3.4199999999999982</v>
      </c>
      <c r="AF38" s="10">
        <v>1</v>
      </c>
      <c r="AG38" s="10">
        <f>AC38-AC33</f>
        <v>3.4199999999999982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603">
        <v>270</v>
      </c>
      <c r="E39" s="603"/>
      <c r="F39" s="202">
        <f t="shared" si="24"/>
        <v>16.66</v>
      </c>
      <c r="G39" s="607">
        <f t="shared" si="14"/>
        <v>13.36</v>
      </c>
      <c r="H39" s="607"/>
      <c r="I39" s="204"/>
      <c r="J39" s="8">
        <f t="shared" si="15"/>
        <v>0.30999999999999872</v>
      </c>
      <c r="K39" s="6" t="s">
        <v>23</v>
      </c>
      <c r="L39" s="7" t="s">
        <v>23</v>
      </c>
      <c r="R39" s="14">
        <f>B47</f>
        <v>1468.55</v>
      </c>
      <c r="S39" s="3">
        <f>$R$39</f>
        <v>1468.55</v>
      </c>
      <c r="T39" s="3">
        <f t="shared" si="10"/>
        <v>40.210420662486094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44.087967467254593</v>
      </c>
      <c r="Z39" s="10">
        <f>Z42</f>
        <v>22.055902673739279</v>
      </c>
      <c r="AA39" s="10">
        <f>$Z$39</f>
        <v>22.055902673739279</v>
      </c>
      <c r="AB39" s="10">
        <f t="shared" si="6"/>
        <v>490</v>
      </c>
      <c r="AC39" s="10">
        <f t="shared" si="7"/>
        <v>22.032064793515314</v>
      </c>
      <c r="AD39" s="78">
        <f>INT((AC$38+AE39)*100)/100</f>
        <v>19.48</v>
      </c>
      <c r="AE39" s="10">
        <f>AG$43*AF39</f>
        <v>2.088000000000001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603">
        <v>300</v>
      </c>
      <c r="E40" s="603"/>
      <c r="F40" s="202">
        <f t="shared" si="24"/>
        <v>16.97</v>
      </c>
      <c r="G40" s="607">
        <f t="shared" si="14"/>
        <v>13.67</v>
      </c>
      <c r="H40" s="607"/>
      <c r="I40" s="204"/>
      <c r="J40" s="8">
        <f t="shared" si="15"/>
        <v>0.3100000000000005</v>
      </c>
      <c r="K40" s="6" t="s">
        <v>23</v>
      </c>
      <c r="L40" s="7" t="s">
        <v>23</v>
      </c>
      <c r="S40" s="3">
        <f>$R$39</f>
        <v>1468.55</v>
      </c>
      <c r="T40" s="3">
        <f t="shared" si="10"/>
        <v>40.210420662486094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44.146616651590044</v>
      </c>
      <c r="AA40" s="10">
        <f>$Z$39</f>
        <v>22.055902673739279</v>
      </c>
      <c r="AB40" s="10">
        <f t="shared" si="6"/>
        <v>500</v>
      </c>
      <c r="AC40" s="10">
        <f t="shared" si="7"/>
        <v>22.090713977850765</v>
      </c>
      <c r="AD40" s="78">
        <f>INT((AC$38+AE40)*100)/100</f>
        <v>20.27</v>
      </c>
      <c r="AE40" s="10">
        <f>AG$43*AF40</f>
        <v>2.8710000000000018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603">
        <v>360</v>
      </c>
      <c r="E41" s="603"/>
      <c r="F41" s="202">
        <f t="shared" si="24"/>
        <v>17.28</v>
      </c>
      <c r="G41" s="607">
        <f t="shared" si="14"/>
        <v>13.98</v>
      </c>
      <c r="H41" s="607"/>
      <c r="I41" s="204"/>
      <c r="J41" s="8">
        <f t="shared" si="15"/>
        <v>0.3100000000000005</v>
      </c>
      <c r="K41" s="6" t="s">
        <v>23</v>
      </c>
      <c r="L41" s="7" t="s">
        <v>23</v>
      </c>
      <c r="S41" s="3">
        <f>$R$39</f>
        <v>1468.55</v>
      </c>
      <c r="T41" s="3">
        <f t="shared" si="10"/>
        <v>40.210420662486094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44.204104389266305</v>
      </c>
      <c r="AA41" s="10">
        <f>$Z$39</f>
        <v>22.055902673739279</v>
      </c>
      <c r="AB41" s="10">
        <f t="shared" si="6"/>
        <v>510</v>
      </c>
      <c r="AC41" s="10">
        <f t="shared" si="7"/>
        <v>22.148201715527026</v>
      </c>
      <c r="AD41" s="78">
        <f>INT((AC$38+AE41)*100)/100</f>
        <v>21.05</v>
      </c>
      <c r="AE41" s="10">
        <f>AG$43*AF41</f>
        <v>3.6540000000000012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1277</v>
      </c>
      <c r="C42" s="201">
        <v>0.67361111111111116</v>
      </c>
      <c r="D42" s="603">
        <v>370</v>
      </c>
      <c r="E42" s="603"/>
      <c r="F42" s="202">
        <f t="shared" si="24"/>
        <v>19.330000000000002</v>
      </c>
      <c r="G42" s="607">
        <f t="shared" si="14"/>
        <v>16.03</v>
      </c>
      <c r="H42" s="607"/>
      <c r="I42" s="204"/>
      <c r="J42" s="8">
        <f t="shared" si="15"/>
        <v>2.0500000000000007</v>
      </c>
      <c r="K42" s="6" t="s">
        <v>23</v>
      </c>
      <c r="L42" s="7" t="s">
        <v>23</v>
      </c>
      <c r="S42" s="3">
        <f>$R$39</f>
        <v>1468.55</v>
      </c>
      <c r="T42" s="3">
        <f t="shared" si="10"/>
        <v>40.210420662486094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44.370037315825819</v>
      </c>
      <c r="Z42" s="10">
        <f>Y43-Z43</f>
        <v>22.055902673739279</v>
      </c>
      <c r="AA42" s="10">
        <f>$Z$39</f>
        <v>22.055902673739279</v>
      </c>
      <c r="AB42" s="10">
        <f t="shared" si="6"/>
        <v>540</v>
      </c>
      <c r="AC42" s="10">
        <f t="shared" si="7"/>
        <v>22.31413464208654</v>
      </c>
      <c r="AD42" s="78">
        <f>INT((AC$38+AE42)*100)/100</f>
        <v>21.83</v>
      </c>
      <c r="AE42" s="10">
        <f>AG$43*AF42</f>
        <v>4.4370000000000021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603">
        <v>380</v>
      </c>
      <c r="E43" s="603"/>
      <c r="F43" s="202">
        <f t="shared" si="24"/>
        <v>19.670000000000002</v>
      </c>
      <c r="G43" s="607">
        <f t="shared" si="14"/>
        <v>16.37</v>
      </c>
      <c r="H43" s="607"/>
      <c r="I43" s="204"/>
      <c r="J43" s="8">
        <f t="shared" si="15"/>
        <v>0.33999999999999986</v>
      </c>
      <c r="K43" s="6" t="s">
        <v>23</v>
      </c>
      <c r="L43" s="7" t="s">
        <v>23</v>
      </c>
      <c r="S43" s="3">
        <f>$R$39</f>
        <v>1468.55</v>
      </c>
      <c r="T43" s="3">
        <f t="shared" si="10"/>
        <v>40.210420662486094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44.67590267373928</v>
      </c>
      <c r="Z43" s="10">
        <f>입력표!B24</f>
        <v>22.62</v>
      </c>
      <c r="AA43" s="10">
        <f>$Z$39</f>
        <v>22.055902673739279</v>
      </c>
      <c r="AB43" s="10">
        <f t="shared" si="6"/>
        <v>600</v>
      </c>
      <c r="AC43" s="10">
        <f t="shared" si="7"/>
        <v>22.62</v>
      </c>
      <c r="AD43" s="78">
        <f>INT((AC$38+AE43)*100)/100</f>
        <v>22.62</v>
      </c>
      <c r="AE43" s="10">
        <f>AG$43*AF43</f>
        <v>5.2200000000000024</v>
      </c>
      <c r="AF43" s="10">
        <v>1</v>
      </c>
      <c r="AG43" s="10">
        <f>AC43-AC38</f>
        <v>5.2200000000000024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603">
        <v>390</v>
      </c>
      <c r="E44" s="603"/>
      <c r="F44" s="202">
        <f t="shared" si="24"/>
        <v>20.010000000000002</v>
      </c>
      <c r="G44" s="607">
        <f t="shared" si="14"/>
        <v>16.71</v>
      </c>
      <c r="H44" s="607"/>
      <c r="I44" s="204"/>
      <c r="J44" s="8">
        <f t="shared" si="15"/>
        <v>0.33999999999999986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603">
        <v>420</v>
      </c>
      <c r="E45" s="603"/>
      <c r="F45" s="202">
        <f t="shared" ref="F45:F51" si="25">G45+$D$10</f>
        <v>20.350000000000001</v>
      </c>
      <c r="G45" s="607">
        <f t="shared" si="14"/>
        <v>17.05</v>
      </c>
      <c r="H45" s="607"/>
      <c r="I45" s="204"/>
      <c r="J45" s="8">
        <f t="shared" si="15"/>
        <v>0.33999999999999986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603">
        <v>480</v>
      </c>
      <c r="E46" s="603"/>
      <c r="F46" s="202">
        <f t="shared" si="25"/>
        <v>20.7</v>
      </c>
      <c r="G46" s="607">
        <f t="shared" si="14"/>
        <v>17.399999999999999</v>
      </c>
      <c r="H46" s="607"/>
      <c r="I46" s="204"/>
      <c r="J46" s="8">
        <f t="shared" si="15"/>
        <v>0.34999999999999787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1468.55</v>
      </c>
      <c r="C47" s="201">
        <v>0.75694444444444453</v>
      </c>
      <c r="D47" s="603">
        <v>490</v>
      </c>
      <c r="E47" s="603"/>
      <c r="F47" s="202">
        <f t="shared" si="25"/>
        <v>22.78</v>
      </c>
      <c r="G47" s="607">
        <f t="shared" si="14"/>
        <v>19.48</v>
      </c>
      <c r="H47" s="607"/>
      <c r="I47" s="204"/>
      <c r="J47" s="8">
        <f t="shared" si="15"/>
        <v>2.0800000000000018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603">
        <v>500</v>
      </c>
      <c r="E48" s="603"/>
      <c r="F48" s="202">
        <f t="shared" si="25"/>
        <v>23.57</v>
      </c>
      <c r="G48" s="607">
        <f t="shared" si="14"/>
        <v>20.27</v>
      </c>
      <c r="H48" s="607"/>
      <c r="I48" s="204"/>
      <c r="J48" s="8">
        <f t="shared" si="15"/>
        <v>0.78999999999999915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603">
        <v>510</v>
      </c>
      <c r="E49" s="603"/>
      <c r="F49" s="202">
        <f t="shared" si="25"/>
        <v>24.35</v>
      </c>
      <c r="G49" s="607">
        <f t="shared" si="14"/>
        <v>21.05</v>
      </c>
      <c r="H49" s="607"/>
      <c r="I49" s="204"/>
      <c r="J49" s="8">
        <f t="shared" si="15"/>
        <v>0.78000000000000114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603">
        <v>540</v>
      </c>
      <c r="E50" s="603"/>
      <c r="F50" s="202">
        <f t="shared" si="25"/>
        <v>25.13</v>
      </c>
      <c r="G50" s="607">
        <f t="shared" si="14"/>
        <v>21.83</v>
      </c>
      <c r="H50" s="607"/>
      <c r="I50" s="204"/>
      <c r="J50" s="8">
        <f t="shared" si="15"/>
        <v>0.77999999999999758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603">
        <v>600</v>
      </c>
      <c r="E51" s="603"/>
      <c r="F51" s="202">
        <f t="shared" si="25"/>
        <v>25.92</v>
      </c>
      <c r="G51" s="607">
        <f t="shared" si="14"/>
        <v>22.62</v>
      </c>
      <c r="H51" s="607"/>
      <c r="I51" s="204" t="s">
        <v>13</v>
      </c>
      <c r="J51" s="8">
        <f t="shared" si="15"/>
        <v>0.7900000000000027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0" t="s">
        <v>137</v>
      </c>
      <c r="M1" s="264">
        <f>P1-R1</f>
        <v>-4.5641399521907431</v>
      </c>
      <c r="N1" s="608" t="s">
        <v>136</v>
      </c>
      <c r="O1" s="608"/>
      <c r="P1" s="265">
        <f>단계양수시험!G41</f>
        <v>13.98</v>
      </c>
      <c r="Q1" s="429" t="s">
        <v>125</v>
      </c>
      <c r="R1" s="266">
        <f>G35</f>
        <v>18.544139952190744</v>
      </c>
      <c r="S1" s="267">
        <f>D7/2000</f>
        <v>0.125</v>
      </c>
      <c r="T1" s="268">
        <v>52.89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 xml:space="preserve"> 2021년 예산군 대용량지하수 시설개량사업 지하수영향조사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22.856211830218527</v>
      </c>
      <c r="T2" s="3">
        <v>0</v>
      </c>
      <c r="U2" s="14">
        <f>B10</f>
        <v>1252</v>
      </c>
      <c r="V2" s="14">
        <f>U2</f>
        <v>1252</v>
      </c>
      <c r="W2" s="3">
        <f>T1</f>
        <v>52.89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12.129486215723661</v>
      </c>
      <c r="AC2" s="10">
        <f>1.6*V2/(4*PI()*W2)*LOG10((2.25*W2*Z2)/(X2*X2*Y2))</f>
        <v>12.129486215723661</v>
      </c>
      <c r="AD2" s="15">
        <v>0</v>
      </c>
      <c r="AE2" s="12">
        <f>AA2</f>
        <v>1</v>
      </c>
      <c r="AF2" s="10">
        <f>AC2-$P$3-O3</f>
        <v>10.83948621572366</v>
      </c>
      <c r="AG2" s="10">
        <f>AC2</f>
        <v>12.129486215723661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 xml:space="preserve"> 노전리 744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1" t="s">
        <v>182</v>
      </c>
      <c r="M3" s="13">
        <f t="shared" ref="M3:M10" si="1">Q17</f>
        <v>-6.88</v>
      </c>
      <c r="N3" s="62"/>
      <c r="O3" s="363"/>
      <c r="P3" s="362">
        <v>1.29</v>
      </c>
      <c r="V3" s="14">
        <f>V2</f>
        <v>1252</v>
      </c>
      <c r="W3" s="3">
        <f>W$2</f>
        <v>52.89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13.036785676638402</v>
      </c>
      <c r="AC3" s="10">
        <f t="shared" ref="AC3:AC34" si="4">1.6*V3/(4*PI()*W3)*LOG10((2.25*W3*Z3)/(X3*X3*Y3))</f>
        <v>13.036785676638402</v>
      </c>
      <c r="AD3" s="10">
        <f>AB69</f>
        <v>20.846211830218525</v>
      </c>
      <c r="AE3" s="12">
        <f t="shared" ref="AE3:AE66" si="5">AA3</f>
        <v>2</v>
      </c>
      <c r="AF3" s="10">
        <f t="shared" ref="AF3:AF16" si="6">AC3-$P$3-O4</f>
        <v>11.746785676638403</v>
      </c>
      <c r="AG3" s="10">
        <f t="shared" ref="AG3:AG16" si="7">AC3</f>
        <v>13.036785676638402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 xml:space="preserve"> 충청남도 예산군 광시면 노전리 744</v>
      </c>
      <c r="D4" s="58"/>
      <c r="E4" s="58"/>
      <c r="F4" s="184"/>
      <c r="G4" s="184"/>
      <c r="H4" s="184"/>
      <c r="I4" s="184"/>
      <c r="J4" s="185"/>
      <c r="L4" s="371" t="s">
        <v>183</v>
      </c>
      <c r="M4" s="13">
        <f t="shared" si="1"/>
        <v>-23.68</v>
      </c>
      <c r="N4" s="62"/>
      <c r="O4" s="29"/>
      <c r="P4" s="29"/>
      <c r="V4" s="14">
        <f t="shared" ref="V4:V67" si="8">V3</f>
        <v>1252</v>
      </c>
      <c r="W4" s="3">
        <f t="shared" ref="W4:W67" si="9">W$2</f>
        <v>52.89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13.567521838198045</v>
      </c>
      <c r="AC4" s="10">
        <f t="shared" si="4"/>
        <v>13.567521838198045</v>
      </c>
      <c r="AD4" s="10">
        <f>AC69</f>
        <v>20.846211830218525</v>
      </c>
      <c r="AE4" s="12">
        <f t="shared" si="5"/>
        <v>3</v>
      </c>
      <c r="AF4" s="10">
        <f t="shared" si="6"/>
        <v>12.277521838198044</v>
      </c>
      <c r="AG4" s="10">
        <f t="shared" si="7"/>
        <v>13.567521838198045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 xml:space="preserve"> (주)현윤이앤씨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1" t="s">
        <v>184</v>
      </c>
      <c r="M5" s="13">
        <f t="shared" si="1"/>
        <v>-40.869999999999997</v>
      </c>
      <c r="N5" s="62"/>
      <c r="O5" s="29"/>
      <c r="P5" s="29"/>
      <c r="V5" s="14">
        <f t="shared" si="8"/>
        <v>1252</v>
      </c>
      <c r="W5" s="3">
        <f t="shared" si="9"/>
        <v>52.89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13.944085137553142</v>
      </c>
      <c r="AC5" s="10">
        <f t="shared" si="4"/>
        <v>13.944085137553142</v>
      </c>
      <c r="AD5" s="10">
        <f>AF69</f>
        <v>19.556211830218526</v>
      </c>
      <c r="AE5" s="12">
        <f t="shared" si="5"/>
        <v>4</v>
      </c>
      <c r="AF5" s="10">
        <f t="shared" si="6"/>
        <v>12.654085137553142</v>
      </c>
      <c r="AG5" s="10">
        <f t="shared" si="7"/>
        <v>13.944085137553142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610">
        <f>단계양수시험!C8</f>
        <v>15</v>
      </c>
      <c r="D6" s="610"/>
      <c r="E6" s="611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6">
        <v>0.2</v>
      </c>
      <c r="M6" s="13">
        <f t="shared" si="1"/>
        <v>-58.2</v>
      </c>
      <c r="N6" s="62"/>
      <c r="O6" s="29"/>
      <c r="P6" s="29"/>
      <c r="V6" s="14">
        <f t="shared" si="8"/>
        <v>1252</v>
      </c>
      <c r="W6" s="3">
        <f t="shared" si="9"/>
        <v>52.89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14.236170324497754</v>
      </c>
      <c r="AC6" s="10">
        <f t="shared" si="4"/>
        <v>14.236170324497754</v>
      </c>
      <c r="AE6" s="12">
        <f t="shared" si="5"/>
        <v>5</v>
      </c>
      <c r="AF6" s="10">
        <f t="shared" si="6"/>
        <v>12.946170324497754</v>
      </c>
      <c r="AG6" s="10">
        <f t="shared" si="7"/>
        <v>14.236170324497754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92</v>
      </c>
      <c r="H7" s="184"/>
      <c r="I7" s="184"/>
      <c r="J7" s="185"/>
      <c r="M7" s="13">
        <f t="shared" si="1"/>
        <v>-75.62</v>
      </c>
      <c r="N7" s="62"/>
      <c r="O7" s="29"/>
      <c r="P7" s="29"/>
      <c r="V7" s="14">
        <f t="shared" si="8"/>
        <v>1252</v>
      </c>
      <c r="W7" s="3">
        <f t="shared" si="9"/>
        <v>52.89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15.143469785412496</v>
      </c>
      <c r="AC7" s="10">
        <f t="shared" si="4"/>
        <v>15.143469785412496</v>
      </c>
      <c r="AE7" s="12">
        <f t="shared" si="5"/>
        <v>10</v>
      </c>
      <c r="AF7" s="10">
        <f t="shared" si="6"/>
        <v>13.853469785412496</v>
      </c>
      <c r="AG7" s="10">
        <f t="shared" si="7"/>
        <v>15.143469785412496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3.3</v>
      </c>
      <c r="E8" s="194"/>
      <c r="F8" s="195" t="s">
        <v>14</v>
      </c>
      <c r="G8" s="198">
        <f>F77</f>
        <v>22.856211830218527</v>
      </c>
      <c r="H8" s="191">
        <f>입력표!C40</f>
        <v>1252</v>
      </c>
      <c r="I8" s="191"/>
      <c r="J8" s="183"/>
      <c r="K8" s="383">
        <f>입력표!M50</f>
        <v>19.559999999999999</v>
      </c>
      <c r="L8" s="367">
        <f>G10-K11</f>
        <v>9.9321867548089173</v>
      </c>
      <c r="M8" s="13">
        <f t="shared" si="1"/>
        <v>-163.28</v>
      </c>
      <c r="N8" s="62"/>
      <c r="O8" s="29"/>
      <c r="P8" s="29"/>
      <c r="V8" s="14">
        <f t="shared" si="8"/>
        <v>1252</v>
      </c>
      <c r="W8" s="3">
        <f t="shared" si="9"/>
        <v>52.89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15.674205946972139</v>
      </c>
      <c r="AC8" s="10">
        <f t="shared" si="4"/>
        <v>15.674205946972139</v>
      </c>
      <c r="AE8" s="12">
        <f t="shared" si="5"/>
        <v>15</v>
      </c>
      <c r="AF8" s="10">
        <f t="shared" si="6"/>
        <v>14.384205946972138</v>
      </c>
      <c r="AG8" s="10">
        <f t="shared" si="7"/>
        <v>15.674205946972139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612" t="s">
        <v>161</v>
      </c>
      <c r="E9" s="612"/>
      <c r="F9" s="180" t="s">
        <v>162</v>
      </c>
      <c r="G9" s="180" t="s">
        <v>163</v>
      </c>
      <c r="H9" s="382"/>
      <c r="I9" s="382"/>
      <c r="J9" s="382"/>
      <c r="K9" s="9">
        <f>G8-D8</f>
        <v>19.556211830218526</v>
      </c>
      <c r="M9" s="13">
        <f t="shared" si="1"/>
        <v>-251.32</v>
      </c>
      <c r="N9" s="62"/>
      <c r="O9" s="29"/>
      <c r="P9" s="29"/>
      <c r="V9" s="14">
        <f t="shared" si="8"/>
        <v>1252</v>
      </c>
      <c r="W9" s="3">
        <f t="shared" si="9"/>
        <v>52.89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16.050769246327235</v>
      </c>
      <c r="AC9" s="10">
        <f t="shared" si="4"/>
        <v>16.050769246327235</v>
      </c>
      <c r="AE9" s="12">
        <f t="shared" si="5"/>
        <v>20</v>
      </c>
      <c r="AF9" s="10">
        <f t="shared" si="6"/>
        <v>14.760769246327236</v>
      </c>
      <c r="AG9" s="10">
        <f t="shared" si="7"/>
        <v>16.050769246327235</v>
      </c>
    </row>
    <row r="10" spans="1:38" s="3" customFormat="1" ht="21" customHeight="1" x14ac:dyDescent="0.15">
      <c r="A10" s="54">
        <v>1</v>
      </c>
      <c r="B10" s="61">
        <f>입력표!C26</f>
        <v>1252</v>
      </c>
      <c r="C10" s="55">
        <v>44333.395833333336</v>
      </c>
      <c r="D10" s="181">
        <v>1</v>
      </c>
      <c r="E10" s="249">
        <f>D10/1440</f>
        <v>6.9444444444444447E-4</v>
      </c>
      <c r="F10" s="182">
        <f>G10+D$8</f>
        <v>14.139486215723661</v>
      </c>
      <c r="G10" s="277">
        <f>AF2</f>
        <v>10.83948621572366</v>
      </c>
      <c r="H10" s="381"/>
      <c r="I10" s="381"/>
      <c r="J10" s="381"/>
      <c r="K10" s="263">
        <f>K8-K9</f>
        <v>3.7881697814725612E-3</v>
      </c>
      <c r="L10" s="9">
        <f>K10+Q17</f>
        <v>-6.8762118302185273</v>
      </c>
      <c r="M10" s="13">
        <f t="shared" si="1"/>
        <v>-339.51</v>
      </c>
      <c r="N10" s="62"/>
      <c r="O10" s="29"/>
      <c r="P10" s="29"/>
      <c r="V10" s="14">
        <f t="shared" si="8"/>
        <v>1252</v>
      </c>
      <c r="W10" s="3">
        <f t="shared" si="9"/>
        <v>52.89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16.342854433271846</v>
      </c>
      <c r="AC10" s="10">
        <f t="shared" si="4"/>
        <v>16.342854433271846</v>
      </c>
      <c r="AE10" s="12">
        <f t="shared" si="5"/>
        <v>25</v>
      </c>
      <c r="AF10" s="10">
        <f t="shared" si="6"/>
        <v>15.052854433271847</v>
      </c>
      <c r="AG10" s="10">
        <f t="shared" si="7"/>
        <v>16.342854433271846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15.046785676638404</v>
      </c>
      <c r="G11" s="182">
        <f>AF3</f>
        <v>11.746785676638403</v>
      </c>
      <c r="H11" s="381"/>
      <c r="I11" s="381"/>
      <c r="J11" s="381"/>
      <c r="K11" s="63">
        <f>G11-G10</f>
        <v>0.90729946091474289</v>
      </c>
      <c r="L11" s="9" t="s">
        <v>18</v>
      </c>
      <c r="N11" s="62"/>
      <c r="O11" s="29"/>
      <c r="V11" s="14">
        <f t="shared" si="8"/>
        <v>1252</v>
      </c>
      <c r="W11" s="3">
        <f t="shared" si="9"/>
        <v>52.89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16.58150540788688</v>
      </c>
      <c r="AC11" s="10">
        <f t="shared" si="4"/>
        <v>16.58150540788688</v>
      </c>
      <c r="AE11" s="12">
        <f t="shared" si="5"/>
        <v>30</v>
      </c>
      <c r="AF11" s="10">
        <f t="shared" si="6"/>
        <v>15.291505407886881</v>
      </c>
      <c r="AG11" s="10">
        <f t="shared" si="7"/>
        <v>16.58150540788688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15.577521838198045</v>
      </c>
      <c r="G12" s="182">
        <f t="shared" ref="G12:G74" si="15">AF4</f>
        <v>12.277521838198044</v>
      </c>
      <c r="H12" s="381"/>
      <c r="I12" s="381"/>
      <c r="J12" s="381"/>
      <c r="K12" s="63">
        <f t="shared" ref="K12:K47" si="16">G12-G11</f>
        <v>0.53073616155964132</v>
      </c>
      <c r="L12" s="9" t="s">
        <v>18</v>
      </c>
      <c r="N12" s="62"/>
      <c r="O12" s="29"/>
      <c r="V12" s="14">
        <f t="shared" si="8"/>
        <v>1252</v>
      </c>
      <c r="W12" s="3">
        <f t="shared" si="9"/>
        <v>52.89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16.78328193187696</v>
      </c>
      <c r="AC12" s="10">
        <f t="shared" si="4"/>
        <v>16.78328193187696</v>
      </c>
      <c r="AE12" s="12">
        <f t="shared" si="5"/>
        <v>35</v>
      </c>
      <c r="AF12" s="10">
        <f t="shared" si="6"/>
        <v>15.493281931876961</v>
      </c>
      <c r="AG12" s="10">
        <f t="shared" si="7"/>
        <v>16.78328193187696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15.954085137553143</v>
      </c>
      <c r="G13" s="182">
        <f t="shared" si="15"/>
        <v>12.654085137553142</v>
      </c>
      <c r="H13" s="381"/>
      <c r="I13" s="381"/>
      <c r="J13" s="381"/>
      <c r="K13" s="63">
        <f t="shared" si="16"/>
        <v>0.37656329935509802</v>
      </c>
      <c r="L13" s="9" t="s">
        <v>18</v>
      </c>
      <c r="N13" s="62"/>
      <c r="O13" s="29"/>
      <c r="V13" s="14">
        <f t="shared" si="8"/>
        <v>1252</v>
      </c>
      <c r="W13" s="3">
        <f t="shared" si="9"/>
        <v>52.89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16.958068707241974</v>
      </c>
      <c r="AC13" s="10">
        <f t="shared" si="4"/>
        <v>16.958068707241974</v>
      </c>
      <c r="AE13" s="12">
        <f t="shared" si="5"/>
        <v>40</v>
      </c>
      <c r="AF13" s="10">
        <f t="shared" si="6"/>
        <v>15.668068707241975</v>
      </c>
      <c r="AG13" s="10">
        <f t="shared" si="7"/>
        <v>16.958068707241974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16.246170324497754</v>
      </c>
      <c r="G14" s="182">
        <f t="shared" si="15"/>
        <v>12.946170324497754</v>
      </c>
      <c r="H14" s="381"/>
      <c r="I14" s="381"/>
      <c r="J14" s="381"/>
      <c r="K14" s="63">
        <f t="shared" si="16"/>
        <v>0.29208518694461105</v>
      </c>
      <c r="L14" s="9" t="s">
        <v>18</v>
      </c>
      <c r="N14" s="62"/>
      <c r="O14" s="29"/>
      <c r="V14" s="14">
        <f t="shared" si="8"/>
        <v>1252</v>
      </c>
      <c r="W14" s="3">
        <f t="shared" si="9"/>
        <v>52.89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17.112241569446521</v>
      </c>
      <c r="AC14" s="10">
        <f t="shared" si="4"/>
        <v>17.112241569446521</v>
      </c>
      <c r="AE14" s="12">
        <f t="shared" si="5"/>
        <v>45</v>
      </c>
      <c r="AF14" s="10">
        <f t="shared" si="6"/>
        <v>15.822241569446522</v>
      </c>
      <c r="AG14" s="10">
        <f t="shared" si="7"/>
        <v>17.112241569446521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17.153469785412497</v>
      </c>
      <c r="G15" s="182">
        <f t="shared" si="15"/>
        <v>13.853469785412496</v>
      </c>
      <c r="H15" s="381"/>
      <c r="I15" s="381"/>
      <c r="J15" s="381"/>
      <c r="K15" s="63">
        <f t="shared" si="16"/>
        <v>0.90729946091474289</v>
      </c>
      <c r="L15" s="9" t="s">
        <v>18</v>
      </c>
      <c r="N15" s="68"/>
      <c r="O15" s="365"/>
      <c r="V15" s="14">
        <f t="shared" si="8"/>
        <v>1252</v>
      </c>
      <c r="W15" s="3">
        <f t="shared" si="9"/>
        <v>52.89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17.250153894186589</v>
      </c>
      <c r="AC15" s="10">
        <f t="shared" si="4"/>
        <v>17.250153894186589</v>
      </c>
      <c r="AE15" s="12">
        <f t="shared" si="5"/>
        <v>50</v>
      </c>
      <c r="AF15" s="10">
        <f t="shared" si="6"/>
        <v>15.96015389418659</v>
      </c>
      <c r="AG15" s="10">
        <f t="shared" si="7"/>
        <v>17.250153894186589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17.684205946972138</v>
      </c>
      <c r="G16" s="182">
        <f t="shared" si="15"/>
        <v>14.384205946972138</v>
      </c>
      <c r="H16" s="381"/>
      <c r="I16" s="381"/>
      <c r="J16" s="381"/>
      <c r="K16" s="63">
        <f t="shared" si="16"/>
        <v>0.53073616155964132</v>
      </c>
      <c r="L16" s="65"/>
      <c r="N16" s="66"/>
      <c r="O16" s="15"/>
      <c r="Q16" s="13"/>
      <c r="V16" s="14">
        <f t="shared" si="8"/>
        <v>1252</v>
      </c>
      <c r="W16" s="3">
        <f t="shared" si="9"/>
        <v>52.89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17.374910767158781</v>
      </c>
      <c r="AC16" s="10">
        <f t="shared" si="4"/>
        <v>17.374910767158781</v>
      </c>
      <c r="AE16" s="12">
        <f t="shared" si="5"/>
        <v>55</v>
      </c>
      <c r="AF16" s="10">
        <f t="shared" si="6"/>
        <v>16.035830767158782</v>
      </c>
      <c r="AG16" s="10">
        <f t="shared" si="7"/>
        <v>17.374910767158781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18.060769246327236</v>
      </c>
      <c r="G17" s="182">
        <f t="shared" si="15"/>
        <v>14.760769246327236</v>
      </c>
      <c r="H17" s="381"/>
      <c r="I17" s="381"/>
      <c r="J17" s="381"/>
      <c r="K17" s="63">
        <f t="shared" si="16"/>
        <v>0.37656329935509802</v>
      </c>
      <c r="L17" s="29">
        <f>D10</f>
        <v>1</v>
      </c>
      <c r="M17" s="3">
        <f>INT(B10/1440*10000)/10000</f>
        <v>0.86939999999999995</v>
      </c>
      <c r="N17" s="3">
        <f>L17*M17</f>
        <v>0.86939999999999995</v>
      </c>
      <c r="O17" s="3">
        <f>INT((D7/2/1000)^2*PI()*100000)/100000</f>
        <v>4.9079999999999999E-2</v>
      </c>
      <c r="P17" s="3">
        <f>INT(N17/O17*100)/100</f>
        <v>17.71</v>
      </c>
      <c r="Q17" s="13">
        <f>INT((G10-P17)*100)/100</f>
        <v>-6.88</v>
      </c>
      <c r="V17" s="14">
        <f t="shared" si="8"/>
        <v>1252</v>
      </c>
      <c r="W17" s="3">
        <f t="shared" si="9"/>
        <v>52.89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17.488804868801619</v>
      </c>
      <c r="AC17" s="10">
        <f t="shared" si="4"/>
        <v>17.488804868801619</v>
      </c>
      <c r="AE17" s="12">
        <f t="shared" si="5"/>
        <v>60</v>
      </c>
      <c r="AF17" s="10">
        <f t="shared" ref="AF17:AF48" si="17">AC17-$P$3</f>
        <v>16.19880486880162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18.352854433271848</v>
      </c>
      <c r="G18" s="182">
        <f t="shared" si="15"/>
        <v>15.052854433271847</v>
      </c>
      <c r="H18" s="381"/>
      <c r="I18" s="381"/>
      <c r="J18" s="381"/>
      <c r="K18" s="63">
        <f t="shared" si="16"/>
        <v>0.29208518694461105</v>
      </c>
      <c r="L18" s="29">
        <f t="shared" ref="L18:L31" si="18">D11</f>
        <v>2</v>
      </c>
      <c r="M18" s="3">
        <f>M17</f>
        <v>0.86939999999999995</v>
      </c>
      <c r="N18" s="3">
        <f t="shared" ref="N18:N27" si="19">L18*M18</f>
        <v>1.7387999999999999</v>
      </c>
      <c r="O18" s="3">
        <f>O17</f>
        <v>4.9079999999999999E-2</v>
      </c>
      <c r="P18" s="3">
        <f>INT(N18/O18*100)/100</f>
        <v>35.42</v>
      </c>
      <c r="Q18" s="13">
        <f t="shared" ref="Q18:Q27" si="20">INT((G11-P18)*100)/100</f>
        <v>-23.68</v>
      </c>
      <c r="V18" s="14">
        <f t="shared" si="8"/>
        <v>1252</v>
      </c>
      <c r="W18" s="3">
        <f t="shared" si="9"/>
        <v>52.89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17.78089005574623</v>
      </c>
      <c r="AC18" s="10">
        <f t="shared" si="4"/>
        <v>17.78089005574623</v>
      </c>
      <c r="AE18" s="12">
        <f t="shared" si="5"/>
        <v>75</v>
      </c>
      <c r="AF18" s="10">
        <f t="shared" si="17"/>
        <v>16.490890055746231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18.591505407886881</v>
      </c>
      <c r="G19" s="182">
        <f t="shared" si="15"/>
        <v>15.291505407886881</v>
      </c>
      <c r="H19" s="381"/>
      <c r="I19" s="381"/>
      <c r="J19" s="381"/>
      <c r="K19" s="63">
        <f t="shared" si="16"/>
        <v>0.23865097461503382</v>
      </c>
      <c r="L19" s="29">
        <f t="shared" si="18"/>
        <v>3</v>
      </c>
      <c r="M19" s="3">
        <f>M18</f>
        <v>0.86939999999999995</v>
      </c>
      <c r="N19" s="3">
        <f t="shared" si="19"/>
        <v>2.6082000000000001</v>
      </c>
      <c r="O19" s="3">
        <f t="shared" ref="O19:O31" si="21">O18</f>
        <v>4.9079999999999999E-2</v>
      </c>
      <c r="P19" s="3">
        <f>INT(N19/O19*100)/100</f>
        <v>53.14</v>
      </c>
      <c r="Q19" s="13">
        <f t="shared" si="20"/>
        <v>-40.869999999999997</v>
      </c>
      <c r="V19" s="14">
        <f t="shared" si="8"/>
        <v>1252</v>
      </c>
      <c r="W19" s="3">
        <f t="shared" si="9"/>
        <v>52.89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18.019541030361264</v>
      </c>
      <c r="AC19" s="10">
        <f t="shared" si="4"/>
        <v>18.019541030361264</v>
      </c>
      <c r="AE19" s="12">
        <f t="shared" si="5"/>
        <v>90</v>
      </c>
      <c r="AF19" s="10">
        <f t="shared" si="17"/>
        <v>16.729541030361265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18.793281931876962</v>
      </c>
      <c r="G20" s="182">
        <f t="shared" si="15"/>
        <v>15.493281931876961</v>
      </c>
      <c r="H20" s="381"/>
      <c r="I20" s="381"/>
      <c r="J20" s="381"/>
      <c r="K20" s="63">
        <f t="shared" si="16"/>
        <v>0.20177652399008039</v>
      </c>
      <c r="L20" s="29">
        <f t="shared" si="18"/>
        <v>4</v>
      </c>
      <c r="M20" s="3">
        <f>M19</f>
        <v>0.86939999999999995</v>
      </c>
      <c r="N20" s="3">
        <f t="shared" si="19"/>
        <v>3.4775999999999998</v>
      </c>
      <c r="O20" s="3">
        <f>O19</f>
        <v>4.9079999999999999E-2</v>
      </c>
      <c r="P20" s="3">
        <f>INT(N20/O20*100)/100</f>
        <v>70.849999999999994</v>
      </c>
      <c r="Q20" s="13">
        <f t="shared" si="20"/>
        <v>-58.2</v>
      </c>
      <c r="V20" s="14">
        <f t="shared" si="8"/>
        <v>1252</v>
      </c>
      <c r="W20" s="3">
        <f t="shared" si="9"/>
        <v>52.89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18.221317554351344</v>
      </c>
      <c r="AC20" s="10">
        <f t="shared" si="4"/>
        <v>18.221317554351344</v>
      </c>
      <c r="AE20" s="12">
        <f t="shared" si="5"/>
        <v>105</v>
      </c>
      <c r="AF20" s="10">
        <f t="shared" si="17"/>
        <v>16.931317554351345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18.968068707241976</v>
      </c>
      <c r="G21" s="182">
        <f t="shared" si="15"/>
        <v>15.668068707241975</v>
      </c>
      <c r="H21" s="381"/>
      <c r="I21" s="381"/>
      <c r="J21" s="381"/>
      <c r="K21" s="63">
        <f t="shared" si="16"/>
        <v>0.17478677536501408</v>
      </c>
      <c r="L21" s="29">
        <f t="shared" si="18"/>
        <v>5</v>
      </c>
      <c r="M21" s="3">
        <f>M20</f>
        <v>0.86939999999999995</v>
      </c>
      <c r="N21" s="3">
        <f t="shared" si="19"/>
        <v>4.3469999999999995</v>
      </c>
      <c r="O21" s="3">
        <f t="shared" si="21"/>
        <v>4.9079999999999999E-2</v>
      </c>
      <c r="P21" s="3">
        <f>INT(N21/O21*100)/100</f>
        <v>88.56</v>
      </c>
      <c r="Q21" s="13">
        <f t="shared" si="20"/>
        <v>-75.62</v>
      </c>
      <c r="V21" s="14">
        <f t="shared" si="8"/>
        <v>1252</v>
      </c>
      <c r="W21" s="3">
        <f t="shared" si="9"/>
        <v>52.89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18.396104329716358</v>
      </c>
      <c r="AC21" s="10">
        <f t="shared" si="4"/>
        <v>18.396104329716358</v>
      </c>
      <c r="AE21" s="12">
        <f t="shared" si="5"/>
        <v>120</v>
      </c>
      <c r="AF21" s="10">
        <f t="shared" si="17"/>
        <v>17.106104329716359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19.122241569446523</v>
      </c>
      <c r="G22" s="182">
        <f t="shared" si="15"/>
        <v>15.822241569446522</v>
      </c>
      <c r="H22" s="381"/>
      <c r="I22" s="381"/>
      <c r="J22" s="381"/>
      <c r="K22" s="63">
        <f t="shared" si="16"/>
        <v>0.15417286220454685</v>
      </c>
      <c r="L22" s="29">
        <f t="shared" si="18"/>
        <v>10</v>
      </c>
      <c r="M22" s="3">
        <f t="shared" ref="M22:M31" si="22">M21</f>
        <v>0.86939999999999995</v>
      </c>
      <c r="N22" s="3">
        <f t="shared" si="19"/>
        <v>8.6939999999999991</v>
      </c>
      <c r="O22" s="3">
        <f t="shared" si="21"/>
        <v>4.9079999999999999E-2</v>
      </c>
      <c r="P22" s="3">
        <f t="shared" ref="P22:P27" si="23">INT(N22/O22*100)/100</f>
        <v>177.13</v>
      </c>
      <c r="Q22" s="13">
        <f t="shared" si="20"/>
        <v>-163.28</v>
      </c>
      <c r="V22" s="14">
        <f t="shared" si="8"/>
        <v>1252</v>
      </c>
      <c r="W22" s="3">
        <f t="shared" si="9"/>
        <v>52.89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18.597880853706442</v>
      </c>
      <c r="AC22" s="10">
        <f t="shared" si="4"/>
        <v>18.597880853706442</v>
      </c>
      <c r="AE22" s="12">
        <f t="shared" si="5"/>
        <v>140</v>
      </c>
      <c r="AF22" s="10">
        <f t="shared" si="17"/>
        <v>17.307880853706443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19.26015389418659</v>
      </c>
      <c r="G23" s="182">
        <f t="shared" si="15"/>
        <v>15.96015389418659</v>
      </c>
      <c r="H23" s="381"/>
      <c r="I23" s="381"/>
      <c r="J23" s="381"/>
      <c r="K23" s="63">
        <f t="shared" si="16"/>
        <v>0.13791232474006776</v>
      </c>
      <c r="L23" s="29">
        <f t="shared" si="18"/>
        <v>15</v>
      </c>
      <c r="M23" s="3">
        <f t="shared" si="22"/>
        <v>0.86939999999999995</v>
      </c>
      <c r="N23" s="3">
        <f t="shared" si="19"/>
        <v>13.040999999999999</v>
      </c>
      <c r="O23" s="3">
        <f t="shared" si="21"/>
        <v>4.9079999999999999E-2</v>
      </c>
      <c r="P23" s="3">
        <f t="shared" si="23"/>
        <v>265.7</v>
      </c>
      <c r="Q23" s="13">
        <f t="shared" si="20"/>
        <v>-251.32</v>
      </c>
      <c r="V23" s="14">
        <f t="shared" si="8"/>
        <v>1252</v>
      </c>
      <c r="W23" s="3">
        <f t="shared" si="9"/>
        <v>52.89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18.772667629071456</v>
      </c>
      <c r="AC23" s="10">
        <f t="shared" si="4"/>
        <v>18.772667629071456</v>
      </c>
      <c r="AE23" s="12">
        <f t="shared" si="5"/>
        <v>160</v>
      </c>
      <c r="AF23" s="10">
        <f t="shared" si="17"/>
        <v>17.482667629071457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19.335830767158782</v>
      </c>
      <c r="G24" s="182">
        <f t="shared" si="15"/>
        <v>16.035830767158782</v>
      </c>
      <c r="H24" s="381"/>
      <c r="I24" s="381"/>
      <c r="J24" s="381"/>
      <c r="K24" s="63">
        <f t="shared" si="16"/>
        <v>7.5676872972191944E-2</v>
      </c>
      <c r="L24" s="29">
        <f t="shared" si="18"/>
        <v>20</v>
      </c>
      <c r="M24" s="3">
        <f t="shared" si="22"/>
        <v>0.86939999999999995</v>
      </c>
      <c r="N24" s="3">
        <f t="shared" si="19"/>
        <v>17.387999999999998</v>
      </c>
      <c r="O24" s="3">
        <f t="shared" si="21"/>
        <v>4.9079999999999999E-2</v>
      </c>
      <c r="P24" s="3">
        <f t="shared" si="23"/>
        <v>354.27</v>
      </c>
      <c r="Q24" s="13">
        <f t="shared" si="20"/>
        <v>-339.51</v>
      </c>
      <c r="V24" s="14">
        <f t="shared" si="8"/>
        <v>1252</v>
      </c>
      <c r="W24" s="3">
        <f t="shared" si="9"/>
        <v>52.89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18.926840491276003</v>
      </c>
      <c r="AC24" s="10">
        <f t="shared" si="4"/>
        <v>18.926840491276003</v>
      </c>
      <c r="AE24" s="12">
        <f t="shared" si="5"/>
        <v>180</v>
      </c>
      <c r="AF24" s="10">
        <f t="shared" si="17"/>
        <v>17.636840491276004</v>
      </c>
    </row>
    <row r="25" spans="1:32" s="3" customFormat="1" ht="21" customHeight="1" x14ac:dyDescent="0.15">
      <c r="A25" s="54"/>
      <c r="B25" s="54"/>
      <c r="C25" s="55">
        <f>$C$10+D25/1440</f>
        <v>44333.4375</v>
      </c>
      <c r="D25" s="181">
        <v>60</v>
      </c>
      <c r="E25" s="249">
        <f t="shared" si="13"/>
        <v>4.1666666666666664E-2</v>
      </c>
      <c r="F25" s="182">
        <f t="shared" si="14"/>
        <v>19.498804868801621</v>
      </c>
      <c r="G25" s="182">
        <f t="shared" si="15"/>
        <v>16.19880486880162</v>
      </c>
      <c r="H25" s="381"/>
      <c r="I25" s="381"/>
      <c r="J25" s="381"/>
      <c r="K25" s="63">
        <f t="shared" si="16"/>
        <v>0.16297410164283832</v>
      </c>
      <c r="L25" s="29">
        <f t="shared" si="18"/>
        <v>25</v>
      </c>
      <c r="M25" s="3">
        <f t="shared" si="22"/>
        <v>0.86939999999999995</v>
      </c>
      <c r="N25" s="3">
        <f t="shared" si="19"/>
        <v>21.734999999999999</v>
      </c>
      <c r="O25" s="3">
        <f t="shared" si="21"/>
        <v>4.9079999999999999E-2</v>
      </c>
      <c r="P25" s="3">
        <f t="shared" si="23"/>
        <v>442.84</v>
      </c>
      <c r="Q25" s="13">
        <f t="shared" si="20"/>
        <v>-427.79</v>
      </c>
      <c r="V25" s="14">
        <f t="shared" si="8"/>
        <v>1252</v>
      </c>
      <c r="W25" s="3">
        <f t="shared" si="9"/>
        <v>52.89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19.303403790631098</v>
      </c>
      <c r="AC25" s="10">
        <f t="shared" si="4"/>
        <v>19.303403790631098</v>
      </c>
      <c r="AE25" s="12">
        <f t="shared" si="5"/>
        <v>240</v>
      </c>
      <c r="AF25" s="10">
        <f t="shared" si="17"/>
        <v>18.013403790631099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19.790890055746232</v>
      </c>
      <c r="G26" s="182">
        <f t="shared" si="15"/>
        <v>16.490890055746231</v>
      </c>
      <c r="H26" s="381"/>
      <c r="I26" s="381"/>
      <c r="J26" s="381"/>
      <c r="K26" s="63">
        <f t="shared" si="16"/>
        <v>0.29208518694461105</v>
      </c>
      <c r="L26" s="29">
        <f t="shared" si="18"/>
        <v>30</v>
      </c>
      <c r="M26" s="3">
        <f t="shared" si="22"/>
        <v>0.86939999999999995</v>
      </c>
      <c r="N26" s="3">
        <f t="shared" si="19"/>
        <v>26.081999999999997</v>
      </c>
      <c r="O26" s="3">
        <f t="shared" si="21"/>
        <v>4.9079999999999999E-2</v>
      </c>
      <c r="P26" s="3">
        <f t="shared" si="23"/>
        <v>531.41</v>
      </c>
      <c r="Q26" s="13">
        <f t="shared" si="20"/>
        <v>-516.12</v>
      </c>
      <c r="V26" s="14">
        <f t="shared" si="8"/>
        <v>1252</v>
      </c>
      <c r="W26" s="3">
        <f t="shared" si="9"/>
        <v>52.89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19.595488977575712</v>
      </c>
      <c r="AC26" s="10">
        <f t="shared" si="4"/>
        <v>19.595488977575712</v>
      </c>
      <c r="AE26" s="12">
        <f t="shared" si="5"/>
        <v>300</v>
      </c>
      <c r="AF26" s="10">
        <f t="shared" si="17"/>
        <v>18.305488977575713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20.029541030361266</v>
      </c>
      <c r="G27" s="182">
        <f t="shared" si="15"/>
        <v>16.729541030361265</v>
      </c>
      <c r="H27" s="381"/>
      <c r="I27" s="381"/>
      <c r="J27" s="381"/>
      <c r="K27" s="63">
        <f t="shared" si="16"/>
        <v>0.23865097461503382</v>
      </c>
      <c r="L27" s="29">
        <f t="shared" si="18"/>
        <v>35</v>
      </c>
      <c r="M27" s="3">
        <f t="shared" si="22"/>
        <v>0.86939999999999995</v>
      </c>
      <c r="N27" s="3">
        <f t="shared" si="19"/>
        <v>30.428999999999998</v>
      </c>
      <c r="O27" s="3">
        <f t="shared" si="21"/>
        <v>4.9079999999999999E-2</v>
      </c>
      <c r="P27" s="3">
        <f t="shared" si="23"/>
        <v>619.98</v>
      </c>
      <c r="Q27" s="13">
        <f t="shared" si="20"/>
        <v>-604.49</v>
      </c>
      <c r="V27" s="14">
        <f t="shared" si="8"/>
        <v>1252</v>
      </c>
      <c r="W27" s="3">
        <f t="shared" si="9"/>
        <v>52.89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19.834139952190743</v>
      </c>
      <c r="AC27" s="10">
        <f t="shared" si="4"/>
        <v>19.834139952190743</v>
      </c>
      <c r="AE27" s="12">
        <f t="shared" si="5"/>
        <v>360</v>
      </c>
      <c r="AF27" s="10">
        <f t="shared" si="17"/>
        <v>18.544139952190744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20.231317554351346</v>
      </c>
      <c r="G28" s="182">
        <f t="shared" si="15"/>
        <v>16.931317554351345</v>
      </c>
      <c r="H28" s="381"/>
      <c r="I28" s="381"/>
      <c r="J28" s="381"/>
      <c r="K28" s="63">
        <f t="shared" si="16"/>
        <v>0.20177652399008039</v>
      </c>
      <c r="L28" s="29">
        <f t="shared" si="18"/>
        <v>40</v>
      </c>
      <c r="M28" s="3">
        <f t="shared" si="22"/>
        <v>0.86939999999999995</v>
      </c>
      <c r="N28" s="3">
        <f>L28*M28</f>
        <v>34.775999999999996</v>
      </c>
      <c r="O28" s="3">
        <f t="shared" si="21"/>
        <v>4.9079999999999999E-2</v>
      </c>
      <c r="P28" s="3">
        <f>INT(N28/O28*100)/100</f>
        <v>708.55</v>
      </c>
      <c r="Q28" s="13">
        <f>INT((G21-P28)*100)/100</f>
        <v>-692.89</v>
      </c>
      <c r="V28" s="14">
        <f t="shared" si="8"/>
        <v>1252</v>
      </c>
      <c r="W28" s="3">
        <f t="shared" si="9"/>
        <v>52.89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20.035916476180827</v>
      </c>
      <c r="AC28" s="10">
        <f t="shared" si="4"/>
        <v>20.035916476180827</v>
      </c>
      <c r="AE28" s="12">
        <f t="shared" si="5"/>
        <v>420</v>
      </c>
      <c r="AF28" s="10">
        <f t="shared" si="17"/>
        <v>18.745916476180827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20.40610432971636</v>
      </c>
      <c r="G29" s="182">
        <f t="shared" si="15"/>
        <v>17.106104329716359</v>
      </c>
      <c r="H29" s="381"/>
      <c r="I29" s="381"/>
      <c r="J29" s="381"/>
      <c r="K29" s="63">
        <f t="shared" si="16"/>
        <v>0.17478677536501408</v>
      </c>
      <c r="L29" s="29">
        <f t="shared" si="18"/>
        <v>45</v>
      </c>
      <c r="M29" s="3">
        <f t="shared" si="22"/>
        <v>0.86939999999999995</v>
      </c>
      <c r="N29" s="3">
        <f>L29*M29</f>
        <v>39.122999999999998</v>
      </c>
      <c r="O29" s="3">
        <f t="shared" si="21"/>
        <v>4.9079999999999999E-2</v>
      </c>
      <c r="P29" s="3">
        <f>INT(N29/O29*100)/100</f>
        <v>797.12</v>
      </c>
      <c r="Q29" s="13">
        <f>INT((G22-P29)*100)/100</f>
        <v>-781.3</v>
      </c>
      <c r="V29" s="14">
        <f t="shared" si="8"/>
        <v>1252</v>
      </c>
      <c r="W29" s="3">
        <f t="shared" si="9"/>
        <v>52.89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20.210703251545841</v>
      </c>
      <c r="AC29" s="10">
        <f t="shared" si="4"/>
        <v>20.210703251545841</v>
      </c>
      <c r="AE29" s="12">
        <f t="shared" si="5"/>
        <v>480</v>
      </c>
      <c r="AF29" s="10">
        <f t="shared" si="17"/>
        <v>18.920703251545842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20.607880853706444</v>
      </c>
      <c r="G30" s="182">
        <f t="shared" si="15"/>
        <v>17.307880853706443</v>
      </c>
      <c r="H30" s="381"/>
      <c r="I30" s="381"/>
      <c r="J30" s="381"/>
      <c r="K30" s="63">
        <f t="shared" si="16"/>
        <v>0.20177652399008394</v>
      </c>
      <c r="L30" s="29">
        <f t="shared" si="18"/>
        <v>50</v>
      </c>
      <c r="M30" s="3">
        <f t="shared" si="22"/>
        <v>0.86939999999999995</v>
      </c>
      <c r="N30" s="3">
        <f>L30*M30</f>
        <v>43.47</v>
      </c>
      <c r="O30" s="3">
        <f t="shared" si="21"/>
        <v>4.9079999999999999E-2</v>
      </c>
      <c r="P30" s="3">
        <f>INT(N30/O30*100)/100</f>
        <v>885.69</v>
      </c>
      <c r="Q30" s="13">
        <f>INT((G23-P30)*100)/100</f>
        <v>-869.73</v>
      </c>
      <c r="V30" s="14">
        <f t="shared" si="8"/>
        <v>1252</v>
      </c>
      <c r="W30" s="3">
        <f t="shared" si="9"/>
        <v>52.89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20.364876113750388</v>
      </c>
      <c r="AC30" s="10">
        <f t="shared" si="4"/>
        <v>20.364876113750388</v>
      </c>
      <c r="AE30" s="12">
        <f t="shared" si="5"/>
        <v>540</v>
      </c>
      <c r="AF30" s="10">
        <f t="shared" si="17"/>
        <v>19.074876113750388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20.782667629071458</v>
      </c>
      <c r="G31" s="182">
        <f t="shared" si="15"/>
        <v>17.482667629071457</v>
      </c>
      <c r="H31" s="381"/>
      <c r="I31" s="381"/>
      <c r="J31" s="381"/>
      <c r="K31" s="63">
        <f t="shared" si="16"/>
        <v>0.17478677536501408</v>
      </c>
      <c r="L31" s="29">
        <f t="shared" si="18"/>
        <v>55</v>
      </c>
      <c r="M31" s="3">
        <f t="shared" si="22"/>
        <v>0.86939999999999995</v>
      </c>
      <c r="N31" s="3">
        <f>L31*M31</f>
        <v>47.817</v>
      </c>
      <c r="O31" s="3">
        <f t="shared" si="21"/>
        <v>4.9079999999999999E-2</v>
      </c>
      <c r="P31" s="3">
        <f>INT(N31/O31*100)/100</f>
        <v>974.26</v>
      </c>
      <c r="Q31" s="13">
        <f>INT((G24-P31)*100)/100</f>
        <v>-958.23</v>
      </c>
      <c r="V31" s="14">
        <f t="shared" si="8"/>
        <v>1252</v>
      </c>
      <c r="W31" s="3">
        <f t="shared" si="9"/>
        <v>52.89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20.502788438490452</v>
      </c>
      <c r="AC31" s="10">
        <f t="shared" si="4"/>
        <v>20.502788438490452</v>
      </c>
      <c r="AE31" s="12">
        <f t="shared" si="5"/>
        <v>600</v>
      </c>
      <c r="AF31" s="10">
        <f t="shared" si="17"/>
        <v>19.212788438490453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20.936840491276005</v>
      </c>
      <c r="G32" s="182">
        <f t="shared" si="15"/>
        <v>17.636840491276004</v>
      </c>
      <c r="H32" s="381"/>
      <c r="I32" s="381"/>
      <c r="J32" s="381"/>
      <c r="K32" s="63">
        <f t="shared" si="16"/>
        <v>0.15417286220454685</v>
      </c>
      <c r="L32" s="65" t="s">
        <v>18</v>
      </c>
      <c r="O32" s="67"/>
      <c r="V32" s="14">
        <f t="shared" si="8"/>
        <v>1252</v>
      </c>
      <c r="W32" s="3">
        <f t="shared" si="9"/>
        <v>52.89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20.627545311462644</v>
      </c>
      <c r="AC32" s="10">
        <f t="shared" si="4"/>
        <v>20.627545311462644</v>
      </c>
      <c r="AE32" s="12">
        <f t="shared" si="5"/>
        <v>660</v>
      </c>
      <c r="AF32" s="10">
        <f t="shared" si="17"/>
        <v>19.337545311462645</v>
      </c>
    </row>
    <row r="33" spans="1:32" s="3" customFormat="1" ht="21" customHeight="1" x14ac:dyDescent="0.15">
      <c r="A33" s="54"/>
      <c r="B33" s="54"/>
      <c r="C33" s="55">
        <f>$C$10+D33/1440</f>
        <v>44333.5625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21.313403790631099</v>
      </c>
      <c r="G33" s="182">
        <f t="shared" si="15"/>
        <v>18.013403790631099</v>
      </c>
      <c r="H33" s="381"/>
      <c r="I33" s="381"/>
      <c r="J33" s="381"/>
      <c r="K33" s="63">
        <f t="shared" si="16"/>
        <v>0.37656329935509447</v>
      </c>
      <c r="L33" s="9" t="s">
        <v>18</v>
      </c>
      <c r="O33" s="67"/>
      <c r="V33" s="14">
        <f t="shared" si="8"/>
        <v>1252</v>
      </c>
      <c r="W33" s="3">
        <f t="shared" si="9"/>
        <v>52.89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20.741439413105482</v>
      </c>
      <c r="AC33" s="10">
        <f t="shared" si="4"/>
        <v>20.741439413105482</v>
      </c>
      <c r="AE33" s="12">
        <f t="shared" si="5"/>
        <v>720</v>
      </c>
      <c r="AF33" s="10">
        <f t="shared" si="17"/>
        <v>19.451439413105483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21.605488977575714</v>
      </c>
      <c r="G34" s="182">
        <f t="shared" si="15"/>
        <v>18.305488977575713</v>
      </c>
      <c r="H34" s="381"/>
      <c r="I34" s="381"/>
      <c r="J34" s="381"/>
      <c r="K34" s="63">
        <f t="shared" si="16"/>
        <v>0.29208518694461461</v>
      </c>
      <c r="L34" s="9" t="s">
        <v>18</v>
      </c>
      <c r="P34" s="67"/>
      <c r="V34" s="14">
        <f t="shared" si="8"/>
        <v>1252</v>
      </c>
      <c r="W34" s="3">
        <f t="shared" si="9"/>
        <v>52.89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20.846211830218525</v>
      </c>
      <c r="AC34" s="10">
        <f t="shared" si="4"/>
        <v>20.846211830218525</v>
      </c>
      <c r="AE34" s="12">
        <f t="shared" si="5"/>
        <v>780</v>
      </c>
      <c r="AF34" s="10">
        <f t="shared" si="17"/>
        <v>19.556211830218526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21.844139952190744</v>
      </c>
      <c r="G35" s="182">
        <f t="shared" si="15"/>
        <v>18.544139952190744</v>
      </c>
      <c r="H35" s="381"/>
      <c r="I35" s="381"/>
      <c r="J35" s="381"/>
      <c r="K35" s="63">
        <f t="shared" si="16"/>
        <v>0.23865097461503026</v>
      </c>
      <c r="L35" s="9" t="s">
        <v>18</v>
      </c>
      <c r="O35" s="67"/>
      <c r="V35" s="14">
        <f t="shared" si="8"/>
        <v>1252</v>
      </c>
      <c r="W35" s="3">
        <f t="shared" si="9"/>
        <v>52.89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20.846211830218525</v>
      </c>
      <c r="AC35" s="10">
        <f t="shared" ref="AC35:AC38" si="27">AC34</f>
        <v>20.846211830218525</v>
      </c>
      <c r="AE35" s="12">
        <f t="shared" si="5"/>
        <v>840</v>
      </c>
      <c r="AF35" s="10">
        <f t="shared" si="17"/>
        <v>19.556211830218526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22.045916476180828</v>
      </c>
      <c r="G36" s="182">
        <f t="shared" si="15"/>
        <v>18.745916476180827</v>
      </c>
      <c r="H36" s="381"/>
      <c r="I36" s="381"/>
      <c r="J36" s="381"/>
      <c r="K36" s="63">
        <f t="shared" si="16"/>
        <v>0.20177652399008394</v>
      </c>
      <c r="L36" s="9" t="s">
        <v>18</v>
      </c>
      <c r="V36" s="14">
        <f t="shared" si="8"/>
        <v>1252</v>
      </c>
      <c r="W36" s="3">
        <f t="shared" si="9"/>
        <v>52.89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20.846211830218525</v>
      </c>
      <c r="AC36" s="10">
        <f t="shared" si="27"/>
        <v>20.846211830218525</v>
      </c>
      <c r="AE36" s="12">
        <f t="shared" si="5"/>
        <v>900</v>
      </c>
      <c r="AF36" s="10">
        <f t="shared" si="17"/>
        <v>19.556211830218526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22.220703251545842</v>
      </c>
      <c r="G37" s="182">
        <f t="shared" si="15"/>
        <v>18.920703251545842</v>
      </c>
      <c r="H37" s="381"/>
      <c r="I37" s="381"/>
      <c r="J37" s="381"/>
      <c r="K37" s="63">
        <f t="shared" si="16"/>
        <v>0.17478677536501408</v>
      </c>
      <c r="L37" s="9" t="s">
        <v>18</v>
      </c>
      <c r="V37" s="14">
        <f t="shared" si="8"/>
        <v>1252</v>
      </c>
      <c r="W37" s="3">
        <f t="shared" si="9"/>
        <v>52.89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20.846211830218525</v>
      </c>
      <c r="AC37" s="10">
        <f t="shared" si="27"/>
        <v>20.846211830218525</v>
      </c>
      <c r="AD37" s="3">
        <v>37</v>
      </c>
      <c r="AE37" s="12">
        <f t="shared" si="5"/>
        <v>960</v>
      </c>
      <c r="AF37" s="10">
        <f t="shared" si="17"/>
        <v>19.556211830218526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22.374876113750389</v>
      </c>
      <c r="G38" s="182">
        <f t="shared" si="15"/>
        <v>19.074876113750388</v>
      </c>
      <c r="H38" s="381"/>
      <c r="I38" s="381"/>
      <c r="J38" s="381"/>
      <c r="K38" s="63">
        <f t="shared" si="16"/>
        <v>0.15417286220454685</v>
      </c>
      <c r="L38" s="9" t="s">
        <v>18</v>
      </c>
      <c r="V38" s="14">
        <f t="shared" si="8"/>
        <v>1252</v>
      </c>
      <c r="W38" s="3">
        <f t="shared" si="9"/>
        <v>52.89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20.846211830218525</v>
      </c>
      <c r="AC38" s="10">
        <f t="shared" si="27"/>
        <v>20.846211830218525</v>
      </c>
      <c r="AD38" s="29" t="s">
        <v>28</v>
      </c>
      <c r="AE38" s="12">
        <f t="shared" si="5"/>
        <v>1020</v>
      </c>
      <c r="AF38" s="10">
        <f t="shared" si="17"/>
        <v>19.556211830218526</v>
      </c>
    </row>
    <row r="39" spans="1:32" s="3" customFormat="1" ht="21" customHeight="1" x14ac:dyDescent="0.15">
      <c r="A39" s="54"/>
      <c r="B39" s="54"/>
      <c r="C39" s="55">
        <f>$C$10+D39/1440</f>
        <v>44333.8125</v>
      </c>
      <c r="D39" s="181">
        <f t="shared" si="25"/>
        <v>600</v>
      </c>
      <c r="E39" s="249">
        <f t="shared" si="24"/>
        <v>0.41666666666666669</v>
      </c>
      <c r="F39" s="182">
        <f t="shared" si="14"/>
        <v>22.512788438490453</v>
      </c>
      <c r="G39" s="182">
        <f t="shared" si="15"/>
        <v>19.212788438490453</v>
      </c>
      <c r="H39" s="381"/>
      <c r="I39" s="381"/>
      <c r="J39" s="381"/>
      <c r="K39" s="63">
        <f t="shared" si="16"/>
        <v>0.13791232474006421</v>
      </c>
      <c r="L39" s="9" t="s">
        <v>18</v>
      </c>
      <c r="V39" s="14">
        <f t="shared" si="8"/>
        <v>1252</v>
      </c>
      <c r="W39" s="3">
        <f t="shared" si="9"/>
        <v>52.89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20.846211830218525</v>
      </c>
      <c r="AC39" s="10">
        <f t="shared" ref="AC39:AC41" si="28">AC38</f>
        <v>20.846211830218525</v>
      </c>
      <c r="AD39" s="356">
        <v>39</v>
      </c>
      <c r="AE39" s="12">
        <f t="shared" si="5"/>
        <v>1080</v>
      </c>
      <c r="AF39" s="10">
        <f t="shared" si="17"/>
        <v>19.556211830218526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22.637545311462645</v>
      </c>
      <c r="G40" s="182">
        <f t="shared" si="15"/>
        <v>19.337545311462645</v>
      </c>
      <c r="H40" s="381"/>
      <c r="I40" s="381"/>
      <c r="J40" s="381"/>
      <c r="K40" s="63">
        <f t="shared" si="16"/>
        <v>0.12475687297219196</v>
      </c>
      <c r="L40" s="9" t="s">
        <v>18</v>
      </c>
      <c r="V40" s="14">
        <f t="shared" si="8"/>
        <v>1252</v>
      </c>
      <c r="W40" s="3">
        <f t="shared" si="9"/>
        <v>52.89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20.846211830218525</v>
      </c>
      <c r="AC40" s="10">
        <f t="shared" si="28"/>
        <v>20.846211830218525</v>
      </c>
      <c r="AD40" s="356">
        <v>40</v>
      </c>
      <c r="AE40" s="12">
        <f t="shared" si="5"/>
        <v>1140</v>
      </c>
      <c r="AF40" s="10">
        <f t="shared" si="17"/>
        <v>19.556211830218526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22.751439413105484</v>
      </c>
      <c r="G41" s="182">
        <f t="shared" si="15"/>
        <v>19.451439413105483</v>
      </c>
      <c r="H41" s="381"/>
      <c r="I41" s="381"/>
      <c r="J41" s="381"/>
      <c r="K41" s="63">
        <f t="shared" si="16"/>
        <v>0.11389410164283831</v>
      </c>
      <c r="L41" s="9" t="s">
        <v>18</v>
      </c>
      <c r="V41" s="353">
        <f t="shared" si="8"/>
        <v>1252</v>
      </c>
      <c r="W41" s="352">
        <f t="shared" si="9"/>
        <v>52.89</v>
      </c>
      <c r="X41" s="352">
        <f t="shared" si="10"/>
        <v>0.125</v>
      </c>
      <c r="Y41" s="352">
        <f t="shared" si="11"/>
        <v>5.0000000000000001E-4</v>
      </c>
      <c r="Z41" s="352">
        <f t="shared" si="2"/>
        <v>0.83333333333333337</v>
      </c>
      <c r="AA41" s="354">
        <f t="shared" si="12"/>
        <v>1200</v>
      </c>
      <c r="AB41" s="355">
        <f t="shared" si="26"/>
        <v>20.846211830218525</v>
      </c>
      <c r="AC41" s="10">
        <f t="shared" si="28"/>
        <v>20.846211830218525</v>
      </c>
      <c r="AD41" s="357">
        <v>41</v>
      </c>
      <c r="AE41" s="12">
        <f t="shared" si="5"/>
        <v>1200</v>
      </c>
      <c r="AF41" s="10">
        <f t="shared" si="17"/>
        <v>19.556211830218526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22.856211830218527</v>
      </c>
      <c r="G42" s="182">
        <f t="shared" si="15"/>
        <v>19.556211830218526</v>
      </c>
      <c r="H42" s="381"/>
      <c r="I42" s="381"/>
      <c r="J42" s="381"/>
      <c r="K42" s="63">
        <f t="shared" si="16"/>
        <v>0.1047724171130433</v>
      </c>
      <c r="L42" s="9" t="s">
        <v>18</v>
      </c>
      <c r="V42" s="14">
        <f t="shared" si="8"/>
        <v>1252</v>
      </c>
      <c r="W42" s="3">
        <f t="shared" si="9"/>
        <v>52.89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20.846211830218525</v>
      </c>
      <c r="AC42" s="10">
        <f t="shared" ref="AC42:AC46" si="30">AC41</f>
        <v>20.846211830218525</v>
      </c>
      <c r="AD42" s="356">
        <v>42</v>
      </c>
      <c r="AE42" s="12">
        <f t="shared" si="5"/>
        <v>1260</v>
      </c>
      <c r="AF42" s="10">
        <f t="shared" si="17"/>
        <v>19.556211830218526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22.856211830218527</v>
      </c>
      <c r="G43" s="182">
        <f t="shared" si="15"/>
        <v>19.556211830218526</v>
      </c>
      <c r="H43" s="381"/>
      <c r="I43" s="381"/>
      <c r="J43" s="381"/>
      <c r="K43" s="63">
        <f t="shared" si="16"/>
        <v>0</v>
      </c>
      <c r="L43" s="9" t="s">
        <v>18</v>
      </c>
      <c r="V43" s="353">
        <f t="shared" si="8"/>
        <v>1252</v>
      </c>
      <c r="W43" s="352">
        <f t="shared" si="9"/>
        <v>52.89</v>
      </c>
      <c r="X43" s="352">
        <f t="shared" si="10"/>
        <v>0.125</v>
      </c>
      <c r="Y43" s="352">
        <f t="shared" si="11"/>
        <v>5.0000000000000001E-4</v>
      </c>
      <c r="Z43" s="352">
        <f t="shared" si="2"/>
        <v>0.91666666666666663</v>
      </c>
      <c r="AA43" s="354">
        <f t="shared" si="29"/>
        <v>1320</v>
      </c>
      <c r="AB43" s="355">
        <f t="shared" si="26"/>
        <v>20.846211830218525</v>
      </c>
      <c r="AC43" s="10">
        <f t="shared" si="30"/>
        <v>20.846211830218525</v>
      </c>
      <c r="AD43" s="357">
        <v>43</v>
      </c>
      <c r="AE43" s="12">
        <f t="shared" si="5"/>
        <v>1320</v>
      </c>
      <c r="AF43" s="10">
        <f t="shared" si="17"/>
        <v>19.556211830218526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22.856211830218527</v>
      </c>
      <c r="G44" s="182">
        <f t="shared" si="15"/>
        <v>19.556211830218526</v>
      </c>
      <c r="H44" s="381"/>
      <c r="I44" s="381"/>
      <c r="J44" s="381"/>
      <c r="K44" s="63">
        <f t="shared" si="16"/>
        <v>0</v>
      </c>
      <c r="L44" s="9" t="s">
        <v>18</v>
      </c>
      <c r="V44" s="14">
        <f t="shared" si="8"/>
        <v>1252</v>
      </c>
      <c r="W44" s="3">
        <f t="shared" si="9"/>
        <v>52.89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20.846211830218525</v>
      </c>
      <c r="AC44" s="10">
        <f t="shared" si="30"/>
        <v>20.846211830218525</v>
      </c>
      <c r="AD44" s="356">
        <v>44</v>
      </c>
      <c r="AE44" s="12">
        <f t="shared" si="5"/>
        <v>1380</v>
      </c>
      <c r="AF44" s="10">
        <f t="shared" si="17"/>
        <v>19.556211830218526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44334.0625</v>
      </c>
      <c r="D45" s="181">
        <f t="shared" si="25"/>
        <v>960</v>
      </c>
      <c r="E45" s="249">
        <f t="shared" si="31"/>
        <v>0.66666666666666663</v>
      </c>
      <c r="F45" s="182">
        <f t="shared" si="14"/>
        <v>22.856211830218527</v>
      </c>
      <c r="G45" s="182">
        <f t="shared" si="15"/>
        <v>19.556211830218526</v>
      </c>
      <c r="H45" s="381"/>
      <c r="I45" s="381"/>
      <c r="J45" s="381"/>
      <c r="K45" s="63">
        <f t="shared" si="16"/>
        <v>0</v>
      </c>
      <c r="L45" s="9" t="s">
        <v>18</v>
      </c>
      <c r="V45" s="353">
        <f t="shared" si="8"/>
        <v>1252</v>
      </c>
      <c r="W45" s="352">
        <f t="shared" si="9"/>
        <v>52.89</v>
      </c>
      <c r="X45" s="352">
        <f t="shared" si="10"/>
        <v>0.125</v>
      </c>
      <c r="Y45" s="352">
        <f t="shared" si="11"/>
        <v>5.0000000000000001E-4</v>
      </c>
      <c r="Z45" s="352">
        <f t="shared" si="2"/>
        <v>1</v>
      </c>
      <c r="AA45" s="354">
        <f t="shared" si="29"/>
        <v>1440</v>
      </c>
      <c r="AB45" s="355">
        <f t="shared" si="26"/>
        <v>20.846211830218525</v>
      </c>
      <c r="AC45" s="10">
        <f t="shared" si="30"/>
        <v>20.846211830218525</v>
      </c>
      <c r="AD45" s="357">
        <v>45</v>
      </c>
      <c r="AE45" s="12">
        <f t="shared" si="5"/>
        <v>1440</v>
      </c>
      <c r="AF45" s="10">
        <f t="shared" si="17"/>
        <v>19.556211830218526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22.856211830218527</v>
      </c>
      <c r="G46" s="182">
        <f t="shared" si="15"/>
        <v>19.556211830218526</v>
      </c>
      <c r="H46" s="381"/>
      <c r="I46" s="381"/>
      <c r="J46" s="381"/>
      <c r="K46" s="63">
        <f t="shared" si="16"/>
        <v>0</v>
      </c>
      <c r="L46" s="9" t="s">
        <v>18</v>
      </c>
      <c r="V46" s="14">
        <f t="shared" si="8"/>
        <v>1252</v>
      </c>
      <c r="W46" s="3">
        <f t="shared" si="9"/>
        <v>52.89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9"/>
        <v>1500</v>
      </c>
      <c r="AB46" s="320">
        <f t="shared" si="26"/>
        <v>20.846211830218525</v>
      </c>
      <c r="AC46" s="10">
        <f t="shared" si="30"/>
        <v>20.846211830218525</v>
      </c>
      <c r="AD46" s="356">
        <v>46</v>
      </c>
      <c r="AE46" s="319">
        <f t="shared" si="5"/>
        <v>1500</v>
      </c>
      <c r="AF46" s="321">
        <f t="shared" si="17"/>
        <v>19.556211830218526</v>
      </c>
    </row>
    <row r="47" spans="1:32" s="3" customFormat="1" ht="21" customHeight="1" x14ac:dyDescent="0.15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22.856211830218527</v>
      </c>
      <c r="G47" s="182">
        <f t="shared" si="15"/>
        <v>19.556211830218526</v>
      </c>
      <c r="H47" s="381"/>
      <c r="I47" s="381"/>
      <c r="J47" s="381"/>
      <c r="K47" s="63">
        <f t="shared" si="16"/>
        <v>0</v>
      </c>
      <c r="L47" s="9" t="s">
        <v>18</v>
      </c>
      <c r="V47" s="14">
        <f t="shared" si="8"/>
        <v>1252</v>
      </c>
      <c r="W47" s="3">
        <f t="shared" si="9"/>
        <v>52.89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20.846211830218525</v>
      </c>
      <c r="AC47" s="10">
        <f t="shared" ref="AC47" si="33">AC46</f>
        <v>20.846211830218525</v>
      </c>
      <c r="AE47" s="12">
        <f t="shared" si="5"/>
        <v>1560</v>
      </c>
      <c r="AF47" s="10">
        <f t="shared" si="17"/>
        <v>19.556211830218526</v>
      </c>
    </row>
    <row r="48" spans="1:32" s="3" customFormat="1" ht="21" customHeight="1" x14ac:dyDescent="0.15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22.856211830218527</v>
      </c>
      <c r="G48" s="182">
        <f t="shared" si="15"/>
        <v>19.556211830218526</v>
      </c>
      <c r="H48" s="381"/>
      <c r="I48" s="381"/>
      <c r="J48" s="381"/>
      <c r="K48" s="3" t="s">
        <v>18</v>
      </c>
      <c r="L48" s="9" t="s">
        <v>18</v>
      </c>
      <c r="V48" s="14">
        <f t="shared" si="8"/>
        <v>1252</v>
      </c>
      <c r="W48" s="3">
        <f t="shared" si="9"/>
        <v>52.89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20.846211830218525</v>
      </c>
      <c r="AC48" s="10">
        <f t="shared" ref="AC48:AC52" si="34">AC47</f>
        <v>20.846211830218525</v>
      </c>
      <c r="AE48" s="12">
        <f t="shared" si="5"/>
        <v>1620</v>
      </c>
      <c r="AF48" s="10">
        <f t="shared" si="17"/>
        <v>19.556211830218526</v>
      </c>
    </row>
    <row r="49" spans="1:32" s="3" customFormat="1" ht="21" customHeight="1" x14ac:dyDescent="0.15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22.856211830218527</v>
      </c>
      <c r="G49" s="182">
        <f t="shared" si="15"/>
        <v>19.556211830218526</v>
      </c>
      <c r="H49" s="381"/>
      <c r="I49" s="381"/>
      <c r="J49" s="381"/>
      <c r="K49" s="3" t="s">
        <v>18</v>
      </c>
      <c r="L49" s="9" t="s">
        <v>18</v>
      </c>
      <c r="V49" s="14">
        <f t="shared" si="8"/>
        <v>1252</v>
      </c>
      <c r="W49" s="3">
        <f t="shared" si="9"/>
        <v>52.89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20.846211830218525</v>
      </c>
      <c r="AC49" s="10">
        <f t="shared" si="34"/>
        <v>20.846211830218525</v>
      </c>
      <c r="AE49" s="12">
        <f t="shared" si="5"/>
        <v>1680</v>
      </c>
      <c r="AF49" s="10">
        <f t="shared" ref="AF49:AF69" si="35">AC49-$P$3</f>
        <v>19.556211830218526</v>
      </c>
    </row>
    <row r="50" spans="1:32" s="3" customFormat="1" ht="21" customHeight="1" x14ac:dyDescent="0.15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22.856211830218527</v>
      </c>
      <c r="G50" s="182">
        <f t="shared" si="15"/>
        <v>19.556211830218526</v>
      </c>
      <c r="H50" s="381"/>
      <c r="I50" s="381"/>
      <c r="J50" s="381"/>
      <c r="K50" s="3" t="s">
        <v>18</v>
      </c>
      <c r="L50" s="9" t="s">
        <v>18</v>
      </c>
      <c r="V50" s="14">
        <f t="shared" si="8"/>
        <v>1252</v>
      </c>
      <c r="W50" s="3">
        <f t="shared" si="9"/>
        <v>52.89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20.846211830218525</v>
      </c>
      <c r="AC50" s="10">
        <f t="shared" si="34"/>
        <v>20.846211830218525</v>
      </c>
      <c r="AE50" s="12">
        <f t="shared" si="5"/>
        <v>1740</v>
      </c>
      <c r="AF50" s="10">
        <f t="shared" si="35"/>
        <v>19.556211830218526</v>
      </c>
    </row>
    <row r="51" spans="1:32" s="3" customFormat="1" ht="21" customHeight="1" x14ac:dyDescent="0.15">
      <c r="A51" s="54"/>
      <c r="B51" s="54"/>
      <c r="C51" s="55">
        <f>$C$10+D51/1440</f>
        <v>44334.3125</v>
      </c>
      <c r="D51" s="181">
        <f t="shared" si="32"/>
        <v>1320</v>
      </c>
      <c r="E51" s="249">
        <f t="shared" si="31"/>
        <v>0.91666666666666663</v>
      </c>
      <c r="F51" s="182">
        <f t="shared" si="14"/>
        <v>22.856211830218527</v>
      </c>
      <c r="G51" s="182">
        <f t="shared" si="15"/>
        <v>19.556211830218526</v>
      </c>
      <c r="H51" s="381"/>
      <c r="I51" s="381"/>
      <c r="J51" s="381"/>
      <c r="K51" s="3" t="s">
        <v>18</v>
      </c>
      <c r="L51" s="9" t="s">
        <v>18</v>
      </c>
      <c r="V51" s="14">
        <f t="shared" si="8"/>
        <v>1252</v>
      </c>
      <c r="W51" s="3">
        <f t="shared" si="9"/>
        <v>52.89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20.846211830218525</v>
      </c>
      <c r="AC51" s="10">
        <f t="shared" si="34"/>
        <v>20.846211830218525</v>
      </c>
      <c r="AE51" s="12">
        <f t="shared" si="5"/>
        <v>1800</v>
      </c>
      <c r="AF51" s="10">
        <f t="shared" si="35"/>
        <v>19.556211830218526</v>
      </c>
    </row>
    <row r="52" spans="1:32" s="3" customFormat="1" ht="21" customHeight="1" x14ac:dyDescent="0.15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22.856211830218527</v>
      </c>
      <c r="G52" s="182">
        <f t="shared" si="15"/>
        <v>19.556211830218526</v>
      </c>
      <c r="H52" s="381"/>
      <c r="I52" s="381"/>
      <c r="J52" s="381"/>
      <c r="K52" s="3" t="s">
        <v>18</v>
      </c>
      <c r="L52" s="9" t="s">
        <v>18</v>
      </c>
      <c r="V52" s="14">
        <f t="shared" si="8"/>
        <v>1252</v>
      </c>
      <c r="W52" s="3">
        <f t="shared" si="9"/>
        <v>52.89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20.846211830218525</v>
      </c>
      <c r="AC52" s="10">
        <f t="shared" si="34"/>
        <v>20.846211830218525</v>
      </c>
      <c r="AE52" s="12">
        <f t="shared" si="5"/>
        <v>1860</v>
      </c>
      <c r="AF52" s="10">
        <f t="shared" si="35"/>
        <v>19.556211830218526</v>
      </c>
    </row>
    <row r="53" spans="1:32" s="3" customFormat="1" ht="21" customHeight="1" x14ac:dyDescent="0.15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22.856211830218527</v>
      </c>
      <c r="G53" s="182">
        <f t="shared" si="15"/>
        <v>19.556211830218526</v>
      </c>
      <c r="H53" s="381"/>
      <c r="I53" s="381"/>
      <c r="J53" s="381"/>
      <c r="K53" s="3" t="s">
        <v>18</v>
      </c>
      <c r="L53" s="9" t="s">
        <v>18</v>
      </c>
      <c r="V53" s="14">
        <f t="shared" si="8"/>
        <v>1252</v>
      </c>
      <c r="W53" s="3">
        <f t="shared" si="9"/>
        <v>52.89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20.846211830218525</v>
      </c>
      <c r="AC53" s="10">
        <f t="shared" ref="AC53:AC69" si="36">AC52</f>
        <v>20.846211830218525</v>
      </c>
      <c r="AE53" s="12">
        <f t="shared" si="5"/>
        <v>1920</v>
      </c>
      <c r="AF53" s="10">
        <f t="shared" si="35"/>
        <v>19.556211830218526</v>
      </c>
    </row>
    <row r="54" spans="1:32" s="3" customFormat="1" ht="21" customHeight="1" x14ac:dyDescent="0.15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22.856211830218527</v>
      </c>
      <c r="G54" s="182">
        <f t="shared" si="15"/>
        <v>19.556211830218526</v>
      </c>
      <c r="H54" s="381"/>
      <c r="I54" s="381"/>
      <c r="J54" s="381"/>
      <c r="K54" s="3" t="s">
        <v>18</v>
      </c>
      <c r="L54" s="9" t="s">
        <v>18</v>
      </c>
      <c r="V54" s="14">
        <f t="shared" si="8"/>
        <v>1252</v>
      </c>
      <c r="W54" s="3">
        <f t="shared" si="9"/>
        <v>52.89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20.846211830218525</v>
      </c>
      <c r="AC54" s="10">
        <f t="shared" si="36"/>
        <v>20.846211830218525</v>
      </c>
      <c r="AE54" s="12">
        <f t="shared" si="5"/>
        <v>1980</v>
      </c>
      <c r="AF54" s="10">
        <f t="shared" si="35"/>
        <v>19.556211830218526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22.856211830218527</v>
      </c>
      <c r="G55" s="182">
        <f t="shared" si="15"/>
        <v>19.556211830218526</v>
      </c>
      <c r="H55" s="381"/>
      <c r="I55" s="381"/>
      <c r="J55" s="381"/>
      <c r="K55" s="3" t="s">
        <v>18</v>
      </c>
      <c r="L55" s="9" t="s">
        <v>18</v>
      </c>
      <c r="V55" s="14">
        <f t="shared" si="8"/>
        <v>1252</v>
      </c>
      <c r="W55" s="3">
        <f t="shared" si="9"/>
        <v>52.89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20.846211830218525</v>
      </c>
      <c r="AC55" s="10">
        <f t="shared" si="36"/>
        <v>20.846211830218525</v>
      </c>
      <c r="AE55" s="12">
        <f t="shared" si="5"/>
        <v>2040</v>
      </c>
      <c r="AF55" s="10">
        <f t="shared" si="35"/>
        <v>19.556211830218526</v>
      </c>
    </row>
    <row r="56" spans="1:32" s="3" customFormat="1" ht="21.6" customHeight="1" x14ac:dyDescent="0.15">
      <c r="A56" s="54"/>
      <c r="B56" s="54"/>
      <c r="C56" s="55">
        <f>$C$10+D56/1440</f>
        <v>44334.520833333336</v>
      </c>
      <c r="D56" s="181">
        <f t="shared" si="32"/>
        <v>1620</v>
      </c>
      <c r="E56" s="249">
        <f t="shared" si="31"/>
        <v>1.125</v>
      </c>
      <c r="F56" s="182">
        <f t="shared" si="14"/>
        <v>22.856211830218527</v>
      </c>
      <c r="G56" s="182">
        <f t="shared" si="15"/>
        <v>19.556211830218526</v>
      </c>
      <c r="H56" s="381"/>
      <c r="I56" s="381"/>
      <c r="J56" s="381"/>
      <c r="K56" s="3" t="s">
        <v>18</v>
      </c>
      <c r="L56" s="9" t="s">
        <v>18</v>
      </c>
      <c r="V56" s="14">
        <f t="shared" si="8"/>
        <v>1252</v>
      </c>
      <c r="W56" s="3">
        <f t="shared" si="9"/>
        <v>52.89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20.846211830218525</v>
      </c>
      <c r="AC56" s="10">
        <f t="shared" si="36"/>
        <v>20.846211830218525</v>
      </c>
      <c r="AE56" s="12">
        <f t="shared" si="5"/>
        <v>2100</v>
      </c>
      <c r="AF56" s="10">
        <f t="shared" si="35"/>
        <v>19.556211830218526</v>
      </c>
    </row>
    <row r="57" spans="1:32" s="3" customFormat="1" ht="21.6" customHeight="1" x14ac:dyDescent="0.15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22.856211830218527</v>
      </c>
      <c r="G57" s="182">
        <f t="shared" si="15"/>
        <v>19.556211830218526</v>
      </c>
      <c r="H57" s="381"/>
      <c r="I57" s="381"/>
      <c r="J57" s="381"/>
      <c r="K57" s="3" t="s">
        <v>18</v>
      </c>
      <c r="L57" s="9" t="s">
        <v>18</v>
      </c>
      <c r="V57" s="14">
        <f t="shared" si="8"/>
        <v>1252</v>
      </c>
      <c r="W57" s="3">
        <f t="shared" si="9"/>
        <v>52.89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20.846211830218525</v>
      </c>
      <c r="AC57" s="10">
        <f t="shared" si="36"/>
        <v>20.846211830218525</v>
      </c>
      <c r="AE57" s="12">
        <f t="shared" si="5"/>
        <v>2160</v>
      </c>
      <c r="AF57" s="10">
        <f t="shared" si="35"/>
        <v>19.556211830218526</v>
      </c>
    </row>
    <row r="58" spans="1:32" s="3" customFormat="1" ht="21.6" customHeight="1" x14ac:dyDescent="0.15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22.856211830218527</v>
      </c>
      <c r="G58" s="182">
        <f t="shared" si="15"/>
        <v>19.556211830218526</v>
      </c>
      <c r="H58" s="381"/>
      <c r="I58" s="381"/>
      <c r="J58" s="381"/>
      <c r="K58" s="3" t="s">
        <v>18</v>
      </c>
      <c r="L58" s="9" t="s">
        <v>18</v>
      </c>
      <c r="V58" s="14">
        <f t="shared" si="8"/>
        <v>1252</v>
      </c>
      <c r="W58" s="3">
        <f t="shared" si="9"/>
        <v>52.89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20.846211830218525</v>
      </c>
      <c r="AC58" s="10">
        <f t="shared" si="36"/>
        <v>20.846211830218525</v>
      </c>
      <c r="AE58" s="12">
        <f t="shared" si="5"/>
        <v>2220</v>
      </c>
      <c r="AF58" s="10">
        <f t="shared" si="35"/>
        <v>19.556211830218526</v>
      </c>
    </row>
    <row r="59" spans="1:32" s="3" customFormat="1" ht="21.6" customHeight="1" x14ac:dyDescent="0.15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22.856211830218527</v>
      </c>
      <c r="G59" s="182">
        <f t="shared" si="15"/>
        <v>19.556211830218526</v>
      </c>
      <c r="H59" s="381"/>
      <c r="I59" s="381"/>
      <c r="J59" s="381"/>
      <c r="K59" s="3" t="s">
        <v>18</v>
      </c>
      <c r="L59" s="9" t="s">
        <v>18</v>
      </c>
      <c r="V59" s="14">
        <f t="shared" si="8"/>
        <v>1252</v>
      </c>
      <c r="W59" s="3">
        <f t="shared" si="9"/>
        <v>52.89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20.846211830218525</v>
      </c>
      <c r="AC59" s="10">
        <f t="shared" si="36"/>
        <v>20.846211830218525</v>
      </c>
      <c r="AE59" s="12">
        <f t="shared" si="5"/>
        <v>2280</v>
      </c>
      <c r="AF59" s="10">
        <f t="shared" si="35"/>
        <v>19.556211830218526</v>
      </c>
    </row>
    <row r="60" spans="1:32" s="3" customFormat="1" ht="21.6" customHeight="1" x14ac:dyDescent="0.15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22.856211830218527</v>
      </c>
      <c r="G60" s="182">
        <f t="shared" si="15"/>
        <v>19.556211830218526</v>
      </c>
      <c r="H60" s="381"/>
      <c r="I60" s="381"/>
      <c r="J60" s="381"/>
      <c r="K60" s="3" t="s">
        <v>18</v>
      </c>
      <c r="L60" s="9" t="s">
        <v>18</v>
      </c>
      <c r="V60" s="14">
        <f t="shared" si="8"/>
        <v>1252</v>
      </c>
      <c r="W60" s="3">
        <f t="shared" si="9"/>
        <v>52.89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20.846211830218525</v>
      </c>
      <c r="AC60" s="10">
        <f t="shared" si="36"/>
        <v>20.846211830218525</v>
      </c>
      <c r="AE60" s="12">
        <f t="shared" si="5"/>
        <v>2340</v>
      </c>
      <c r="AF60" s="10">
        <f t="shared" si="35"/>
        <v>19.556211830218526</v>
      </c>
    </row>
    <row r="61" spans="1:32" s="3" customFormat="1" ht="21.6" customHeight="1" x14ac:dyDescent="0.15">
      <c r="A61" s="54"/>
      <c r="B61" s="54"/>
      <c r="C61" s="55">
        <f>$C$10+D61/1440</f>
        <v>44334.729166666672</v>
      </c>
      <c r="D61" s="181">
        <f t="shared" si="32"/>
        <v>1920</v>
      </c>
      <c r="E61" s="249">
        <f t="shared" si="37"/>
        <v>1.3333333333333333</v>
      </c>
      <c r="F61" s="182">
        <f t="shared" si="14"/>
        <v>22.856211830218527</v>
      </c>
      <c r="G61" s="182">
        <f t="shared" si="15"/>
        <v>19.556211830218526</v>
      </c>
      <c r="H61" s="381"/>
      <c r="I61" s="381"/>
      <c r="J61" s="381"/>
      <c r="K61" s="3" t="s">
        <v>18</v>
      </c>
      <c r="L61" s="9" t="s">
        <v>18</v>
      </c>
      <c r="V61" s="14">
        <f t="shared" si="8"/>
        <v>1252</v>
      </c>
      <c r="W61" s="3">
        <f t="shared" si="9"/>
        <v>52.89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20.846211830218525</v>
      </c>
      <c r="AC61" s="10">
        <f t="shared" si="36"/>
        <v>20.846211830218525</v>
      </c>
      <c r="AE61" s="12">
        <f t="shared" si="5"/>
        <v>2400</v>
      </c>
      <c r="AF61" s="10">
        <f t="shared" si="35"/>
        <v>19.556211830218526</v>
      </c>
    </row>
    <row r="62" spans="1:32" s="3" customFormat="1" ht="21.6" customHeight="1" x14ac:dyDescent="0.15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22.856211830218527</v>
      </c>
      <c r="G62" s="182">
        <f t="shared" si="15"/>
        <v>19.556211830218526</v>
      </c>
      <c r="H62" s="381"/>
      <c r="I62" s="381"/>
      <c r="J62" s="381"/>
      <c r="K62" s="3" t="s">
        <v>18</v>
      </c>
      <c r="L62" s="9" t="s">
        <v>18</v>
      </c>
      <c r="V62" s="14">
        <f t="shared" si="8"/>
        <v>1252</v>
      </c>
      <c r="W62" s="3">
        <f t="shared" si="9"/>
        <v>52.89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20.846211830218525</v>
      </c>
      <c r="AC62" s="10">
        <f t="shared" si="36"/>
        <v>20.846211830218525</v>
      </c>
      <c r="AE62" s="12">
        <f t="shared" si="5"/>
        <v>2460</v>
      </c>
      <c r="AF62" s="10">
        <f t="shared" si="35"/>
        <v>19.556211830218526</v>
      </c>
    </row>
    <row r="63" spans="1:32" s="3" customFormat="1" ht="21.6" customHeight="1" x14ac:dyDescent="0.15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22.856211830218527</v>
      </c>
      <c r="G63" s="182">
        <f t="shared" si="15"/>
        <v>19.556211830218526</v>
      </c>
      <c r="H63" s="381"/>
      <c r="I63" s="381"/>
      <c r="J63" s="381"/>
      <c r="K63" s="3" t="s">
        <v>18</v>
      </c>
      <c r="L63" s="9" t="s">
        <v>18</v>
      </c>
      <c r="V63" s="14">
        <f t="shared" si="8"/>
        <v>1252</v>
      </c>
      <c r="W63" s="3">
        <f t="shared" si="9"/>
        <v>52.89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20.846211830218525</v>
      </c>
      <c r="AC63" s="10">
        <f t="shared" si="36"/>
        <v>20.846211830218525</v>
      </c>
      <c r="AE63" s="12">
        <f t="shared" si="5"/>
        <v>2520</v>
      </c>
      <c r="AF63" s="10">
        <f t="shared" si="35"/>
        <v>19.556211830218526</v>
      </c>
    </row>
    <row r="64" spans="1:32" s="3" customFormat="1" ht="21.6" customHeight="1" x14ac:dyDescent="0.15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22.856211830218527</v>
      </c>
      <c r="G64" s="182">
        <f t="shared" si="15"/>
        <v>19.556211830218526</v>
      </c>
      <c r="H64" s="381"/>
      <c r="I64" s="381"/>
      <c r="J64" s="381"/>
      <c r="K64" s="3" t="s">
        <v>18</v>
      </c>
      <c r="L64" s="9" t="s">
        <v>18</v>
      </c>
      <c r="V64" s="14">
        <f t="shared" si="8"/>
        <v>1252</v>
      </c>
      <c r="W64" s="3">
        <f t="shared" si="9"/>
        <v>52.89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20.846211830218525</v>
      </c>
      <c r="AC64" s="10">
        <f t="shared" si="36"/>
        <v>20.846211830218525</v>
      </c>
      <c r="AE64" s="12">
        <f t="shared" si="5"/>
        <v>2580</v>
      </c>
      <c r="AF64" s="10">
        <f t="shared" si="35"/>
        <v>19.556211830218526</v>
      </c>
    </row>
    <row r="65" spans="1:32" s="3" customFormat="1" ht="21.6" customHeight="1" x14ac:dyDescent="0.15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22.856211830218527</v>
      </c>
      <c r="G65" s="182">
        <f t="shared" si="15"/>
        <v>19.556211830218526</v>
      </c>
      <c r="H65" s="381"/>
      <c r="I65" s="381"/>
      <c r="J65" s="381"/>
      <c r="K65" s="3" t="s">
        <v>18</v>
      </c>
      <c r="L65" s="9" t="s">
        <v>18</v>
      </c>
      <c r="V65" s="14">
        <f t="shared" si="8"/>
        <v>1252</v>
      </c>
      <c r="W65" s="3">
        <f t="shared" si="9"/>
        <v>52.89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20.846211830218525</v>
      </c>
      <c r="AC65" s="10">
        <f t="shared" si="36"/>
        <v>20.846211830218525</v>
      </c>
      <c r="AE65" s="12">
        <f t="shared" si="5"/>
        <v>2640</v>
      </c>
      <c r="AF65" s="10">
        <f t="shared" si="35"/>
        <v>19.556211830218526</v>
      </c>
    </row>
    <row r="66" spans="1:32" s="3" customFormat="1" ht="21.6" customHeight="1" x14ac:dyDescent="0.15">
      <c r="A66" s="54"/>
      <c r="B66" s="54"/>
      <c r="C66" s="55">
        <f>$C$10+D66/1440</f>
        <v>44334.9375</v>
      </c>
      <c r="D66" s="181">
        <f t="shared" si="38"/>
        <v>2220</v>
      </c>
      <c r="E66" s="249">
        <f t="shared" si="37"/>
        <v>1.5416666666666667</v>
      </c>
      <c r="F66" s="182">
        <f t="shared" si="39"/>
        <v>22.856211830218527</v>
      </c>
      <c r="G66" s="182">
        <f t="shared" si="15"/>
        <v>19.556211830218526</v>
      </c>
      <c r="H66" s="381"/>
      <c r="I66" s="381"/>
      <c r="J66" s="381"/>
      <c r="K66" s="3" t="s">
        <v>18</v>
      </c>
      <c r="L66" s="9" t="s">
        <v>18</v>
      </c>
      <c r="V66" s="14">
        <f t="shared" si="8"/>
        <v>1252</v>
      </c>
      <c r="W66" s="3">
        <f t="shared" si="9"/>
        <v>52.89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20.846211830218525</v>
      </c>
      <c r="AC66" s="10">
        <f t="shared" si="36"/>
        <v>20.846211830218525</v>
      </c>
      <c r="AE66" s="12">
        <f t="shared" si="5"/>
        <v>2700</v>
      </c>
      <c r="AF66" s="10">
        <f t="shared" si="35"/>
        <v>19.556211830218526</v>
      </c>
    </row>
    <row r="67" spans="1:32" s="3" customFormat="1" ht="21.6" customHeight="1" x14ac:dyDescent="0.15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22.856211830218527</v>
      </c>
      <c r="G67" s="182">
        <f t="shared" si="15"/>
        <v>19.556211830218526</v>
      </c>
      <c r="H67" s="381"/>
      <c r="I67" s="381"/>
      <c r="J67" s="381"/>
      <c r="K67" s="3" t="s">
        <v>18</v>
      </c>
      <c r="L67" s="9" t="s">
        <v>18</v>
      </c>
      <c r="V67" s="14">
        <f t="shared" si="8"/>
        <v>1252</v>
      </c>
      <c r="W67" s="3">
        <f t="shared" si="9"/>
        <v>52.89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20.846211830218525</v>
      </c>
      <c r="AC67" s="10">
        <f t="shared" si="36"/>
        <v>20.846211830218525</v>
      </c>
      <c r="AE67" s="12">
        <f>AA67</f>
        <v>2760</v>
      </c>
      <c r="AF67" s="10">
        <f t="shared" si="35"/>
        <v>19.556211830218526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22.856211830218527</v>
      </c>
      <c r="G68" s="182">
        <f t="shared" si="15"/>
        <v>19.556211830218526</v>
      </c>
      <c r="H68" s="381"/>
      <c r="I68" s="381"/>
      <c r="J68" s="381"/>
      <c r="K68" s="3" t="s">
        <v>18</v>
      </c>
      <c r="L68" s="9" t="s">
        <v>18</v>
      </c>
      <c r="V68" s="14">
        <f>V67</f>
        <v>1252</v>
      </c>
      <c r="W68" s="3">
        <f t="shared" ref="W68:W83" si="41">W$2</f>
        <v>52.89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20.846211830218525</v>
      </c>
      <c r="AC68" s="10">
        <f t="shared" si="36"/>
        <v>20.846211830218525</v>
      </c>
      <c r="AE68" s="12">
        <f>AA68</f>
        <v>2820</v>
      </c>
      <c r="AF68" s="10">
        <f t="shared" si="35"/>
        <v>19.556211830218526</v>
      </c>
    </row>
    <row r="69" spans="1:32" s="3" customFormat="1" ht="21.6" customHeight="1" x14ac:dyDescent="0.15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22.856211830218527</v>
      </c>
      <c r="G69" s="182">
        <f t="shared" si="15"/>
        <v>19.556211830218526</v>
      </c>
      <c r="H69" s="381"/>
      <c r="I69" s="381"/>
      <c r="J69" s="381"/>
      <c r="K69" s="3" t="s">
        <v>18</v>
      </c>
      <c r="L69" s="9" t="s">
        <v>18</v>
      </c>
      <c r="V69" s="14">
        <f>V68</f>
        <v>1252</v>
      </c>
      <c r="W69" s="3">
        <f t="shared" si="41"/>
        <v>52.89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20.846211830218525</v>
      </c>
      <c r="AC69" s="10">
        <f t="shared" si="36"/>
        <v>20.846211830218525</v>
      </c>
      <c r="AE69" s="12">
        <f>AA69</f>
        <v>2880</v>
      </c>
      <c r="AF69" s="10">
        <f t="shared" si="35"/>
        <v>19.556211830218526</v>
      </c>
    </row>
    <row r="70" spans="1:32" s="3" customFormat="1" ht="21.6" customHeight="1" x14ac:dyDescent="0.15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22.856211830218527</v>
      </c>
      <c r="G70" s="182">
        <f t="shared" si="15"/>
        <v>19.556211830218526</v>
      </c>
      <c r="H70" s="381"/>
      <c r="I70" s="381"/>
      <c r="J70" s="381"/>
      <c r="K70" s="3" t="s">
        <v>18</v>
      </c>
      <c r="L70" s="9" t="s">
        <v>18</v>
      </c>
      <c r="V70" s="14"/>
      <c r="W70" s="3">
        <f t="shared" si="41"/>
        <v>52.89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44335.145833333336</v>
      </c>
      <c r="D71" s="181">
        <f t="shared" si="38"/>
        <v>2520</v>
      </c>
      <c r="E71" s="249">
        <f t="shared" si="37"/>
        <v>1.75</v>
      </c>
      <c r="F71" s="182">
        <f t="shared" si="39"/>
        <v>22.856211830218527</v>
      </c>
      <c r="G71" s="182">
        <f t="shared" si="15"/>
        <v>19.556211830218526</v>
      </c>
      <c r="H71" s="381"/>
      <c r="I71" s="381"/>
      <c r="J71" s="381"/>
      <c r="K71" s="3" t="s">
        <v>18</v>
      </c>
      <c r="L71" s="9" t="s">
        <v>18</v>
      </c>
      <c r="V71" s="14"/>
      <c r="W71" s="3">
        <f t="shared" si="41"/>
        <v>52.89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22.856211830218527</v>
      </c>
      <c r="G72" s="182">
        <f t="shared" si="15"/>
        <v>19.556211830218526</v>
      </c>
      <c r="H72" s="381"/>
      <c r="I72" s="381"/>
      <c r="J72" s="381"/>
      <c r="K72" s="3" t="s">
        <v>18</v>
      </c>
      <c r="L72" s="9" t="s">
        <v>18</v>
      </c>
      <c r="V72" s="14"/>
      <c r="W72" s="3">
        <f t="shared" si="41"/>
        <v>52.89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22.856211830218527</v>
      </c>
      <c r="G73" s="182">
        <f t="shared" si="15"/>
        <v>19.556211830218526</v>
      </c>
      <c r="H73" s="381"/>
      <c r="I73" s="381"/>
      <c r="J73" s="381"/>
      <c r="K73" s="3" t="s">
        <v>18</v>
      </c>
      <c r="L73" s="9" t="s">
        <v>18</v>
      </c>
      <c r="V73" s="14"/>
      <c r="W73" s="3">
        <f t="shared" si="41"/>
        <v>52.89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22.856211830218527</v>
      </c>
      <c r="G74" s="182">
        <f t="shared" si="15"/>
        <v>19.556211830218526</v>
      </c>
      <c r="H74" s="381"/>
      <c r="I74" s="381"/>
      <c r="J74" s="381"/>
      <c r="K74" s="3" t="s">
        <v>18</v>
      </c>
      <c r="L74" s="9" t="s">
        <v>18</v>
      </c>
      <c r="V74" s="14"/>
      <c r="W74" s="3">
        <f t="shared" si="41"/>
        <v>52.89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22.856211830218527</v>
      </c>
      <c r="G75" s="182">
        <f>AF67</f>
        <v>19.556211830218526</v>
      </c>
      <c r="H75" s="381"/>
      <c r="I75" s="381"/>
      <c r="J75" s="381"/>
      <c r="K75" s="3" t="s">
        <v>18</v>
      </c>
      <c r="L75" s="9" t="s">
        <v>18</v>
      </c>
      <c r="V75" s="14"/>
      <c r="W75" s="3">
        <f t="shared" si="41"/>
        <v>52.89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22.856211830218527</v>
      </c>
      <c r="G76" s="182">
        <f>AF68</f>
        <v>19.556211830218526</v>
      </c>
      <c r="H76" s="381"/>
      <c r="I76" s="381"/>
      <c r="J76" s="381"/>
      <c r="K76" s="3" t="s">
        <v>18</v>
      </c>
      <c r="L76" s="9" t="s">
        <v>18</v>
      </c>
      <c r="V76" s="14"/>
      <c r="W76" s="3">
        <f t="shared" si="41"/>
        <v>52.89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44335.395833333336</v>
      </c>
      <c r="D77" s="181">
        <f>D76+60</f>
        <v>2880</v>
      </c>
      <c r="E77" s="249">
        <f>D77/1440</f>
        <v>2</v>
      </c>
      <c r="F77" s="277">
        <f t="shared" si="39"/>
        <v>22.856211830218527</v>
      </c>
      <c r="G77" s="182">
        <f>AF69</f>
        <v>19.556211830218526</v>
      </c>
      <c r="H77" s="381" t="s">
        <v>13</v>
      </c>
      <c r="I77" s="381"/>
      <c r="J77" s="381"/>
      <c r="K77" s="3" t="s">
        <v>18</v>
      </c>
      <c r="L77" s="9" t="s">
        <v>18</v>
      </c>
      <c r="V77" s="14"/>
      <c r="W77" s="3">
        <f t="shared" si="41"/>
        <v>52.89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44335.396527777782</v>
      </c>
      <c r="D78" s="181">
        <v>1</v>
      </c>
      <c r="E78" s="249">
        <f t="shared" ref="E78:E101" si="44">D78/1440</f>
        <v>6.9444444444444447E-4</v>
      </c>
      <c r="F78" s="182">
        <f>G78+D$8</f>
        <v>16.197480212316762</v>
      </c>
      <c r="G78" s="182">
        <f>H114</f>
        <v>12.897480212316761</v>
      </c>
      <c r="H78" s="609" t="s">
        <v>248</v>
      </c>
      <c r="I78" s="609"/>
      <c r="J78" s="609"/>
      <c r="K78" s="3" t="s">
        <v>18</v>
      </c>
      <c r="L78" s="9"/>
      <c r="V78" s="14"/>
      <c r="W78" s="3">
        <f t="shared" si="41"/>
        <v>52.89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15.09685736039037</v>
      </c>
      <c r="G79" s="182">
        <f>H115</f>
        <v>11.796857360390369</v>
      </c>
      <c r="H79" s="609"/>
      <c r="I79" s="609"/>
      <c r="J79" s="609"/>
      <c r="K79" s="3" t="s">
        <v>18</v>
      </c>
      <c r="L79" s="9" t="s">
        <v>18</v>
      </c>
      <c r="V79" s="14"/>
      <c r="W79" s="3">
        <f t="shared" si="41"/>
        <v>52.89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14.090157557171267</v>
      </c>
      <c r="G80" s="182">
        <f>H116</f>
        <v>10.790157557171266</v>
      </c>
      <c r="H80" s="609"/>
      <c r="I80" s="609"/>
      <c r="J80" s="609"/>
      <c r="K80" s="3" t="s">
        <v>18</v>
      </c>
      <c r="L80" s="9" t="s">
        <v>18</v>
      </c>
      <c r="V80" s="14"/>
      <c r="W80" s="3">
        <f t="shared" si="41"/>
        <v>52.89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13.169365760028775</v>
      </c>
      <c r="G81" s="182">
        <f>H117</f>
        <v>9.8693657600287743</v>
      </c>
      <c r="H81" s="609"/>
      <c r="I81" s="609"/>
      <c r="J81" s="609"/>
      <c r="K81" s="3" t="s">
        <v>18</v>
      </c>
      <c r="L81" s="9" t="s">
        <v>18</v>
      </c>
      <c r="V81" s="14"/>
      <c r="W81" s="3">
        <f t="shared" si="41"/>
        <v>52.89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12.327150900173113</v>
      </c>
      <c r="G82" s="182">
        <f>H118</f>
        <v>9.0271509001731118</v>
      </c>
      <c r="H82" s="609"/>
      <c r="I82" s="609"/>
      <c r="J82" s="609"/>
      <c r="K82" s="3" t="s">
        <v>18</v>
      </c>
      <c r="L82" s="9" t="s">
        <v>18</v>
      </c>
      <c r="V82" s="14"/>
      <c r="W82" s="3">
        <f t="shared" si="41"/>
        <v>52.89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10.207725581908676</v>
      </c>
      <c r="G83" s="182">
        <f>H121</f>
        <v>6.907725581908676</v>
      </c>
      <c r="H83" s="609"/>
      <c r="I83" s="609"/>
      <c r="J83" s="609"/>
      <c r="K83" s="3" t="s">
        <v>18</v>
      </c>
      <c r="L83" s="9" t="s">
        <v>18</v>
      </c>
      <c r="V83" s="14"/>
      <c r="W83" s="3">
        <f t="shared" si="41"/>
        <v>52.89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9.8089267135773959</v>
      </c>
      <c r="G84" s="182">
        <f>H124</f>
        <v>6.5089267135773952</v>
      </c>
      <c r="H84" s="609"/>
      <c r="I84" s="609"/>
      <c r="J84" s="60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8.7454314805236884</v>
      </c>
      <c r="G85" s="182">
        <f>H126</f>
        <v>5.4454314805236894</v>
      </c>
      <c r="H85" s="609"/>
      <c r="I85" s="609"/>
      <c r="J85" s="60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8.2807386701916208</v>
      </c>
      <c r="G86" s="182">
        <f t="shared" ref="G86:G92" si="46">H127</f>
        <v>4.9807386701916219</v>
      </c>
      <c r="H86" s="609"/>
      <c r="I86" s="609"/>
      <c r="J86" s="60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7.8557010109245624</v>
      </c>
      <c r="G87" s="182">
        <f t="shared" si="46"/>
        <v>4.5557010109245626</v>
      </c>
      <c r="H87" s="609"/>
      <c r="I87" s="609"/>
      <c r="J87" s="60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7.7222405893640076</v>
      </c>
      <c r="G88" s="182">
        <f t="shared" si="46"/>
        <v>4.4222405893640078</v>
      </c>
      <c r="H88" s="609"/>
      <c r="I88" s="609"/>
      <c r="J88" s="609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7.5926899248486164</v>
      </c>
      <c r="G89" s="182">
        <f t="shared" si="46"/>
        <v>4.2926899248486166</v>
      </c>
      <c r="H89" s="609"/>
      <c r="I89" s="609"/>
      <c r="J89" s="609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7.4669344800498427</v>
      </c>
      <c r="G90" s="182">
        <f t="shared" si="46"/>
        <v>4.1669344800498429</v>
      </c>
      <c r="H90" s="609"/>
      <c r="I90" s="609"/>
      <c r="J90" s="60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7.3448630730393552</v>
      </c>
      <c r="G91" s="182">
        <f t="shared" si="46"/>
        <v>4.0448630730393553</v>
      </c>
      <c r="H91" s="609"/>
      <c r="I91" s="609"/>
      <c r="J91" s="609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7.2263677789917349</v>
      </c>
      <c r="G92" s="182">
        <f t="shared" si="46"/>
        <v>3.9263677789917351</v>
      </c>
      <c r="H92" s="609"/>
      <c r="I92" s="609"/>
      <c r="J92" s="609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44335.4375</v>
      </c>
      <c r="D93" s="181">
        <v>60</v>
      </c>
      <c r="E93" s="249">
        <f t="shared" si="44"/>
        <v>4.1666666666666664E-2</v>
      </c>
      <c r="F93" s="182">
        <f t="shared" si="45"/>
        <v>7.111343834766811</v>
      </c>
      <c r="G93" s="182">
        <f>H134</f>
        <v>3.8113438347668112</v>
      </c>
      <c r="H93" s="609"/>
      <c r="I93" s="609"/>
      <c r="J93" s="60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6.9996895462872946</v>
      </c>
      <c r="G94" s="182">
        <f>H135</f>
        <v>3.6996895462872952</v>
      </c>
      <c r="H94" s="609"/>
      <c r="I94" s="609"/>
      <c r="J94" s="609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6.891306198629791</v>
      </c>
      <c r="G95" s="182">
        <f>H136</f>
        <v>3.5913061986297912</v>
      </c>
      <c r="H95" s="609"/>
      <c r="I95" s="609"/>
      <c r="J95" s="609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6.7860979687497327</v>
      </c>
      <c r="G96" s="182">
        <f>H137</f>
        <v>3.4860979687497329</v>
      </c>
      <c r="H96" s="609"/>
      <c r="I96" s="609"/>
      <c r="J96" s="609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44335.479166666672</v>
      </c>
      <c r="D97" s="181">
        <v>120</v>
      </c>
      <c r="E97" s="249">
        <f t="shared" si="44"/>
        <v>8.3333333333333329E-2</v>
      </c>
      <c r="F97" s="182">
        <f t="shared" si="45"/>
        <v>6.4886073717262933</v>
      </c>
      <c r="G97" s="182">
        <f>H138</f>
        <v>3.1886073717262935</v>
      </c>
      <c r="H97" s="609"/>
      <c r="I97" s="609"/>
      <c r="J97" s="60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6.3951963065573523</v>
      </c>
      <c r="G98" s="182">
        <f>H140</f>
        <v>3.0951963065573529</v>
      </c>
      <c r="H98" s="609"/>
      <c r="I98" s="609"/>
      <c r="J98" s="609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44335.5625</v>
      </c>
      <c r="D99" s="181">
        <v>240</v>
      </c>
      <c r="E99" s="249">
        <f t="shared" si="44"/>
        <v>0.16666666666666666</v>
      </c>
      <c r="F99" s="182">
        <f t="shared" si="45"/>
        <v>5.8894713748996104</v>
      </c>
      <c r="G99" s="182">
        <f>H142</f>
        <v>2.589471374899611</v>
      </c>
      <c r="H99" s="609"/>
      <c r="I99" s="609"/>
      <c r="J99" s="609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5.4663769717025001</v>
      </c>
      <c r="G100" s="182">
        <f>H144</f>
        <v>2.1663769717025003</v>
      </c>
      <c r="H100" s="609"/>
      <c r="I100" s="609"/>
      <c r="J100" s="609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44335.645833333336</v>
      </c>
      <c r="D101" s="181">
        <v>360</v>
      </c>
      <c r="E101" s="249">
        <f t="shared" si="44"/>
        <v>0.25</v>
      </c>
      <c r="F101" s="277">
        <f t="shared" si="45"/>
        <v>5.1124120733734086</v>
      </c>
      <c r="G101" s="242">
        <f>H146</f>
        <v>1.8124120733734088</v>
      </c>
      <c r="H101" s="609"/>
      <c r="I101" s="609"/>
      <c r="J101" s="609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19.556211830218526</v>
      </c>
      <c r="F110" s="243" t="s">
        <v>180</v>
      </c>
      <c r="H110" s="245" t="s">
        <v>181</v>
      </c>
      <c r="I110" s="377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19.556211830218526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16.85467940612806</v>
      </c>
      <c r="I111" s="378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9">C111-C$110</f>
        <v>92</v>
      </c>
      <c r="D112" s="35">
        <f>D111</f>
        <v>19.556211830218526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15.41636393590449</v>
      </c>
      <c r="I112" s="378"/>
      <c r="J112" s="13">
        <f>H111-H112</f>
        <v>1.4383154702235696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9"/>
        <v>89</v>
      </c>
      <c r="D113" s="35">
        <f t="shared" ref="D113:D146" si="51">D112</f>
        <v>19.556211830218526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14.100788942793304</v>
      </c>
      <c r="I113" s="378"/>
      <c r="J113" s="13">
        <f t="shared" ref="J113:J146" si="52">H112-H113</f>
        <v>1.315574993111186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9"/>
        <v>86</v>
      </c>
      <c r="D114" s="35">
        <f t="shared" si="51"/>
        <v>19.556211830218526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12.897480212316761</v>
      </c>
      <c r="I114" s="379"/>
      <c r="J114" s="13">
        <f t="shared" si="52"/>
        <v>1.2033087304765431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9"/>
        <v>83</v>
      </c>
      <c r="D115" s="35">
        <f t="shared" si="51"/>
        <v>19.556211830218526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11.796857360390369</v>
      </c>
      <c r="I115" s="379"/>
      <c r="J115" s="13">
        <f t="shared" si="52"/>
        <v>1.1006228519263921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9"/>
        <v>80</v>
      </c>
      <c r="D116" s="35">
        <f t="shared" si="51"/>
        <v>19.556211830218526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10.790157557171266</v>
      </c>
      <c r="I116" s="379"/>
      <c r="J116" s="13">
        <f t="shared" si="52"/>
        <v>1.006699803219103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9"/>
        <v>77</v>
      </c>
      <c r="D117" s="35">
        <f t="shared" si="51"/>
        <v>19.556211830218526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9.8693657600287743</v>
      </c>
      <c r="I117" s="379"/>
      <c r="J117" s="13">
        <f t="shared" si="52"/>
        <v>0.92079179714249193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9"/>
        <v>74</v>
      </c>
      <c r="D118" s="35">
        <f t="shared" si="51"/>
        <v>19.556211830218526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9.0271509001731118</v>
      </c>
      <c r="I118" s="379"/>
      <c r="J118" s="13">
        <f t="shared" si="52"/>
        <v>0.84221485985566247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9"/>
        <v>71</v>
      </c>
      <c r="D119" s="35">
        <f t="shared" si="51"/>
        <v>19.556211830218526</v>
      </c>
      <c r="E119" s="15">
        <f t="shared" si="50"/>
        <v>0.71</v>
      </c>
      <c r="F119" s="54"/>
      <c r="G119" s="3">
        <v>9</v>
      </c>
      <c r="H119" s="248">
        <f t="shared" si="48"/>
        <v>8.2568075148791191</v>
      </c>
      <c r="I119" s="380"/>
      <c r="J119" s="13">
        <f t="shared" si="52"/>
        <v>0.77034338529399271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1"/>
        <v>19.556211830218526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7.552202360598284</v>
      </c>
      <c r="I120" s="378"/>
      <c r="J120" s="13">
        <f t="shared" si="52"/>
        <v>0.70460515428083514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3">C120-A$120</f>
        <v>65</v>
      </c>
      <c r="D121" s="35">
        <f t="shared" si="51"/>
        <v>19.556211830218526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6.907725581908676</v>
      </c>
      <c r="I121" s="379"/>
      <c r="J121" s="13">
        <f t="shared" si="52"/>
        <v>0.64447677868960795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3"/>
        <v>62</v>
      </c>
      <c r="D122" s="35">
        <f t="shared" si="51"/>
        <v>19.556211830218526</v>
      </c>
      <c r="E122" s="15">
        <f t="shared" si="50"/>
        <v>0.62</v>
      </c>
      <c r="F122" s="54"/>
      <c r="G122" s="3">
        <v>14</v>
      </c>
      <c r="H122" s="246">
        <f t="shared" si="48"/>
        <v>6.318246047524533</v>
      </c>
      <c r="I122" s="378"/>
      <c r="J122" s="13">
        <f t="shared" si="52"/>
        <v>0.58947953438414302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1"/>
        <v>19.556211830218526</v>
      </c>
      <c r="E123" s="15">
        <f t="shared" si="50"/>
        <v>0.37</v>
      </c>
      <c r="F123" s="54"/>
      <c r="G123" s="3">
        <v>15</v>
      </c>
      <c r="H123" s="246">
        <f t="shared" si="48"/>
        <v>3.0045217423365589</v>
      </c>
      <c r="I123" s="378"/>
      <c r="J123" s="13">
        <f t="shared" si="52"/>
        <v>3.3137243051879741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1"/>
        <v>19.556211830218526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6.5089267135773952</v>
      </c>
      <c r="I124" s="379"/>
      <c r="J124" s="13">
        <f t="shared" si="52"/>
        <v>-3.5044049712408363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3"/>
        <v>60</v>
      </c>
      <c r="D125" s="35">
        <f t="shared" si="51"/>
        <v>19.556211830218526</v>
      </c>
      <c r="E125" s="15">
        <f t="shared" si="50"/>
        <v>0.6</v>
      </c>
      <c r="F125" s="54"/>
      <c r="G125" s="3">
        <v>18</v>
      </c>
      <c r="H125" s="246">
        <f t="shared" si="48"/>
        <v>5.9534791870414683</v>
      </c>
      <c r="I125" s="378"/>
      <c r="J125" s="13">
        <f t="shared" si="52"/>
        <v>0.55544752653592688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3"/>
        <v>57</v>
      </c>
      <c r="D126" s="35">
        <f t="shared" si="51"/>
        <v>19.556211830218526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5.4454314805236894</v>
      </c>
      <c r="I126" s="379"/>
      <c r="J126" s="13">
        <f t="shared" si="52"/>
        <v>0.50804770651777886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3"/>
        <v>54</v>
      </c>
      <c r="D127" s="35">
        <f t="shared" si="51"/>
        <v>19.556211830218526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4.9807386701916219</v>
      </c>
      <c r="I127" s="379"/>
      <c r="J127" s="13">
        <f t="shared" si="52"/>
        <v>0.46469281033206755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3"/>
        <v>51</v>
      </c>
      <c r="D128" s="35">
        <f t="shared" si="51"/>
        <v>19.556211830218526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4.5557010109245626</v>
      </c>
      <c r="I128" s="379"/>
      <c r="J128" s="13">
        <f t="shared" si="52"/>
        <v>0.42503765926705928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1"/>
        <v>19.556211830218526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4.4222405893640078</v>
      </c>
      <c r="I129" s="379"/>
      <c r="J129" s="13">
        <f t="shared" si="52"/>
        <v>0.13346042156055482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1"/>
        <v>19.556211830218526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4.2926899248486166</v>
      </c>
      <c r="I130" s="379"/>
      <c r="J130" s="13">
        <f t="shared" si="52"/>
        <v>0.12955066451539121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1"/>
        <v>19.556211830218526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4.1669344800498429</v>
      </c>
      <c r="I131" s="379"/>
      <c r="J131" s="13">
        <f t="shared" si="52"/>
        <v>0.12575544479877365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1"/>
        <v>19.556211830218526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4.0448630730393553</v>
      </c>
      <c r="I132" s="379"/>
      <c r="J132" s="13">
        <f t="shared" si="52"/>
        <v>0.12207140701048758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1"/>
        <v>19.556211830218526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3.9263677789917351</v>
      </c>
      <c r="I133" s="379"/>
      <c r="J133" s="13">
        <f t="shared" si="52"/>
        <v>0.11849529404762027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1"/>
        <v>19.556211830218526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3.8113438347668112</v>
      </c>
      <c r="I134" s="379"/>
      <c r="J134" s="13">
        <f t="shared" si="52"/>
        <v>0.1150239442249239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1"/>
        <v>19.556211830218526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3.6996895462872952</v>
      </c>
      <c r="I135" s="379"/>
      <c r="J135" s="13">
        <f t="shared" si="52"/>
        <v>0.11165428847951597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1"/>
        <v>19.556211830218526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3.5913061986297912</v>
      </c>
      <c r="I136" s="379"/>
      <c r="J136" s="13">
        <f t="shared" si="52"/>
        <v>0.10838334765750401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1"/>
        <v>19.556211830218526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3.4860979687497329</v>
      </c>
      <c r="I137" s="379"/>
      <c r="J137" s="13">
        <f t="shared" si="52"/>
        <v>0.10520822988005829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1"/>
        <v>19.556211830218526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3.1886073717262935</v>
      </c>
      <c r="I138" s="379"/>
      <c r="J138" s="13">
        <f t="shared" si="52"/>
        <v>0.29749059702343938</v>
      </c>
      <c r="AA138" s="12"/>
      <c r="AB138" s="257"/>
    </row>
    <row r="139" spans="1:28" s="3" customFormat="1" ht="17.25" hidden="1" customHeight="1" x14ac:dyDescent="0.15">
      <c r="C139" s="3">
        <f t="shared" ref="C139:C146" si="54">C138-A$138</f>
        <v>36</v>
      </c>
      <c r="D139" s="35">
        <f t="shared" si="51"/>
        <v>19.556211830218526</v>
      </c>
      <c r="E139" s="15">
        <f t="shared" si="50"/>
        <v>0.36</v>
      </c>
      <c r="F139" s="54"/>
      <c r="G139" s="3">
        <v>150</v>
      </c>
      <c r="H139" s="246">
        <f t="shared" si="48"/>
        <v>2.9165035125715835</v>
      </c>
      <c r="I139" s="378"/>
      <c r="J139" s="13">
        <f t="shared" si="52"/>
        <v>0.27210385915471003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1"/>
        <v>19.556211830218526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3.0951963065573529</v>
      </c>
      <c r="I140" s="379"/>
      <c r="J140" s="13">
        <f t="shared" si="52"/>
        <v>-0.17869279398576943</v>
      </c>
      <c r="AA140" s="12"/>
      <c r="AB140" s="257"/>
    </row>
    <row r="141" spans="1:28" s="3" customFormat="1" ht="17.25" hidden="1" customHeight="1" x14ac:dyDescent="0.15">
      <c r="C141" s="3">
        <f t="shared" si="54"/>
        <v>35</v>
      </c>
      <c r="D141" s="35">
        <f t="shared" si="51"/>
        <v>19.556211830218526</v>
      </c>
      <c r="E141" s="15">
        <f t="shared" si="50"/>
        <v>0.35</v>
      </c>
      <c r="F141" s="54"/>
      <c r="G141" s="3">
        <v>210</v>
      </c>
      <c r="H141" s="246">
        <f t="shared" si="48"/>
        <v>2.8310637992679126</v>
      </c>
      <c r="I141" s="378"/>
      <c r="J141" s="13">
        <f t="shared" si="52"/>
        <v>0.26413250728944027</v>
      </c>
      <c r="AA141" s="12"/>
      <c r="AB141" s="257"/>
    </row>
    <row r="142" spans="1:28" s="3" customFormat="1" ht="17.25" customHeight="1" x14ac:dyDescent="0.15">
      <c r="C142" s="3">
        <f t="shared" si="54"/>
        <v>32</v>
      </c>
      <c r="D142" s="35">
        <f t="shared" si="51"/>
        <v>19.556211830218526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2.589471374899611</v>
      </c>
      <c r="I142" s="379"/>
      <c r="J142" s="13">
        <f t="shared" si="52"/>
        <v>0.24159242436830164</v>
      </c>
      <c r="AA142" s="12"/>
      <c r="AB142" s="257"/>
    </row>
    <row r="143" spans="1:28" s="3" customFormat="1" ht="17.25" hidden="1" customHeight="1" x14ac:dyDescent="0.15">
      <c r="C143" s="3">
        <f t="shared" si="54"/>
        <v>29</v>
      </c>
      <c r="D143" s="35">
        <f t="shared" si="51"/>
        <v>19.556211830218526</v>
      </c>
      <c r="E143" s="15">
        <f>C143/100</f>
        <v>0.28999999999999998</v>
      </c>
      <c r="F143" s="54"/>
      <c r="G143" s="3">
        <v>270</v>
      </c>
      <c r="H143" s="246">
        <f t="shared" si="48"/>
        <v>2.3684955468535986</v>
      </c>
      <c r="I143" s="378"/>
      <c r="J143" s="13">
        <f t="shared" si="52"/>
        <v>0.22097582804601235</v>
      </c>
      <c r="AA143" s="12"/>
      <c r="AB143" s="257"/>
    </row>
    <row r="144" spans="1:28" s="3" customFormat="1" ht="17.25" customHeight="1" x14ac:dyDescent="0.15">
      <c r="C144" s="3">
        <f t="shared" si="54"/>
        <v>26</v>
      </c>
      <c r="D144" s="35">
        <f t="shared" si="51"/>
        <v>19.556211830218526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2.1663769717025003</v>
      </c>
      <c r="I144" s="379"/>
      <c r="J144" s="13">
        <f t="shared" si="52"/>
        <v>0.20211857515109832</v>
      </c>
      <c r="AA144" s="12"/>
      <c r="AB144" s="257"/>
    </row>
    <row r="145" spans="3:28" s="3" customFormat="1" ht="17.25" hidden="1" customHeight="1" x14ac:dyDescent="0.15">
      <c r="C145" s="3">
        <f t="shared" si="54"/>
        <v>23</v>
      </c>
      <c r="D145" s="35">
        <f t="shared" si="51"/>
        <v>19.556211830218526</v>
      </c>
      <c r="E145" s="15">
        <f>C145/100</f>
        <v>0.23</v>
      </c>
      <c r="F145" s="54"/>
      <c r="G145" s="3">
        <v>330</v>
      </c>
      <c r="H145" s="246">
        <f t="shared" si="48"/>
        <v>1.9815064418244355</v>
      </c>
      <c r="I145" s="378"/>
      <c r="J145" s="13">
        <f t="shared" si="52"/>
        <v>0.18487052987806485</v>
      </c>
      <c r="AA145" s="12"/>
      <c r="AB145" s="257"/>
    </row>
    <row r="146" spans="3:28" s="3" customFormat="1" ht="17.25" customHeight="1" x14ac:dyDescent="0.15">
      <c r="C146" s="3">
        <f t="shared" si="54"/>
        <v>20</v>
      </c>
      <c r="D146" s="35">
        <f t="shared" si="51"/>
        <v>19.556211830218526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1.8124120733734088</v>
      </c>
      <c r="I146" s="379"/>
      <c r="J146" s="13">
        <f t="shared" si="52"/>
        <v>0.16909436845102666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autoPict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114300</xdr:colOff>
                <xdr:row>37</xdr:row>
                <xdr:rowOff>57150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1252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15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10.65</v>
      </c>
      <c r="C8" t="s">
        <v>88</v>
      </c>
      <c r="D8" s="69" t="s">
        <v>78</v>
      </c>
      <c r="E8" s="70">
        <f>입력표!C26</f>
        <v>1252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37.700000000000003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28.86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1763.1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11.962999999999999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12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17"/>
    <col min="2" max="3" width="8.88671875" style="418"/>
    <col min="4" max="16384" width="8.88671875" style="417"/>
  </cols>
  <sheetData>
    <row r="1" spans="1:2" x14ac:dyDescent="0.3">
      <c r="B1" s="417"/>
    </row>
    <row r="2" spans="1:2" x14ac:dyDescent="0.3">
      <c r="A2" s="417" t="s">
        <v>98</v>
      </c>
      <c r="B2" s="417"/>
    </row>
    <row r="3" spans="1:2" x14ac:dyDescent="0.3">
      <c r="A3" s="417">
        <v>2</v>
      </c>
      <c r="B3" s="417"/>
    </row>
    <row r="4" spans="1:2" x14ac:dyDescent="0.3">
      <c r="A4" s="417">
        <v>1</v>
      </c>
      <c r="B4" s="417"/>
    </row>
    <row r="5" spans="1:2" x14ac:dyDescent="0.3">
      <c r="A5" s="417">
        <v>6</v>
      </c>
      <c r="B5" s="417"/>
    </row>
    <row r="6" spans="1:2" x14ac:dyDescent="0.3">
      <c r="A6" s="417" t="s">
        <v>99</v>
      </c>
      <c r="B6" s="417"/>
    </row>
    <row r="7" spans="1:2" x14ac:dyDescent="0.3">
      <c r="A7" s="417">
        <f>입력표!M46</f>
        <v>80</v>
      </c>
      <c r="B7" s="417"/>
    </row>
    <row r="8" spans="1:2" x14ac:dyDescent="0.3">
      <c r="A8" s="417" t="s">
        <v>100</v>
      </c>
      <c r="B8" s="417"/>
    </row>
    <row r="9" spans="1:2" x14ac:dyDescent="0.3">
      <c r="A9" s="417">
        <v>1</v>
      </c>
      <c r="B9" s="417"/>
    </row>
    <row r="10" spans="1:2" x14ac:dyDescent="0.3">
      <c r="A10" s="417" t="s">
        <v>101</v>
      </c>
      <c r="B10" s="417"/>
    </row>
    <row r="11" spans="1:2" x14ac:dyDescent="0.3">
      <c r="A11" s="417">
        <v>1</v>
      </c>
      <c r="B11" s="417"/>
    </row>
    <row r="12" spans="1:2" x14ac:dyDescent="0.3">
      <c r="A12" s="417" t="s">
        <v>102</v>
      </c>
      <c r="B12" s="417"/>
    </row>
    <row r="13" spans="1:2" x14ac:dyDescent="0.3">
      <c r="A13" s="417">
        <v>1</v>
      </c>
      <c r="B13" s="417"/>
    </row>
    <row r="14" spans="1:2" x14ac:dyDescent="0.3">
      <c r="A14" s="417" t="s">
        <v>103</v>
      </c>
      <c r="B14" s="417"/>
    </row>
    <row r="15" spans="1:2" x14ac:dyDescent="0.3">
      <c r="A15" s="417" t="str">
        <f>입력표!I54</f>
        <v>W-1</v>
      </c>
      <c r="B15" s="417"/>
    </row>
    <row r="16" spans="1:2" x14ac:dyDescent="0.3">
      <c r="A16" s="417">
        <v>0</v>
      </c>
      <c r="B16" s="417"/>
    </row>
    <row r="17" spans="1:2" x14ac:dyDescent="0.3">
      <c r="A17" s="417">
        <v>0</v>
      </c>
      <c r="B17" s="417"/>
    </row>
    <row r="18" spans="1:2" x14ac:dyDescent="0.3">
      <c r="A18" s="417">
        <f>입력표!N45/2/1000</f>
        <v>0.125</v>
      </c>
      <c r="B18" s="417"/>
    </row>
    <row r="19" spans="1:2" x14ac:dyDescent="0.3">
      <c r="A19" s="417">
        <f>입력표!M44/2/1000</f>
        <v>0.125</v>
      </c>
      <c r="B19" s="417"/>
    </row>
    <row r="20" spans="1:2" x14ac:dyDescent="0.3">
      <c r="A20" s="417">
        <v>0</v>
      </c>
      <c r="B20" s="417"/>
    </row>
    <row r="21" spans="1:2" x14ac:dyDescent="0.3">
      <c r="A21" s="417">
        <v>0</v>
      </c>
      <c r="B21" s="417"/>
    </row>
    <row r="22" spans="1:2" x14ac:dyDescent="0.3">
      <c r="A22" s="417">
        <v>1</v>
      </c>
      <c r="B22" s="417"/>
    </row>
    <row r="23" spans="1:2" x14ac:dyDescent="0.3">
      <c r="A23" s="417">
        <v>5</v>
      </c>
      <c r="B23" s="417"/>
    </row>
    <row r="24" spans="1:2" x14ac:dyDescent="0.3">
      <c r="A24" s="419">
        <v>0</v>
      </c>
      <c r="B24" s="419">
        <f>입력표!D3</f>
        <v>758</v>
      </c>
    </row>
    <row r="25" spans="1:2" x14ac:dyDescent="0.3">
      <c r="A25" s="419">
        <f>단계양수시험!D31</f>
        <v>120</v>
      </c>
      <c r="B25" s="419">
        <f>입력표!D4</f>
        <v>911</v>
      </c>
    </row>
    <row r="26" spans="1:2" x14ac:dyDescent="0.3">
      <c r="A26" s="419">
        <f>단계양수시험!D36</f>
        <v>240</v>
      </c>
      <c r="B26" s="419">
        <f>입력표!D5</f>
        <v>1085.45</v>
      </c>
    </row>
    <row r="27" spans="1:2" x14ac:dyDescent="0.3">
      <c r="A27" s="419">
        <f>단계양수시험!D41</f>
        <v>360</v>
      </c>
      <c r="B27" s="419">
        <f>입력표!D6</f>
        <v>1277</v>
      </c>
    </row>
    <row r="28" spans="1:2" x14ac:dyDescent="0.3">
      <c r="A28" s="419">
        <f>단계양수시험!D46</f>
        <v>480</v>
      </c>
      <c r="B28" s="419">
        <f>입력표!D7</f>
        <v>1468.55</v>
      </c>
    </row>
    <row r="29" spans="1:2" x14ac:dyDescent="0.3">
      <c r="A29" s="417" t="s">
        <v>104</v>
      </c>
      <c r="B29" s="417"/>
    </row>
    <row r="30" spans="1:2" x14ac:dyDescent="0.3">
      <c r="A30" s="417" t="str">
        <f>A15</f>
        <v>W-1</v>
      </c>
      <c r="B30" s="417"/>
    </row>
    <row r="31" spans="1:2" x14ac:dyDescent="0.3">
      <c r="A31" s="420">
        <f>A19</f>
        <v>0.125</v>
      </c>
      <c r="B31" s="417"/>
    </row>
    <row r="32" spans="1:2" x14ac:dyDescent="0.3">
      <c r="A32" s="417">
        <v>0</v>
      </c>
      <c r="B32" s="417"/>
    </row>
    <row r="33" spans="1:3" x14ac:dyDescent="0.3">
      <c r="A33" s="417">
        <v>0</v>
      </c>
      <c r="B33" s="417"/>
    </row>
    <row r="34" spans="1:3" x14ac:dyDescent="0.3">
      <c r="A34" s="419">
        <f>SUM(C35:C134)</f>
        <v>100</v>
      </c>
      <c r="B34" s="417"/>
    </row>
    <row r="35" spans="1:3" x14ac:dyDescent="0.3">
      <c r="A35" s="417">
        <f>Sheet1!A1</f>
        <v>1</v>
      </c>
      <c r="B35" s="418">
        <f>Sheet1!B1</f>
        <v>1.08</v>
      </c>
      <c r="C35" s="419">
        <v>1</v>
      </c>
    </row>
    <row r="36" spans="1:3" x14ac:dyDescent="0.3">
      <c r="A36" s="417">
        <f>Sheet1!A2</f>
        <v>2</v>
      </c>
      <c r="B36" s="418">
        <f>Sheet1!B2</f>
        <v>2.04</v>
      </c>
      <c r="C36" s="419">
        <v>1</v>
      </c>
    </row>
    <row r="37" spans="1:3" x14ac:dyDescent="0.3">
      <c r="A37" s="417">
        <f>Sheet1!A3</f>
        <v>3</v>
      </c>
      <c r="B37" s="418">
        <f>Sheet1!B3</f>
        <v>2.65</v>
      </c>
      <c r="C37" s="419">
        <v>1</v>
      </c>
    </row>
    <row r="38" spans="1:3" x14ac:dyDescent="0.3">
      <c r="A38" s="417">
        <f>Sheet1!A4</f>
        <v>4</v>
      </c>
      <c r="B38" s="418">
        <f>Sheet1!B4</f>
        <v>3.08</v>
      </c>
      <c r="C38" s="419">
        <v>1</v>
      </c>
    </row>
    <row r="39" spans="1:3" x14ac:dyDescent="0.3">
      <c r="A39" s="417">
        <f>Sheet1!A5</f>
        <v>5</v>
      </c>
      <c r="B39" s="418">
        <f>Sheet1!B5</f>
        <v>3.41</v>
      </c>
      <c r="C39" s="419">
        <v>1</v>
      </c>
    </row>
    <row r="40" spans="1:3" x14ac:dyDescent="0.3">
      <c r="A40" s="417">
        <f>Sheet1!A6</f>
        <v>10</v>
      </c>
      <c r="B40" s="418">
        <f>Sheet1!B6</f>
        <v>4.45</v>
      </c>
      <c r="C40" s="419">
        <v>1</v>
      </c>
    </row>
    <row r="41" spans="1:3" x14ac:dyDescent="0.3">
      <c r="A41" s="417">
        <f>Sheet1!A7</f>
        <v>15</v>
      </c>
      <c r="B41" s="418">
        <f>Sheet1!B7</f>
        <v>5.0599999999999996</v>
      </c>
      <c r="C41" s="419">
        <v>1</v>
      </c>
    </row>
    <row r="42" spans="1:3" x14ac:dyDescent="0.3">
      <c r="A42" s="417">
        <f>Sheet1!A8</f>
        <v>20</v>
      </c>
      <c r="B42" s="418">
        <f>Sheet1!B8</f>
        <v>5.49</v>
      </c>
      <c r="C42" s="419">
        <v>1</v>
      </c>
    </row>
    <row r="43" spans="1:3" x14ac:dyDescent="0.3">
      <c r="A43" s="417">
        <f>Sheet1!A9</f>
        <v>25</v>
      </c>
      <c r="B43" s="418">
        <f>Sheet1!B9</f>
        <v>5.82</v>
      </c>
      <c r="C43" s="419">
        <v>1</v>
      </c>
    </row>
    <row r="44" spans="1:3" x14ac:dyDescent="0.3">
      <c r="A44" s="417">
        <f>Sheet1!A10</f>
        <v>30</v>
      </c>
      <c r="B44" s="418">
        <f>Sheet1!B10</f>
        <v>6.1</v>
      </c>
      <c r="C44" s="419">
        <v>1</v>
      </c>
    </row>
    <row r="45" spans="1:3" x14ac:dyDescent="0.3">
      <c r="A45" s="417">
        <f>Sheet1!A11</f>
        <v>35</v>
      </c>
      <c r="B45" s="418">
        <f>Sheet1!B11</f>
        <v>6.33</v>
      </c>
      <c r="C45" s="419">
        <v>1</v>
      </c>
    </row>
    <row r="46" spans="1:3" x14ac:dyDescent="0.3">
      <c r="A46" s="417">
        <f>Sheet1!A12</f>
        <v>40</v>
      </c>
      <c r="B46" s="418">
        <f>Sheet1!B12</f>
        <v>6.53</v>
      </c>
      <c r="C46" s="419">
        <v>1</v>
      </c>
    </row>
    <row r="47" spans="1:3" x14ac:dyDescent="0.3">
      <c r="A47" s="417">
        <f>Sheet1!A13</f>
        <v>45</v>
      </c>
      <c r="B47" s="418">
        <f>Sheet1!B13</f>
        <v>6.71</v>
      </c>
      <c r="C47" s="419">
        <v>1</v>
      </c>
    </row>
    <row r="48" spans="1:3" x14ac:dyDescent="0.3">
      <c r="A48" s="417">
        <f>Sheet1!A14</f>
        <v>50</v>
      </c>
      <c r="B48" s="418">
        <f>Sheet1!B14</f>
        <v>6.86</v>
      </c>
      <c r="C48" s="419">
        <v>1</v>
      </c>
    </row>
    <row r="49" spans="1:3" x14ac:dyDescent="0.3">
      <c r="A49" s="417">
        <f>Sheet1!A15</f>
        <v>55</v>
      </c>
      <c r="B49" s="418">
        <f>Sheet1!B15</f>
        <v>7.01</v>
      </c>
      <c r="C49" s="419">
        <v>1</v>
      </c>
    </row>
    <row r="50" spans="1:3" x14ac:dyDescent="0.3">
      <c r="A50" s="417">
        <f>Sheet1!A16</f>
        <v>60</v>
      </c>
      <c r="B50" s="418">
        <f>Sheet1!B16</f>
        <v>7.14</v>
      </c>
      <c r="C50" s="419">
        <v>1</v>
      </c>
    </row>
    <row r="51" spans="1:3" x14ac:dyDescent="0.3">
      <c r="A51" s="417">
        <f>Sheet1!A17</f>
        <v>75</v>
      </c>
      <c r="B51" s="418">
        <f>Sheet1!B17</f>
        <v>7.47</v>
      </c>
      <c r="C51" s="419">
        <v>1</v>
      </c>
    </row>
    <row r="52" spans="1:3" x14ac:dyDescent="0.3">
      <c r="A52" s="417">
        <f>Sheet1!A18</f>
        <v>90</v>
      </c>
      <c r="B52" s="418">
        <f>Sheet1!B18</f>
        <v>7.74</v>
      </c>
      <c r="C52" s="419">
        <v>1</v>
      </c>
    </row>
    <row r="53" spans="1:3" x14ac:dyDescent="0.3">
      <c r="A53" s="417">
        <f>Sheet1!A19</f>
        <v>105</v>
      </c>
      <c r="B53" s="418">
        <f>Sheet1!B19</f>
        <v>7.97</v>
      </c>
      <c r="C53" s="419">
        <v>1</v>
      </c>
    </row>
    <row r="54" spans="1:3" x14ac:dyDescent="0.3">
      <c r="A54" s="417">
        <f>Sheet1!A20</f>
        <v>120</v>
      </c>
      <c r="B54" s="418">
        <f>Sheet1!B20</f>
        <v>8.18</v>
      </c>
      <c r="C54" s="419">
        <v>1</v>
      </c>
    </row>
    <row r="55" spans="1:3" x14ac:dyDescent="0.3">
      <c r="A55" s="417">
        <f>Sheet1!A21</f>
        <v>121</v>
      </c>
      <c r="B55" s="418">
        <f>Sheet1!B21</f>
        <v>8.34</v>
      </c>
      <c r="C55" s="419">
        <v>1</v>
      </c>
    </row>
    <row r="56" spans="1:3" x14ac:dyDescent="0.3">
      <c r="A56" s="417">
        <f>Sheet1!A22</f>
        <v>122</v>
      </c>
      <c r="B56" s="418">
        <f>Sheet1!B22</f>
        <v>8.49</v>
      </c>
      <c r="C56" s="419">
        <v>1</v>
      </c>
    </row>
    <row r="57" spans="1:3" x14ac:dyDescent="0.3">
      <c r="A57" s="417">
        <f>Sheet1!A23</f>
        <v>123</v>
      </c>
      <c r="B57" s="418">
        <f>Sheet1!B23</f>
        <v>8.6300000000000008</v>
      </c>
      <c r="C57" s="419">
        <v>1</v>
      </c>
    </row>
    <row r="58" spans="1:3" x14ac:dyDescent="0.3">
      <c r="A58" s="417">
        <f>Sheet1!A24</f>
        <v>124</v>
      </c>
      <c r="B58" s="418">
        <f>Sheet1!B24</f>
        <v>8.7600000000000016</v>
      </c>
      <c r="C58" s="419">
        <v>1</v>
      </c>
    </row>
    <row r="59" spans="1:3" x14ac:dyDescent="0.3">
      <c r="A59" s="417">
        <f>Sheet1!A25</f>
        <v>125</v>
      </c>
      <c r="B59" s="418">
        <f>Sheet1!B25</f>
        <v>8.8900000000000023</v>
      </c>
      <c r="C59" s="419">
        <v>1</v>
      </c>
    </row>
    <row r="60" spans="1:3" x14ac:dyDescent="0.3">
      <c r="A60" s="417">
        <f>Sheet1!A26</f>
        <v>130</v>
      </c>
      <c r="B60" s="418">
        <f>Sheet1!B26</f>
        <v>9.81</v>
      </c>
      <c r="C60" s="419">
        <v>1</v>
      </c>
    </row>
    <row r="61" spans="1:3" x14ac:dyDescent="0.3">
      <c r="A61" s="417">
        <f>Sheet1!A27</f>
        <v>135</v>
      </c>
      <c r="B61" s="418">
        <f>Sheet1!B27</f>
        <v>9.92</v>
      </c>
      <c r="C61" s="419">
        <v>1</v>
      </c>
    </row>
    <row r="62" spans="1:3" x14ac:dyDescent="0.3">
      <c r="A62" s="417">
        <f>Sheet1!A28</f>
        <v>140</v>
      </c>
      <c r="B62" s="418">
        <f>Sheet1!B28</f>
        <v>10.09</v>
      </c>
      <c r="C62" s="419">
        <v>1</v>
      </c>
    </row>
    <row r="63" spans="1:3" x14ac:dyDescent="0.3">
      <c r="A63" s="417">
        <f>Sheet1!A29</f>
        <v>145</v>
      </c>
      <c r="B63" s="418">
        <f>Sheet1!B29</f>
        <v>10.19</v>
      </c>
      <c r="C63" s="419">
        <v>1</v>
      </c>
    </row>
    <row r="64" spans="1:3" x14ac:dyDescent="0.3">
      <c r="A64" s="417">
        <f>Sheet1!A30</f>
        <v>150</v>
      </c>
      <c r="B64" s="418">
        <f>Sheet1!B30</f>
        <v>10.36</v>
      </c>
      <c r="C64" s="419">
        <v>1</v>
      </c>
    </row>
    <row r="65" spans="1:3" x14ac:dyDescent="0.3">
      <c r="A65" s="417">
        <f>Sheet1!A31</f>
        <v>155</v>
      </c>
      <c r="B65" s="418">
        <f>Sheet1!B31</f>
        <v>10.42</v>
      </c>
      <c r="C65" s="419">
        <v>1</v>
      </c>
    </row>
    <row r="66" spans="1:3" x14ac:dyDescent="0.3">
      <c r="A66" s="417">
        <f>Sheet1!A32</f>
        <v>160</v>
      </c>
      <c r="B66" s="418">
        <f>Sheet1!B32</f>
        <v>10.47</v>
      </c>
      <c r="C66" s="419">
        <v>1</v>
      </c>
    </row>
    <row r="67" spans="1:3" x14ac:dyDescent="0.3">
      <c r="A67" s="417">
        <f>Sheet1!A33</f>
        <v>165</v>
      </c>
      <c r="B67" s="418">
        <f>Sheet1!B33</f>
        <v>10.51</v>
      </c>
      <c r="C67" s="419">
        <v>1</v>
      </c>
    </row>
    <row r="68" spans="1:3" x14ac:dyDescent="0.3">
      <c r="A68" s="417">
        <f>Sheet1!A34</f>
        <v>170</v>
      </c>
      <c r="B68" s="418">
        <f>Sheet1!B34</f>
        <v>10.54</v>
      </c>
      <c r="C68" s="419">
        <v>1</v>
      </c>
    </row>
    <row r="69" spans="1:3" x14ac:dyDescent="0.3">
      <c r="A69" s="417">
        <f>Sheet1!A35</f>
        <v>175</v>
      </c>
      <c r="B69" s="418">
        <f>Sheet1!B35</f>
        <v>10.559999999999999</v>
      </c>
      <c r="C69" s="419">
        <v>1</v>
      </c>
    </row>
    <row r="70" spans="1:3" x14ac:dyDescent="0.3">
      <c r="A70" s="417">
        <f>Sheet1!A36</f>
        <v>180</v>
      </c>
      <c r="B70" s="418">
        <f>Sheet1!B36</f>
        <v>10.63</v>
      </c>
      <c r="C70" s="419">
        <v>1</v>
      </c>
    </row>
    <row r="71" spans="1:3" x14ac:dyDescent="0.3">
      <c r="A71" s="417">
        <f>Sheet1!A37</f>
        <v>195</v>
      </c>
      <c r="B71" s="418">
        <f>Sheet1!B37</f>
        <v>10.700000000000001</v>
      </c>
      <c r="C71" s="419">
        <v>1</v>
      </c>
    </row>
    <row r="72" spans="1:3" x14ac:dyDescent="0.3">
      <c r="A72" s="417">
        <f>Sheet1!A38</f>
        <v>210</v>
      </c>
      <c r="B72" s="418">
        <f>Sheet1!B38</f>
        <v>10.760000000000002</v>
      </c>
      <c r="C72" s="419">
        <v>1</v>
      </c>
    </row>
    <row r="73" spans="1:3" x14ac:dyDescent="0.3">
      <c r="A73" s="417">
        <f>Sheet1!A39</f>
        <v>225</v>
      </c>
      <c r="B73" s="418">
        <f>Sheet1!B39</f>
        <v>10.810000000000002</v>
      </c>
      <c r="C73" s="419">
        <v>1</v>
      </c>
    </row>
    <row r="74" spans="1:3" x14ac:dyDescent="0.3">
      <c r="A74" s="417">
        <f>Sheet1!A40</f>
        <v>240</v>
      </c>
      <c r="B74" s="418">
        <f>Sheet1!B40</f>
        <v>10.91</v>
      </c>
      <c r="C74" s="419">
        <v>1</v>
      </c>
    </row>
    <row r="75" spans="1:3" x14ac:dyDescent="0.3">
      <c r="A75" s="417">
        <f>Sheet1!A41</f>
        <v>241</v>
      </c>
      <c r="B75" s="418">
        <f>Sheet1!B41</f>
        <v>11.09</v>
      </c>
      <c r="C75" s="419">
        <v>1</v>
      </c>
    </row>
    <row r="76" spans="1:3" x14ac:dyDescent="0.3">
      <c r="A76" s="417">
        <f>Sheet1!A42</f>
        <v>242</v>
      </c>
      <c r="B76" s="418">
        <f>Sheet1!B42</f>
        <v>11.25</v>
      </c>
      <c r="C76" s="419">
        <v>1</v>
      </c>
    </row>
    <row r="77" spans="1:3" x14ac:dyDescent="0.3">
      <c r="A77" s="417">
        <f>Sheet1!A43</f>
        <v>243</v>
      </c>
      <c r="B77" s="418">
        <f>Sheet1!B43</f>
        <v>11.4</v>
      </c>
      <c r="C77" s="419">
        <v>1</v>
      </c>
    </row>
    <row r="78" spans="1:3" x14ac:dyDescent="0.3">
      <c r="A78" s="417">
        <f>Sheet1!A44</f>
        <v>244</v>
      </c>
      <c r="B78" s="418">
        <f>Sheet1!B44</f>
        <v>11.540000000000001</v>
      </c>
      <c r="C78" s="419">
        <v>1</v>
      </c>
    </row>
    <row r="79" spans="1:3" x14ac:dyDescent="0.3">
      <c r="A79" s="417">
        <f>Sheet1!A45</f>
        <v>245</v>
      </c>
      <c r="B79" s="418">
        <f>Sheet1!B45</f>
        <v>11.670000000000002</v>
      </c>
      <c r="C79" s="419">
        <v>1</v>
      </c>
    </row>
    <row r="80" spans="1:3" x14ac:dyDescent="0.3">
      <c r="A80" s="417">
        <f>Sheet1!A46</f>
        <v>250</v>
      </c>
      <c r="B80" s="418">
        <f>Sheet1!B46</f>
        <v>12.75</v>
      </c>
      <c r="C80" s="419">
        <v>1</v>
      </c>
    </row>
    <row r="81" spans="1:3" x14ac:dyDescent="0.3">
      <c r="A81" s="417">
        <f>Sheet1!A47</f>
        <v>255</v>
      </c>
      <c r="B81" s="418">
        <f>Sheet1!B47</f>
        <v>12.86</v>
      </c>
      <c r="C81" s="419">
        <v>1</v>
      </c>
    </row>
    <row r="82" spans="1:3" x14ac:dyDescent="0.3">
      <c r="A82" s="417">
        <f>Sheet1!A48</f>
        <v>260</v>
      </c>
      <c r="B82" s="418">
        <f>Sheet1!B48</f>
        <v>13.05</v>
      </c>
      <c r="C82" s="419">
        <v>1</v>
      </c>
    </row>
    <row r="83" spans="1:3" x14ac:dyDescent="0.3">
      <c r="A83" s="417">
        <f>Sheet1!A49</f>
        <v>265</v>
      </c>
      <c r="B83" s="418">
        <f>Sheet1!B49</f>
        <v>13.16</v>
      </c>
      <c r="C83" s="419">
        <v>1</v>
      </c>
    </row>
    <row r="84" spans="1:3" x14ac:dyDescent="0.3">
      <c r="A84" s="417">
        <f>Sheet1!A50</f>
        <v>270</v>
      </c>
      <c r="B84" s="418">
        <f>Sheet1!B50</f>
        <v>13.36</v>
      </c>
      <c r="C84" s="419">
        <v>1</v>
      </c>
    </row>
    <row r="85" spans="1:3" x14ac:dyDescent="0.3">
      <c r="A85" s="417">
        <f>Sheet1!A51</f>
        <v>275</v>
      </c>
      <c r="B85" s="418">
        <f>Sheet1!B51</f>
        <v>13.43</v>
      </c>
      <c r="C85" s="419">
        <v>1</v>
      </c>
    </row>
    <row r="86" spans="1:3" x14ac:dyDescent="0.3">
      <c r="A86" s="417">
        <f>Sheet1!A52</f>
        <v>280</v>
      </c>
      <c r="B86" s="418">
        <f>Sheet1!B52</f>
        <v>13.48</v>
      </c>
      <c r="C86" s="419">
        <v>1</v>
      </c>
    </row>
    <row r="87" spans="1:3" x14ac:dyDescent="0.3">
      <c r="A87" s="417">
        <f>Sheet1!A53</f>
        <v>285</v>
      </c>
      <c r="B87" s="418">
        <f>Sheet1!B53</f>
        <v>13.52</v>
      </c>
      <c r="C87" s="419">
        <v>1</v>
      </c>
    </row>
    <row r="88" spans="1:3" x14ac:dyDescent="0.3">
      <c r="A88" s="417">
        <f>Sheet1!A54</f>
        <v>290</v>
      </c>
      <c r="B88" s="418">
        <f>Sheet1!B54</f>
        <v>13.549999999999999</v>
      </c>
      <c r="C88" s="419">
        <v>1</v>
      </c>
    </row>
    <row r="89" spans="1:3" x14ac:dyDescent="0.3">
      <c r="A89" s="417">
        <f>Sheet1!A55</f>
        <v>295</v>
      </c>
      <c r="B89" s="418">
        <f>Sheet1!B55</f>
        <v>13.569999999999999</v>
      </c>
      <c r="C89" s="419">
        <v>1</v>
      </c>
    </row>
    <row r="90" spans="1:3" x14ac:dyDescent="0.3">
      <c r="A90" s="417">
        <f>Sheet1!A56</f>
        <v>300</v>
      </c>
      <c r="B90" s="418">
        <f>Sheet1!B56</f>
        <v>13.67</v>
      </c>
      <c r="C90" s="419">
        <v>1</v>
      </c>
    </row>
    <row r="91" spans="1:3" x14ac:dyDescent="0.3">
      <c r="A91" s="417">
        <f>Sheet1!A57</f>
        <v>315</v>
      </c>
      <c r="B91" s="418">
        <f>Sheet1!B57</f>
        <v>13.75</v>
      </c>
      <c r="C91" s="419">
        <v>1</v>
      </c>
    </row>
    <row r="92" spans="1:3" x14ac:dyDescent="0.3">
      <c r="A92" s="417">
        <f>Sheet1!A58</f>
        <v>330</v>
      </c>
      <c r="B92" s="418">
        <f>Sheet1!B58</f>
        <v>13.81</v>
      </c>
      <c r="C92" s="419">
        <v>1</v>
      </c>
    </row>
    <row r="93" spans="1:3" x14ac:dyDescent="0.3">
      <c r="A93" s="417">
        <f>Sheet1!A59</f>
        <v>345</v>
      </c>
      <c r="B93" s="418">
        <f>Sheet1!B59</f>
        <v>13.860000000000001</v>
      </c>
      <c r="C93" s="419">
        <v>1</v>
      </c>
    </row>
    <row r="94" spans="1:3" x14ac:dyDescent="0.3">
      <c r="A94" s="417">
        <f>Sheet1!A60</f>
        <v>360</v>
      </c>
      <c r="B94" s="418">
        <f>Sheet1!B60</f>
        <v>13.98</v>
      </c>
      <c r="C94" s="419">
        <v>1</v>
      </c>
    </row>
    <row r="95" spans="1:3" x14ac:dyDescent="0.3">
      <c r="A95" s="417">
        <f>Sheet1!A61</f>
        <v>361</v>
      </c>
      <c r="B95" s="418">
        <f>Sheet1!B61</f>
        <v>14.17</v>
      </c>
      <c r="C95" s="419">
        <v>1</v>
      </c>
    </row>
    <row r="96" spans="1:3" x14ac:dyDescent="0.3">
      <c r="A96" s="417">
        <f>Sheet1!A62</f>
        <v>362</v>
      </c>
      <c r="B96" s="418">
        <f>Sheet1!B62</f>
        <v>14.34</v>
      </c>
      <c r="C96" s="419">
        <v>1</v>
      </c>
    </row>
    <row r="97" spans="1:3" x14ac:dyDescent="0.3">
      <c r="A97" s="417">
        <f>Sheet1!A63</f>
        <v>363</v>
      </c>
      <c r="B97" s="418">
        <f>Sheet1!B63</f>
        <v>14.5</v>
      </c>
      <c r="C97" s="419">
        <v>1</v>
      </c>
    </row>
    <row r="98" spans="1:3" x14ac:dyDescent="0.3">
      <c r="A98" s="417">
        <f>Sheet1!A64</f>
        <v>364</v>
      </c>
      <c r="B98" s="418">
        <f>Sheet1!B64</f>
        <v>14.65</v>
      </c>
      <c r="C98" s="419">
        <v>1</v>
      </c>
    </row>
    <row r="99" spans="1:3" x14ac:dyDescent="0.3">
      <c r="A99" s="417">
        <f>Sheet1!A65</f>
        <v>365</v>
      </c>
      <c r="B99" s="418">
        <f>Sheet1!B65</f>
        <v>14.790000000000001</v>
      </c>
      <c r="C99" s="419">
        <v>1</v>
      </c>
    </row>
    <row r="100" spans="1:3" x14ac:dyDescent="0.3">
      <c r="A100" s="417">
        <f>Sheet1!A66</f>
        <v>370</v>
      </c>
      <c r="B100" s="418">
        <f>Sheet1!B66</f>
        <v>16.03</v>
      </c>
      <c r="C100" s="419">
        <v>1</v>
      </c>
    </row>
    <row r="101" spans="1:3" x14ac:dyDescent="0.3">
      <c r="A101" s="417">
        <f>Sheet1!A67</f>
        <v>375</v>
      </c>
      <c r="B101" s="418">
        <f>Sheet1!B67</f>
        <v>16.150000000000002</v>
      </c>
      <c r="C101" s="419">
        <v>1</v>
      </c>
    </row>
    <row r="102" spans="1:3" x14ac:dyDescent="0.3">
      <c r="A102" s="417">
        <f>Sheet1!A68</f>
        <v>380</v>
      </c>
      <c r="B102" s="418">
        <f>Sheet1!B68</f>
        <v>16.37</v>
      </c>
      <c r="C102" s="419">
        <v>1</v>
      </c>
    </row>
    <row r="103" spans="1:3" x14ac:dyDescent="0.3">
      <c r="A103" s="417">
        <f>Sheet1!A69</f>
        <v>385</v>
      </c>
      <c r="B103" s="418">
        <f>Sheet1!B69</f>
        <v>16.490000000000002</v>
      </c>
      <c r="C103" s="419">
        <v>1</v>
      </c>
    </row>
    <row r="104" spans="1:3" x14ac:dyDescent="0.3">
      <c r="A104" s="417">
        <f>Sheet1!A70</f>
        <v>390</v>
      </c>
      <c r="B104" s="418">
        <f>Sheet1!B70</f>
        <v>16.71</v>
      </c>
      <c r="C104" s="419">
        <v>1</v>
      </c>
    </row>
    <row r="105" spans="1:3" x14ac:dyDescent="0.3">
      <c r="A105" s="417">
        <f>Sheet1!A71</f>
        <v>395</v>
      </c>
      <c r="B105" s="418">
        <f>Sheet1!B71</f>
        <v>16.78</v>
      </c>
      <c r="C105" s="419">
        <v>1</v>
      </c>
    </row>
    <row r="106" spans="1:3" x14ac:dyDescent="0.3">
      <c r="A106" s="417">
        <f>Sheet1!A72</f>
        <v>400</v>
      </c>
      <c r="B106" s="418">
        <f>Sheet1!B72</f>
        <v>16.830000000000002</v>
      </c>
      <c r="C106" s="419">
        <v>1</v>
      </c>
    </row>
    <row r="107" spans="1:3" x14ac:dyDescent="0.3">
      <c r="A107" s="417">
        <f>Sheet1!A73</f>
        <v>405</v>
      </c>
      <c r="B107" s="418">
        <f>Sheet1!B73</f>
        <v>16.87</v>
      </c>
      <c r="C107" s="419">
        <v>1</v>
      </c>
    </row>
    <row r="108" spans="1:3" x14ac:dyDescent="0.3">
      <c r="A108" s="417">
        <f>Sheet1!A74</f>
        <v>410</v>
      </c>
      <c r="B108" s="418">
        <f>Sheet1!B74</f>
        <v>16.900000000000002</v>
      </c>
      <c r="C108" s="419">
        <v>1</v>
      </c>
    </row>
    <row r="109" spans="1:3" x14ac:dyDescent="0.3">
      <c r="A109" s="417">
        <f>Sheet1!A75</f>
        <v>415</v>
      </c>
      <c r="B109" s="418">
        <f>Sheet1!B75</f>
        <v>16.930000000000003</v>
      </c>
      <c r="C109" s="419">
        <v>1</v>
      </c>
    </row>
    <row r="110" spans="1:3" x14ac:dyDescent="0.3">
      <c r="A110" s="417">
        <f>Sheet1!A76</f>
        <v>420</v>
      </c>
      <c r="B110" s="418">
        <f>Sheet1!B76</f>
        <v>17.05</v>
      </c>
      <c r="C110" s="419">
        <v>1</v>
      </c>
    </row>
    <row r="111" spans="1:3" x14ac:dyDescent="0.3">
      <c r="A111" s="417">
        <f>Sheet1!A77</f>
        <v>435</v>
      </c>
      <c r="B111" s="418">
        <f>Sheet1!B77</f>
        <v>17.14</v>
      </c>
      <c r="C111" s="419">
        <v>1</v>
      </c>
    </row>
    <row r="112" spans="1:3" x14ac:dyDescent="0.3">
      <c r="A112" s="417">
        <f>Sheet1!A78</f>
        <v>450</v>
      </c>
      <c r="B112" s="418">
        <f>Sheet1!B78</f>
        <v>17.21</v>
      </c>
      <c r="C112" s="419">
        <v>1</v>
      </c>
    </row>
    <row r="113" spans="1:3" x14ac:dyDescent="0.3">
      <c r="A113" s="417">
        <f>Sheet1!A79</f>
        <v>465</v>
      </c>
      <c r="B113" s="418">
        <f>Sheet1!B79</f>
        <v>17.260000000000002</v>
      </c>
      <c r="C113" s="419">
        <v>1</v>
      </c>
    </row>
    <row r="114" spans="1:3" x14ac:dyDescent="0.3">
      <c r="A114" s="417">
        <f>Sheet1!A80</f>
        <v>480</v>
      </c>
      <c r="B114" s="418">
        <f>Sheet1!B80</f>
        <v>17.399999999999999</v>
      </c>
      <c r="C114" s="419">
        <v>1</v>
      </c>
    </row>
    <row r="115" spans="1:3" x14ac:dyDescent="0.3">
      <c r="A115" s="417">
        <f>Sheet1!A81</f>
        <v>481</v>
      </c>
      <c r="B115" s="418">
        <f>Sheet1!B81</f>
        <v>17.61</v>
      </c>
      <c r="C115" s="419">
        <v>1</v>
      </c>
    </row>
    <row r="116" spans="1:3" x14ac:dyDescent="0.3">
      <c r="A116" s="417">
        <f>Sheet1!A82</f>
        <v>482</v>
      </c>
      <c r="B116" s="418">
        <f>Sheet1!B82</f>
        <v>17.8</v>
      </c>
      <c r="C116" s="419">
        <v>1</v>
      </c>
    </row>
    <row r="117" spans="1:3" x14ac:dyDescent="0.3">
      <c r="A117" s="417">
        <f>Sheet1!A83</f>
        <v>483</v>
      </c>
      <c r="B117" s="418">
        <f>Sheet1!B83</f>
        <v>17.970000000000002</v>
      </c>
      <c r="C117" s="419">
        <v>1</v>
      </c>
    </row>
    <row r="118" spans="1:3" x14ac:dyDescent="0.3">
      <c r="A118" s="417">
        <f>Sheet1!A84</f>
        <v>484</v>
      </c>
      <c r="B118" s="418">
        <f>Sheet1!B84</f>
        <v>18.130000000000003</v>
      </c>
      <c r="C118" s="419">
        <v>1</v>
      </c>
    </row>
    <row r="119" spans="1:3" x14ac:dyDescent="0.3">
      <c r="A119" s="417">
        <f>Sheet1!A85</f>
        <v>485</v>
      </c>
      <c r="B119" s="418">
        <f>Sheet1!B85</f>
        <v>18.270000000000003</v>
      </c>
      <c r="C119" s="419">
        <v>1</v>
      </c>
    </row>
    <row r="120" spans="1:3" x14ac:dyDescent="0.3">
      <c r="A120" s="417">
        <f>Sheet1!A86</f>
        <v>490</v>
      </c>
      <c r="B120" s="418">
        <f>Sheet1!B86</f>
        <v>19.48</v>
      </c>
      <c r="C120" s="419">
        <v>1</v>
      </c>
    </row>
    <row r="121" spans="1:3" x14ac:dyDescent="0.3">
      <c r="A121" s="417">
        <f>Sheet1!A87</f>
        <v>495</v>
      </c>
      <c r="B121" s="418">
        <f>Sheet1!B87</f>
        <v>19.79</v>
      </c>
      <c r="C121" s="419">
        <v>1</v>
      </c>
    </row>
    <row r="122" spans="1:3" x14ac:dyDescent="0.3">
      <c r="A122" s="417">
        <f>Sheet1!A88</f>
        <v>500</v>
      </c>
      <c r="B122" s="418">
        <f>Sheet1!B88</f>
        <v>20.27</v>
      </c>
      <c r="C122" s="419">
        <v>1</v>
      </c>
    </row>
    <row r="123" spans="1:3" x14ac:dyDescent="0.3">
      <c r="A123" s="417">
        <f>Sheet1!A89</f>
        <v>505</v>
      </c>
      <c r="B123" s="418">
        <f>Sheet1!B89</f>
        <v>20.57</v>
      </c>
      <c r="C123" s="419">
        <v>1</v>
      </c>
    </row>
    <row r="124" spans="1:3" x14ac:dyDescent="0.3">
      <c r="A124" s="417">
        <f>Sheet1!A90</f>
        <v>510</v>
      </c>
      <c r="B124" s="418">
        <f>Sheet1!B90</f>
        <v>21.05</v>
      </c>
      <c r="C124" s="419">
        <v>1</v>
      </c>
    </row>
    <row r="125" spans="1:3" x14ac:dyDescent="0.3">
      <c r="A125" s="417">
        <f>Sheet1!A91</f>
        <v>515</v>
      </c>
      <c r="B125" s="418">
        <f>Sheet1!B91</f>
        <v>21.2</v>
      </c>
      <c r="C125" s="419">
        <v>1</v>
      </c>
    </row>
    <row r="126" spans="1:3" x14ac:dyDescent="0.3">
      <c r="A126" s="417">
        <f>Sheet1!A92</f>
        <v>520</v>
      </c>
      <c r="B126" s="418">
        <f>Sheet1!B92</f>
        <v>21.33</v>
      </c>
      <c r="C126" s="419">
        <v>1</v>
      </c>
    </row>
    <row r="127" spans="1:3" x14ac:dyDescent="0.3">
      <c r="A127" s="417">
        <f>Sheet1!A93</f>
        <v>525</v>
      </c>
      <c r="B127" s="418">
        <f>Sheet1!B93</f>
        <v>21.439999999999998</v>
      </c>
      <c r="C127" s="419">
        <v>1</v>
      </c>
    </row>
    <row r="128" spans="1:3" x14ac:dyDescent="0.3">
      <c r="A128" s="417">
        <f>Sheet1!A94</f>
        <v>530</v>
      </c>
      <c r="B128" s="418">
        <f>Sheet1!B94</f>
        <v>21.519999999999996</v>
      </c>
      <c r="C128" s="419">
        <v>1</v>
      </c>
    </row>
    <row r="129" spans="1:3" x14ac:dyDescent="0.3">
      <c r="A129" s="417">
        <f>Sheet1!A95</f>
        <v>535</v>
      </c>
      <c r="B129" s="418">
        <f>Sheet1!B95</f>
        <v>21.589999999999996</v>
      </c>
      <c r="C129" s="419">
        <v>1</v>
      </c>
    </row>
    <row r="130" spans="1:3" x14ac:dyDescent="0.3">
      <c r="A130" s="417">
        <f>Sheet1!A96</f>
        <v>540</v>
      </c>
      <c r="B130" s="418">
        <f>Sheet1!B96</f>
        <v>21.83</v>
      </c>
      <c r="C130" s="419">
        <v>1</v>
      </c>
    </row>
    <row r="131" spans="1:3" x14ac:dyDescent="0.3">
      <c r="A131" s="417">
        <f>Sheet1!A97</f>
        <v>555</v>
      </c>
      <c r="B131" s="418">
        <f>Sheet1!B97</f>
        <v>22.02</v>
      </c>
      <c r="C131" s="419">
        <v>1</v>
      </c>
    </row>
    <row r="132" spans="1:3" x14ac:dyDescent="0.3">
      <c r="A132" s="417">
        <f>Sheet1!A98</f>
        <v>570</v>
      </c>
      <c r="B132" s="418">
        <f>Sheet1!B98</f>
        <v>22.18</v>
      </c>
      <c r="C132" s="419">
        <v>1</v>
      </c>
    </row>
    <row r="133" spans="1:3" x14ac:dyDescent="0.3">
      <c r="A133" s="417">
        <f>Sheet1!A99</f>
        <v>585</v>
      </c>
      <c r="B133" s="418">
        <f>Sheet1!B99</f>
        <v>22.32</v>
      </c>
      <c r="C133" s="419">
        <v>1</v>
      </c>
    </row>
    <row r="134" spans="1:3" x14ac:dyDescent="0.3">
      <c r="A134" s="417">
        <f>Sheet1!A100</f>
        <v>600</v>
      </c>
      <c r="B134" s="418">
        <f>Sheet1!B100</f>
        <v>22.62</v>
      </c>
      <c r="C134" s="419">
        <v>1</v>
      </c>
    </row>
    <row r="135" spans="1:3" x14ac:dyDescent="0.3">
      <c r="A135" s="417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17"/>
    <col min="2" max="3" width="8.88671875" style="418"/>
    <col min="4" max="16384" width="8.88671875" style="417"/>
  </cols>
  <sheetData>
    <row r="1" spans="1:2" x14ac:dyDescent="0.3">
      <c r="B1" s="417"/>
    </row>
    <row r="2" spans="1:2" x14ac:dyDescent="0.3">
      <c r="A2" s="417" t="s">
        <v>98</v>
      </c>
      <c r="B2" s="417"/>
    </row>
    <row r="3" spans="1:2" x14ac:dyDescent="0.3">
      <c r="A3" s="417">
        <v>2</v>
      </c>
      <c r="B3" s="417"/>
    </row>
    <row r="4" spans="1:2" x14ac:dyDescent="0.3">
      <c r="A4" s="417">
        <v>1</v>
      </c>
      <c r="B4" s="417"/>
    </row>
    <row r="5" spans="1:2" x14ac:dyDescent="0.3">
      <c r="A5" s="417">
        <v>6</v>
      </c>
      <c r="B5" s="417"/>
    </row>
    <row r="6" spans="1:2" x14ac:dyDescent="0.3">
      <c r="A6" s="417" t="s">
        <v>99</v>
      </c>
      <c r="B6" s="417"/>
    </row>
    <row r="7" spans="1:2" x14ac:dyDescent="0.3">
      <c r="A7" s="417">
        <f>Step.Select!A7</f>
        <v>80</v>
      </c>
      <c r="B7" s="417"/>
    </row>
    <row r="8" spans="1:2" x14ac:dyDescent="0.3">
      <c r="A8" s="417" t="s">
        <v>100</v>
      </c>
      <c r="B8" s="417"/>
    </row>
    <row r="9" spans="1:2" x14ac:dyDescent="0.3">
      <c r="A9" s="417">
        <v>1</v>
      </c>
      <c r="B9" s="417"/>
    </row>
    <row r="10" spans="1:2" x14ac:dyDescent="0.3">
      <c r="A10" s="417" t="s">
        <v>101</v>
      </c>
      <c r="B10" s="417"/>
    </row>
    <row r="11" spans="1:2" x14ac:dyDescent="0.3">
      <c r="A11" s="417">
        <v>1</v>
      </c>
      <c r="B11" s="417"/>
    </row>
    <row r="12" spans="1:2" x14ac:dyDescent="0.3">
      <c r="A12" s="417" t="s">
        <v>102</v>
      </c>
      <c r="B12" s="417"/>
    </row>
    <row r="13" spans="1:2" x14ac:dyDescent="0.3">
      <c r="A13" s="417">
        <v>1</v>
      </c>
      <c r="B13" s="417"/>
    </row>
    <row r="14" spans="1:2" x14ac:dyDescent="0.3">
      <c r="A14" s="417" t="s">
        <v>103</v>
      </c>
      <c r="B14" s="417"/>
    </row>
    <row r="15" spans="1:2" x14ac:dyDescent="0.3">
      <c r="A15" s="417" t="str">
        <f>입력표!I54</f>
        <v>W-1</v>
      </c>
      <c r="B15" s="417"/>
    </row>
    <row r="16" spans="1:2" x14ac:dyDescent="0.3">
      <c r="A16" s="417">
        <v>0</v>
      </c>
      <c r="B16" s="417"/>
    </row>
    <row r="17" spans="1:3" x14ac:dyDescent="0.3">
      <c r="A17" s="417">
        <v>0</v>
      </c>
      <c r="B17" s="417"/>
    </row>
    <row r="18" spans="1:3" x14ac:dyDescent="0.3">
      <c r="A18" s="417">
        <f>Step.Select!A18</f>
        <v>0.125</v>
      </c>
      <c r="B18" s="417"/>
    </row>
    <row r="19" spans="1:3" x14ac:dyDescent="0.3">
      <c r="A19" s="417">
        <f>Step.Select!A19</f>
        <v>0.125</v>
      </c>
      <c r="B19" s="417"/>
    </row>
    <row r="20" spans="1:3" x14ac:dyDescent="0.3">
      <c r="A20" s="417">
        <v>0</v>
      </c>
      <c r="B20" s="417"/>
    </row>
    <row r="21" spans="1:3" x14ac:dyDescent="0.3">
      <c r="A21" s="417">
        <v>0</v>
      </c>
      <c r="B21" s="417"/>
    </row>
    <row r="22" spans="1:3" x14ac:dyDescent="0.3">
      <c r="A22" s="417">
        <v>1</v>
      </c>
      <c r="B22" s="417"/>
    </row>
    <row r="23" spans="1:3" x14ac:dyDescent="0.3">
      <c r="A23" s="417">
        <v>1</v>
      </c>
      <c r="B23" s="417"/>
    </row>
    <row r="24" spans="1:3" x14ac:dyDescent="0.3">
      <c r="A24" s="419">
        <v>0</v>
      </c>
      <c r="B24" s="419">
        <f>입력표!M51</f>
        <v>1252</v>
      </c>
    </row>
    <row r="25" spans="1:3" x14ac:dyDescent="0.3">
      <c r="A25" s="417" t="s">
        <v>104</v>
      </c>
      <c r="B25" s="417"/>
    </row>
    <row r="26" spans="1:3" x14ac:dyDescent="0.3">
      <c r="A26" s="417" t="str">
        <f>A15</f>
        <v>W-1</v>
      </c>
      <c r="B26" s="417"/>
    </row>
    <row r="27" spans="1:3" x14ac:dyDescent="0.3">
      <c r="A27" s="420">
        <f>스킨팩터!C8</f>
        <v>0.53</v>
      </c>
      <c r="B27" s="417"/>
    </row>
    <row r="28" spans="1:3" x14ac:dyDescent="0.3">
      <c r="A28" s="417">
        <v>0</v>
      </c>
      <c r="B28" s="417"/>
    </row>
    <row r="29" spans="1:3" x14ac:dyDescent="0.3">
      <c r="A29" s="417">
        <v>0</v>
      </c>
      <c r="B29" s="417"/>
    </row>
    <row r="30" spans="1:3" x14ac:dyDescent="0.3">
      <c r="A30" s="419">
        <f>SUM(C31:C98)</f>
        <v>68</v>
      </c>
      <c r="B30" s="417"/>
    </row>
    <row r="31" spans="1:3" x14ac:dyDescent="0.3">
      <c r="A31" s="417">
        <f>장기양수시험!D10</f>
        <v>1</v>
      </c>
      <c r="B31" s="421">
        <f>장기양수시험!G10</f>
        <v>10.83948621572366</v>
      </c>
      <c r="C31" s="419">
        <v>1</v>
      </c>
    </row>
    <row r="32" spans="1:3" x14ac:dyDescent="0.3">
      <c r="A32" s="417">
        <f>장기양수시험!D11</f>
        <v>2</v>
      </c>
      <c r="B32" s="421">
        <f>장기양수시험!G11</f>
        <v>11.746785676638403</v>
      </c>
      <c r="C32" s="419">
        <v>1</v>
      </c>
    </row>
    <row r="33" spans="1:3" x14ac:dyDescent="0.3">
      <c r="A33" s="417">
        <f>장기양수시험!D12</f>
        <v>3</v>
      </c>
      <c r="B33" s="421">
        <f>장기양수시험!G12</f>
        <v>12.277521838198044</v>
      </c>
      <c r="C33" s="419">
        <v>1</v>
      </c>
    </row>
    <row r="34" spans="1:3" x14ac:dyDescent="0.3">
      <c r="A34" s="417">
        <f>장기양수시험!D13</f>
        <v>4</v>
      </c>
      <c r="B34" s="421">
        <f>장기양수시험!G13</f>
        <v>12.654085137553142</v>
      </c>
      <c r="C34" s="419">
        <v>1</v>
      </c>
    </row>
    <row r="35" spans="1:3" x14ac:dyDescent="0.3">
      <c r="A35" s="417">
        <f>장기양수시험!D14</f>
        <v>5</v>
      </c>
      <c r="B35" s="421">
        <f>장기양수시험!G14</f>
        <v>12.946170324497754</v>
      </c>
      <c r="C35" s="419">
        <v>1</v>
      </c>
    </row>
    <row r="36" spans="1:3" x14ac:dyDescent="0.3">
      <c r="A36" s="417">
        <f>장기양수시험!D15</f>
        <v>10</v>
      </c>
      <c r="B36" s="421">
        <f>장기양수시험!G15</f>
        <v>13.853469785412496</v>
      </c>
      <c r="C36" s="419">
        <v>1</v>
      </c>
    </row>
    <row r="37" spans="1:3" x14ac:dyDescent="0.3">
      <c r="A37" s="417">
        <f>장기양수시험!D16</f>
        <v>15</v>
      </c>
      <c r="B37" s="421">
        <f>장기양수시험!G16</f>
        <v>14.384205946972138</v>
      </c>
      <c r="C37" s="419">
        <v>1</v>
      </c>
    </row>
    <row r="38" spans="1:3" x14ac:dyDescent="0.3">
      <c r="A38" s="417">
        <f>장기양수시험!D17</f>
        <v>20</v>
      </c>
      <c r="B38" s="421">
        <f>장기양수시험!G17</f>
        <v>14.760769246327236</v>
      </c>
      <c r="C38" s="419">
        <v>1</v>
      </c>
    </row>
    <row r="39" spans="1:3" x14ac:dyDescent="0.3">
      <c r="A39" s="417">
        <f>장기양수시험!D18</f>
        <v>25</v>
      </c>
      <c r="B39" s="421">
        <f>장기양수시험!G18</f>
        <v>15.052854433271847</v>
      </c>
      <c r="C39" s="419">
        <v>1</v>
      </c>
    </row>
    <row r="40" spans="1:3" x14ac:dyDescent="0.3">
      <c r="A40" s="417">
        <f>장기양수시험!D19</f>
        <v>30</v>
      </c>
      <c r="B40" s="421">
        <f>장기양수시험!G19</f>
        <v>15.291505407886881</v>
      </c>
      <c r="C40" s="419">
        <v>1</v>
      </c>
    </row>
    <row r="41" spans="1:3" x14ac:dyDescent="0.3">
      <c r="A41" s="417">
        <f>장기양수시험!D20</f>
        <v>35</v>
      </c>
      <c r="B41" s="421">
        <f>장기양수시험!G20</f>
        <v>15.493281931876961</v>
      </c>
      <c r="C41" s="419">
        <v>1</v>
      </c>
    </row>
    <row r="42" spans="1:3" x14ac:dyDescent="0.3">
      <c r="A42" s="417">
        <f>장기양수시험!D21</f>
        <v>40</v>
      </c>
      <c r="B42" s="421">
        <f>장기양수시험!G21</f>
        <v>15.668068707241975</v>
      </c>
      <c r="C42" s="419">
        <v>1</v>
      </c>
    </row>
    <row r="43" spans="1:3" x14ac:dyDescent="0.3">
      <c r="A43" s="417">
        <f>장기양수시험!D22</f>
        <v>45</v>
      </c>
      <c r="B43" s="421">
        <f>장기양수시험!G22</f>
        <v>15.822241569446522</v>
      </c>
      <c r="C43" s="419">
        <v>1</v>
      </c>
    </row>
    <row r="44" spans="1:3" x14ac:dyDescent="0.3">
      <c r="A44" s="417">
        <f>장기양수시험!D23</f>
        <v>50</v>
      </c>
      <c r="B44" s="421">
        <f>장기양수시험!G23</f>
        <v>15.96015389418659</v>
      </c>
      <c r="C44" s="419">
        <v>1</v>
      </c>
    </row>
    <row r="45" spans="1:3" x14ac:dyDescent="0.3">
      <c r="A45" s="417">
        <f>장기양수시험!D24</f>
        <v>55</v>
      </c>
      <c r="B45" s="421">
        <f>장기양수시험!G24</f>
        <v>16.035830767158782</v>
      </c>
      <c r="C45" s="419">
        <v>1</v>
      </c>
    </row>
    <row r="46" spans="1:3" x14ac:dyDescent="0.3">
      <c r="A46" s="417">
        <f>장기양수시험!D25</f>
        <v>60</v>
      </c>
      <c r="B46" s="421">
        <f>장기양수시험!G25</f>
        <v>16.19880486880162</v>
      </c>
      <c r="C46" s="419">
        <v>1</v>
      </c>
    </row>
    <row r="47" spans="1:3" x14ac:dyDescent="0.3">
      <c r="A47" s="417">
        <f>장기양수시험!D26</f>
        <v>75</v>
      </c>
      <c r="B47" s="421">
        <f>장기양수시험!G26</f>
        <v>16.490890055746231</v>
      </c>
      <c r="C47" s="419">
        <v>1</v>
      </c>
    </row>
    <row r="48" spans="1:3" x14ac:dyDescent="0.3">
      <c r="A48" s="417">
        <f>장기양수시험!D27</f>
        <v>90</v>
      </c>
      <c r="B48" s="421">
        <f>장기양수시험!G27</f>
        <v>16.729541030361265</v>
      </c>
      <c r="C48" s="419">
        <v>1</v>
      </c>
    </row>
    <row r="49" spans="1:3" x14ac:dyDescent="0.3">
      <c r="A49" s="417">
        <f>장기양수시험!D28</f>
        <v>105</v>
      </c>
      <c r="B49" s="421">
        <f>장기양수시험!G28</f>
        <v>16.931317554351345</v>
      </c>
      <c r="C49" s="419">
        <v>1</v>
      </c>
    </row>
    <row r="50" spans="1:3" x14ac:dyDescent="0.3">
      <c r="A50" s="417">
        <f>장기양수시험!D29</f>
        <v>120</v>
      </c>
      <c r="B50" s="421">
        <f>장기양수시험!G29</f>
        <v>17.106104329716359</v>
      </c>
      <c r="C50" s="419">
        <v>1</v>
      </c>
    </row>
    <row r="51" spans="1:3" x14ac:dyDescent="0.3">
      <c r="A51" s="417">
        <f>장기양수시험!D30</f>
        <v>140</v>
      </c>
      <c r="B51" s="421">
        <f>장기양수시험!G30</f>
        <v>17.307880853706443</v>
      </c>
      <c r="C51" s="419">
        <v>1</v>
      </c>
    </row>
    <row r="52" spans="1:3" x14ac:dyDescent="0.3">
      <c r="A52" s="417">
        <f>장기양수시험!D31</f>
        <v>160</v>
      </c>
      <c r="B52" s="421">
        <f>장기양수시험!G31</f>
        <v>17.482667629071457</v>
      </c>
      <c r="C52" s="419">
        <v>1</v>
      </c>
    </row>
    <row r="53" spans="1:3" x14ac:dyDescent="0.3">
      <c r="A53" s="417">
        <f>장기양수시험!D32</f>
        <v>180</v>
      </c>
      <c r="B53" s="421">
        <f>장기양수시험!G32</f>
        <v>17.636840491276004</v>
      </c>
      <c r="C53" s="419">
        <v>1</v>
      </c>
    </row>
    <row r="54" spans="1:3" x14ac:dyDescent="0.3">
      <c r="A54" s="417">
        <f>장기양수시험!D33</f>
        <v>240</v>
      </c>
      <c r="B54" s="421">
        <f>장기양수시험!G33</f>
        <v>18.013403790631099</v>
      </c>
      <c r="C54" s="419">
        <v>1</v>
      </c>
    </row>
    <row r="55" spans="1:3" x14ac:dyDescent="0.3">
      <c r="A55" s="417">
        <f>장기양수시험!D34</f>
        <v>300</v>
      </c>
      <c r="B55" s="421">
        <f>장기양수시험!G34</f>
        <v>18.305488977575713</v>
      </c>
      <c r="C55" s="419">
        <v>1</v>
      </c>
    </row>
    <row r="56" spans="1:3" x14ac:dyDescent="0.3">
      <c r="A56" s="417">
        <f>장기양수시험!D35</f>
        <v>360</v>
      </c>
      <c r="B56" s="421">
        <f>장기양수시험!G35</f>
        <v>18.544139952190744</v>
      </c>
      <c r="C56" s="419">
        <v>1</v>
      </c>
    </row>
    <row r="57" spans="1:3" x14ac:dyDescent="0.3">
      <c r="A57" s="417">
        <f>장기양수시험!D36</f>
        <v>420</v>
      </c>
      <c r="B57" s="421">
        <f>장기양수시험!G36</f>
        <v>18.745916476180827</v>
      </c>
      <c r="C57" s="419">
        <v>1</v>
      </c>
    </row>
    <row r="58" spans="1:3" x14ac:dyDescent="0.3">
      <c r="A58" s="417">
        <f>장기양수시험!D37</f>
        <v>480</v>
      </c>
      <c r="B58" s="421">
        <f>장기양수시험!G37</f>
        <v>18.920703251545842</v>
      </c>
      <c r="C58" s="419">
        <v>1</v>
      </c>
    </row>
    <row r="59" spans="1:3" x14ac:dyDescent="0.3">
      <c r="A59" s="417">
        <f>장기양수시험!D38</f>
        <v>540</v>
      </c>
      <c r="B59" s="421">
        <f>장기양수시험!G38</f>
        <v>19.074876113750388</v>
      </c>
      <c r="C59" s="419">
        <v>1</v>
      </c>
    </row>
    <row r="60" spans="1:3" x14ac:dyDescent="0.3">
      <c r="A60" s="417">
        <f>장기양수시험!D39</f>
        <v>600</v>
      </c>
      <c r="B60" s="421">
        <f>장기양수시험!G39</f>
        <v>19.212788438490453</v>
      </c>
      <c r="C60" s="419">
        <v>1</v>
      </c>
    </row>
    <row r="61" spans="1:3" x14ac:dyDescent="0.3">
      <c r="A61" s="417">
        <f>장기양수시험!D40</f>
        <v>660</v>
      </c>
      <c r="B61" s="421">
        <f>장기양수시험!G40</f>
        <v>19.337545311462645</v>
      </c>
      <c r="C61" s="419">
        <v>1</v>
      </c>
    </row>
    <row r="62" spans="1:3" x14ac:dyDescent="0.3">
      <c r="A62" s="417">
        <f>장기양수시험!D41</f>
        <v>720</v>
      </c>
      <c r="B62" s="421">
        <f>장기양수시험!G41</f>
        <v>19.451439413105483</v>
      </c>
      <c r="C62" s="419">
        <v>1</v>
      </c>
    </row>
    <row r="63" spans="1:3" x14ac:dyDescent="0.3">
      <c r="A63" s="417">
        <f>장기양수시험!D42</f>
        <v>780</v>
      </c>
      <c r="B63" s="421">
        <f>장기양수시험!G42</f>
        <v>19.556211830218526</v>
      </c>
      <c r="C63" s="419">
        <v>1</v>
      </c>
    </row>
    <row r="64" spans="1:3" x14ac:dyDescent="0.3">
      <c r="A64" s="417">
        <f>장기양수시험!D43</f>
        <v>840</v>
      </c>
      <c r="B64" s="421">
        <f>장기양수시험!G43</f>
        <v>19.556211830218526</v>
      </c>
      <c r="C64" s="419">
        <v>1</v>
      </c>
    </row>
    <row r="65" spans="1:3" x14ac:dyDescent="0.3">
      <c r="A65" s="417">
        <f>장기양수시험!D44</f>
        <v>900</v>
      </c>
      <c r="B65" s="421">
        <f>장기양수시험!G44</f>
        <v>19.556211830218526</v>
      </c>
      <c r="C65" s="419">
        <v>1</v>
      </c>
    </row>
    <row r="66" spans="1:3" x14ac:dyDescent="0.3">
      <c r="A66" s="417">
        <f>장기양수시험!D45</f>
        <v>960</v>
      </c>
      <c r="B66" s="421">
        <f>장기양수시험!G45</f>
        <v>19.556211830218526</v>
      </c>
      <c r="C66" s="419">
        <v>1</v>
      </c>
    </row>
    <row r="67" spans="1:3" x14ac:dyDescent="0.3">
      <c r="A67" s="417">
        <f>장기양수시험!D46</f>
        <v>1020</v>
      </c>
      <c r="B67" s="421">
        <f>장기양수시험!G46</f>
        <v>19.556211830218526</v>
      </c>
      <c r="C67" s="419">
        <v>1</v>
      </c>
    </row>
    <row r="68" spans="1:3" x14ac:dyDescent="0.3">
      <c r="A68" s="417">
        <f>장기양수시험!D47</f>
        <v>1080</v>
      </c>
      <c r="B68" s="421">
        <f>장기양수시험!G47</f>
        <v>19.556211830218526</v>
      </c>
      <c r="C68" s="419">
        <v>1</v>
      </c>
    </row>
    <row r="69" spans="1:3" x14ac:dyDescent="0.3">
      <c r="A69" s="417">
        <f>장기양수시험!D48</f>
        <v>1140</v>
      </c>
      <c r="B69" s="421">
        <f>장기양수시험!G48</f>
        <v>19.556211830218526</v>
      </c>
      <c r="C69" s="419">
        <v>1</v>
      </c>
    </row>
    <row r="70" spans="1:3" x14ac:dyDescent="0.3">
      <c r="A70" s="417">
        <f>장기양수시험!D49</f>
        <v>1200</v>
      </c>
      <c r="B70" s="421">
        <f>장기양수시험!G49</f>
        <v>19.556211830218526</v>
      </c>
      <c r="C70" s="419">
        <v>1</v>
      </c>
    </row>
    <row r="71" spans="1:3" x14ac:dyDescent="0.3">
      <c r="A71" s="417">
        <f>장기양수시험!D50</f>
        <v>1260</v>
      </c>
      <c r="B71" s="421">
        <f>장기양수시험!G50</f>
        <v>19.556211830218526</v>
      </c>
      <c r="C71" s="419">
        <v>1</v>
      </c>
    </row>
    <row r="72" spans="1:3" x14ac:dyDescent="0.3">
      <c r="A72" s="417">
        <f>장기양수시험!D51</f>
        <v>1320</v>
      </c>
      <c r="B72" s="421">
        <f>장기양수시험!G51</f>
        <v>19.556211830218526</v>
      </c>
      <c r="C72" s="419">
        <v>1</v>
      </c>
    </row>
    <row r="73" spans="1:3" x14ac:dyDescent="0.3">
      <c r="A73" s="417">
        <f>장기양수시험!D52</f>
        <v>1380</v>
      </c>
      <c r="B73" s="421">
        <f>장기양수시험!G52</f>
        <v>19.556211830218526</v>
      </c>
      <c r="C73" s="419">
        <v>1</v>
      </c>
    </row>
    <row r="74" spans="1:3" x14ac:dyDescent="0.3">
      <c r="A74" s="417">
        <f>장기양수시험!D53</f>
        <v>1440</v>
      </c>
      <c r="B74" s="421">
        <f>장기양수시험!G53</f>
        <v>19.556211830218526</v>
      </c>
      <c r="C74" s="419">
        <v>1</v>
      </c>
    </row>
    <row r="75" spans="1:3" x14ac:dyDescent="0.3">
      <c r="A75" s="417">
        <f>장기양수시험!D54</f>
        <v>1500</v>
      </c>
      <c r="B75" s="421">
        <f>장기양수시험!G54</f>
        <v>19.556211830218526</v>
      </c>
      <c r="C75" s="419">
        <v>1</v>
      </c>
    </row>
    <row r="76" spans="1:3" x14ac:dyDescent="0.3">
      <c r="A76" s="417">
        <f>장기양수시험!D55</f>
        <v>1560</v>
      </c>
      <c r="B76" s="421">
        <f>장기양수시험!G55</f>
        <v>19.556211830218526</v>
      </c>
      <c r="C76" s="419">
        <v>1</v>
      </c>
    </row>
    <row r="77" spans="1:3" x14ac:dyDescent="0.3">
      <c r="A77" s="417">
        <f>장기양수시험!D56</f>
        <v>1620</v>
      </c>
      <c r="B77" s="421">
        <f>장기양수시험!G56</f>
        <v>19.556211830218526</v>
      </c>
      <c r="C77" s="419">
        <v>1</v>
      </c>
    </row>
    <row r="78" spans="1:3" x14ac:dyDescent="0.3">
      <c r="A78" s="417">
        <f>장기양수시험!D57</f>
        <v>1680</v>
      </c>
      <c r="B78" s="421">
        <f>장기양수시험!G57</f>
        <v>19.556211830218526</v>
      </c>
      <c r="C78" s="419">
        <v>1</v>
      </c>
    </row>
    <row r="79" spans="1:3" x14ac:dyDescent="0.3">
      <c r="A79" s="417">
        <f>장기양수시험!D58</f>
        <v>1740</v>
      </c>
      <c r="B79" s="421">
        <f>장기양수시험!G58</f>
        <v>19.556211830218526</v>
      </c>
      <c r="C79" s="419">
        <v>1</v>
      </c>
    </row>
    <row r="80" spans="1:3" x14ac:dyDescent="0.3">
      <c r="A80" s="417">
        <f>장기양수시험!D59</f>
        <v>1800</v>
      </c>
      <c r="B80" s="421">
        <f>장기양수시험!G59</f>
        <v>19.556211830218526</v>
      </c>
      <c r="C80" s="419">
        <v>1</v>
      </c>
    </row>
    <row r="81" spans="1:3" x14ac:dyDescent="0.3">
      <c r="A81" s="417">
        <f>장기양수시험!D60</f>
        <v>1860</v>
      </c>
      <c r="B81" s="421">
        <f>장기양수시험!G60</f>
        <v>19.556211830218526</v>
      </c>
      <c r="C81" s="419">
        <v>1</v>
      </c>
    </row>
    <row r="82" spans="1:3" x14ac:dyDescent="0.3">
      <c r="A82" s="417">
        <f>장기양수시험!D61</f>
        <v>1920</v>
      </c>
      <c r="B82" s="421">
        <f>장기양수시험!G61</f>
        <v>19.556211830218526</v>
      </c>
      <c r="C82" s="419">
        <v>1</v>
      </c>
    </row>
    <row r="83" spans="1:3" x14ac:dyDescent="0.3">
      <c r="A83" s="417">
        <f>장기양수시험!D62</f>
        <v>1980</v>
      </c>
      <c r="B83" s="421">
        <f>장기양수시험!G62</f>
        <v>19.556211830218526</v>
      </c>
      <c r="C83" s="419">
        <v>1</v>
      </c>
    </row>
    <row r="84" spans="1:3" x14ac:dyDescent="0.3">
      <c r="A84" s="417">
        <f>장기양수시험!D63</f>
        <v>2040</v>
      </c>
      <c r="B84" s="421">
        <f>장기양수시험!G63</f>
        <v>19.556211830218526</v>
      </c>
      <c r="C84" s="419">
        <v>1</v>
      </c>
    </row>
    <row r="85" spans="1:3" x14ac:dyDescent="0.3">
      <c r="A85" s="417">
        <f>장기양수시험!D64</f>
        <v>2100</v>
      </c>
      <c r="B85" s="421">
        <f>장기양수시험!G64</f>
        <v>19.556211830218526</v>
      </c>
      <c r="C85" s="419">
        <v>1</v>
      </c>
    </row>
    <row r="86" spans="1:3" x14ac:dyDescent="0.3">
      <c r="A86" s="417">
        <f>장기양수시험!D65</f>
        <v>2160</v>
      </c>
      <c r="B86" s="421">
        <f>장기양수시험!G65</f>
        <v>19.556211830218526</v>
      </c>
      <c r="C86" s="419">
        <v>1</v>
      </c>
    </row>
    <row r="87" spans="1:3" x14ac:dyDescent="0.3">
      <c r="A87" s="417">
        <f>장기양수시험!D66</f>
        <v>2220</v>
      </c>
      <c r="B87" s="421">
        <f>장기양수시험!G66</f>
        <v>19.556211830218526</v>
      </c>
      <c r="C87" s="419">
        <v>1</v>
      </c>
    </row>
    <row r="88" spans="1:3" x14ac:dyDescent="0.3">
      <c r="A88" s="417">
        <f>장기양수시험!D67</f>
        <v>2280</v>
      </c>
      <c r="B88" s="421">
        <f>장기양수시험!G67</f>
        <v>19.556211830218526</v>
      </c>
      <c r="C88" s="419">
        <v>1</v>
      </c>
    </row>
    <row r="89" spans="1:3" x14ac:dyDescent="0.3">
      <c r="A89" s="417">
        <f>장기양수시험!D68</f>
        <v>2340</v>
      </c>
      <c r="B89" s="421">
        <f>장기양수시험!G68</f>
        <v>19.556211830218526</v>
      </c>
      <c r="C89" s="419">
        <v>1</v>
      </c>
    </row>
    <row r="90" spans="1:3" x14ac:dyDescent="0.3">
      <c r="A90" s="417">
        <f>장기양수시험!D69</f>
        <v>2400</v>
      </c>
      <c r="B90" s="421">
        <f>장기양수시험!G69</f>
        <v>19.556211830218526</v>
      </c>
      <c r="C90" s="419">
        <v>1</v>
      </c>
    </row>
    <row r="91" spans="1:3" x14ac:dyDescent="0.3">
      <c r="A91" s="417">
        <f>장기양수시험!D70</f>
        <v>2460</v>
      </c>
      <c r="B91" s="421">
        <f>장기양수시험!G70</f>
        <v>19.556211830218526</v>
      </c>
      <c r="C91" s="419">
        <v>1</v>
      </c>
    </row>
    <row r="92" spans="1:3" x14ac:dyDescent="0.3">
      <c r="A92" s="417">
        <f>장기양수시험!D71</f>
        <v>2520</v>
      </c>
      <c r="B92" s="421">
        <f>장기양수시험!G71</f>
        <v>19.556211830218526</v>
      </c>
      <c r="C92" s="419">
        <v>1</v>
      </c>
    </row>
    <row r="93" spans="1:3" x14ac:dyDescent="0.3">
      <c r="A93" s="417">
        <f>장기양수시험!D72</f>
        <v>2580</v>
      </c>
      <c r="B93" s="421">
        <f>장기양수시험!G72</f>
        <v>19.556211830218526</v>
      </c>
      <c r="C93" s="419">
        <v>1</v>
      </c>
    </row>
    <row r="94" spans="1:3" x14ac:dyDescent="0.3">
      <c r="A94" s="417">
        <f>장기양수시험!D73</f>
        <v>2640</v>
      </c>
      <c r="B94" s="421">
        <f>장기양수시험!G73</f>
        <v>19.556211830218526</v>
      </c>
      <c r="C94" s="419">
        <v>1</v>
      </c>
    </row>
    <row r="95" spans="1:3" x14ac:dyDescent="0.3">
      <c r="A95" s="417">
        <f>장기양수시험!D74</f>
        <v>2700</v>
      </c>
      <c r="B95" s="421">
        <f>장기양수시험!G74</f>
        <v>19.556211830218526</v>
      </c>
      <c r="C95" s="419">
        <v>1</v>
      </c>
    </row>
    <row r="96" spans="1:3" x14ac:dyDescent="0.3">
      <c r="A96" s="417">
        <f>장기양수시험!D75</f>
        <v>2760</v>
      </c>
      <c r="B96" s="421">
        <f>장기양수시험!G75</f>
        <v>19.556211830218526</v>
      </c>
      <c r="C96" s="419">
        <v>1</v>
      </c>
    </row>
    <row r="97" spans="1:3" x14ac:dyDescent="0.3">
      <c r="A97" s="417">
        <f>장기양수시험!D76</f>
        <v>2820</v>
      </c>
      <c r="B97" s="421">
        <f>장기양수시험!G76</f>
        <v>19.556211830218526</v>
      </c>
      <c r="C97" s="419">
        <v>1</v>
      </c>
    </row>
    <row r="98" spans="1:3" x14ac:dyDescent="0.3">
      <c r="A98" s="417">
        <f>장기양수시험!D77</f>
        <v>2880</v>
      </c>
      <c r="B98" s="421">
        <f>장기양수시험!G77</f>
        <v>19.556211830218526</v>
      </c>
      <c r="C98" s="419">
        <v>1</v>
      </c>
    </row>
    <row r="99" spans="1:3" x14ac:dyDescent="0.3">
      <c r="A99" s="417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17"/>
    <col min="2" max="3" width="8.88671875" style="418"/>
    <col min="4" max="16384" width="8.88671875" style="417"/>
  </cols>
  <sheetData>
    <row r="1" spans="1:2" x14ac:dyDescent="0.3">
      <c r="B1" s="417"/>
    </row>
    <row r="2" spans="1:2" x14ac:dyDescent="0.3">
      <c r="A2" s="417" t="s">
        <v>98</v>
      </c>
      <c r="B2" s="417"/>
    </row>
    <row r="3" spans="1:2" x14ac:dyDescent="0.3">
      <c r="A3" s="417">
        <v>2</v>
      </c>
      <c r="B3" s="417"/>
    </row>
    <row r="4" spans="1:2" x14ac:dyDescent="0.3">
      <c r="A4" s="417">
        <v>1</v>
      </c>
      <c r="B4" s="417"/>
    </row>
    <row r="5" spans="1:2" x14ac:dyDescent="0.3">
      <c r="A5" s="417">
        <v>6</v>
      </c>
      <c r="B5" s="417"/>
    </row>
    <row r="6" spans="1:2" x14ac:dyDescent="0.3">
      <c r="A6" s="417" t="s">
        <v>99</v>
      </c>
      <c r="B6" s="417"/>
    </row>
    <row r="7" spans="1:2" x14ac:dyDescent="0.3">
      <c r="A7" s="417">
        <f>Step.Select!A7</f>
        <v>80</v>
      </c>
      <c r="B7" s="417"/>
    </row>
    <row r="8" spans="1:2" x14ac:dyDescent="0.3">
      <c r="A8" s="417" t="s">
        <v>100</v>
      </c>
      <c r="B8" s="417"/>
    </row>
    <row r="9" spans="1:2" x14ac:dyDescent="0.3">
      <c r="A9" s="417">
        <v>1</v>
      </c>
      <c r="B9" s="417"/>
    </row>
    <row r="10" spans="1:2" x14ac:dyDescent="0.3">
      <c r="A10" s="417" t="s">
        <v>101</v>
      </c>
      <c r="B10" s="417"/>
    </row>
    <row r="11" spans="1:2" x14ac:dyDescent="0.3">
      <c r="A11" s="417">
        <v>1</v>
      </c>
      <c r="B11" s="417"/>
    </row>
    <row r="12" spans="1:2" x14ac:dyDescent="0.3">
      <c r="A12" s="417" t="s">
        <v>102</v>
      </c>
      <c r="B12" s="417"/>
    </row>
    <row r="13" spans="1:2" x14ac:dyDescent="0.3">
      <c r="A13" s="417">
        <v>1</v>
      </c>
      <c r="B13" s="417"/>
    </row>
    <row r="14" spans="1:2" x14ac:dyDescent="0.3">
      <c r="A14" s="417" t="s">
        <v>103</v>
      </c>
      <c r="B14" s="417"/>
    </row>
    <row r="15" spans="1:2" x14ac:dyDescent="0.3">
      <c r="A15" s="417" t="str">
        <f>입력표!I54</f>
        <v>W-1</v>
      </c>
      <c r="B15" s="417"/>
    </row>
    <row r="16" spans="1:2" x14ac:dyDescent="0.3">
      <c r="A16" s="417">
        <v>0</v>
      </c>
      <c r="B16" s="417"/>
    </row>
    <row r="17" spans="1:3" x14ac:dyDescent="0.3">
      <c r="A17" s="417">
        <v>0</v>
      </c>
      <c r="B17" s="417"/>
    </row>
    <row r="18" spans="1:3" x14ac:dyDescent="0.3">
      <c r="A18" s="417">
        <f>Step.Select!A18</f>
        <v>0.125</v>
      </c>
      <c r="B18" s="417"/>
    </row>
    <row r="19" spans="1:3" x14ac:dyDescent="0.3">
      <c r="A19" s="417">
        <f>Step.Select!A19</f>
        <v>0.125</v>
      </c>
      <c r="B19" s="417"/>
    </row>
    <row r="20" spans="1:3" x14ac:dyDescent="0.3">
      <c r="A20" s="417">
        <v>0</v>
      </c>
      <c r="B20" s="417"/>
    </row>
    <row r="21" spans="1:3" x14ac:dyDescent="0.3">
      <c r="A21" s="417">
        <v>0</v>
      </c>
      <c r="B21" s="417"/>
    </row>
    <row r="22" spans="1:3" x14ac:dyDescent="0.3">
      <c r="A22" s="417">
        <v>1</v>
      </c>
      <c r="B22" s="417"/>
    </row>
    <row r="23" spans="1:3" x14ac:dyDescent="0.3">
      <c r="A23" s="417">
        <v>2</v>
      </c>
      <c r="B23" s="417"/>
    </row>
    <row r="24" spans="1:3" x14ac:dyDescent="0.3">
      <c r="A24" s="419">
        <v>0</v>
      </c>
      <c r="B24" s="419">
        <f>입력표!M51</f>
        <v>1252</v>
      </c>
    </row>
    <row r="25" spans="1:3" x14ac:dyDescent="0.3">
      <c r="A25" s="419">
        <v>2880</v>
      </c>
      <c r="B25" s="419">
        <v>0</v>
      </c>
    </row>
    <row r="26" spans="1:3" x14ac:dyDescent="0.3">
      <c r="A26" s="417" t="s">
        <v>104</v>
      </c>
      <c r="B26" s="417"/>
    </row>
    <row r="27" spans="1:3" x14ac:dyDescent="0.3">
      <c r="A27" s="417" t="str">
        <f>A15</f>
        <v>W-1</v>
      </c>
      <c r="B27" s="417"/>
    </row>
    <row r="28" spans="1:3" x14ac:dyDescent="0.3">
      <c r="A28" s="420">
        <f>스킨팩터!C8</f>
        <v>0.53</v>
      </c>
      <c r="B28" s="417"/>
    </row>
    <row r="29" spans="1:3" x14ac:dyDescent="0.3">
      <c r="A29" s="417">
        <v>0</v>
      </c>
      <c r="B29" s="417"/>
    </row>
    <row r="30" spans="1:3" x14ac:dyDescent="0.3">
      <c r="A30" s="417">
        <v>0</v>
      </c>
      <c r="B30" s="417"/>
    </row>
    <row r="31" spans="1:3" x14ac:dyDescent="0.3">
      <c r="A31" s="419">
        <f>SUM(C32:C56)</f>
        <v>25</v>
      </c>
      <c r="B31" s="417"/>
    </row>
    <row r="32" spans="1:3" x14ac:dyDescent="0.3">
      <c r="A32" s="417">
        <f>장기양수시험!D77</f>
        <v>2880</v>
      </c>
      <c r="B32" s="418">
        <f>장기양수시험!G77</f>
        <v>19.556211830218526</v>
      </c>
      <c r="C32" s="419">
        <v>1</v>
      </c>
    </row>
    <row r="33" spans="1:3" x14ac:dyDescent="0.3">
      <c r="A33" s="417">
        <f>$A$32+장기양수시험!D78</f>
        <v>2881</v>
      </c>
      <c r="B33" s="418">
        <f>장기양수시험!G78</f>
        <v>12.897480212316761</v>
      </c>
      <c r="C33" s="419">
        <v>1</v>
      </c>
    </row>
    <row r="34" spans="1:3" x14ac:dyDescent="0.3">
      <c r="A34" s="417">
        <f>$A$32+장기양수시험!D79</f>
        <v>2882</v>
      </c>
      <c r="B34" s="418">
        <f>장기양수시험!G79</f>
        <v>11.796857360390369</v>
      </c>
      <c r="C34" s="419">
        <v>1</v>
      </c>
    </row>
    <row r="35" spans="1:3" x14ac:dyDescent="0.3">
      <c r="A35" s="417">
        <f>$A$32+장기양수시험!D80</f>
        <v>2883</v>
      </c>
      <c r="B35" s="418">
        <f>장기양수시험!G80</f>
        <v>10.790157557171266</v>
      </c>
      <c r="C35" s="419">
        <v>1</v>
      </c>
    </row>
    <row r="36" spans="1:3" x14ac:dyDescent="0.3">
      <c r="A36" s="417">
        <f>$A$32+장기양수시험!D81</f>
        <v>2884</v>
      </c>
      <c r="B36" s="418">
        <f>장기양수시험!G81</f>
        <v>9.8693657600287743</v>
      </c>
      <c r="C36" s="419">
        <v>1</v>
      </c>
    </row>
    <row r="37" spans="1:3" x14ac:dyDescent="0.3">
      <c r="A37" s="417">
        <f>$A$32+장기양수시험!D82</f>
        <v>2885</v>
      </c>
      <c r="B37" s="418">
        <f>장기양수시험!G82</f>
        <v>9.0271509001731118</v>
      </c>
      <c r="C37" s="419">
        <v>1</v>
      </c>
    </row>
    <row r="38" spans="1:3" x14ac:dyDescent="0.3">
      <c r="A38" s="417">
        <f>$A$32+장기양수시험!D83</f>
        <v>2890</v>
      </c>
      <c r="B38" s="418">
        <f>장기양수시험!G83</f>
        <v>6.907725581908676</v>
      </c>
      <c r="C38" s="419">
        <v>1</v>
      </c>
    </row>
    <row r="39" spans="1:3" x14ac:dyDescent="0.3">
      <c r="A39" s="417">
        <f>$A$32+장기양수시험!D84</f>
        <v>2895</v>
      </c>
      <c r="B39" s="418">
        <f>장기양수시험!G84</f>
        <v>6.5089267135773952</v>
      </c>
      <c r="C39" s="419">
        <v>1</v>
      </c>
    </row>
    <row r="40" spans="1:3" x14ac:dyDescent="0.3">
      <c r="A40" s="417">
        <f>$A$32+장기양수시험!D85</f>
        <v>2900</v>
      </c>
      <c r="B40" s="418">
        <f>장기양수시험!G85</f>
        <v>5.4454314805236894</v>
      </c>
      <c r="C40" s="419">
        <v>1</v>
      </c>
    </row>
    <row r="41" spans="1:3" x14ac:dyDescent="0.3">
      <c r="A41" s="417">
        <f>$A$32+장기양수시험!D86</f>
        <v>2905</v>
      </c>
      <c r="B41" s="418">
        <f>장기양수시험!G86</f>
        <v>4.9807386701916219</v>
      </c>
      <c r="C41" s="419">
        <v>1</v>
      </c>
    </row>
    <row r="42" spans="1:3" x14ac:dyDescent="0.3">
      <c r="A42" s="417">
        <f>$A$32+장기양수시험!D87</f>
        <v>2910</v>
      </c>
      <c r="B42" s="418">
        <f>장기양수시험!G87</f>
        <v>4.5557010109245626</v>
      </c>
      <c r="C42" s="419">
        <v>1</v>
      </c>
    </row>
    <row r="43" spans="1:3" x14ac:dyDescent="0.3">
      <c r="A43" s="417">
        <f>$A$32+장기양수시험!D88</f>
        <v>2915</v>
      </c>
      <c r="B43" s="418">
        <f>장기양수시험!G88</f>
        <v>4.4222405893640078</v>
      </c>
      <c r="C43" s="419">
        <v>1</v>
      </c>
    </row>
    <row r="44" spans="1:3" x14ac:dyDescent="0.3">
      <c r="A44" s="417">
        <f>$A$32+장기양수시험!D89</f>
        <v>2920</v>
      </c>
      <c r="B44" s="418">
        <f>장기양수시험!G89</f>
        <v>4.2926899248486166</v>
      </c>
      <c r="C44" s="419">
        <v>1</v>
      </c>
    </row>
    <row r="45" spans="1:3" x14ac:dyDescent="0.3">
      <c r="A45" s="417">
        <f>$A$32+장기양수시험!D90</f>
        <v>2925</v>
      </c>
      <c r="B45" s="418">
        <f>장기양수시험!G90</f>
        <v>4.1669344800498429</v>
      </c>
      <c r="C45" s="419">
        <v>1</v>
      </c>
    </row>
    <row r="46" spans="1:3" x14ac:dyDescent="0.3">
      <c r="A46" s="417">
        <f>$A$32+장기양수시험!D91</f>
        <v>2930</v>
      </c>
      <c r="B46" s="418">
        <f>장기양수시험!G91</f>
        <v>4.0448630730393553</v>
      </c>
      <c r="C46" s="419">
        <v>1</v>
      </c>
    </row>
    <row r="47" spans="1:3" x14ac:dyDescent="0.3">
      <c r="A47" s="417">
        <f>$A$32+장기양수시험!D92</f>
        <v>2935</v>
      </c>
      <c r="B47" s="418">
        <f>장기양수시험!G92</f>
        <v>3.9263677789917351</v>
      </c>
      <c r="C47" s="419">
        <v>1</v>
      </c>
    </row>
    <row r="48" spans="1:3" x14ac:dyDescent="0.3">
      <c r="A48" s="417">
        <f>$A$32+장기양수시험!D93</f>
        <v>2940</v>
      </c>
      <c r="B48" s="418">
        <f>장기양수시험!G93</f>
        <v>3.8113438347668112</v>
      </c>
      <c r="C48" s="419">
        <v>1</v>
      </c>
    </row>
    <row r="49" spans="1:3" x14ac:dyDescent="0.3">
      <c r="A49" s="417">
        <f>$A$32+장기양수시험!D94</f>
        <v>2955</v>
      </c>
      <c r="B49" s="418">
        <f>장기양수시험!G94</f>
        <v>3.6996895462872952</v>
      </c>
      <c r="C49" s="419">
        <v>1</v>
      </c>
    </row>
    <row r="50" spans="1:3" x14ac:dyDescent="0.3">
      <c r="A50" s="417">
        <f>$A$32+장기양수시험!D95</f>
        <v>2970</v>
      </c>
      <c r="B50" s="418">
        <f>장기양수시험!G95</f>
        <v>3.5913061986297912</v>
      </c>
      <c r="C50" s="419">
        <v>1</v>
      </c>
    </row>
    <row r="51" spans="1:3" x14ac:dyDescent="0.3">
      <c r="A51" s="417">
        <f>$A$32+장기양수시험!D96</f>
        <v>2985</v>
      </c>
      <c r="B51" s="418">
        <f>장기양수시험!G96</f>
        <v>3.4860979687497329</v>
      </c>
      <c r="C51" s="419">
        <v>1</v>
      </c>
    </row>
    <row r="52" spans="1:3" x14ac:dyDescent="0.3">
      <c r="A52" s="417">
        <f>$A$32+장기양수시험!D97</f>
        <v>3000</v>
      </c>
      <c r="B52" s="418">
        <f>장기양수시험!G97</f>
        <v>3.1886073717262935</v>
      </c>
      <c r="C52" s="419">
        <v>1</v>
      </c>
    </row>
    <row r="53" spans="1:3" x14ac:dyDescent="0.3">
      <c r="A53" s="417">
        <f>$A$32+장기양수시험!D98</f>
        <v>3060</v>
      </c>
      <c r="B53" s="418">
        <f>장기양수시험!G98</f>
        <v>3.0951963065573529</v>
      </c>
      <c r="C53" s="419">
        <v>1</v>
      </c>
    </row>
    <row r="54" spans="1:3" x14ac:dyDescent="0.3">
      <c r="A54" s="417">
        <f>$A$32+장기양수시험!D99</f>
        <v>3120</v>
      </c>
      <c r="B54" s="418">
        <f>장기양수시험!G99</f>
        <v>2.589471374899611</v>
      </c>
      <c r="C54" s="419">
        <v>1</v>
      </c>
    </row>
    <row r="55" spans="1:3" x14ac:dyDescent="0.3">
      <c r="A55" s="417">
        <f>$A$32+장기양수시험!D100</f>
        <v>3180</v>
      </c>
      <c r="B55" s="418">
        <f>장기양수시험!G100</f>
        <v>2.1663769717025003</v>
      </c>
      <c r="C55" s="419">
        <v>1</v>
      </c>
    </row>
    <row r="56" spans="1:3" x14ac:dyDescent="0.3">
      <c r="A56" s="417">
        <f>$A$32+장기양수시험!D101</f>
        <v>3240</v>
      </c>
      <c r="B56" s="418">
        <f>장기양수시험!G101</f>
        <v>1.8124120733734088</v>
      </c>
      <c r="C56" s="419">
        <v>1</v>
      </c>
    </row>
    <row r="57" spans="1:3" x14ac:dyDescent="0.3">
      <c r="A57" s="417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86C13-15CB-45CE-B510-8A130E760318}">
  <sheetPr codeName="shLongTermTest1"/>
  <dimension ref="A1:I587"/>
  <sheetViews>
    <sheetView showGridLines="0" zoomScaleNormal="100" workbookViewId="0"/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563" customWidth="1"/>
    <col min="9" max="9" width="7.33203125" style="564" customWidth="1"/>
    <col min="10" max="16384" width="8.88671875" style="4"/>
  </cols>
  <sheetData>
    <row r="1" spans="1:9" s="3" customFormat="1" ht="31.5" customHeight="1" x14ac:dyDescent="0.15">
      <c r="A1" s="528" t="s">
        <v>190</v>
      </c>
      <c r="B1" s="529"/>
      <c r="C1" s="529"/>
      <c r="D1" s="529"/>
      <c r="E1" s="529"/>
      <c r="F1" s="529"/>
      <c r="G1" s="553"/>
      <c r="H1" s="553"/>
      <c r="I1" s="553"/>
    </row>
    <row r="2" spans="1:9" s="3" customFormat="1" ht="21.6" customHeight="1" x14ac:dyDescent="0.15">
      <c r="A2" s="530" t="s">
        <v>293</v>
      </c>
      <c r="B2" s="531" t="s">
        <v>290</v>
      </c>
      <c r="C2" s="532"/>
      <c r="D2" s="532"/>
      <c r="E2" s="532"/>
      <c r="F2" s="532"/>
      <c r="G2" s="554"/>
      <c r="H2" s="554"/>
      <c r="I2" s="555"/>
    </row>
    <row r="3" spans="1:9" s="3" customFormat="1" ht="21.6" customHeight="1" x14ac:dyDescent="0.15">
      <c r="A3" s="530" t="s">
        <v>294</v>
      </c>
      <c r="B3" s="531" t="s">
        <v>291</v>
      </c>
      <c r="C3" s="532"/>
      <c r="D3" s="532"/>
      <c r="E3" s="533"/>
      <c r="F3" s="532"/>
      <c r="G3" s="556" t="s">
        <v>285</v>
      </c>
      <c r="H3" s="556"/>
      <c r="I3" s="557"/>
    </row>
    <row r="4" spans="1:9" s="3" customFormat="1" ht="21.6" customHeight="1" x14ac:dyDescent="0.15">
      <c r="A4" s="530" t="s">
        <v>295</v>
      </c>
      <c r="B4" s="531" t="s">
        <v>288</v>
      </c>
      <c r="C4" s="534"/>
      <c r="D4" s="534"/>
      <c r="E4" s="532"/>
      <c r="F4" s="532"/>
      <c r="G4" s="554"/>
      <c r="H4" s="554"/>
      <c r="I4" s="555"/>
    </row>
    <row r="5" spans="1:9" s="3" customFormat="1" ht="21.6" customHeight="1" x14ac:dyDescent="0.15">
      <c r="A5" s="530" t="s">
        <v>296</v>
      </c>
      <c r="B5" s="535" t="s">
        <v>292</v>
      </c>
      <c r="C5" s="536"/>
      <c r="D5" s="532"/>
      <c r="E5" s="537" t="s">
        <v>4</v>
      </c>
      <c r="F5" s="538">
        <v>0</v>
      </c>
      <c r="G5" s="558"/>
      <c r="H5" s="558"/>
      <c r="I5" s="558"/>
    </row>
    <row r="6" spans="1:9" s="3" customFormat="1" ht="21.6" customHeight="1" x14ac:dyDescent="0.15">
      <c r="A6" s="530" t="s">
        <v>5</v>
      </c>
      <c r="B6" s="614">
        <v>15</v>
      </c>
      <c r="C6" s="614"/>
      <c r="D6" s="615"/>
      <c r="E6" s="537" t="s">
        <v>6</v>
      </c>
      <c r="F6" s="538" t="s">
        <v>297</v>
      </c>
      <c r="G6" s="558"/>
      <c r="H6" s="558"/>
      <c r="I6" s="558"/>
    </row>
    <row r="7" spans="1:9" s="3" customFormat="1" ht="21.6" customHeight="1" x14ac:dyDescent="0.15">
      <c r="A7" s="530" t="s">
        <v>7</v>
      </c>
      <c r="B7" s="539" t="s">
        <v>298</v>
      </c>
      <c r="C7" s="540">
        <v>250</v>
      </c>
      <c r="D7" s="541"/>
      <c r="E7" s="542" t="s">
        <v>8</v>
      </c>
      <c r="F7" s="543">
        <v>92</v>
      </c>
      <c r="G7" s="554"/>
      <c r="H7" s="554"/>
      <c r="I7" s="555"/>
    </row>
    <row r="8" spans="1:9" s="3" customFormat="1" ht="21.6" customHeight="1" x14ac:dyDescent="0.15">
      <c r="A8" s="530" t="s">
        <v>4</v>
      </c>
      <c r="B8" s="544" t="s">
        <v>9</v>
      </c>
      <c r="C8" s="545">
        <v>3.3</v>
      </c>
      <c r="D8" s="541"/>
      <c r="E8" s="542" t="s">
        <v>14</v>
      </c>
      <c r="F8" s="546">
        <v>22.856211830218527</v>
      </c>
      <c r="G8" s="558">
        <v>1252</v>
      </c>
      <c r="H8" s="558"/>
      <c r="I8" s="559"/>
    </row>
    <row r="9" spans="1:9" s="3" customFormat="1" ht="21.6" customHeight="1" x14ac:dyDescent="0.15">
      <c r="A9" s="547" t="s">
        <v>160</v>
      </c>
      <c r="B9" s="544" t="s">
        <v>11</v>
      </c>
      <c r="C9" s="616" t="s">
        <v>161</v>
      </c>
      <c r="D9" s="616"/>
      <c r="E9" s="547" t="s">
        <v>162</v>
      </c>
      <c r="F9" s="547" t="s">
        <v>163</v>
      </c>
      <c r="G9" s="560" t="str">
        <f>'w1'!H13</f>
        <v>온도( ℃ )</v>
      </c>
      <c r="H9" s="560" t="str">
        <f>'w1'!I13</f>
        <v>EC (μs/㎝)</v>
      </c>
      <c r="I9" s="560" t="str">
        <f>'w1'!J13</f>
        <v>pH</v>
      </c>
    </row>
    <row r="10" spans="1:9" s="3" customFormat="1" ht="21" customHeight="1" x14ac:dyDescent="0.15">
      <c r="A10" s="549">
        <v>1252</v>
      </c>
      <c r="B10" s="550">
        <v>44272.395833333336</v>
      </c>
      <c r="C10" s="551">
        <v>1</v>
      </c>
      <c r="D10" s="541">
        <v>6.9444444444444447E-4</v>
      </c>
      <c r="E10" s="552">
        <v>14.139486215723661</v>
      </c>
      <c r="F10" s="552">
        <v>10.83948621572366</v>
      </c>
      <c r="G10" s="561"/>
      <c r="H10" s="561"/>
      <c r="I10" s="561"/>
    </row>
    <row r="11" spans="1:9" s="3" customFormat="1" ht="21" customHeight="1" x14ac:dyDescent="0.15">
      <c r="A11" s="548"/>
      <c r="B11" s="550"/>
      <c r="C11" s="551">
        <v>2</v>
      </c>
      <c r="D11" s="541">
        <v>1.3888888888888889E-3</v>
      </c>
      <c r="E11" s="552">
        <v>15.046785676638404</v>
      </c>
      <c r="F11" s="552">
        <v>11.746785676638403</v>
      </c>
      <c r="G11" s="561"/>
      <c r="H11" s="561"/>
      <c r="I11" s="561"/>
    </row>
    <row r="12" spans="1:9" s="3" customFormat="1" ht="21" customHeight="1" x14ac:dyDescent="0.15">
      <c r="A12" s="548"/>
      <c r="B12" s="550"/>
      <c r="C12" s="551">
        <v>3</v>
      </c>
      <c r="D12" s="541">
        <v>2.0833333333333333E-3</v>
      </c>
      <c r="E12" s="552">
        <v>15.577521838198045</v>
      </c>
      <c r="F12" s="552">
        <v>12.277521838198044</v>
      </c>
      <c r="G12" s="561"/>
      <c r="H12" s="561"/>
      <c r="I12" s="561"/>
    </row>
    <row r="13" spans="1:9" s="3" customFormat="1" ht="21" customHeight="1" x14ac:dyDescent="0.15">
      <c r="A13" s="548"/>
      <c r="B13" s="550"/>
      <c r="C13" s="551">
        <v>4</v>
      </c>
      <c r="D13" s="541">
        <v>2.7777777777777779E-3</v>
      </c>
      <c r="E13" s="552">
        <v>15.954085137553143</v>
      </c>
      <c r="F13" s="552">
        <v>12.654085137553142</v>
      </c>
      <c r="G13" s="561"/>
      <c r="H13" s="561"/>
      <c r="I13" s="561"/>
    </row>
    <row r="14" spans="1:9" s="3" customFormat="1" ht="21" customHeight="1" x14ac:dyDescent="0.15">
      <c r="A14" s="548"/>
      <c r="B14" s="550"/>
      <c r="C14" s="551">
        <v>5</v>
      </c>
      <c r="D14" s="541">
        <v>3.472222222222222E-3</v>
      </c>
      <c r="E14" s="552">
        <v>16.246170324497754</v>
      </c>
      <c r="F14" s="552">
        <v>12.946170324497754</v>
      </c>
      <c r="G14" s="561">
        <f>'w1'!D14</f>
        <v>14.799999999999999</v>
      </c>
      <c r="H14" s="561">
        <f>'w1'!E14</f>
        <v>224</v>
      </c>
      <c r="I14" s="561">
        <f>'w1'!F14</f>
        <v>6.62</v>
      </c>
    </row>
    <row r="15" spans="1:9" s="3" customFormat="1" ht="21" customHeight="1" x14ac:dyDescent="0.15">
      <c r="A15" s="548"/>
      <c r="B15" s="550"/>
      <c r="C15" s="551">
        <v>10</v>
      </c>
      <c r="D15" s="541">
        <v>6.9444444444444441E-3</v>
      </c>
      <c r="E15" s="552">
        <v>17.153469785412497</v>
      </c>
      <c r="F15" s="552">
        <v>13.853469785412496</v>
      </c>
      <c r="G15" s="561"/>
      <c r="H15" s="561"/>
      <c r="I15" s="561"/>
    </row>
    <row r="16" spans="1:9" s="3" customFormat="1" ht="21" customHeight="1" x14ac:dyDescent="0.15">
      <c r="A16" s="548"/>
      <c r="B16" s="550"/>
      <c r="C16" s="551">
        <v>15</v>
      </c>
      <c r="D16" s="541">
        <v>1.0416666666666666E-2</v>
      </c>
      <c r="E16" s="552">
        <v>17.684205946972138</v>
      </c>
      <c r="F16" s="552">
        <v>14.384205946972138</v>
      </c>
      <c r="G16" s="561"/>
      <c r="H16" s="561"/>
      <c r="I16" s="561"/>
    </row>
    <row r="17" spans="1:9" s="3" customFormat="1" ht="21" customHeight="1" x14ac:dyDescent="0.15">
      <c r="A17" s="548"/>
      <c r="B17" s="550"/>
      <c r="C17" s="551">
        <v>20</v>
      </c>
      <c r="D17" s="541">
        <v>1.3888888888888888E-2</v>
      </c>
      <c r="E17" s="552">
        <v>18.060769246327236</v>
      </c>
      <c r="F17" s="552">
        <v>14.760769246327236</v>
      </c>
      <c r="G17" s="561"/>
      <c r="H17" s="561"/>
      <c r="I17" s="561"/>
    </row>
    <row r="18" spans="1:9" s="3" customFormat="1" ht="21" customHeight="1" x14ac:dyDescent="0.15">
      <c r="A18" s="548"/>
      <c r="B18" s="550"/>
      <c r="C18" s="551">
        <v>25</v>
      </c>
      <c r="D18" s="541">
        <v>1.7361111111111112E-2</v>
      </c>
      <c r="E18" s="552">
        <v>18.352854433271848</v>
      </c>
      <c r="F18" s="552">
        <v>15.052854433271847</v>
      </c>
      <c r="G18" s="561"/>
      <c r="H18" s="561"/>
      <c r="I18" s="561"/>
    </row>
    <row r="19" spans="1:9" s="3" customFormat="1" ht="21" customHeight="1" x14ac:dyDescent="0.15">
      <c r="A19" s="548"/>
      <c r="B19" s="550"/>
      <c r="C19" s="551">
        <v>30</v>
      </c>
      <c r="D19" s="541">
        <v>2.0833333333333332E-2</v>
      </c>
      <c r="E19" s="552">
        <v>18.591505407886881</v>
      </c>
      <c r="F19" s="552">
        <v>15.291505407886881</v>
      </c>
      <c r="G19" s="561">
        <f>'w1'!D15</f>
        <v>14.7</v>
      </c>
      <c r="H19" s="561">
        <f>'w1'!E15</f>
        <v>228</v>
      </c>
      <c r="I19" s="561">
        <f>'w1'!F15</f>
        <v>6.8</v>
      </c>
    </row>
    <row r="20" spans="1:9" s="3" customFormat="1" ht="21" customHeight="1" x14ac:dyDescent="0.15">
      <c r="A20" s="548"/>
      <c r="B20" s="550"/>
      <c r="C20" s="551">
        <v>35</v>
      </c>
      <c r="D20" s="541">
        <v>2.4305555555555556E-2</v>
      </c>
      <c r="E20" s="552">
        <v>18.793281931876962</v>
      </c>
      <c r="F20" s="552">
        <v>15.493281931876961</v>
      </c>
      <c r="G20" s="561"/>
      <c r="H20" s="561"/>
      <c r="I20" s="561"/>
    </row>
    <row r="21" spans="1:9" s="3" customFormat="1" ht="21" customHeight="1" x14ac:dyDescent="0.15">
      <c r="A21" s="548"/>
      <c r="B21" s="550"/>
      <c r="C21" s="551">
        <v>40</v>
      </c>
      <c r="D21" s="541">
        <v>2.7777777777777776E-2</v>
      </c>
      <c r="E21" s="552">
        <v>18.968068707241976</v>
      </c>
      <c r="F21" s="552">
        <v>15.668068707241975</v>
      </c>
      <c r="G21" s="561"/>
      <c r="H21" s="561"/>
      <c r="I21" s="561"/>
    </row>
    <row r="22" spans="1:9" s="3" customFormat="1" ht="21" customHeight="1" x14ac:dyDescent="0.15">
      <c r="A22" s="548"/>
      <c r="B22" s="550"/>
      <c r="C22" s="551">
        <v>45</v>
      </c>
      <c r="D22" s="541">
        <v>3.125E-2</v>
      </c>
      <c r="E22" s="552">
        <v>19.122241569446523</v>
      </c>
      <c r="F22" s="552">
        <v>15.822241569446522</v>
      </c>
      <c r="G22" s="561"/>
      <c r="H22" s="561"/>
      <c r="I22" s="561"/>
    </row>
    <row r="23" spans="1:9" s="3" customFormat="1" ht="21" customHeight="1" x14ac:dyDescent="0.15">
      <c r="A23" s="548"/>
      <c r="B23" s="550"/>
      <c r="C23" s="551">
        <v>50</v>
      </c>
      <c r="D23" s="541">
        <v>3.4722222222222224E-2</v>
      </c>
      <c r="E23" s="552">
        <v>19.26015389418659</v>
      </c>
      <c r="F23" s="552">
        <v>15.96015389418659</v>
      </c>
      <c r="G23" s="561"/>
      <c r="H23" s="561"/>
      <c r="I23" s="561"/>
    </row>
    <row r="24" spans="1:9" s="3" customFormat="1" ht="21" customHeight="1" x14ac:dyDescent="0.15">
      <c r="A24" s="548"/>
      <c r="B24" s="550"/>
      <c r="C24" s="551">
        <v>55</v>
      </c>
      <c r="D24" s="541">
        <v>3.8194444444444448E-2</v>
      </c>
      <c r="E24" s="552">
        <v>19.335830767158782</v>
      </c>
      <c r="F24" s="552">
        <v>16.035830767158782</v>
      </c>
      <c r="G24" s="561"/>
      <c r="H24" s="561"/>
      <c r="I24" s="561"/>
    </row>
    <row r="25" spans="1:9" s="3" customFormat="1" ht="21" customHeight="1" x14ac:dyDescent="0.15">
      <c r="A25" s="548"/>
      <c r="B25" s="550">
        <v>44272.4375</v>
      </c>
      <c r="C25" s="551">
        <v>60</v>
      </c>
      <c r="D25" s="541">
        <v>4.1666666666666664E-2</v>
      </c>
      <c r="E25" s="552">
        <v>19.498804868801621</v>
      </c>
      <c r="F25" s="552">
        <v>16.19880486880162</v>
      </c>
      <c r="G25" s="561">
        <f>'w1'!D16</f>
        <v>14.6</v>
      </c>
      <c r="H25" s="561">
        <f>'w1'!E16</f>
        <v>223</v>
      </c>
      <c r="I25" s="561">
        <f>'w1'!F16</f>
        <v>6.61</v>
      </c>
    </row>
    <row r="26" spans="1:9" s="3" customFormat="1" ht="21" customHeight="1" x14ac:dyDescent="0.15">
      <c r="A26" s="548"/>
      <c r="B26" s="550"/>
      <c r="C26" s="551">
        <v>75</v>
      </c>
      <c r="D26" s="541">
        <v>5.2083333333333336E-2</v>
      </c>
      <c r="E26" s="552">
        <v>19.790890055746232</v>
      </c>
      <c r="F26" s="552">
        <v>16.490890055746231</v>
      </c>
      <c r="G26" s="561"/>
      <c r="H26" s="561"/>
      <c r="I26" s="561"/>
    </row>
    <row r="27" spans="1:9" s="3" customFormat="1" ht="21" customHeight="1" x14ac:dyDescent="0.15">
      <c r="A27" s="548"/>
      <c r="B27" s="550"/>
      <c r="C27" s="551">
        <v>90</v>
      </c>
      <c r="D27" s="541">
        <v>6.25E-2</v>
      </c>
      <c r="E27" s="552">
        <v>20.029541030361266</v>
      </c>
      <c r="F27" s="552">
        <v>16.729541030361265</v>
      </c>
      <c r="G27" s="561"/>
      <c r="H27" s="561"/>
      <c r="I27" s="561"/>
    </row>
    <row r="28" spans="1:9" s="3" customFormat="1" ht="21" customHeight="1" x14ac:dyDescent="0.15">
      <c r="A28" s="548"/>
      <c r="B28" s="550"/>
      <c r="C28" s="551">
        <v>105</v>
      </c>
      <c r="D28" s="541">
        <v>7.2916666666666671E-2</v>
      </c>
      <c r="E28" s="552">
        <v>20.231317554351346</v>
      </c>
      <c r="F28" s="552">
        <v>16.931317554351345</v>
      </c>
      <c r="G28" s="561"/>
      <c r="H28" s="561"/>
      <c r="I28" s="561"/>
    </row>
    <row r="29" spans="1:9" s="3" customFormat="1" ht="21" customHeight="1" x14ac:dyDescent="0.15">
      <c r="A29" s="548"/>
      <c r="B29" s="550"/>
      <c r="C29" s="551">
        <v>120</v>
      </c>
      <c r="D29" s="541">
        <v>8.3333333333333329E-2</v>
      </c>
      <c r="E29" s="552">
        <v>20.40610432971636</v>
      </c>
      <c r="F29" s="552">
        <v>17.106104329716359</v>
      </c>
      <c r="G29" s="561">
        <f>'w1'!D17</f>
        <v>14.6</v>
      </c>
      <c r="H29" s="561">
        <f>'w1'!E17</f>
        <v>227</v>
      </c>
      <c r="I29" s="561">
        <f>'w1'!F17</f>
        <v>6.59</v>
      </c>
    </row>
    <row r="30" spans="1:9" s="3" customFormat="1" ht="21" customHeight="1" x14ac:dyDescent="0.15">
      <c r="A30" s="548" t="s">
        <v>0</v>
      </c>
      <c r="B30" s="550" t="s">
        <v>0</v>
      </c>
      <c r="C30" s="551">
        <v>140</v>
      </c>
      <c r="D30" s="541">
        <v>9.7222222222222224E-2</v>
      </c>
      <c r="E30" s="552">
        <v>20.607880853706444</v>
      </c>
      <c r="F30" s="552">
        <v>17.307880853706443</v>
      </c>
      <c r="G30" s="561"/>
      <c r="H30" s="561"/>
      <c r="I30" s="561"/>
    </row>
    <row r="31" spans="1:9" s="3" customFormat="1" ht="21" customHeight="1" x14ac:dyDescent="0.15">
      <c r="A31" s="548"/>
      <c r="B31" s="550"/>
      <c r="C31" s="551">
        <v>160</v>
      </c>
      <c r="D31" s="541">
        <v>0.1111111111111111</v>
      </c>
      <c r="E31" s="552">
        <v>20.782667629071458</v>
      </c>
      <c r="F31" s="552">
        <v>17.482667629071457</v>
      </c>
      <c r="G31" s="561"/>
      <c r="H31" s="561"/>
      <c r="I31" s="561"/>
    </row>
    <row r="32" spans="1:9" s="3" customFormat="1" ht="21" customHeight="1" x14ac:dyDescent="0.15">
      <c r="A32" s="548"/>
      <c r="B32" s="550"/>
      <c r="C32" s="551">
        <v>180</v>
      </c>
      <c r="D32" s="541">
        <v>0.125</v>
      </c>
      <c r="E32" s="552">
        <v>20.936840491276005</v>
      </c>
      <c r="F32" s="552">
        <v>17.636840491276004</v>
      </c>
      <c r="G32" s="561"/>
      <c r="H32" s="561"/>
      <c r="I32" s="561"/>
    </row>
    <row r="33" spans="1:9" s="3" customFormat="1" ht="21" customHeight="1" x14ac:dyDescent="0.15">
      <c r="A33" s="548"/>
      <c r="B33" s="550">
        <v>44272.5625</v>
      </c>
      <c r="C33" s="551">
        <v>240</v>
      </c>
      <c r="D33" s="541">
        <v>0.16666666666666666</v>
      </c>
      <c r="E33" s="552">
        <v>21.313403790631099</v>
      </c>
      <c r="F33" s="552">
        <v>18.013403790631099</v>
      </c>
      <c r="G33" s="561">
        <f>'w1'!D18</f>
        <v>14.6</v>
      </c>
      <c r="H33" s="561">
        <f>'w1'!E18</f>
        <v>229</v>
      </c>
      <c r="I33" s="561">
        <f>'w1'!F18</f>
        <v>6.79</v>
      </c>
    </row>
    <row r="34" spans="1:9" s="3" customFormat="1" ht="21" customHeight="1" x14ac:dyDescent="0.15">
      <c r="A34" s="548"/>
      <c r="B34" s="550"/>
      <c r="C34" s="551">
        <v>300</v>
      </c>
      <c r="D34" s="541">
        <v>0.20833333333333334</v>
      </c>
      <c r="E34" s="552">
        <v>21.605488977575714</v>
      </c>
      <c r="F34" s="552">
        <v>18.305488977575713</v>
      </c>
      <c r="G34" s="561"/>
      <c r="H34" s="561"/>
      <c r="I34" s="561"/>
    </row>
    <row r="35" spans="1:9" s="3" customFormat="1" ht="21" customHeight="1" x14ac:dyDescent="0.15">
      <c r="A35" s="548" t="s">
        <v>0</v>
      </c>
      <c r="B35" s="550" t="s">
        <v>0</v>
      </c>
      <c r="C35" s="551">
        <v>360</v>
      </c>
      <c r="D35" s="541">
        <v>0.25</v>
      </c>
      <c r="E35" s="552">
        <v>21.844139952190744</v>
      </c>
      <c r="F35" s="552">
        <v>18.544139952190744</v>
      </c>
      <c r="G35" s="561"/>
      <c r="H35" s="561"/>
      <c r="I35" s="561"/>
    </row>
    <row r="36" spans="1:9" s="3" customFormat="1" ht="21" customHeight="1" x14ac:dyDescent="0.15">
      <c r="A36" s="548"/>
      <c r="B36" s="550"/>
      <c r="C36" s="551">
        <v>420</v>
      </c>
      <c r="D36" s="541">
        <v>0.29166666666666669</v>
      </c>
      <c r="E36" s="552">
        <v>22.045916476180828</v>
      </c>
      <c r="F36" s="552">
        <v>18.745916476180827</v>
      </c>
      <c r="G36" s="561"/>
      <c r="H36" s="561"/>
      <c r="I36" s="561"/>
    </row>
    <row r="37" spans="1:9" s="3" customFormat="1" ht="21" customHeight="1" x14ac:dyDescent="0.15">
      <c r="A37" s="548"/>
      <c r="B37" s="550"/>
      <c r="C37" s="551">
        <v>480</v>
      </c>
      <c r="D37" s="541">
        <v>0.33333333333333331</v>
      </c>
      <c r="E37" s="552">
        <v>22.220703251545842</v>
      </c>
      <c r="F37" s="552">
        <v>18.920703251545842</v>
      </c>
      <c r="G37" s="561">
        <f>'w1'!D19</f>
        <v>14.7</v>
      </c>
      <c r="H37" s="561">
        <f>'w1'!E19</f>
        <v>227</v>
      </c>
      <c r="I37" s="561">
        <f>'w1'!F19</f>
        <v>6.61</v>
      </c>
    </row>
    <row r="38" spans="1:9" s="3" customFormat="1" ht="21" customHeight="1" x14ac:dyDescent="0.15">
      <c r="A38" s="548"/>
      <c r="B38" s="550"/>
      <c r="C38" s="551">
        <v>540</v>
      </c>
      <c r="D38" s="541">
        <v>0.375</v>
      </c>
      <c r="E38" s="552">
        <v>22.374876113750389</v>
      </c>
      <c r="F38" s="552">
        <v>19.074876113750388</v>
      </c>
      <c r="G38" s="561"/>
      <c r="H38" s="561"/>
      <c r="I38" s="561"/>
    </row>
    <row r="39" spans="1:9" s="3" customFormat="1" ht="21" customHeight="1" x14ac:dyDescent="0.15">
      <c r="A39" s="548"/>
      <c r="B39" s="550">
        <v>44272.8125</v>
      </c>
      <c r="C39" s="551">
        <v>600</v>
      </c>
      <c r="D39" s="541">
        <v>0.41666666666666669</v>
      </c>
      <c r="E39" s="552">
        <v>22.512788438490453</v>
      </c>
      <c r="F39" s="552">
        <v>19.212788438490453</v>
      </c>
      <c r="G39" s="561"/>
      <c r="H39" s="561"/>
      <c r="I39" s="561"/>
    </row>
    <row r="40" spans="1:9" s="3" customFormat="1" ht="21" customHeight="1" x14ac:dyDescent="0.15">
      <c r="A40" s="548" t="s">
        <v>0</v>
      </c>
      <c r="B40" s="550" t="s">
        <v>0</v>
      </c>
      <c r="C40" s="551">
        <v>660</v>
      </c>
      <c r="D40" s="541">
        <v>0.45833333333333331</v>
      </c>
      <c r="E40" s="552">
        <v>22.637545311462645</v>
      </c>
      <c r="F40" s="552">
        <v>19.337545311462645</v>
      </c>
      <c r="G40" s="561"/>
      <c r="H40" s="561"/>
      <c r="I40" s="561"/>
    </row>
    <row r="41" spans="1:9" s="3" customFormat="1" ht="21" customHeight="1" x14ac:dyDescent="0.15">
      <c r="A41" s="548"/>
      <c r="B41" s="550"/>
      <c r="C41" s="551">
        <v>720</v>
      </c>
      <c r="D41" s="541">
        <v>0.5</v>
      </c>
      <c r="E41" s="552">
        <v>22.751439413105484</v>
      </c>
      <c r="F41" s="552">
        <v>19.451439413105483</v>
      </c>
      <c r="G41" s="561"/>
      <c r="H41" s="561"/>
      <c r="I41" s="561"/>
    </row>
    <row r="42" spans="1:9" s="3" customFormat="1" ht="21" customHeight="1" x14ac:dyDescent="0.15">
      <c r="A42" s="548"/>
      <c r="B42" s="550"/>
      <c r="C42" s="551">
        <v>780</v>
      </c>
      <c r="D42" s="541">
        <v>0.54166666666666663</v>
      </c>
      <c r="E42" s="552">
        <v>22.856211830218527</v>
      </c>
      <c r="F42" s="552">
        <v>19.556211830218526</v>
      </c>
      <c r="G42" s="561"/>
      <c r="H42" s="561"/>
      <c r="I42" s="561"/>
    </row>
    <row r="43" spans="1:9" s="3" customFormat="1" ht="21" customHeight="1" x14ac:dyDescent="0.15">
      <c r="A43" s="548"/>
      <c r="B43" s="550"/>
      <c r="C43" s="551">
        <v>840</v>
      </c>
      <c r="D43" s="541">
        <v>0.58333333333333337</v>
      </c>
      <c r="E43" s="552">
        <v>22.856211830218527</v>
      </c>
      <c r="F43" s="552">
        <v>19.556211830218526</v>
      </c>
      <c r="G43" s="561"/>
      <c r="H43" s="561"/>
      <c r="I43" s="561"/>
    </row>
    <row r="44" spans="1:9" s="3" customFormat="1" ht="21" customHeight="1" x14ac:dyDescent="0.15">
      <c r="A44" s="548"/>
      <c r="B44" s="550"/>
      <c r="C44" s="551">
        <v>900</v>
      </c>
      <c r="D44" s="541">
        <v>0.625</v>
      </c>
      <c r="E44" s="552">
        <v>22.856211830218527</v>
      </c>
      <c r="F44" s="552">
        <v>19.556211830218526</v>
      </c>
      <c r="G44" s="561"/>
      <c r="H44" s="561"/>
      <c r="I44" s="561"/>
    </row>
    <row r="45" spans="1:9" s="3" customFormat="1" ht="21" customHeight="1" x14ac:dyDescent="0.15">
      <c r="A45" s="548" t="s">
        <v>0</v>
      </c>
      <c r="B45" s="550">
        <v>44273.0625</v>
      </c>
      <c r="C45" s="551">
        <v>960</v>
      </c>
      <c r="D45" s="541">
        <v>0.66666666666666663</v>
      </c>
      <c r="E45" s="552">
        <v>22.856211830218527</v>
      </c>
      <c r="F45" s="552">
        <v>19.556211830218526</v>
      </c>
      <c r="G45" s="561"/>
      <c r="H45" s="561"/>
      <c r="I45" s="561"/>
    </row>
    <row r="46" spans="1:9" s="3" customFormat="1" ht="21" customHeight="1" x14ac:dyDescent="0.15">
      <c r="A46" s="548"/>
      <c r="B46" s="548"/>
      <c r="C46" s="551">
        <v>1020</v>
      </c>
      <c r="D46" s="541">
        <v>0.70833333333333337</v>
      </c>
      <c r="E46" s="552">
        <v>22.856211830218527</v>
      </c>
      <c r="F46" s="552">
        <v>19.556211830218526</v>
      </c>
      <c r="G46" s="561"/>
      <c r="H46" s="561"/>
      <c r="I46" s="561"/>
    </row>
    <row r="47" spans="1:9" s="3" customFormat="1" ht="21" customHeight="1" x14ac:dyDescent="0.15">
      <c r="A47" s="548"/>
      <c r="B47" s="550"/>
      <c r="C47" s="551">
        <v>1080</v>
      </c>
      <c r="D47" s="541">
        <v>0.75</v>
      </c>
      <c r="E47" s="552">
        <v>22.856211830218527</v>
      </c>
      <c r="F47" s="552">
        <v>19.556211830218526</v>
      </c>
      <c r="G47" s="561"/>
      <c r="H47" s="561"/>
      <c r="I47" s="561"/>
    </row>
    <row r="48" spans="1:9" s="3" customFormat="1" ht="21" customHeight="1" x14ac:dyDescent="0.15">
      <c r="A48" s="548"/>
      <c r="B48" s="550"/>
      <c r="C48" s="551">
        <v>1140</v>
      </c>
      <c r="D48" s="541">
        <v>0.79166666666666663</v>
      </c>
      <c r="E48" s="552">
        <v>22.856211830218527</v>
      </c>
      <c r="F48" s="552">
        <v>19.556211830218526</v>
      </c>
      <c r="G48" s="561"/>
      <c r="H48" s="561"/>
      <c r="I48" s="561"/>
    </row>
    <row r="49" spans="1:9" s="3" customFormat="1" ht="21" customHeight="1" x14ac:dyDescent="0.15">
      <c r="A49" s="548"/>
      <c r="B49" s="550"/>
      <c r="C49" s="551">
        <v>1200</v>
      </c>
      <c r="D49" s="541">
        <v>0.83333333333333337</v>
      </c>
      <c r="E49" s="552">
        <v>22.856211830218527</v>
      </c>
      <c r="F49" s="552">
        <v>19.556211830218526</v>
      </c>
      <c r="G49" s="561"/>
      <c r="H49" s="561"/>
      <c r="I49" s="561"/>
    </row>
    <row r="50" spans="1:9" s="3" customFormat="1" ht="21" customHeight="1" x14ac:dyDescent="0.15">
      <c r="A50" s="548"/>
      <c r="B50" s="550"/>
      <c r="C50" s="551">
        <v>1260</v>
      </c>
      <c r="D50" s="541">
        <v>0.875</v>
      </c>
      <c r="E50" s="552">
        <v>22.856211830218527</v>
      </c>
      <c r="F50" s="552">
        <v>19.556211830218526</v>
      </c>
      <c r="G50" s="561"/>
      <c r="H50" s="561"/>
      <c r="I50" s="561"/>
    </row>
    <row r="51" spans="1:9" s="3" customFormat="1" ht="21" customHeight="1" x14ac:dyDescent="0.15">
      <c r="A51" s="548"/>
      <c r="B51" s="550">
        <v>44273.3125</v>
      </c>
      <c r="C51" s="551">
        <v>1320</v>
      </c>
      <c r="D51" s="541">
        <v>0.91666666666666663</v>
      </c>
      <c r="E51" s="552">
        <v>22.856211830218527</v>
      </c>
      <c r="F51" s="552">
        <v>19.556211830218526</v>
      </c>
      <c r="G51" s="561"/>
      <c r="H51" s="561"/>
      <c r="I51" s="561"/>
    </row>
    <row r="52" spans="1:9" s="3" customFormat="1" ht="21" customHeight="1" x14ac:dyDescent="0.15">
      <c r="A52" s="548"/>
      <c r="B52" s="550"/>
      <c r="C52" s="551">
        <v>1380</v>
      </c>
      <c r="D52" s="541">
        <v>0.95833333333333337</v>
      </c>
      <c r="E52" s="552">
        <v>22.856211830218527</v>
      </c>
      <c r="F52" s="552">
        <v>19.556211830218526</v>
      </c>
      <c r="G52" s="561"/>
      <c r="H52" s="561"/>
      <c r="I52" s="561"/>
    </row>
    <row r="53" spans="1:9" s="3" customFormat="1" ht="21" customHeight="1" x14ac:dyDescent="0.15">
      <c r="A53" s="548"/>
      <c r="B53" s="550"/>
      <c r="C53" s="551">
        <v>1440</v>
      </c>
      <c r="D53" s="541">
        <v>1</v>
      </c>
      <c r="E53" s="552">
        <v>22.856211830218527</v>
      </c>
      <c r="F53" s="552">
        <v>19.556211830218526</v>
      </c>
      <c r="G53" s="561">
        <f>'w1'!D20</f>
        <v>14.7</v>
      </c>
      <c r="H53" s="561">
        <f>'w1'!E20</f>
        <v>227</v>
      </c>
      <c r="I53" s="561">
        <f>'w1'!F20</f>
        <v>6.62</v>
      </c>
    </row>
    <row r="54" spans="1:9" s="3" customFormat="1" ht="21" customHeight="1" x14ac:dyDescent="0.15">
      <c r="A54" s="548"/>
      <c r="B54" s="550"/>
      <c r="C54" s="551">
        <v>1500</v>
      </c>
      <c r="D54" s="541">
        <v>1.0416666666666667</v>
      </c>
      <c r="E54" s="552">
        <v>22.856211830218527</v>
      </c>
      <c r="F54" s="552">
        <v>19.556211830218526</v>
      </c>
      <c r="G54" s="561"/>
      <c r="H54" s="561"/>
      <c r="I54" s="561"/>
    </row>
    <row r="55" spans="1:9" s="3" customFormat="1" ht="21" customHeight="1" x14ac:dyDescent="0.15">
      <c r="A55" s="548"/>
      <c r="B55" s="550" t="s">
        <v>0</v>
      </c>
      <c r="C55" s="551">
        <v>1560</v>
      </c>
      <c r="D55" s="541">
        <v>1.0833333333333333</v>
      </c>
      <c r="E55" s="552">
        <v>22.856211830218527</v>
      </c>
      <c r="F55" s="552">
        <v>19.556211830218526</v>
      </c>
      <c r="G55" s="561"/>
      <c r="H55" s="561"/>
      <c r="I55" s="561"/>
    </row>
    <row r="56" spans="1:9" s="3" customFormat="1" ht="21.6" customHeight="1" x14ac:dyDescent="0.15">
      <c r="A56" s="548"/>
      <c r="B56" s="550">
        <v>44273.520833333336</v>
      </c>
      <c r="C56" s="551">
        <v>1620</v>
      </c>
      <c r="D56" s="541">
        <v>1.125</v>
      </c>
      <c r="E56" s="552">
        <v>22.856211830218527</v>
      </c>
      <c r="F56" s="552">
        <v>19.556211830218526</v>
      </c>
      <c r="G56" s="561"/>
      <c r="H56" s="561"/>
      <c r="I56" s="561"/>
    </row>
    <row r="57" spans="1:9" s="3" customFormat="1" ht="21.6" customHeight="1" x14ac:dyDescent="0.15">
      <c r="A57" s="548"/>
      <c r="B57" s="550"/>
      <c r="C57" s="551">
        <v>1680</v>
      </c>
      <c r="D57" s="541">
        <v>1.1666666666666667</v>
      </c>
      <c r="E57" s="552">
        <v>22.856211830218527</v>
      </c>
      <c r="F57" s="552">
        <v>19.556211830218526</v>
      </c>
      <c r="G57" s="561">
        <f>'w1'!D21</f>
        <v>14.7</v>
      </c>
      <c r="H57" s="561">
        <f>'w1'!E21</f>
        <v>227</v>
      </c>
      <c r="I57" s="561">
        <f>'w1'!F21</f>
        <v>6.7700000000000005</v>
      </c>
    </row>
    <row r="58" spans="1:9" s="3" customFormat="1" ht="21.6" customHeight="1" x14ac:dyDescent="0.15">
      <c r="A58" s="548"/>
      <c r="B58" s="550"/>
      <c r="C58" s="551">
        <v>1740</v>
      </c>
      <c r="D58" s="541">
        <v>1.2083333333333333</v>
      </c>
      <c r="E58" s="552">
        <v>22.856211830218527</v>
      </c>
      <c r="F58" s="552">
        <v>19.556211830218526</v>
      </c>
      <c r="G58" s="561"/>
      <c r="H58" s="561"/>
      <c r="I58" s="561"/>
    </row>
    <row r="59" spans="1:9" s="3" customFormat="1" ht="21.6" customHeight="1" x14ac:dyDescent="0.15">
      <c r="A59" s="548"/>
      <c r="B59" s="550"/>
      <c r="C59" s="551">
        <v>1800</v>
      </c>
      <c r="D59" s="541">
        <v>1.25</v>
      </c>
      <c r="E59" s="552">
        <v>22.856211830218527</v>
      </c>
      <c r="F59" s="552">
        <v>19.556211830218526</v>
      </c>
      <c r="G59" s="561"/>
      <c r="H59" s="561"/>
      <c r="I59" s="561"/>
    </row>
    <row r="60" spans="1:9" s="3" customFormat="1" ht="21.6" customHeight="1" x14ac:dyDescent="0.15">
      <c r="A60" s="548"/>
      <c r="B60" s="550"/>
      <c r="C60" s="551">
        <v>1860</v>
      </c>
      <c r="D60" s="541">
        <v>1.2916666666666667</v>
      </c>
      <c r="E60" s="552">
        <v>22.856211830218527</v>
      </c>
      <c r="F60" s="552">
        <v>19.556211830218526</v>
      </c>
      <c r="G60" s="561"/>
      <c r="H60" s="561"/>
      <c r="I60" s="561"/>
    </row>
    <row r="61" spans="1:9" s="3" customFormat="1" ht="21.6" customHeight="1" x14ac:dyDescent="0.15">
      <c r="A61" s="548"/>
      <c r="B61" s="550">
        <v>44273.729166666672</v>
      </c>
      <c r="C61" s="551">
        <v>1920</v>
      </c>
      <c r="D61" s="541">
        <v>1.3333333333333333</v>
      </c>
      <c r="E61" s="552">
        <v>22.856211830218527</v>
      </c>
      <c r="F61" s="552">
        <v>19.556211830218526</v>
      </c>
      <c r="G61" s="561">
        <f>'w1'!D22</f>
        <v>14.799999999999999</v>
      </c>
      <c r="H61" s="561">
        <f>'w1'!E22</f>
        <v>225</v>
      </c>
      <c r="I61" s="561">
        <f>'w1'!F22</f>
        <v>6.62</v>
      </c>
    </row>
    <row r="62" spans="1:9" s="3" customFormat="1" ht="21.6" customHeight="1" x14ac:dyDescent="0.15">
      <c r="A62" s="548"/>
      <c r="B62" s="550"/>
      <c r="C62" s="551">
        <v>1980</v>
      </c>
      <c r="D62" s="541">
        <v>1.375</v>
      </c>
      <c r="E62" s="552">
        <v>22.856211830218527</v>
      </c>
      <c r="F62" s="552">
        <v>19.556211830218526</v>
      </c>
      <c r="G62" s="561"/>
      <c r="H62" s="561"/>
      <c r="I62" s="561"/>
    </row>
    <row r="63" spans="1:9" s="3" customFormat="1" ht="21.6" customHeight="1" x14ac:dyDescent="0.15">
      <c r="A63" s="548"/>
      <c r="B63" s="550"/>
      <c r="C63" s="551">
        <v>2040</v>
      </c>
      <c r="D63" s="541">
        <v>1.4166666666666667</v>
      </c>
      <c r="E63" s="552">
        <v>22.856211830218527</v>
      </c>
      <c r="F63" s="552">
        <v>19.556211830218526</v>
      </c>
      <c r="G63" s="561"/>
      <c r="H63" s="561"/>
      <c r="I63" s="561"/>
    </row>
    <row r="64" spans="1:9" s="3" customFormat="1" ht="21.6" customHeight="1" x14ac:dyDescent="0.15">
      <c r="A64" s="548"/>
      <c r="B64" s="550"/>
      <c r="C64" s="551">
        <v>2100</v>
      </c>
      <c r="D64" s="541">
        <v>1.4583333333333333</v>
      </c>
      <c r="E64" s="552">
        <v>22.856211830218527</v>
      </c>
      <c r="F64" s="552">
        <v>19.556211830218526</v>
      </c>
      <c r="G64" s="561"/>
      <c r="H64" s="561"/>
      <c r="I64" s="561"/>
    </row>
    <row r="65" spans="1:9" s="3" customFormat="1" ht="21.6" customHeight="1" x14ac:dyDescent="0.15">
      <c r="A65" s="548"/>
      <c r="B65" s="550"/>
      <c r="C65" s="551">
        <v>2160</v>
      </c>
      <c r="D65" s="541">
        <v>1.5</v>
      </c>
      <c r="E65" s="552">
        <v>22.856211830218527</v>
      </c>
      <c r="F65" s="552">
        <v>19.556211830218526</v>
      </c>
      <c r="G65" s="561"/>
      <c r="H65" s="561"/>
      <c r="I65" s="561"/>
    </row>
    <row r="66" spans="1:9" s="3" customFormat="1" ht="21.6" customHeight="1" x14ac:dyDescent="0.15">
      <c r="A66" s="548"/>
      <c r="B66" s="550">
        <v>44273.9375</v>
      </c>
      <c r="C66" s="551">
        <v>2220</v>
      </c>
      <c r="D66" s="541">
        <v>1.5416666666666667</v>
      </c>
      <c r="E66" s="552">
        <v>22.856211830218527</v>
      </c>
      <c r="F66" s="552">
        <v>19.556211830218526</v>
      </c>
      <c r="G66" s="561"/>
      <c r="H66" s="561"/>
      <c r="I66" s="561"/>
    </row>
    <row r="67" spans="1:9" s="3" customFormat="1" ht="21.6" customHeight="1" x14ac:dyDescent="0.15">
      <c r="A67" s="548"/>
      <c r="B67" s="550"/>
      <c r="C67" s="551">
        <v>2280</v>
      </c>
      <c r="D67" s="541">
        <v>1.5833333333333333</v>
      </c>
      <c r="E67" s="552">
        <v>22.856211830218527</v>
      </c>
      <c r="F67" s="552">
        <v>19.556211830218526</v>
      </c>
      <c r="G67" s="561"/>
      <c r="H67" s="561"/>
      <c r="I67" s="561"/>
    </row>
    <row r="68" spans="1:9" s="3" customFormat="1" ht="21.6" customHeight="1" x14ac:dyDescent="0.15">
      <c r="A68" s="548"/>
      <c r="B68" s="550" t="s">
        <v>0</v>
      </c>
      <c r="C68" s="551">
        <v>2340</v>
      </c>
      <c r="D68" s="541">
        <v>1.625</v>
      </c>
      <c r="E68" s="552">
        <v>22.856211830218527</v>
      </c>
      <c r="F68" s="552">
        <v>19.556211830218526</v>
      </c>
      <c r="G68" s="561"/>
      <c r="H68" s="561"/>
      <c r="I68" s="561"/>
    </row>
    <row r="69" spans="1:9" s="3" customFormat="1" ht="21.6" customHeight="1" x14ac:dyDescent="0.15">
      <c r="A69" s="548"/>
      <c r="B69" s="550"/>
      <c r="C69" s="551">
        <v>2400</v>
      </c>
      <c r="D69" s="541">
        <v>1.6666666666666667</v>
      </c>
      <c r="E69" s="552">
        <v>22.856211830218527</v>
      </c>
      <c r="F69" s="552">
        <v>19.556211830218526</v>
      </c>
      <c r="G69" s="561"/>
      <c r="H69" s="561"/>
      <c r="I69" s="561"/>
    </row>
    <row r="70" spans="1:9" s="3" customFormat="1" ht="21.6" customHeight="1" x14ac:dyDescent="0.15">
      <c r="A70" s="548"/>
      <c r="B70" s="550"/>
      <c r="C70" s="551">
        <v>2460</v>
      </c>
      <c r="D70" s="541">
        <v>1.7083333333333333</v>
      </c>
      <c r="E70" s="552">
        <v>22.856211830218527</v>
      </c>
      <c r="F70" s="552">
        <v>19.556211830218526</v>
      </c>
      <c r="G70" s="561"/>
      <c r="H70" s="561"/>
      <c r="I70" s="561"/>
    </row>
    <row r="71" spans="1:9" s="3" customFormat="1" ht="21.6" customHeight="1" x14ac:dyDescent="0.15">
      <c r="A71" s="548"/>
      <c r="B71" s="550">
        <v>44274.145833333336</v>
      </c>
      <c r="C71" s="551">
        <v>2520</v>
      </c>
      <c r="D71" s="541">
        <v>1.75</v>
      </c>
      <c r="E71" s="552">
        <v>22.856211830218527</v>
      </c>
      <c r="F71" s="552">
        <v>19.556211830218526</v>
      </c>
      <c r="G71" s="561"/>
      <c r="H71" s="561"/>
      <c r="I71" s="561"/>
    </row>
    <row r="72" spans="1:9" s="3" customFormat="1" ht="21.6" customHeight="1" x14ac:dyDescent="0.15">
      <c r="A72" s="548"/>
      <c r="B72" s="550"/>
      <c r="C72" s="551">
        <v>2580</v>
      </c>
      <c r="D72" s="541">
        <v>1.7916666666666667</v>
      </c>
      <c r="E72" s="552">
        <v>22.856211830218527</v>
      </c>
      <c r="F72" s="552">
        <v>19.556211830218526</v>
      </c>
      <c r="G72" s="561"/>
      <c r="H72" s="561"/>
      <c r="I72" s="561"/>
    </row>
    <row r="73" spans="1:9" s="3" customFormat="1" ht="21.6" customHeight="1" x14ac:dyDescent="0.15">
      <c r="A73" s="548"/>
      <c r="B73" s="550"/>
      <c r="C73" s="551">
        <v>2640</v>
      </c>
      <c r="D73" s="541">
        <v>1.8333333333333333</v>
      </c>
      <c r="E73" s="552">
        <v>22.856211830218527</v>
      </c>
      <c r="F73" s="552">
        <v>19.556211830218526</v>
      </c>
      <c r="G73" s="561"/>
      <c r="H73" s="561"/>
      <c r="I73" s="561"/>
    </row>
    <row r="74" spans="1:9" s="3" customFormat="1" ht="21.6" customHeight="1" x14ac:dyDescent="0.15">
      <c r="A74" s="548"/>
      <c r="B74" s="550"/>
      <c r="C74" s="551">
        <v>2700</v>
      </c>
      <c r="D74" s="541">
        <v>1.875</v>
      </c>
      <c r="E74" s="552">
        <v>22.856211830218527</v>
      </c>
      <c r="F74" s="552">
        <v>19.556211830218526</v>
      </c>
      <c r="G74" s="561"/>
      <c r="H74" s="561"/>
      <c r="I74" s="561"/>
    </row>
    <row r="75" spans="1:9" s="3" customFormat="1" ht="21.6" customHeight="1" x14ac:dyDescent="0.15">
      <c r="A75" s="548"/>
      <c r="B75" s="550"/>
      <c r="C75" s="551">
        <v>2760</v>
      </c>
      <c r="D75" s="541">
        <v>1.9166666666666667</v>
      </c>
      <c r="E75" s="552">
        <v>22.856211830218527</v>
      </c>
      <c r="F75" s="552">
        <v>19.556211830218526</v>
      </c>
      <c r="G75" s="561"/>
      <c r="H75" s="561"/>
      <c r="I75" s="561"/>
    </row>
    <row r="76" spans="1:9" s="3" customFormat="1" ht="21.6" customHeight="1" x14ac:dyDescent="0.15">
      <c r="A76" s="548"/>
      <c r="B76" s="550"/>
      <c r="C76" s="551">
        <v>2820</v>
      </c>
      <c r="D76" s="541">
        <v>1.9583333333333333</v>
      </c>
      <c r="E76" s="552">
        <v>22.856211830218527</v>
      </c>
      <c r="F76" s="552">
        <v>19.556211830218526</v>
      </c>
      <c r="G76" s="561"/>
      <c r="H76" s="561"/>
      <c r="I76" s="561"/>
    </row>
    <row r="77" spans="1:9" s="3" customFormat="1" ht="21.6" customHeight="1" x14ac:dyDescent="0.15">
      <c r="A77" s="548"/>
      <c r="B77" s="550">
        <v>44274.395833333336</v>
      </c>
      <c r="C77" s="551">
        <v>2880</v>
      </c>
      <c r="D77" s="541">
        <v>2</v>
      </c>
      <c r="E77" s="552">
        <v>22.856211830218527</v>
      </c>
      <c r="F77" s="552">
        <v>19.556211830218526</v>
      </c>
      <c r="G77" s="561">
        <f>'w1'!D23</f>
        <v>14.7</v>
      </c>
      <c r="H77" s="561">
        <f>'w1'!E23</f>
        <v>228</v>
      </c>
      <c r="I77" s="561">
        <f>'w1'!F23</f>
        <v>6.79</v>
      </c>
    </row>
    <row r="78" spans="1:9" s="3" customFormat="1" ht="20.45" customHeight="1" x14ac:dyDescent="0.15">
      <c r="A78" s="548">
        <v>0</v>
      </c>
      <c r="B78" s="550">
        <v>44274.396527777782</v>
      </c>
      <c r="C78" s="551">
        <v>1</v>
      </c>
      <c r="D78" s="541">
        <v>6.9444444444444447E-4</v>
      </c>
      <c r="E78" s="552">
        <v>16.197480212316762</v>
      </c>
      <c r="F78" s="552">
        <v>12.897480212316761</v>
      </c>
      <c r="G78" s="613" t="s">
        <v>248</v>
      </c>
      <c r="H78" s="613"/>
      <c r="I78" s="613"/>
    </row>
    <row r="79" spans="1:9" s="3" customFormat="1" ht="20.45" customHeight="1" x14ac:dyDescent="0.15">
      <c r="A79" s="548"/>
      <c r="B79" s="548" t="s">
        <v>18</v>
      </c>
      <c r="C79" s="551">
        <v>2</v>
      </c>
      <c r="D79" s="541">
        <v>1.3888888888888889E-3</v>
      </c>
      <c r="E79" s="552">
        <v>15.09685736039037</v>
      </c>
      <c r="F79" s="552">
        <v>11.796857360390369</v>
      </c>
      <c r="G79" s="613"/>
      <c r="H79" s="613"/>
      <c r="I79" s="613"/>
    </row>
    <row r="80" spans="1:9" s="3" customFormat="1" ht="20.45" customHeight="1" x14ac:dyDescent="0.15">
      <c r="A80" s="548"/>
      <c r="B80" s="550" t="s">
        <v>18</v>
      </c>
      <c r="C80" s="551">
        <v>3</v>
      </c>
      <c r="D80" s="541">
        <v>2.0833333333333333E-3</v>
      </c>
      <c r="E80" s="552">
        <v>14.090157557171267</v>
      </c>
      <c r="F80" s="552">
        <v>10.790157557171266</v>
      </c>
      <c r="G80" s="613"/>
      <c r="H80" s="613"/>
      <c r="I80" s="613"/>
    </row>
    <row r="81" spans="1:9" s="3" customFormat="1" ht="20.45" customHeight="1" x14ac:dyDescent="0.15">
      <c r="A81" s="548"/>
      <c r="B81" s="550" t="s">
        <v>18</v>
      </c>
      <c r="C81" s="551">
        <v>4</v>
      </c>
      <c r="D81" s="541">
        <v>2.7777777777777779E-3</v>
      </c>
      <c r="E81" s="552">
        <v>13.169365760028775</v>
      </c>
      <c r="F81" s="552">
        <v>9.8693657600287743</v>
      </c>
      <c r="G81" s="613"/>
      <c r="H81" s="613"/>
      <c r="I81" s="613"/>
    </row>
    <row r="82" spans="1:9" s="3" customFormat="1" ht="20.45" customHeight="1" x14ac:dyDescent="0.15">
      <c r="A82" s="548"/>
      <c r="B82" s="550" t="s">
        <v>18</v>
      </c>
      <c r="C82" s="551">
        <v>5</v>
      </c>
      <c r="D82" s="541">
        <v>3.472222222222222E-3</v>
      </c>
      <c r="E82" s="552">
        <v>12.327150900173113</v>
      </c>
      <c r="F82" s="552">
        <v>9.0271509001731118</v>
      </c>
      <c r="G82" s="613"/>
      <c r="H82" s="613"/>
      <c r="I82" s="613"/>
    </row>
    <row r="83" spans="1:9" s="3" customFormat="1" ht="20.45" customHeight="1" x14ac:dyDescent="0.15">
      <c r="A83" s="548"/>
      <c r="B83" s="550" t="s">
        <v>18</v>
      </c>
      <c r="C83" s="551">
        <v>10</v>
      </c>
      <c r="D83" s="541">
        <v>6.9444444444444441E-3</v>
      </c>
      <c r="E83" s="552">
        <v>10.207725581908676</v>
      </c>
      <c r="F83" s="552">
        <v>6.907725581908676</v>
      </c>
      <c r="G83" s="613"/>
      <c r="H83" s="613"/>
      <c r="I83" s="613"/>
    </row>
    <row r="84" spans="1:9" s="3" customFormat="1" ht="20.45" customHeight="1" x14ac:dyDescent="0.15">
      <c r="A84" s="548"/>
      <c r="B84" s="550" t="s">
        <v>18</v>
      </c>
      <c r="C84" s="551">
        <v>15</v>
      </c>
      <c r="D84" s="541">
        <v>1.0416666666666666E-2</v>
      </c>
      <c r="E84" s="552">
        <v>9.8089267135773959</v>
      </c>
      <c r="F84" s="552">
        <v>6.5089267135773952</v>
      </c>
      <c r="G84" s="613"/>
      <c r="H84" s="613"/>
      <c r="I84" s="613"/>
    </row>
    <row r="85" spans="1:9" s="3" customFormat="1" ht="20.45" customHeight="1" x14ac:dyDescent="0.15">
      <c r="A85" s="548"/>
      <c r="B85" s="550" t="s">
        <v>18</v>
      </c>
      <c r="C85" s="551">
        <v>20</v>
      </c>
      <c r="D85" s="541">
        <v>1.3888888888888888E-2</v>
      </c>
      <c r="E85" s="552">
        <v>8.7454314805236884</v>
      </c>
      <c r="F85" s="552">
        <v>5.4454314805236894</v>
      </c>
      <c r="G85" s="613"/>
      <c r="H85" s="613"/>
      <c r="I85" s="613"/>
    </row>
    <row r="86" spans="1:9" s="3" customFormat="1" ht="20.45" customHeight="1" x14ac:dyDescent="0.15">
      <c r="A86" s="548"/>
      <c r="B86" s="550" t="s">
        <v>18</v>
      </c>
      <c r="C86" s="551">
        <v>25</v>
      </c>
      <c r="D86" s="541">
        <v>1.7361111111111112E-2</v>
      </c>
      <c r="E86" s="552">
        <v>8.2807386701916208</v>
      </c>
      <c r="F86" s="552">
        <v>4.9807386701916219</v>
      </c>
      <c r="G86" s="613"/>
      <c r="H86" s="613"/>
      <c r="I86" s="613"/>
    </row>
    <row r="87" spans="1:9" s="3" customFormat="1" ht="20.45" customHeight="1" x14ac:dyDescent="0.15">
      <c r="A87" s="548"/>
      <c r="B87" s="550" t="s">
        <v>18</v>
      </c>
      <c r="C87" s="551">
        <v>30</v>
      </c>
      <c r="D87" s="541">
        <v>2.0833333333333332E-2</v>
      </c>
      <c r="E87" s="552">
        <v>7.8557010109245624</v>
      </c>
      <c r="F87" s="552">
        <v>4.5557010109245626</v>
      </c>
      <c r="G87" s="613"/>
      <c r="H87" s="613"/>
      <c r="I87" s="613"/>
    </row>
    <row r="88" spans="1:9" s="3" customFormat="1" ht="20.45" customHeight="1" x14ac:dyDescent="0.15">
      <c r="A88" s="548"/>
      <c r="B88" s="550"/>
      <c r="C88" s="551">
        <v>35</v>
      </c>
      <c r="D88" s="541">
        <v>2.4305555555555556E-2</v>
      </c>
      <c r="E88" s="552">
        <v>7.7222405893640076</v>
      </c>
      <c r="F88" s="552">
        <v>4.4222405893640078</v>
      </c>
      <c r="G88" s="613"/>
      <c r="H88" s="613"/>
      <c r="I88" s="613"/>
    </row>
    <row r="89" spans="1:9" s="3" customFormat="1" ht="20.45" customHeight="1" x14ac:dyDescent="0.15">
      <c r="A89" s="548"/>
      <c r="B89" s="550"/>
      <c r="C89" s="551">
        <v>40</v>
      </c>
      <c r="D89" s="541">
        <v>2.7777777777777776E-2</v>
      </c>
      <c r="E89" s="552">
        <v>7.5926899248486164</v>
      </c>
      <c r="F89" s="552">
        <v>4.2926899248486166</v>
      </c>
      <c r="G89" s="613"/>
      <c r="H89" s="613"/>
      <c r="I89" s="613"/>
    </row>
    <row r="90" spans="1:9" s="3" customFormat="1" ht="20.45" customHeight="1" x14ac:dyDescent="0.15">
      <c r="A90" s="548"/>
      <c r="B90" s="550" t="s">
        <v>18</v>
      </c>
      <c r="C90" s="551">
        <v>45</v>
      </c>
      <c r="D90" s="541">
        <v>3.125E-2</v>
      </c>
      <c r="E90" s="552">
        <v>7.4669344800498427</v>
      </c>
      <c r="F90" s="552">
        <v>4.1669344800498429</v>
      </c>
      <c r="G90" s="613"/>
      <c r="H90" s="613"/>
      <c r="I90" s="613"/>
    </row>
    <row r="91" spans="1:9" s="3" customFormat="1" ht="20.45" customHeight="1" x14ac:dyDescent="0.15">
      <c r="A91" s="548"/>
      <c r="B91" s="550"/>
      <c r="C91" s="551">
        <v>50</v>
      </c>
      <c r="D91" s="541">
        <v>3.4722222222222224E-2</v>
      </c>
      <c r="E91" s="552">
        <v>7.3448630730393552</v>
      </c>
      <c r="F91" s="552">
        <v>4.0448630730393553</v>
      </c>
      <c r="G91" s="613"/>
      <c r="H91" s="613"/>
      <c r="I91" s="613"/>
    </row>
    <row r="92" spans="1:9" s="3" customFormat="1" ht="20.45" customHeight="1" x14ac:dyDescent="0.15">
      <c r="A92" s="548"/>
      <c r="B92" s="550"/>
      <c r="C92" s="551">
        <v>55</v>
      </c>
      <c r="D92" s="541">
        <v>3.8194444444444448E-2</v>
      </c>
      <c r="E92" s="552">
        <v>7.2263677789917349</v>
      </c>
      <c r="F92" s="552">
        <v>3.9263677789917351</v>
      </c>
      <c r="G92" s="613"/>
      <c r="H92" s="613"/>
      <c r="I92" s="613"/>
    </row>
    <row r="93" spans="1:9" s="3" customFormat="1" ht="20.45" customHeight="1" x14ac:dyDescent="0.15">
      <c r="A93" s="548"/>
      <c r="B93" s="550">
        <v>44274.4375</v>
      </c>
      <c r="C93" s="551">
        <v>60</v>
      </c>
      <c r="D93" s="541">
        <v>4.1666666666666664E-2</v>
      </c>
      <c r="E93" s="552">
        <v>7.111343834766811</v>
      </c>
      <c r="F93" s="552">
        <v>3.8113438347668112</v>
      </c>
      <c r="G93" s="613"/>
      <c r="H93" s="613"/>
      <c r="I93" s="613"/>
    </row>
    <row r="94" spans="1:9" s="3" customFormat="1" ht="20.45" customHeight="1" x14ac:dyDescent="0.15">
      <c r="A94" s="548"/>
      <c r="B94" s="550"/>
      <c r="C94" s="551">
        <v>75</v>
      </c>
      <c r="D94" s="541">
        <v>5.2083333333333336E-2</v>
      </c>
      <c r="E94" s="552">
        <v>6.9996895462872946</v>
      </c>
      <c r="F94" s="552">
        <v>3.6996895462872952</v>
      </c>
      <c r="G94" s="613"/>
      <c r="H94" s="613"/>
      <c r="I94" s="613"/>
    </row>
    <row r="95" spans="1:9" s="3" customFormat="1" ht="20.45" customHeight="1" x14ac:dyDescent="0.15">
      <c r="A95" s="548"/>
      <c r="B95" s="550"/>
      <c r="C95" s="551">
        <v>90</v>
      </c>
      <c r="D95" s="541">
        <v>6.25E-2</v>
      </c>
      <c r="E95" s="552">
        <v>6.891306198629791</v>
      </c>
      <c r="F95" s="552">
        <v>3.5913061986297912</v>
      </c>
      <c r="G95" s="613"/>
      <c r="H95" s="613"/>
      <c r="I95" s="613"/>
    </row>
    <row r="96" spans="1:9" s="3" customFormat="1" ht="20.45" customHeight="1" x14ac:dyDescent="0.15">
      <c r="A96" s="548"/>
      <c r="B96" s="550"/>
      <c r="C96" s="551">
        <v>105</v>
      </c>
      <c r="D96" s="541">
        <v>7.2916666666666671E-2</v>
      </c>
      <c r="E96" s="552">
        <v>6.7860979687497327</v>
      </c>
      <c r="F96" s="552">
        <v>3.4860979687497329</v>
      </c>
      <c r="G96" s="613"/>
      <c r="H96" s="613"/>
      <c r="I96" s="613"/>
    </row>
    <row r="97" spans="1:9" s="3" customFormat="1" ht="20.45" customHeight="1" x14ac:dyDescent="0.15">
      <c r="A97" s="548"/>
      <c r="B97" s="550">
        <v>44274.479166666672</v>
      </c>
      <c r="C97" s="551">
        <v>120</v>
      </c>
      <c r="D97" s="541">
        <v>8.3333333333333329E-2</v>
      </c>
      <c r="E97" s="552">
        <v>6.4886073717262933</v>
      </c>
      <c r="F97" s="552">
        <v>3.1886073717262935</v>
      </c>
      <c r="G97" s="613"/>
      <c r="H97" s="613"/>
      <c r="I97" s="613"/>
    </row>
    <row r="98" spans="1:9" s="3" customFormat="1" ht="20.45" customHeight="1" x14ac:dyDescent="0.15">
      <c r="A98" s="548"/>
      <c r="B98" s="550" t="s">
        <v>18</v>
      </c>
      <c r="C98" s="551">
        <v>180</v>
      </c>
      <c r="D98" s="541">
        <v>0.125</v>
      </c>
      <c r="E98" s="552">
        <v>6.3951963065573523</v>
      </c>
      <c r="F98" s="552">
        <v>3.0951963065573529</v>
      </c>
      <c r="G98" s="613"/>
      <c r="H98" s="613"/>
      <c r="I98" s="613"/>
    </row>
    <row r="99" spans="1:9" s="3" customFormat="1" ht="20.45" customHeight="1" x14ac:dyDescent="0.15">
      <c r="A99" s="548"/>
      <c r="B99" s="550">
        <v>44274.5625</v>
      </c>
      <c r="C99" s="551">
        <v>240</v>
      </c>
      <c r="D99" s="541">
        <v>0.16666666666666666</v>
      </c>
      <c r="E99" s="552">
        <v>5.8894713748996104</v>
      </c>
      <c r="F99" s="552">
        <v>2.589471374899611</v>
      </c>
      <c r="G99" s="613"/>
      <c r="H99" s="613"/>
      <c r="I99" s="613"/>
    </row>
    <row r="100" spans="1:9" s="3" customFormat="1" ht="20.45" customHeight="1" x14ac:dyDescent="0.15">
      <c r="A100" s="548"/>
      <c r="B100" s="550" t="s">
        <v>18</v>
      </c>
      <c r="C100" s="551">
        <v>300</v>
      </c>
      <c r="D100" s="541">
        <v>0.20833333333333334</v>
      </c>
      <c r="E100" s="552">
        <v>5.4663769717025001</v>
      </c>
      <c r="F100" s="552">
        <v>2.1663769717025003</v>
      </c>
      <c r="G100" s="613"/>
      <c r="H100" s="613"/>
      <c r="I100" s="613"/>
    </row>
    <row r="101" spans="1:9" s="3" customFormat="1" ht="20.45" customHeight="1" x14ac:dyDescent="0.15">
      <c r="A101" s="548"/>
      <c r="B101" s="550">
        <v>44274.645833333336</v>
      </c>
      <c r="C101" s="551">
        <v>360</v>
      </c>
      <c r="D101" s="541">
        <v>0.25</v>
      </c>
      <c r="E101" s="552">
        <v>5.1124120733734086</v>
      </c>
      <c r="F101" s="552">
        <v>1.8124120733734088</v>
      </c>
      <c r="G101" s="613"/>
      <c r="H101" s="613"/>
      <c r="I101" s="613"/>
    </row>
    <row r="102" spans="1:9" s="3" customFormat="1" ht="17.25" customHeight="1" x14ac:dyDescent="0.15">
      <c r="G102" s="562"/>
      <c r="H102" s="562"/>
      <c r="I102" s="562"/>
    </row>
    <row r="103" spans="1:9" s="3" customFormat="1" ht="17.25" customHeight="1" x14ac:dyDescent="0.15">
      <c r="G103" s="562"/>
      <c r="H103" s="562"/>
      <c r="I103" s="562"/>
    </row>
    <row r="104" spans="1:9" s="3" customFormat="1" ht="17.25" customHeight="1" x14ac:dyDescent="0.15">
      <c r="G104" s="562"/>
      <c r="H104" s="562"/>
      <c r="I104" s="562"/>
    </row>
    <row r="105" spans="1:9" s="3" customFormat="1" ht="17.25" customHeight="1" x14ac:dyDescent="0.15">
      <c r="G105" s="562"/>
      <c r="H105" s="562"/>
      <c r="I105" s="562"/>
    </row>
    <row r="106" spans="1:9" s="3" customFormat="1" ht="17.25" customHeight="1" x14ac:dyDescent="0.15">
      <c r="G106" s="562"/>
      <c r="H106" s="562"/>
      <c r="I106" s="562"/>
    </row>
    <row r="107" spans="1:9" s="3" customFormat="1" ht="17.25" customHeight="1" x14ac:dyDescent="0.15">
      <c r="G107" s="562"/>
      <c r="H107" s="562"/>
      <c r="I107" s="562"/>
    </row>
    <row r="108" spans="1:9" s="3" customFormat="1" ht="17.25" customHeight="1" x14ac:dyDescent="0.15">
      <c r="G108" s="562"/>
      <c r="H108" s="562"/>
      <c r="I108" s="562"/>
    </row>
    <row r="109" spans="1:9" s="3" customFormat="1" ht="17.25" customHeight="1" x14ac:dyDescent="0.15">
      <c r="G109" s="562"/>
      <c r="H109" s="562"/>
      <c r="I109" s="562"/>
    </row>
    <row r="110" spans="1:9" s="3" customFormat="1" ht="17.25" customHeight="1" x14ac:dyDescent="0.15">
      <c r="G110" s="562"/>
      <c r="H110" s="562"/>
      <c r="I110" s="562"/>
    </row>
    <row r="111" spans="1:9" s="3" customFormat="1" ht="17.25" customHeight="1" x14ac:dyDescent="0.15">
      <c r="G111" s="562"/>
      <c r="H111" s="562"/>
      <c r="I111" s="562"/>
    </row>
    <row r="112" spans="1:9" s="3" customFormat="1" ht="17.25" customHeight="1" x14ac:dyDescent="0.15">
      <c r="G112" s="562"/>
      <c r="H112" s="562"/>
      <c r="I112" s="562"/>
    </row>
    <row r="113" spans="7:9" s="3" customFormat="1" ht="17.25" customHeight="1" x14ac:dyDescent="0.15">
      <c r="G113" s="562"/>
      <c r="H113" s="562"/>
      <c r="I113" s="562"/>
    </row>
    <row r="114" spans="7:9" s="3" customFormat="1" ht="17.25" customHeight="1" x14ac:dyDescent="0.15">
      <c r="G114" s="562"/>
      <c r="H114" s="562"/>
      <c r="I114" s="562"/>
    </row>
    <row r="115" spans="7:9" s="3" customFormat="1" ht="17.25" customHeight="1" x14ac:dyDescent="0.15">
      <c r="G115" s="562"/>
      <c r="H115" s="562"/>
      <c r="I115" s="562"/>
    </row>
    <row r="116" spans="7:9" s="3" customFormat="1" ht="17.25" customHeight="1" x14ac:dyDescent="0.15">
      <c r="G116" s="562"/>
      <c r="H116" s="562"/>
      <c r="I116" s="562"/>
    </row>
    <row r="117" spans="7:9" s="3" customFormat="1" ht="17.25" customHeight="1" x14ac:dyDescent="0.15">
      <c r="G117" s="562"/>
      <c r="H117" s="562"/>
      <c r="I117" s="562"/>
    </row>
    <row r="118" spans="7:9" s="3" customFormat="1" ht="17.25" customHeight="1" x14ac:dyDescent="0.15">
      <c r="G118" s="562"/>
      <c r="H118" s="562"/>
      <c r="I118" s="562"/>
    </row>
    <row r="119" spans="7:9" s="3" customFormat="1" ht="17.25" customHeight="1" x14ac:dyDescent="0.15">
      <c r="G119" s="562"/>
      <c r="H119" s="562"/>
      <c r="I119" s="562"/>
    </row>
    <row r="120" spans="7:9" s="3" customFormat="1" ht="17.25" customHeight="1" x14ac:dyDescent="0.15">
      <c r="G120" s="562"/>
      <c r="H120" s="562"/>
      <c r="I120" s="562"/>
    </row>
    <row r="121" spans="7:9" s="3" customFormat="1" ht="17.25" customHeight="1" x14ac:dyDescent="0.15">
      <c r="G121" s="562"/>
      <c r="H121" s="562"/>
      <c r="I121" s="562"/>
    </row>
    <row r="122" spans="7:9" s="3" customFormat="1" ht="17.25" customHeight="1" x14ac:dyDescent="0.15">
      <c r="G122" s="562"/>
      <c r="H122" s="562"/>
      <c r="I122" s="562"/>
    </row>
    <row r="123" spans="7:9" s="3" customFormat="1" ht="17.25" customHeight="1" x14ac:dyDescent="0.15">
      <c r="G123" s="562"/>
      <c r="H123" s="562"/>
      <c r="I123" s="562"/>
    </row>
    <row r="124" spans="7:9" s="3" customFormat="1" ht="17.25" customHeight="1" x14ac:dyDescent="0.15">
      <c r="G124" s="562"/>
      <c r="H124" s="562"/>
      <c r="I124" s="562"/>
    </row>
    <row r="125" spans="7:9" s="3" customFormat="1" ht="17.25" customHeight="1" x14ac:dyDescent="0.15">
      <c r="G125" s="562"/>
      <c r="H125" s="562"/>
      <c r="I125" s="562"/>
    </row>
    <row r="126" spans="7:9" s="3" customFormat="1" ht="17.25" customHeight="1" x14ac:dyDescent="0.15">
      <c r="G126" s="562"/>
      <c r="H126" s="562"/>
      <c r="I126" s="562"/>
    </row>
    <row r="127" spans="7:9" s="3" customFormat="1" ht="17.25" customHeight="1" x14ac:dyDescent="0.15">
      <c r="G127" s="562"/>
      <c r="H127" s="562"/>
      <c r="I127" s="562"/>
    </row>
    <row r="128" spans="7:9" s="3" customFormat="1" ht="17.25" customHeight="1" x14ac:dyDescent="0.15">
      <c r="G128" s="562"/>
      <c r="H128" s="562"/>
      <c r="I128" s="562"/>
    </row>
    <row r="129" spans="7:9" s="3" customFormat="1" ht="17.25" customHeight="1" x14ac:dyDescent="0.15">
      <c r="G129" s="562"/>
      <c r="H129" s="562"/>
      <c r="I129" s="562"/>
    </row>
    <row r="130" spans="7:9" s="3" customFormat="1" ht="17.25" customHeight="1" x14ac:dyDescent="0.15">
      <c r="G130" s="562"/>
      <c r="H130" s="562"/>
      <c r="I130" s="562"/>
    </row>
    <row r="131" spans="7:9" s="3" customFormat="1" ht="17.25" customHeight="1" x14ac:dyDescent="0.15">
      <c r="G131" s="562"/>
      <c r="H131" s="562"/>
      <c r="I131" s="562"/>
    </row>
    <row r="132" spans="7:9" s="3" customFormat="1" ht="17.25" customHeight="1" x14ac:dyDescent="0.15">
      <c r="G132" s="562"/>
      <c r="H132" s="562"/>
      <c r="I132" s="562"/>
    </row>
    <row r="133" spans="7:9" s="3" customFormat="1" ht="17.25" customHeight="1" x14ac:dyDescent="0.15">
      <c r="G133" s="562"/>
      <c r="H133" s="562"/>
      <c r="I133" s="562"/>
    </row>
    <row r="134" spans="7:9" s="3" customFormat="1" ht="17.25" customHeight="1" x14ac:dyDescent="0.15">
      <c r="G134" s="562"/>
      <c r="H134" s="562"/>
      <c r="I134" s="562"/>
    </row>
    <row r="135" spans="7:9" s="3" customFormat="1" ht="17.25" customHeight="1" x14ac:dyDescent="0.15">
      <c r="G135" s="562"/>
      <c r="H135" s="562"/>
      <c r="I135" s="562"/>
    </row>
    <row r="136" spans="7:9" s="3" customFormat="1" ht="17.25" customHeight="1" x14ac:dyDescent="0.15">
      <c r="G136" s="562"/>
      <c r="H136" s="562"/>
      <c r="I136" s="562"/>
    </row>
    <row r="137" spans="7:9" s="3" customFormat="1" ht="17.25" customHeight="1" x14ac:dyDescent="0.15">
      <c r="G137" s="562"/>
      <c r="H137" s="562"/>
      <c r="I137" s="562"/>
    </row>
    <row r="138" spans="7:9" s="3" customFormat="1" ht="17.25" customHeight="1" x14ac:dyDescent="0.15">
      <c r="G138" s="562"/>
      <c r="H138" s="562"/>
      <c r="I138" s="562"/>
    </row>
    <row r="139" spans="7:9" s="3" customFormat="1" ht="17.25" customHeight="1" x14ac:dyDescent="0.15">
      <c r="G139" s="562"/>
      <c r="H139" s="562"/>
      <c r="I139" s="562"/>
    </row>
    <row r="140" spans="7:9" s="3" customFormat="1" ht="17.25" customHeight="1" x14ac:dyDescent="0.15">
      <c r="G140" s="562"/>
      <c r="H140" s="562"/>
      <c r="I140" s="562"/>
    </row>
    <row r="141" spans="7:9" s="3" customFormat="1" ht="17.25" customHeight="1" x14ac:dyDescent="0.15">
      <c r="G141" s="562"/>
      <c r="H141" s="562"/>
      <c r="I141" s="562"/>
    </row>
    <row r="142" spans="7:9" s="3" customFormat="1" ht="17.25" customHeight="1" x14ac:dyDescent="0.15">
      <c r="G142" s="562"/>
      <c r="H142" s="562"/>
      <c r="I142" s="562"/>
    </row>
    <row r="143" spans="7:9" s="3" customFormat="1" ht="17.25" customHeight="1" x14ac:dyDescent="0.15">
      <c r="G143" s="562"/>
      <c r="H143" s="562"/>
      <c r="I143" s="562"/>
    </row>
    <row r="144" spans="7:9" s="3" customFormat="1" ht="17.25" customHeight="1" x14ac:dyDescent="0.15">
      <c r="G144" s="562"/>
      <c r="H144" s="562"/>
      <c r="I144" s="562"/>
    </row>
    <row r="145" spans="7:9" s="3" customFormat="1" ht="17.25" customHeight="1" x14ac:dyDescent="0.15">
      <c r="G145" s="562"/>
      <c r="H145" s="562"/>
      <c r="I145" s="562"/>
    </row>
    <row r="146" spans="7:9" s="3" customFormat="1" ht="17.25" customHeight="1" x14ac:dyDescent="0.15">
      <c r="G146" s="562"/>
      <c r="H146" s="562"/>
      <c r="I146" s="562"/>
    </row>
    <row r="147" spans="7:9" s="3" customFormat="1" ht="17.25" customHeight="1" x14ac:dyDescent="0.15">
      <c r="G147" s="562"/>
      <c r="H147" s="562"/>
      <c r="I147" s="562"/>
    </row>
    <row r="148" spans="7:9" s="3" customFormat="1" ht="17.25" customHeight="1" x14ac:dyDescent="0.15">
      <c r="G148" s="562"/>
      <c r="H148" s="562"/>
      <c r="I148" s="562"/>
    </row>
    <row r="149" spans="7:9" s="3" customFormat="1" ht="17.25" customHeight="1" x14ac:dyDescent="0.15">
      <c r="G149" s="562"/>
      <c r="H149" s="562"/>
      <c r="I149" s="562"/>
    </row>
    <row r="150" spans="7:9" s="3" customFormat="1" ht="17.25" customHeight="1" x14ac:dyDescent="0.15">
      <c r="G150" s="562"/>
      <c r="H150" s="562"/>
      <c r="I150" s="562"/>
    </row>
    <row r="151" spans="7:9" s="3" customFormat="1" ht="17.25" customHeight="1" x14ac:dyDescent="0.15">
      <c r="G151" s="562"/>
      <c r="H151" s="562"/>
      <c r="I151" s="562"/>
    </row>
    <row r="152" spans="7:9" s="3" customFormat="1" ht="17.25" customHeight="1" x14ac:dyDescent="0.15">
      <c r="G152" s="562"/>
      <c r="H152" s="562"/>
      <c r="I152" s="562"/>
    </row>
    <row r="153" spans="7:9" s="3" customFormat="1" ht="17.25" customHeight="1" x14ac:dyDescent="0.15">
      <c r="G153" s="562"/>
      <c r="H153" s="562"/>
      <c r="I153" s="562"/>
    </row>
    <row r="154" spans="7:9" s="3" customFormat="1" ht="17.25" customHeight="1" x14ac:dyDescent="0.15">
      <c r="G154" s="562"/>
      <c r="H154" s="562"/>
      <c r="I154" s="562"/>
    </row>
    <row r="155" spans="7:9" s="3" customFormat="1" ht="17.25" customHeight="1" x14ac:dyDescent="0.15">
      <c r="G155" s="562"/>
      <c r="H155" s="562"/>
      <c r="I155" s="562"/>
    </row>
    <row r="156" spans="7:9" s="3" customFormat="1" ht="17.25" customHeight="1" x14ac:dyDescent="0.15">
      <c r="G156" s="562"/>
      <c r="H156" s="562"/>
      <c r="I156" s="562"/>
    </row>
    <row r="157" spans="7:9" s="3" customFormat="1" ht="17.25" customHeight="1" x14ac:dyDescent="0.15">
      <c r="G157" s="562"/>
      <c r="H157" s="562"/>
      <c r="I157" s="562"/>
    </row>
    <row r="158" spans="7:9" s="3" customFormat="1" ht="17.25" customHeight="1" x14ac:dyDescent="0.15">
      <c r="G158" s="562"/>
      <c r="H158" s="562"/>
      <c r="I158" s="562"/>
    </row>
    <row r="159" spans="7:9" s="3" customFormat="1" ht="17.25" customHeight="1" x14ac:dyDescent="0.15">
      <c r="G159" s="562"/>
      <c r="H159" s="562"/>
      <c r="I159" s="562"/>
    </row>
    <row r="160" spans="7:9" s="3" customFormat="1" ht="17.25" customHeight="1" x14ac:dyDescent="0.15">
      <c r="G160" s="562"/>
      <c r="H160" s="562"/>
      <c r="I160" s="562"/>
    </row>
    <row r="161" spans="7:9" s="3" customFormat="1" ht="17.25" customHeight="1" x14ac:dyDescent="0.15">
      <c r="G161" s="562"/>
      <c r="H161" s="562"/>
      <c r="I161" s="562"/>
    </row>
    <row r="162" spans="7:9" s="3" customFormat="1" ht="17.25" customHeight="1" x14ac:dyDescent="0.15">
      <c r="G162" s="562"/>
      <c r="H162" s="562"/>
      <c r="I162" s="562"/>
    </row>
    <row r="163" spans="7:9" s="3" customFormat="1" ht="17.25" customHeight="1" x14ac:dyDescent="0.15">
      <c r="G163" s="562"/>
      <c r="H163" s="562"/>
      <c r="I163" s="562"/>
    </row>
    <row r="164" spans="7:9" s="3" customFormat="1" ht="17.25" customHeight="1" x14ac:dyDescent="0.15">
      <c r="G164" s="562"/>
      <c r="H164" s="562"/>
      <c r="I164" s="562"/>
    </row>
    <row r="165" spans="7:9" s="3" customFormat="1" ht="17.25" customHeight="1" x14ac:dyDescent="0.15">
      <c r="G165" s="562"/>
      <c r="H165" s="562"/>
      <c r="I165" s="562"/>
    </row>
    <row r="166" spans="7:9" s="3" customFormat="1" ht="17.25" customHeight="1" x14ac:dyDescent="0.15">
      <c r="G166" s="562"/>
      <c r="H166" s="562"/>
      <c r="I166" s="562"/>
    </row>
    <row r="167" spans="7:9" s="3" customFormat="1" ht="17.25" customHeight="1" x14ac:dyDescent="0.15">
      <c r="G167" s="562"/>
      <c r="H167" s="562"/>
      <c r="I167" s="562"/>
    </row>
    <row r="168" spans="7:9" s="3" customFormat="1" ht="17.25" customHeight="1" x14ac:dyDescent="0.15">
      <c r="G168" s="562"/>
      <c r="H168" s="562"/>
      <c r="I168" s="562"/>
    </row>
    <row r="169" spans="7:9" s="3" customFormat="1" ht="17.25" customHeight="1" x14ac:dyDescent="0.15">
      <c r="G169" s="562"/>
      <c r="H169" s="562"/>
      <c r="I169" s="562"/>
    </row>
    <row r="170" spans="7:9" s="3" customFormat="1" ht="17.25" customHeight="1" x14ac:dyDescent="0.15">
      <c r="G170" s="562"/>
      <c r="H170" s="562"/>
      <c r="I170" s="562"/>
    </row>
    <row r="171" spans="7:9" s="3" customFormat="1" ht="17.25" customHeight="1" x14ac:dyDescent="0.15">
      <c r="G171" s="562"/>
      <c r="H171" s="562"/>
      <c r="I171" s="562"/>
    </row>
    <row r="172" spans="7:9" s="3" customFormat="1" ht="17.25" customHeight="1" x14ac:dyDescent="0.15">
      <c r="G172" s="562"/>
      <c r="H172" s="562"/>
      <c r="I172" s="562"/>
    </row>
    <row r="173" spans="7:9" s="3" customFormat="1" ht="17.25" customHeight="1" x14ac:dyDescent="0.15">
      <c r="G173" s="562"/>
      <c r="H173" s="562"/>
      <c r="I173" s="562"/>
    </row>
    <row r="174" spans="7:9" s="3" customFormat="1" ht="17.25" customHeight="1" x14ac:dyDescent="0.15">
      <c r="G174" s="562"/>
      <c r="H174" s="562"/>
      <c r="I174" s="562"/>
    </row>
    <row r="175" spans="7:9" s="3" customFormat="1" ht="17.25" customHeight="1" x14ac:dyDescent="0.15">
      <c r="G175" s="562"/>
      <c r="H175" s="562"/>
      <c r="I175" s="562"/>
    </row>
    <row r="176" spans="7:9" s="3" customFormat="1" ht="17.25" customHeight="1" x14ac:dyDescent="0.15">
      <c r="G176" s="562"/>
      <c r="H176" s="562"/>
      <c r="I176" s="562"/>
    </row>
    <row r="177" spans="7:9" s="3" customFormat="1" ht="17.25" customHeight="1" x14ac:dyDescent="0.15">
      <c r="G177" s="562"/>
      <c r="H177" s="562"/>
      <c r="I177" s="562"/>
    </row>
    <row r="178" spans="7:9" s="3" customFormat="1" ht="17.25" customHeight="1" x14ac:dyDescent="0.15">
      <c r="G178" s="562"/>
      <c r="H178" s="562"/>
      <c r="I178" s="562"/>
    </row>
    <row r="179" spans="7:9" s="3" customFormat="1" ht="17.25" customHeight="1" x14ac:dyDescent="0.15">
      <c r="G179" s="562"/>
      <c r="H179" s="562"/>
      <c r="I179" s="562"/>
    </row>
    <row r="180" spans="7:9" s="3" customFormat="1" ht="17.25" customHeight="1" x14ac:dyDescent="0.15">
      <c r="G180" s="562"/>
      <c r="H180" s="562"/>
      <c r="I180" s="562"/>
    </row>
    <row r="181" spans="7:9" s="3" customFormat="1" ht="17.25" customHeight="1" x14ac:dyDescent="0.15">
      <c r="G181" s="562"/>
      <c r="H181" s="562"/>
      <c r="I181" s="562"/>
    </row>
    <row r="182" spans="7:9" s="3" customFormat="1" ht="17.25" customHeight="1" x14ac:dyDescent="0.15">
      <c r="G182" s="562"/>
      <c r="H182" s="562"/>
      <c r="I182" s="562"/>
    </row>
    <row r="183" spans="7:9" s="3" customFormat="1" ht="17.25" customHeight="1" x14ac:dyDescent="0.15">
      <c r="G183" s="562"/>
      <c r="H183" s="562"/>
      <c r="I183" s="562"/>
    </row>
    <row r="184" spans="7:9" s="3" customFormat="1" ht="17.25" customHeight="1" x14ac:dyDescent="0.15">
      <c r="G184" s="562"/>
      <c r="H184" s="562"/>
      <c r="I184" s="562"/>
    </row>
    <row r="185" spans="7:9" s="3" customFormat="1" ht="17.25" customHeight="1" x14ac:dyDescent="0.15">
      <c r="G185" s="562"/>
      <c r="H185" s="562"/>
      <c r="I185" s="562"/>
    </row>
    <row r="186" spans="7:9" s="3" customFormat="1" ht="17.25" customHeight="1" x14ac:dyDescent="0.15">
      <c r="G186" s="562"/>
      <c r="H186" s="562"/>
      <c r="I186" s="562"/>
    </row>
    <row r="187" spans="7:9" s="3" customFormat="1" ht="17.25" customHeight="1" x14ac:dyDescent="0.15">
      <c r="G187" s="562"/>
      <c r="H187" s="562"/>
      <c r="I187" s="562"/>
    </row>
    <row r="188" spans="7:9" s="3" customFormat="1" ht="17.25" customHeight="1" x14ac:dyDescent="0.15">
      <c r="G188" s="562"/>
      <c r="H188" s="562"/>
      <c r="I188" s="562"/>
    </row>
    <row r="189" spans="7:9" s="3" customFormat="1" ht="17.25" customHeight="1" x14ac:dyDescent="0.15">
      <c r="G189" s="562"/>
      <c r="H189" s="562"/>
      <c r="I189" s="562"/>
    </row>
    <row r="190" spans="7:9" s="3" customFormat="1" ht="17.25" customHeight="1" x14ac:dyDescent="0.15">
      <c r="G190" s="562"/>
      <c r="H190" s="562"/>
      <c r="I190" s="562"/>
    </row>
    <row r="191" spans="7:9" s="3" customFormat="1" ht="17.25" customHeight="1" x14ac:dyDescent="0.15">
      <c r="G191" s="562"/>
      <c r="H191" s="562"/>
      <c r="I191" s="562"/>
    </row>
    <row r="192" spans="7:9" s="3" customFormat="1" ht="17.25" customHeight="1" x14ac:dyDescent="0.15">
      <c r="G192" s="562"/>
      <c r="H192" s="562"/>
      <c r="I192" s="562"/>
    </row>
    <row r="193" spans="7:9" s="3" customFormat="1" ht="17.25" customHeight="1" x14ac:dyDescent="0.15">
      <c r="G193" s="562"/>
      <c r="H193" s="562"/>
      <c r="I193" s="562"/>
    </row>
    <row r="194" spans="7:9" s="3" customFormat="1" ht="17.25" customHeight="1" x14ac:dyDescent="0.15">
      <c r="G194" s="562"/>
      <c r="H194" s="562"/>
      <c r="I194" s="562"/>
    </row>
    <row r="195" spans="7:9" s="3" customFormat="1" ht="17.25" customHeight="1" x14ac:dyDescent="0.15">
      <c r="G195" s="562"/>
      <c r="H195" s="562"/>
      <c r="I195" s="562"/>
    </row>
    <row r="196" spans="7:9" s="3" customFormat="1" ht="17.25" customHeight="1" x14ac:dyDescent="0.15">
      <c r="G196" s="562"/>
      <c r="H196" s="562"/>
      <c r="I196" s="562"/>
    </row>
    <row r="197" spans="7:9" s="3" customFormat="1" ht="17.25" customHeight="1" x14ac:dyDescent="0.15">
      <c r="G197" s="562"/>
      <c r="H197" s="562"/>
      <c r="I197" s="562"/>
    </row>
    <row r="198" spans="7:9" s="3" customFormat="1" ht="17.25" customHeight="1" x14ac:dyDescent="0.15">
      <c r="G198" s="562"/>
      <c r="H198" s="562"/>
      <c r="I198" s="562"/>
    </row>
    <row r="199" spans="7:9" s="3" customFormat="1" ht="17.25" customHeight="1" x14ac:dyDescent="0.15">
      <c r="G199" s="562"/>
      <c r="H199" s="562"/>
      <c r="I199" s="562"/>
    </row>
    <row r="200" spans="7:9" s="3" customFormat="1" ht="17.25" customHeight="1" x14ac:dyDescent="0.15">
      <c r="G200" s="562"/>
      <c r="H200" s="562"/>
      <c r="I200" s="562"/>
    </row>
    <row r="201" spans="7:9" s="3" customFormat="1" ht="17.25" customHeight="1" x14ac:dyDescent="0.15">
      <c r="G201" s="562"/>
      <c r="H201" s="562"/>
      <c r="I201" s="562"/>
    </row>
    <row r="202" spans="7:9" s="3" customFormat="1" ht="17.25" customHeight="1" x14ac:dyDescent="0.15">
      <c r="G202" s="562"/>
      <c r="H202" s="562"/>
      <c r="I202" s="562"/>
    </row>
    <row r="203" spans="7:9" s="3" customFormat="1" ht="17.25" customHeight="1" x14ac:dyDescent="0.15">
      <c r="G203" s="562"/>
      <c r="H203" s="562"/>
      <c r="I203" s="562"/>
    </row>
    <row r="204" spans="7:9" s="3" customFormat="1" ht="17.25" customHeight="1" x14ac:dyDescent="0.15">
      <c r="G204" s="562"/>
      <c r="H204" s="562"/>
      <c r="I204" s="562"/>
    </row>
    <row r="205" spans="7:9" s="3" customFormat="1" ht="17.25" customHeight="1" x14ac:dyDescent="0.15">
      <c r="G205" s="562"/>
      <c r="H205" s="562"/>
      <c r="I205" s="562"/>
    </row>
    <row r="206" spans="7:9" s="3" customFormat="1" ht="17.25" customHeight="1" x14ac:dyDescent="0.15">
      <c r="G206" s="562"/>
      <c r="H206" s="562"/>
      <c r="I206" s="562"/>
    </row>
    <row r="207" spans="7:9" s="3" customFormat="1" ht="17.25" customHeight="1" x14ac:dyDescent="0.15">
      <c r="G207" s="562"/>
      <c r="H207" s="562"/>
      <c r="I207" s="562"/>
    </row>
    <row r="208" spans="7:9" s="3" customFormat="1" ht="17.25" customHeight="1" x14ac:dyDescent="0.15">
      <c r="G208" s="562"/>
      <c r="H208" s="562"/>
      <c r="I208" s="562"/>
    </row>
    <row r="209" spans="7:9" s="3" customFormat="1" ht="17.25" customHeight="1" x14ac:dyDescent="0.15">
      <c r="G209" s="562"/>
      <c r="H209" s="562"/>
      <c r="I209" s="562"/>
    </row>
    <row r="210" spans="7:9" s="3" customFormat="1" ht="17.25" customHeight="1" x14ac:dyDescent="0.15">
      <c r="G210" s="562"/>
      <c r="H210" s="562"/>
      <c r="I210" s="562"/>
    </row>
    <row r="211" spans="7:9" s="3" customFormat="1" ht="17.25" customHeight="1" x14ac:dyDescent="0.15">
      <c r="G211" s="562"/>
      <c r="H211" s="562"/>
      <c r="I211" s="562"/>
    </row>
    <row r="212" spans="7:9" s="3" customFormat="1" ht="17.25" customHeight="1" x14ac:dyDescent="0.15">
      <c r="G212" s="562"/>
      <c r="H212" s="562"/>
      <c r="I212" s="562"/>
    </row>
    <row r="213" spans="7:9" s="3" customFormat="1" ht="17.25" customHeight="1" x14ac:dyDescent="0.15">
      <c r="G213" s="562"/>
      <c r="H213" s="562"/>
      <c r="I213" s="562"/>
    </row>
    <row r="214" spans="7:9" s="3" customFormat="1" ht="17.25" customHeight="1" x14ac:dyDescent="0.15">
      <c r="G214" s="562"/>
      <c r="H214" s="562"/>
      <c r="I214" s="562"/>
    </row>
    <row r="215" spans="7:9" s="3" customFormat="1" ht="17.25" customHeight="1" x14ac:dyDescent="0.15">
      <c r="G215" s="562"/>
      <c r="H215" s="562"/>
      <c r="I215" s="562"/>
    </row>
    <row r="216" spans="7:9" s="3" customFormat="1" ht="17.25" customHeight="1" x14ac:dyDescent="0.15">
      <c r="G216" s="562"/>
      <c r="H216" s="562"/>
      <c r="I216" s="562"/>
    </row>
    <row r="217" spans="7:9" s="3" customFormat="1" ht="17.25" customHeight="1" x14ac:dyDescent="0.15">
      <c r="G217" s="562"/>
      <c r="H217" s="562"/>
      <c r="I217" s="562"/>
    </row>
    <row r="218" spans="7:9" s="3" customFormat="1" ht="17.25" customHeight="1" x14ac:dyDescent="0.15">
      <c r="G218" s="562"/>
      <c r="H218" s="562"/>
      <c r="I218" s="562"/>
    </row>
    <row r="219" spans="7:9" s="3" customFormat="1" ht="17.25" customHeight="1" x14ac:dyDescent="0.15">
      <c r="G219" s="562"/>
      <c r="H219" s="562"/>
      <c r="I219" s="562"/>
    </row>
    <row r="220" spans="7:9" s="3" customFormat="1" ht="17.25" customHeight="1" x14ac:dyDescent="0.15">
      <c r="G220" s="562"/>
      <c r="H220" s="562"/>
      <c r="I220" s="562"/>
    </row>
    <row r="221" spans="7:9" s="3" customFormat="1" ht="17.25" customHeight="1" x14ac:dyDescent="0.15">
      <c r="G221" s="562"/>
      <c r="H221" s="562"/>
      <c r="I221" s="562"/>
    </row>
    <row r="222" spans="7:9" s="3" customFormat="1" x14ac:dyDescent="0.15">
      <c r="G222" s="562"/>
      <c r="H222" s="562"/>
      <c r="I222" s="562"/>
    </row>
    <row r="223" spans="7:9" s="3" customFormat="1" x14ac:dyDescent="0.15">
      <c r="G223" s="562"/>
      <c r="H223" s="562"/>
      <c r="I223" s="562"/>
    </row>
    <row r="224" spans="7:9" s="3" customFormat="1" x14ac:dyDescent="0.15">
      <c r="G224" s="562"/>
      <c r="H224" s="562"/>
      <c r="I224" s="562"/>
    </row>
    <row r="225" spans="7:9" s="3" customFormat="1" x14ac:dyDescent="0.15">
      <c r="G225" s="562"/>
      <c r="H225" s="562"/>
      <c r="I225" s="562"/>
    </row>
    <row r="226" spans="7:9" s="3" customFormat="1" x14ac:dyDescent="0.15">
      <c r="G226" s="562"/>
      <c r="H226" s="562"/>
      <c r="I226" s="562"/>
    </row>
    <row r="227" spans="7:9" s="3" customFormat="1" x14ac:dyDescent="0.15">
      <c r="G227" s="562"/>
      <c r="H227" s="562"/>
      <c r="I227" s="562"/>
    </row>
    <row r="228" spans="7:9" s="3" customFormat="1" x14ac:dyDescent="0.15">
      <c r="G228" s="562"/>
      <c r="H228" s="562"/>
      <c r="I228" s="562"/>
    </row>
    <row r="229" spans="7:9" s="3" customFormat="1" x14ac:dyDescent="0.15">
      <c r="G229" s="562"/>
      <c r="H229" s="562"/>
      <c r="I229" s="562"/>
    </row>
    <row r="230" spans="7:9" s="3" customFormat="1" x14ac:dyDescent="0.15">
      <c r="G230" s="562"/>
      <c r="H230" s="562"/>
      <c r="I230" s="562"/>
    </row>
    <row r="231" spans="7:9" s="3" customFormat="1" x14ac:dyDescent="0.15">
      <c r="G231" s="562"/>
      <c r="H231" s="562"/>
      <c r="I231" s="562"/>
    </row>
    <row r="232" spans="7:9" s="3" customFormat="1" x14ac:dyDescent="0.15">
      <c r="G232" s="562"/>
      <c r="H232" s="562"/>
      <c r="I232" s="562"/>
    </row>
    <row r="233" spans="7:9" s="3" customFormat="1" x14ac:dyDescent="0.15">
      <c r="G233" s="562"/>
      <c r="H233" s="562"/>
      <c r="I233" s="562"/>
    </row>
    <row r="234" spans="7:9" s="3" customFormat="1" x14ac:dyDescent="0.15">
      <c r="G234" s="562"/>
      <c r="H234" s="562"/>
      <c r="I234" s="562"/>
    </row>
    <row r="235" spans="7:9" s="3" customFormat="1" x14ac:dyDescent="0.15">
      <c r="G235" s="562"/>
      <c r="H235" s="562"/>
      <c r="I235" s="562"/>
    </row>
    <row r="236" spans="7:9" s="3" customFormat="1" x14ac:dyDescent="0.15">
      <c r="G236" s="562"/>
      <c r="H236" s="562"/>
      <c r="I236" s="562"/>
    </row>
    <row r="237" spans="7:9" s="3" customFormat="1" x14ac:dyDescent="0.15">
      <c r="G237" s="562"/>
      <c r="H237" s="562"/>
      <c r="I237" s="562"/>
    </row>
    <row r="238" spans="7:9" s="3" customFormat="1" x14ac:dyDescent="0.15">
      <c r="G238" s="562"/>
      <c r="H238" s="562"/>
      <c r="I238" s="562"/>
    </row>
    <row r="239" spans="7:9" s="3" customFormat="1" x14ac:dyDescent="0.15">
      <c r="G239" s="562"/>
      <c r="H239" s="562"/>
      <c r="I239" s="562"/>
    </row>
    <row r="240" spans="7:9" s="3" customFormat="1" x14ac:dyDescent="0.15">
      <c r="G240" s="562"/>
      <c r="H240" s="562"/>
      <c r="I240" s="562"/>
    </row>
    <row r="241" spans="7:9" s="3" customFormat="1" x14ac:dyDescent="0.15">
      <c r="G241" s="562"/>
      <c r="H241" s="562"/>
      <c r="I241" s="562"/>
    </row>
    <row r="242" spans="7:9" s="3" customFormat="1" x14ac:dyDescent="0.15">
      <c r="G242" s="562"/>
      <c r="H242" s="562"/>
      <c r="I242" s="562"/>
    </row>
    <row r="243" spans="7:9" s="3" customFormat="1" x14ac:dyDescent="0.15">
      <c r="G243" s="562"/>
      <c r="H243" s="562"/>
      <c r="I243" s="562"/>
    </row>
    <row r="244" spans="7:9" s="3" customFormat="1" x14ac:dyDescent="0.15">
      <c r="G244" s="562"/>
      <c r="H244" s="562"/>
      <c r="I244" s="562"/>
    </row>
    <row r="245" spans="7:9" s="3" customFormat="1" x14ac:dyDescent="0.15">
      <c r="G245" s="562"/>
      <c r="H245" s="562"/>
      <c r="I245" s="562"/>
    </row>
    <row r="246" spans="7:9" s="3" customFormat="1" x14ac:dyDescent="0.15">
      <c r="G246" s="562"/>
      <c r="H246" s="562"/>
      <c r="I246" s="562"/>
    </row>
    <row r="247" spans="7:9" s="3" customFormat="1" x14ac:dyDescent="0.15">
      <c r="G247" s="562"/>
      <c r="H247" s="562"/>
      <c r="I247" s="562"/>
    </row>
    <row r="248" spans="7:9" s="3" customFormat="1" x14ac:dyDescent="0.15">
      <c r="G248" s="562"/>
      <c r="H248" s="562"/>
      <c r="I248" s="562"/>
    </row>
    <row r="249" spans="7:9" s="3" customFormat="1" x14ac:dyDescent="0.15">
      <c r="G249" s="562"/>
      <c r="H249" s="562"/>
      <c r="I249" s="562"/>
    </row>
    <row r="250" spans="7:9" s="3" customFormat="1" x14ac:dyDescent="0.15">
      <c r="G250" s="562"/>
      <c r="H250" s="562"/>
      <c r="I250" s="562"/>
    </row>
    <row r="251" spans="7:9" s="3" customFormat="1" x14ac:dyDescent="0.15">
      <c r="G251" s="562"/>
      <c r="H251" s="562"/>
      <c r="I251" s="562"/>
    </row>
    <row r="252" spans="7:9" s="3" customFormat="1" x14ac:dyDescent="0.15">
      <c r="G252" s="562"/>
      <c r="H252" s="562"/>
      <c r="I252" s="562"/>
    </row>
    <row r="253" spans="7:9" s="3" customFormat="1" x14ac:dyDescent="0.15">
      <c r="G253" s="562"/>
      <c r="H253" s="562"/>
      <c r="I253" s="562"/>
    </row>
    <row r="254" spans="7:9" s="3" customFormat="1" x14ac:dyDescent="0.15">
      <c r="G254" s="562"/>
      <c r="H254" s="562"/>
      <c r="I254" s="562"/>
    </row>
    <row r="255" spans="7:9" s="3" customFormat="1" x14ac:dyDescent="0.15">
      <c r="G255" s="562"/>
      <c r="H255" s="562"/>
      <c r="I255" s="562"/>
    </row>
    <row r="256" spans="7:9" s="3" customFormat="1" x14ac:dyDescent="0.15">
      <c r="G256" s="562"/>
      <c r="H256" s="562"/>
      <c r="I256" s="562"/>
    </row>
    <row r="257" spans="7:9" s="3" customFormat="1" x14ac:dyDescent="0.15">
      <c r="G257" s="562"/>
      <c r="H257" s="562"/>
      <c r="I257" s="562"/>
    </row>
    <row r="258" spans="7:9" s="3" customFormat="1" x14ac:dyDescent="0.15">
      <c r="G258" s="562"/>
      <c r="H258" s="562"/>
      <c r="I258" s="562"/>
    </row>
    <row r="259" spans="7:9" s="3" customFormat="1" x14ac:dyDescent="0.15">
      <c r="G259" s="562"/>
      <c r="H259" s="562"/>
      <c r="I259" s="562"/>
    </row>
    <row r="260" spans="7:9" s="3" customFormat="1" x14ac:dyDescent="0.15">
      <c r="G260" s="562"/>
      <c r="H260" s="562"/>
      <c r="I260" s="562"/>
    </row>
    <row r="261" spans="7:9" s="3" customFormat="1" x14ac:dyDescent="0.15">
      <c r="G261" s="562"/>
      <c r="H261" s="562"/>
      <c r="I261" s="562"/>
    </row>
    <row r="262" spans="7:9" s="3" customFormat="1" x14ac:dyDescent="0.15">
      <c r="G262" s="562"/>
      <c r="H262" s="562"/>
      <c r="I262" s="562"/>
    </row>
    <row r="263" spans="7:9" s="3" customFormat="1" x14ac:dyDescent="0.15">
      <c r="G263" s="562"/>
      <c r="H263" s="562"/>
      <c r="I263" s="562"/>
    </row>
    <row r="264" spans="7:9" s="3" customFormat="1" x14ac:dyDescent="0.15">
      <c r="G264" s="562"/>
      <c r="H264" s="562"/>
      <c r="I264" s="562"/>
    </row>
    <row r="265" spans="7:9" s="3" customFormat="1" x14ac:dyDescent="0.15">
      <c r="G265" s="562"/>
      <c r="H265" s="562"/>
      <c r="I265" s="562"/>
    </row>
    <row r="266" spans="7:9" s="3" customFormat="1" x14ac:dyDescent="0.15">
      <c r="G266" s="562"/>
      <c r="H266" s="562"/>
      <c r="I266" s="562"/>
    </row>
    <row r="267" spans="7:9" s="3" customFormat="1" x14ac:dyDescent="0.15">
      <c r="G267" s="562"/>
      <c r="H267" s="562"/>
      <c r="I267" s="562"/>
    </row>
    <row r="268" spans="7:9" s="3" customFormat="1" x14ac:dyDescent="0.15">
      <c r="G268" s="562"/>
      <c r="H268" s="562"/>
      <c r="I268" s="562"/>
    </row>
    <row r="269" spans="7:9" s="3" customFormat="1" x14ac:dyDescent="0.15">
      <c r="G269" s="562"/>
      <c r="H269" s="562"/>
      <c r="I269" s="562"/>
    </row>
    <row r="270" spans="7:9" s="3" customFormat="1" x14ac:dyDescent="0.15">
      <c r="G270" s="562"/>
      <c r="H270" s="562"/>
      <c r="I270" s="562"/>
    </row>
    <row r="271" spans="7:9" s="3" customFormat="1" x14ac:dyDescent="0.15">
      <c r="G271" s="562"/>
      <c r="H271" s="562"/>
      <c r="I271" s="562"/>
    </row>
    <row r="272" spans="7:9" s="3" customFormat="1" x14ac:dyDescent="0.15">
      <c r="G272" s="562"/>
      <c r="H272" s="562"/>
      <c r="I272" s="562"/>
    </row>
    <row r="273" spans="7:9" s="3" customFormat="1" x14ac:dyDescent="0.15">
      <c r="G273" s="562"/>
      <c r="H273" s="562"/>
      <c r="I273" s="562"/>
    </row>
    <row r="274" spans="7:9" s="3" customFormat="1" x14ac:dyDescent="0.15">
      <c r="G274" s="562"/>
      <c r="H274" s="562"/>
      <c r="I274" s="562"/>
    </row>
    <row r="275" spans="7:9" s="3" customFormat="1" x14ac:dyDescent="0.15">
      <c r="G275" s="562"/>
      <c r="H275" s="562"/>
      <c r="I275" s="562"/>
    </row>
    <row r="276" spans="7:9" s="3" customFormat="1" x14ac:dyDescent="0.15">
      <c r="G276" s="562"/>
      <c r="H276" s="562"/>
      <c r="I276" s="562"/>
    </row>
    <row r="277" spans="7:9" s="3" customFormat="1" x14ac:dyDescent="0.15">
      <c r="G277" s="562"/>
      <c r="H277" s="562"/>
      <c r="I277" s="562"/>
    </row>
    <row r="278" spans="7:9" s="3" customFormat="1" x14ac:dyDescent="0.15">
      <c r="G278" s="562"/>
      <c r="H278" s="562"/>
      <c r="I278" s="562"/>
    </row>
    <row r="279" spans="7:9" s="3" customFormat="1" x14ac:dyDescent="0.15">
      <c r="G279" s="562"/>
      <c r="H279" s="562"/>
      <c r="I279" s="562"/>
    </row>
    <row r="280" spans="7:9" s="3" customFormat="1" x14ac:dyDescent="0.15">
      <c r="G280" s="562"/>
      <c r="H280" s="562"/>
      <c r="I280" s="562"/>
    </row>
    <row r="281" spans="7:9" s="3" customFormat="1" x14ac:dyDescent="0.15">
      <c r="G281" s="562"/>
      <c r="H281" s="562"/>
      <c r="I281" s="562"/>
    </row>
    <row r="282" spans="7:9" s="3" customFormat="1" x14ac:dyDescent="0.15">
      <c r="G282" s="562"/>
      <c r="H282" s="562"/>
      <c r="I282" s="562"/>
    </row>
    <row r="283" spans="7:9" s="3" customFormat="1" x14ac:dyDescent="0.15">
      <c r="G283" s="562"/>
      <c r="H283" s="562"/>
      <c r="I283" s="562"/>
    </row>
    <row r="284" spans="7:9" s="3" customFormat="1" x14ac:dyDescent="0.15">
      <c r="G284" s="562"/>
      <c r="H284" s="562"/>
      <c r="I284" s="562"/>
    </row>
    <row r="285" spans="7:9" s="3" customFormat="1" x14ac:dyDescent="0.15">
      <c r="G285" s="562"/>
      <c r="H285" s="562"/>
      <c r="I285" s="562"/>
    </row>
    <row r="286" spans="7:9" s="3" customFormat="1" x14ac:dyDescent="0.15">
      <c r="G286" s="562"/>
      <c r="H286" s="562"/>
      <c r="I286" s="562"/>
    </row>
    <row r="287" spans="7:9" s="3" customFormat="1" x14ac:dyDescent="0.15">
      <c r="G287" s="562"/>
      <c r="H287" s="562"/>
      <c r="I287" s="562"/>
    </row>
    <row r="288" spans="7:9" s="3" customFormat="1" x14ac:dyDescent="0.15">
      <c r="G288" s="562"/>
      <c r="H288" s="562"/>
      <c r="I288" s="562"/>
    </row>
    <row r="289" spans="7:9" s="3" customFormat="1" x14ac:dyDescent="0.15">
      <c r="G289" s="562"/>
      <c r="H289" s="562"/>
      <c r="I289" s="562"/>
    </row>
    <row r="290" spans="7:9" s="3" customFormat="1" x14ac:dyDescent="0.15">
      <c r="G290" s="562"/>
      <c r="H290" s="562"/>
      <c r="I290" s="562"/>
    </row>
    <row r="291" spans="7:9" s="3" customFormat="1" x14ac:dyDescent="0.15">
      <c r="G291" s="562"/>
      <c r="H291" s="562"/>
      <c r="I291" s="562"/>
    </row>
    <row r="292" spans="7:9" s="3" customFormat="1" x14ac:dyDescent="0.15">
      <c r="G292" s="562"/>
      <c r="H292" s="562"/>
      <c r="I292" s="562"/>
    </row>
    <row r="293" spans="7:9" s="3" customFormat="1" x14ac:dyDescent="0.15">
      <c r="G293" s="562"/>
      <c r="H293" s="562"/>
      <c r="I293" s="562"/>
    </row>
    <row r="294" spans="7:9" s="3" customFormat="1" x14ac:dyDescent="0.15">
      <c r="G294" s="562"/>
      <c r="H294" s="562"/>
      <c r="I294" s="562"/>
    </row>
    <row r="295" spans="7:9" s="3" customFormat="1" x14ac:dyDescent="0.15">
      <c r="G295" s="562"/>
      <c r="H295" s="562"/>
      <c r="I295" s="562"/>
    </row>
    <row r="296" spans="7:9" s="3" customFormat="1" x14ac:dyDescent="0.15">
      <c r="G296" s="562"/>
      <c r="H296" s="562"/>
      <c r="I296" s="562"/>
    </row>
    <row r="297" spans="7:9" s="3" customFormat="1" x14ac:dyDescent="0.15">
      <c r="G297" s="562"/>
      <c r="H297" s="562"/>
      <c r="I297" s="562"/>
    </row>
    <row r="298" spans="7:9" s="3" customFormat="1" x14ac:dyDescent="0.15">
      <c r="G298" s="562"/>
      <c r="H298" s="562"/>
      <c r="I298" s="562"/>
    </row>
    <row r="299" spans="7:9" s="3" customFormat="1" x14ac:dyDescent="0.15">
      <c r="G299" s="562"/>
      <c r="H299" s="562"/>
      <c r="I299" s="562"/>
    </row>
    <row r="300" spans="7:9" s="3" customFormat="1" x14ac:dyDescent="0.15">
      <c r="G300" s="562"/>
      <c r="H300" s="562"/>
      <c r="I300" s="562"/>
    </row>
    <row r="301" spans="7:9" s="3" customFormat="1" x14ac:dyDescent="0.15">
      <c r="G301" s="562"/>
      <c r="H301" s="562"/>
      <c r="I301" s="562"/>
    </row>
    <row r="302" spans="7:9" s="3" customFormat="1" x14ac:dyDescent="0.15">
      <c r="G302" s="562"/>
      <c r="H302" s="562"/>
      <c r="I302" s="562"/>
    </row>
    <row r="303" spans="7:9" s="3" customFormat="1" x14ac:dyDescent="0.15">
      <c r="G303" s="562"/>
      <c r="H303" s="562"/>
      <c r="I303" s="562"/>
    </row>
    <row r="304" spans="7:9" s="3" customFormat="1" x14ac:dyDescent="0.15">
      <c r="G304" s="562"/>
      <c r="H304" s="562"/>
      <c r="I304" s="562"/>
    </row>
    <row r="305" spans="7:9" s="3" customFormat="1" x14ac:dyDescent="0.15">
      <c r="G305" s="562"/>
      <c r="H305" s="562"/>
      <c r="I305" s="562"/>
    </row>
    <row r="306" spans="7:9" s="3" customFormat="1" x14ac:dyDescent="0.15">
      <c r="G306" s="562"/>
      <c r="H306" s="562"/>
      <c r="I306" s="562"/>
    </row>
    <row r="307" spans="7:9" s="3" customFormat="1" x14ac:dyDescent="0.15">
      <c r="G307" s="562"/>
      <c r="H307" s="562"/>
      <c r="I307" s="562"/>
    </row>
    <row r="308" spans="7:9" s="3" customFormat="1" x14ac:dyDescent="0.15">
      <c r="G308" s="562"/>
      <c r="H308" s="562"/>
      <c r="I308" s="562"/>
    </row>
    <row r="309" spans="7:9" s="3" customFormat="1" x14ac:dyDescent="0.15">
      <c r="G309" s="562"/>
      <c r="H309" s="562"/>
      <c r="I309" s="562"/>
    </row>
    <row r="310" spans="7:9" s="3" customFormat="1" x14ac:dyDescent="0.15">
      <c r="G310" s="562"/>
      <c r="H310" s="562"/>
      <c r="I310" s="562"/>
    </row>
    <row r="311" spans="7:9" s="3" customFormat="1" x14ac:dyDescent="0.15">
      <c r="G311" s="562"/>
      <c r="H311" s="562"/>
      <c r="I311" s="562"/>
    </row>
    <row r="312" spans="7:9" s="3" customFormat="1" x14ac:dyDescent="0.15">
      <c r="G312" s="562"/>
      <c r="H312" s="562"/>
      <c r="I312" s="562"/>
    </row>
    <row r="313" spans="7:9" s="3" customFormat="1" x14ac:dyDescent="0.15">
      <c r="G313" s="562"/>
      <c r="H313" s="562"/>
      <c r="I313" s="562"/>
    </row>
    <row r="314" spans="7:9" s="3" customFormat="1" x14ac:dyDescent="0.15">
      <c r="G314" s="562"/>
      <c r="H314" s="562"/>
      <c r="I314" s="562"/>
    </row>
    <row r="315" spans="7:9" s="3" customFormat="1" x14ac:dyDescent="0.15">
      <c r="G315" s="562"/>
      <c r="H315" s="562"/>
      <c r="I315" s="562"/>
    </row>
    <row r="316" spans="7:9" s="3" customFormat="1" x14ac:dyDescent="0.15">
      <c r="G316" s="562"/>
      <c r="H316" s="562"/>
      <c r="I316" s="562"/>
    </row>
    <row r="317" spans="7:9" s="3" customFormat="1" x14ac:dyDescent="0.15">
      <c r="G317" s="562"/>
      <c r="H317" s="562"/>
      <c r="I317" s="562"/>
    </row>
    <row r="318" spans="7:9" s="3" customFormat="1" x14ac:dyDescent="0.15">
      <c r="G318" s="562"/>
      <c r="H318" s="562"/>
      <c r="I318" s="562"/>
    </row>
    <row r="319" spans="7:9" s="3" customFormat="1" x14ac:dyDescent="0.15">
      <c r="G319" s="562"/>
      <c r="H319" s="562"/>
      <c r="I319" s="562"/>
    </row>
    <row r="320" spans="7:9" s="3" customFormat="1" x14ac:dyDescent="0.15">
      <c r="G320" s="562"/>
      <c r="H320" s="562"/>
      <c r="I320" s="562"/>
    </row>
    <row r="321" spans="7:9" s="3" customFormat="1" x14ac:dyDescent="0.15">
      <c r="G321" s="562"/>
      <c r="H321" s="562"/>
      <c r="I321" s="562"/>
    </row>
    <row r="322" spans="7:9" s="3" customFormat="1" x14ac:dyDescent="0.15">
      <c r="G322" s="562"/>
      <c r="H322" s="562"/>
      <c r="I322" s="562"/>
    </row>
    <row r="323" spans="7:9" s="3" customFormat="1" x14ac:dyDescent="0.15">
      <c r="G323" s="562"/>
      <c r="H323" s="562"/>
      <c r="I323" s="562"/>
    </row>
    <row r="324" spans="7:9" s="3" customFormat="1" x14ac:dyDescent="0.15">
      <c r="G324" s="562"/>
      <c r="H324" s="562"/>
      <c r="I324" s="562"/>
    </row>
    <row r="325" spans="7:9" s="3" customFormat="1" x14ac:dyDescent="0.15">
      <c r="G325" s="562"/>
      <c r="H325" s="562"/>
      <c r="I325" s="562"/>
    </row>
    <row r="326" spans="7:9" s="3" customFormat="1" x14ac:dyDescent="0.15">
      <c r="G326" s="562"/>
      <c r="H326" s="562"/>
      <c r="I326" s="562"/>
    </row>
    <row r="327" spans="7:9" s="3" customFormat="1" x14ac:dyDescent="0.15">
      <c r="G327" s="562"/>
      <c r="H327" s="562"/>
      <c r="I327" s="562"/>
    </row>
    <row r="328" spans="7:9" s="3" customFormat="1" x14ac:dyDescent="0.15">
      <c r="G328" s="562"/>
      <c r="H328" s="562"/>
      <c r="I328" s="562"/>
    </row>
    <row r="329" spans="7:9" s="3" customFormat="1" x14ac:dyDescent="0.15">
      <c r="G329" s="562"/>
      <c r="H329" s="562"/>
      <c r="I329" s="562"/>
    </row>
    <row r="330" spans="7:9" s="3" customFormat="1" x14ac:dyDescent="0.15">
      <c r="G330" s="562"/>
      <c r="H330" s="562"/>
      <c r="I330" s="562"/>
    </row>
    <row r="331" spans="7:9" s="3" customFormat="1" x14ac:dyDescent="0.15">
      <c r="G331" s="562"/>
      <c r="H331" s="562"/>
      <c r="I331" s="562"/>
    </row>
    <row r="332" spans="7:9" s="3" customFormat="1" x14ac:dyDescent="0.15">
      <c r="G332" s="562"/>
      <c r="H332" s="562"/>
      <c r="I332" s="562"/>
    </row>
    <row r="333" spans="7:9" s="3" customFormat="1" x14ac:dyDescent="0.15">
      <c r="G333" s="562"/>
      <c r="H333" s="562"/>
      <c r="I333" s="562"/>
    </row>
    <row r="334" spans="7:9" s="3" customFormat="1" x14ac:dyDescent="0.15">
      <c r="G334" s="562"/>
      <c r="H334" s="562"/>
      <c r="I334" s="562"/>
    </row>
    <row r="335" spans="7:9" s="3" customFormat="1" x14ac:dyDescent="0.15">
      <c r="G335" s="562"/>
      <c r="H335" s="562"/>
      <c r="I335" s="562"/>
    </row>
    <row r="336" spans="7:9" s="3" customFormat="1" x14ac:dyDescent="0.15">
      <c r="G336" s="562"/>
      <c r="H336" s="562"/>
      <c r="I336" s="562"/>
    </row>
    <row r="337" spans="7:9" s="3" customFormat="1" x14ac:dyDescent="0.15">
      <c r="G337" s="562"/>
      <c r="H337" s="562"/>
      <c r="I337" s="562"/>
    </row>
    <row r="338" spans="7:9" s="3" customFormat="1" x14ac:dyDescent="0.15">
      <c r="G338" s="562"/>
      <c r="H338" s="562"/>
      <c r="I338" s="562"/>
    </row>
    <row r="339" spans="7:9" s="3" customFormat="1" x14ac:dyDescent="0.15">
      <c r="G339" s="562"/>
      <c r="H339" s="562"/>
      <c r="I339" s="562"/>
    </row>
    <row r="340" spans="7:9" s="3" customFormat="1" x14ac:dyDescent="0.15">
      <c r="G340" s="562"/>
      <c r="H340" s="562"/>
      <c r="I340" s="562"/>
    </row>
    <row r="341" spans="7:9" s="3" customFormat="1" x14ac:dyDescent="0.15">
      <c r="G341" s="562"/>
      <c r="H341" s="562"/>
      <c r="I341" s="562"/>
    </row>
    <row r="342" spans="7:9" s="3" customFormat="1" x14ac:dyDescent="0.15">
      <c r="G342" s="562"/>
      <c r="H342" s="562"/>
      <c r="I342" s="562"/>
    </row>
    <row r="343" spans="7:9" s="3" customFormat="1" x14ac:dyDescent="0.15">
      <c r="G343" s="562"/>
      <c r="H343" s="562"/>
      <c r="I343" s="562"/>
    </row>
    <row r="344" spans="7:9" s="3" customFormat="1" x14ac:dyDescent="0.15">
      <c r="G344" s="562"/>
      <c r="H344" s="562"/>
      <c r="I344" s="562"/>
    </row>
    <row r="345" spans="7:9" s="3" customFormat="1" x14ac:dyDescent="0.15">
      <c r="G345" s="562"/>
      <c r="H345" s="562"/>
      <c r="I345" s="562"/>
    </row>
    <row r="346" spans="7:9" s="3" customFormat="1" x14ac:dyDescent="0.15">
      <c r="G346" s="562"/>
      <c r="H346" s="562"/>
      <c r="I346" s="562"/>
    </row>
    <row r="347" spans="7:9" s="3" customFormat="1" x14ac:dyDescent="0.15">
      <c r="G347" s="562"/>
      <c r="H347" s="562"/>
      <c r="I347" s="562"/>
    </row>
    <row r="348" spans="7:9" s="3" customFormat="1" x14ac:dyDescent="0.15">
      <c r="G348" s="562"/>
      <c r="H348" s="562"/>
      <c r="I348" s="562"/>
    </row>
    <row r="349" spans="7:9" s="3" customFormat="1" x14ac:dyDescent="0.15">
      <c r="G349" s="562"/>
      <c r="H349" s="562"/>
      <c r="I349" s="562"/>
    </row>
    <row r="350" spans="7:9" s="3" customFormat="1" x14ac:dyDescent="0.15">
      <c r="G350" s="562"/>
      <c r="H350" s="562"/>
      <c r="I350" s="562"/>
    </row>
    <row r="351" spans="7:9" s="3" customFormat="1" x14ac:dyDescent="0.15">
      <c r="G351" s="562"/>
      <c r="H351" s="562"/>
      <c r="I351" s="562"/>
    </row>
    <row r="352" spans="7:9" s="3" customFormat="1" x14ac:dyDescent="0.15">
      <c r="G352" s="562"/>
      <c r="H352" s="562"/>
      <c r="I352" s="562"/>
    </row>
    <row r="353" spans="7:9" s="3" customFormat="1" x14ac:dyDescent="0.15">
      <c r="G353" s="562"/>
      <c r="H353" s="562"/>
      <c r="I353" s="562"/>
    </row>
    <row r="354" spans="7:9" s="3" customFormat="1" x14ac:dyDescent="0.15">
      <c r="G354" s="562"/>
      <c r="H354" s="562"/>
      <c r="I354" s="562"/>
    </row>
    <row r="355" spans="7:9" s="3" customFormat="1" x14ac:dyDescent="0.15">
      <c r="G355" s="562"/>
      <c r="H355" s="562"/>
      <c r="I355" s="562"/>
    </row>
    <row r="356" spans="7:9" s="3" customFormat="1" x14ac:dyDescent="0.15">
      <c r="G356" s="562"/>
      <c r="H356" s="562"/>
      <c r="I356" s="562"/>
    </row>
    <row r="357" spans="7:9" s="3" customFormat="1" x14ac:dyDescent="0.15">
      <c r="G357" s="562"/>
      <c r="H357" s="562"/>
      <c r="I357" s="562"/>
    </row>
    <row r="358" spans="7:9" s="3" customFormat="1" x14ac:dyDescent="0.15">
      <c r="G358" s="562"/>
      <c r="H358" s="562"/>
      <c r="I358" s="562"/>
    </row>
    <row r="359" spans="7:9" s="3" customFormat="1" x14ac:dyDescent="0.15">
      <c r="G359" s="562"/>
      <c r="H359" s="562"/>
      <c r="I359" s="562"/>
    </row>
    <row r="360" spans="7:9" s="3" customFormat="1" x14ac:dyDescent="0.15">
      <c r="G360" s="562"/>
      <c r="H360" s="562"/>
      <c r="I360" s="562"/>
    </row>
    <row r="361" spans="7:9" s="3" customFormat="1" x14ac:dyDescent="0.15">
      <c r="G361" s="562"/>
      <c r="H361" s="562"/>
      <c r="I361" s="562"/>
    </row>
    <row r="362" spans="7:9" s="3" customFormat="1" x14ac:dyDescent="0.15">
      <c r="G362" s="562"/>
      <c r="H362" s="562"/>
      <c r="I362" s="562"/>
    </row>
    <row r="363" spans="7:9" s="3" customFormat="1" x14ac:dyDescent="0.15">
      <c r="G363" s="562"/>
      <c r="H363" s="562"/>
      <c r="I363" s="562"/>
    </row>
    <row r="364" spans="7:9" s="3" customFormat="1" x14ac:dyDescent="0.15">
      <c r="G364" s="562"/>
      <c r="H364" s="562"/>
      <c r="I364" s="562"/>
    </row>
    <row r="365" spans="7:9" s="3" customFormat="1" x14ac:dyDescent="0.15">
      <c r="G365" s="562"/>
      <c r="H365" s="562"/>
      <c r="I365" s="562"/>
    </row>
    <row r="366" spans="7:9" s="3" customFormat="1" x14ac:dyDescent="0.15">
      <c r="G366" s="562"/>
      <c r="H366" s="562"/>
      <c r="I366" s="562"/>
    </row>
    <row r="367" spans="7:9" s="3" customFormat="1" x14ac:dyDescent="0.15">
      <c r="G367" s="562"/>
      <c r="H367" s="562"/>
      <c r="I367" s="562"/>
    </row>
    <row r="368" spans="7:9" s="3" customFormat="1" x14ac:dyDescent="0.15">
      <c r="G368" s="562"/>
      <c r="H368" s="562"/>
      <c r="I368" s="562"/>
    </row>
    <row r="369" spans="7:9" s="3" customFormat="1" x14ac:dyDescent="0.15">
      <c r="G369" s="562"/>
      <c r="H369" s="562"/>
      <c r="I369" s="562"/>
    </row>
    <row r="370" spans="7:9" s="3" customFormat="1" x14ac:dyDescent="0.15">
      <c r="G370" s="562"/>
      <c r="H370" s="562"/>
      <c r="I370" s="562"/>
    </row>
    <row r="371" spans="7:9" s="3" customFormat="1" x14ac:dyDescent="0.15">
      <c r="G371" s="562"/>
      <c r="H371" s="562"/>
      <c r="I371" s="562"/>
    </row>
    <row r="372" spans="7:9" s="3" customFormat="1" x14ac:dyDescent="0.15">
      <c r="G372" s="562"/>
      <c r="H372" s="562"/>
      <c r="I372" s="562"/>
    </row>
    <row r="373" spans="7:9" s="3" customFormat="1" x14ac:dyDescent="0.15">
      <c r="G373" s="562"/>
      <c r="H373" s="562"/>
      <c r="I373" s="562"/>
    </row>
    <row r="374" spans="7:9" s="3" customFormat="1" x14ac:dyDescent="0.15">
      <c r="G374" s="562"/>
      <c r="H374" s="562"/>
      <c r="I374" s="562"/>
    </row>
    <row r="375" spans="7:9" s="3" customFormat="1" x14ac:dyDescent="0.15">
      <c r="G375" s="562"/>
      <c r="H375" s="562"/>
      <c r="I375" s="562"/>
    </row>
    <row r="376" spans="7:9" s="3" customFormat="1" x14ac:dyDescent="0.15">
      <c r="G376" s="562"/>
      <c r="H376" s="562"/>
      <c r="I376" s="562"/>
    </row>
    <row r="377" spans="7:9" s="3" customFormat="1" x14ac:dyDescent="0.15">
      <c r="G377" s="562"/>
      <c r="H377" s="562"/>
      <c r="I377" s="562"/>
    </row>
    <row r="378" spans="7:9" s="3" customFormat="1" x14ac:dyDescent="0.15">
      <c r="G378" s="562"/>
      <c r="H378" s="562"/>
      <c r="I378" s="562"/>
    </row>
    <row r="379" spans="7:9" s="3" customFormat="1" x14ac:dyDescent="0.15">
      <c r="G379" s="562"/>
      <c r="H379" s="562"/>
      <c r="I379" s="562"/>
    </row>
    <row r="380" spans="7:9" s="3" customFormat="1" x14ac:dyDescent="0.15">
      <c r="G380" s="562"/>
      <c r="H380" s="562"/>
      <c r="I380" s="562"/>
    </row>
    <row r="381" spans="7:9" s="3" customFormat="1" x14ac:dyDescent="0.15">
      <c r="G381" s="562"/>
      <c r="H381" s="562"/>
      <c r="I381" s="562"/>
    </row>
    <row r="382" spans="7:9" s="3" customFormat="1" x14ac:dyDescent="0.15">
      <c r="G382" s="562"/>
      <c r="H382" s="562"/>
      <c r="I382" s="562"/>
    </row>
    <row r="383" spans="7:9" s="3" customFormat="1" x14ac:dyDescent="0.15">
      <c r="G383" s="562"/>
      <c r="H383" s="562"/>
      <c r="I383" s="562"/>
    </row>
    <row r="384" spans="7:9" s="3" customFormat="1" x14ac:dyDescent="0.15">
      <c r="G384" s="562"/>
      <c r="H384" s="562"/>
      <c r="I384" s="562"/>
    </row>
    <row r="385" spans="7:9" s="3" customFormat="1" x14ac:dyDescent="0.15">
      <c r="G385" s="562"/>
      <c r="H385" s="562"/>
      <c r="I385" s="562"/>
    </row>
    <row r="386" spans="7:9" s="3" customFormat="1" x14ac:dyDescent="0.15">
      <c r="G386" s="562"/>
      <c r="H386" s="562"/>
      <c r="I386" s="562"/>
    </row>
    <row r="387" spans="7:9" s="3" customFormat="1" x14ac:dyDescent="0.15">
      <c r="G387" s="562"/>
      <c r="H387" s="562"/>
      <c r="I387" s="562"/>
    </row>
    <row r="388" spans="7:9" s="3" customFormat="1" x14ac:dyDescent="0.15">
      <c r="G388" s="562"/>
      <c r="H388" s="562"/>
      <c r="I388" s="562"/>
    </row>
    <row r="389" spans="7:9" s="3" customFormat="1" x14ac:dyDescent="0.15">
      <c r="G389" s="562"/>
      <c r="H389" s="562"/>
      <c r="I389" s="562"/>
    </row>
    <row r="390" spans="7:9" s="3" customFormat="1" x14ac:dyDescent="0.15">
      <c r="G390" s="562"/>
      <c r="H390" s="562"/>
      <c r="I390" s="562"/>
    </row>
    <row r="391" spans="7:9" s="3" customFormat="1" x14ac:dyDescent="0.15">
      <c r="G391" s="562"/>
      <c r="H391" s="562"/>
      <c r="I391" s="562"/>
    </row>
    <row r="392" spans="7:9" s="3" customFormat="1" x14ac:dyDescent="0.15">
      <c r="G392" s="562"/>
      <c r="H392" s="562"/>
      <c r="I392" s="562"/>
    </row>
    <row r="393" spans="7:9" s="3" customFormat="1" x14ac:dyDescent="0.15">
      <c r="G393" s="562"/>
      <c r="H393" s="562"/>
      <c r="I393" s="562"/>
    </row>
    <row r="394" spans="7:9" s="3" customFormat="1" x14ac:dyDescent="0.15">
      <c r="G394" s="562"/>
      <c r="H394" s="562"/>
      <c r="I394" s="562"/>
    </row>
    <row r="395" spans="7:9" s="3" customFormat="1" x14ac:dyDescent="0.15">
      <c r="G395" s="562"/>
      <c r="H395" s="562"/>
      <c r="I395" s="562"/>
    </row>
    <row r="396" spans="7:9" s="3" customFormat="1" x14ac:dyDescent="0.15">
      <c r="G396" s="562"/>
      <c r="H396" s="562"/>
      <c r="I396" s="562"/>
    </row>
    <row r="397" spans="7:9" s="3" customFormat="1" x14ac:dyDescent="0.15">
      <c r="G397" s="562"/>
      <c r="H397" s="562"/>
      <c r="I397" s="562"/>
    </row>
    <row r="398" spans="7:9" s="3" customFormat="1" x14ac:dyDescent="0.15">
      <c r="G398" s="562"/>
      <c r="H398" s="562"/>
      <c r="I398" s="562"/>
    </row>
    <row r="399" spans="7:9" s="3" customFormat="1" x14ac:dyDescent="0.15">
      <c r="G399" s="562"/>
      <c r="H399" s="562"/>
      <c r="I399" s="562"/>
    </row>
    <row r="400" spans="7:9" s="3" customFormat="1" x14ac:dyDescent="0.15">
      <c r="G400" s="562"/>
      <c r="H400" s="562"/>
      <c r="I400" s="562"/>
    </row>
    <row r="401" spans="7:9" s="3" customFormat="1" x14ac:dyDescent="0.15">
      <c r="G401" s="562"/>
      <c r="H401" s="562"/>
      <c r="I401" s="562"/>
    </row>
    <row r="402" spans="7:9" s="3" customFormat="1" x14ac:dyDescent="0.15">
      <c r="G402" s="562"/>
      <c r="H402" s="562"/>
      <c r="I402" s="562"/>
    </row>
    <row r="403" spans="7:9" s="3" customFormat="1" x14ac:dyDescent="0.15">
      <c r="G403" s="562"/>
      <c r="H403" s="562"/>
      <c r="I403" s="562"/>
    </row>
    <row r="404" spans="7:9" s="3" customFormat="1" x14ac:dyDescent="0.15">
      <c r="G404" s="562"/>
      <c r="H404" s="562"/>
      <c r="I404" s="562"/>
    </row>
    <row r="405" spans="7:9" s="3" customFormat="1" x14ac:dyDescent="0.15">
      <c r="G405" s="562"/>
      <c r="H405" s="562"/>
      <c r="I405" s="562"/>
    </row>
    <row r="406" spans="7:9" s="3" customFormat="1" x14ac:dyDescent="0.15">
      <c r="G406" s="562"/>
      <c r="H406" s="562"/>
      <c r="I406" s="562"/>
    </row>
    <row r="407" spans="7:9" s="3" customFormat="1" x14ac:dyDescent="0.15">
      <c r="G407" s="562"/>
      <c r="H407" s="562"/>
      <c r="I407" s="562"/>
    </row>
    <row r="408" spans="7:9" s="3" customFormat="1" x14ac:dyDescent="0.15">
      <c r="G408" s="562"/>
      <c r="H408" s="562"/>
      <c r="I408" s="562"/>
    </row>
    <row r="409" spans="7:9" s="3" customFormat="1" x14ac:dyDescent="0.15">
      <c r="G409" s="562"/>
      <c r="H409" s="562"/>
      <c r="I409" s="562"/>
    </row>
    <row r="410" spans="7:9" s="3" customFormat="1" x14ac:dyDescent="0.15">
      <c r="G410" s="562"/>
      <c r="H410" s="562"/>
      <c r="I410" s="562"/>
    </row>
    <row r="411" spans="7:9" s="3" customFormat="1" x14ac:dyDescent="0.15">
      <c r="G411" s="562"/>
      <c r="H411" s="562"/>
      <c r="I411" s="562"/>
    </row>
    <row r="412" spans="7:9" s="3" customFormat="1" x14ac:dyDescent="0.15">
      <c r="G412" s="562"/>
      <c r="H412" s="562"/>
      <c r="I412" s="562"/>
    </row>
    <row r="413" spans="7:9" s="3" customFormat="1" x14ac:dyDescent="0.15">
      <c r="G413" s="562"/>
      <c r="H413" s="562"/>
      <c r="I413" s="562"/>
    </row>
    <row r="414" spans="7:9" s="3" customFormat="1" x14ac:dyDescent="0.15">
      <c r="G414" s="562"/>
      <c r="H414" s="562"/>
      <c r="I414" s="562"/>
    </row>
    <row r="415" spans="7:9" s="3" customFormat="1" x14ac:dyDescent="0.15">
      <c r="G415" s="562"/>
      <c r="H415" s="562"/>
      <c r="I415" s="562"/>
    </row>
    <row r="416" spans="7:9" s="3" customFormat="1" x14ac:dyDescent="0.15">
      <c r="G416" s="562"/>
      <c r="H416" s="562"/>
      <c r="I416" s="562"/>
    </row>
    <row r="417" spans="7:9" s="3" customFormat="1" x14ac:dyDescent="0.15">
      <c r="G417" s="562"/>
      <c r="H417" s="562"/>
      <c r="I417" s="562"/>
    </row>
    <row r="418" spans="7:9" s="3" customFormat="1" x14ac:dyDescent="0.15">
      <c r="G418" s="562"/>
      <c r="H418" s="562"/>
      <c r="I418" s="562"/>
    </row>
    <row r="419" spans="7:9" s="3" customFormat="1" x14ac:dyDescent="0.15">
      <c r="G419" s="562"/>
      <c r="H419" s="562"/>
      <c r="I419" s="562"/>
    </row>
    <row r="420" spans="7:9" s="3" customFormat="1" x14ac:dyDescent="0.15">
      <c r="G420" s="562"/>
      <c r="H420" s="562"/>
      <c r="I420" s="562"/>
    </row>
    <row r="421" spans="7:9" s="3" customFormat="1" x14ac:dyDescent="0.15">
      <c r="G421" s="562"/>
      <c r="H421" s="562"/>
      <c r="I421" s="562"/>
    </row>
    <row r="422" spans="7:9" s="3" customFormat="1" x14ac:dyDescent="0.15">
      <c r="G422" s="562"/>
      <c r="H422" s="562"/>
      <c r="I422" s="562"/>
    </row>
    <row r="423" spans="7:9" s="3" customFormat="1" x14ac:dyDescent="0.15">
      <c r="G423" s="562"/>
      <c r="H423" s="562"/>
      <c r="I423" s="562"/>
    </row>
    <row r="424" spans="7:9" s="3" customFormat="1" x14ac:dyDescent="0.15">
      <c r="G424" s="562"/>
      <c r="H424" s="562"/>
      <c r="I424" s="562"/>
    </row>
    <row r="425" spans="7:9" s="3" customFormat="1" x14ac:dyDescent="0.15">
      <c r="G425" s="562"/>
      <c r="H425" s="562"/>
      <c r="I425" s="562"/>
    </row>
    <row r="426" spans="7:9" s="3" customFormat="1" x14ac:dyDescent="0.15">
      <c r="G426" s="562"/>
      <c r="H426" s="562"/>
      <c r="I426" s="562"/>
    </row>
    <row r="427" spans="7:9" s="3" customFormat="1" x14ac:dyDescent="0.15">
      <c r="G427" s="562"/>
      <c r="H427" s="562"/>
      <c r="I427" s="562"/>
    </row>
    <row r="428" spans="7:9" s="3" customFormat="1" x14ac:dyDescent="0.15">
      <c r="G428" s="562"/>
      <c r="H428" s="562"/>
      <c r="I428" s="562"/>
    </row>
    <row r="429" spans="7:9" s="3" customFormat="1" x14ac:dyDescent="0.15">
      <c r="G429" s="562"/>
      <c r="H429" s="562"/>
      <c r="I429" s="562"/>
    </row>
    <row r="430" spans="7:9" s="3" customFormat="1" x14ac:dyDescent="0.15">
      <c r="G430" s="562"/>
      <c r="H430" s="562"/>
      <c r="I430" s="562"/>
    </row>
    <row r="431" spans="7:9" s="3" customFormat="1" x14ac:dyDescent="0.15">
      <c r="G431" s="562"/>
      <c r="H431" s="562"/>
      <c r="I431" s="562"/>
    </row>
    <row r="432" spans="7:9" s="3" customFormat="1" x14ac:dyDescent="0.15">
      <c r="G432" s="562"/>
      <c r="H432" s="562"/>
      <c r="I432" s="562"/>
    </row>
    <row r="433" spans="7:9" s="3" customFormat="1" x14ac:dyDescent="0.15">
      <c r="G433" s="562"/>
      <c r="H433" s="562"/>
      <c r="I433" s="562"/>
    </row>
    <row r="434" spans="7:9" s="3" customFormat="1" x14ac:dyDescent="0.15">
      <c r="G434" s="562"/>
      <c r="H434" s="562"/>
      <c r="I434" s="562"/>
    </row>
    <row r="435" spans="7:9" s="3" customFormat="1" x14ac:dyDescent="0.15">
      <c r="G435" s="562"/>
      <c r="H435" s="562"/>
      <c r="I435" s="562"/>
    </row>
    <row r="436" spans="7:9" s="3" customFormat="1" x14ac:dyDescent="0.15">
      <c r="G436" s="562"/>
      <c r="H436" s="562"/>
      <c r="I436" s="562"/>
    </row>
    <row r="437" spans="7:9" s="3" customFormat="1" x14ac:dyDescent="0.15">
      <c r="G437" s="562"/>
      <c r="H437" s="562"/>
      <c r="I437" s="562"/>
    </row>
    <row r="438" spans="7:9" s="3" customFormat="1" x14ac:dyDescent="0.15">
      <c r="G438" s="562"/>
      <c r="H438" s="562"/>
      <c r="I438" s="562"/>
    </row>
    <row r="439" spans="7:9" s="3" customFormat="1" x14ac:dyDescent="0.15">
      <c r="G439" s="562"/>
      <c r="H439" s="562"/>
      <c r="I439" s="562"/>
    </row>
    <row r="440" spans="7:9" s="3" customFormat="1" x14ac:dyDescent="0.15">
      <c r="G440" s="562"/>
      <c r="H440" s="562"/>
      <c r="I440" s="562"/>
    </row>
    <row r="441" spans="7:9" s="3" customFormat="1" x14ac:dyDescent="0.15">
      <c r="G441" s="562"/>
      <c r="H441" s="562"/>
      <c r="I441" s="562"/>
    </row>
    <row r="442" spans="7:9" s="3" customFormat="1" x14ac:dyDescent="0.15">
      <c r="G442" s="562"/>
      <c r="H442" s="562"/>
      <c r="I442" s="562"/>
    </row>
    <row r="443" spans="7:9" s="3" customFormat="1" x14ac:dyDescent="0.15">
      <c r="G443" s="562"/>
      <c r="H443" s="562"/>
      <c r="I443" s="562"/>
    </row>
    <row r="444" spans="7:9" s="3" customFormat="1" x14ac:dyDescent="0.15">
      <c r="G444" s="562"/>
      <c r="H444" s="562"/>
      <c r="I444" s="562"/>
    </row>
    <row r="445" spans="7:9" s="3" customFormat="1" x14ac:dyDescent="0.15">
      <c r="G445" s="562"/>
      <c r="H445" s="562"/>
      <c r="I445" s="562"/>
    </row>
    <row r="446" spans="7:9" s="3" customFormat="1" x14ac:dyDescent="0.15">
      <c r="G446" s="562"/>
      <c r="H446" s="562"/>
      <c r="I446" s="562"/>
    </row>
    <row r="447" spans="7:9" s="3" customFormat="1" x14ac:dyDescent="0.15">
      <c r="G447" s="562"/>
      <c r="H447" s="562"/>
      <c r="I447" s="562"/>
    </row>
    <row r="448" spans="7:9" s="3" customFormat="1" x14ac:dyDescent="0.15">
      <c r="G448" s="562"/>
      <c r="H448" s="562"/>
      <c r="I448" s="562"/>
    </row>
    <row r="449" spans="1:9" s="3" customFormat="1" x14ac:dyDescent="0.15">
      <c r="G449" s="562"/>
      <c r="H449" s="562"/>
      <c r="I449" s="562"/>
    </row>
    <row r="450" spans="1:9" s="3" customFormat="1" x14ac:dyDescent="0.15">
      <c r="G450" s="562"/>
      <c r="H450" s="562"/>
      <c r="I450" s="562"/>
    </row>
    <row r="451" spans="1:9" s="3" customFormat="1" x14ac:dyDescent="0.15">
      <c r="G451" s="562"/>
      <c r="H451" s="562"/>
      <c r="I451" s="562"/>
    </row>
    <row r="452" spans="1:9" s="3" customFormat="1" x14ac:dyDescent="0.15">
      <c r="G452" s="562"/>
      <c r="H452" s="562"/>
      <c r="I452" s="562"/>
    </row>
    <row r="453" spans="1:9" s="3" customFormat="1" x14ac:dyDescent="0.15">
      <c r="G453" s="562"/>
      <c r="H453" s="562"/>
      <c r="I453" s="562"/>
    </row>
    <row r="454" spans="1:9" s="3" customFormat="1" x14ac:dyDescent="0.15">
      <c r="G454" s="562"/>
      <c r="H454" s="562"/>
      <c r="I454" s="562"/>
    </row>
    <row r="455" spans="1:9" s="3" customFormat="1" x14ac:dyDescent="0.15">
      <c r="G455" s="562"/>
      <c r="H455" s="562"/>
      <c r="I455" s="562"/>
    </row>
    <row r="456" spans="1:9" s="3" customFormat="1" x14ac:dyDescent="0.15">
      <c r="G456" s="562"/>
      <c r="H456" s="562"/>
      <c r="I456" s="562"/>
    </row>
    <row r="457" spans="1:9" x14ac:dyDescent="0.15">
      <c r="A457" s="3"/>
      <c r="B457" s="3"/>
      <c r="C457" s="3"/>
      <c r="D457" s="3"/>
      <c r="E457" s="3"/>
      <c r="F457" s="3"/>
      <c r="G457" s="562"/>
      <c r="H457" s="562"/>
      <c r="I457" s="562"/>
    </row>
    <row r="458" spans="1:9" x14ac:dyDescent="0.15">
      <c r="A458" s="3"/>
      <c r="B458" s="3"/>
      <c r="C458" s="3"/>
      <c r="D458" s="3"/>
      <c r="E458" s="3"/>
      <c r="F458" s="3"/>
      <c r="G458" s="562"/>
      <c r="H458" s="562"/>
      <c r="I458" s="562"/>
    </row>
    <row r="459" spans="1:9" x14ac:dyDescent="0.15">
      <c r="A459" s="3"/>
      <c r="B459" s="3"/>
      <c r="C459" s="3"/>
      <c r="D459" s="3"/>
      <c r="E459" s="3"/>
      <c r="F459" s="3"/>
      <c r="G459" s="562"/>
      <c r="H459" s="562"/>
      <c r="I459" s="562"/>
    </row>
    <row r="460" spans="1:9" x14ac:dyDescent="0.15">
      <c r="I460" s="563"/>
    </row>
    <row r="461" spans="1:9" x14ac:dyDescent="0.15">
      <c r="I461" s="563"/>
    </row>
    <row r="462" spans="1:9" x14ac:dyDescent="0.15">
      <c r="I462" s="563"/>
    </row>
    <row r="463" spans="1:9" x14ac:dyDescent="0.15">
      <c r="I463" s="563"/>
    </row>
    <row r="464" spans="1:9" x14ac:dyDescent="0.15">
      <c r="I464" s="563"/>
    </row>
    <row r="465" spans="9:9" x14ac:dyDescent="0.15">
      <c r="I465" s="563"/>
    </row>
    <row r="466" spans="9:9" x14ac:dyDescent="0.15">
      <c r="I466" s="563"/>
    </row>
    <row r="467" spans="9:9" x14ac:dyDescent="0.15">
      <c r="I467" s="563"/>
    </row>
    <row r="468" spans="9:9" x14ac:dyDescent="0.15">
      <c r="I468" s="563"/>
    </row>
    <row r="469" spans="9:9" x14ac:dyDescent="0.15">
      <c r="I469" s="563"/>
    </row>
    <row r="470" spans="9:9" x14ac:dyDescent="0.15">
      <c r="I470" s="563"/>
    </row>
    <row r="471" spans="9:9" x14ac:dyDescent="0.15">
      <c r="I471" s="563"/>
    </row>
    <row r="472" spans="9:9" x14ac:dyDescent="0.15">
      <c r="I472" s="563"/>
    </row>
    <row r="473" spans="9:9" x14ac:dyDescent="0.15">
      <c r="I473" s="563"/>
    </row>
    <row r="474" spans="9:9" x14ac:dyDescent="0.15">
      <c r="I474" s="563"/>
    </row>
    <row r="475" spans="9:9" x14ac:dyDescent="0.15">
      <c r="I475" s="563"/>
    </row>
    <row r="476" spans="9:9" x14ac:dyDescent="0.15">
      <c r="I476" s="563"/>
    </row>
    <row r="477" spans="9:9" x14ac:dyDescent="0.15">
      <c r="I477" s="563"/>
    </row>
    <row r="478" spans="9:9" x14ac:dyDescent="0.15">
      <c r="I478" s="563"/>
    </row>
    <row r="479" spans="9:9" x14ac:dyDescent="0.15">
      <c r="I479" s="563"/>
    </row>
    <row r="480" spans="9:9" x14ac:dyDescent="0.15">
      <c r="I480" s="563"/>
    </row>
    <row r="481" spans="9:9" x14ac:dyDescent="0.15">
      <c r="I481" s="563"/>
    </row>
    <row r="482" spans="9:9" x14ac:dyDescent="0.15">
      <c r="I482" s="563"/>
    </row>
    <row r="483" spans="9:9" x14ac:dyDescent="0.15">
      <c r="I483" s="563"/>
    </row>
    <row r="484" spans="9:9" x14ac:dyDescent="0.15">
      <c r="I484" s="563"/>
    </row>
    <row r="485" spans="9:9" x14ac:dyDescent="0.15">
      <c r="I485" s="563"/>
    </row>
    <row r="486" spans="9:9" x14ac:dyDescent="0.15">
      <c r="I486" s="563"/>
    </row>
    <row r="487" spans="9:9" x14ac:dyDescent="0.15">
      <c r="I487" s="563"/>
    </row>
    <row r="488" spans="9:9" x14ac:dyDescent="0.15">
      <c r="I488" s="563"/>
    </row>
    <row r="489" spans="9:9" x14ac:dyDescent="0.15">
      <c r="I489" s="563"/>
    </row>
    <row r="490" spans="9:9" x14ac:dyDescent="0.15">
      <c r="I490" s="563"/>
    </row>
    <row r="491" spans="9:9" x14ac:dyDescent="0.15">
      <c r="I491" s="563"/>
    </row>
    <row r="492" spans="9:9" x14ac:dyDescent="0.15">
      <c r="I492" s="563"/>
    </row>
    <row r="493" spans="9:9" x14ac:dyDescent="0.15">
      <c r="I493" s="563"/>
    </row>
    <row r="494" spans="9:9" x14ac:dyDescent="0.15">
      <c r="I494" s="563"/>
    </row>
    <row r="495" spans="9:9" x14ac:dyDescent="0.15">
      <c r="I495" s="563"/>
    </row>
    <row r="496" spans="9:9" x14ac:dyDescent="0.15">
      <c r="I496" s="563"/>
    </row>
    <row r="497" spans="9:9" x14ac:dyDescent="0.15">
      <c r="I497" s="563"/>
    </row>
    <row r="498" spans="9:9" x14ac:dyDescent="0.15">
      <c r="I498" s="563"/>
    </row>
    <row r="499" spans="9:9" x14ac:dyDescent="0.15">
      <c r="I499" s="563"/>
    </row>
    <row r="500" spans="9:9" x14ac:dyDescent="0.15">
      <c r="I500" s="563"/>
    </row>
    <row r="501" spans="9:9" x14ac:dyDescent="0.15">
      <c r="I501" s="563"/>
    </row>
    <row r="502" spans="9:9" x14ac:dyDescent="0.15">
      <c r="I502" s="563"/>
    </row>
    <row r="503" spans="9:9" x14ac:dyDescent="0.15">
      <c r="I503" s="563"/>
    </row>
    <row r="504" spans="9:9" x14ac:dyDescent="0.15">
      <c r="I504" s="563"/>
    </row>
    <row r="505" spans="9:9" x14ac:dyDescent="0.15">
      <c r="I505" s="563"/>
    </row>
    <row r="506" spans="9:9" x14ac:dyDescent="0.15">
      <c r="I506" s="563"/>
    </row>
    <row r="507" spans="9:9" x14ac:dyDescent="0.15">
      <c r="I507" s="563"/>
    </row>
    <row r="508" spans="9:9" x14ac:dyDescent="0.15">
      <c r="I508" s="563"/>
    </row>
    <row r="509" spans="9:9" x14ac:dyDescent="0.15">
      <c r="I509" s="563"/>
    </row>
    <row r="510" spans="9:9" x14ac:dyDescent="0.15">
      <c r="I510" s="563"/>
    </row>
    <row r="511" spans="9:9" x14ac:dyDescent="0.15">
      <c r="I511" s="563"/>
    </row>
    <row r="512" spans="9:9" x14ac:dyDescent="0.15">
      <c r="I512" s="563"/>
    </row>
    <row r="513" spans="9:9" x14ac:dyDescent="0.15">
      <c r="I513" s="563"/>
    </row>
    <row r="514" spans="9:9" x14ac:dyDescent="0.15">
      <c r="I514" s="563"/>
    </row>
    <row r="515" spans="9:9" x14ac:dyDescent="0.15">
      <c r="I515" s="563"/>
    </row>
    <row r="516" spans="9:9" x14ac:dyDescent="0.15">
      <c r="I516" s="563"/>
    </row>
    <row r="517" spans="9:9" x14ac:dyDescent="0.15">
      <c r="I517" s="563"/>
    </row>
    <row r="518" spans="9:9" x14ac:dyDescent="0.15">
      <c r="I518" s="563"/>
    </row>
    <row r="519" spans="9:9" x14ac:dyDescent="0.15">
      <c r="I519" s="563"/>
    </row>
    <row r="520" spans="9:9" x14ac:dyDescent="0.15">
      <c r="I520" s="563"/>
    </row>
    <row r="521" spans="9:9" x14ac:dyDescent="0.15">
      <c r="I521" s="563"/>
    </row>
    <row r="522" spans="9:9" x14ac:dyDescent="0.15">
      <c r="I522" s="563"/>
    </row>
    <row r="523" spans="9:9" x14ac:dyDescent="0.15">
      <c r="I523" s="563"/>
    </row>
    <row r="524" spans="9:9" x14ac:dyDescent="0.15">
      <c r="I524" s="563"/>
    </row>
    <row r="525" spans="9:9" x14ac:dyDescent="0.15">
      <c r="I525" s="563"/>
    </row>
    <row r="526" spans="9:9" x14ac:dyDescent="0.15">
      <c r="I526" s="563"/>
    </row>
    <row r="527" spans="9:9" x14ac:dyDescent="0.15">
      <c r="I527" s="563"/>
    </row>
    <row r="528" spans="9:9" x14ac:dyDescent="0.15">
      <c r="I528" s="563"/>
    </row>
    <row r="529" spans="9:9" x14ac:dyDescent="0.15">
      <c r="I529" s="563"/>
    </row>
    <row r="530" spans="9:9" x14ac:dyDescent="0.15">
      <c r="I530" s="563"/>
    </row>
    <row r="531" spans="9:9" x14ac:dyDescent="0.15">
      <c r="I531" s="563"/>
    </row>
    <row r="532" spans="9:9" x14ac:dyDescent="0.15">
      <c r="I532" s="563"/>
    </row>
    <row r="533" spans="9:9" x14ac:dyDescent="0.15">
      <c r="I533" s="563"/>
    </row>
    <row r="534" spans="9:9" x14ac:dyDescent="0.15">
      <c r="I534" s="563"/>
    </row>
    <row r="535" spans="9:9" x14ac:dyDescent="0.15">
      <c r="I535" s="563"/>
    </row>
    <row r="536" spans="9:9" x14ac:dyDescent="0.15">
      <c r="I536" s="563"/>
    </row>
    <row r="537" spans="9:9" x14ac:dyDescent="0.15">
      <c r="I537" s="563"/>
    </row>
    <row r="538" spans="9:9" x14ac:dyDescent="0.15">
      <c r="I538" s="563"/>
    </row>
    <row r="539" spans="9:9" x14ac:dyDescent="0.15">
      <c r="I539" s="563"/>
    </row>
    <row r="540" spans="9:9" x14ac:dyDescent="0.15">
      <c r="I540" s="563"/>
    </row>
    <row r="541" spans="9:9" x14ac:dyDescent="0.15">
      <c r="I541" s="563"/>
    </row>
    <row r="542" spans="9:9" x14ac:dyDescent="0.15">
      <c r="I542" s="563"/>
    </row>
    <row r="543" spans="9:9" x14ac:dyDescent="0.15">
      <c r="I543" s="563"/>
    </row>
    <row r="544" spans="9:9" x14ac:dyDescent="0.15">
      <c r="I544" s="563"/>
    </row>
    <row r="545" spans="9:9" x14ac:dyDescent="0.15">
      <c r="I545" s="563"/>
    </row>
    <row r="546" spans="9:9" x14ac:dyDescent="0.15">
      <c r="I546" s="563"/>
    </row>
    <row r="547" spans="9:9" x14ac:dyDescent="0.15">
      <c r="I547" s="563"/>
    </row>
    <row r="548" spans="9:9" x14ac:dyDescent="0.15">
      <c r="I548" s="563"/>
    </row>
    <row r="549" spans="9:9" x14ac:dyDescent="0.15">
      <c r="I549" s="563"/>
    </row>
    <row r="550" spans="9:9" x14ac:dyDescent="0.15">
      <c r="I550" s="563"/>
    </row>
    <row r="551" spans="9:9" x14ac:dyDescent="0.15">
      <c r="I551" s="563"/>
    </row>
    <row r="552" spans="9:9" x14ac:dyDescent="0.15">
      <c r="I552" s="563"/>
    </row>
    <row r="553" spans="9:9" x14ac:dyDescent="0.15">
      <c r="I553" s="563"/>
    </row>
    <row r="554" spans="9:9" x14ac:dyDescent="0.15">
      <c r="I554" s="563"/>
    </row>
    <row r="555" spans="9:9" x14ac:dyDescent="0.15">
      <c r="I555" s="563"/>
    </row>
    <row r="556" spans="9:9" x14ac:dyDescent="0.15">
      <c r="I556" s="563"/>
    </row>
    <row r="557" spans="9:9" x14ac:dyDescent="0.15">
      <c r="I557" s="563"/>
    </row>
    <row r="558" spans="9:9" x14ac:dyDescent="0.15">
      <c r="I558" s="563"/>
    </row>
    <row r="559" spans="9:9" x14ac:dyDescent="0.15">
      <c r="I559" s="563"/>
    </row>
    <row r="560" spans="9:9" x14ac:dyDescent="0.15">
      <c r="I560" s="563"/>
    </row>
    <row r="561" spans="9:9" x14ac:dyDescent="0.15">
      <c r="I561" s="563"/>
    </row>
    <row r="562" spans="9:9" x14ac:dyDescent="0.15">
      <c r="I562" s="563"/>
    </row>
    <row r="563" spans="9:9" x14ac:dyDescent="0.15">
      <c r="I563" s="563"/>
    </row>
    <row r="564" spans="9:9" x14ac:dyDescent="0.15">
      <c r="I564" s="563"/>
    </row>
    <row r="565" spans="9:9" x14ac:dyDescent="0.15">
      <c r="I565" s="563"/>
    </row>
    <row r="566" spans="9:9" x14ac:dyDescent="0.15">
      <c r="I566" s="563"/>
    </row>
    <row r="567" spans="9:9" x14ac:dyDescent="0.15">
      <c r="I567" s="563"/>
    </row>
    <row r="568" spans="9:9" x14ac:dyDescent="0.15">
      <c r="I568" s="563"/>
    </row>
    <row r="569" spans="9:9" x14ac:dyDescent="0.15">
      <c r="I569" s="563"/>
    </row>
    <row r="570" spans="9:9" x14ac:dyDescent="0.15">
      <c r="I570" s="563"/>
    </row>
    <row r="571" spans="9:9" x14ac:dyDescent="0.15">
      <c r="I571" s="563"/>
    </row>
    <row r="572" spans="9:9" x14ac:dyDescent="0.15">
      <c r="I572" s="563"/>
    </row>
    <row r="573" spans="9:9" x14ac:dyDescent="0.15">
      <c r="I573" s="563"/>
    </row>
    <row r="574" spans="9:9" x14ac:dyDescent="0.15">
      <c r="I574" s="563"/>
    </row>
    <row r="575" spans="9:9" x14ac:dyDescent="0.15">
      <c r="I575" s="563"/>
    </row>
    <row r="576" spans="9:9" x14ac:dyDescent="0.15">
      <c r="I576" s="563"/>
    </row>
    <row r="577" spans="9:9" x14ac:dyDescent="0.15">
      <c r="I577" s="563"/>
    </row>
    <row r="578" spans="9:9" x14ac:dyDescent="0.15">
      <c r="I578" s="563"/>
    </row>
    <row r="579" spans="9:9" x14ac:dyDescent="0.15">
      <c r="I579" s="563"/>
    </row>
    <row r="580" spans="9:9" x14ac:dyDescent="0.15">
      <c r="I580" s="563"/>
    </row>
    <row r="581" spans="9:9" x14ac:dyDescent="0.15">
      <c r="I581" s="563"/>
    </row>
    <row r="582" spans="9:9" x14ac:dyDescent="0.15">
      <c r="I582" s="563"/>
    </row>
    <row r="583" spans="9:9" x14ac:dyDescent="0.15">
      <c r="I583" s="563"/>
    </row>
    <row r="584" spans="9:9" x14ac:dyDescent="0.15">
      <c r="I584" s="563"/>
    </row>
    <row r="585" spans="9:9" x14ac:dyDescent="0.15">
      <c r="I585" s="563"/>
    </row>
    <row r="586" spans="9:9" x14ac:dyDescent="0.15">
      <c r="I586" s="563"/>
    </row>
    <row r="587" spans="9:9" x14ac:dyDescent="0.15">
      <c r="I587" s="563"/>
    </row>
  </sheetData>
  <dataConsolidate/>
  <mergeCells count="26">
    <mergeCell ref="B6:D6"/>
    <mergeCell ref="C9:D9"/>
    <mergeCell ref="G78:I78"/>
    <mergeCell ref="G79:I79"/>
    <mergeCell ref="G80:I80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3"/>
    <col min="2" max="2" width="16.6640625" style="343" customWidth="1"/>
    <col min="3" max="4" width="14.6640625" style="343" customWidth="1"/>
    <col min="5" max="5" width="12" style="416" customWidth="1"/>
    <col min="6" max="6" width="12.33203125" style="416" customWidth="1"/>
    <col min="7" max="7" width="8.88671875" style="343"/>
    <col min="8" max="8" width="10.33203125" style="343" customWidth="1"/>
    <col min="9" max="9" width="9.44140625" style="343" customWidth="1"/>
    <col min="10" max="10" width="10.21875" style="343" customWidth="1"/>
    <col min="11" max="11" width="8.88671875" style="343"/>
    <col min="12" max="12" width="10" style="343" customWidth="1"/>
    <col min="13" max="15" width="8.88671875" style="343"/>
    <col min="16" max="16" width="10" style="343" customWidth="1"/>
    <col min="17" max="16384" width="8.88671875" style="343"/>
  </cols>
  <sheetData>
    <row r="1" spans="2:16" s="384" customFormat="1" ht="18" customHeight="1" x14ac:dyDescent="0.15">
      <c r="E1" s="385"/>
      <c r="F1" s="385"/>
    </row>
    <row r="2" spans="2:16" s="384" customFormat="1" ht="18" customHeight="1" x14ac:dyDescent="0.15">
      <c r="B2" s="384" t="s">
        <v>252</v>
      </c>
      <c r="E2" s="385"/>
      <c r="F2" s="385"/>
    </row>
    <row r="3" spans="2:16" s="384" customFormat="1" ht="18" customHeight="1" x14ac:dyDescent="0.15">
      <c r="E3" s="385"/>
      <c r="F3" s="385"/>
    </row>
    <row r="4" spans="2:16" s="388" customFormat="1" ht="26.25" customHeight="1" x14ac:dyDescent="0.15">
      <c r="B4" s="386" t="s">
        <v>253</v>
      </c>
      <c r="C4" s="387" t="s">
        <v>237</v>
      </c>
      <c r="E4" s="387"/>
      <c r="F4" s="387"/>
    </row>
    <row r="5" spans="2:16" s="384" customFormat="1" ht="18" customHeight="1" thickBot="1" x14ac:dyDescent="0.2">
      <c r="E5" s="385"/>
      <c r="F5" s="385"/>
    </row>
    <row r="6" spans="2:16" s="384" customFormat="1" ht="26.1" customHeight="1" thickBot="1" x14ac:dyDescent="0.2">
      <c r="B6" s="389" t="s">
        <v>254</v>
      </c>
      <c r="C6" s="390">
        <f>장기양수시험!C10</f>
        <v>44333.395833333336</v>
      </c>
      <c r="D6" s="391"/>
      <c r="E6" s="385"/>
      <c r="F6" s="385"/>
    </row>
    <row r="7" spans="2:16" s="384" customFormat="1" ht="26.1" customHeight="1" thickBot="1" x14ac:dyDescent="0.2">
      <c r="B7" s="389" t="s">
        <v>255</v>
      </c>
      <c r="C7" s="392">
        <v>14.7</v>
      </c>
      <c r="D7" s="391"/>
      <c r="E7" s="385"/>
      <c r="F7" s="385"/>
    </row>
    <row r="8" spans="2:16" s="384" customFormat="1" ht="26.1" customHeight="1" x14ac:dyDescent="0.15">
      <c r="B8" s="393" t="s">
        <v>256</v>
      </c>
      <c r="C8" s="394">
        <v>226</v>
      </c>
      <c r="D8" s="391"/>
      <c r="E8" s="385"/>
      <c r="F8" s="385"/>
    </row>
    <row r="9" spans="2:16" s="384" customFormat="1" ht="26.1" customHeight="1" x14ac:dyDescent="0.15">
      <c r="B9" s="393" t="s">
        <v>257</v>
      </c>
      <c r="C9" s="395">
        <v>6.7</v>
      </c>
      <c r="D9" s="391"/>
      <c r="E9" s="385"/>
      <c r="F9" s="385"/>
    </row>
    <row r="10" spans="2:16" s="384" customFormat="1" ht="26.1" customHeight="1" x14ac:dyDescent="0.15">
      <c r="B10" s="393"/>
      <c r="C10" s="394"/>
      <c r="D10" s="391"/>
      <c r="E10" s="385"/>
      <c r="F10" s="385"/>
    </row>
    <row r="11" spans="2:16" s="384" customFormat="1" ht="18" customHeight="1" thickBot="1" x14ac:dyDescent="0.2">
      <c r="E11" s="385"/>
      <c r="F11" s="385"/>
      <c r="L11"/>
      <c r="M11"/>
      <c r="N11"/>
      <c r="O11"/>
      <c r="P11"/>
    </row>
    <row r="12" spans="2:16" s="385" customFormat="1" ht="26.1" customHeight="1" x14ac:dyDescent="0.15">
      <c r="B12" s="622" t="s">
        <v>258</v>
      </c>
      <c r="C12" s="623"/>
      <c r="D12" s="624" t="s">
        <v>237</v>
      </c>
      <c r="E12" s="625"/>
      <c r="F12" s="623"/>
      <c r="H12" s="622" t="s">
        <v>237</v>
      </c>
      <c r="I12" s="625"/>
      <c r="J12" s="623"/>
      <c r="L12" s="617" t="s">
        <v>237</v>
      </c>
      <c r="M12" s="618"/>
      <c r="N12" s="619"/>
      <c r="O12"/>
      <c r="P12"/>
    </row>
    <row r="13" spans="2:16" s="385" customFormat="1" ht="26.1" customHeight="1" x14ac:dyDescent="0.15">
      <c r="B13" s="396" t="s">
        <v>254</v>
      </c>
      <c r="C13" s="397" t="s">
        <v>259</v>
      </c>
      <c r="D13" s="398" t="s">
        <v>260</v>
      </c>
      <c r="E13" s="399" t="s">
        <v>261</v>
      </c>
      <c r="F13" s="397" t="s">
        <v>262</v>
      </c>
      <c r="H13" s="459" t="s">
        <v>260</v>
      </c>
      <c r="I13" s="399" t="s">
        <v>261</v>
      </c>
      <c r="J13" s="460" t="s">
        <v>262</v>
      </c>
      <c r="L13" s="462" t="s">
        <v>260</v>
      </c>
      <c r="M13" s="463" t="s">
        <v>261</v>
      </c>
      <c r="N13" s="464" t="s">
        <v>262</v>
      </c>
      <c r="O13"/>
      <c r="P13"/>
    </row>
    <row r="14" spans="2:16" s="385" customFormat="1" ht="26.1" customHeight="1" x14ac:dyDescent="0.15">
      <c r="B14" s="400">
        <f>$C$6+C14/1440</f>
        <v>44333.399305555555</v>
      </c>
      <c r="C14" s="401">
        <v>5</v>
      </c>
      <c r="D14" s="494">
        <f t="shared" ref="D14:D23" si="0">baseTemp+H14</f>
        <v>14.799999999999999</v>
      </c>
      <c r="E14" s="402">
        <f>$C$8+I14</f>
        <v>224</v>
      </c>
      <c r="F14" s="403">
        <f>$C$9+J14</f>
        <v>6.62</v>
      </c>
      <c r="H14" s="404">
        <v>0.1</v>
      </c>
      <c r="I14" s="405">
        <v>-2</v>
      </c>
      <c r="J14" s="406">
        <v>-0.08</v>
      </c>
      <c r="L14" s="462">
        <f ca="1">ROUND(myRandBetween(0,1,10), 1)</f>
        <v>0.1</v>
      </c>
      <c r="M14" s="463">
        <f ca="1">myRandBetween(1,3,1)</f>
        <v>3</v>
      </c>
      <c r="N14" s="464">
        <f ca="1">ROUND(myRandBetween(7,12,100), 2)</f>
        <v>0.1</v>
      </c>
      <c r="O14"/>
      <c r="P14"/>
    </row>
    <row r="15" spans="2:16" s="385" customFormat="1" ht="26.1" customHeight="1" x14ac:dyDescent="0.15">
      <c r="B15" s="407">
        <f t="shared" ref="B15:B23" si="1">$C$6+C15/1440</f>
        <v>44333.416666666672</v>
      </c>
      <c r="C15" s="406">
        <v>30</v>
      </c>
      <c r="D15" s="410">
        <f t="shared" si="0"/>
        <v>14.7</v>
      </c>
      <c r="E15" s="408">
        <f t="shared" ref="E15:E23" si="2">$C$8+I15</f>
        <v>228</v>
      </c>
      <c r="F15" s="409">
        <f t="shared" ref="F15:F23" si="3">$C$9+J15</f>
        <v>6.8</v>
      </c>
      <c r="H15" s="404">
        <v>0</v>
      </c>
      <c r="I15" s="405">
        <v>2</v>
      </c>
      <c r="J15" s="406">
        <v>0.1</v>
      </c>
      <c r="L15" s="462">
        <f t="shared" ref="L15:L23" ca="1" si="4">ROUND(myRandBetween(0,1,10), 1)</f>
        <v>0</v>
      </c>
      <c r="M15" s="463">
        <f t="shared" ref="M15:M23" ca="1" si="5">myRandBetween(1,3,1)</f>
        <v>-3</v>
      </c>
      <c r="N15" s="464">
        <f t="shared" ref="N15:N23" ca="1" si="6">ROUND(myRandBetween(7,12,100), 2)</f>
        <v>7.0000000000000007E-2</v>
      </c>
      <c r="O15"/>
      <c r="P15"/>
    </row>
    <row r="16" spans="2:16" s="385" customFormat="1" ht="26.1" customHeight="1" x14ac:dyDescent="0.15">
      <c r="B16" s="407">
        <f t="shared" si="1"/>
        <v>44333.4375</v>
      </c>
      <c r="C16" s="406">
        <v>60</v>
      </c>
      <c r="D16" s="410">
        <f t="shared" si="0"/>
        <v>14.6</v>
      </c>
      <c r="E16" s="408">
        <f t="shared" si="2"/>
        <v>223</v>
      </c>
      <c r="F16" s="409">
        <f t="shared" si="3"/>
        <v>6.61</v>
      </c>
      <c r="H16" s="404">
        <v>-0.1</v>
      </c>
      <c r="I16" s="405">
        <v>-3</v>
      </c>
      <c r="J16" s="406">
        <v>-0.09</v>
      </c>
      <c r="L16" s="462">
        <f t="shared" ca="1" si="4"/>
        <v>0</v>
      </c>
      <c r="M16" s="463">
        <f t="shared" ca="1" si="5"/>
        <v>-3</v>
      </c>
      <c r="N16" s="464">
        <f t="shared" ca="1" si="6"/>
        <v>-0.08</v>
      </c>
      <c r="O16"/>
      <c r="P16"/>
    </row>
    <row r="17" spans="2:16" s="385" customFormat="1" ht="26.1" customHeight="1" x14ac:dyDescent="0.15">
      <c r="B17" s="407">
        <f t="shared" si="1"/>
        <v>44333.479166666672</v>
      </c>
      <c r="C17" s="406">
        <v>120</v>
      </c>
      <c r="D17" s="410">
        <f t="shared" si="0"/>
        <v>14.6</v>
      </c>
      <c r="E17" s="408">
        <f t="shared" si="2"/>
        <v>227</v>
      </c>
      <c r="F17" s="409">
        <f t="shared" si="3"/>
        <v>6.59</v>
      </c>
      <c r="H17" s="404">
        <v>-0.1</v>
      </c>
      <c r="I17" s="405">
        <v>1</v>
      </c>
      <c r="J17" s="406">
        <v>-0.11</v>
      </c>
      <c r="L17" s="462">
        <f t="shared" ca="1" si="4"/>
        <v>0</v>
      </c>
      <c r="M17" s="463">
        <f t="shared" ca="1" si="5"/>
        <v>-3</v>
      </c>
      <c r="N17" s="464">
        <f t="shared" ca="1" si="6"/>
        <v>0.08</v>
      </c>
      <c r="O17"/>
      <c r="P17"/>
    </row>
    <row r="18" spans="2:16" s="385" customFormat="1" ht="26.1" customHeight="1" x14ac:dyDescent="0.15">
      <c r="B18" s="407">
        <f t="shared" si="1"/>
        <v>44333.5625</v>
      </c>
      <c r="C18" s="406">
        <v>240</v>
      </c>
      <c r="D18" s="410">
        <f t="shared" si="0"/>
        <v>14.6</v>
      </c>
      <c r="E18" s="408">
        <f t="shared" si="2"/>
        <v>229</v>
      </c>
      <c r="F18" s="409">
        <f t="shared" si="3"/>
        <v>6.79</v>
      </c>
      <c r="H18" s="404">
        <v>-0.1</v>
      </c>
      <c r="I18" s="405">
        <v>3</v>
      </c>
      <c r="J18" s="406">
        <v>0.09</v>
      </c>
      <c r="L18" s="462">
        <f t="shared" ca="1" si="4"/>
        <v>-0.1</v>
      </c>
      <c r="M18" s="463">
        <f t="shared" ca="1" si="5"/>
        <v>-2</v>
      </c>
      <c r="N18" s="464">
        <f t="shared" ca="1" si="6"/>
        <v>-7.0000000000000007E-2</v>
      </c>
      <c r="O18"/>
      <c r="P18"/>
    </row>
    <row r="19" spans="2:16" s="385" customFormat="1" ht="26.1" customHeight="1" x14ac:dyDescent="0.15">
      <c r="B19" s="407">
        <f t="shared" si="1"/>
        <v>44333.729166666672</v>
      </c>
      <c r="C19" s="406">
        <v>480</v>
      </c>
      <c r="D19" s="410">
        <f t="shared" si="0"/>
        <v>14.7</v>
      </c>
      <c r="E19" s="408">
        <f t="shared" si="2"/>
        <v>227</v>
      </c>
      <c r="F19" s="409">
        <f t="shared" si="3"/>
        <v>6.61</v>
      </c>
      <c r="H19" s="404">
        <v>0</v>
      </c>
      <c r="I19" s="405">
        <v>1</v>
      </c>
      <c r="J19" s="406">
        <v>-0.09</v>
      </c>
      <c r="L19" s="462">
        <f t="shared" ca="1" si="4"/>
        <v>-0.1</v>
      </c>
      <c r="M19" s="463">
        <f t="shared" ca="1" si="5"/>
        <v>2</v>
      </c>
      <c r="N19" s="464">
        <f t="shared" ca="1" si="6"/>
        <v>7.0000000000000007E-2</v>
      </c>
      <c r="O19"/>
      <c r="P19"/>
    </row>
    <row r="20" spans="2:16" s="384" customFormat="1" ht="26.1" customHeight="1" x14ac:dyDescent="0.15">
      <c r="B20" s="407">
        <f t="shared" si="1"/>
        <v>44334.395833333336</v>
      </c>
      <c r="C20" s="406">
        <v>1440</v>
      </c>
      <c r="D20" s="410">
        <f t="shared" si="0"/>
        <v>14.7</v>
      </c>
      <c r="E20" s="408">
        <f t="shared" si="2"/>
        <v>227</v>
      </c>
      <c r="F20" s="409">
        <f t="shared" si="3"/>
        <v>6.62</v>
      </c>
      <c r="H20" s="404">
        <v>0</v>
      </c>
      <c r="I20" s="405">
        <v>1</v>
      </c>
      <c r="J20" s="406">
        <v>-0.08</v>
      </c>
      <c r="L20" s="462">
        <f t="shared" ca="1" si="4"/>
        <v>0</v>
      </c>
      <c r="M20" s="463">
        <f t="shared" ca="1" si="5"/>
        <v>-3</v>
      </c>
      <c r="N20" s="464">
        <f t="shared" ca="1" si="6"/>
        <v>0.11</v>
      </c>
      <c r="O20"/>
      <c r="P20"/>
    </row>
    <row r="21" spans="2:16" s="384" customFormat="1" ht="26.1" customHeight="1" x14ac:dyDescent="0.15">
      <c r="B21" s="407">
        <f t="shared" si="1"/>
        <v>44334.5625</v>
      </c>
      <c r="C21" s="406">
        <v>1680</v>
      </c>
      <c r="D21" s="410">
        <f t="shared" si="0"/>
        <v>14.7</v>
      </c>
      <c r="E21" s="408">
        <f t="shared" si="2"/>
        <v>227</v>
      </c>
      <c r="F21" s="409">
        <f t="shared" si="3"/>
        <v>6.7700000000000005</v>
      </c>
      <c r="H21" s="404">
        <v>0</v>
      </c>
      <c r="I21" s="405">
        <v>1</v>
      </c>
      <c r="J21" s="406">
        <v>7.0000000000000007E-2</v>
      </c>
      <c r="L21" s="462">
        <f t="shared" ca="1" si="4"/>
        <v>0.1</v>
      </c>
      <c r="M21" s="463">
        <f t="shared" ca="1" si="5"/>
        <v>1</v>
      </c>
      <c r="N21" s="464">
        <f t="shared" ca="1" si="6"/>
        <v>0.09</v>
      </c>
      <c r="O21"/>
      <c r="P21"/>
    </row>
    <row r="22" spans="2:16" s="384" customFormat="1" ht="26.1" customHeight="1" x14ac:dyDescent="0.15">
      <c r="B22" s="407">
        <f t="shared" si="1"/>
        <v>44334.729166666672</v>
      </c>
      <c r="C22" s="406">
        <v>1920</v>
      </c>
      <c r="D22" s="410">
        <f t="shared" si="0"/>
        <v>14.799999999999999</v>
      </c>
      <c r="E22" s="408">
        <f t="shared" si="2"/>
        <v>225</v>
      </c>
      <c r="F22" s="409">
        <f t="shared" si="3"/>
        <v>6.62</v>
      </c>
      <c r="H22" s="404">
        <v>0.1</v>
      </c>
      <c r="I22" s="405">
        <v>-1</v>
      </c>
      <c r="J22" s="406">
        <v>-0.08</v>
      </c>
      <c r="L22" s="462">
        <f t="shared" ca="1" si="4"/>
        <v>0.1</v>
      </c>
      <c r="M22" s="463">
        <f t="shared" ca="1" si="5"/>
        <v>-2</v>
      </c>
      <c r="N22" s="464">
        <f t="shared" ca="1" si="6"/>
        <v>0.12</v>
      </c>
      <c r="O22"/>
      <c r="P22"/>
    </row>
    <row r="23" spans="2:16" s="384" customFormat="1" ht="26.1" customHeight="1" thickBot="1" x14ac:dyDescent="0.2">
      <c r="B23" s="407">
        <f t="shared" si="1"/>
        <v>44335.395833333336</v>
      </c>
      <c r="C23" s="406">
        <v>2880</v>
      </c>
      <c r="D23" s="410">
        <f t="shared" si="0"/>
        <v>14.7</v>
      </c>
      <c r="E23" s="408">
        <f t="shared" si="2"/>
        <v>228</v>
      </c>
      <c r="F23" s="409">
        <f t="shared" si="3"/>
        <v>6.79</v>
      </c>
      <c r="H23" s="411">
        <v>0</v>
      </c>
      <c r="I23" s="461">
        <v>2</v>
      </c>
      <c r="J23" s="412">
        <v>0.09</v>
      </c>
      <c r="L23" s="462">
        <f t="shared" ca="1" si="4"/>
        <v>0</v>
      </c>
      <c r="M23" s="465">
        <f t="shared" ca="1" si="5"/>
        <v>3</v>
      </c>
      <c r="N23" s="466">
        <f t="shared" ca="1" si="6"/>
        <v>-7.0000000000000007E-2</v>
      </c>
      <c r="O23"/>
      <c r="P23"/>
    </row>
    <row r="24" spans="2:16" s="384" customFormat="1" ht="26.1" customHeight="1" x14ac:dyDescent="0.15">
      <c r="B24" s="626" t="s">
        <v>178</v>
      </c>
      <c r="C24" s="627"/>
      <c r="D24" s="398">
        <f>MAX(D14:D23)</f>
        <v>14.799999999999999</v>
      </c>
      <c r="E24" s="399">
        <f t="shared" ref="E24:F24" si="7">MAX(E14:E23)</f>
        <v>229</v>
      </c>
      <c r="F24" s="397">
        <f t="shared" si="7"/>
        <v>6.8</v>
      </c>
      <c r="H24" s="385"/>
      <c r="I24" s="385"/>
      <c r="J24" s="385"/>
      <c r="L24"/>
      <c r="M24"/>
      <c r="N24"/>
      <c r="O24"/>
      <c r="P24"/>
    </row>
    <row r="25" spans="2:16" s="384" customFormat="1" ht="26.1" customHeight="1" x14ac:dyDescent="0.15">
      <c r="B25" s="626" t="s">
        <v>263</v>
      </c>
      <c r="C25" s="627"/>
      <c r="D25" s="398">
        <f>MIN(D14:D23)</f>
        <v>14.6</v>
      </c>
      <c r="E25" s="399">
        <f t="shared" ref="E25:F25" si="8">MIN(E14:E23)</f>
        <v>223</v>
      </c>
      <c r="F25" s="397">
        <f t="shared" si="8"/>
        <v>6.59</v>
      </c>
      <c r="H25" s="385"/>
      <c r="I25" s="385"/>
      <c r="J25" s="385"/>
      <c r="L25"/>
      <c r="M25"/>
      <c r="N25"/>
      <c r="O25"/>
      <c r="P25"/>
    </row>
    <row r="26" spans="2:16" s="384" customFormat="1" ht="26.1" customHeight="1" thickBot="1" x14ac:dyDescent="0.2">
      <c r="B26" s="620" t="s">
        <v>264</v>
      </c>
      <c r="C26" s="621"/>
      <c r="D26" s="413">
        <f>D24-D25</f>
        <v>0.19999999999999929</v>
      </c>
      <c r="E26" s="414">
        <f t="shared" ref="E26:F26" si="9">E24-E25</f>
        <v>6</v>
      </c>
      <c r="F26" s="415">
        <f t="shared" si="9"/>
        <v>0.20999999999999996</v>
      </c>
      <c r="H26" s="385"/>
      <c r="I26" s="385"/>
      <c r="J26" s="385"/>
      <c r="L26"/>
      <c r="M26"/>
      <c r="N26"/>
      <c r="O26"/>
      <c r="P26"/>
    </row>
    <row r="27" spans="2:16" s="384" customFormat="1" ht="18" customHeight="1" x14ac:dyDescent="0.15">
      <c r="E27" s="385"/>
      <c r="F27" s="385"/>
      <c r="L27"/>
      <c r="M27"/>
      <c r="N27"/>
      <c r="O27"/>
      <c r="P27"/>
    </row>
    <row r="28" spans="2:16" s="384" customFormat="1" ht="18" customHeight="1" x14ac:dyDescent="0.15">
      <c r="E28" s="385"/>
      <c r="F28" s="385"/>
      <c r="L28"/>
      <c r="M28"/>
      <c r="N28"/>
      <c r="O28"/>
      <c r="P28"/>
    </row>
    <row r="29" spans="2:16" s="384" customFormat="1" ht="18" customHeight="1" x14ac:dyDescent="0.15">
      <c r="E29" s="385"/>
      <c r="F29" s="385"/>
    </row>
    <row r="30" spans="2:16" s="384" customFormat="1" ht="18" customHeight="1" x14ac:dyDescent="0.15">
      <c r="E30" s="385"/>
      <c r="F30" s="385"/>
    </row>
    <row r="31" spans="2:16" s="384" customFormat="1" ht="18" customHeight="1" x14ac:dyDescent="0.15">
      <c r="E31" s="385"/>
      <c r="F31" s="385"/>
    </row>
    <row r="32" spans="2:16" s="384" customFormat="1" ht="18" customHeight="1" x14ac:dyDescent="0.15">
      <c r="E32" s="385"/>
      <c r="F32" s="385"/>
    </row>
    <row r="33" spans="5:6" s="384" customFormat="1" ht="18" customHeight="1" x14ac:dyDescent="0.15">
      <c r="E33" s="385"/>
      <c r="F33" s="385"/>
    </row>
    <row r="34" spans="5:6" s="384" customFormat="1" ht="18" customHeight="1" x14ac:dyDescent="0.15">
      <c r="E34" s="385"/>
      <c r="F34" s="385"/>
    </row>
    <row r="35" spans="5:6" s="384" customFormat="1" ht="18" customHeight="1" x14ac:dyDescent="0.15">
      <c r="E35" s="385"/>
      <c r="F35" s="385"/>
    </row>
    <row r="36" spans="5:6" s="384" customFormat="1" ht="18" customHeight="1" x14ac:dyDescent="0.15">
      <c r="E36" s="385"/>
      <c r="F36" s="385"/>
    </row>
    <row r="37" spans="5:6" s="384" customFormat="1" ht="18" customHeight="1" x14ac:dyDescent="0.15">
      <c r="E37" s="385"/>
      <c r="F37" s="385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D8465-8663-4D73-9A74-99B5872B8BDA}">
  <sheetPr codeName="shStepTest1"/>
  <dimension ref="A1:CZ715"/>
  <sheetViews>
    <sheetView showGridLines="0" zoomScaleNormal="100" zoomScaleSheetLayoutView="100" workbookViewId="0"/>
  </sheetViews>
  <sheetFormatPr defaultRowHeight="12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6384" width="8.88671875" style="4"/>
  </cols>
  <sheetData>
    <row r="1" spans="1:104" ht="26.25" x14ac:dyDescent="0.45">
      <c r="A1" s="495" t="s">
        <v>175</v>
      </c>
      <c r="B1" s="496"/>
      <c r="C1" s="496"/>
      <c r="D1" s="496"/>
      <c r="E1" s="496"/>
      <c r="F1" s="496"/>
      <c r="G1" s="496"/>
      <c r="H1" s="496"/>
      <c r="I1" s="497"/>
    </row>
    <row r="2" spans="1:104" s="2" customFormat="1" ht="20.25" x14ac:dyDescent="0.35">
      <c r="A2" s="498"/>
      <c r="B2" s="496"/>
      <c r="C2" s="496"/>
      <c r="D2" s="496"/>
      <c r="E2" s="496"/>
      <c r="F2" s="496"/>
      <c r="G2" s="496"/>
      <c r="H2" s="496"/>
      <c r="I2" s="497"/>
    </row>
    <row r="3" spans="1:104" s="3" customFormat="1" ht="26.25" x14ac:dyDescent="0.25">
      <c r="A3" s="499" t="s">
        <v>3</v>
      </c>
      <c r="B3" s="499"/>
      <c r="C3" s="499"/>
      <c r="D3" s="499"/>
      <c r="E3" s="499"/>
      <c r="F3" s="499"/>
      <c r="G3" s="499"/>
      <c r="H3" s="500"/>
      <c r="I3" s="499"/>
    </row>
    <row r="4" spans="1:104" s="3" customFormat="1" ht="23.1" customHeight="1" x14ac:dyDescent="0.3">
      <c r="A4" s="630" t="s">
        <v>192</v>
      </c>
      <c r="B4" s="630"/>
      <c r="C4" s="501" t="s">
        <v>290</v>
      </c>
      <c r="D4" s="502"/>
      <c r="E4" s="502"/>
      <c r="F4" s="502"/>
      <c r="G4" s="502"/>
      <c r="H4" s="503"/>
      <c r="I4" s="504"/>
    </row>
    <row r="5" spans="1:104" s="3" customFormat="1" ht="23.1" customHeight="1" x14ac:dyDescent="0.15">
      <c r="A5" s="630" t="s">
        <v>45</v>
      </c>
      <c r="B5" s="630"/>
      <c r="C5" s="505" t="s">
        <v>291</v>
      </c>
      <c r="D5" s="502"/>
      <c r="E5" s="502"/>
      <c r="F5" s="506"/>
      <c r="G5" s="502"/>
      <c r="H5" s="507" t="s">
        <v>285</v>
      </c>
      <c r="I5" s="508"/>
    </row>
    <row r="6" spans="1:104" s="3" customFormat="1" ht="23.1" customHeight="1" x14ac:dyDescent="0.3">
      <c r="A6" s="630" t="s">
        <v>46</v>
      </c>
      <c r="B6" s="630"/>
      <c r="C6" s="509" t="s">
        <v>288</v>
      </c>
      <c r="D6" s="502"/>
      <c r="E6" s="502"/>
      <c r="F6" s="502"/>
      <c r="G6" s="502"/>
      <c r="H6" s="503"/>
      <c r="I6" s="504"/>
    </row>
    <row r="7" spans="1:104" s="3" customFormat="1" ht="23.1" customHeight="1" x14ac:dyDescent="0.3">
      <c r="A7" s="630" t="s">
        <v>165</v>
      </c>
      <c r="B7" s="630"/>
      <c r="C7" s="510" t="s">
        <v>292</v>
      </c>
      <c r="D7" s="511"/>
      <c r="E7" s="502"/>
      <c r="F7" s="512"/>
      <c r="G7" s="513" t="s">
        <v>291</v>
      </c>
      <c r="H7" s="514"/>
      <c r="I7" s="515"/>
    </row>
    <row r="8" spans="1:104" s="3" customFormat="1" ht="23.1" customHeight="1" x14ac:dyDescent="0.3">
      <c r="A8" s="516" t="s">
        <v>5</v>
      </c>
      <c r="B8" s="516"/>
      <c r="C8" s="631">
        <v>15</v>
      </c>
      <c r="D8" s="632"/>
      <c r="E8" s="633"/>
      <c r="F8" s="517" t="s">
        <v>6</v>
      </c>
      <c r="G8" s="513" t="s">
        <v>291</v>
      </c>
      <c r="H8" s="514"/>
      <c r="I8" s="518"/>
    </row>
    <row r="9" spans="1:104" s="3" customFormat="1" ht="23.1" customHeight="1" x14ac:dyDescent="0.15">
      <c r="A9" s="516" t="s">
        <v>7</v>
      </c>
      <c r="B9" s="516"/>
      <c r="C9" s="519" t="s">
        <v>168</v>
      </c>
      <c r="D9" s="634">
        <v>250</v>
      </c>
      <c r="E9" s="634"/>
      <c r="F9" s="520" t="s">
        <v>8</v>
      </c>
      <c r="G9" s="635">
        <v>92</v>
      </c>
      <c r="H9" s="635"/>
      <c r="I9" s="520"/>
    </row>
    <row r="10" spans="1:104" s="3" customFormat="1" ht="23.1" customHeight="1" x14ac:dyDescent="0.15">
      <c r="A10" s="516" t="s">
        <v>4</v>
      </c>
      <c r="B10" s="516"/>
      <c r="C10" s="519" t="s">
        <v>169</v>
      </c>
      <c r="D10" s="636">
        <v>3.3</v>
      </c>
      <c r="E10" s="637"/>
      <c r="F10" s="521" t="s">
        <v>0</v>
      </c>
      <c r="G10" s="638" t="s">
        <v>0</v>
      </c>
      <c r="H10" s="638"/>
      <c r="I10" s="508"/>
    </row>
    <row r="11" spans="1:104" s="3" customFormat="1" ht="23.1" customHeight="1" x14ac:dyDescent="0.15">
      <c r="A11" s="520" t="s">
        <v>10</v>
      </c>
      <c r="B11" s="522" t="s">
        <v>160</v>
      </c>
      <c r="C11" s="519" t="s">
        <v>171</v>
      </c>
      <c r="D11" s="639" t="s">
        <v>161</v>
      </c>
      <c r="E11" s="639"/>
      <c r="F11" s="522" t="s">
        <v>162</v>
      </c>
      <c r="G11" s="640" t="s">
        <v>163</v>
      </c>
      <c r="H11" s="640"/>
      <c r="I11" s="520" t="s">
        <v>164</v>
      </c>
    </row>
    <row r="12" spans="1:104" s="3" customFormat="1" ht="23.1" customHeight="1" x14ac:dyDescent="0.15">
      <c r="A12" s="523">
        <v>1</v>
      </c>
      <c r="B12" s="524">
        <v>758</v>
      </c>
      <c r="C12" s="525">
        <v>0.41736111111111113</v>
      </c>
      <c r="D12" s="628">
        <v>1</v>
      </c>
      <c r="E12" s="628"/>
      <c r="F12" s="526">
        <v>4.38</v>
      </c>
      <c r="G12" s="629">
        <v>1.08</v>
      </c>
      <c r="H12" s="629"/>
      <c r="I12" s="520" t="s">
        <v>12</v>
      </c>
      <c r="CZ12" s="3">
        <v>2.46</v>
      </c>
    </row>
    <row r="13" spans="1:104" s="3" customFormat="1" ht="23.1" customHeight="1" x14ac:dyDescent="0.15">
      <c r="A13" s="523"/>
      <c r="B13" s="523"/>
      <c r="C13" s="525"/>
      <c r="D13" s="628">
        <v>2</v>
      </c>
      <c r="E13" s="628"/>
      <c r="F13" s="526">
        <v>5.34</v>
      </c>
      <c r="G13" s="629">
        <v>2.04</v>
      </c>
      <c r="H13" s="629"/>
      <c r="I13" s="527"/>
      <c r="CZ13" s="3">
        <v>3.77</v>
      </c>
    </row>
    <row r="14" spans="1:104" s="3" customFormat="1" ht="23.1" customHeight="1" x14ac:dyDescent="0.15">
      <c r="A14" s="523"/>
      <c r="B14" s="523"/>
      <c r="C14" s="525"/>
      <c r="D14" s="628">
        <v>3</v>
      </c>
      <c r="E14" s="628"/>
      <c r="F14" s="526">
        <v>5.9499999999999993</v>
      </c>
      <c r="G14" s="629">
        <v>2.65</v>
      </c>
      <c r="H14" s="629"/>
      <c r="I14" s="527"/>
      <c r="CZ14" s="3">
        <v>4.87</v>
      </c>
    </row>
    <row r="15" spans="1:104" s="3" customFormat="1" ht="23.1" customHeight="1" x14ac:dyDescent="0.15">
      <c r="A15" s="523"/>
      <c r="B15" s="523"/>
      <c r="C15" s="525"/>
      <c r="D15" s="628">
        <v>4</v>
      </c>
      <c r="E15" s="628"/>
      <c r="F15" s="526">
        <v>6.38</v>
      </c>
      <c r="G15" s="629">
        <v>3.08</v>
      </c>
      <c r="H15" s="629"/>
      <c r="I15" s="527"/>
      <c r="CZ15" s="3">
        <v>5.79</v>
      </c>
    </row>
    <row r="16" spans="1:104" s="3" customFormat="1" ht="23.1" customHeight="1" x14ac:dyDescent="0.15">
      <c r="A16" s="523"/>
      <c r="B16" s="523"/>
      <c r="C16" s="525"/>
      <c r="D16" s="628">
        <v>5</v>
      </c>
      <c r="E16" s="628"/>
      <c r="F16" s="526">
        <v>6.71</v>
      </c>
      <c r="G16" s="629">
        <v>3.41</v>
      </c>
      <c r="H16" s="629"/>
      <c r="I16" s="527"/>
      <c r="CZ16" s="3">
        <v>6.75</v>
      </c>
    </row>
    <row r="17" spans="1:104" s="3" customFormat="1" ht="23.1" customHeight="1" x14ac:dyDescent="0.15">
      <c r="A17" s="523"/>
      <c r="B17" s="523"/>
      <c r="C17" s="525"/>
      <c r="D17" s="628">
        <v>10</v>
      </c>
      <c r="E17" s="628"/>
      <c r="F17" s="526">
        <v>7.75</v>
      </c>
      <c r="G17" s="629">
        <v>4.45</v>
      </c>
      <c r="H17" s="629"/>
      <c r="I17" s="527"/>
      <c r="CZ17" s="3">
        <v>7.73</v>
      </c>
    </row>
    <row r="18" spans="1:104" s="3" customFormat="1" ht="23.1" customHeight="1" x14ac:dyDescent="0.15">
      <c r="A18" s="523"/>
      <c r="B18" s="523"/>
      <c r="C18" s="525"/>
      <c r="D18" s="628">
        <v>15</v>
      </c>
      <c r="E18" s="628"/>
      <c r="F18" s="526">
        <v>8.36</v>
      </c>
      <c r="G18" s="629">
        <v>5.0599999999999996</v>
      </c>
      <c r="H18" s="629"/>
      <c r="I18" s="527"/>
      <c r="CZ18" s="3">
        <v>8.74</v>
      </c>
    </row>
    <row r="19" spans="1:104" s="3" customFormat="1" ht="23.1" customHeight="1" x14ac:dyDescent="0.15">
      <c r="A19" s="523"/>
      <c r="B19" s="523"/>
      <c r="C19" s="525"/>
      <c r="D19" s="628">
        <v>20</v>
      </c>
      <c r="E19" s="628"/>
      <c r="F19" s="526">
        <v>8.7899999999999991</v>
      </c>
      <c r="G19" s="629">
        <v>5.49</v>
      </c>
      <c r="H19" s="629"/>
      <c r="I19" s="527"/>
      <c r="CZ19" s="3">
        <v>9.7799999999999994</v>
      </c>
    </row>
    <row r="20" spans="1:104" s="3" customFormat="1" ht="23.1" customHeight="1" x14ac:dyDescent="0.15">
      <c r="A20" s="523"/>
      <c r="B20" s="523"/>
      <c r="C20" s="525"/>
      <c r="D20" s="628">
        <v>25</v>
      </c>
      <c r="E20" s="628"/>
      <c r="F20" s="526">
        <v>9.120000000000001</v>
      </c>
      <c r="G20" s="629">
        <v>5.82</v>
      </c>
      <c r="H20" s="629"/>
      <c r="I20" s="527"/>
      <c r="CZ20" s="3">
        <v>10</v>
      </c>
    </row>
    <row r="21" spans="1:104" s="3" customFormat="1" ht="23.1" customHeight="1" x14ac:dyDescent="0.15">
      <c r="A21" s="523"/>
      <c r="B21" s="523"/>
      <c r="C21" s="525"/>
      <c r="D21" s="628">
        <v>30</v>
      </c>
      <c r="E21" s="628"/>
      <c r="F21" s="526">
        <v>9.3999999999999986</v>
      </c>
      <c r="G21" s="629">
        <v>6.1</v>
      </c>
      <c r="H21" s="629"/>
      <c r="I21" s="527"/>
      <c r="CZ21" s="3">
        <v>10.16</v>
      </c>
    </row>
    <row r="22" spans="1:104" s="3" customFormat="1" ht="23.1" customHeight="1" x14ac:dyDescent="0.15">
      <c r="A22" s="523"/>
      <c r="B22" s="523"/>
      <c r="C22" s="525"/>
      <c r="D22" s="628">
        <v>35</v>
      </c>
      <c r="E22" s="628"/>
      <c r="F22" s="526">
        <v>9.629999999999999</v>
      </c>
      <c r="G22" s="629">
        <v>6.33</v>
      </c>
      <c r="H22" s="629"/>
      <c r="I22" s="520"/>
      <c r="CZ22" s="3">
        <v>10.02</v>
      </c>
    </row>
    <row r="23" spans="1:104" s="3" customFormat="1" ht="23.1" customHeight="1" x14ac:dyDescent="0.15">
      <c r="A23" s="523"/>
      <c r="B23" s="523"/>
      <c r="C23" s="525"/>
      <c r="D23" s="628">
        <v>40</v>
      </c>
      <c r="E23" s="628"/>
      <c r="F23" s="526">
        <v>9.83</v>
      </c>
      <c r="G23" s="629">
        <v>6.53</v>
      </c>
      <c r="H23" s="629"/>
      <c r="I23" s="520"/>
      <c r="CZ23" s="3">
        <v>10.02</v>
      </c>
    </row>
    <row r="24" spans="1:104" s="3" customFormat="1" ht="23.1" customHeight="1" x14ac:dyDescent="0.15">
      <c r="A24" s="523"/>
      <c r="B24" s="523"/>
      <c r="C24" s="525"/>
      <c r="D24" s="628">
        <v>45</v>
      </c>
      <c r="E24" s="628"/>
      <c r="F24" s="526">
        <v>10.01</v>
      </c>
      <c r="G24" s="629">
        <v>6.71</v>
      </c>
      <c r="H24" s="629"/>
      <c r="I24" s="520"/>
      <c r="CZ24" s="3">
        <v>10.02</v>
      </c>
    </row>
    <row r="25" spans="1:104" s="3" customFormat="1" ht="23.1" customHeight="1" x14ac:dyDescent="0.15">
      <c r="A25" s="523"/>
      <c r="B25" s="523"/>
      <c r="C25" s="525"/>
      <c r="D25" s="628">
        <v>50</v>
      </c>
      <c r="E25" s="628"/>
      <c r="F25" s="526">
        <v>10.16</v>
      </c>
      <c r="G25" s="629">
        <v>6.86</v>
      </c>
      <c r="H25" s="629"/>
      <c r="I25" s="520"/>
      <c r="CZ25" s="3">
        <v>10.02</v>
      </c>
    </row>
    <row r="26" spans="1:104" s="3" customFormat="1" ht="23.1" customHeight="1" x14ac:dyDescent="0.15">
      <c r="A26" s="523"/>
      <c r="B26" s="523"/>
      <c r="C26" s="525"/>
      <c r="D26" s="628">
        <v>55</v>
      </c>
      <c r="E26" s="628"/>
      <c r="F26" s="526">
        <v>10.309999999999999</v>
      </c>
      <c r="G26" s="629">
        <v>7.01</v>
      </c>
      <c r="H26" s="629"/>
      <c r="I26" s="520"/>
      <c r="CZ26" s="3">
        <v>10.06</v>
      </c>
    </row>
    <row r="27" spans="1:104" s="3" customFormat="1" ht="23.1" customHeight="1" x14ac:dyDescent="0.15">
      <c r="A27" s="523"/>
      <c r="B27" s="523"/>
      <c r="C27" s="525" t="s">
        <v>0</v>
      </c>
      <c r="D27" s="628">
        <v>60</v>
      </c>
      <c r="E27" s="628"/>
      <c r="F27" s="526">
        <v>10.44</v>
      </c>
      <c r="G27" s="629">
        <v>7.14</v>
      </c>
      <c r="H27" s="629"/>
      <c r="I27" s="520"/>
      <c r="CZ27" s="3">
        <v>10.06</v>
      </c>
    </row>
    <row r="28" spans="1:104" s="3" customFormat="1" ht="23.1" customHeight="1" x14ac:dyDescent="0.15">
      <c r="A28" s="523"/>
      <c r="B28" s="523"/>
      <c r="C28" s="525"/>
      <c r="D28" s="628">
        <v>75</v>
      </c>
      <c r="E28" s="628"/>
      <c r="F28" s="526">
        <v>10.77</v>
      </c>
      <c r="G28" s="629">
        <v>7.47</v>
      </c>
      <c r="H28" s="629"/>
      <c r="I28" s="520"/>
      <c r="CZ28" s="3">
        <v>10.15</v>
      </c>
    </row>
    <row r="29" spans="1:104" s="3" customFormat="1" ht="23.1" customHeight="1" x14ac:dyDescent="0.15">
      <c r="A29" s="523"/>
      <c r="B29" s="523"/>
      <c r="C29" s="525"/>
      <c r="D29" s="628">
        <v>90</v>
      </c>
      <c r="E29" s="628"/>
      <c r="F29" s="526">
        <v>11.04</v>
      </c>
      <c r="G29" s="629">
        <v>7.74</v>
      </c>
      <c r="H29" s="629"/>
      <c r="I29" s="520"/>
      <c r="CZ29" s="3">
        <v>10.15</v>
      </c>
    </row>
    <row r="30" spans="1:104" s="3" customFormat="1" ht="23.1" customHeight="1" x14ac:dyDescent="0.15">
      <c r="A30" s="523"/>
      <c r="B30" s="523"/>
      <c r="C30" s="525"/>
      <c r="D30" s="628">
        <v>105</v>
      </c>
      <c r="E30" s="628"/>
      <c r="F30" s="526">
        <v>11.27</v>
      </c>
      <c r="G30" s="629">
        <v>7.97</v>
      </c>
      <c r="H30" s="629"/>
      <c r="I30" s="520"/>
      <c r="CZ30" s="3">
        <v>10.15</v>
      </c>
    </row>
    <row r="31" spans="1:104" s="3" customFormat="1" ht="23.1" customHeight="1" x14ac:dyDescent="0.15">
      <c r="A31" s="523"/>
      <c r="B31" s="523"/>
      <c r="C31" s="525"/>
      <c r="D31" s="628">
        <v>120</v>
      </c>
      <c r="E31" s="628"/>
      <c r="F31" s="526">
        <v>11.48</v>
      </c>
      <c r="G31" s="629">
        <v>8.18</v>
      </c>
      <c r="H31" s="629"/>
      <c r="I31" s="520"/>
      <c r="CZ31" s="3">
        <v>10.77</v>
      </c>
    </row>
    <row r="32" spans="1:104" s="3" customFormat="1" ht="23.1" customHeight="1" x14ac:dyDescent="0.15">
      <c r="A32" s="523">
        <v>2</v>
      </c>
      <c r="B32" s="524">
        <v>911</v>
      </c>
      <c r="C32" s="525">
        <v>0.50694444444444442</v>
      </c>
      <c r="D32" s="628">
        <v>130</v>
      </c>
      <c r="E32" s="628"/>
      <c r="F32" s="526">
        <v>13.11</v>
      </c>
      <c r="G32" s="629">
        <v>9.81</v>
      </c>
      <c r="H32" s="629"/>
      <c r="I32" s="520"/>
      <c r="CZ32" s="3">
        <v>14.26</v>
      </c>
    </row>
    <row r="33" spans="1:104" s="3" customFormat="1" ht="23.1" customHeight="1" x14ac:dyDescent="0.15">
      <c r="A33" s="523"/>
      <c r="B33" s="523"/>
      <c r="C33" s="525"/>
      <c r="D33" s="628">
        <v>140</v>
      </c>
      <c r="E33" s="628"/>
      <c r="F33" s="526">
        <v>13.39</v>
      </c>
      <c r="G33" s="629">
        <v>10.09</v>
      </c>
      <c r="H33" s="629"/>
      <c r="I33" s="520"/>
      <c r="CZ33" s="3">
        <v>15.41</v>
      </c>
    </row>
    <row r="34" spans="1:104" s="3" customFormat="1" ht="23.1" customHeight="1" x14ac:dyDescent="0.15">
      <c r="A34" s="523"/>
      <c r="B34" s="523"/>
      <c r="C34" s="525"/>
      <c r="D34" s="628">
        <v>150</v>
      </c>
      <c r="E34" s="628"/>
      <c r="F34" s="526">
        <v>13.66</v>
      </c>
      <c r="G34" s="629">
        <v>10.36</v>
      </c>
      <c r="H34" s="629"/>
      <c r="I34" s="520"/>
      <c r="CZ34" s="3">
        <v>15.6</v>
      </c>
    </row>
    <row r="35" spans="1:104" s="3" customFormat="1" ht="23.1" customHeight="1" x14ac:dyDescent="0.15">
      <c r="A35" s="523"/>
      <c r="B35" s="523"/>
      <c r="C35" s="525"/>
      <c r="D35" s="628">
        <v>180</v>
      </c>
      <c r="E35" s="628"/>
      <c r="F35" s="526">
        <v>13.93</v>
      </c>
      <c r="G35" s="629">
        <v>10.63</v>
      </c>
      <c r="H35" s="629"/>
      <c r="I35" s="520"/>
      <c r="CZ35" s="3">
        <v>15.64</v>
      </c>
    </row>
    <row r="36" spans="1:104" s="3" customFormat="1" ht="23.1" customHeight="1" x14ac:dyDescent="0.15">
      <c r="A36" s="523"/>
      <c r="B36" s="523"/>
      <c r="C36" s="525"/>
      <c r="D36" s="628">
        <v>240</v>
      </c>
      <c r="E36" s="628"/>
      <c r="F36" s="526">
        <v>14.21</v>
      </c>
      <c r="G36" s="629">
        <v>10.91</v>
      </c>
      <c r="H36" s="629"/>
      <c r="I36" s="520"/>
      <c r="CZ36" s="3">
        <v>15.67</v>
      </c>
    </row>
    <row r="37" spans="1:104" s="3" customFormat="1" ht="23.1" customHeight="1" x14ac:dyDescent="0.15">
      <c r="A37" s="523">
        <v>3</v>
      </c>
      <c r="B37" s="524">
        <v>1085.45</v>
      </c>
      <c r="C37" s="525">
        <v>0.59027777777777779</v>
      </c>
      <c r="D37" s="628">
        <v>250</v>
      </c>
      <c r="E37" s="628"/>
      <c r="F37" s="526">
        <v>16.05</v>
      </c>
      <c r="G37" s="629">
        <v>12.75</v>
      </c>
      <c r="H37" s="629"/>
      <c r="I37" s="520"/>
      <c r="CZ37" s="3">
        <v>19.260000000000002</v>
      </c>
    </row>
    <row r="38" spans="1:104" s="3" customFormat="1" ht="23.1" customHeight="1" x14ac:dyDescent="0.15">
      <c r="A38" s="523"/>
      <c r="B38" s="523"/>
      <c r="C38" s="525"/>
      <c r="D38" s="628">
        <v>260</v>
      </c>
      <c r="E38" s="628"/>
      <c r="F38" s="526">
        <v>16.350000000000001</v>
      </c>
      <c r="G38" s="629">
        <v>13.05</v>
      </c>
      <c r="H38" s="629"/>
      <c r="I38" s="520"/>
      <c r="CZ38" s="3">
        <v>20.059999999999999</v>
      </c>
    </row>
    <row r="39" spans="1:104" s="3" customFormat="1" ht="23.1" customHeight="1" x14ac:dyDescent="0.15">
      <c r="A39" s="523"/>
      <c r="B39" s="523"/>
      <c r="C39" s="525"/>
      <c r="D39" s="628">
        <v>270</v>
      </c>
      <c r="E39" s="628"/>
      <c r="F39" s="526">
        <v>16.66</v>
      </c>
      <c r="G39" s="629">
        <v>13.36</v>
      </c>
      <c r="H39" s="629"/>
      <c r="I39" s="520"/>
      <c r="CZ39" s="3">
        <v>20.46</v>
      </c>
    </row>
    <row r="40" spans="1:104" s="3" customFormat="1" ht="23.1" customHeight="1" x14ac:dyDescent="0.15">
      <c r="A40" s="523"/>
      <c r="B40" s="523"/>
      <c r="C40" s="525"/>
      <c r="D40" s="628">
        <v>300</v>
      </c>
      <c r="E40" s="628"/>
      <c r="F40" s="526">
        <v>16.97</v>
      </c>
      <c r="G40" s="629">
        <v>13.67</v>
      </c>
      <c r="H40" s="629"/>
      <c r="I40" s="520"/>
      <c r="CZ40" s="3">
        <v>20.66</v>
      </c>
    </row>
    <row r="41" spans="1:104" s="3" customFormat="1" ht="23.1" customHeight="1" x14ac:dyDescent="0.15">
      <c r="A41" s="523"/>
      <c r="B41" s="523"/>
      <c r="C41" s="525"/>
      <c r="D41" s="628">
        <v>360</v>
      </c>
      <c r="E41" s="628"/>
      <c r="F41" s="526">
        <v>17.28</v>
      </c>
      <c r="G41" s="629">
        <v>13.98</v>
      </c>
      <c r="H41" s="629"/>
      <c r="I41" s="520"/>
      <c r="CZ41" s="3">
        <v>20.75</v>
      </c>
    </row>
    <row r="42" spans="1:104" s="3" customFormat="1" ht="23.1" customHeight="1" x14ac:dyDescent="0.15">
      <c r="A42" s="523">
        <v>4</v>
      </c>
      <c r="B42" s="524">
        <v>1277</v>
      </c>
      <c r="C42" s="525">
        <v>0.67361111111111116</v>
      </c>
      <c r="D42" s="628">
        <v>370</v>
      </c>
      <c r="E42" s="628"/>
      <c r="F42" s="526">
        <v>19.330000000000002</v>
      </c>
      <c r="G42" s="629">
        <v>16.03</v>
      </c>
      <c r="H42" s="629"/>
      <c r="I42" s="520"/>
      <c r="CZ42" s="3">
        <v>29.31</v>
      </c>
    </row>
    <row r="43" spans="1:104" s="3" customFormat="1" ht="23.1" customHeight="1" x14ac:dyDescent="0.15">
      <c r="A43" s="523"/>
      <c r="B43" s="523"/>
      <c r="C43" s="525"/>
      <c r="D43" s="628">
        <v>380</v>
      </c>
      <c r="E43" s="628"/>
      <c r="F43" s="526">
        <v>19.670000000000002</v>
      </c>
      <c r="G43" s="629">
        <v>16.37</v>
      </c>
      <c r="H43" s="629"/>
      <c r="I43" s="520"/>
      <c r="CZ43" s="3">
        <v>31.81</v>
      </c>
    </row>
    <row r="44" spans="1:104" s="3" customFormat="1" ht="23.1" customHeight="1" x14ac:dyDescent="0.15">
      <c r="A44" s="523"/>
      <c r="B44" s="523"/>
      <c r="C44" s="525"/>
      <c r="D44" s="628">
        <v>390</v>
      </c>
      <c r="E44" s="628"/>
      <c r="F44" s="526">
        <v>20.010000000000002</v>
      </c>
      <c r="G44" s="629">
        <v>16.71</v>
      </c>
      <c r="H44" s="629"/>
      <c r="I44" s="520"/>
      <c r="CZ44" s="3">
        <v>35.83</v>
      </c>
    </row>
    <row r="45" spans="1:104" s="3" customFormat="1" ht="23.1" customHeight="1" x14ac:dyDescent="0.15">
      <c r="A45" s="523"/>
      <c r="B45" s="523"/>
      <c r="C45" s="525"/>
      <c r="D45" s="628">
        <v>420</v>
      </c>
      <c r="E45" s="628"/>
      <c r="F45" s="526">
        <v>20.350000000000001</v>
      </c>
      <c r="G45" s="629">
        <v>17.05</v>
      </c>
      <c r="H45" s="629"/>
      <c r="I45" s="520"/>
      <c r="CZ45" s="3">
        <v>35.96</v>
      </c>
    </row>
    <row r="46" spans="1:104" s="3" customFormat="1" ht="23.1" customHeight="1" x14ac:dyDescent="0.15">
      <c r="A46" s="523"/>
      <c r="B46" s="523"/>
      <c r="C46" s="525"/>
      <c r="D46" s="628">
        <v>480</v>
      </c>
      <c r="E46" s="628"/>
      <c r="F46" s="526">
        <v>20.7</v>
      </c>
      <c r="G46" s="629">
        <v>17.399999999999999</v>
      </c>
      <c r="H46" s="629"/>
      <c r="I46" s="520"/>
      <c r="CZ46" s="3">
        <v>36.01</v>
      </c>
    </row>
    <row r="47" spans="1:104" s="3" customFormat="1" ht="23.1" customHeight="1" x14ac:dyDescent="0.15">
      <c r="A47" s="523">
        <v>5</v>
      </c>
      <c r="B47" s="524">
        <v>1468.55</v>
      </c>
      <c r="C47" s="525">
        <v>0.75694444444444453</v>
      </c>
      <c r="D47" s="628">
        <v>490</v>
      </c>
      <c r="E47" s="628"/>
      <c r="F47" s="526">
        <v>22.78</v>
      </c>
      <c r="G47" s="629">
        <v>19.48</v>
      </c>
      <c r="H47" s="629"/>
      <c r="I47" s="520"/>
      <c r="CZ47" s="3">
        <v>30.66</v>
      </c>
    </row>
    <row r="48" spans="1:104" s="3" customFormat="1" ht="23.1" customHeight="1" x14ac:dyDescent="0.15">
      <c r="A48" s="523"/>
      <c r="B48" s="523"/>
      <c r="C48" s="525"/>
      <c r="D48" s="628">
        <v>500</v>
      </c>
      <c r="E48" s="628"/>
      <c r="F48" s="526">
        <v>23.57</v>
      </c>
      <c r="G48" s="629">
        <v>20.27</v>
      </c>
      <c r="H48" s="629"/>
      <c r="I48" s="520"/>
      <c r="CZ48" s="3">
        <v>30.83</v>
      </c>
    </row>
    <row r="49" spans="1:104" s="3" customFormat="1" ht="23.1" customHeight="1" x14ac:dyDescent="0.15">
      <c r="A49" s="523"/>
      <c r="B49" s="523"/>
      <c r="C49" s="525"/>
      <c r="D49" s="628">
        <v>510</v>
      </c>
      <c r="E49" s="628"/>
      <c r="F49" s="526">
        <v>24.35</v>
      </c>
      <c r="G49" s="629">
        <v>21.05</v>
      </c>
      <c r="H49" s="629"/>
      <c r="I49" s="520"/>
      <c r="CZ49" s="3">
        <v>30.83</v>
      </c>
    </row>
    <row r="50" spans="1:104" s="3" customFormat="1" ht="23.1" customHeight="1" x14ac:dyDescent="0.15">
      <c r="A50" s="523"/>
      <c r="B50" s="523"/>
      <c r="C50" s="525"/>
      <c r="D50" s="628">
        <v>540</v>
      </c>
      <c r="E50" s="628"/>
      <c r="F50" s="526">
        <v>25.13</v>
      </c>
      <c r="G50" s="629">
        <v>21.83</v>
      </c>
      <c r="H50" s="629"/>
      <c r="I50" s="520"/>
      <c r="CZ50" s="3">
        <v>30.83</v>
      </c>
    </row>
    <row r="51" spans="1:104" s="3" customFormat="1" ht="23.1" customHeight="1" x14ac:dyDescent="0.15">
      <c r="A51" s="523"/>
      <c r="B51" s="523"/>
      <c r="C51" s="525"/>
      <c r="D51" s="628">
        <v>600</v>
      </c>
      <c r="E51" s="628"/>
      <c r="F51" s="526">
        <v>25.92</v>
      </c>
      <c r="G51" s="629">
        <v>22.62</v>
      </c>
      <c r="H51" s="629"/>
      <c r="I51" s="520" t="s">
        <v>13</v>
      </c>
      <c r="CZ51" s="3">
        <v>31.590000000000117</v>
      </c>
    </row>
    <row r="52" spans="1:104" s="3" customFormat="1" ht="17.25" customHeight="1" x14ac:dyDescent="0.15">
      <c r="CZ52" s="3">
        <v>13.38</v>
      </c>
    </row>
    <row r="53" spans="1:104" s="3" customFormat="1" ht="17.25" customHeight="1" x14ac:dyDescent="0.15">
      <c r="CZ53" s="3">
        <v>9.48</v>
      </c>
    </row>
    <row r="54" spans="1:104" s="3" customFormat="1" ht="17.25" customHeight="1" x14ac:dyDescent="0.15">
      <c r="CZ54" s="3">
        <v>6.56</v>
      </c>
    </row>
    <row r="55" spans="1:104" s="3" customFormat="1" ht="17.25" customHeight="1" x14ac:dyDescent="0.15">
      <c r="CZ55" s="3">
        <v>4.22</v>
      </c>
    </row>
    <row r="56" spans="1:104" s="3" customFormat="1" ht="17.25" customHeight="1" x14ac:dyDescent="0.15">
      <c r="CZ56" s="3">
        <v>3.05</v>
      </c>
    </row>
    <row r="57" spans="1:104" s="3" customFormat="1" ht="17.25" customHeight="1" x14ac:dyDescent="0.15">
      <c r="CZ57" s="3">
        <v>2.27</v>
      </c>
    </row>
    <row r="58" spans="1:104" s="3" customFormat="1" ht="17.25" customHeight="1" x14ac:dyDescent="0.15">
      <c r="CZ58" s="3">
        <v>1.69</v>
      </c>
    </row>
    <row r="59" spans="1:104" s="3" customFormat="1" ht="17.25" customHeight="1" x14ac:dyDescent="0.15">
      <c r="CZ59" s="3">
        <v>1.22</v>
      </c>
    </row>
    <row r="60" spans="1:104" s="3" customFormat="1" ht="17.25" customHeight="1" x14ac:dyDescent="0.15">
      <c r="CZ60" s="3">
        <v>0.83</v>
      </c>
    </row>
    <row r="61" spans="1:104" s="3" customFormat="1" ht="17.25" customHeight="1" x14ac:dyDescent="0.15">
      <c r="CZ61" s="3">
        <v>0.5699999999999994</v>
      </c>
    </row>
    <row r="62" spans="1:104" s="3" customFormat="1" ht="17.25" customHeight="1" x14ac:dyDescent="0.15">
      <c r="CZ62" s="3">
        <v>0.38</v>
      </c>
    </row>
    <row r="63" spans="1:104" s="3" customFormat="1" ht="17.25" customHeight="1" x14ac:dyDescent="0.15">
      <c r="CZ63" s="3">
        <v>0.27999999999999936</v>
      </c>
    </row>
    <row r="64" spans="1:104" s="3" customFormat="1" ht="17.25" customHeight="1" x14ac:dyDescent="0.15">
      <c r="CZ64" s="3">
        <v>0.22</v>
      </c>
    </row>
    <row r="65" spans="102:104" s="3" customFormat="1" ht="17.25" customHeight="1" x14ac:dyDescent="0.15">
      <c r="CZ65" s="3">
        <v>0.17</v>
      </c>
    </row>
    <row r="66" spans="102:104" s="3" customFormat="1" ht="17.25" customHeight="1" x14ac:dyDescent="0.15">
      <c r="CZ66" s="3">
        <v>0.13</v>
      </c>
    </row>
    <row r="67" spans="102:104" s="3" customFormat="1" ht="17.25" customHeight="1" x14ac:dyDescent="0.15">
      <c r="CX67" s="3">
        <v>9.9999999999999645E-2</v>
      </c>
    </row>
    <row r="68" spans="102:104" s="3" customFormat="1" ht="17.25" customHeight="1" x14ac:dyDescent="0.15"/>
    <row r="69" spans="102:104" s="3" customFormat="1" ht="17.25" customHeight="1" x14ac:dyDescent="0.15"/>
    <row r="70" spans="102:104" s="3" customFormat="1" ht="17.25" customHeight="1" x14ac:dyDescent="0.15"/>
    <row r="71" spans="102:104" s="3" customFormat="1" ht="17.25" customHeight="1" x14ac:dyDescent="0.15"/>
    <row r="72" spans="102:104" s="3" customFormat="1" ht="17.25" customHeight="1" x14ac:dyDescent="0.15"/>
    <row r="73" spans="102:104" s="3" customFormat="1" ht="17.25" customHeight="1" x14ac:dyDescent="0.15"/>
    <row r="74" spans="102:104" s="3" customFormat="1" ht="17.25" customHeight="1" x14ac:dyDescent="0.15"/>
    <row r="75" spans="102:104" s="3" customFormat="1" ht="17.25" customHeight="1" x14ac:dyDescent="0.15"/>
    <row r="76" spans="102:104" s="3" customFormat="1" ht="17.25" customHeight="1" x14ac:dyDescent="0.15"/>
    <row r="77" spans="102:104" s="3" customFormat="1" ht="17.25" customHeight="1" x14ac:dyDescent="0.15"/>
    <row r="78" spans="102:104" s="3" customFormat="1" ht="17.25" customHeight="1" x14ac:dyDescent="0.15"/>
    <row r="79" spans="102:104" s="3" customFormat="1" ht="17.25" customHeight="1" x14ac:dyDescent="0.15"/>
    <row r="80" spans="102:104" s="3" customFormat="1" ht="17.25" customHeight="1" x14ac:dyDescent="0.15"/>
    <row r="81" s="3" customFormat="1" ht="17.25" customHeight="1" x14ac:dyDescent="0.15"/>
    <row r="82" s="3" customFormat="1" ht="17.25" customHeight="1" x14ac:dyDescent="0.15"/>
    <row r="83" s="3" customFormat="1" ht="17.25" customHeight="1" x14ac:dyDescent="0.15"/>
    <row r="84" s="3" customFormat="1" ht="17.25" customHeight="1" x14ac:dyDescent="0.15"/>
    <row r="85" s="3" customFormat="1" ht="17.25" customHeight="1" x14ac:dyDescent="0.15"/>
    <row r="86" s="3" customFormat="1" ht="17.25" customHeight="1" x14ac:dyDescent="0.15"/>
    <row r="87" s="3" customFormat="1" ht="17.25" customHeight="1" x14ac:dyDescent="0.15"/>
    <row r="88" s="3" customFormat="1" ht="17.25" customHeight="1" x14ac:dyDescent="0.15"/>
    <row r="89" s="3" customFormat="1" ht="17.25" customHeight="1" x14ac:dyDescent="0.15"/>
    <row r="90" s="3" customFormat="1" ht="17.25" customHeight="1" x14ac:dyDescent="0.15"/>
    <row r="91" s="3" customFormat="1" ht="17.25" customHeight="1" x14ac:dyDescent="0.15"/>
    <row r="92" s="3" customFormat="1" ht="17.25" customHeight="1" x14ac:dyDescent="0.15"/>
    <row r="93" s="3" customFormat="1" ht="17.25" customHeight="1" x14ac:dyDescent="0.15"/>
    <row r="94" s="3" customFormat="1" ht="17.25" customHeight="1" x14ac:dyDescent="0.15"/>
    <row r="95" s="3" customFormat="1" ht="17.25" customHeight="1" x14ac:dyDescent="0.15"/>
    <row r="96" s="3" customFormat="1" ht="17.25" customHeight="1" x14ac:dyDescent="0.15"/>
    <row r="97" s="3" customFormat="1" ht="17.25" customHeight="1" x14ac:dyDescent="0.15"/>
    <row r="98" s="3" customFormat="1" ht="17.25" customHeight="1" x14ac:dyDescent="0.15"/>
    <row r="99" s="3" customFormat="1" ht="17.25" customHeight="1" x14ac:dyDescent="0.15"/>
    <row r="100" s="3" customFormat="1" ht="17.25" customHeight="1" x14ac:dyDescent="0.15"/>
    <row r="101" s="3" customFormat="1" ht="17.25" customHeight="1" x14ac:dyDescent="0.15"/>
    <row r="102" s="3" customFormat="1" ht="17.25" customHeight="1" x14ac:dyDescent="0.15"/>
    <row r="103" s="3" customFormat="1" ht="17.25" customHeight="1" x14ac:dyDescent="0.15"/>
    <row r="104" s="3" customFormat="1" ht="17.25" customHeight="1" x14ac:dyDescent="0.15"/>
    <row r="105" s="3" customFormat="1" ht="17.25" customHeight="1" x14ac:dyDescent="0.15"/>
    <row r="106" s="3" customFormat="1" ht="17.25" customHeight="1" x14ac:dyDescent="0.15"/>
    <row r="107" s="3" customFormat="1" ht="17.25" customHeight="1" x14ac:dyDescent="0.15"/>
    <row r="108" s="3" customFormat="1" ht="17.25" customHeight="1" x14ac:dyDescent="0.15"/>
    <row r="109" s="3" customFormat="1" ht="17.25" customHeight="1" x14ac:dyDescent="0.15"/>
    <row r="110" s="3" customFormat="1" ht="17.25" customHeight="1" x14ac:dyDescent="0.15"/>
    <row r="111" s="3" customFormat="1" ht="17.25" customHeight="1" x14ac:dyDescent="0.15"/>
    <row r="112" s="3" customFormat="1" ht="17.25" customHeight="1" x14ac:dyDescent="0.15"/>
    <row r="113" s="3" customFormat="1" ht="17.25" customHeight="1" x14ac:dyDescent="0.15"/>
    <row r="114" s="3" customFormat="1" ht="17.25" customHeight="1" x14ac:dyDescent="0.15"/>
    <row r="115" s="3" customFormat="1" ht="17.25" customHeight="1" x14ac:dyDescent="0.15"/>
    <row r="116" s="3" customFormat="1" ht="17.25" customHeight="1" x14ac:dyDescent="0.15"/>
    <row r="117" s="3" customFormat="1" ht="17.25" customHeight="1" x14ac:dyDescent="0.15"/>
    <row r="118" s="3" customFormat="1" ht="17.25" customHeight="1" x14ac:dyDescent="0.15"/>
    <row r="119" s="3" customFormat="1" ht="17.25" customHeight="1" x14ac:dyDescent="0.15"/>
    <row r="120" s="3" customFormat="1" ht="17.25" customHeight="1" x14ac:dyDescent="0.15"/>
    <row r="121" s="3" customFormat="1" ht="17.25" customHeight="1" x14ac:dyDescent="0.15"/>
    <row r="122" s="3" customFormat="1" ht="17.25" customHeight="1" x14ac:dyDescent="0.15"/>
    <row r="123" s="3" customFormat="1" ht="17.25" customHeight="1" x14ac:dyDescent="0.15"/>
    <row r="124" s="3" customFormat="1" ht="17.25" customHeight="1" x14ac:dyDescent="0.15"/>
    <row r="125" s="3" customFormat="1" ht="17.25" customHeight="1" x14ac:dyDescent="0.15"/>
    <row r="126" s="3" customFormat="1" ht="17.25" customHeight="1" x14ac:dyDescent="0.15"/>
    <row r="127" s="3" customFormat="1" ht="17.25" customHeight="1" x14ac:dyDescent="0.15"/>
    <row r="128" s="3" customFormat="1" ht="17.25" customHeight="1" x14ac:dyDescent="0.15"/>
    <row r="129" s="3" customFormat="1" ht="17.25" customHeight="1" x14ac:dyDescent="0.15"/>
    <row r="130" s="3" customFormat="1" ht="17.25" customHeight="1" x14ac:dyDescent="0.15"/>
    <row r="131" s="3" customFormat="1" ht="17.25" customHeight="1" x14ac:dyDescent="0.15"/>
    <row r="132" s="3" customFormat="1" ht="17.25" customHeight="1" x14ac:dyDescent="0.15"/>
    <row r="133" s="3" customFormat="1" ht="17.25" customHeight="1" x14ac:dyDescent="0.15"/>
    <row r="134" s="3" customFormat="1" ht="17.25" customHeight="1" x14ac:dyDescent="0.15"/>
    <row r="135" s="3" customFormat="1" ht="17.25" customHeight="1" x14ac:dyDescent="0.15"/>
    <row r="136" s="3" customFormat="1" ht="17.25" customHeight="1" x14ac:dyDescent="0.15"/>
    <row r="137" s="3" customFormat="1" ht="17.25" customHeight="1" x14ac:dyDescent="0.15"/>
    <row r="138" s="3" customFormat="1" ht="17.25" customHeight="1" x14ac:dyDescent="0.15"/>
    <row r="139" s="3" customFormat="1" ht="17.25" customHeight="1" x14ac:dyDescent="0.15"/>
    <row r="140" s="3" customFormat="1" ht="17.25" customHeight="1" x14ac:dyDescent="0.15"/>
    <row r="141" s="3" customFormat="1" ht="17.25" customHeight="1" x14ac:dyDescent="0.15"/>
    <row r="142" s="3" customFormat="1" ht="17.25" customHeight="1" x14ac:dyDescent="0.15"/>
    <row r="143" s="3" customFormat="1" ht="17.25" customHeight="1" x14ac:dyDescent="0.15"/>
    <row r="144" s="3" customFormat="1" ht="17.25" customHeight="1" x14ac:dyDescent="0.15"/>
    <row r="145" s="3" customFormat="1" ht="17.25" customHeight="1" x14ac:dyDescent="0.15"/>
    <row r="146" s="3" customFormat="1" ht="17.25" customHeight="1" x14ac:dyDescent="0.15"/>
    <row r="147" s="3" customFormat="1" ht="17.25" customHeight="1" x14ac:dyDescent="0.15"/>
    <row r="148" s="3" customFormat="1" ht="17.25" customHeight="1" x14ac:dyDescent="0.15"/>
    <row r="149" s="3" customFormat="1" ht="17.25" customHeight="1" x14ac:dyDescent="0.15"/>
    <row r="150" s="3" customFormat="1" ht="17.25" customHeight="1" x14ac:dyDescent="0.15"/>
    <row r="151" s="3" customFormat="1" ht="17.25" customHeight="1" x14ac:dyDescent="0.15"/>
    <row r="152" s="3" customFormat="1" ht="17.25" customHeight="1" x14ac:dyDescent="0.15"/>
    <row r="153" s="3" customFormat="1" ht="17.25" customHeight="1" x14ac:dyDescent="0.15"/>
    <row r="154" s="3" customFormat="1" ht="17.25" customHeight="1" x14ac:dyDescent="0.15"/>
    <row r="155" s="3" customFormat="1" ht="17.25" customHeight="1" x14ac:dyDescent="0.15"/>
    <row r="156" s="3" customFormat="1" ht="17.25" customHeight="1" x14ac:dyDescent="0.15"/>
    <row r="157" s="3" customFormat="1" ht="17.25" customHeight="1" x14ac:dyDescent="0.15"/>
    <row r="158" s="3" customFormat="1" ht="17.25" customHeight="1" x14ac:dyDescent="0.15"/>
    <row r="159" s="3" customFormat="1" ht="17.25" customHeight="1" x14ac:dyDescent="0.15"/>
    <row r="160" s="3" customFormat="1" ht="17.25" customHeight="1" x14ac:dyDescent="0.15"/>
    <row r="161" s="3" customFormat="1" ht="17.25" customHeight="1" x14ac:dyDescent="0.15"/>
    <row r="162" s="3" customFormat="1" ht="17.25" customHeight="1" x14ac:dyDescent="0.15"/>
    <row r="163" s="3" customFormat="1" ht="17.25" customHeight="1" x14ac:dyDescent="0.15"/>
    <row r="164" s="3" customFormat="1" ht="17.25" customHeight="1" x14ac:dyDescent="0.15"/>
    <row r="165" s="3" customFormat="1" ht="17.25" customHeight="1" x14ac:dyDescent="0.15"/>
    <row r="166" s="3" customFormat="1" ht="17.25" customHeight="1" x14ac:dyDescent="0.15"/>
    <row r="167" s="3" customFormat="1" ht="17.25" customHeight="1" x14ac:dyDescent="0.15"/>
    <row r="168" s="3" customFormat="1" ht="17.25" customHeight="1" x14ac:dyDescent="0.15"/>
    <row r="169" s="3" customFormat="1" ht="17.25" customHeight="1" x14ac:dyDescent="0.15"/>
    <row r="170" s="3" customFormat="1" ht="17.25" customHeight="1" x14ac:dyDescent="0.15"/>
    <row r="171" s="3" customFormat="1" ht="17.25" customHeight="1" x14ac:dyDescent="0.15"/>
    <row r="172" s="3" customFormat="1" ht="17.25" customHeight="1" x14ac:dyDescent="0.15"/>
    <row r="173" s="3" customFormat="1" ht="17.25" customHeight="1" x14ac:dyDescent="0.15"/>
    <row r="174" s="3" customFormat="1" ht="17.25" customHeight="1" x14ac:dyDescent="0.15"/>
    <row r="175" s="3" customFormat="1" ht="17.25" customHeight="1" x14ac:dyDescent="0.15"/>
    <row r="176" s="3" customFormat="1" ht="17.25" customHeight="1" x14ac:dyDescent="0.15"/>
    <row r="177" s="3" customFormat="1" ht="17.25" customHeight="1" x14ac:dyDescent="0.15"/>
    <row r="178" s="3" customFormat="1" ht="17.25" customHeight="1" x14ac:dyDescent="0.15"/>
    <row r="179" s="3" customFormat="1" ht="17.25" customHeight="1" x14ac:dyDescent="0.15"/>
    <row r="180" s="3" customFormat="1" ht="17.25" customHeight="1" x14ac:dyDescent="0.15"/>
    <row r="181" s="3" customFormat="1" ht="17.25" customHeight="1" x14ac:dyDescent="0.15"/>
    <row r="182" s="3" customFormat="1" ht="17.25" customHeight="1" x14ac:dyDescent="0.15"/>
    <row r="183" s="3" customFormat="1" ht="17.25" customHeight="1" x14ac:dyDescent="0.15"/>
    <row r="184" s="3" customFormat="1" ht="17.25" customHeight="1" x14ac:dyDescent="0.15"/>
    <row r="185" s="3" customFormat="1" ht="17.25" customHeight="1" x14ac:dyDescent="0.15"/>
    <row r="186" s="3" customFormat="1" ht="17.25" customHeight="1" x14ac:dyDescent="0.15"/>
    <row r="187" s="3" customFormat="1" ht="17.25" customHeight="1" x14ac:dyDescent="0.15"/>
    <row r="188" s="3" customFormat="1" ht="17.25" customHeight="1" x14ac:dyDescent="0.15"/>
    <row r="189" s="3" customFormat="1" ht="17.25" customHeight="1" x14ac:dyDescent="0.15"/>
    <row r="190" s="3" customFormat="1" ht="17.25" customHeight="1" x14ac:dyDescent="0.15"/>
    <row r="191" s="3" customFormat="1" ht="17.25" customHeight="1" x14ac:dyDescent="0.15"/>
    <row r="192" s="3" customFormat="1" ht="17.25" customHeight="1" x14ac:dyDescent="0.15"/>
    <row r="193" s="3" customFormat="1" ht="17.25" customHeight="1" x14ac:dyDescent="0.15"/>
    <row r="194" s="3" customFormat="1" ht="17.25" customHeight="1" x14ac:dyDescent="0.15"/>
    <row r="195" s="3" customFormat="1" ht="17.25" customHeight="1" x14ac:dyDescent="0.15"/>
    <row r="196" s="3" customFormat="1" ht="17.25" customHeight="1" x14ac:dyDescent="0.15"/>
    <row r="197" s="3" customFormat="1" ht="17.25" customHeight="1" x14ac:dyDescent="0.15"/>
    <row r="198" s="3" customFormat="1" ht="17.25" customHeight="1" x14ac:dyDescent="0.15"/>
    <row r="199" s="3" customFormat="1" ht="17.25" customHeight="1" x14ac:dyDescent="0.15"/>
    <row r="200" s="3" customFormat="1" ht="17.25" customHeight="1" x14ac:dyDescent="0.15"/>
    <row r="201" s="3" customFormat="1" ht="17.25" customHeight="1" x14ac:dyDescent="0.15"/>
    <row r="202" s="3" customFormat="1" ht="17.25" customHeight="1" x14ac:dyDescent="0.15"/>
    <row r="203" s="3" customFormat="1" ht="17.25" customHeight="1" x14ac:dyDescent="0.15"/>
    <row r="204" s="3" customFormat="1" ht="17.25" customHeight="1" x14ac:dyDescent="0.15"/>
    <row r="205" s="3" customFormat="1" ht="17.25" customHeight="1" x14ac:dyDescent="0.15"/>
    <row r="206" s="3" customFormat="1" ht="17.25" customHeight="1" x14ac:dyDescent="0.15"/>
    <row r="207" s="3" customFormat="1" ht="17.25" customHeight="1" x14ac:dyDescent="0.15"/>
    <row r="208" s="3" customFormat="1" ht="17.25" customHeight="1" x14ac:dyDescent="0.15"/>
    <row r="209" s="3" customFormat="1" ht="17.25" customHeight="1" x14ac:dyDescent="0.15"/>
    <row r="210" s="3" customFormat="1" ht="17.25" customHeight="1" x14ac:dyDescent="0.15"/>
    <row r="211" s="3" customFormat="1" ht="17.25" customHeight="1" x14ac:dyDescent="0.15"/>
    <row r="212" s="3" customFormat="1" ht="17.25" customHeight="1" x14ac:dyDescent="0.15"/>
    <row r="213" s="3" customFormat="1" ht="17.25" customHeight="1" x14ac:dyDescent="0.15"/>
    <row r="214" s="3" customFormat="1" ht="17.25" customHeight="1" x14ac:dyDescent="0.15"/>
    <row r="215" s="3" customFormat="1" ht="17.25" customHeight="1" x14ac:dyDescent="0.15"/>
    <row r="216" s="3" customFormat="1" ht="17.25" customHeight="1" x14ac:dyDescent="0.15"/>
    <row r="217" s="3" customFormat="1" ht="17.25" customHeight="1" x14ac:dyDescent="0.15"/>
    <row r="218" s="3" customFormat="1" ht="17.25" customHeight="1" x14ac:dyDescent="0.15"/>
    <row r="219" s="3" customFormat="1" ht="17.25" customHeight="1" x14ac:dyDescent="0.15"/>
    <row r="220" s="3" customFormat="1" ht="17.25" customHeight="1" x14ac:dyDescent="0.15"/>
    <row r="221" s="3" customFormat="1" ht="17.25" customHeight="1" x14ac:dyDescent="0.15"/>
    <row r="222" s="3" customFormat="1" ht="17.25" customHeight="1" x14ac:dyDescent="0.15"/>
    <row r="223" s="3" customFormat="1" ht="17.25" customHeight="1" x14ac:dyDescent="0.15"/>
    <row r="224" s="3" customFormat="1" ht="17.25" customHeight="1" x14ac:dyDescent="0.15"/>
    <row r="225" s="3" customFormat="1" ht="17.25" customHeight="1" x14ac:dyDescent="0.15"/>
    <row r="226" s="3" customFormat="1" ht="17.25" customHeight="1" x14ac:dyDescent="0.15"/>
    <row r="227" s="3" customFormat="1" ht="17.25" customHeight="1" x14ac:dyDescent="0.15"/>
    <row r="228" s="3" customFormat="1" ht="17.25" customHeight="1" x14ac:dyDescent="0.15"/>
    <row r="229" s="3" customFormat="1" ht="17.25" customHeight="1" x14ac:dyDescent="0.15"/>
    <row r="230" s="3" customFormat="1" ht="17.25" customHeight="1" x14ac:dyDescent="0.15"/>
    <row r="231" s="3" customFormat="1" ht="17.25" customHeight="1" x14ac:dyDescent="0.15"/>
    <row r="232" s="3" customFormat="1" ht="17.25" customHeight="1" x14ac:dyDescent="0.15"/>
    <row r="233" s="3" customFormat="1" ht="17.25" customHeight="1" x14ac:dyDescent="0.15"/>
    <row r="234" s="3" customFormat="1" ht="17.25" customHeight="1" x14ac:dyDescent="0.15"/>
    <row r="235" s="3" customFormat="1" ht="17.25" customHeight="1" x14ac:dyDescent="0.15"/>
    <row r="236" s="3" customFormat="1" ht="17.25" customHeight="1" x14ac:dyDescent="0.15"/>
    <row r="237" s="3" customFormat="1" ht="17.25" customHeight="1" x14ac:dyDescent="0.15"/>
    <row r="238" s="3" customFormat="1" ht="17.25" customHeight="1" x14ac:dyDescent="0.15"/>
    <row r="239" s="3" customFormat="1" ht="17.25" customHeight="1" x14ac:dyDescent="0.15"/>
    <row r="240" s="3" customFormat="1" ht="17.25" customHeight="1" x14ac:dyDescent="0.15"/>
    <row r="241" s="3" customFormat="1" ht="17.25" customHeight="1" x14ac:dyDescent="0.15"/>
    <row r="242" s="3" customFormat="1" ht="17.25" customHeight="1" x14ac:dyDescent="0.15"/>
    <row r="243" s="3" customFormat="1" ht="17.25" customHeight="1" x14ac:dyDescent="0.15"/>
    <row r="244" s="3" customFormat="1" ht="17.25" customHeight="1" x14ac:dyDescent="0.15"/>
    <row r="245" s="3" customFormat="1" ht="17.25" customHeight="1" x14ac:dyDescent="0.15"/>
    <row r="246" s="3" customFormat="1" ht="17.25" customHeight="1" x14ac:dyDescent="0.15"/>
    <row r="247" s="3" customFormat="1" ht="17.25" customHeight="1" x14ac:dyDescent="0.15"/>
    <row r="248" s="3" customFormat="1" ht="17.25" customHeight="1" x14ac:dyDescent="0.15"/>
    <row r="249" s="3" customFormat="1" ht="17.25" customHeight="1" x14ac:dyDescent="0.15"/>
    <row r="250" s="3" customFormat="1" ht="17.25" customHeight="1" x14ac:dyDescent="0.15"/>
    <row r="251" s="3" customFormat="1" ht="17.25" customHeight="1" x14ac:dyDescent="0.15"/>
    <row r="252" s="3" customFormat="1" ht="17.25" customHeight="1" x14ac:dyDescent="0.15"/>
    <row r="253" s="3" customFormat="1" ht="17.25" customHeight="1" x14ac:dyDescent="0.15"/>
    <row r="254" s="3" customFormat="1" ht="17.25" customHeight="1" x14ac:dyDescent="0.15"/>
    <row r="255" s="3" customFormat="1" ht="17.25" customHeight="1" x14ac:dyDescent="0.15"/>
    <row r="256" s="3" customFormat="1" ht="17.25" customHeight="1" x14ac:dyDescent="0.15"/>
    <row r="257" s="3" customFormat="1" ht="17.25" customHeight="1" x14ac:dyDescent="0.15"/>
    <row r="258" s="3" customFormat="1" ht="17.25" customHeight="1" x14ac:dyDescent="0.15"/>
    <row r="259" s="3" customFormat="1" ht="17.25" customHeight="1" x14ac:dyDescent="0.15"/>
    <row r="260" s="3" customFormat="1" ht="17.25" customHeight="1" x14ac:dyDescent="0.15"/>
    <row r="261" s="3" customFormat="1" ht="17.25" customHeight="1" x14ac:dyDescent="0.15"/>
    <row r="262" s="3" customFormat="1" ht="17.25" customHeight="1" x14ac:dyDescent="0.15"/>
    <row r="263" s="3" customFormat="1" ht="17.25" customHeight="1" x14ac:dyDescent="0.15"/>
    <row r="264" s="3" customFormat="1" ht="17.25" customHeight="1" x14ac:dyDescent="0.15"/>
    <row r="265" s="3" customFormat="1" ht="17.25" customHeight="1" x14ac:dyDescent="0.15"/>
    <row r="266" s="3" customFormat="1" ht="17.25" customHeight="1" x14ac:dyDescent="0.15"/>
    <row r="267" s="3" customFormat="1" ht="17.25" customHeight="1" x14ac:dyDescent="0.15"/>
    <row r="268" s="3" customFormat="1" ht="17.25" customHeight="1" x14ac:dyDescent="0.15"/>
    <row r="269" s="3" customFormat="1" ht="17.25" customHeight="1" x14ac:dyDescent="0.15"/>
    <row r="270" s="3" customFormat="1" ht="17.25" customHeight="1" x14ac:dyDescent="0.15"/>
    <row r="271" s="3" customFormat="1" ht="17.25" customHeight="1" x14ac:dyDescent="0.15"/>
    <row r="272" s="3" customFormat="1" ht="17.25" customHeight="1" x14ac:dyDescent="0.15"/>
    <row r="273" s="3" customFormat="1" ht="17.25" customHeight="1" x14ac:dyDescent="0.15"/>
    <row r="274" s="3" customFormat="1" ht="17.25" customHeight="1" x14ac:dyDescent="0.15"/>
    <row r="275" s="3" customFormat="1" ht="17.25" customHeight="1" x14ac:dyDescent="0.15"/>
    <row r="276" s="3" customFormat="1" ht="17.25" customHeight="1" x14ac:dyDescent="0.15"/>
    <row r="277" s="3" customFormat="1" ht="17.25" customHeight="1" x14ac:dyDescent="0.15"/>
    <row r="278" s="3" customFormat="1" ht="17.25" customHeight="1" x14ac:dyDescent="0.15"/>
    <row r="279" s="3" customFormat="1" ht="17.25" customHeight="1" x14ac:dyDescent="0.15"/>
    <row r="280" s="3" customFormat="1" ht="17.25" customHeight="1" x14ac:dyDescent="0.15"/>
    <row r="281" s="3" customFormat="1" ht="17.25" customHeight="1" x14ac:dyDescent="0.15"/>
    <row r="282" s="3" customFormat="1" ht="17.25" customHeight="1" x14ac:dyDescent="0.15"/>
    <row r="283" s="3" customFormat="1" ht="17.25" customHeight="1" x14ac:dyDescent="0.15"/>
    <row r="284" s="3" customFormat="1" ht="17.25" customHeight="1" x14ac:dyDescent="0.15"/>
    <row r="285" s="3" customFormat="1" ht="17.25" customHeight="1" x14ac:dyDescent="0.15"/>
    <row r="286" s="3" customFormat="1" ht="17.25" customHeight="1" x14ac:dyDescent="0.15"/>
    <row r="287" s="3" customFormat="1" ht="17.25" customHeight="1" x14ac:dyDescent="0.15"/>
    <row r="288" s="3" customFormat="1" ht="17.25" customHeight="1" x14ac:dyDescent="0.15"/>
    <row r="289" s="3" customFormat="1" ht="17.25" customHeight="1" x14ac:dyDescent="0.15"/>
    <row r="290" s="3" customFormat="1" ht="17.25" customHeight="1" x14ac:dyDescent="0.15"/>
    <row r="291" s="3" customFormat="1" ht="17.25" customHeight="1" x14ac:dyDescent="0.15"/>
    <row r="292" s="3" customFormat="1" ht="17.25" customHeight="1" x14ac:dyDescent="0.15"/>
    <row r="293" s="3" customFormat="1" ht="17.25" customHeight="1" x14ac:dyDescent="0.15"/>
    <row r="294" s="3" customFormat="1" ht="17.25" customHeight="1" x14ac:dyDescent="0.15"/>
    <row r="295" s="3" customFormat="1" ht="17.25" customHeight="1" x14ac:dyDescent="0.15"/>
    <row r="296" s="3" customFormat="1" ht="17.25" customHeight="1" x14ac:dyDescent="0.15"/>
    <row r="297" s="3" customFormat="1" ht="17.25" customHeight="1" x14ac:dyDescent="0.15"/>
    <row r="298" s="3" customFormat="1" ht="17.25" customHeight="1" x14ac:dyDescent="0.15"/>
    <row r="299" s="3" customFormat="1" ht="17.25" customHeight="1" x14ac:dyDescent="0.15"/>
    <row r="300" s="3" customFormat="1" ht="17.25" customHeight="1" x14ac:dyDescent="0.15"/>
    <row r="301" s="3" customFormat="1" ht="17.25" customHeight="1" x14ac:dyDescent="0.15"/>
    <row r="302" s="3" customFormat="1" ht="17.25" customHeight="1" x14ac:dyDescent="0.15"/>
    <row r="303" s="3" customFormat="1" ht="17.25" customHeight="1" x14ac:dyDescent="0.15"/>
    <row r="304" s="3" customFormat="1" ht="17.25" customHeight="1" x14ac:dyDescent="0.15"/>
    <row r="305" s="3" customFormat="1" ht="17.25" customHeight="1" x14ac:dyDescent="0.15"/>
    <row r="306" s="3" customFormat="1" ht="17.25" customHeight="1" x14ac:dyDescent="0.15"/>
    <row r="307" s="3" customFormat="1" ht="17.25" customHeight="1" x14ac:dyDescent="0.15"/>
    <row r="308" s="3" customFormat="1" ht="17.25" customHeight="1" x14ac:dyDescent="0.15"/>
    <row r="309" s="3" customFormat="1" ht="17.25" customHeight="1" x14ac:dyDescent="0.15"/>
    <row r="310" s="3" customFormat="1" ht="17.25" customHeight="1" x14ac:dyDescent="0.15"/>
    <row r="311" s="3" customFormat="1" ht="17.25" customHeight="1" x14ac:dyDescent="0.15"/>
    <row r="312" s="3" customFormat="1" ht="17.25" customHeight="1" x14ac:dyDescent="0.15"/>
    <row r="313" s="3" customFormat="1" ht="17.25" customHeight="1" x14ac:dyDescent="0.15"/>
    <row r="314" s="3" customFormat="1" ht="17.25" customHeight="1" x14ac:dyDescent="0.15"/>
    <row r="315" s="3" customFormat="1" ht="17.25" customHeight="1" x14ac:dyDescent="0.15"/>
    <row r="316" s="3" customFormat="1" ht="17.25" customHeight="1" x14ac:dyDescent="0.15"/>
    <row r="317" s="3" customFormat="1" ht="17.25" customHeight="1" x14ac:dyDescent="0.15"/>
    <row r="318" s="3" customFormat="1" ht="17.25" customHeight="1" x14ac:dyDescent="0.15"/>
    <row r="319" s="3" customFormat="1" ht="17.25" customHeight="1" x14ac:dyDescent="0.15"/>
    <row r="320" s="3" customFormat="1" ht="17.25" customHeight="1" x14ac:dyDescent="0.15"/>
    <row r="321" s="3" customFormat="1" ht="17.25" customHeight="1" x14ac:dyDescent="0.15"/>
    <row r="322" s="3" customFormat="1" ht="17.25" customHeight="1" x14ac:dyDescent="0.15"/>
    <row r="323" s="3" customFormat="1" ht="17.25" customHeight="1" x14ac:dyDescent="0.15"/>
    <row r="324" s="3" customFormat="1" ht="17.25" customHeight="1" x14ac:dyDescent="0.15"/>
    <row r="325" s="3" customFormat="1" ht="17.25" customHeight="1" x14ac:dyDescent="0.15"/>
    <row r="326" s="3" customFormat="1" ht="17.25" customHeight="1" x14ac:dyDescent="0.15"/>
    <row r="327" s="3" customFormat="1" ht="17.25" customHeight="1" x14ac:dyDescent="0.15"/>
    <row r="328" s="3" customFormat="1" ht="17.25" customHeight="1" x14ac:dyDescent="0.15"/>
    <row r="329" s="3" customFormat="1" ht="17.25" customHeight="1" x14ac:dyDescent="0.15"/>
    <row r="330" s="3" customFormat="1" ht="17.25" customHeight="1" x14ac:dyDescent="0.15"/>
    <row r="331" s="3" customFormat="1" ht="17.25" customHeight="1" x14ac:dyDescent="0.15"/>
    <row r="332" s="3" customFormat="1" ht="17.25" customHeight="1" x14ac:dyDescent="0.15"/>
    <row r="333" s="3" customFormat="1" ht="17.25" customHeight="1" x14ac:dyDescent="0.15"/>
    <row r="334" s="3" customFormat="1" ht="17.25" customHeight="1" x14ac:dyDescent="0.15"/>
    <row r="335" s="3" customFormat="1" ht="17.25" customHeight="1" x14ac:dyDescent="0.15"/>
    <row r="336" s="3" customFormat="1" ht="17.25" customHeight="1" x14ac:dyDescent="0.15"/>
    <row r="337" s="3" customFormat="1" ht="17.25" customHeight="1" x14ac:dyDescent="0.15"/>
    <row r="338" s="3" customFormat="1" ht="17.25" customHeight="1" x14ac:dyDescent="0.15"/>
    <row r="339" s="3" customFormat="1" ht="17.25" customHeight="1" x14ac:dyDescent="0.15"/>
    <row r="340" s="3" customFormat="1" ht="17.25" customHeight="1" x14ac:dyDescent="0.15"/>
    <row r="341" s="3" customFormat="1" ht="17.25" customHeight="1" x14ac:dyDescent="0.15"/>
    <row r="342" s="3" customFormat="1" ht="17.25" customHeight="1" x14ac:dyDescent="0.15"/>
    <row r="343" s="3" customFormat="1" ht="17.25" customHeight="1" x14ac:dyDescent="0.15"/>
    <row r="344" s="3" customFormat="1" ht="17.25" customHeight="1" x14ac:dyDescent="0.15"/>
    <row r="345" s="3" customFormat="1" ht="17.25" customHeight="1" x14ac:dyDescent="0.15"/>
    <row r="346" s="3" customFormat="1" ht="17.25" customHeight="1" x14ac:dyDescent="0.15"/>
    <row r="347" s="3" customFormat="1" ht="17.25" customHeight="1" x14ac:dyDescent="0.15"/>
    <row r="348" s="3" customFormat="1" ht="17.25" customHeight="1" x14ac:dyDescent="0.15"/>
    <row r="349" s="3" customFormat="1" ht="17.25" customHeight="1" x14ac:dyDescent="0.15"/>
    <row r="350" s="3" customFormat="1" ht="17.25" customHeight="1" x14ac:dyDescent="0.15"/>
    <row r="351" s="3" customFormat="1" ht="17.25" customHeight="1" x14ac:dyDescent="0.15"/>
    <row r="352" s="3" customFormat="1" ht="17.25" customHeight="1" x14ac:dyDescent="0.15"/>
    <row r="353" s="3" customFormat="1" ht="17.25" customHeight="1" x14ac:dyDescent="0.15"/>
    <row r="354" s="3" customFormat="1" ht="17.25" customHeight="1" x14ac:dyDescent="0.15"/>
    <row r="355" s="3" customFormat="1" ht="17.25" customHeight="1" x14ac:dyDescent="0.15"/>
    <row r="356" s="3" customFormat="1" ht="17.25" customHeight="1" x14ac:dyDescent="0.15"/>
    <row r="357" s="3" customFormat="1" ht="17.25" customHeight="1" x14ac:dyDescent="0.15"/>
    <row r="358" s="3" customFormat="1" ht="17.25" customHeight="1" x14ac:dyDescent="0.15"/>
    <row r="359" s="3" customFormat="1" ht="17.25" customHeight="1" x14ac:dyDescent="0.15"/>
    <row r="360" s="3" customFormat="1" ht="17.25" customHeight="1" x14ac:dyDescent="0.15"/>
    <row r="361" s="3" customFormat="1" ht="17.25" customHeight="1" x14ac:dyDescent="0.15"/>
    <row r="362" s="3" customFormat="1" ht="17.25" customHeight="1" x14ac:dyDescent="0.15"/>
    <row r="363" s="3" customFormat="1" ht="17.25" customHeight="1" x14ac:dyDescent="0.15"/>
    <row r="364" s="3" customFormat="1" ht="17.25" customHeight="1" x14ac:dyDescent="0.15"/>
    <row r="365" s="3" customFormat="1" ht="17.25" customHeight="1" x14ac:dyDescent="0.15"/>
    <row r="366" s="3" customFormat="1" ht="17.25" customHeight="1" x14ac:dyDescent="0.15"/>
    <row r="367" s="3" customFormat="1" ht="17.25" customHeight="1" x14ac:dyDescent="0.15"/>
    <row r="368" s="3" customFormat="1" ht="17.25" customHeight="1" x14ac:dyDescent="0.15"/>
    <row r="369" s="3" customFormat="1" ht="17.25" customHeight="1" x14ac:dyDescent="0.15"/>
    <row r="370" s="3" customFormat="1" ht="17.25" customHeight="1" x14ac:dyDescent="0.15"/>
    <row r="371" s="3" customFormat="1" ht="17.25" customHeight="1" x14ac:dyDescent="0.15"/>
    <row r="372" s="3" customFormat="1" ht="17.25" customHeight="1" x14ac:dyDescent="0.15"/>
    <row r="373" s="3" customFormat="1" ht="17.25" customHeight="1" x14ac:dyDescent="0.15"/>
    <row r="374" s="3" customFormat="1" ht="17.25" customHeight="1" x14ac:dyDescent="0.15"/>
    <row r="375" s="3" customFormat="1" ht="17.25" customHeight="1" x14ac:dyDescent="0.15"/>
    <row r="376" s="3" customFormat="1" ht="17.25" customHeight="1" x14ac:dyDescent="0.15"/>
    <row r="377" s="3" customFormat="1" ht="17.25" customHeight="1" x14ac:dyDescent="0.15"/>
    <row r="378" s="3" customFormat="1" ht="17.25" customHeight="1" x14ac:dyDescent="0.15"/>
    <row r="379" s="3" customFormat="1" ht="17.25" customHeight="1" x14ac:dyDescent="0.15"/>
    <row r="380" s="3" customFormat="1" ht="17.25" customHeight="1" x14ac:dyDescent="0.15"/>
    <row r="381" s="3" customFormat="1" ht="17.25" customHeight="1" x14ac:dyDescent="0.15"/>
    <row r="382" s="3" customFormat="1" ht="17.25" customHeight="1" x14ac:dyDescent="0.15"/>
    <row r="383" s="3" customFormat="1" ht="17.25" customHeight="1" x14ac:dyDescent="0.15"/>
    <row r="384" s="3" customFormat="1" ht="17.25" customHeight="1" x14ac:dyDescent="0.15"/>
    <row r="385" s="3" customFormat="1" ht="17.25" customHeight="1" x14ac:dyDescent="0.15"/>
    <row r="386" s="3" customFormat="1" ht="17.25" customHeight="1" x14ac:dyDescent="0.15"/>
    <row r="387" s="3" customFormat="1" ht="17.25" customHeight="1" x14ac:dyDescent="0.15"/>
    <row r="388" s="3" customFormat="1" ht="17.25" customHeight="1" x14ac:dyDescent="0.15"/>
    <row r="389" s="3" customFormat="1" ht="17.25" customHeight="1" x14ac:dyDescent="0.15"/>
    <row r="390" s="3" customFormat="1" ht="17.25" customHeight="1" x14ac:dyDescent="0.15"/>
    <row r="391" s="3" customFormat="1" ht="17.25" customHeight="1" x14ac:dyDescent="0.15"/>
    <row r="392" s="3" customFormat="1" ht="17.25" customHeight="1" x14ac:dyDescent="0.15"/>
    <row r="393" s="3" customFormat="1" ht="17.25" customHeight="1" x14ac:dyDescent="0.15"/>
    <row r="394" s="3" customFormat="1" ht="17.25" customHeight="1" x14ac:dyDescent="0.15"/>
    <row r="395" s="3" customFormat="1" ht="17.25" customHeight="1" x14ac:dyDescent="0.15"/>
    <row r="396" s="3" customFormat="1" ht="17.25" customHeight="1" x14ac:dyDescent="0.15"/>
    <row r="397" s="3" customFormat="1" ht="17.25" customHeight="1" x14ac:dyDescent="0.15"/>
    <row r="398" s="3" customFormat="1" ht="17.25" customHeight="1" x14ac:dyDescent="0.15"/>
    <row r="399" s="3" customFormat="1" ht="17.25" customHeight="1" x14ac:dyDescent="0.15"/>
    <row r="400" s="3" customFormat="1" ht="17.25" customHeight="1" x14ac:dyDescent="0.15"/>
    <row r="401" s="3" customFormat="1" ht="17.25" customHeight="1" x14ac:dyDescent="0.15"/>
    <row r="402" s="3" customFormat="1" ht="17.25" customHeight="1" x14ac:dyDescent="0.15"/>
    <row r="403" s="3" customFormat="1" ht="17.25" customHeight="1" x14ac:dyDescent="0.15"/>
    <row r="404" s="3" customFormat="1" ht="17.25" customHeight="1" x14ac:dyDescent="0.15"/>
    <row r="405" s="3" customFormat="1" ht="17.25" customHeight="1" x14ac:dyDescent="0.15"/>
    <row r="406" s="3" customFormat="1" ht="17.25" customHeight="1" x14ac:dyDescent="0.15"/>
    <row r="407" s="3" customFormat="1" ht="17.25" customHeight="1" x14ac:dyDescent="0.15"/>
    <row r="408" s="3" customFormat="1" ht="17.25" customHeight="1" x14ac:dyDescent="0.15"/>
    <row r="409" s="3" customFormat="1" ht="17.25" customHeight="1" x14ac:dyDescent="0.15"/>
    <row r="410" s="3" customFormat="1" ht="17.25" customHeight="1" x14ac:dyDescent="0.15"/>
    <row r="411" s="3" customFormat="1" ht="17.25" customHeight="1" x14ac:dyDescent="0.15"/>
    <row r="412" s="3" customFormat="1" ht="17.25" customHeight="1" x14ac:dyDescent="0.15"/>
    <row r="413" s="3" customFormat="1" ht="17.25" customHeight="1" x14ac:dyDescent="0.15"/>
    <row r="414" s="3" customFormat="1" ht="17.25" customHeight="1" x14ac:dyDescent="0.15"/>
    <row r="415" s="3" customFormat="1" x14ac:dyDescent="0.15"/>
    <row r="416" s="3" customFormat="1" x14ac:dyDescent="0.15"/>
    <row r="417" s="3" customFormat="1" x14ac:dyDescent="0.15"/>
    <row r="418" s="3" customFormat="1" x14ac:dyDescent="0.15"/>
    <row r="419" s="3" customFormat="1" x14ac:dyDescent="0.15"/>
    <row r="420" s="3" customFormat="1" x14ac:dyDescent="0.15"/>
    <row r="421" s="3" customFormat="1" x14ac:dyDescent="0.15"/>
    <row r="422" s="3" customFormat="1" x14ac:dyDescent="0.15"/>
    <row r="423" s="3" customFormat="1" x14ac:dyDescent="0.15"/>
    <row r="424" s="3" customFormat="1" x14ac:dyDescent="0.15"/>
    <row r="425" s="3" customFormat="1" x14ac:dyDescent="0.15"/>
    <row r="426" s="3" customFormat="1" x14ac:dyDescent="0.15"/>
    <row r="427" s="3" customFormat="1" x14ac:dyDescent="0.15"/>
    <row r="428" s="3" customFormat="1" x14ac:dyDescent="0.15"/>
    <row r="429" s="3" customFormat="1" x14ac:dyDescent="0.15"/>
    <row r="430" s="3" customFormat="1" x14ac:dyDescent="0.15"/>
    <row r="431" s="3" customFormat="1" x14ac:dyDescent="0.15"/>
    <row r="432" s="3" customFormat="1" x14ac:dyDescent="0.15"/>
    <row r="433" s="3" customFormat="1" x14ac:dyDescent="0.15"/>
    <row r="434" s="3" customFormat="1" x14ac:dyDescent="0.15"/>
    <row r="435" s="3" customFormat="1" x14ac:dyDescent="0.15"/>
    <row r="436" s="3" customFormat="1" x14ac:dyDescent="0.15"/>
    <row r="437" s="3" customFormat="1" x14ac:dyDescent="0.15"/>
    <row r="438" s="3" customFormat="1" x14ac:dyDescent="0.15"/>
    <row r="439" s="3" customFormat="1" x14ac:dyDescent="0.15"/>
    <row r="440" s="3" customFormat="1" x14ac:dyDescent="0.15"/>
    <row r="441" s="3" customFormat="1" x14ac:dyDescent="0.15"/>
    <row r="442" s="3" customFormat="1" x14ac:dyDescent="0.15"/>
    <row r="443" s="3" customFormat="1" x14ac:dyDescent="0.15"/>
    <row r="444" s="3" customFormat="1" x14ac:dyDescent="0.15"/>
    <row r="445" s="3" customFormat="1" x14ac:dyDescent="0.15"/>
    <row r="446" s="3" customFormat="1" x14ac:dyDescent="0.15"/>
    <row r="447" s="3" customFormat="1" x14ac:dyDescent="0.15"/>
    <row r="448" s="3" customFormat="1" x14ac:dyDescent="0.15"/>
    <row r="449" s="3" customFormat="1" x14ac:dyDescent="0.15"/>
    <row r="450" s="3" customFormat="1" x14ac:dyDescent="0.15"/>
    <row r="451" s="3" customFormat="1" x14ac:dyDescent="0.15"/>
    <row r="452" s="3" customFormat="1" x14ac:dyDescent="0.15"/>
    <row r="453" s="3" customFormat="1" x14ac:dyDescent="0.15"/>
    <row r="454" s="3" customFormat="1" x14ac:dyDescent="0.15"/>
    <row r="455" s="3" customFormat="1" x14ac:dyDescent="0.15"/>
    <row r="456" s="3" customFormat="1" x14ac:dyDescent="0.15"/>
    <row r="457" s="3" customFormat="1" x14ac:dyDescent="0.15"/>
    <row r="458" s="3" customFormat="1" x14ac:dyDescent="0.15"/>
    <row r="459" s="3" customFormat="1" x14ac:dyDescent="0.15"/>
    <row r="460" s="3" customFormat="1" x14ac:dyDescent="0.15"/>
    <row r="461" s="3" customFormat="1" x14ac:dyDescent="0.15"/>
    <row r="462" s="3" customFormat="1" x14ac:dyDescent="0.15"/>
    <row r="463" s="3" customFormat="1" x14ac:dyDescent="0.15"/>
    <row r="464" s="3" customFormat="1" x14ac:dyDescent="0.15"/>
    <row r="465" s="3" customFormat="1" x14ac:dyDescent="0.15"/>
    <row r="466" s="3" customFormat="1" x14ac:dyDescent="0.15"/>
    <row r="467" s="3" customFormat="1" x14ac:dyDescent="0.15"/>
    <row r="468" s="3" customFormat="1" x14ac:dyDescent="0.15"/>
    <row r="469" s="3" customFormat="1" x14ac:dyDescent="0.15"/>
    <row r="470" s="3" customFormat="1" x14ac:dyDescent="0.15"/>
    <row r="471" s="3" customFormat="1" x14ac:dyDescent="0.15"/>
    <row r="472" s="3" customFormat="1" x14ac:dyDescent="0.15"/>
    <row r="473" s="3" customFormat="1" x14ac:dyDescent="0.15"/>
    <row r="474" s="3" customFormat="1" x14ac:dyDescent="0.15"/>
    <row r="475" s="3" customFormat="1" x14ac:dyDescent="0.15"/>
    <row r="476" s="3" customFormat="1" x14ac:dyDescent="0.15"/>
    <row r="477" s="3" customFormat="1" x14ac:dyDescent="0.15"/>
    <row r="478" s="3" customFormat="1" x14ac:dyDescent="0.15"/>
    <row r="479" s="3" customFormat="1" x14ac:dyDescent="0.15"/>
    <row r="480" s="3" customFormat="1" x14ac:dyDescent="0.15"/>
    <row r="481" s="3" customFormat="1" x14ac:dyDescent="0.15"/>
    <row r="482" s="3" customFormat="1" x14ac:dyDescent="0.15"/>
    <row r="483" s="3" customFormat="1" x14ac:dyDescent="0.15"/>
    <row r="484" s="3" customFormat="1" x14ac:dyDescent="0.15"/>
    <row r="485" s="3" customFormat="1" x14ac:dyDescent="0.15"/>
    <row r="486" s="3" customFormat="1" x14ac:dyDescent="0.15"/>
    <row r="487" s="3" customFormat="1" x14ac:dyDescent="0.15"/>
    <row r="488" s="3" customFormat="1" x14ac:dyDescent="0.15"/>
    <row r="489" s="3" customFormat="1" x14ac:dyDescent="0.15"/>
    <row r="490" s="3" customFormat="1" x14ac:dyDescent="0.15"/>
    <row r="491" s="3" customFormat="1" x14ac:dyDescent="0.15"/>
    <row r="492" s="3" customFormat="1" x14ac:dyDescent="0.15"/>
    <row r="493" s="3" customFormat="1" x14ac:dyDescent="0.15"/>
    <row r="494" s="3" customFormat="1" x14ac:dyDescent="0.15"/>
    <row r="495" s="3" customFormat="1" x14ac:dyDescent="0.15"/>
    <row r="496" s="3" customFormat="1" x14ac:dyDescent="0.15"/>
    <row r="497" s="3" customFormat="1" x14ac:dyDescent="0.15"/>
    <row r="498" s="3" customFormat="1" x14ac:dyDescent="0.15"/>
    <row r="499" s="3" customFormat="1" x14ac:dyDescent="0.15"/>
    <row r="500" s="3" customFormat="1" x14ac:dyDescent="0.15"/>
    <row r="501" s="3" customFormat="1" x14ac:dyDescent="0.15"/>
    <row r="502" s="3" customFormat="1" x14ac:dyDescent="0.15"/>
    <row r="503" s="3" customFormat="1" x14ac:dyDescent="0.15"/>
    <row r="504" s="3" customFormat="1" x14ac:dyDescent="0.15"/>
    <row r="505" s="3" customFormat="1" x14ac:dyDescent="0.15"/>
    <row r="506" s="3" customFormat="1" x14ac:dyDescent="0.15"/>
    <row r="507" s="3" customFormat="1" x14ac:dyDescent="0.15"/>
    <row r="508" s="3" customFormat="1" x14ac:dyDescent="0.15"/>
    <row r="509" s="3" customFormat="1" x14ac:dyDescent="0.15"/>
    <row r="510" s="3" customFormat="1" x14ac:dyDescent="0.15"/>
    <row r="511" s="3" customFormat="1" x14ac:dyDescent="0.15"/>
    <row r="512" s="3" customFormat="1" x14ac:dyDescent="0.15"/>
    <row r="513" s="3" customFormat="1" x14ac:dyDescent="0.15"/>
    <row r="514" s="3" customFormat="1" x14ac:dyDescent="0.15"/>
    <row r="515" s="3" customFormat="1" x14ac:dyDescent="0.15"/>
    <row r="516" s="3" customFormat="1" x14ac:dyDescent="0.15"/>
    <row r="517" s="3" customFormat="1" x14ac:dyDescent="0.15"/>
    <row r="518" s="3" customFormat="1" x14ac:dyDescent="0.15"/>
    <row r="519" s="3" customFormat="1" x14ac:dyDescent="0.15"/>
    <row r="520" s="3" customFormat="1" x14ac:dyDescent="0.15"/>
    <row r="521" s="3" customFormat="1" x14ac:dyDescent="0.15"/>
    <row r="522" s="3" customFormat="1" x14ac:dyDescent="0.15"/>
    <row r="523" s="3" customFormat="1" x14ac:dyDescent="0.15"/>
    <row r="524" s="3" customFormat="1" x14ac:dyDescent="0.15"/>
    <row r="525" s="3" customFormat="1" x14ac:dyDescent="0.15"/>
    <row r="526" s="3" customFormat="1" x14ac:dyDescent="0.15"/>
    <row r="527" s="3" customFormat="1" x14ac:dyDescent="0.15"/>
    <row r="528" s="3" customFormat="1" x14ac:dyDescent="0.15"/>
    <row r="529" s="3" customFormat="1" x14ac:dyDescent="0.15"/>
    <row r="530" s="3" customFormat="1" x14ac:dyDescent="0.15"/>
    <row r="531" s="3" customFormat="1" x14ac:dyDescent="0.15"/>
    <row r="532" s="3" customFormat="1" x14ac:dyDescent="0.15"/>
    <row r="533" s="3" customFormat="1" x14ac:dyDescent="0.15"/>
    <row r="534" s="3" customFormat="1" x14ac:dyDescent="0.15"/>
    <row r="535" s="3" customFormat="1" x14ac:dyDescent="0.15"/>
    <row r="536" s="3" customFormat="1" x14ac:dyDescent="0.15"/>
    <row r="537" s="3" customFormat="1" x14ac:dyDescent="0.15"/>
    <row r="538" s="3" customFormat="1" x14ac:dyDescent="0.15"/>
    <row r="539" s="3" customFormat="1" x14ac:dyDescent="0.15"/>
    <row r="540" s="3" customFormat="1" x14ac:dyDescent="0.15"/>
    <row r="541" s="3" customFormat="1" x14ac:dyDescent="0.15"/>
    <row r="542" s="3" customFormat="1" x14ac:dyDescent="0.15"/>
    <row r="543" s="3" customFormat="1" x14ac:dyDescent="0.15"/>
    <row r="544" s="3" customFormat="1" x14ac:dyDescent="0.15"/>
    <row r="545" s="3" customFormat="1" x14ac:dyDescent="0.15"/>
    <row r="546" s="3" customFormat="1" x14ac:dyDescent="0.15"/>
    <row r="547" s="3" customFormat="1" x14ac:dyDescent="0.15"/>
    <row r="548" s="3" customFormat="1" x14ac:dyDescent="0.15"/>
    <row r="549" s="3" customFormat="1" x14ac:dyDescent="0.15"/>
    <row r="550" s="3" customFormat="1" x14ac:dyDescent="0.15"/>
    <row r="551" s="3" customFormat="1" x14ac:dyDescent="0.15"/>
    <row r="552" s="3" customFormat="1" x14ac:dyDescent="0.15"/>
    <row r="553" s="3" customFormat="1" x14ac:dyDescent="0.15"/>
    <row r="554" s="3" customFormat="1" x14ac:dyDescent="0.15"/>
    <row r="555" s="3" customFormat="1" x14ac:dyDescent="0.15"/>
    <row r="556" s="3" customFormat="1" x14ac:dyDescent="0.15"/>
    <row r="557" s="3" customFormat="1" x14ac:dyDescent="0.15"/>
    <row r="558" s="3" customFormat="1" x14ac:dyDescent="0.15"/>
    <row r="559" s="3" customFormat="1" x14ac:dyDescent="0.15"/>
    <row r="560" s="3" customFormat="1" x14ac:dyDescent="0.15"/>
    <row r="561" s="3" customFormat="1" x14ac:dyDescent="0.15"/>
    <row r="562" s="3" customFormat="1" x14ac:dyDescent="0.15"/>
    <row r="563" s="3" customFormat="1" x14ac:dyDescent="0.15"/>
    <row r="564" s="3" customFormat="1" x14ac:dyDescent="0.15"/>
    <row r="565" s="3" customFormat="1" x14ac:dyDescent="0.15"/>
    <row r="566" s="3" customFormat="1" x14ac:dyDescent="0.15"/>
    <row r="567" s="3" customFormat="1" x14ac:dyDescent="0.15"/>
    <row r="568" s="3" customFormat="1" x14ac:dyDescent="0.15"/>
    <row r="569" s="3" customFormat="1" x14ac:dyDescent="0.15"/>
    <row r="570" s="3" customFormat="1" x14ac:dyDescent="0.15"/>
    <row r="571" s="3" customFormat="1" x14ac:dyDescent="0.15"/>
    <row r="572" s="3" customFormat="1" x14ac:dyDescent="0.15"/>
    <row r="573" s="3" customFormat="1" x14ac:dyDescent="0.15"/>
    <row r="574" s="3" customFormat="1" x14ac:dyDescent="0.15"/>
    <row r="575" s="3" customFormat="1" x14ac:dyDescent="0.15"/>
    <row r="576" s="3" customFormat="1" x14ac:dyDescent="0.15"/>
    <row r="577" s="3" customFormat="1" x14ac:dyDescent="0.15"/>
    <row r="578" s="3" customFormat="1" x14ac:dyDescent="0.15"/>
    <row r="579" s="3" customFormat="1" x14ac:dyDescent="0.15"/>
    <row r="580" s="3" customFormat="1" x14ac:dyDescent="0.15"/>
    <row r="581" s="3" customFormat="1" x14ac:dyDescent="0.15"/>
    <row r="582" s="3" customFormat="1" x14ac:dyDescent="0.15"/>
    <row r="583" s="3" customFormat="1" x14ac:dyDescent="0.15"/>
    <row r="584" s="3" customFormat="1" x14ac:dyDescent="0.15"/>
    <row r="585" s="3" customFormat="1" x14ac:dyDescent="0.15"/>
    <row r="586" s="3" customFormat="1" x14ac:dyDescent="0.15"/>
    <row r="587" s="3" customFormat="1" x14ac:dyDescent="0.15"/>
    <row r="588" s="3" customFormat="1" x14ac:dyDescent="0.15"/>
    <row r="589" s="3" customFormat="1" x14ac:dyDescent="0.15"/>
    <row r="590" s="3" customFormat="1" x14ac:dyDescent="0.15"/>
    <row r="591" s="3" customFormat="1" x14ac:dyDescent="0.15"/>
    <row r="592" s="3" customFormat="1" x14ac:dyDescent="0.15"/>
    <row r="593" s="3" customFormat="1" x14ac:dyDescent="0.15"/>
    <row r="594" s="3" customFormat="1" x14ac:dyDescent="0.15"/>
    <row r="595" s="3" customFormat="1" x14ac:dyDescent="0.15"/>
    <row r="596" s="3" customFormat="1" x14ac:dyDescent="0.15"/>
    <row r="597" s="3" customFormat="1" x14ac:dyDescent="0.15"/>
    <row r="598" s="3" customFormat="1" x14ac:dyDescent="0.15"/>
    <row r="599" s="3" customFormat="1" x14ac:dyDescent="0.15"/>
    <row r="600" s="3" customFormat="1" x14ac:dyDescent="0.15"/>
    <row r="601" s="3" customFormat="1" x14ac:dyDescent="0.15"/>
    <row r="602" s="3" customFormat="1" x14ac:dyDescent="0.15"/>
    <row r="603" s="3" customFormat="1" x14ac:dyDescent="0.15"/>
    <row r="604" s="3" customFormat="1" x14ac:dyDescent="0.15"/>
    <row r="605" s="3" customFormat="1" x14ac:dyDescent="0.15"/>
    <row r="606" s="3" customFormat="1" x14ac:dyDescent="0.15"/>
    <row r="607" s="3" customFormat="1" x14ac:dyDescent="0.15"/>
    <row r="608" s="3" customFormat="1" x14ac:dyDescent="0.15"/>
    <row r="609" s="3" customFormat="1" x14ac:dyDescent="0.15"/>
    <row r="610" s="3" customFormat="1" x14ac:dyDescent="0.15"/>
    <row r="611" s="3" customFormat="1" x14ac:dyDescent="0.15"/>
    <row r="612" s="3" customFormat="1" x14ac:dyDescent="0.15"/>
    <row r="613" s="3" customFormat="1" x14ac:dyDescent="0.15"/>
    <row r="614" s="3" customFormat="1" x14ac:dyDescent="0.15"/>
    <row r="615" s="3" customFormat="1" x14ac:dyDescent="0.15"/>
    <row r="616" s="3" customFormat="1" x14ac:dyDescent="0.15"/>
    <row r="617" s="3" customFormat="1" x14ac:dyDescent="0.15"/>
    <row r="618" s="3" customFormat="1" x14ac:dyDescent="0.15"/>
    <row r="619" s="3" customFormat="1" x14ac:dyDescent="0.15"/>
    <row r="620" s="3" customFormat="1" x14ac:dyDescent="0.15"/>
    <row r="621" s="3" customFormat="1" x14ac:dyDescent="0.15"/>
    <row r="622" s="3" customFormat="1" x14ac:dyDescent="0.15"/>
    <row r="623" s="3" customFormat="1" x14ac:dyDescent="0.15"/>
    <row r="624" s="3" customFormat="1" x14ac:dyDescent="0.15"/>
    <row r="625" s="3" customFormat="1" x14ac:dyDescent="0.15"/>
    <row r="626" s="3" customFormat="1" x14ac:dyDescent="0.15"/>
    <row r="627" s="3" customFormat="1" x14ac:dyDescent="0.15"/>
    <row r="628" s="3" customFormat="1" x14ac:dyDescent="0.15"/>
    <row r="629" s="3" customFormat="1" x14ac:dyDescent="0.15"/>
    <row r="630" s="3" customFormat="1" x14ac:dyDescent="0.15"/>
    <row r="631" s="3" customFormat="1" x14ac:dyDescent="0.15"/>
    <row r="632" s="3" customFormat="1" x14ac:dyDescent="0.15"/>
    <row r="633" s="3" customFormat="1" x14ac:dyDescent="0.15"/>
    <row r="634" s="3" customFormat="1" x14ac:dyDescent="0.15"/>
    <row r="635" s="3" customFormat="1" x14ac:dyDescent="0.15"/>
    <row r="636" s="3" customFormat="1" x14ac:dyDescent="0.15"/>
    <row r="637" s="3" customFormat="1" x14ac:dyDescent="0.15"/>
    <row r="638" s="3" customFormat="1" x14ac:dyDescent="0.15"/>
    <row r="639" s="3" customFormat="1" x14ac:dyDescent="0.15"/>
    <row r="640" s="3" customFormat="1" x14ac:dyDescent="0.15"/>
    <row r="641" spans="9:9" s="3" customFormat="1" x14ac:dyDescent="0.15"/>
    <row r="642" spans="9:9" s="3" customFormat="1" x14ac:dyDescent="0.15"/>
    <row r="643" spans="9:9" s="3" customFormat="1" x14ac:dyDescent="0.15"/>
    <row r="644" spans="9:9" s="3" customFormat="1" x14ac:dyDescent="0.15"/>
    <row r="645" spans="9:9" s="3" customFormat="1" x14ac:dyDescent="0.15"/>
    <row r="646" spans="9:9" s="3" customFormat="1" x14ac:dyDescent="0.15"/>
    <row r="647" spans="9:9" s="3" customFormat="1" x14ac:dyDescent="0.15"/>
    <row r="648" spans="9:9" s="3" customFormat="1" x14ac:dyDescent="0.15"/>
    <row r="649" spans="9:9" s="3" customFormat="1" x14ac:dyDescent="0.15"/>
    <row r="650" spans="9:9" x14ac:dyDescent="0.15">
      <c r="I650" s="4"/>
    </row>
    <row r="651" spans="9:9" x14ac:dyDescent="0.15">
      <c r="I651" s="4"/>
    </row>
    <row r="652" spans="9:9" x14ac:dyDescent="0.15">
      <c r="I652" s="4"/>
    </row>
    <row r="653" spans="9:9" x14ac:dyDescent="0.15">
      <c r="I653" s="4"/>
    </row>
    <row r="654" spans="9:9" x14ac:dyDescent="0.15">
      <c r="I654" s="4"/>
    </row>
    <row r="655" spans="9:9" x14ac:dyDescent="0.15">
      <c r="I655" s="4"/>
    </row>
    <row r="656" spans="9:9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641" t="s">
        <v>152</v>
      </c>
      <c r="B1" s="641"/>
      <c r="C1" s="641"/>
      <c r="D1" s="641"/>
      <c r="E1" s="641"/>
      <c r="F1" s="641"/>
      <c r="G1" s="641"/>
      <c r="H1" s="641"/>
      <c r="I1" s="641"/>
      <c r="J1" s="641"/>
      <c r="K1" s="641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단계양수시험 (2)</vt:lpstr>
      <vt:lpstr>시추주상</vt:lpstr>
      <vt:lpstr>'w1'!baseTemp</vt:lpstr>
      <vt:lpstr>gongbun</vt:lpstr>
      <vt:lpstr>gongbun2</vt:lpstr>
      <vt:lpstr>out!Print_Area</vt:lpstr>
      <vt:lpstr>단계양수시험!Print_Area</vt:lpstr>
      <vt:lpstr>'단계양수시험 (2)'!Print_Area</vt:lpstr>
      <vt:lpstr>입력표!Print_Area</vt:lpstr>
      <vt:lpstr>장기양수시험!Print_Area</vt:lpstr>
      <vt:lpstr>out!Print_Titles</vt:lpstr>
      <vt:lpstr>단계양수시험!Print_Titles</vt:lpstr>
      <vt:lpstr>'단계양수시험 (2)'!Print_Titles</vt:lpstr>
      <vt:lpstr>장기양수시험!Print_Titles</vt:lpstr>
      <vt:lpstr>pump_hp</vt:lpstr>
      <vt:lpstr>well_radius</vt:lpstr>
      <vt:lpstr>'단계양수시험 (2)'!단계양수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2021-06-17T04:27:09Z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