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7292AB96-9821-4D6F-9C0F-8C88C322953E}" xr6:coauthVersionLast="47" xr6:coauthVersionMax="47" xr10:uidLastSave="{00000000-0000-0000-0000-000000000000}"/>
  <bookViews>
    <workbookView xWindow="-120" yWindow="-120" windowWidth="29040" windowHeight="15840" tabRatio="61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REF!$C$4:$C$13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D4" i="27"/>
  <c r="B15" i="19"/>
  <c r="B14" i="19"/>
  <c r="B13" i="19"/>
  <c r="C7" i="27" l="1"/>
  <c r="L21" i="33"/>
  <c r="L22" i="33"/>
  <c r="L19" i="33"/>
  <c r="L16" i="33"/>
  <c r="L18" i="33"/>
  <c r="L23" i="33"/>
  <c r="L14" i="33"/>
  <c r="L15" i="33"/>
  <c r="L20" i="33"/>
  <c r="L17" i="33"/>
  <c r="M47" i="1" l="1"/>
  <c r="F13" i="27" l="1"/>
  <c r="H60" i="1"/>
  <c r="H16" i="27"/>
  <c r="M16" i="33"/>
  <c r="M15" i="33"/>
  <c r="M20" i="33"/>
  <c r="N23" i="33"/>
  <c r="M18" i="33"/>
  <c r="M17" i="33"/>
  <c r="N21" i="33"/>
  <c r="N17" i="33"/>
  <c r="M23" i="33"/>
  <c r="N16" i="33"/>
  <c r="N19" i="33"/>
  <c r="N15" i="33"/>
  <c r="M19" i="33"/>
  <c r="M22" i="33"/>
  <c r="N20" i="33"/>
  <c r="M14" i="33"/>
  <c r="M21" i="33"/>
  <c r="N14" i="33"/>
  <c r="N18" i="33"/>
  <c r="N22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33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 l="1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AC35" i="3" s="1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H4" i="27" l="1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A27" i="21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C36" i="3" s="1"/>
  <c r="AC37" i="3" s="1"/>
  <c r="AC38" i="3" s="1"/>
  <c r="AB33" i="3" l="1"/>
  <c r="AF33" i="3"/>
  <c r="G41" i="3" s="1"/>
  <c r="A89" i="21"/>
  <c r="AA60" i="3"/>
  <c r="AE60" i="3" s="1"/>
  <c r="D69" i="3"/>
  <c r="E68" i="3"/>
  <c r="Z60" i="3" s="1"/>
  <c r="V35" i="3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여기서</t>
        </r>
        <r>
          <rPr>
            <sz val="9"/>
            <color indexed="81"/>
            <rFont val="Tahoma"/>
            <family val="2"/>
          </rPr>
          <t xml:space="preserve"> 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<sst xmlns="http://schemas.openxmlformats.org/spreadsheetml/2006/main" count="1144" uniqueCount="293">
  <si>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</si>
  <si>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</si>
  <si>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</si>
  <si>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</si>
  <si>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</si>
  <si>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</si>
  <si>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</si>
  <si>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</si>
  <si>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</si>
  <si>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</si>
  <si>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</si>
  <si>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</si>
  <si>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</si>
  <si>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</si>
  <si>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</si>
  <si>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</si>
  <si>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</si>
  <si>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</si>
  <si>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</si>
  <si>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</si>
  <si>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</si>
  <si>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</si>
  <si>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</si>
  <si>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</si>
  <si>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</si>
  <si>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</si>
  <si>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</si>
  <si>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</si>
  <si>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</si>
  <si>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</si>
  <si>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</si>
  <si>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</si>
  <si>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</si>
  <si>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</si>
  <si>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</si>
  <si>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</si>
  <si>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</si>
  <si>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</si>
  <si>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</si>
  <si>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</si>
  <si>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</si>
  <si>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</si>
  <si>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</si>
  <si>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</si>
  <si>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</si>
  <si>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</si>
  <si>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</si>
  <si>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</si>
  <si>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</si>
  <si>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</si>
  <si>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</si>
  <si>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</si>
  <si>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</si>
  <si>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</si>
  <si>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</si>
  <si>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</si>
  <si>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</si>
  <si>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</si>
  <si>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</si>
  <si>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</si>
  <si>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</si>
  <si>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</si>
  <si>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</si>
  <si>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</si>
  <si>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</si>
  <si>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</si>
  <si>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</si>
  <si>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</si>
  <si>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</si>
  <si>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</si>
  <si>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</si>
  <si>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</si>
  <si>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</si>
  <si>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</si>
  <si>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</si>
  <si>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</si>
  <si>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</si>
  <si>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</si>
  <si>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</si>
  <si>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</si>
  <si>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</si>
  <si>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</si>
  <si>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</si>
  <si>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</si>
  <si>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</si>
  <si>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</si>
  <si>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</si>
  <si>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</si>
  <si>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</si>
  <si>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</si>
  <si>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</si>
  <si>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</si>
  <si>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</si>
  <si>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</si>
  <si>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</si>
  <si>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</si>
  <si>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</si>
  <si>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</si>
  <si>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</si>
  <si>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</si>
  <si>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</si>
  <si>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</si>
  <si>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</si>
  <si>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</si>
  <si>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</si>
  <si>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</si>
  <si>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</si>
  <si>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</si>
  <si>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</si>
  <si>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</si>
  <si>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</si>
  <si>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</si>
  <si>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</si>
  <si>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</si>
  <si>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</si>
  <si>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</si>
  <si>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</si>
  <si>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</si>
  <si>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</si>
  <si>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</si>
  <si>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</si>
  <si>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</si>
  <si>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</si>
  <si>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</si>
  <si>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</si>
  <si>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</si>
  <si>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</si>
  <si>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</si>
  <si>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</si>
  <si>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</si>
  <si>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</si>
  <si>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</si>
  <si>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</si>
  <si>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</si>
  <si>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</si>
  <si>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</si>
  <si>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</si>
  <si>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</si>
  <si>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</si>
  <si>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</si>
  <si>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</si>
  <si>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</si>
  <si>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</si>
  <si>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</si>
  <si>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</si>
  <si>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</si>
  <si>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</si>
  <si>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</si>
  <si>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</si>
  <si>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</si>
  <si>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</si>
  <si>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</si>
  <si>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</si>
  <si>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</si>
  <si>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</si>
  <si>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</si>
  <si>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</si>
  <si>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</si>
  <si>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</si>
  <si>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</si>
  <si>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</si>
  <si>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</si>
  <si>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</si>
  <si>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</si>
  <si>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</si>
  <si>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</si>
  <si>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</si>
  <si>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</si>
  <si>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</si>
  <si>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</si>
  <si>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</si>
  <si>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</si>
  <si>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</si>
  <si>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</si>
  <si>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</si>
  <si>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</si>
  <si>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</si>
  <si>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</si>
  <si>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</si>
  <si>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</si>
  <si>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</si>
  <si>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</si>
  <si>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</si>
  <si>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</si>
  <si>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</si>
  <si>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</si>
  <si>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</si>
  <si>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</si>
  <si>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</si>
  <si>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</si>
  <si>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</si>
  <si>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</si>
  <si>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</si>
  <si>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</si>
  <si>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</si>
  <si>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</si>
  <si>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</si>
  <si>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</si>
  <si>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</si>
  <si>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</si>
  <si>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</si>
  <si>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</si>
  <si>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</si>
  <si>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</si>
  <si>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</si>
  <si>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</si>
  <si>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</si>
  <si>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</si>
  <si>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</si>
  <si>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</si>
  <si>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</si>
  <si>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</si>
  <si>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</si>
  <si>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</si>
  <si>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</si>
  <si>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</si>
  <si>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</si>
  <si>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</si>
  <si>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</si>
  <si>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</si>
  <si>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</si>
  <si>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</si>
  <si>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</si>
  <si>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</si>
  <si>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</si>
  <si>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</si>
  <si>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</si>
  <si>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</si>
  <si>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</si>
  <si>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</si>
  <si>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</si>
  <si>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</si>
  <si>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</si>
  <si>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</si>
  <si>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</si>
  <si>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</si>
  <si>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</si>
  <si>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</si>
  <si>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</si>
  <si>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</si>
  <si>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</si>
  <si>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</si>
  <si>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</si>
  <si>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</si>
  <si>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</si>
  <si>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</si>
  <si>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</si>
  <si>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</si>
  <si>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</si>
  <si>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</si>
  <si>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</si>
  <si>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</si>
  <si>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</si>
  <si>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</si>
  <si>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</si>
  <si>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</si>
  <si>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</si>
  <si>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</si>
  <si>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</si>
  <si>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</si>
  <si>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</si>
  <si>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</si>
  <si>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</si>
  <si>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</si>
  <si>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</si>
  <si>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</si>
  <si>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</si>
  <si>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</si>
  <si>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</si>
  <si>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</si>
  <si>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</si>
  <si>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</si>
  <si>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</si>
  <si>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</si>
  <si>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</si>
  <si>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</si>
  <si>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</si>
  <si>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</si>
  <si>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</si>
  <si>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</si>
  <si>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</si>
  <si>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</si>
  <si>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</si>
  <si>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S1:</t>
    <phoneticPr fontId="6" type="noConversion"/>
  </si>
  <si>
    <t>공  번 : W - 1</t>
  </si>
  <si>
    <t>경험식Re3</t>
    <phoneticPr fontId="6" type="noConversion"/>
  </si>
  <si>
    <t xml:space="preserve"> 주식회사 한일지하수</t>
    <phoneticPr fontId="6" type="noConversion"/>
  </si>
  <si>
    <t xml:space="preserve"> 무거동 1027-5</t>
    <phoneticPr fontId="6" type="noConversion"/>
  </si>
  <si>
    <t xml:space="preserve"> 울산 제2실내종합체육관 건립공사중 지열수축열공사</t>
    <phoneticPr fontId="6" type="noConversion"/>
  </si>
  <si>
    <t xml:space="preserve"> 울산광역시 남구 무거동 1027-5번지</t>
    <phoneticPr fontId="6" type="noConversion"/>
  </si>
  <si>
    <t>한계양수량</t>
    <phoneticPr fontId="6" type="noConversion"/>
  </si>
  <si>
    <t>취수계획량</t>
    <phoneticPr fontId="6" type="noConversion"/>
  </si>
  <si>
    <t>경험식Re1=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</si>
</sst>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9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i/>
      <sz val="1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</fills>
  <borders count="9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</cellStyleXfs>
  <cellXfs count="562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5" fillId="30" borderId="69" xfId="17" applyBorder="1" applyAlignment="1">
      <alignment horizontal="center" vertical="center"/>
    </xf>
    <xf numFmtId="0" fontId="65" fillId="30" borderId="59" xfId="17" applyBorder="1" applyAlignment="1">
      <alignment horizontal="center" vertical="center"/>
    </xf>
    <xf numFmtId="0" fontId="65" fillId="30" borderId="70" xfId="17" applyBorder="1" applyAlignment="1">
      <alignment horizontal="center" vertical="center"/>
    </xf>
    <xf numFmtId="0" fontId="65" fillId="30" borderId="76" xfId="17" applyBorder="1" applyAlignment="1">
      <alignment horizontal="center" vertical="center"/>
    </xf>
    <xf numFmtId="0" fontId="65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7" fillId="33" borderId="87" xfId="15" applyNumberFormat="1" applyFont="1" applyFill="1" applyBorder="1" applyAlignment="1">
      <alignment horizontal="center" vertical="center"/>
    </xf>
    <xf numFmtId="209" fontId="57" fillId="33" borderId="91" xfId="15" applyNumberFormat="1" applyFont="1" applyFill="1" applyBorder="1" applyAlignment="1">
      <alignment horizontal="center" vertical="center"/>
    </xf>
    <xf numFmtId="215" fontId="57" fillId="33" borderId="91" xfId="15" applyNumberFormat="1" applyFont="1" applyFill="1" applyBorder="1" applyAlignment="1">
      <alignment horizontal="center" vertical="center"/>
    </xf>
    <xf numFmtId="205" fontId="57" fillId="34" borderId="88" xfId="15" applyNumberFormat="1" applyFont="1" applyFill="1" applyBorder="1" applyAlignment="1">
      <alignment horizontal="center" vertical="center"/>
    </xf>
    <xf numFmtId="209" fontId="57" fillId="34" borderId="91" xfId="15" applyNumberFormat="1" applyFont="1" applyFill="1" applyBorder="1" applyAlignment="1">
      <alignment horizontal="center" vertical="center"/>
    </xf>
    <xf numFmtId="209" fontId="57" fillId="34" borderId="87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7" fillId="34" borderId="94" xfId="15" applyNumberFormat="1" applyFont="1" applyFill="1" applyBorder="1" applyAlignment="1">
      <alignment horizontal="center" vertical="center"/>
    </xf>
    <xf numFmtId="0" fontId="57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220" fontId="66" fillId="2" borderId="3" xfId="0" applyNumberFormat="1" applyFont="1" applyFill="1" applyBorder="1" applyAlignment="1" applyProtection="1">
      <alignment horizontal="center" vertical="center"/>
    </xf>
    <xf numFmtId="195" fontId="38" fillId="2" borderId="25" xfId="15" applyNumberFormat="1" applyFont="1" applyFill="1" applyBorder="1" applyAlignment="1">
      <alignment horizontal="center" vertical="center"/>
    </xf>
    <xf numFmtId="201" fontId="38" fillId="2" borderId="25" xfId="15" applyNumberFormat="1" applyFont="1" applyFill="1" applyBorder="1" applyAlignment="1">
      <alignment horizontal="center" vertical="center"/>
    </xf>
    <xf numFmtId="0" fontId="38" fillId="2" borderId="40" xfId="15" applyFont="1" applyFill="1" applyBorder="1" applyAlignment="1">
      <alignment horizontal="center" vertical="center"/>
    </xf>
    <xf numFmtId="1" fontId="38" fillId="2" borderId="3" xfId="15" applyNumberFormat="1" applyFont="1" applyFill="1" applyBorder="1" applyAlignment="1">
      <alignment horizontal="center" vertical="center"/>
    </xf>
    <xf numFmtId="215" fontId="57" fillId="36" borderId="0" xfId="15" applyNumberFormat="1" applyFont="1" applyFill="1" applyAlignment="1">
      <alignment horizontal="center" vertical="center"/>
    </xf>
    <xf numFmtId="0" fontId="57" fillId="34" borderId="0" xfId="15" applyFont="1" applyFill="1" applyAlignment="1">
      <alignment horizontal="center" vertical="center"/>
    </xf>
    <xf numFmtId="215" fontId="67" fillId="34" borderId="0" xfId="0" applyNumberFormat="1" applyFont="1" applyFill="1" applyAlignment="1">
      <alignment vertical="center"/>
    </xf>
    <xf numFmtId="177" fontId="36" fillId="0" borderId="60" xfId="0" applyNumberFormat="1" applyFont="1" applyBorder="1" applyAlignment="1">
      <alignment horizontal="center" vertical="center"/>
    </xf>
    <xf numFmtId="195" fontId="57" fillId="33" borderId="93" xfId="15" applyNumberFormat="1" applyFont="1" applyFill="1" applyBorder="1" applyAlignment="1">
      <alignment horizontal="center" vertical="center"/>
    </xf>
    <xf numFmtId="216" fontId="38" fillId="2" borderId="49" xfId="15" applyNumberFormat="1" applyFont="1" applyFill="1" applyBorder="1" applyAlignment="1">
      <alignment horizontal="center" vertical="center"/>
    </xf>
    <xf numFmtId="0" fontId="41" fillId="0" borderId="95" xfId="0" applyFont="1" applyBorder="1" applyAlignment="1">
      <alignment horizontal="right" vertical="center"/>
    </xf>
    <xf numFmtId="0" fontId="41" fillId="0" borderId="96" xfId="0" applyFont="1" applyBorder="1" applyAlignment="1">
      <alignment horizontal="right" vertical="center"/>
    </xf>
    <xf numFmtId="0" fontId="41" fillId="0" borderId="97" xfId="0" applyFont="1" applyBorder="1" applyAlignment="1">
      <alignment horizontal="right" vertical="center"/>
    </xf>
    <xf numFmtId="1" fontId="68" fillId="0" borderId="19" xfId="0" applyNumberFormat="1" applyFont="1" applyBorder="1" applyAlignment="1">
      <alignment vertical="center"/>
    </xf>
    <xf numFmtId="0" fontId="68" fillId="0" borderId="25" xfId="0" applyFont="1" applyBorder="1" applyAlignment="1">
      <alignment vertical="center"/>
    </xf>
    <xf numFmtId="0" fontId="68" fillId="0" borderId="35" xfId="0" applyFont="1" applyBorder="1" applyAlignment="1">
      <alignment vertical="center"/>
    </xf>
    <xf numFmtId="0" fontId="64" fillId="0" borderId="57" xfId="15" applyFont="1" applyBorder="1" applyAlignment="1">
      <alignment horizontal="right" vertical="center"/>
    </xf>
    <xf numFmtId="0" fontId="64" fillId="0" borderId="79" xfId="15" applyFont="1" applyBorder="1" applyAlignment="1">
      <alignment horizontal="right" vertical="center"/>
    </xf>
    <xf numFmtId="0" fontId="64" fillId="0" borderId="0" xfId="15" applyFont="1" applyAlignment="1">
      <alignment horizontal="right" vertical="center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8" fillId="0" borderId="38" xfId="0" applyFont="1" applyBorder="1" applyAlignment="1">
      <alignment horizontal="center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191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219" fontId="3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right" vertical="center" wrapText="1"/>
    </xf>
    <xf numFmtId="0" fontId="65" fillId="30" borderId="65" xfId="17" applyBorder="1" applyAlignment="1">
      <alignment horizontal="center" vertical="center"/>
    </xf>
    <xf numFmtId="0" fontId="65" fillId="30" borderId="68" xfId="17" applyBorder="1" applyAlignment="1">
      <alignment horizontal="center" vertical="center"/>
    </xf>
    <xf numFmtId="0" fontId="65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7A983E"/>
      <color rgb="FF647D33"/>
      <color rgb="FF467A75"/>
      <color rgb="FF579791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 formatCode="\ 0.00\ ">
                  <c:v>4.26</c:v>
                </c:pt>
                <c:pt idx="21" formatCode="\ 0.00\ ">
                  <c:v>4.41</c:v>
                </c:pt>
                <c:pt idx="22" formatCode="\ 0.00\ ">
                  <c:v>4.55</c:v>
                </c:pt>
                <c:pt idx="23" formatCode="\ 0.00\ ">
                  <c:v>4.68</c:v>
                </c:pt>
                <c:pt idx="24" formatCode="\ 0.00\ ">
                  <c:v>4.8099999999999996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5.05</c:v>
                </c:pt>
                <c:pt idx="28" formatCode="\ 0.00\ ">
                  <c:v>5.1499999999999995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6.38</c:v>
                </c:pt>
                <c:pt idx="46" formatCode="\ 0.00\ ">
                  <c:v>6.49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6.69</c:v>
                </c:pt>
                <c:pt idx="50" formatCode="\ 0.00\ ">
                  <c:v>6.7600000000000007</c:v>
                </c:pt>
                <c:pt idx="51" formatCode="\ 0.00\ ">
                  <c:v>6.8100000000000005</c:v>
                </c:pt>
                <c:pt idx="52" formatCode="\ 0.00\ ">
                  <c:v>6.8500000000000005</c:v>
                </c:pt>
                <c:pt idx="53" formatCode="\ 0.00\ ">
                  <c:v>6.8800000000000008</c:v>
                </c:pt>
                <c:pt idx="54" formatCode="\ 0.00\ ">
                  <c:v>6.9</c:v>
                </c:pt>
                <c:pt idx="55">
                  <c:v>6.84</c:v>
                </c:pt>
                <c:pt idx="56" formatCode="\ 0.00\ ">
                  <c:v>6.92</c:v>
                </c:pt>
                <c:pt idx="57" formatCode="\ 0.00\ ">
                  <c:v>6.9799999999999995</c:v>
                </c:pt>
                <c:pt idx="58" formatCode="\ 0.00\ ">
                  <c:v>7.0299999999999994</c:v>
                </c:pt>
                <c:pt idx="59">
                  <c:v>7</c:v>
                </c:pt>
                <c:pt idx="60" formatCode="\ 0.00\ ">
                  <c:v>7.19</c:v>
                </c:pt>
                <c:pt idx="61" formatCode="\ 0.00\ ">
                  <c:v>7.36</c:v>
                </c:pt>
                <c:pt idx="62" formatCode="\ 0.00\ ">
                  <c:v>7.5200000000000005</c:v>
                </c:pt>
                <c:pt idx="63" formatCode="\ 0.00\ ">
                  <c:v>7.6700000000000008</c:v>
                </c:pt>
                <c:pt idx="64" formatCode="\ 0.00\ ">
                  <c:v>7.8100000000000005</c:v>
                </c:pt>
                <c:pt idx="65">
                  <c:v>8.0299999999999994</c:v>
                </c:pt>
                <c:pt idx="66" formatCode="\ 0.00\ ">
                  <c:v>8.1499999999999986</c:v>
                </c:pt>
                <c:pt idx="67" formatCode="\ 0.00\ ">
                  <c:v>8.1999999999999993</c:v>
                </c:pt>
                <c:pt idx="68" formatCode="\ 0.00\ ">
                  <c:v>8.3199999999999985</c:v>
                </c:pt>
                <c:pt idx="69" formatCode="\ 0.00\ ">
                  <c:v>8.3699999999999992</c:v>
                </c:pt>
                <c:pt idx="70" formatCode="\ 0.00\ ">
                  <c:v>8.44</c:v>
                </c:pt>
                <c:pt idx="71" formatCode="\ 0.00\ ">
                  <c:v>8.49</c:v>
                </c:pt>
                <c:pt idx="72" formatCode="\ 0.00\ ">
                  <c:v>8.5299999999999994</c:v>
                </c:pt>
                <c:pt idx="73" formatCode="\ 0.00\ ">
                  <c:v>8.5599999999999987</c:v>
                </c:pt>
                <c:pt idx="74" formatCode="\ 0.00\ ">
                  <c:v>8.5899999999999981</c:v>
                </c:pt>
                <c:pt idx="75" formatCode="\ 0.00\ ">
                  <c:v>8.5399999999999991</c:v>
                </c:pt>
                <c:pt idx="76" formatCode="\ 0.00\ ">
                  <c:v>8.629999999999999</c:v>
                </c:pt>
                <c:pt idx="77" formatCode="\ 0.00\ ">
                  <c:v>8.6999999999999993</c:v>
                </c:pt>
                <c:pt idx="78" formatCode="\ 0.00\ ">
                  <c:v>8.75</c:v>
                </c:pt>
                <c:pt idx="79" formatCode="\ 0.00\ ">
                  <c:v>8.7200000000000006</c:v>
                </c:pt>
                <c:pt idx="80" formatCode="\ 0.00\ ">
                  <c:v>8.9300000000000015</c:v>
                </c:pt>
                <c:pt idx="81" formatCode="\ 0.00\ ">
                  <c:v>9.120000000000001</c:v>
                </c:pt>
                <c:pt idx="82" formatCode="\ 0.00\ ">
                  <c:v>9.2900000000000009</c:v>
                </c:pt>
                <c:pt idx="83" formatCode="\ 0.00\ ">
                  <c:v>9.4500000000000011</c:v>
                </c:pt>
                <c:pt idx="84" formatCode="\ 0.00\ ">
                  <c:v>9.5900000000000016</c:v>
                </c:pt>
                <c:pt idx="85" formatCode="\ 0.00\ ">
                  <c:v>9.76</c:v>
                </c:pt>
                <c:pt idx="86" formatCode="\ 0.00\ ">
                  <c:v>10.07</c:v>
                </c:pt>
                <c:pt idx="87" formatCode="\ 0.00\ ">
                  <c:v>10.15</c:v>
                </c:pt>
                <c:pt idx="88" formatCode="\ 0.00\ ">
                  <c:v>10.450000000000001</c:v>
                </c:pt>
                <c:pt idx="89" formatCode="\ 0.00\ ">
                  <c:v>10.54</c:v>
                </c:pt>
                <c:pt idx="90" formatCode="\ 0.00\ ">
                  <c:v>10.69</c:v>
                </c:pt>
                <c:pt idx="91" formatCode="\ 0.00\ ">
                  <c:v>10.82</c:v>
                </c:pt>
                <c:pt idx="92" formatCode="\ 0.00\ ">
                  <c:v>10.93</c:v>
                </c:pt>
                <c:pt idx="93" formatCode="\ 0.00\ ">
                  <c:v>11.01</c:v>
                </c:pt>
                <c:pt idx="94" formatCode="\ 0.00\ ">
                  <c:v>11.08</c:v>
                </c:pt>
                <c:pt idx="95" formatCode="\ 0.00\ ">
                  <c:v>10.93</c:v>
                </c:pt>
                <c:pt idx="96" formatCode="\ 0.00\ ">
                  <c:v>11.12</c:v>
                </c:pt>
                <c:pt idx="97" formatCode="\ 0.00\ ">
                  <c:v>11.28</c:v>
                </c:pt>
                <c:pt idx="98" formatCode="\ 0.00\ ">
                  <c:v>11.42</c:v>
                </c:pt>
                <c:pt idx="99" formatCode="\ 0.00\ ">
                  <c:v>11.33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7.3999999999999996E-2</c:v>
                </c:pt>
                <c:pt idx="1">
                  <c:v>7.8E-2</c:v>
                </c:pt>
                <c:pt idx="2">
                  <c:v>8.2000000000000003E-2</c:v>
                </c:pt>
                <c:pt idx="3">
                  <c:v>8.6999999999999994E-2</c:v>
                </c:pt>
                <c:pt idx="4">
                  <c:v>9.8000000000000004E-2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79.082997984536888</c:v>
                </c:pt>
                <c:pt idx="2">
                  <c:v>74.815069890827459</c:v>
                </c:pt>
                <c:pt idx="3">
                  <c:v>70.984214570514098</c:v>
                </c:pt>
                <c:pt idx="4">
                  <c:v>67.526562374094922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9.9999999999999964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55</c:v>
                </c:pt>
                <c:pt idx="1">
                  <c:v>70</c:v>
                </c:pt>
                <c:pt idx="2">
                  <c:v>85</c:v>
                </c:pt>
                <c:pt idx="3">
                  <c:v>100</c:v>
                </c:pt>
                <c:pt idx="4">
                  <c:v>114.99999999999999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4.0999999999999996</c:v>
                </c:pt>
                <c:pt idx="1">
                  <c:v>5.46</c:v>
                </c:pt>
                <c:pt idx="2">
                  <c:v>7</c:v>
                </c:pt>
                <c:pt idx="3">
                  <c:v>8.7200000000000006</c:v>
                </c:pt>
                <c:pt idx="4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49</c:v>
                </c:pt>
                <c:pt idx="1">
                  <c:v>55</c:v>
                </c:pt>
                <c:pt idx="2">
                  <c:v>70</c:v>
                </c:pt>
                <c:pt idx="3">
                  <c:v>85</c:v>
                </c:pt>
                <c:pt idx="4">
                  <c:v>100</c:v>
                </c:pt>
                <c:pt idx="5">
                  <c:v>114.99999999999999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7.454545454545454E-2</c:v>
                </c:pt>
                <c:pt idx="2">
                  <c:v>7.8E-2</c:v>
                </c:pt>
                <c:pt idx="3">
                  <c:v>8.2352941176470587E-2</c:v>
                </c:pt>
                <c:pt idx="4">
                  <c:v>8.72E-2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134.99999999999997"/>
          <c:min val="3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9.9999999999999964"/>
      </c:valAx>
      <c:valAx>
        <c:axId val="1"/>
        <c:scaling>
          <c:orientation val="minMax"/>
          <c:max val="0.106"/>
          <c:min val="6.6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8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1.0010240798907253</c:v>
                </c:pt>
                <c:pt idx="1">
                  <c:v>1.4497029574857514</c:v>
                </c:pt>
                <c:pt idx="2">
                  <c:v>1.7121632757445004</c:v>
                </c:pt>
                <c:pt idx="3">
                  <c:v>1.8983818350807784</c:v>
                </c:pt>
                <c:pt idx="4">
                  <c:v>2.0428241713611452</c:v>
                </c:pt>
                <c:pt idx="5">
                  <c:v>2.4915030489561723</c:v>
                </c:pt>
                <c:pt idx="6">
                  <c:v>2.7539633672149204</c:v>
                </c:pt>
                <c:pt idx="7">
                  <c:v>2.9401819265511993</c:v>
                </c:pt>
                <c:pt idx="8">
                  <c:v>3.0846242628315661</c:v>
                </c:pt>
                <c:pt idx="9">
                  <c:v>3.2026422448099474</c:v>
                </c:pt>
                <c:pt idx="10">
                  <c:v>3.3024250268008251</c:v>
                </c:pt>
                <c:pt idx="11">
                  <c:v>3.3888608041462254</c:v>
                </c:pt>
                <c:pt idx="12">
                  <c:v>3.4651025630686947</c:v>
                </c:pt>
                <c:pt idx="13">
                  <c:v>3.5333031404265922</c:v>
                </c:pt>
                <c:pt idx="14">
                  <c:v>3.594998067128075</c:v>
                </c:pt>
                <c:pt idx="15">
                  <c:v>3.6513211224049726</c:v>
                </c:pt>
                <c:pt idx="16">
                  <c:v>3.7957634586853413</c:v>
                </c:pt>
                <c:pt idx="17">
                  <c:v>3.9137814406637217</c:v>
                </c:pt>
                <c:pt idx="18">
                  <c:v>4.0135642226546002</c:v>
                </c:pt>
                <c:pt idx="19">
                  <c:v>4.0999999999999996</c:v>
                </c:pt>
                <c:pt idx="20">
                  <c:v>4.9548969408969521</c:v>
                </c:pt>
                <c:pt idx="21">
                  <c:v>5.0159504237765384</c:v>
                </c:pt>
                <c:pt idx="22">
                  <c:v>5.0727898565086162</c:v>
                </c:pt>
                <c:pt idx="23">
                  <c:v>5.2229945608447368</c:v>
                </c:pt>
                <c:pt idx="24">
                  <c:v>5.46</c:v>
                </c:pt>
                <c:pt idx="25">
                  <c:v>6.6352171466122769</c:v>
                </c:pt>
                <c:pt idx="26">
                  <c:v>6.674452890063403</c:v>
                </c:pt>
                <c:pt idx="27">
                  <c:v>6.7122076810257525</c:v>
                </c:pt>
                <c:pt idx="28">
                  <c:v>6.8176085733061385</c:v>
                </c:pt>
                <c:pt idx="29">
                  <c:v>7</c:v>
                </c:pt>
                <c:pt idx="30">
                  <c:v>8.4136672413457294</c:v>
                </c:pt>
                <c:pt idx="31">
                  <c:v>8.4450536730873562</c:v>
                </c:pt>
                <c:pt idx="32">
                  <c:v>8.4756247799336268</c:v>
                </c:pt>
                <c:pt idx="33">
                  <c:v>8.5628440411901803</c:v>
                </c:pt>
                <c:pt idx="34">
                  <c:v>8.7200000000000006</c:v>
                </c:pt>
                <c:pt idx="35">
                  <c:v>11.055891579308868</c:v>
                </c:pt>
                <c:pt idx="36">
                  <c:v>11.083235128590657</c:v>
                </c:pt>
                <c:pt idx="37">
                  <c:v>11.110037185704675</c:v>
                </c:pt>
                <c:pt idx="38">
                  <c:v>11.187398792797124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</c:v>
                </c:pt>
                <c:pt idx="1">
                  <c:v>1.44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1.9289568893769857</c:v>
                </c:pt>
                <c:pt idx="1">
                  <c:v>2.7392146799906669</c:v>
                </c:pt>
                <c:pt idx="2">
                  <c:v>3.2131851034168442</c:v>
                </c:pt>
                <c:pt idx="3">
                  <c:v>3.5494724706043499</c:v>
                </c:pt>
                <c:pt idx="4">
                  <c:v>3.8103172175042541</c:v>
                </c:pt>
                <c:pt idx="5">
                  <c:v>4.6205750081179371</c:v>
                </c:pt>
                <c:pt idx="6">
                  <c:v>5.0945454315441143</c:v>
                </c:pt>
                <c:pt idx="7">
                  <c:v>5.4308327987316183</c:v>
                </c:pt>
                <c:pt idx="8">
                  <c:v>5.6916775456315243</c:v>
                </c:pt>
                <c:pt idx="9">
                  <c:v>5.9048032221577973</c:v>
                </c:pt>
                <c:pt idx="10">
                  <c:v>6.0849984141190934</c:v>
                </c:pt>
                <c:pt idx="11">
                  <c:v>6.2410905893452995</c:v>
                </c:pt>
                <c:pt idx="12">
                  <c:v>6.3787736455839728</c:v>
                </c:pt>
                <c:pt idx="13">
                  <c:v>6.5019353362452055</c:v>
                </c:pt>
                <c:pt idx="14">
                  <c:v>6.5819386376004241</c:v>
                </c:pt>
                <c:pt idx="15">
                  <c:v>6.7150610127714767</c:v>
                </c:pt>
                <c:pt idx="16">
                  <c:v>6.9759057596713845</c:v>
                </c:pt>
                <c:pt idx="17">
                  <c:v>7.1890314361976539</c:v>
                </c:pt>
                <c:pt idx="18">
                  <c:v>7.3692266281589536</c:v>
                </c:pt>
                <c:pt idx="19">
                  <c:v>7.5253188033851579</c:v>
                </c:pt>
                <c:pt idx="20">
                  <c:v>7.7055139953464575</c:v>
                </c:pt>
                <c:pt idx="21">
                  <c:v>7.8616061705726636</c:v>
                </c:pt>
                <c:pt idx="22">
                  <c:v>7.9992892268113351</c:v>
                </c:pt>
                <c:pt idx="23">
                  <c:v>8.3355765939988391</c:v>
                </c:pt>
                <c:pt idx="24">
                  <c:v>8.5964213408987469</c:v>
                </c:pt>
                <c:pt idx="25">
                  <c:v>8.8095470174250181</c:v>
                </c:pt>
                <c:pt idx="26">
                  <c:v>8.9897422093863177</c:v>
                </c:pt>
                <c:pt idx="27">
                  <c:v>9.1458343846125203</c:v>
                </c:pt>
                <c:pt idx="28">
                  <c:v>9.2835174408511953</c:v>
                </c:pt>
                <c:pt idx="29">
                  <c:v>9.4066791315124281</c:v>
                </c:pt>
                <c:pt idx="30">
                  <c:v>9.5180924328676451</c:v>
                </c:pt>
                <c:pt idx="31">
                  <c:v>9.6198048080387011</c:v>
                </c:pt>
                <c:pt idx="32">
                  <c:v>9.7133711230915907</c:v>
                </c:pt>
                <c:pt idx="33">
                  <c:v>9.7999999999999972</c:v>
                </c:pt>
                <c:pt idx="34">
                  <c:v>9.7999999999999972</c:v>
                </c:pt>
                <c:pt idx="35">
                  <c:v>9.7999999999999972</c:v>
                </c:pt>
                <c:pt idx="36">
                  <c:v>9.7999999999999972</c:v>
                </c:pt>
                <c:pt idx="37">
                  <c:v>9.7999999999999972</c:v>
                </c:pt>
                <c:pt idx="38">
                  <c:v>9.7999999999999972</c:v>
                </c:pt>
                <c:pt idx="39">
                  <c:v>9.7999999999999972</c:v>
                </c:pt>
                <c:pt idx="40">
                  <c:v>9.7999999999999972</c:v>
                </c:pt>
                <c:pt idx="41">
                  <c:v>9.7999999999999972</c:v>
                </c:pt>
                <c:pt idx="42">
                  <c:v>9.7999999999999972</c:v>
                </c:pt>
                <c:pt idx="43">
                  <c:v>9.7999999999999972</c:v>
                </c:pt>
                <c:pt idx="44">
                  <c:v>9.7999999999999972</c:v>
                </c:pt>
                <c:pt idx="45">
                  <c:v>9.7999999999999972</c:v>
                </c:pt>
                <c:pt idx="46">
                  <c:v>9.7999999999999972</c:v>
                </c:pt>
                <c:pt idx="47">
                  <c:v>9.7999999999999972</c:v>
                </c:pt>
                <c:pt idx="48">
                  <c:v>9.7999999999999972</c:v>
                </c:pt>
                <c:pt idx="49">
                  <c:v>9.7999999999999972</c:v>
                </c:pt>
                <c:pt idx="50">
                  <c:v>9.7999999999999972</c:v>
                </c:pt>
                <c:pt idx="51">
                  <c:v>9.7999999999999972</c:v>
                </c:pt>
                <c:pt idx="52">
                  <c:v>9.7999999999999972</c:v>
                </c:pt>
                <c:pt idx="53">
                  <c:v>9.7999999999999972</c:v>
                </c:pt>
                <c:pt idx="54">
                  <c:v>9.7999999999999972</c:v>
                </c:pt>
                <c:pt idx="55">
                  <c:v>9.7999999999999972</c:v>
                </c:pt>
                <c:pt idx="56">
                  <c:v>9.7999999999999972</c:v>
                </c:pt>
                <c:pt idx="57">
                  <c:v>9.7999999999999972</c:v>
                </c:pt>
                <c:pt idx="58">
                  <c:v>9.7999999999999972</c:v>
                </c:pt>
                <c:pt idx="59">
                  <c:v>9.7999999999999972</c:v>
                </c:pt>
                <c:pt idx="60">
                  <c:v>9.7999999999999972</c:v>
                </c:pt>
                <c:pt idx="61">
                  <c:v>9.7999999999999972</c:v>
                </c:pt>
                <c:pt idx="62">
                  <c:v>9.7999999999999972</c:v>
                </c:pt>
                <c:pt idx="63">
                  <c:v>9.7999999999999972</c:v>
                </c:pt>
                <c:pt idx="64">
                  <c:v>9.7999999999999972</c:v>
                </c:pt>
                <c:pt idx="65">
                  <c:v>9.7999999999999972</c:v>
                </c:pt>
                <c:pt idx="66">
                  <c:v>9.7999999999999972</c:v>
                </c:pt>
                <c:pt idx="67">
                  <c:v>9.7999999999999972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7.1195808312955835</c:v>
                </c:pt>
                <c:pt idx="1">
                  <c:v>6.6484076848680518</c:v>
                </c:pt>
                <c:pt idx="2">
                  <c:v>6.2084167300856468</c:v>
                </c:pt>
                <c:pt idx="3">
                  <c:v>5.7975443326280196</c:v>
                </c:pt>
                <c:pt idx="4">
                  <c:v>5.4138634292874857</c:v>
                </c:pt>
                <c:pt idx="5">
                  <c:v>4.4085619625412837</c:v>
                </c:pt>
                <c:pt idx="6">
                  <c:v>4.2118454590984493</c:v>
                </c:pt>
                <c:pt idx="7">
                  <c:v>3.6728133906225544</c:v>
                </c:pt>
                <c:pt idx="8">
                  <c:v>3.429746968243601</c:v>
                </c:pt>
                <c:pt idx="9">
                  <c:v>3.2027666573558946</c:v>
                </c:pt>
                <c:pt idx="10">
                  <c:v>3.1304951684997051</c:v>
                </c:pt>
                <c:pt idx="11">
                  <c:v>3.0598545096914975</c:v>
                </c:pt>
                <c:pt idx="12">
                  <c:v>2.9908078807118836</c:v>
                </c:pt>
                <c:pt idx="13">
                  <c:v>2.9233193117505967</c:v>
                </c:pt>
                <c:pt idx="14">
                  <c:v>2.8573536446680361</c:v>
                </c:pt>
                <c:pt idx="15">
                  <c:v>2.7928765146796457</c:v>
                </c:pt>
                <c:pt idx="16">
                  <c:v>2.7298543324536007</c:v>
                </c:pt>
                <c:pt idx="17">
                  <c:v>2.6682542666124576</c:v>
                </c:pt>
                <c:pt idx="18">
                  <c:v>2.6080442266296622</c:v>
                </c:pt>
                <c:pt idx="19">
                  <c:v>2.4354441208928703</c:v>
                </c:pt>
                <c:pt idx="20">
                  <c:v>2.3804875188442236</c:v>
                </c:pt>
                <c:pt idx="21">
                  <c:v>2.0758326772256246</c:v>
                </c:pt>
                <c:pt idx="22">
                  <c:v>1.8101675685028813</c:v>
                </c:pt>
                <c:pt idx="23">
                  <c:v>1.5785022858581215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257174</xdr:rowOff>
        </xdr:from>
        <xdr:to>
          <xdr:col>19</xdr:col>
          <xdr:colOff>295275</xdr:colOff>
          <xdr:row>38</xdr:row>
          <xdr:rowOff>57149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단계양수시험!G12</f>
        <v>1</v>
      </c>
    </row>
    <row r="2" spans="1:6" x14ac:dyDescent="0.15">
      <c r="A2" s="228">
        <v>2</v>
      </c>
      <c r="B2">
        <f t="shared" ref="B2:B20" si="0">F2</f>
        <v>1.44</v>
      </c>
      <c r="E2">
        <v>2</v>
      </c>
      <c r="F2">
        <f>단계양수시험!G13</f>
        <v>1.44</v>
      </c>
    </row>
    <row r="3" spans="1:6" x14ac:dyDescent="0.15">
      <c r="A3" s="228">
        <v>3</v>
      </c>
      <c r="B3">
        <f t="shared" si="0"/>
        <v>1.71</v>
      </c>
      <c r="E3">
        <v>3</v>
      </c>
      <c r="F3">
        <f>단계양수시험!G14</f>
        <v>1.71</v>
      </c>
    </row>
    <row r="4" spans="1:6" x14ac:dyDescent="0.15">
      <c r="A4" s="228">
        <v>4</v>
      </c>
      <c r="B4">
        <f t="shared" si="0"/>
        <v>1.89</v>
      </c>
      <c r="E4">
        <v>4</v>
      </c>
      <c r="F4">
        <f>단계양수시험!G15</f>
        <v>1.89</v>
      </c>
    </row>
    <row r="5" spans="1:6" x14ac:dyDescent="0.15">
      <c r="A5" s="228">
        <v>5</v>
      </c>
      <c r="B5">
        <f t="shared" si="0"/>
        <v>2.04</v>
      </c>
      <c r="E5">
        <v>5</v>
      </c>
      <c r="F5">
        <f>단계양수시험!G16</f>
        <v>2.04</v>
      </c>
    </row>
    <row r="6" spans="1:6" x14ac:dyDescent="0.15">
      <c r="A6" s="228">
        <v>10</v>
      </c>
      <c r="B6">
        <f t="shared" si="0"/>
        <v>2.4900000000000002</v>
      </c>
      <c r="E6">
        <v>10</v>
      </c>
      <c r="F6">
        <f>단계양수시험!G17</f>
        <v>2.4900000000000002</v>
      </c>
    </row>
    <row r="7" spans="1:6" x14ac:dyDescent="0.15">
      <c r="A7" s="228">
        <v>15</v>
      </c>
      <c r="B7">
        <f t="shared" si="0"/>
        <v>2.75</v>
      </c>
      <c r="E7">
        <v>15</v>
      </c>
      <c r="F7">
        <f>단계양수시험!G18</f>
        <v>2.75</v>
      </c>
    </row>
    <row r="8" spans="1:6" x14ac:dyDescent="0.15">
      <c r="A8" s="228">
        <v>20</v>
      </c>
      <c r="B8">
        <f t="shared" si="0"/>
        <v>2.94</v>
      </c>
      <c r="E8">
        <v>20</v>
      </c>
      <c r="F8">
        <f>단계양수시험!G19</f>
        <v>2.94</v>
      </c>
    </row>
    <row r="9" spans="1:6" x14ac:dyDescent="0.15">
      <c r="A9" s="228">
        <v>25</v>
      </c>
      <c r="B9">
        <f t="shared" si="0"/>
        <v>3.08</v>
      </c>
      <c r="E9">
        <v>25</v>
      </c>
      <c r="F9">
        <f>단계양수시험!G20</f>
        <v>3.08</v>
      </c>
    </row>
    <row r="10" spans="1:6" x14ac:dyDescent="0.15">
      <c r="A10" s="228">
        <v>30</v>
      </c>
      <c r="B10">
        <f t="shared" si="0"/>
        <v>3.2</v>
      </c>
      <c r="E10">
        <v>30</v>
      </c>
      <c r="F10">
        <f>단계양수시험!G21</f>
        <v>3.2</v>
      </c>
    </row>
    <row r="11" spans="1:6" x14ac:dyDescent="0.15">
      <c r="A11" s="228">
        <v>35</v>
      </c>
      <c r="B11">
        <f t="shared" si="0"/>
        <v>3.3</v>
      </c>
      <c r="E11">
        <v>35</v>
      </c>
      <c r="F11">
        <f>단계양수시험!G22</f>
        <v>3.3</v>
      </c>
    </row>
    <row r="12" spans="1:6" x14ac:dyDescent="0.15">
      <c r="A12" s="228">
        <v>40</v>
      </c>
      <c r="B12">
        <f t="shared" si="0"/>
        <v>3.38</v>
      </c>
      <c r="E12">
        <v>40</v>
      </c>
      <c r="F12">
        <f>단계양수시험!G23</f>
        <v>3.38</v>
      </c>
    </row>
    <row r="13" spans="1:6" x14ac:dyDescent="0.15">
      <c r="A13" s="228">
        <v>45</v>
      </c>
      <c r="B13">
        <f t="shared" si="0"/>
        <v>3.46</v>
      </c>
      <c r="E13">
        <v>45</v>
      </c>
      <c r="F13">
        <f>단계양수시험!G24</f>
        <v>3.46</v>
      </c>
    </row>
    <row r="14" spans="1:6" x14ac:dyDescent="0.15">
      <c r="A14" s="228">
        <v>50</v>
      </c>
      <c r="B14">
        <f t="shared" si="0"/>
        <v>3.53</v>
      </c>
      <c r="E14">
        <v>50</v>
      </c>
      <c r="F14">
        <f>단계양수시험!G25</f>
        <v>3.53</v>
      </c>
    </row>
    <row r="15" spans="1:6" x14ac:dyDescent="0.15">
      <c r="A15" s="228">
        <v>55</v>
      </c>
      <c r="B15">
        <f t="shared" si="0"/>
        <v>3.59</v>
      </c>
      <c r="E15">
        <v>55</v>
      </c>
      <c r="F15">
        <f>단계양수시험!G26</f>
        <v>3.59</v>
      </c>
    </row>
    <row r="16" spans="1:6" x14ac:dyDescent="0.15">
      <c r="A16" s="228">
        <v>60</v>
      </c>
      <c r="B16">
        <f t="shared" si="0"/>
        <v>3.65</v>
      </c>
      <c r="E16">
        <v>60</v>
      </c>
      <c r="F16">
        <f>단계양수시험!G27</f>
        <v>3.65</v>
      </c>
    </row>
    <row r="17" spans="1:6" x14ac:dyDescent="0.15">
      <c r="A17" s="228">
        <v>75</v>
      </c>
      <c r="B17">
        <f t="shared" si="0"/>
        <v>3.79</v>
      </c>
      <c r="E17">
        <v>75</v>
      </c>
      <c r="F17">
        <f>단계양수시험!G28</f>
        <v>3.79</v>
      </c>
    </row>
    <row r="18" spans="1:6" x14ac:dyDescent="0.15">
      <c r="A18" s="228">
        <v>90</v>
      </c>
      <c r="B18">
        <f t="shared" si="0"/>
        <v>3.91</v>
      </c>
      <c r="E18">
        <v>90</v>
      </c>
      <c r="F18">
        <f>단계양수시험!G29</f>
        <v>3.91</v>
      </c>
    </row>
    <row r="19" spans="1:6" x14ac:dyDescent="0.15">
      <c r="A19" s="228">
        <v>105</v>
      </c>
      <c r="B19">
        <f t="shared" si="0"/>
        <v>4.01</v>
      </c>
      <c r="E19">
        <v>105</v>
      </c>
      <c r="F19">
        <f>단계양수시험!G30</f>
        <v>4.01</v>
      </c>
    </row>
    <row r="20" spans="1:6" x14ac:dyDescent="0.15">
      <c r="A20" s="230">
        <v>120</v>
      </c>
      <c r="B20" s="236">
        <f t="shared" si="0"/>
        <v>4.0999999999999996</v>
      </c>
      <c r="C20" s="236">
        <f>B26-B20</f>
        <v>0.8100000000000005</v>
      </c>
      <c r="D20" s="237">
        <f>C20/10</f>
        <v>8.1000000000000044E-2</v>
      </c>
      <c r="E20">
        <v>120</v>
      </c>
      <c r="F20">
        <f>단계양수시험!G31</f>
        <v>4.0999999999999996</v>
      </c>
    </row>
    <row r="21" spans="1:6" x14ac:dyDescent="0.15">
      <c r="A21" s="228">
        <v>121</v>
      </c>
      <c r="B21" s="235">
        <f>B20+D21</f>
        <v>4.26</v>
      </c>
      <c r="D21">
        <v>0.16</v>
      </c>
      <c r="E21">
        <v>130</v>
      </c>
      <c r="F21">
        <f>단계양수시험!G32</f>
        <v>4.91</v>
      </c>
    </row>
    <row r="22" spans="1:6" x14ac:dyDescent="0.15">
      <c r="A22" s="228">
        <v>122</v>
      </c>
      <c r="B22" s="235">
        <f>B21+D22</f>
        <v>4.41</v>
      </c>
      <c r="D22">
        <v>0.15</v>
      </c>
      <c r="E22">
        <v>140</v>
      </c>
      <c r="F22">
        <f>단계양수시험!G33</f>
        <v>5.05</v>
      </c>
    </row>
    <row r="23" spans="1:6" x14ac:dyDescent="0.15">
      <c r="A23" s="228">
        <v>123</v>
      </c>
      <c r="B23" s="235">
        <f>B22+D23</f>
        <v>4.55</v>
      </c>
      <c r="D23">
        <v>0.14000000000000001</v>
      </c>
      <c r="E23">
        <v>150</v>
      </c>
      <c r="F23">
        <f>단계양수시험!G34</f>
        <v>5.18</v>
      </c>
    </row>
    <row r="24" spans="1:6" x14ac:dyDescent="0.15">
      <c r="A24" s="228">
        <v>124</v>
      </c>
      <c r="B24" s="235">
        <f>B23+D24</f>
        <v>4.68</v>
      </c>
      <c r="D24">
        <v>0.13</v>
      </c>
      <c r="E24">
        <v>180</v>
      </c>
      <c r="F24">
        <f>단계양수시험!G35</f>
        <v>5.32</v>
      </c>
    </row>
    <row r="25" spans="1:6" x14ac:dyDescent="0.15">
      <c r="A25" s="228">
        <v>125</v>
      </c>
      <c r="B25" s="235">
        <f>B24+D25</f>
        <v>4.8099999999999996</v>
      </c>
      <c r="D25">
        <v>0.13</v>
      </c>
      <c r="E25">
        <v>240</v>
      </c>
      <c r="F25">
        <f>단계양수시험!G36</f>
        <v>5.46</v>
      </c>
    </row>
    <row r="26" spans="1:6" x14ac:dyDescent="0.15">
      <c r="A26" s="228">
        <v>130</v>
      </c>
      <c r="B26" s="236">
        <f>F21</f>
        <v>4.91</v>
      </c>
      <c r="C26" s="236">
        <f>B28-B26</f>
        <v>0.13999999999999968</v>
      </c>
      <c r="D26" s="236">
        <f>C26/2</f>
        <v>6.999999999999984E-2</v>
      </c>
      <c r="E26">
        <v>250</v>
      </c>
      <c r="F26">
        <f>단계양수시험!G37</f>
        <v>6.38</v>
      </c>
    </row>
    <row r="27" spans="1:6" x14ac:dyDescent="0.15">
      <c r="A27" s="228">
        <v>135</v>
      </c>
      <c r="B27" s="235">
        <f>B26+D27</f>
        <v>5.0200000000000005</v>
      </c>
      <c r="D27">
        <v>0.11</v>
      </c>
      <c r="E27">
        <v>260</v>
      </c>
      <c r="F27">
        <f>단계양수시험!G38</f>
        <v>6.53</v>
      </c>
    </row>
    <row r="28" spans="1:6" x14ac:dyDescent="0.15">
      <c r="A28" s="228">
        <v>140</v>
      </c>
      <c r="B28" s="236">
        <f>F22</f>
        <v>5.05</v>
      </c>
      <c r="C28" s="236">
        <f>B30-B28</f>
        <v>0.12999999999999989</v>
      </c>
      <c r="D28" s="236">
        <f>C28/2</f>
        <v>6.4999999999999947E-2</v>
      </c>
      <c r="E28">
        <v>270</v>
      </c>
      <c r="F28">
        <f>단계양수시험!G39</f>
        <v>6.69</v>
      </c>
    </row>
    <row r="29" spans="1:6" x14ac:dyDescent="0.15">
      <c r="A29" s="228">
        <v>145</v>
      </c>
      <c r="B29" s="235">
        <f>B28+D29</f>
        <v>5.1499999999999995</v>
      </c>
      <c r="D29">
        <v>0.1</v>
      </c>
      <c r="E29">
        <v>300</v>
      </c>
      <c r="F29">
        <f>단계양수시험!G40</f>
        <v>6.84</v>
      </c>
    </row>
    <row r="30" spans="1:6" x14ac:dyDescent="0.15">
      <c r="A30" s="228">
        <v>150</v>
      </c>
      <c r="B30" s="236">
        <f>F23</f>
        <v>5.18</v>
      </c>
      <c r="C30" s="236">
        <f>B36-B30</f>
        <v>0.14000000000000057</v>
      </c>
      <c r="D30" s="238">
        <f>C30/6</f>
        <v>2.3333333333333428E-2</v>
      </c>
      <c r="E30">
        <v>360</v>
      </c>
      <c r="F30">
        <f>단계양수시험!G41</f>
        <v>7</v>
      </c>
    </row>
    <row r="31" spans="1:6" x14ac:dyDescent="0.15">
      <c r="A31" s="228">
        <v>155</v>
      </c>
      <c r="B31" s="235">
        <f>B30+D31</f>
        <v>5.2399999999999993</v>
      </c>
      <c r="D31">
        <v>0.06</v>
      </c>
    </row>
    <row r="32" spans="1:6" x14ac:dyDescent="0.15">
      <c r="A32" s="228">
        <v>160</v>
      </c>
      <c r="B32" s="235">
        <f t="shared" ref="B32:B39" si="1">B31+D32</f>
        <v>5.2899999999999991</v>
      </c>
      <c r="D32">
        <v>0.05</v>
      </c>
    </row>
    <row r="33" spans="1:4" x14ac:dyDescent="0.15">
      <c r="A33" s="228">
        <v>165</v>
      </c>
      <c r="B33" s="235">
        <f t="shared" si="1"/>
        <v>5.3299999999999992</v>
      </c>
      <c r="D33">
        <v>0.04</v>
      </c>
    </row>
    <row r="34" spans="1:4" x14ac:dyDescent="0.15">
      <c r="A34" s="228">
        <v>170</v>
      </c>
      <c r="B34" s="235">
        <f t="shared" si="1"/>
        <v>5.3599999999999994</v>
      </c>
      <c r="D34">
        <v>0.03</v>
      </c>
    </row>
    <row r="35" spans="1:4" x14ac:dyDescent="0.15">
      <c r="A35" s="228">
        <v>175</v>
      </c>
      <c r="B35" s="235">
        <f t="shared" si="1"/>
        <v>5.379999999999999</v>
      </c>
      <c r="D35">
        <v>0.02</v>
      </c>
    </row>
    <row r="36" spans="1:4" x14ac:dyDescent="0.15">
      <c r="A36" s="228">
        <v>180</v>
      </c>
      <c r="B36" s="236">
        <f>F24</f>
        <v>5.32</v>
      </c>
      <c r="C36" s="236">
        <f>B40-B36</f>
        <v>0.13999999999999968</v>
      </c>
      <c r="D36" s="236">
        <f>C36/4</f>
        <v>3.499999999999992E-2</v>
      </c>
    </row>
    <row r="37" spans="1:4" x14ac:dyDescent="0.15">
      <c r="A37" s="228">
        <v>195</v>
      </c>
      <c r="B37" s="235">
        <f t="shared" si="1"/>
        <v>5.3900000000000006</v>
      </c>
      <c r="D37">
        <v>7.0000000000000007E-2</v>
      </c>
    </row>
    <row r="38" spans="1:4" x14ac:dyDescent="0.15">
      <c r="A38" s="228">
        <v>210</v>
      </c>
      <c r="B38" s="235">
        <f t="shared" si="1"/>
        <v>5.45</v>
      </c>
      <c r="D38">
        <v>0.06</v>
      </c>
    </row>
    <row r="39" spans="1:4" x14ac:dyDescent="0.15">
      <c r="A39" s="228">
        <v>225</v>
      </c>
      <c r="B39" s="235">
        <f t="shared" si="1"/>
        <v>5.5</v>
      </c>
      <c r="D39">
        <v>0.05</v>
      </c>
    </row>
    <row r="40" spans="1:4" x14ac:dyDescent="0.15">
      <c r="A40" s="230">
        <v>240</v>
      </c>
      <c r="B40" s="236">
        <f>F25</f>
        <v>5.46</v>
      </c>
      <c r="C40" s="236">
        <f>B46-B40</f>
        <v>0.91999999999999993</v>
      </c>
      <c r="D40" s="237">
        <f>C40/10</f>
        <v>9.1999999999999998E-2</v>
      </c>
    </row>
    <row r="41" spans="1:4" x14ac:dyDescent="0.15">
      <c r="A41" s="228">
        <v>241</v>
      </c>
      <c r="B41" s="235">
        <f>B40+D41</f>
        <v>5.64</v>
      </c>
      <c r="D41">
        <v>0.18</v>
      </c>
    </row>
    <row r="42" spans="1:4" x14ac:dyDescent="0.15">
      <c r="A42" s="228">
        <v>242</v>
      </c>
      <c r="B42" s="235">
        <f>B41+D42</f>
        <v>5.8</v>
      </c>
      <c r="D42">
        <v>0.16</v>
      </c>
    </row>
    <row r="43" spans="1:4" x14ac:dyDescent="0.15">
      <c r="A43" s="228">
        <v>243</v>
      </c>
      <c r="B43" s="235">
        <f>B42+D43</f>
        <v>5.95</v>
      </c>
      <c r="D43">
        <v>0.15</v>
      </c>
    </row>
    <row r="44" spans="1:4" x14ac:dyDescent="0.15">
      <c r="A44" s="228">
        <v>244</v>
      </c>
      <c r="B44" s="235">
        <f>B43+D44</f>
        <v>6.09</v>
      </c>
      <c r="D44">
        <v>0.14000000000000001</v>
      </c>
    </row>
    <row r="45" spans="1:4" x14ac:dyDescent="0.15">
      <c r="A45" s="228">
        <v>245</v>
      </c>
      <c r="B45" s="235">
        <f>B44+D45</f>
        <v>6.22</v>
      </c>
      <c r="D45">
        <v>0.13</v>
      </c>
    </row>
    <row r="46" spans="1:4" x14ac:dyDescent="0.15">
      <c r="A46" s="228">
        <v>250</v>
      </c>
      <c r="B46" s="236">
        <f>F26</f>
        <v>6.38</v>
      </c>
      <c r="C46" s="236">
        <f>B48-B46</f>
        <v>0.15000000000000036</v>
      </c>
      <c r="D46" s="236">
        <f>C46/2</f>
        <v>7.5000000000000178E-2</v>
      </c>
    </row>
    <row r="47" spans="1:4" x14ac:dyDescent="0.15">
      <c r="A47" s="228">
        <v>255</v>
      </c>
      <c r="B47" s="235">
        <f>B46+D47</f>
        <v>6.49</v>
      </c>
      <c r="D47">
        <v>0.11</v>
      </c>
    </row>
    <row r="48" spans="1:4" x14ac:dyDescent="0.15">
      <c r="A48" s="228">
        <v>260</v>
      </c>
      <c r="B48" s="236">
        <f>F27</f>
        <v>6.53</v>
      </c>
      <c r="C48" s="236">
        <f>B50-B48</f>
        <v>0.16000000000000014</v>
      </c>
      <c r="D48" s="236">
        <f>C48/2</f>
        <v>8.0000000000000071E-2</v>
      </c>
    </row>
    <row r="49" spans="1:6" x14ac:dyDescent="0.15">
      <c r="A49" s="228">
        <v>265</v>
      </c>
      <c r="B49" s="235">
        <f>B48+D49</f>
        <v>6.6400000000000006</v>
      </c>
      <c r="D49">
        <v>0.11</v>
      </c>
    </row>
    <row r="50" spans="1:6" x14ac:dyDescent="0.15">
      <c r="A50" s="228">
        <v>270</v>
      </c>
      <c r="B50" s="236">
        <f>F28</f>
        <v>6.69</v>
      </c>
      <c r="C50" s="236">
        <f>B56-B50</f>
        <v>0.14999999999999947</v>
      </c>
      <c r="D50" s="238">
        <f>C50/6</f>
        <v>2.4999999999999911E-2</v>
      </c>
    </row>
    <row r="51" spans="1:6" x14ac:dyDescent="0.15">
      <c r="A51" s="228">
        <v>275</v>
      </c>
      <c r="B51" s="235">
        <f>B50+D51</f>
        <v>6.7600000000000007</v>
      </c>
      <c r="D51">
        <v>7.0000000000000007E-2</v>
      </c>
    </row>
    <row r="52" spans="1:6" x14ac:dyDescent="0.15">
      <c r="A52" s="228">
        <v>280</v>
      </c>
      <c r="B52" s="235">
        <f>B51+D52</f>
        <v>6.8100000000000005</v>
      </c>
      <c r="D52">
        <v>0.05</v>
      </c>
    </row>
    <row r="53" spans="1:6" x14ac:dyDescent="0.15">
      <c r="A53" s="228">
        <v>285</v>
      </c>
      <c r="B53" s="235">
        <f>B52+D53</f>
        <v>6.8500000000000005</v>
      </c>
      <c r="D53">
        <v>0.04</v>
      </c>
    </row>
    <row r="54" spans="1:6" x14ac:dyDescent="0.15">
      <c r="A54" s="228">
        <v>290</v>
      </c>
      <c r="B54" s="235">
        <f>B53+D54</f>
        <v>6.8800000000000008</v>
      </c>
      <c r="D54">
        <v>0.03</v>
      </c>
    </row>
    <row r="55" spans="1:6" x14ac:dyDescent="0.15">
      <c r="A55" s="228">
        <v>295</v>
      </c>
      <c r="B55" s="235">
        <f>B54+D55</f>
        <v>6.9</v>
      </c>
      <c r="D55">
        <v>0.02</v>
      </c>
    </row>
    <row r="56" spans="1:6" x14ac:dyDescent="0.15">
      <c r="A56" s="228">
        <v>300</v>
      </c>
      <c r="B56" s="236">
        <f>F29</f>
        <v>6.84</v>
      </c>
      <c r="C56" s="236">
        <f>B60-B56</f>
        <v>0.16000000000000014</v>
      </c>
      <c r="D56" s="236">
        <f>C56/4</f>
        <v>4.0000000000000036E-2</v>
      </c>
    </row>
    <row r="57" spans="1:6" x14ac:dyDescent="0.15">
      <c r="A57" s="228">
        <v>315</v>
      </c>
      <c r="B57" s="235">
        <f>B56+D57</f>
        <v>6.92</v>
      </c>
      <c r="D57">
        <v>0.08</v>
      </c>
    </row>
    <row r="58" spans="1:6" x14ac:dyDescent="0.15">
      <c r="A58" s="228">
        <v>330</v>
      </c>
      <c r="B58" s="235">
        <f>B57+D58</f>
        <v>6.9799999999999995</v>
      </c>
      <c r="D58">
        <v>0.06</v>
      </c>
    </row>
    <row r="59" spans="1:6" x14ac:dyDescent="0.15">
      <c r="A59" s="228">
        <v>345</v>
      </c>
      <c r="B59" s="235">
        <f>B58+D59</f>
        <v>7.0299999999999994</v>
      </c>
      <c r="D59">
        <v>0.05</v>
      </c>
    </row>
    <row r="60" spans="1:6" x14ac:dyDescent="0.15">
      <c r="A60" s="230">
        <v>360</v>
      </c>
      <c r="B60" s="236">
        <f>F30</f>
        <v>7</v>
      </c>
      <c r="C60" s="236">
        <f>B66-B60</f>
        <v>1.0299999999999994</v>
      </c>
      <c r="D60" s="237">
        <f>C60/10</f>
        <v>0.10299999999999994</v>
      </c>
    </row>
    <row r="61" spans="1:6" x14ac:dyDescent="0.15">
      <c r="A61" s="228">
        <v>361</v>
      </c>
      <c r="B61" s="235">
        <f>B60+D61</f>
        <v>7.19</v>
      </c>
      <c r="D61">
        <v>0.19</v>
      </c>
    </row>
    <row r="62" spans="1:6" x14ac:dyDescent="0.15">
      <c r="A62" s="228">
        <v>362</v>
      </c>
      <c r="B62" s="235">
        <f>B61+D62</f>
        <v>7.36</v>
      </c>
      <c r="D62">
        <v>0.17</v>
      </c>
    </row>
    <row r="63" spans="1:6" x14ac:dyDescent="0.15">
      <c r="A63" s="228">
        <v>363</v>
      </c>
      <c r="B63" s="235">
        <f>B62+D63</f>
        <v>7.5200000000000005</v>
      </c>
      <c r="D63">
        <v>0.16</v>
      </c>
      <c r="E63">
        <v>370</v>
      </c>
      <c r="F63">
        <f>단계양수시험!G42</f>
        <v>8.0299999999999994</v>
      </c>
    </row>
    <row r="64" spans="1:6" x14ac:dyDescent="0.15">
      <c r="A64" s="228">
        <v>364</v>
      </c>
      <c r="B64" s="235">
        <f>B63+D64</f>
        <v>7.6700000000000008</v>
      </c>
      <c r="D64">
        <v>0.15</v>
      </c>
      <c r="E64">
        <v>380</v>
      </c>
      <c r="F64">
        <f>단계양수시험!G43</f>
        <v>8.1999999999999993</v>
      </c>
    </row>
    <row r="65" spans="1:6" x14ac:dyDescent="0.15">
      <c r="A65" s="228">
        <v>365</v>
      </c>
      <c r="B65" s="235">
        <f>B64+D65</f>
        <v>7.8100000000000005</v>
      </c>
      <c r="D65">
        <v>0.14000000000000001</v>
      </c>
      <c r="E65">
        <v>390</v>
      </c>
      <c r="F65">
        <f>단계양수시험!G44</f>
        <v>8.3699999999999992</v>
      </c>
    </row>
    <row r="66" spans="1:6" x14ac:dyDescent="0.15">
      <c r="A66" s="228">
        <v>370</v>
      </c>
      <c r="B66" s="236">
        <f>F63</f>
        <v>8.0299999999999994</v>
      </c>
      <c r="C66" s="239">
        <f>B68-B66</f>
        <v>0.16999999999999993</v>
      </c>
      <c r="D66" s="236">
        <f>C66/2</f>
        <v>8.4999999999999964E-2</v>
      </c>
      <c r="E66">
        <v>420</v>
      </c>
      <c r="F66">
        <f>단계양수시험!G45</f>
        <v>8.5399999999999991</v>
      </c>
    </row>
    <row r="67" spans="1:6" x14ac:dyDescent="0.15">
      <c r="A67" s="228">
        <v>375</v>
      </c>
      <c r="B67" s="235">
        <f>B66+D67</f>
        <v>8.1499999999999986</v>
      </c>
      <c r="D67">
        <v>0.12</v>
      </c>
      <c r="E67">
        <v>480</v>
      </c>
      <c r="F67">
        <f>단계양수시험!G46</f>
        <v>8.7200000000000006</v>
      </c>
    </row>
    <row r="68" spans="1:6" x14ac:dyDescent="0.15">
      <c r="A68" s="228">
        <v>380</v>
      </c>
      <c r="B68" s="240">
        <f>F64</f>
        <v>8.1999999999999993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단계양수시험!G47</f>
        <v>9.76</v>
      </c>
    </row>
    <row r="69" spans="1:6" x14ac:dyDescent="0.15">
      <c r="A69" s="228">
        <v>385</v>
      </c>
      <c r="B69" s="235">
        <f>B68+D69</f>
        <v>8.3199999999999985</v>
      </c>
      <c r="D69">
        <v>0.12</v>
      </c>
      <c r="E69">
        <v>500</v>
      </c>
      <c r="F69">
        <f>단계양수시험!G48</f>
        <v>10.15</v>
      </c>
    </row>
    <row r="70" spans="1:6" x14ac:dyDescent="0.15">
      <c r="A70" s="228">
        <v>390</v>
      </c>
      <c r="B70" s="240">
        <f>F65</f>
        <v>8.3699999999999992</v>
      </c>
      <c r="C70" s="236">
        <f>B76-B70</f>
        <v>0.16999999999999993</v>
      </c>
      <c r="D70" s="238">
        <f>C70/6</f>
        <v>2.8333333333333321E-2</v>
      </c>
      <c r="E70">
        <v>510</v>
      </c>
      <c r="F70">
        <f>단계양수시험!G49</f>
        <v>10.54</v>
      </c>
    </row>
    <row r="71" spans="1:6" x14ac:dyDescent="0.15">
      <c r="A71" s="228">
        <v>395</v>
      </c>
      <c r="B71" s="235">
        <f>B70+D71</f>
        <v>8.44</v>
      </c>
      <c r="D71">
        <v>7.0000000000000007E-2</v>
      </c>
      <c r="E71">
        <v>540</v>
      </c>
      <c r="F71">
        <f>단계양수시험!G50</f>
        <v>10.93</v>
      </c>
    </row>
    <row r="72" spans="1:6" x14ac:dyDescent="0.15">
      <c r="A72" s="228">
        <v>400</v>
      </c>
      <c r="B72" s="235">
        <f>B71+D72</f>
        <v>8.49</v>
      </c>
      <c r="D72">
        <v>0.05</v>
      </c>
      <c r="E72">
        <v>600</v>
      </c>
      <c r="F72">
        <f>단계양수시험!G51</f>
        <v>11.33</v>
      </c>
    </row>
    <row r="73" spans="1:6" x14ac:dyDescent="0.15">
      <c r="A73" s="228">
        <v>405</v>
      </c>
      <c r="B73" s="235">
        <f>B72+D73</f>
        <v>8.5299999999999994</v>
      </c>
      <c r="D73">
        <v>0.04</v>
      </c>
    </row>
    <row r="74" spans="1:6" x14ac:dyDescent="0.15">
      <c r="A74" s="228">
        <v>410</v>
      </c>
      <c r="B74" s="235">
        <f>B73+D74</f>
        <v>8.5599999999999987</v>
      </c>
      <c r="D74">
        <v>0.03</v>
      </c>
    </row>
    <row r="75" spans="1:6" x14ac:dyDescent="0.15">
      <c r="A75" s="228">
        <v>415</v>
      </c>
      <c r="B75" s="235">
        <f>B74+D75</f>
        <v>8.5899999999999981</v>
      </c>
      <c r="D75">
        <v>0.03</v>
      </c>
    </row>
    <row r="76" spans="1:6" x14ac:dyDescent="0.15">
      <c r="A76" s="228">
        <v>420</v>
      </c>
      <c r="B76" s="240">
        <f>F66</f>
        <v>8.5399999999999991</v>
      </c>
      <c r="C76" s="236">
        <f>B80-B76</f>
        <v>0.18000000000000149</v>
      </c>
      <c r="D76" s="236">
        <f>C76/4</f>
        <v>4.5000000000000373E-2</v>
      </c>
    </row>
    <row r="77" spans="1:6" x14ac:dyDescent="0.15">
      <c r="A77" s="228">
        <v>435</v>
      </c>
      <c r="B77" s="235">
        <f>B76+D77</f>
        <v>8.629999999999999</v>
      </c>
      <c r="D77">
        <v>0.09</v>
      </c>
    </row>
    <row r="78" spans="1:6" x14ac:dyDescent="0.15">
      <c r="A78" s="228">
        <v>450</v>
      </c>
      <c r="B78" s="235">
        <f>B77+D78</f>
        <v>8.6999999999999993</v>
      </c>
      <c r="D78">
        <v>7.0000000000000007E-2</v>
      </c>
    </row>
    <row r="79" spans="1:6" x14ac:dyDescent="0.15">
      <c r="A79" s="228">
        <v>465</v>
      </c>
      <c r="B79" s="235">
        <f>B78+D79</f>
        <v>8.75</v>
      </c>
      <c r="D79">
        <v>0.05</v>
      </c>
    </row>
    <row r="80" spans="1:6" x14ac:dyDescent="0.15">
      <c r="A80" s="230">
        <v>480</v>
      </c>
      <c r="B80" s="240">
        <f>F67</f>
        <v>8.7200000000000006</v>
      </c>
      <c r="C80" s="236">
        <f>B86-B80</f>
        <v>1.0399999999999991</v>
      </c>
      <c r="D80" s="237">
        <f>C80/10</f>
        <v>0.10399999999999991</v>
      </c>
    </row>
    <row r="81" spans="1:4" x14ac:dyDescent="0.15">
      <c r="A81" s="228">
        <v>481</v>
      </c>
      <c r="B81" s="235">
        <f>B80+D81</f>
        <v>8.9300000000000015</v>
      </c>
      <c r="D81">
        <v>0.21</v>
      </c>
    </row>
    <row r="82" spans="1:4" x14ac:dyDescent="0.15">
      <c r="A82" s="228">
        <v>482</v>
      </c>
      <c r="B82" s="235">
        <f>B81+D82</f>
        <v>9.120000000000001</v>
      </c>
      <c r="D82">
        <v>0.19</v>
      </c>
    </row>
    <row r="83" spans="1:4" x14ac:dyDescent="0.15">
      <c r="A83" s="228">
        <v>483</v>
      </c>
      <c r="B83" s="235">
        <f>B82+D83</f>
        <v>9.2900000000000009</v>
      </c>
      <c r="D83">
        <v>0.17</v>
      </c>
    </row>
    <row r="84" spans="1:4" x14ac:dyDescent="0.15">
      <c r="A84" s="228">
        <v>484</v>
      </c>
      <c r="B84" s="235">
        <f>B83+D84</f>
        <v>9.4500000000000011</v>
      </c>
      <c r="D84">
        <v>0.16</v>
      </c>
    </row>
    <row r="85" spans="1:4" x14ac:dyDescent="0.15">
      <c r="A85" s="228">
        <v>485</v>
      </c>
      <c r="B85" s="235">
        <f>B84+D85</f>
        <v>9.5900000000000016</v>
      </c>
      <c r="D85">
        <v>0.14000000000000001</v>
      </c>
    </row>
    <row r="86" spans="1:4" x14ac:dyDescent="0.15">
      <c r="A86" s="228">
        <v>490</v>
      </c>
      <c r="B86" s="240">
        <f>F68</f>
        <v>9.76</v>
      </c>
      <c r="C86" s="236">
        <f>B88-B86</f>
        <v>0.39000000000000057</v>
      </c>
      <c r="D86" s="236">
        <f>C86/2</f>
        <v>0.19500000000000028</v>
      </c>
    </row>
    <row r="87" spans="1:4" x14ac:dyDescent="0.15">
      <c r="A87" s="228">
        <v>495</v>
      </c>
      <c r="B87" s="235">
        <f>B86+D87</f>
        <v>10.07</v>
      </c>
      <c r="D87">
        <v>0.31</v>
      </c>
    </row>
    <row r="88" spans="1:4" x14ac:dyDescent="0.15">
      <c r="A88" s="228">
        <v>500</v>
      </c>
      <c r="B88" s="240">
        <f>F69</f>
        <v>10.15</v>
      </c>
      <c r="C88" s="236">
        <f>B90-B88</f>
        <v>0.38999999999999879</v>
      </c>
      <c r="D88" s="236">
        <f>C88/2</f>
        <v>0.1949999999999994</v>
      </c>
    </row>
    <row r="89" spans="1:4" x14ac:dyDescent="0.15">
      <c r="A89" s="228">
        <v>505</v>
      </c>
      <c r="B89" s="235">
        <f>B88+D89</f>
        <v>10.450000000000001</v>
      </c>
      <c r="D89">
        <v>0.3</v>
      </c>
    </row>
    <row r="90" spans="1:4" x14ac:dyDescent="0.15">
      <c r="A90" s="228">
        <v>510</v>
      </c>
      <c r="B90" s="240">
        <f>F70</f>
        <v>10.54</v>
      </c>
      <c r="C90" s="236">
        <f>B96-B90</f>
        <v>0.39000000000000057</v>
      </c>
      <c r="D90" s="238">
        <f>C90/6</f>
        <v>6.5000000000000099E-2</v>
      </c>
    </row>
    <row r="91" spans="1:4" x14ac:dyDescent="0.15">
      <c r="A91" s="228">
        <v>515</v>
      </c>
      <c r="B91" s="235">
        <f>B90+D91</f>
        <v>10.69</v>
      </c>
      <c r="D91">
        <v>0.15</v>
      </c>
    </row>
    <row r="92" spans="1:4" x14ac:dyDescent="0.15">
      <c r="A92" s="228">
        <v>520</v>
      </c>
      <c r="B92" s="235">
        <f>B91+D92</f>
        <v>10.82</v>
      </c>
      <c r="D92">
        <v>0.13</v>
      </c>
    </row>
    <row r="93" spans="1:4" x14ac:dyDescent="0.15">
      <c r="A93" s="228">
        <v>525</v>
      </c>
      <c r="B93" s="235">
        <f>B92+D93</f>
        <v>10.93</v>
      </c>
      <c r="D93">
        <v>0.11</v>
      </c>
    </row>
    <row r="94" spans="1:4" x14ac:dyDescent="0.15">
      <c r="A94" s="228">
        <v>530</v>
      </c>
      <c r="B94" s="235">
        <f>B93+D94</f>
        <v>11.01</v>
      </c>
      <c r="D94">
        <v>0.08</v>
      </c>
    </row>
    <row r="95" spans="1:4" x14ac:dyDescent="0.15">
      <c r="A95" s="228">
        <v>535</v>
      </c>
      <c r="B95" s="235">
        <f>B94+D95</f>
        <v>11.08</v>
      </c>
      <c r="D95">
        <v>7.0000000000000007E-2</v>
      </c>
    </row>
    <row r="96" spans="1:4" x14ac:dyDescent="0.15">
      <c r="A96" s="228">
        <v>540</v>
      </c>
      <c r="B96" s="240">
        <f>F71</f>
        <v>10.93</v>
      </c>
      <c r="C96" s="236">
        <f>B100-B96</f>
        <v>0.40000000000000036</v>
      </c>
      <c r="D96" s="236">
        <f>C96/4</f>
        <v>0.10000000000000009</v>
      </c>
    </row>
    <row r="97" spans="1:4" x14ac:dyDescent="0.15">
      <c r="A97" s="228">
        <v>555</v>
      </c>
      <c r="B97" s="235">
        <f>B96+D97</f>
        <v>11.12</v>
      </c>
      <c r="D97">
        <v>0.19</v>
      </c>
    </row>
    <row r="98" spans="1:4" x14ac:dyDescent="0.15">
      <c r="A98" s="228">
        <v>570</v>
      </c>
      <c r="B98" s="235">
        <f>B97+D98</f>
        <v>11.28</v>
      </c>
      <c r="D98">
        <v>0.16</v>
      </c>
    </row>
    <row r="99" spans="1:4" x14ac:dyDescent="0.15">
      <c r="A99" s="228">
        <v>585</v>
      </c>
      <c r="B99" s="235">
        <f>B98+D99</f>
        <v>11.42</v>
      </c>
      <c r="D99">
        <v>0.14000000000000001</v>
      </c>
    </row>
    <row r="100" spans="1:4" x14ac:dyDescent="0.15">
      <c r="A100" s="230">
        <v>600</v>
      </c>
      <c r="B100" s="203">
        <f>F72</f>
        <v>11.33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7"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25.833333333333336</v>
      </c>
      <c r="F1" s="231"/>
      <c r="G1" s="231">
        <f>E1/E2</f>
        <v>0.8908045977011495</v>
      </c>
    </row>
    <row r="2" spans="1:19" x14ac:dyDescent="0.15">
      <c r="A2" s="47" t="s">
        <v>186</v>
      </c>
      <c r="B2" s="47" t="s">
        <v>187</v>
      </c>
      <c r="D2" s="20">
        <f>D19</f>
        <v>49</v>
      </c>
      <c r="E2" s="231">
        <f>M51/3</f>
        <v>29</v>
      </c>
      <c r="F2" s="274" t="s">
        <v>189</v>
      </c>
      <c r="G2" s="273" t="s">
        <v>220</v>
      </c>
    </row>
    <row r="3" spans="1:19" x14ac:dyDescent="0.15">
      <c r="A3" s="179">
        <f>B3+$M$48</f>
        <v>35.799999999999997</v>
      </c>
      <c r="B3" s="276">
        <f>B20</f>
        <v>4.0999999999999996</v>
      </c>
      <c r="C3" s="19"/>
      <c r="D3" s="275">
        <f t="shared" ref="D3:D7" si="0">D20</f>
        <v>55</v>
      </c>
      <c r="E3" s="17">
        <f>D3/12</f>
        <v>4.583333333333333</v>
      </c>
      <c r="F3" s="21">
        <f>INT(B3/D3*1000)/1000</f>
        <v>7.3999999999999996E-2</v>
      </c>
      <c r="G3" s="21">
        <f>1/F3</f>
        <v>13.513513513513514</v>
      </c>
    </row>
    <row r="4" spans="1:19" x14ac:dyDescent="0.15">
      <c r="A4" s="179">
        <f>B4+$M$48</f>
        <v>37.159999999999997</v>
      </c>
      <c r="B4" s="19">
        <f>B21</f>
        <v>5.46</v>
      </c>
      <c r="C4" s="19"/>
      <c r="D4" s="20">
        <f t="shared" si="0"/>
        <v>70</v>
      </c>
      <c r="E4" s="17">
        <f>D4/12</f>
        <v>5.833333333333333</v>
      </c>
      <c r="F4" s="21">
        <f>INT(B4/D4*1000)/1000</f>
        <v>7.8E-2</v>
      </c>
      <c r="G4" s="21">
        <f t="shared" ref="G4:G7" si="1">1/F4</f>
        <v>12.820512820512821</v>
      </c>
    </row>
    <row r="5" spans="1:19" x14ac:dyDescent="0.15">
      <c r="A5" s="179">
        <f>B5+$M$48</f>
        <v>38.700000000000003</v>
      </c>
      <c r="B5" s="19">
        <f>B22</f>
        <v>7</v>
      </c>
      <c r="C5" s="19"/>
      <c r="D5" s="20">
        <f t="shared" si="0"/>
        <v>85</v>
      </c>
      <c r="E5" s="17">
        <f>D5/12</f>
        <v>7.083333333333333</v>
      </c>
      <c r="F5" s="21">
        <f>INT(B5/D5*1000)/1000</f>
        <v>8.2000000000000003E-2</v>
      </c>
      <c r="G5" s="21">
        <f t="shared" si="1"/>
        <v>12.195121951219512</v>
      </c>
    </row>
    <row r="6" spans="1:19" x14ac:dyDescent="0.15">
      <c r="A6" s="179">
        <f>B6+$M$48</f>
        <v>40.42</v>
      </c>
      <c r="B6" s="276">
        <f>B23</f>
        <v>8.7200000000000006</v>
      </c>
      <c r="C6" s="19"/>
      <c r="D6" s="20">
        <f>D23</f>
        <v>100</v>
      </c>
      <c r="E6" s="17">
        <f>D6/12</f>
        <v>8.3333333333333339</v>
      </c>
      <c r="F6" s="21">
        <f>INT(B6/D6*1000)/1000</f>
        <v>8.6999999999999994E-2</v>
      </c>
      <c r="G6" s="21">
        <f t="shared" si="1"/>
        <v>11.494252873563219</v>
      </c>
    </row>
    <row r="7" spans="1:19" x14ac:dyDescent="0.15">
      <c r="A7" s="179">
        <f>B7+$M$48</f>
        <v>43.03</v>
      </c>
      <c r="B7" s="19">
        <f>B24</f>
        <v>11.33</v>
      </c>
      <c r="C7" s="19"/>
      <c r="D7" s="20">
        <f t="shared" si="0"/>
        <v>114.99999999999999</v>
      </c>
      <c r="E7" s="17">
        <f>D7/12</f>
        <v>9.5833333333333321</v>
      </c>
      <c r="F7" s="21">
        <f>INT(B7/D7*1000)/1000</f>
        <v>9.8000000000000004E-2</v>
      </c>
      <c r="G7" s="21">
        <f t="shared" si="1"/>
        <v>10.204081632653061</v>
      </c>
    </row>
    <row r="8" spans="1:19" x14ac:dyDescent="0.15">
      <c r="B8" s="17" t="s">
        <v>0</v>
      </c>
      <c r="E8" s="530" t="s">
        <v>124</v>
      </c>
      <c r="F8" s="530"/>
      <c r="G8" s="530"/>
    </row>
    <row r="9" spans="1:19" x14ac:dyDescent="0.15">
      <c r="A9" s="272" t="s">
        <v>194</v>
      </c>
      <c r="B9" s="272" t="s">
        <v>195</v>
      </c>
      <c r="E9" s="86">
        <v>0.98</v>
      </c>
      <c r="F9" s="531" t="s">
        <v>114</v>
      </c>
      <c r="G9" s="531"/>
    </row>
    <row r="10" spans="1:19" x14ac:dyDescent="0.15">
      <c r="A10" s="271">
        <f>D20/B20</f>
        <v>13.414634146341465</v>
      </c>
      <c r="B10" s="271">
        <f>B20/D20</f>
        <v>7.454545454545454E-2</v>
      </c>
      <c r="E10" s="86">
        <v>0.98</v>
      </c>
      <c r="F10" s="531" t="s">
        <v>115</v>
      </c>
      <c r="G10" s="531"/>
    </row>
    <row r="11" spans="1:19" x14ac:dyDescent="0.15">
      <c r="A11" s="271">
        <f t="shared" ref="A11:A14" si="2">D21/B21</f>
        <v>12.820512820512821</v>
      </c>
      <c r="B11" s="271">
        <f t="shared" ref="B11:B14" si="3">B21/D21</f>
        <v>7.8E-2</v>
      </c>
      <c r="D11" s="17" t="s">
        <v>0</v>
      </c>
      <c r="E11" s="86">
        <v>0.98</v>
      </c>
      <c r="F11" s="531" t="s">
        <v>116</v>
      </c>
      <c r="G11" s="531"/>
    </row>
    <row r="12" spans="1:19" x14ac:dyDescent="0.15">
      <c r="A12" s="271">
        <f t="shared" si="2"/>
        <v>12.142857142857142</v>
      </c>
      <c r="B12" s="271">
        <f t="shared" si="3"/>
        <v>8.2352941176470587E-2</v>
      </c>
      <c r="E12" s="86">
        <v>1</v>
      </c>
      <c r="F12" s="531" t="s">
        <v>117</v>
      </c>
      <c r="G12" s="531"/>
    </row>
    <row r="13" spans="1:19" x14ac:dyDescent="0.15">
      <c r="A13" s="271">
        <f t="shared" si="2"/>
        <v>11.467889908256879</v>
      </c>
      <c r="B13" s="271">
        <f t="shared" si="3"/>
        <v>8.72E-2</v>
      </c>
      <c r="D13" s="17" t="s">
        <v>0</v>
      </c>
      <c r="E13" s="530" t="s">
        <v>123</v>
      </c>
      <c r="F13" s="530"/>
      <c r="G13" s="530"/>
    </row>
    <row r="14" spans="1:19" x14ac:dyDescent="0.15">
      <c r="A14" s="271">
        <f t="shared" si="2"/>
        <v>10.150044130626654</v>
      </c>
      <c r="B14" s="271">
        <f t="shared" si="3"/>
        <v>9.8521739130434799E-2</v>
      </c>
      <c r="E14" s="87">
        <v>1</v>
      </c>
      <c r="F14" s="531" t="s">
        <v>114</v>
      </c>
      <c r="G14" s="531"/>
    </row>
    <row r="15" spans="1:19" x14ac:dyDescent="0.15">
      <c r="E15" s="87">
        <v>1</v>
      </c>
      <c r="F15" s="531" t="s">
        <v>115</v>
      </c>
      <c r="G15" s="531"/>
    </row>
    <row r="16" spans="1:19" x14ac:dyDescent="0.15">
      <c r="B16" s="38" t="s">
        <v>121</v>
      </c>
      <c r="D16" s="77" t="s">
        <v>122</v>
      </c>
      <c r="E16" s="87">
        <v>1</v>
      </c>
      <c r="F16" s="531" t="s">
        <v>116</v>
      </c>
      <c r="G16" s="531"/>
      <c r="R16" s="18">
        <v>0.128</v>
      </c>
      <c r="S16" s="18">
        <f>ROUNDDOWN(R16,1)</f>
        <v>0.1</v>
      </c>
    </row>
    <row r="17" spans="1:21" x14ac:dyDescent="0.15">
      <c r="B17" s="82">
        <f>M52</f>
        <v>8.7200000000000006</v>
      </c>
      <c r="D17" s="85">
        <f>M47</f>
        <v>100</v>
      </c>
      <c r="E17" s="87">
        <v>1</v>
      </c>
      <c r="F17" s="531" t="s">
        <v>117</v>
      </c>
      <c r="G17" s="531"/>
      <c r="P17" s="324"/>
      <c r="Q17" s="323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4"/>
    </row>
    <row r="19" spans="1:21" x14ac:dyDescent="0.15">
      <c r="B19" s="83"/>
      <c r="C19" s="19"/>
      <c r="D19" s="81">
        <f>INT(D20*0.9)</f>
        <v>49</v>
      </c>
      <c r="F19" s="19"/>
      <c r="G19" s="19"/>
    </row>
    <row r="20" spans="1:21" x14ac:dyDescent="0.15">
      <c r="A20" s="252" t="s">
        <v>188</v>
      </c>
      <c r="B20" s="372">
        <f>INT(B$17*C20*100)/100</f>
        <v>4.0999999999999996</v>
      </c>
      <c r="C20" s="17">
        <f>0.48*E9</f>
        <v>0.47039999999999998</v>
      </c>
      <c r="D20" s="373">
        <f>INT(D$17*E20)</f>
        <v>55</v>
      </c>
      <c r="E20" s="371">
        <f>0.55*E14</f>
        <v>0.55000000000000004</v>
      </c>
      <c r="F20" s="21">
        <f>B20/D20</f>
        <v>7.454545454545454E-2</v>
      </c>
      <c r="G20" s="17">
        <f>F20-F19</f>
        <v>7.454545454545454E-2</v>
      </c>
    </row>
    <row r="21" spans="1:21" x14ac:dyDescent="0.15">
      <c r="A21" s="19">
        <f>B21-B20</f>
        <v>1.3600000000000003</v>
      </c>
      <c r="B21" s="372">
        <f>INT(B$17*C21*100)/100</f>
        <v>5.46</v>
      </c>
      <c r="C21" s="17">
        <f>0.64*E10</f>
        <v>0.62719999999999998</v>
      </c>
      <c r="D21" s="373">
        <f>INT(D$17*E21)</f>
        <v>70</v>
      </c>
      <c r="E21" s="371">
        <f>0.7*E15</f>
        <v>0.7</v>
      </c>
      <c r="F21" s="21">
        <f>B21/D21</f>
        <v>7.8E-2</v>
      </c>
      <c r="G21" s="17">
        <f>F21-F20</f>
        <v>3.4545454545454601E-3</v>
      </c>
      <c r="N21" s="108" t="s">
        <v>135</v>
      </c>
      <c r="O21" s="505" t="s">
        <v>126</v>
      </c>
      <c r="P21" s="505"/>
      <c r="Q21" s="505" t="s">
        <v>129</v>
      </c>
      <c r="R21" s="505"/>
      <c r="S21" s="505" t="s">
        <v>131</v>
      </c>
      <c r="T21" s="505"/>
      <c r="U21" s="94" t="s">
        <v>132</v>
      </c>
    </row>
    <row r="22" spans="1:21" x14ac:dyDescent="0.15">
      <c r="A22" s="19">
        <f>B22-B21</f>
        <v>1.54</v>
      </c>
      <c r="B22" s="372">
        <f>INT(B$17*C22*100)/100</f>
        <v>7</v>
      </c>
      <c r="C22" s="17">
        <f>0.82*E11</f>
        <v>0.80359999999999998</v>
      </c>
      <c r="D22" s="374">
        <f>(D$17*E22)</f>
        <v>85</v>
      </c>
      <c r="E22" s="371">
        <f>0.85*E16</f>
        <v>0.85</v>
      </c>
      <c r="F22" s="21">
        <f>B22/D22</f>
        <v>8.2352941176470587E-2</v>
      </c>
      <c r="G22" s="17">
        <f>F22-F21</f>
        <v>4.3529411764705872E-3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1.7200000000000006</v>
      </c>
      <c r="B23" s="372">
        <f>INT(B$17*C23*100)/100</f>
        <v>8.7200000000000006</v>
      </c>
      <c r="C23" s="17">
        <v>1</v>
      </c>
      <c r="D23" s="373">
        <f>D$17*E23</f>
        <v>100</v>
      </c>
      <c r="E23" s="371">
        <v>1</v>
      </c>
      <c r="F23" s="21">
        <f>B23/D23</f>
        <v>8.72E-2</v>
      </c>
      <c r="G23" s="17">
        <f>F23-F22</f>
        <v>4.8470588235294126E-3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2.6099999999999994</v>
      </c>
      <c r="B24" s="372">
        <f>INT(B$17*C24*100)/100</f>
        <v>11.33</v>
      </c>
      <c r="C24" s="17">
        <f>1.3*E12</f>
        <v>1.3</v>
      </c>
      <c r="D24" s="373">
        <f>D$17*E24</f>
        <v>114.99999999999999</v>
      </c>
      <c r="E24" s="371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9.8521739130434799E-2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03" t="s">
        <v>118</v>
      </c>
      <c r="B26" s="503"/>
      <c r="C26" s="79">
        <f>INT(M51*1)</f>
        <v>87</v>
      </c>
      <c r="F26" s="178">
        <f>M50/M51</f>
        <v>0.11264367816091955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03" t="s">
        <v>119</v>
      </c>
      <c r="B27" s="503"/>
      <c r="C27" s="80">
        <f>가채수량!B7</f>
        <v>90.960137525312049</v>
      </c>
      <c r="D27" s="19">
        <f>(C27/D6)*100</f>
        <v>90.960137525312049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2.8210000000000003E-4</v>
      </c>
      <c r="B31" s="32">
        <v>5.8660999999999998E-2</v>
      </c>
      <c r="D31" s="20">
        <f t="shared" ref="D31:D36" si="4">D19</f>
        <v>49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2.8210000000000003E-4</v>
      </c>
      <c r="B32" s="17">
        <f t="shared" si="5"/>
        <v>5.8660999999999998E-2</v>
      </c>
      <c r="D32" s="20">
        <f t="shared" si="4"/>
        <v>55</v>
      </c>
      <c r="F32" s="23">
        <f>B32*D32/(B32*D32+A32*D32*D32)*100</f>
        <v>79.082997984536888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2.8210000000000003E-4</v>
      </c>
      <c r="B33" s="17">
        <f t="shared" si="5"/>
        <v>5.8660999999999998E-2</v>
      </c>
      <c r="D33" s="20">
        <f t="shared" si="4"/>
        <v>70</v>
      </c>
      <c r="F33" s="23">
        <f>B33*D33/(B33*D33+A33*D33*D33)*100</f>
        <v>74.815069890827459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2.8210000000000003E-4</v>
      </c>
      <c r="B34" s="17">
        <f t="shared" si="5"/>
        <v>5.8660999999999998E-2</v>
      </c>
      <c r="D34" s="20">
        <f t="shared" si="4"/>
        <v>85</v>
      </c>
      <c r="F34" s="23">
        <f>B34*D34/(B34*D34+A34*D34*D34)*100</f>
        <v>70.984214570514098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2.8210000000000003E-4</v>
      </c>
      <c r="B35" s="17">
        <f>B34</f>
        <v>5.8660999999999998E-2</v>
      </c>
      <c r="D35" s="20">
        <f t="shared" si="4"/>
        <v>100</v>
      </c>
      <c r="F35" s="23">
        <f>B35*D35/(B35*D35+A35*D35*D35)*100</f>
        <v>67.526562374094922</v>
      </c>
      <c r="G35" s="23"/>
    </row>
    <row r="36" spans="1:21" x14ac:dyDescent="0.15">
      <c r="D36" s="20">
        <f t="shared" si="4"/>
        <v>114.99999999999999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73.102211204993338</v>
      </c>
      <c r="P37" s="18">
        <v>2.8210000000000003E-4</v>
      </c>
      <c r="Q37" s="18">
        <v>0.25700000000000001</v>
      </c>
    </row>
    <row r="38" spans="1:21" x14ac:dyDescent="0.15">
      <c r="A38" s="46">
        <v>70.634999999999991</v>
      </c>
      <c r="B38" s="47">
        <v>0.25700000000000001</v>
      </c>
      <c r="C38" s="47">
        <v>92.994</v>
      </c>
      <c r="E38" s="17" t="s">
        <v>33</v>
      </c>
      <c r="P38" s="18">
        <v>5.8660999999999998E-2</v>
      </c>
      <c r="Q38" s="18">
        <v>92.994</v>
      </c>
    </row>
    <row r="39" spans="1:21" x14ac:dyDescent="0.15">
      <c r="A39" s="24"/>
      <c r="B39" s="25" t="s">
        <v>34</v>
      </c>
      <c r="C39" s="19">
        <f>(C38-A38)/B38</f>
        <v>87.000000000000028</v>
      </c>
      <c r="D39" s="17">
        <f>C38-B38*M51</f>
        <v>70.634999999999991</v>
      </c>
    </row>
    <row r="40" spans="1:21" x14ac:dyDescent="0.15">
      <c r="A40" s="24" t="s">
        <v>35</v>
      </c>
      <c r="B40" s="25" t="s">
        <v>34</v>
      </c>
      <c r="C40" s="17">
        <f>INT(C39)</f>
        <v>87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6" t="s">
        <v>233</v>
      </c>
      <c r="R43" s="326" t="s">
        <v>234</v>
      </c>
      <c r="S43" s="326" t="s">
        <v>235</v>
      </c>
      <c r="T43" s="326" t="s">
        <v>220</v>
      </c>
      <c r="U43" s="326" t="s">
        <v>189</v>
      </c>
    </row>
    <row r="44" spans="1:21" ht="16.5" x14ac:dyDescent="0.3">
      <c r="A44" s="109">
        <f>B58</f>
        <v>40.21</v>
      </c>
      <c r="B44" s="22" t="s">
        <v>16</v>
      </c>
      <c r="H44" s="375" t="s">
        <v>191</v>
      </c>
      <c r="I44" s="516" t="s">
        <v>288</v>
      </c>
      <c r="J44" s="517"/>
      <c r="K44" s="518"/>
      <c r="L44" s="337" t="s">
        <v>59</v>
      </c>
      <c r="M44" s="338">
        <v>200</v>
      </c>
      <c r="N44" s="337" t="s">
        <v>185</v>
      </c>
      <c r="Q44" s="328">
        <v>55</v>
      </c>
      <c r="R44" s="360">
        <v>35.799999999999997</v>
      </c>
      <c r="S44" s="360">
        <v>4.0999999999999996</v>
      </c>
      <c r="T44" s="322">
        <v>13.513513513513514</v>
      </c>
      <c r="U44" s="18">
        <v>7.3999999999999996E-2</v>
      </c>
    </row>
    <row r="45" spans="1:21" ht="16.5" x14ac:dyDescent="0.3">
      <c r="A45" s="87">
        <v>5.0000000000000001E-4</v>
      </c>
      <c r="B45" s="22" t="s">
        <v>19</v>
      </c>
      <c r="H45" s="375" t="s">
        <v>54</v>
      </c>
      <c r="I45" s="339" t="s">
        <v>287</v>
      </c>
      <c r="J45" s="340"/>
      <c r="K45" s="338"/>
      <c r="L45" s="337" t="s">
        <v>60</v>
      </c>
      <c r="M45" s="480">
        <v>470</v>
      </c>
      <c r="N45" s="480">
        <f>M44</f>
        <v>200</v>
      </c>
      <c r="Q45" s="328">
        <v>70</v>
      </c>
      <c r="R45" s="360">
        <v>37.159999999999997</v>
      </c>
      <c r="S45" s="360">
        <v>5.46</v>
      </c>
      <c r="T45" s="322">
        <v>12.820512820512821</v>
      </c>
      <c r="U45" s="18">
        <v>7.8E-2</v>
      </c>
    </row>
    <row r="46" spans="1:21" ht="16.5" x14ac:dyDescent="0.3">
      <c r="A46" s="17">
        <f>B34</f>
        <v>5.8660999999999998E-2</v>
      </c>
      <c r="B46" s="22" t="s">
        <v>36</v>
      </c>
      <c r="C46" s="512" t="s">
        <v>29</v>
      </c>
      <c r="D46" s="512"/>
      <c r="H46" s="375" t="s">
        <v>55</v>
      </c>
      <c r="I46" s="338" t="s">
        <v>289</v>
      </c>
      <c r="J46" s="340"/>
      <c r="K46" s="338"/>
      <c r="L46" s="337" t="s">
        <v>61</v>
      </c>
      <c r="M46" s="341">
        <f>IF(I52&gt;M48, M45-I52,M45-M48)</f>
        <v>434</v>
      </c>
      <c r="N46" s="342"/>
      <c r="Q46" s="328">
        <v>85</v>
      </c>
      <c r="R46" s="360">
        <v>38.700000000000003</v>
      </c>
      <c r="S46" s="360">
        <v>7</v>
      </c>
      <c r="T46" s="322">
        <v>12.195121951219512</v>
      </c>
      <c r="U46" s="18">
        <v>8.2000000000000003E-2</v>
      </c>
    </row>
    <row r="47" spans="1:21" ht="16.5" x14ac:dyDescent="0.3">
      <c r="A47" s="17">
        <f>120/1440</f>
        <v>8.3333333333333329E-2</v>
      </c>
      <c r="B47" s="22" t="s">
        <v>24</v>
      </c>
      <c r="C47" s="512" t="s">
        <v>28</v>
      </c>
      <c r="D47" s="512"/>
      <c r="H47" s="375" t="s">
        <v>56</v>
      </c>
      <c r="I47" s="338" t="s">
        <v>286</v>
      </c>
      <c r="J47" s="340"/>
      <c r="K47" s="338"/>
      <c r="L47" s="337" t="s">
        <v>62</v>
      </c>
      <c r="M47" s="343">
        <f>INT((M51*100)/M53)</f>
        <v>100</v>
      </c>
      <c r="N47" s="342"/>
      <c r="Q47" s="328">
        <v>100</v>
      </c>
      <c r="R47" s="360">
        <v>40.42</v>
      </c>
      <c r="S47" s="360">
        <v>8.7200000000000006</v>
      </c>
      <c r="T47" s="322">
        <v>11.494252873563219</v>
      </c>
      <c r="U47" s="18">
        <v>8.6999999999999994E-2</v>
      </c>
    </row>
    <row r="48" spans="1:21" ht="16.5" x14ac:dyDescent="0.3">
      <c r="B48" s="22"/>
      <c r="H48" s="375" t="s">
        <v>57</v>
      </c>
      <c r="I48" s="481">
        <v>5</v>
      </c>
      <c r="J48" s="515" t="s">
        <v>284</v>
      </c>
      <c r="K48" s="515"/>
      <c r="L48" s="344" t="s">
        <v>63</v>
      </c>
      <c r="M48" s="482">
        <v>31.7</v>
      </c>
      <c r="N48" s="342"/>
      <c r="Q48" s="328">
        <v>115</v>
      </c>
      <c r="R48" s="360">
        <v>43.03</v>
      </c>
      <c r="S48" s="360">
        <v>11.33</v>
      </c>
      <c r="T48" s="322">
        <v>10.204081632653061</v>
      </c>
      <c r="U48" s="18">
        <v>9.8000000000000004E-2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06" t="s">
        <v>58</v>
      </c>
      <c r="I49" s="514" t="str">
        <f>I45</f>
        <v xml:space="preserve"> 무거동 1027-5</v>
      </c>
      <c r="J49" s="514"/>
      <c r="K49" s="514"/>
      <c r="L49" s="337" t="s">
        <v>64</v>
      </c>
      <c r="M49" s="482">
        <v>41.5</v>
      </c>
      <c r="N49" s="342"/>
    </row>
    <row r="50" spans="1:17" ht="16.5" x14ac:dyDescent="0.3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07"/>
      <c r="I50" s="514"/>
      <c r="J50" s="514"/>
      <c r="K50" s="514"/>
      <c r="L50" s="337" t="s">
        <v>65</v>
      </c>
      <c r="M50" s="345">
        <f>M49-M48</f>
        <v>9.8000000000000007</v>
      </c>
      <c r="N50" s="342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08"/>
      <c r="I51" s="509" t="s">
        <v>113</v>
      </c>
      <c r="J51" s="510"/>
      <c r="K51" s="511"/>
      <c r="L51" s="346" t="s">
        <v>106</v>
      </c>
      <c r="M51" s="363">
        <v>87</v>
      </c>
      <c r="N51" s="342"/>
      <c r="Q51" s="18">
        <v>55</v>
      </c>
    </row>
    <row r="52" spans="1:17" ht="16.5" x14ac:dyDescent="0.3">
      <c r="A52" s="28" t="s">
        <v>41</v>
      </c>
      <c r="B52" s="17">
        <f>INT(10^((INT(5.46*A44*A46*1000))/1000)*1000)/1000</f>
        <v>7550922276654.3652</v>
      </c>
      <c r="C52" s="17">
        <f>INT(B52*B51*1000)/1000</f>
        <v>3775461138.3270001</v>
      </c>
      <c r="H52" s="347" t="s">
        <v>96</v>
      </c>
      <c r="I52" s="481">
        <v>36</v>
      </c>
      <c r="J52" s="347" t="s">
        <v>97</v>
      </c>
      <c r="K52" s="348">
        <v>0</v>
      </c>
      <c r="L52" s="349" t="s">
        <v>66</v>
      </c>
      <c r="M52" s="341">
        <f>INT(M50*0.89*100)/100</f>
        <v>8.7200000000000006</v>
      </c>
      <c r="N52" s="350"/>
      <c r="Q52" s="18">
        <v>70</v>
      </c>
    </row>
    <row r="53" spans="1:17" ht="16.5" x14ac:dyDescent="0.3">
      <c r="H53" s="342"/>
      <c r="I53" s="504" t="s">
        <v>120</v>
      </c>
      <c r="J53" s="504"/>
      <c r="K53" s="504"/>
      <c r="L53" s="504"/>
      <c r="M53" s="469">
        <v>87</v>
      </c>
      <c r="N53" s="342"/>
      <c r="Q53" s="18">
        <v>85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29" t="s">
        <v>236</v>
      </c>
      <c r="I54" s="483" t="s">
        <v>237</v>
      </c>
      <c r="Q54" s="18">
        <v>100</v>
      </c>
    </row>
    <row r="55" spans="1:17" x14ac:dyDescent="0.15">
      <c r="A55" s="25"/>
      <c r="Q55" s="18">
        <v>115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25" t="s">
        <v>76</v>
      </c>
      <c r="E57" s="525"/>
      <c r="F57" s="525" t="s">
        <v>53</v>
      </c>
      <c r="G57" s="527"/>
      <c r="H57" s="48" t="s">
        <v>176</v>
      </c>
      <c r="I57" s="232">
        <f>M50</f>
        <v>9.8000000000000007</v>
      </c>
      <c r="J57" s="43" t="s">
        <v>67</v>
      </c>
      <c r="K57" s="48" t="s">
        <v>68</v>
      </c>
      <c r="L57" s="513" t="s">
        <v>73</v>
      </c>
      <c r="M57" s="513"/>
      <c r="Q57" s="18">
        <v>35.799999999999997</v>
      </c>
    </row>
    <row r="58" spans="1:17" x14ac:dyDescent="0.15">
      <c r="A58" s="38" t="s">
        <v>47</v>
      </c>
      <c r="B58" s="39">
        <v>40.21</v>
      </c>
      <c r="C58" s="38"/>
      <c r="D58" s="525">
        <v>0.22439999999999999</v>
      </c>
      <c r="E58" s="525"/>
      <c r="F58" s="525"/>
      <c r="G58" s="527"/>
      <c r="H58" s="48" t="s">
        <v>177</v>
      </c>
      <c r="I58" s="233">
        <f>C62/M46</f>
        <v>0.10465437788018433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37.159999999999997</v>
      </c>
    </row>
    <row r="59" spans="1:17" x14ac:dyDescent="0.15">
      <c r="A59" s="38" t="s">
        <v>48</v>
      </c>
      <c r="B59" s="39">
        <v>59.61</v>
      </c>
      <c r="C59" s="524">
        <f>B59</f>
        <v>59.61</v>
      </c>
      <c r="D59" s="528">
        <v>0.15190000000000001</v>
      </c>
      <c r="E59" s="529"/>
      <c r="F59" s="520">
        <f>INT((D59+D60)/1*10000000)/10000000</f>
        <v>0.15190000000000001</v>
      </c>
      <c r="G59" s="521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38.700000000000003</v>
      </c>
    </row>
    <row r="60" spans="1:17" x14ac:dyDescent="0.15">
      <c r="A60" s="38" t="s">
        <v>49</v>
      </c>
      <c r="B60" s="39"/>
      <c r="C60" s="524"/>
      <c r="D60" s="528"/>
      <c r="E60" s="529"/>
      <c r="F60" s="522"/>
      <c r="G60" s="523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40.42</v>
      </c>
    </row>
    <row r="61" spans="1:17" x14ac:dyDescent="0.15">
      <c r="A61" s="38" t="s">
        <v>50</v>
      </c>
      <c r="B61" s="39">
        <v>31.23</v>
      </c>
      <c r="C61" s="38">
        <f>B61</f>
        <v>31.23</v>
      </c>
      <c r="D61" s="525"/>
      <c r="E61" s="525"/>
      <c r="F61" s="525"/>
      <c r="G61" s="527"/>
      <c r="H61" s="48" t="s">
        <v>16</v>
      </c>
      <c r="I61" s="43">
        <f>C62</f>
        <v>45.42</v>
      </c>
      <c r="J61" s="49" t="s">
        <v>72</v>
      </c>
      <c r="K61" s="50">
        <f>((K58+K59+K60)/3)</f>
        <v>9.1136375038627584</v>
      </c>
      <c r="L61" s="52"/>
      <c r="M61" s="44"/>
      <c r="Q61" s="18">
        <v>43.03</v>
      </c>
    </row>
    <row r="62" spans="1:17" x14ac:dyDescent="0.15">
      <c r="A62" s="40" t="s">
        <v>51</v>
      </c>
      <c r="B62" s="40"/>
      <c r="C62" s="229">
        <f>INT((C58+C59+C61)*1000/2)/1000</f>
        <v>45.42</v>
      </c>
      <c r="D62" s="526"/>
      <c r="E62" s="526"/>
      <c r="F62" s="519">
        <f>F59</f>
        <v>0.15190000000000001</v>
      </c>
      <c r="G62" s="519"/>
      <c r="H62" s="49" t="s">
        <v>77</v>
      </c>
      <c r="I62" s="44">
        <v>70.33</v>
      </c>
      <c r="J62" s="49" t="s">
        <v>178</v>
      </c>
      <c r="K62" s="234">
        <f>MAX(K58:K60)</f>
        <v>18.340912511588275</v>
      </c>
      <c r="L62" s="52"/>
      <c r="M62" s="45"/>
    </row>
    <row r="63" spans="1:17" x14ac:dyDescent="0.15">
      <c r="Q63" s="18">
        <v>4.0999999999999996</v>
      </c>
    </row>
    <row r="64" spans="1:17" x14ac:dyDescent="0.15">
      <c r="Q64" s="18">
        <v>5.46</v>
      </c>
    </row>
    <row r="65" spans="17:17" x14ac:dyDescent="0.15">
      <c r="Q65" s="18">
        <v>7</v>
      </c>
    </row>
    <row r="66" spans="17:17" x14ac:dyDescent="0.15">
      <c r="Q66" s="18">
        <v>8.7200000000000006</v>
      </c>
    </row>
    <row r="67" spans="17:17" x14ac:dyDescent="0.15">
      <c r="Q67" s="18">
        <v>11.33</v>
      </c>
    </row>
    <row r="69" spans="17:17" x14ac:dyDescent="0.15">
      <c r="Q69" s="322">
        <v>13.513513513513514</v>
      </c>
    </row>
    <row r="70" spans="17:17" x14ac:dyDescent="0.15">
      <c r="Q70" s="322">
        <v>12.820512820512821</v>
      </c>
    </row>
    <row r="71" spans="17:17" x14ac:dyDescent="0.15">
      <c r="Q71" s="322">
        <v>12.195121951219512</v>
      </c>
    </row>
    <row r="72" spans="17:17" x14ac:dyDescent="0.15">
      <c r="Q72" s="322">
        <v>11.494252873563219</v>
      </c>
    </row>
    <row r="73" spans="17:17" x14ac:dyDescent="0.15">
      <c r="Q73" s="322">
        <v>10.204081632653061</v>
      </c>
    </row>
    <row r="75" spans="17:17" x14ac:dyDescent="0.15">
      <c r="Q75" s="18">
        <v>7.3999999999999996E-2</v>
      </c>
    </row>
    <row r="76" spans="17:17" x14ac:dyDescent="0.15">
      <c r="Q76" s="18">
        <v>7.8E-2</v>
      </c>
    </row>
    <row r="77" spans="17:17" x14ac:dyDescent="0.15">
      <c r="Q77" s="18">
        <v>8.2000000000000003E-2</v>
      </c>
    </row>
    <row r="78" spans="17:17" x14ac:dyDescent="0.15">
      <c r="Q78" s="18">
        <v>8.6999999999999994E-2</v>
      </c>
    </row>
    <row r="79" spans="17:17" x14ac:dyDescent="0.15">
      <c r="Q79" s="18">
        <v>9.8000000000000004E-2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6" type="noConversion"/>
  <dataValidations disablePrompts="1"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57" customWidth="1"/>
    <col min="3" max="3" width="13.109375" style="357" customWidth="1"/>
    <col min="4" max="4" width="14.6640625" style="357" customWidth="1"/>
    <col min="5" max="5" width="10.5546875" style="357" customWidth="1"/>
    <col min="6" max="16384" width="8.88671875" style="357"/>
  </cols>
  <sheetData>
    <row r="3" spans="3:7" ht="18" customHeight="1" x14ac:dyDescent="0.15">
      <c r="C3" s="358" t="s">
        <v>57</v>
      </c>
      <c r="D3" s="358" t="s">
        <v>236</v>
      </c>
      <c r="E3" s="358" t="s">
        <v>243</v>
      </c>
      <c r="F3" s="358" t="s">
        <v>59</v>
      </c>
      <c r="G3" s="357" t="s">
        <v>272</v>
      </c>
    </row>
    <row r="4" spans="3:7" ht="18" customHeight="1" x14ac:dyDescent="0.15">
      <c r="C4" s="357">
        <v>1</v>
      </c>
      <c r="D4" s="359" t="s">
        <v>238</v>
      </c>
      <c r="E4" s="357" t="s">
        <v>237</v>
      </c>
      <c r="F4" s="357">
        <v>150</v>
      </c>
      <c r="G4" s="357">
        <v>5.0000000000000001E-4</v>
      </c>
    </row>
    <row r="5" spans="3:7" ht="18" customHeight="1" x14ac:dyDescent="0.15">
      <c r="C5" s="357">
        <v>2</v>
      </c>
      <c r="D5" s="357" t="s">
        <v>239</v>
      </c>
      <c r="E5" s="357" t="s">
        <v>244</v>
      </c>
      <c r="F5" s="357">
        <v>200</v>
      </c>
      <c r="G5" s="357">
        <v>0.1</v>
      </c>
    </row>
    <row r="6" spans="3:7" ht="18" customHeight="1" x14ac:dyDescent="0.15">
      <c r="C6" s="357">
        <v>3</v>
      </c>
      <c r="D6" s="357" t="s">
        <v>240</v>
      </c>
      <c r="E6" s="357" t="s">
        <v>245</v>
      </c>
      <c r="F6" s="357">
        <v>250</v>
      </c>
    </row>
    <row r="7" spans="3:7" ht="18" customHeight="1" x14ac:dyDescent="0.15">
      <c r="C7" s="357">
        <v>5</v>
      </c>
      <c r="D7" s="357" t="s">
        <v>241</v>
      </c>
      <c r="E7" s="357" t="s">
        <v>246</v>
      </c>
    </row>
    <row r="8" spans="3:7" ht="18" customHeight="1" x14ac:dyDescent="0.15">
      <c r="C8" s="357">
        <v>7.5</v>
      </c>
      <c r="D8" s="357" t="s">
        <v>242</v>
      </c>
      <c r="E8" s="357" t="s">
        <v>247</v>
      </c>
    </row>
    <row r="9" spans="3:7" ht="18" customHeight="1" x14ac:dyDescent="0.15">
      <c r="C9" s="357">
        <v>10</v>
      </c>
      <c r="D9" s="359" t="s">
        <v>250</v>
      </c>
      <c r="E9" s="357" t="s">
        <v>251</v>
      </c>
    </row>
    <row r="10" spans="3:7" ht="18" customHeight="1" x14ac:dyDescent="0.15">
      <c r="C10" s="357">
        <v>15</v>
      </c>
      <c r="D10" s="359" t="s">
        <v>275</v>
      </c>
      <c r="E10" s="357" t="s">
        <v>273</v>
      </c>
    </row>
    <row r="11" spans="3:7" ht="18" customHeight="1" x14ac:dyDescent="0.15">
      <c r="C11" s="357">
        <v>20</v>
      </c>
      <c r="D11" s="357" t="s">
        <v>276</v>
      </c>
      <c r="E11" s="357" t="s">
        <v>274</v>
      </c>
    </row>
    <row r="12" spans="3:7" ht="18" customHeight="1" x14ac:dyDescent="0.15">
      <c r="C12" s="357">
        <v>25</v>
      </c>
      <c r="D12" s="359" t="s">
        <v>277</v>
      </c>
      <c r="E12" s="357" t="s">
        <v>280</v>
      </c>
    </row>
    <row r="13" spans="3:7" ht="18" customHeight="1" x14ac:dyDescent="0.15">
      <c r="C13" s="357">
        <v>30</v>
      </c>
      <c r="D13" s="359" t="s">
        <v>278</v>
      </c>
      <c r="E13" s="357" t="s">
        <v>281</v>
      </c>
    </row>
    <row r="14" spans="3:7" ht="18" customHeight="1" x14ac:dyDescent="0.15">
      <c r="D14" s="359" t="s">
        <v>279</v>
      </c>
      <c r="E14" s="357" t="s">
        <v>282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zoomScaleNormal="100" workbookViewId="0">
      <selection activeCell="F8" sqref="F8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 xml:space="preserve"> 무거동 1027-5</v>
      </c>
      <c r="C1" s="279"/>
      <c r="D1" s="279"/>
      <c r="E1" s="279"/>
      <c r="F1" s="279"/>
      <c r="G1" s="279"/>
      <c r="H1" s="423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 xml:space="preserve"> 울산광역시 남구 무거동 1027-5번지</v>
      </c>
      <c r="D2" s="279"/>
      <c r="E2" s="279"/>
      <c r="F2" s="279"/>
      <c r="G2" s="279"/>
      <c r="H2" s="423"/>
      <c r="I2" s="279"/>
      <c r="J2" s="279"/>
      <c r="K2" s="330"/>
      <c r="L2" s="333"/>
      <c r="M2" s="334"/>
      <c r="N2" s="331"/>
      <c r="O2" s="279"/>
    </row>
    <row r="3" spans="1:15" ht="22.7" customHeight="1" x14ac:dyDescent="0.15">
      <c r="A3" s="279"/>
      <c r="B3" s="443" t="s">
        <v>198</v>
      </c>
      <c r="C3" s="444" t="s">
        <v>199</v>
      </c>
      <c r="D3" s="444" t="s">
        <v>16</v>
      </c>
      <c r="E3" s="444" t="s">
        <v>224</v>
      </c>
      <c r="F3" s="444" t="s">
        <v>19</v>
      </c>
      <c r="G3" s="444" t="s">
        <v>196</v>
      </c>
      <c r="H3" s="445" t="s">
        <v>36</v>
      </c>
      <c r="I3" s="441" t="s">
        <v>225</v>
      </c>
      <c r="J3" s="279"/>
      <c r="K3" s="330"/>
      <c r="L3" s="333"/>
      <c r="M3" s="333"/>
      <c r="N3" s="330"/>
      <c r="O3" s="279"/>
    </row>
    <row r="4" spans="1:15" ht="22.7" customHeight="1" thickBot="1" x14ac:dyDescent="0.2">
      <c r="A4" s="279"/>
      <c r="B4" s="453">
        <f>장기양수시험!G10</f>
        <v>1.9289568893769857</v>
      </c>
      <c r="C4" s="487">
        <f>장기양수시험!B10</f>
        <v>87</v>
      </c>
      <c r="D4" s="476">
        <f>단계양수시험!T4</f>
        <v>6.7539028456565617</v>
      </c>
      <c r="E4" s="454">
        <f>입력표!M44/2000</f>
        <v>0.1</v>
      </c>
      <c r="F4" s="452">
        <v>5.0000000000000001E-4</v>
      </c>
      <c r="G4" s="452">
        <f>PI()</f>
        <v>3.1415926535897931</v>
      </c>
      <c r="H4" s="446">
        <f>입력표!$A$46</f>
        <v>5.8660999999999998E-2</v>
      </c>
      <c r="I4" s="484">
        <f>입력표!M48</f>
        <v>31.7</v>
      </c>
      <c r="J4" s="279"/>
      <c r="K4" s="330"/>
      <c r="L4" s="333"/>
      <c r="M4" s="333"/>
      <c r="N4" s="330"/>
      <c r="O4" s="279"/>
    </row>
    <row r="5" spans="1:15" ht="22.7" customHeight="1" thickBot="1" x14ac:dyDescent="0.2">
      <c r="A5" s="279"/>
      <c r="B5" s="437"/>
      <c r="C5" s="438"/>
      <c r="D5" s="478">
        <v>6.9960000000000004</v>
      </c>
      <c r="E5" s="439" t="s">
        <v>267</v>
      </c>
      <c r="F5" s="440"/>
      <c r="G5" s="440"/>
      <c r="H5" s="424"/>
      <c r="I5" s="442" t="s">
        <v>64</v>
      </c>
      <c r="J5" s="279"/>
      <c r="K5" s="330"/>
      <c r="L5" s="333"/>
      <c r="M5" s="333"/>
      <c r="N5" s="330"/>
      <c r="O5" s="279"/>
    </row>
    <row r="6" spans="1:15" ht="22.7" customHeight="1" thickBot="1" x14ac:dyDescent="0.2">
      <c r="A6" s="279"/>
      <c r="B6" s="466" t="s">
        <v>200</v>
      </c>
      <c r="C6" s="467">
        <f>(2*G4*B4*D5)/(C4)</f>
        <v>0.97461465660082935</v>
      </c>
      <c r="D6" s="477"/>
      <c r="E6" s="467">
        <f>1.15*LOG((2.25*D5*(1/1440))/(F4*E4^2))</f>
        <v>3.8406547958597423</v>
      </c>
      <c r="F6" s="468" t="s">
        <v>197</v>
      </c>
      <c r="G6" s="470">
        <f>C6-E6</f>
        <v>-2.8660401392589128</v>
      </c>
      <c r="H6" s="424"/>
      <c r="I6" s="484">
        <f>입력표!M49</f>
        <v>41.5</v>
      </c>
      <c r="J6" s="279"/>
      <c r="K6" s="330"/>
      <c r="L6" s="333"/>
      <c r="M6" s="335"/>
      <c r="N6" s="330"/>
      <c r="O6" s="279"/>
    </row>
    <row r="7" spans="1:15" ht="22.7" customHeight="1" x14ac:dyDescent="0.15">
      <c r="A7" s="279"/>
      <c r="B7" s="429" t="s">
        <v>265</v>
      </c>
      <c r="C7" s="434">
        <f>2.25*D4*(120/1440)</f>
        <v>1.2663567835606053</v>
      </c>
      <c r="D7" s="282"/>
      <c r="E7" s="436" t="s">
        <v>266</v>
      </c>
      <c r="F7" s="430">
        <f>F4*10^(5.46*D4*H4)</f>
        <v>7.2806675057826883E-2</v>
      </c>
      <c r="G7" s="431" t="s">
        <v>269</v>
      </c>
      <c r="H7" s="424">
        <f>F4*EXP(4*G4*D4*H4)</f>
        <v>7.2641176075051994E-2</v>
      </c>
      <c r="I7" s="442" t="s">
        <v>221</v>
      </c>
      <c r="J7" s="279"/>
      <c r="K7" s="330"/>
      <c r="L7" s="333"/>
      <c r="M7" s="335"/>
      <c r="N7" s="330"/>
      <c r="O7" s="279"/>
    </row>
    <row r="8" spans="1:15" ht="22.7" customHeight="1" thickBot="1" x14ac:dyDescent="0.2">
      <c r="A8" s="279"/>
      <c r="B8" s="433" t="s">
        <v>271</v>
      </c>
      <c r="C8" s="475">
        <f>ROUND(E4*EXP(-1*G6),3)</f>
        <v>1.7569999999999999</v>
      </c>
      <c r="D8" s="500" t="s">
        <v>292</v>
      </c>
      <c r="E8" s="447">
        <f>ROUND(SQRT(C7/F7),3)</f>
        <v>4.1710000000000003</v>
      </c>
      <c r="F8" s="435" t="s">
        <v>268</v>
      </c>
      <c r="G8" s="501" t="s">
        <v>270</v>
      </c>
      <c r="H8" s="448">
        <f>ROUND(SQRT(C7/H7),3)</f>
        <v>4.1749999999999998</v>
      </c>
      <c r="I8" s="485">
        <f>입력표!M45</f>
        <v>470</v>
      </c>
      <c r="J8" s="279"/>
      <c r="K8" s="330"/>
      <c r="L8" s="333"/>
      <c r="M8" s="333"/>
      <c r="N8" s="332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23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5">
        <f>장기양수시험!F101</f>
        <v>33.278502285858124</v>
      </c>
      <c r="D10" s="502" t="s">
        <v>283</v>
      </c>
      <c r="E10" s="479">
        <v>8.3960000000000007E-2</v>
      </c>
      <c r="F10" s="502" t="s">
        <v>285</v>
      </c>
      <c r="G10" s="479">
        <f>ROUND(E4*SQRT(E10/F4),4)</f>
        <v>1.2958000000000001</v>
      </c>
      <c r="H10" s="423"/>
      <c r="I10" s="486">
        <f>입력표!I52</f>
        <v>36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5">
        <f>I6-C10</f>
        <v>8.2214977141418757</v>
      </c>
      <c r="D11" s="279"/>
      <c r="E11" s="279"/>
      <c r="F11" s="279"/>
      <c r="G11" s="279"/>
      <c r="H11" s="423"/>
      <c r="I11" s="279"/>
      <c r="J11" s="279"/>
      <c r="K11" s="279"/>
      <c r="L11" s="279"/>
      <c r="M11" s="279"/>
      <c r="N11" s="279"/>
      <c r="O11" s="279"/>
    </row>
    <row r="12" spans="1:15" ht="15" customHeight="1" thickBot="1" x14ac:dyDescent="0.2">
      <c r="A12" s="279"/>
      <c r="B12" s="279"/>
      <c r="C12" s="279"/>
      <c r="D12" s="279"/>
      <c r="E12" s="279"/>
      <c r="F12" s="279"/>
      <c r="G12" s="279"/>
      <c r="H12" s="423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4" t="s">
        <v>202</v>
      </c>
      <c r="C13" s="451">
        <f>ROUND(SQRT(6*B16*E16*H16/I16),1)</f>
        <v>38.700000000000003</v>
      </c>
      <c r="D13" s="449"/>
      <c r="E13" s="289" t="s">
        <v>203</v>
      </c>
      <c r="F13" s="427">
        <f>D5</f>
        <v>6.9960000000000004</v>
      </c>
      <c r="G13" s="289" t="s">
        <v>204</v>
      </c>
      <c r="H13" s="474">
        <v>3.2989999999999999</v>
      </c>
      <c r="I13" s="493">
        <v>68.09</v>
      </c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65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92">
        <f>I6-I4</f>
        <v>9.8000000000000007</v>
      </c>
      <c r="C16" s="472">
        <f>I8-IF(I4&gt;I10,I4,I10)</f>
        <v>434</v>
      </c>
      <c r="D16" s="471">
        <f>(F13+H13)/2</f>
        <v>5.1475</v>
      </c>
      <c r="E16" s="292">
        <f>INT(D16/C16*100000)/100000</f>
        <v>1.1860000000000001E-2</v>
      </c>
      <c r="F16" s="293">
        <v>1440</v>
      </c>
      <c r="G16" s="422">
        <v>840</v>
      </c>
      <c r="H16" s="464">
        <f>INT(G16/F16*10000)/10000</f>
        <v>0.58330000000000004</v>
      </c>
      <c r="I16" s="473">
        <v>2.72E-4</v>
      </c>
      <c r="J16" s="279"/>
      <c r="K16" s="279"/>
      <c r="L16" s="279"/>
      <c r="M16" s="279"/>
      <c r="N16" s="279"/>
      <c r="O16" s="279"/>
    </row>
    <row r="17" spans="1:15" ht="13.5" customHeight="1" thickBot="1" x14ac:dyDescent="0.2">
      <c r="A17" s="279"/>
      <c r="B17" s="279"/>
      <c r="C17" s="279"/>
      <c r="D17" s="279"/>
      <c r="E17" s="432"/>
      <c r="F17" s="279"/>
      <c r="G17" s="279"/>
      <c r="H17" s="423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4" t="s">
        <v>209</v>
      </c>
      <c r="C18" s="451">
        <f>ROUND(3*SQRT(B21*E21*H21/I21),1)</f>
        <v>47.4</v>
      </c>
      <c r="D18" s="295"/>
      <c r="E18" s="295"/>
      <c r="F18" s="295"/>
      <c r="G18" s="295"/>
      <c r="H18" s="425"/>
      <c r="I18" s="296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7"/>
      <c r="C19" s="450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 x14ac:dyDescent="0.2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3">
        <f t="shared" ref="B21:I21" si="0">B16</f>
        <v>9.8000000000000007</v>
      </c>
      <c r="C21" s="321">
        <f t="shared" si="0"/>
        <v>434</v>
      </c>
      <c r="D21" s="304">
        <f t="shared" si="0"/>
        <v>5.1475</v>
      </c>
      <c r="E21" s="471">
        <f t="shared" si="0"/>
        <v>1.1860000000000001E-2</v>
      </c>
      <c r="F21" s="304">
        <f t="shared" si="0"/>
        <v>1440</v>
      </c>
      <c r="G21" s="304">
        <f>G16</f>
        <v>840</v>
      </c>
      <c r="H21" s="321">
        <f t="shared" si="0"/>
        <v>0.58330000000000004</v>
      </c>
      <c r="I21" s="305">
        <f t="shared" si="0"/>
        <v>2.72E-4</v>
      </c>
      <c r="J21" s="279"/>
      <c r="K21" s="279"/>
      <c r="L21" s="279"/>
      <c r="M21" s="279"/>
      <c r="N21" s="279"/>
      <c r="O21" s="279"/>
    </row>
    <row r="22" spans="1:15" ht="15" customHeight="1" thickBot="1" x14ac:dyDescent="0.2">
      <c r="A22" s="279"/>
      <c r="B22" s="279"/>
      <c r="C22" s="279"/>
      <c r="D22" s="279"/>
      <c r="E22" s="279"/>
      <c r="F22" s="279"/>
      <c r="G22" s="279"/>
      <c r="H22" s="423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4" t="s">
        <v>211</v>
      </c>
      <c r="C23" s="451">
        <f>ROUND(SQRT((2.25*D26*H26)/I26),1)</f>
        <v>157.6</v>
      </c>
      <c r="D23" s="449"/>
      <c r="E23" s="288"/>
      <c r="F23" s="288"/>
      <c r="G23" s="288"/>
      <c r="H23" s="426"/>
      <c r="I23" s="306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 x14ac:dyDescent="0.2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7">
        <f t="shared" ref="B26:I26" si="1">B21</f>
        <v>9.8000000000000007</v>
      </c>
      <c r="C26" s="293">
        <f t="shared" si="1"/>
        <v>434</v>
      </c>
      <c r="D26" s="421">
        <f t="shared" si="1"/>
        <v>5.1475</v>
      </c>
      <c r="E26" s="292">
        <f t="shared" si="1"/>
        <v>1.1860000000000001E-2</v>
      </c>
      <c r="F26" s="293">
        <f t="shared" si="1"/>
        <v>1440</v>
      </c>
      <c r="G26" s="293">
        <f t="shared" si="1"/>
        <v>840</v>
      </c>
      <c r="H26" s="471">
        <f>INT(G16/F16*10000)/10000</f>
        <v>0.58330000000000004</v>
      </c>
      <c r="I26" s="308">
        <f t="shared" si="1"/>
        <v>2.72E-4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09" t="s">
        <v>216</v>
      </c>
      <c r="C27" s="310">
        <f>D16</f>
        <v>5.1475</v>
      </c>
      <c r="D27" s="317">
        <f>(C27/C16)*(100/86400)</f>
        <v>1.3727545229561358E-5</v>
      </c>
      <c r="E27" s="279" t="s">
        <v>217</v>
      </c>
      <c r="F27" s="279"/>
      <c r="G27" s="279"/>
      <c r="H27" s="423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09" t="s">
        <v>218</v>
      </c>
      <c r="C28" s="279">
        <f>I21</f>
        <v>2.72E-4</v>
      </c>
      <c r="D28" s="279">
        <f>C27/C16*100/86400</f>
        <v>1.3727545229561358E-5</v>
      </c>
      <c r="E28" s="279"/>
      <c r="F28" s="279"/>
      <c r="G28" s="279"/>
      <c r="H28" s="423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09" t="s">
        <v>219</v>
      </c>
      <c r="C29" s="327">
        <f>(C13+C18+C23)/3</f>
        <v>81.233333333333334</v>
      </c>
      <c r="D29" s="279"/>
      <c r="E29" s="490">
        <f>(C13+C18)/2</f>
        <v>43.05</v>
      </c>
      <c r="F29" s="488">
        <f>MAX(C13,C18)</f>
        <v>47.4</v>
      </c>
      <c r="G29" s="489">
        <f>ROUND(C4/(G4*F29^2*I16),3)</f>
        <v>45.314999999999998</v>
      </c>
      <c r="H29" s="423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23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23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23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23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23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23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23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23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23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23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23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23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23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23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23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23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23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23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23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23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23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23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23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23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23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23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23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23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23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23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23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23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23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23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23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23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23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23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23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23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23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23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23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23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23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23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23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23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23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23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23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23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23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23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23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23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23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23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23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23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23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23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23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23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23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23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23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23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23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23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23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23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23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23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23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23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23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23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23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23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23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23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23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23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5"/>
  <sheetViews>
    <sheetView workbookViewId="0">
      <selection activeCell="D18" sqref="D18"/>
    </sheetView>
  </sheetViews>
  <sheetFormatPr defaultRowHeight="16.5" x14ac:dyDescent="0.1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 x14ac:dyDescent="0.15"/>
    <row r="2" spans="1:2" ht="20.100000000000001" customHeight="1" x14ac:dyDescent="0.15">
      <c r="A2" s="311" t="s">
        <v>107</v>
      </c>
      <c r="B2" s="313">
        <f>단계양수시험!B12</f>
        <v>55</v>
      </c>
    </row>
    <row r="3" spans="1:2" ht="20.100000000000001" customHeight="1" x14ac:dyDescent="0.15">
      <c r="A3" s="314" t="s">
        <v>108</v>
      </c>
      <c r="B3" s="315">
        <f>단계양수시험!G31</f>
        <v>4.0999999999999996</v>
      </c>
    </row>
    <row r="4" spans="1:2" ht="20.100000000000001" customHeight="1" x14ac:dyDescent="0.15">
      <c r="A4" s="314" t="s">
        <v>109</v>
      </c>
      <c r="B4" s="312">
        <f>단계양수시험!G46</f>
        <v>8.7200000000000006</v>
      </c>
    </row>
    <row r="5" spans="1:2" ht="20.100000000000001" customHeight="1" x14ac:dyDescent="0.15">
      <c r="A5" s="316" t="s">
        <v>110</v>
      </c>
      <c r="B5" s="312">
        <f>2/3</f>
        <v>0.66666666666666663</v>
      </c>
    </row>
    <row r="6" spans="1:2" ht="20.100000000000001" customHeight="1" x14ac:dyDescent="0.15">
      <c r="A6" s="314"/>
    </row>
    <row r="7" spans="1:2" ht="20.100000000000001" customHeight="1" x14ac:dyDescent="0.15">
      <c r="A7" s="314" t="s">
        <v>111</v>
      </c>
      <c r="B7" s="312">
        <f>B2*(B4/B3)^(2/3)</f>
        <v>90.960137525312049</v>
      </c>
    </row>
    <row r="8" spans="1:2" ht="20.100000000000001" customHeight="1" x14ac:dyDescent="0.15">
      <c r="A8" s="314" t="s">
        <v>112</v>
      </c>
      <c r="B8" s="312">
        <f>INT(B7)</f>
        <v>90</v>
      </c>
    </row>
    <row r="9" spans="1:2" ht="24.75" customHeight="1" x14ac:dyDescent="0.15"/>
    <row r="10" spans="1:2" ht="24.75" customHeight="1" x14ac:dyDescent="0.15"/>
    <row r="11" spans="1:2" x14ac:dyDescent="0.15">
      <c r="B11" s="455">
        <f>B8/입력표!$D$23</f>
        <v>0.9</v>
      </c>
    </row>
    <row r="12" spans="1:2" ht="17.25" thickBot="1" x14ac:dyDescent="0.2"/>
    <row r="13" spans="1:2" ht="17.25" x14ac:dyDescent="0.15">
      <c r="A13" s="494" t="s">
        <v>290</v>
      </c>
      <c r="B13" s="497">
        <f>입력표!$D$6</f>
        <v>100</v>
      </c>
    </row>
    <row r="14" spans="1:2" ht="17.25" x14ac:dyDescent="0.15">
      <c r="A14" s="495" t="s">
        <v>106</v>
      </c>
      <c r="B14" s="498">
        <f>B8</f>
        <v>90</v>
      </c>
    </row>
    <row r="15" spans="1:2" ht="18" thickBot="1" x14ac:dyDescent="0.2">
      <c r="A15" s="496" t="s">
        <v>291</v>
      </c>
      <c r="B15" s="499">
        <f>입력표!$M$51</f>
        <v>87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topLeftCell="A16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40" t="s">
        <v>192</v>
      </c>
      <c r="B4" s="540"/>
      <c r="C4" s="205" t="str">
        <f>입력표!I44</f>
        <v xml:space="preserve"> 울산 제2실내종합체육관 건립공사중 지열수축열공사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55</v>
      </c>
      <c r="S4" s="3">
        <f>$R$4</f>
        <v>55</v>
      </c>
      <c r="T4" s="336">
        <v>6.7539028456565617</v>
      </c>
      <c r="U4" s="89">
        <f>입력표!M44/2/1000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4.9549554848680062</v>
      </c>
      <c r="Z4" s="13">
        <f>Z22</f>
        <v>3.9539314049772809</v>
      </c>
      <c r="AA4" s="10">
        <f>$Z$4</f>
        <v>3.9539314049772809</v>
      </c>
      <c r="AB4" s="10">
        <f>X4</f>
        <v>1</v>
      </c>
      <c r="AC4" s="10">
        <f>Y4-AA4</f>
        <v>1.0010240798907253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40" t="s">
        <v>45</v>
      </c>
      <c r="B5" s="540"/>
      <c r="C5" s="209" t="str">
        <f>입력표!I45</f>
        <v xml:space="preserve"> 무거동 1027-5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55</v>
      </c>
      <c r="T5" s="3">
        <f>$T4</f>
        <v>6.7539028456565617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5.4036343624630323</v>
      </c>
      <c r="AA5" s="10">
        <f t="shared" ref="AA5:AA23" si="5">$Z$4</f>
        <v>3.9539314049772809</v>
      </c>
      <c r="AB5" s="10">
        <f t="shared" ref="AB5:AB43" si="6">X5</f>
        <v>2</v>
      </c>
      <c r="AC5" s="10">
        <f t="shared" ref="AC5:AC43" si="7">Y5-AA5</f>
        <v>1.4497029574857514</v>
      </c>
      <c r="AD5" s="78">
        <f t="shared" ref="AD5:AD16" si="8">INT((AC5-AE5)*100)/100</f>
        <v>1.44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40" t="s">
        <v>46</v>
      </c>
      <c r="B6" s="540"/>
      <c r="C6" s="213" t="str">
        <f>입력표!I46</f>
        <v xml:space="preserve"> 울산광역시 남구 무거동 1027-5번지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55</v>
      </c>
      <c r="T6" s="3">
        <f t="shared" ref="T6:T51" si="10">$T5</f>
        <v>6.7539028456565617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5.6660946807217814</v>
      </c>
      <c r="AA6" s="10">
        <f t="shared" si="5"/>
        <v>3.9539314049772809</v>
      </c>
      <c r="AB6" s="10">
        <f t="shared" si="6"/>
        <v>3</v>
      </c>
      <c r="AC6" s="10">
        <f t="shared" si="7"/>
        <v>1.7121632757445004</v>
      </c>
      <c r="AD6" s="78">
        <f t="shared" si="8"/>
        <v>1.71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40" t="s">
        <v>165</v>
      </c>
      <c r="B7" s="540"/>
      <c r="C7" s="214" t="str">
        <f>입력표!I47</f>
        <v xml:space="preserve"> 주식회사 한일지하수</v>
      </c>
      <c r="D7" s="215"/>
      <c r="E7" s="206"/>
      <c r="F7" s="216"/>
      <c r="G7" s="217" t="str">
        <f>입력표!I49</f>
        <v xml:space="preserve"> 무거동 1027-5</v>
      </c>
      <c r="H7" s="218"/>
      <c r="I7" s="219"/>
      <c r="P7" s="3">
        <v>4</v>
      </c>
      <c r="Q7" s="64"/>
      <c r="S7" s="3">
        <f t="shared" si="3"/>
        <v>55</v>
      </c>
      <c r="T7" s="3">
        <f t="shared" si="10"/>
        <v>6.7539028456565617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5.8523132400580593</v>
      </c>
      <c r="AA7" s="10">
        <f t="shared" si="5"/>
        <v>3.9539314049772809</v>
      </c>
      <c r="AB7" s="10">
        <f t="shared" si="6"/>
        <v>4</v>
      </c>
      <c r="AC7" s="10">
        <f t="shared" si="7"/>
        <v>1.8983818350807784</v>
      </c>
      <c r="AD7" s="78">
        <f t="shared" si="8"/>
        <v>1.89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41">
        <f>입력표!I48</f>
        <v>5</v>
      </c>
      <c r="D8" s="542"/>
      <c r="E8" s="543"/>
      <c r="F8" s="221" t="s">
        <v>6</v>
      </c>
      <c r="G8" s="217" t="str">
        <f>G7</f>
        <v xml:space="preserve"> 무거동 1027-5</v>
      </c>
      <c r="H8" s="218"/>
      <c r="I8" s="222"/>
      <c r="K8" s="368"/>
      <c r="P8" s="3">
        <v>5</v>
      </c>
      <c r="Q8" s="64"/>
      <c r="S8" s="3">
        <f t="shared" si="3"/>
        <v>55</v>
      </c>
      <c r="T8" s="3">
        <f t="shared" si="10"/>
        <v>6.7539028456565617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5.9967555763384262</v>
      </c>
      <c r="AA8" s="10">
        <f t="shared" si="5"/>
        <v>3.9539314049772809</v>
      </c>
      <c r="AB8" s="10">
        <f t="shared" si="6"/>
        <v>5</v>
      </c>
      <c r="AC8" s="10">
        <f t="shared" si="7"/>
        <v>2.0428241713611452</v>
      </c>
      <c r="AD8" s="78">
        <f t="shared" si="8"/>
        <v>2.04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44">
        <f>입력표!M44</f>
        <v>200</v>
      </c>
      <c r="E9" s="544"/>
      <c r="F9" s="204" t="s">
        <v>8</v>
      </c>
      <c r="G9" s="534">
        <f>입력표!M45</f>
        <v>470</v>
      </c>
      <c r="H9" s="534"/>
      <c r="I9" s="204"/>
      <c r="P9" s="3">
        <v>10</v>
      </c>
      <c r="Q9" s="64"/>
      <c r="S9" s="3">
        <f t="shared" si="3"/>
        <v>55</v>
      </c>
      <c r="T9" s="3">
        <f t="shared" si="10"/>
        <v>6.7539028456565617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6.4454344539334532</v>
      </c>
      <c r="AA9" s="10">
        <f t="shared" si="5"/>
        <v>3.9539314049772809</v>
      </c>
      <c r="AB9" s="10">
        <f t="shared" si="6"/>
        <v>10</v>
      </c>
      <c r="AC9" s="10">
        <f t="shared" si="7"/>
        <v>2.4915030489561723</v>
      </c>
      <c r="AD9" s="78">
        <f t="shared" si="8"/>
        <v>2.4900000000000002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37">
        <f>입력표!M48</f>
        <v>31.7</v>
      </c>
      <c r="E10" s="538"/>
      <c r="F10" s="224" t="s">
        <v>0</v>
      </c>
      <c r="G10" s="535" t="s">
        <v>0</v>
      </c>
      <c r="H10" s="535"/>
      <c r="I10" s="212"/>
      <c r="P10" s="3">
        <v>15</v>
      </c>
      <c r="Q10" s="64"/>
      <c r="S10" s="3">
        <f t="shared" si="3"/>
        <v>55</v>
      </c>
      <c r="T10" s="3">
        <f t="shared" si="10"/>
        <v>6.7539028456565617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6.7078947721922013</v>
      </c>
      <c r="AA10" s="10">
        <f t="shared" si="5"/>
        <v>3.9539314049772809</v>
      </c>
      <c r="AB10" s="10">
        <f t="shared" si="6"/>
        <v>15</v>
      </c>
      <c r="AC10" s="10">
        <f t="shared" si="7"/>
        <v>2.7539633672149204</v>
      </c>
      <c r="AD10" s="78">
        <f t="shared" si="8"/>
        <v>2.75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39" t="s">
        <v>172</v>
      </c>
      <c r="E11" s="539"/>
      <c r="F11" s="225" t="s">
        <v>173</v>
      </c>
      <c r="G11" s="536" t="s">
        <v>174</v>
      </c>
      <c r="H11" s="536"/>
      <c r="I11" s="204" t="s">
        <v>164</v>
      </c>
      <c r="J11" s="367">
        <f>G12-J13</f>
        <v>0.56000000000000005</v>
      </c>
      <c r="P11" s="3">
        <v>20</v>
      </c>
      <c r="Q11" s="64"/>
      <c r="S11" s="3">
        <f t="shared" si="3"/>
        <v>55</v>
      </c>
      <c r="T11" s="3">
        <f t="shared" si="10"/>
        <v>6.7539028456565617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6.8941133315284802</v>
      </c>
      <c r="AA11" s="10">
        <f t="shared" si="5"/>
        <v>3.9539314049772809</v>
      </c>
      <c r="AB11" s="10">
        <f t="shared" si="6"/>
        <v>20</v>
      </c>
      <c r="AC11" s="10">
        <f t="shared" si="7"/>
        <v>2.9401819265511993</v>
      </c>
      <c r="AD11" s="78">
        <f t="shared" si="8"/>
        <v>2.94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55</v>
      </c>
      <c r="C12" s="201">
        <v>0.41736111111111113</v>
      </c>
      <c r="D12" s="533">
        <v>1</v>
      </c>
      <c r="E12" s="533"/>
      <c r="F12" s="202">
        <f>G12+$D$10</f>
        <v>32.700000000000003</v>
      </c>
      <c r="G12" s="532">
        <f>AD4</f>
        <v>1</v>
      </c>
      <c r="H12" s="532"/>
      <c r="I12" s="204" t="s">
        <v>12</v>
      </c>
      <c r="J12" s="8"/>
      <c r="P12" s="3">
        <v>25</v>
      </c>
      <c r="Q12" s="64"/>
      <c r="S12" s="3">
        <f t="shared" si="3"/>
        <v>55</v>
      </c>
      <c r="T12" s="3">
        <f t="shared" si="10"/>
        <v>6.7539028456565617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7.038555667808847</v>
      </c>
      <c r="AA12" s="10">
        <f t="shared" si="5"/>
        <v>3.9539314049772809</v>
      </c>
      <c r="AB12" s="10">
        <f t="shared" si="6"/>
        <v>25</v>
      </c>
      <c r="AC12" s="10">
        <f t="shared" si="7"/>
        <v>3.0846242628315661</v>
      </c>
      <c r="AD12" s="78">
        <f t="shared" si="8"/>
        <v>3.08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33">
        <v>2</v>
      </c>
      <c r="E13" s="533"/>
      <c r="F13" s="202">
        <f t="shared" ref="F13:F28" si="13">G13+$D$10</f>
        <v>33.14</v>
      </c>
      <c r="G13" s="532">
        <f t="shared" ref="G13:G51" si="14">AD5</f>
        <v>1.44</v>
      </c>
      <c r="H13" s="532"/>
      <c r="I13" s="203"/>
      <c r="J13" s="8">
        <f>G13-G12</f>
        <v>0.43999999999999995</v>
      </c>
      <c r="P13" s="3">
        <v>30</v>
      </c>
      <c r="Q13" s="64"/>
      <c r="S13" s="3">
        <f t="shared" si="3"/>
        <v>55</v>
      </c>
      <c r="T13" s="3">
        <f t="shared" si="10"/>
        <v>6.7539028456565617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7.1565736497872283</v>
      </c>
      <c r="AA13" s="10">
        <f t="shared" si="5"/>
        <v>3.9539314049772809</v>
      </c>
      <c r="AB13" s="10">
        <f t="shared" si="6"/>
        <v>30</v>
      </c>
      <c r="AC13" s="10">
        <f t="shared" si="7"/>
        <v>3.2026422448099474</v>
      </c>
      <c r="AD13" s="78">
        <f t="shared" si="8"/>
        <v>3.2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33">
        <v>3</v>
      </c>
      <c r="E14" s="533"/>
      <c r="F14" s="202">
        <f t="shared" si="13"/>
        <v>33.409999999999997</v>
      </c>
      <c r="G14" s="532">
        <f t="shared" si="14"/>
        <v>1.71</v>
      </c>
      <c r="H14" s="532"/>
      <c r="I14" s="203"/>
      <c r="J14" s="8">
        <f t="shared" ref="J14:J51" si="15">G14-G13</f>
        <v>0.27</v>
      </c>
      <c r="Q14" s="64"/>
      <c r="S14" s="3">
        <f t="shared" si="3"/>
        <v>55</v>
      </c>
      <c r="T14" s="3">
        <f t="shared" si="10"/>
        <v>6.7539028456565617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7.256356431778106</v>
      </c>
      <c r="AA14" s="10">
        <f t="shared" si="5"/>
        <v>3.9539314049772809</v>
      </c>
      <c r="AB14" s="10">
        <f t="shared" si="6"/>
        <v>35</v>
      </c>
      <c r="AC14" s="10">
        <f t="shared" si="7"/>
        <v>3.3024250268008251</v>
      </c>
      <c r="AD14" s="78">
        <f t="shared" si="8"/>
        <v>3.3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33">
        <v>4</v>
      </c>
      <c r="E15" s="533"/>
      <c r="F15" s="202">
        <f t="shared" si="13"/>
        <v>33.589999999999996</v>
      </c>
      <c r="G15" s="532">
        <f t="shared" si="14"/>
        <v>1.89</v>
      </c>
      <c r="H15" s="532"/>
      <c r="I15" s="203"/>
      <c r="J15" s="8">
        <f t="shared" si="15"/>
        <v>0.17999999999999994</v>
      </c>
      <c r="Q15" s="64"/>
      <c r="S15" s="3">
        <f t="shared" si="3"/>
        <v>55</v>
      </c>
      <c r="T15" s="3">
        <f t="shared" si="10"/>
        <v>6.7539028456565617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7.3427922091235063</v>
      </c>
      <c r="AA15" s="10">
        <f t="shared" si="5"/>
        <v>3.9539314049772809</v>
      </c>
      <c r="AB15" s="10">
        <f t="shared" si="6"/>
        <v>40</v>
      </c>
      <c r="AC15" s="10">
        <f t="shared" si="7"/>
        <v>3.3888608041462254</v>
      </c>
      <c r="AD15" s="78">
        <f t="shared" si="8"/>
        <v>3.38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33">
        <v>5</v>
      </c>
      <c r="E16" s="533"/>
      <c r="F16" s="202">
        <f t="shared" si="13"/>
        <v>33.74</v>
      </c>
      <c r="G16" s="532">
        <f t="shared" si="14"/>
        <v>2.04</v>
      </c>
      <c r="H16" s="532"/>
      <c r="I16" s="203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55</v>
      </c>
      <c r="T16" s="3">
        <f t="shared" si="10"/>
        <v>6.7539028456565617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7.4190339680459756</v>
      </c>
      <c r="AA16" s="10">
        <f t="shared" si="5"/>
        <v>3.9539314049772809</v>
      </c>
      <c r="AB16" s="10">
        <f t="shared" si="6"/>
        <v>45</v>
      </c>
      <c r="AC16" s="10">
        <f t="shared" si="7"/>
        <v>3.4651025630686947</v>
      </c>
      <c r="AD16" s="78">
        <f t="shared" si="8"/>
        <v>3.46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33">
        <v>10</v>
      </c>
      <c r="E17" s="533"/>
      <c r="F17" s="202">
        <f t="shared" si="13"/>
        <v>34.19</v>
      </c>
      <c r="G17" s="532">
        <f t="shared" si="14"/>
        <v>2.4900000000000002</v>
      </c>
      <c r="H17" s="532"/>
      <c r="I17" s="203"/>
      <c r="J17" s="8">
        <f t="shared" si="15"/>
        <v>0.45000000000000018</v>
      </c>
      <c r="K17" s="29">
        <f>D12</f>
        <v>1</v>
      </c>
      <c r="L17" s="3">
        <f>INT(B12/1440*10000)/10000</f>
        <v>3.8100000000000002E-2</v>
      </c>
      <c r="M17" s="3">
        <f>K17*L17</f>
        <v>3.8100000000000002E-2</v>
      </c>
      <c r="N17" s="3">
        <f>INT((8*2.54/2/100)^2*3.14159*100000)/100000</f>
        <v>3.2419999999999997E-2</v>
      </c>
      <c r="O17" s="3">
        <f>INT(M17/N17*100)/100</f>
        <v>1.17</v>
      </c>
      <c r="P17" s="13">
        <f>INT((G12-O17)*100)/100</f>
        <v>-0.17</v>
      </c>
      <c r="S17" s="3">
        <f t="shared" si="3"/>
        <v>55</v>
      </c>
      <c r="T17" s="3">
        <f t="shared" si="10"/>
        <v>6.7539028456565617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7.4872345454038731</v>
      </c>
      <c r="AA17" s="10">
        <f t="shared" si="5"/>
        <v>3.9539314049772809</v>
      </c>
      <c r="AB17" s="10">
        <f t="shared" si="6"/>
        <v>50</v>
      </c>
      <c r="AC17" s="10">
        <f t="shared" si="7"/>
        <v>3.5333031404265922</v>
      </c>
      <c r="AD17" s="78">
        <f t="shared" ref="AD17:AD22" si="16">INT(AC17*100)/100</f>
        <v>3.53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33">
        <v>15</v>
      </c>
      <c r="E18" s="533"/>
      <c r="F18" s="202">
        <f t="shared" si="13"/>
        <v>34.450000000000003</v>
      </c>
      <c r="G18" s="532">
        <f t="shared" si="14"/>
        <v>2.75</v>
      </c>
      <c r="H18" s="532"/>
      <c r="I18" s="203"/>
      <c r="J18" s="8">
        <f t="shared" si="15"/>
        <v>0.25999999999999979</v>
      </c>
      <c r="K18" s="29">
        <f>D13</f>
        <v>2</v>
      </c>
      <c r="L18" s="3">
        <f>L17</f>
        <v>3.8100000000000002E-2</v>
      </c>
      <c r="M18" s="3">
        <f t="shared" ref="M18:M32" si="17">K18*L18</f>
        <v>7.6200000000000004E-2</v>
      </c>
      <c r="N18" s="3">
        <f>N17</f>
        <v>3.2419999999999997E-2</v>
      </c>
      <c r="O18" s="3">
        <f>INT(M18/N18*100)/100</f>
        <v>2.35</v>
      </c>
      <c r="P18" s="13">
        <f>INT((G13-O18)*100*0.98)/100</f>
        <v>-0.9</v>
      </c>
      <c r="S18" s="3">
        <f t="shared" si="3"/>
        <v>55</v>
      </c>
      <c r="T18" s="3">
        <f t="shared" si="10"/>
        <v>6.7539028456565617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7.5489294721053559</v>
      </c>
      <c r="AA18" s="10">
        <f t="shared" si="5"/>
        <v>3.9539314049772809</v>
      </c>
      <c r="AB18" s="10">
        <f t="shared" si="6"/>
        <v>55</v>
      </c>
      <c r="AC18" s="10">
        <f t="shared" si="7"/>
        <v>3.594998067128075</v>
      </c>
      <c r="AD18" s="78">
        <f t="shared" si="16"/>
        <v>3.59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33">
        <v>20</v>
      </c>
      <c r="E19" s="533"/>
      <c r="F19" s="202">
        <f t="shared" si="13"/>
        <v>34.64</v>
      </c>
      <c r="G19" s="532">
        <f t="shared" si="14"/>
        <v>2.94</v>
      </c>
      <c r="H19" s="532"/>
      <c r="I19" s="203"/>
      <c r="J19" s="8">
        <f t="shared" si="15"/>
        <v>0.18999999999999995</v>
      </c>
      <c r="K19" s="29">
        <f t="shared" ref="K19:K32" si="18">D14</f>
        <v>3</v>
      </c>
      <c r="L19" s="3">
        <f>L18</f>
        <v>3.8100000000000002E-2</v>
      </c>
      <c r="M19" s="3">
        <f t="shared" si="17"/>
        <v>0.11430000000000001</v>
      </c>
      <c r="N19" s="3">
        <f t="shared" ref="N19:N32" si="19">N18</f>
        <v>3.2419999999999997E-2</v>
      </c>
      <c r="O19" s="3">
        <f>INT(M19/N19*100)/100</f>
        <v>3.52</v>
      </c>
      <c r="P19" s="13">
        <f>INT((G14-O19)*100*0.95)/100</f>
        <v>-1.72</v>
      </c>
      <c r="S19" s="3">
        <f t="shared" si="3"/>
        <v>55</v>
      </c>
      <c r="T19" s="3">
        <f t="shared" si="10"/>
        <v>6.7539028456565617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7.6052525273822535</v>
      </c>
      <c r="AA19" s="10">
        <f t="shared" si="5"/>
        <v>3.9539314049772809</v>
      </c>
      <c r="AB19" s="10">
        <f t="shared" si="6"/>
        <v>60</v>
      </c>
      <c r="AC19" s="10">
        <f t="shared" si="7"/>
        <v>3.6513211224049726</v>
      </c>
      <c r="AD19" s="78">
        <f t="shared" si="16"/>
        <v>3.65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33">
        <v>25</v>
      </c>
      <c r="E20" s="533"/>
      <c r="F20" s="202">
        <f t="shared" si="13"/>
        <v>34.78</v>
      </c>
      <c r="G20" s="532">
        <f t="shared" si="14"/>
        <v>3.08</v>
      </c>
      <c r="H20" s="532"/>
      <c r="I20" s="203"/>
      <c r="J20" s="8">
        <f t="shared" si="15"/>
        <v>0.14000000000000012</v>
      </c>
      <c r="K20" s="29">
        <f t="shared" si="18"/>
        <v>4</v>
      </c>
      <c r="L20" s="3">
        <f>L19</f>
        <v>3.8100000000000002E-2</v>
      </c>
      <c r="M20" s="3">
        <f t="shared" si="17"/>
        <v>0.15240000000000001</v>
      </c>
      <c r="N20" s="3">
        <f t="shared" si="19"/>
        <v>3.2419999999999997E-2</v>
      </c>
      <c r="O20" s="3">
        <f>INT(M20/N20*100)/100</f>
        <v>4.7</v>
      </c>
      <c r="P20" s="13">
        <f>INT((G15-O20)*100*0.91)/100</f>
        <v>-2.56</v>
      </c>
      <c r="S20" s="3">
        <f t="shared" si="3"/>
        <v>55</v>
      </c>
      <c r="T20" s="3">
        <f t="shared" si="10"/>
        <v>6.7539028456565617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7.7496948636626222</v>
      </c>
      <c r="AA20" s="10">
        <f t="shared" si="5"/>
        <v>3.9539314049772809</v>
      </c>
      <c r="AB20" s="10">
        <f t="shared" si="6"/>
        <v>75</v>
      </c>
      <c r="AC20" s="10">
        <f t="shared" si="7"/>
        <v>3.7957634586853413</v>
      </c>
      <c r="AD20" s="78">
        <f t="shared" si="16"/>
        <v>3.79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33">
        <v>30</v>
      </c>
      <c r="E21" s="533"/>
      <c r="F21" s="202">
        <f t="shared" si="13"/>
        <v>34.9</v>
      </c>
      <c r="G21" s="532">
        <f t="shared" si="14"/>
        <v>3.2</v>
      </c>
      <c r="H21" s="532"/>
      <c r="I21" s="203"/>
      <c r="J21" s="8">
        <f t="shared" si="15"/>
        <v>0.12000000000000011</v>
      </c>
      <c r="K21" s="29">
        <f t="shared" si="18"/>
        <v>5</v>
      </c>
      <c r="L21" s="29">
        <f>L20</f>
        <v>3.8100000000000002E-2</v>
      </c>
      <c r="M21" s="3">
        <f t="shared" si="17"/>
        <v>0.1905</v>
      </c>
      <c r="N21" s="3">
        <f t="shared" si="19"/>
        <v>3.2419999999999997E-2</v>
      </c>
      <c r="O21" s="29">
        <f>INT(M21/N21*100)/100</f>
        <v>5.87</v>
      </c>
      <c r="P21" s="13">
        <f>INT((G16-O21)*100*0.86)/100</f>
        <v>-3.3</v>
      </c>
      <c r="S21" s="3">
        <f t="shared" si="3"/>
        <v>55</v>
      </c>
      <c r="T21" s="3">
        <f t="shared" si="10"/>
        <v>6.7539028456565617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7.8677128456410026</v>
      </c>
      <c r="AA21" s="10">
        <f t="shared" si="5"/>
        <v>3.9539314049772809</v>
      </c>
      <c r="AB21" s="10">
        <f t="shared" si="6"/>
        <v>90</v>
      </c>
      <c r="AC21" s="10">
        <f t="shared" si="7"/>
        <v>3.9137814406637217</v>
      </c>
      <c r="AD21" s="78">
        <f t="shared" si="16"/>
        <v>3.91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33">
        <v>35</v>
      </c>
      <c r="E22" s="533"/>
      <c r="F22" s="202">
        <f t="shared" si="13"/>
        <v>35</v>
      </c>
      <c r="G22" s="532">
        <f t="shared" si="14"/>
        <v>3.3</v>
      </c>
      <c r="H22" s="532"/>
      <c r="I22" s="204"/>
      <c r="J22" s="8">
        <f t="shared" si="15"/>
        <v>9.9999999999999645E-2</v>
      </c>
      <c r="K22" s="29">
        <f t="shared" si="18"/>
        <v>10</v>
      </c>
      <c r="L22" s="29">
        <f t="shared" ref="L22:L32" si="20">L21</f>
        <v>3.8100000000000002E-2</v>
      </c>
      <c r="M22" s="3">
        <f t="shared" si="17"/>
        <v>0.38100000000000001</v>
      </c>
      <c r="N22" s="3">
        <f t="shared" si="19"/>
        <v>3.2419999999999997E-2</v>
      </c>
      <c r="O22" s="29">
        <f t="shared" ref="O22:O30" si="21">INT(M22/N22*100)/100</f>
        <v>11.75</v>
      </c>
      <c r="P22" s="13">
        <f>INT((G17-O22)*100*0.8)/100</f>
        <v>-7.41</v>
      </c>
      <c r="S22" s="3">
        <f t="shared" si="3"/>
        <v>55</v>
      </c>
      <c r="T22" s="3">
        <f t="shared" si="10"/>
        <v>6.7539028456565617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7.9674956276318811</v>
      </c>
      <c r="Z22" s="10">
        <f>Y23-Z23</f>
        <v>3.9539314049772809</v>
      </c>
      <c r="AA22" s="10">
        <f t="shared" si="5"/>
        <v>3.9539314049772809</v>
      </c>
      <c r="AB22" s="10">
        <f t="shared" si="6"/>
        <v>105</v>
      </c>
      <c r="AC22" s="10">
        <f t="shared" si="7"/>
        <v>4.0135642226546002</v>
      </c>
      <c r="AD22" s="78">
        <f t="shared" si="16"/>
        <v>4.01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33">
        <v>40</v>
      </c>
      <c r="E23" s="533"/>
      <c r="F23" s="202">
        <f t="shared" si="13"/>
        <v>35.08</v>
      </c>
      <c r="G23" s="532">
        <f t="shared" si="14"/>
        <v>3.38</v>
      </c>
      <c r="H23" s="532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3.8100000000000002E-2</v>
      </c>
      <c r="M23" s="3">
        <f t="shared" si="17"/>
        <v>0.57150000000000001</v>
      </c>
      <c r="N23" s="3">
        <f t="shared" si="19"/>
        <v>3.2419999999999997E-2</v>
      </c>
      <c r="O23" s="29">
        <f t="shared" si="21"/>
        <v>17.62</v>
      </c>
      <c r="P23" s="13">
        <f t="shared" ref="P23:P32" si="22">INT((G18-O23)*100)/100</f>
        <v>-14.87</v>
      </c>
      <c r="S23" s="3">
        <f t="shared" si="3"/>
        <v>55</v>
      </c>
      <c r="T23" s="3">
        <f t="shared" si="10"/>
        <v>6.7539028456565617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8.0539314049772806</v>
      </c>
      <c r="Z23" s="10">
        <f>입력표!B20</f>
        <v>4.0999999999999996</v>
      </c>
      <c r="AA23" s="10">
        <f t="shared" si="5"/>
        <v>3.9539314049772809</v>
      </c>
      <c r="AB23" s="10">
        <f t="shared" si="6"/>
        <v>120</v>
      </c>
      <c r="AC23" s="10">
        <f t="shared" si="7"/>
        <v>4.0999999999999996</v>
      </c>
      <c r="AD23" s="78">
        <f>INT((AC$3+AE23)*100)/100</f>
        <v>4.0999999999999996</v>
      </c>
      <c r="AE23" s="10">
        <f>AG$23*AF23</f>
        <v>4.0999999999999996</v>
      </c>
      <c r="AF23" s="10">
        <v>1</v>
      </c>
      <c r="AG23" s="10">
        <f>AC23-AC3</f>
        <v>4.0999999999999996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33">
        <v>45</v>
      </c>
      <c r="E24" s="533"/>
      <c r="F24" s="202">
        <f t="shared" si="13"/>
        <v>35.159999999999997</v>
      </c>
      <c r="G24" s="532">
        <f t="shared" si="14"/>
        <v>3.46</v>
      </c>
      <c r="H24" s="532"/>
      <c r="I24" s="204"/>
      <c r="J24" s="8">
        <f t="shared" si="15"/>
        <v>8.0000000000000071E-2</v>
      </c>
      <c r="K24" s="29">
        <f t="shared" si="18"/>
        <v>20</v>
      </c>
      <c r="L24" s="29">
        <f t="shared" si="20"/>
        <v>3.8100000000000002E-2</v>
      </c>
      <c r="M24" s="3">
        <f t="shared" si="17"/>
        <v>0.76200000000000001</v>
      </c>
      <c r="N24" s="3">
        <f t="shared" si="19"/>
        <v>3.2419999999999997E-2</v>
      </c>
      <c r="O24" s="29">
        <f t="shared" si="21"/>
        <v>23.5</v>
      </c>
      <c r="P24" s="13">
        <f t="shared" si="22"/>
        <v>-20.56</v>
      </c>
      <c r="R24" s="14">
        <f>B32</f>
        <v>70</v>
      </c>
      <c r="S24" s="3">
        <f>$R$24</f>
        <v>70</v>
      </c>
      <c r="T24" s="3">
        <f t="shared" si="10"/>
        <v>6.7539028456565617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10.316400936898072</v>
      </c>
      <c r="Z24" s="10">
        <f>Z27</f>
        <v>5.3615039960011197</v>
      </c>
      <c r="AA24" s="10">
        <f>$Z$24</f>
        <v>5.3615039960011197</v>
      </c>
      <c r="AB24" s="10">
        <f t="shared" si="6"/>
        <v>130</v>
      </c>
      <c r="AC24" s="10">
        <f t="shared" si="7"/>
        <v>4.9548969408969521</v>
      </c>
      <c r="AD24" s="78">
        <f>INT((AC$23+AE24)*100)/100</f>
        <v>4.91</v>
      </c>
      <c r="AE24" s="10">
        <f>AF24*AG$28</f>
        <v>0.81600000000000017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33">
        <v>50</v>
      </c>
      <c r="E25" s="533"/>
      <c r="F25" s="202">
        <f t="shared" si="13"/>
        <v>35.229999999999997</v>
      </c>
      <c r="G25" s="532">
        <f t="shared" si="14"/>
        <v>3.53</v>
      </c>
      <c r="H25" s="532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3.8100000000000002E-2</v>
      </c>
      <c r="M25" s="3">
        <f t="shared" si="17"/>
        <v>0.95250000000000001</v>
      </c>
      <c r="N25" s="3">
        <f t="shared" si="19"/>
        <v>3.2419999999999997E-2</v>
      </c>
      <c r="O25" s="29">
        <f t="shared" si="21"/>
        <v>29.38</v>
      </c>
      <c r="P25" s="13">
        <f t="shared" si="22"/>
        <v>-26.3</v>
      </c>
      <c r="S25" s="3">
        <f>$R$24</f>
        <v>70</v>
      </c>
      <c r="T25" s="3">
        <f t="shared" si="10"/>
        <v>6.7539028456565617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10.377454419777658</v>
      </c>
      <c r="AA25" s="10">
        <f>$Z$24</f>
        <v>5.3615039960011197</v>
      </c>
      <c r="AB25" s="10">
        <f t="shared" si="6"/>
        <v>140</v>
      </c>
      <c r="AC25" s="10">
        <f t="shared" si="7"/>
        <v>5.0159504237765384</v>
      </c>
      <c r="AD25" s="78">
        <f>INT((AC$23+AE25)*100)/100</f>
        <v>5.05</v>
      </c>
      <c r="AE25" s="10">
        <f>AF25*AG$28</f>
        <v>0.95200000000000018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33">
        <v>55</v>
      </c>
      <c r="E26" s="533"/>
      <c r="F26" s="202">
        <f t="shared" si="13"/>
        <v>35.29</v>
      </c>
      <c r="G26" s="532">
        <f t="shared" si="14"/>
        <v>3.59</v>
      </c>
      <c r="H26" s="532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3.8100000000000002E-2</v>
      </c>
      <c r="M26" s="3">
        <f t="shared" si="17"/>
        <v>1.143</v>
      </c>
      <c r="N26" s="3">
        <f t="shared" si="19"/>
        <v>3.2419999999999997E-2</v>
      </c>
      <c r="O26" s="3">
        <f t="shared" si="21"/>
        <v>35.25</v>
      </c>
      <c r="P26" s="13">
        <f t="shared" si="22"/>
        <v>-32.049999999999997</v>
      </c>
      <c r="S26" s="3">
        <f>$R$24</f>
        <v>70</v>
      </c>
      <c r="T26" s="3">
        <f t="shared" si="10"/>
        <v>6.7539028456565617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10.434293852509736</v>
      </c>
      <c r="AA26" s="10">
        <f>$Z$24</f>
        <v>5.3615039960011197</v>
      </c>
      <c r="AB26" s="10">
        <f t="shared" si="6"/>
        <v>150</v>
      </c>
      <c r="AC26" s="10">
        <f t="shared" si="7"/>
        <v>5.0727898565086162</v>
      </c>
      <c r="AD26" s="78">
        <f>INT((AC$23+AE26)*100)/100</f>
        <v>5.18</v>
      </c>
      <c r="AE26" s="10">
        <f>AF26*AG$28</f>
        <v>1.0880000000000003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33">
        <v>60</v>
      </c>
      <c r="E27" s="533"/>
      <c r="F27" s="202">
        <f t="shared" si="13"/>
        <v>35.35</v>
      </c>
      <c r="G27" s="532">
        <f t="shared" si="14"/>
        <v>3.65</v>
      </c>
      <c r="H27" s="532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3.8100000000000002E-2</v>
      </c>
      <c r="M27" s="3">
        <f t="shared" si="17"/>
        <v>1.3335000000000001</v>
      </c>
      <c r="N27" s="3">
        <f t="shared" si="19"/>
        <v>3.2419999999999997E-2</v>
      </c>
      <c r="O27" s="3">
        <f t="shared" si="21"/>
        <v>41.13</v>
      </c>
      <c r="P27" s="13">
        <f t="shared" si="22"/>
        <v>-37.83</v>
      </c>
      <c r="S27" s="3">
        <f>$R$24</f>
        <v>70</v>
      </c>
      <c r="T27" s="3">
        <f t="shared" si="10"/>
        <v>6.7539028456565617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10.584498556845856</v>
      </c>
      <c r="Z27" s="10">
        <f>Y28-Z28</f>
        <v>5.3615039960011197</v>
      </c>
      <c r="AA27" s="10">
        <f>$Z$24</f>
        <v>5.3615039960011197</v>
      </c>
      <c r="AB27" s="10">
        <f t="shared" si="6"/>
        <v>180</v>
      </c>
      <c r="AC27" s="10">
        <f t="shared" si="7"/>
        <v>5.2229945608447368</v>
      </c>
      <c r="AD27" s="78">
        <f>INT((AC$23+AE27)*100)/100</f>
        <v>5.32</v>
      </c>
      <c r="AE27" s="10">
        <f>AF27*AG$28</f>
        <v>1.2240000000000004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33">
        <v>75</v>
      </c>
      <c r="E28" s="533"/>
      <c r="F28" s="202">
        <f t="shared" si="13"/>
        <v>35.49</v>
      </c>
      <c r="G28" s="532">
        <f t="shared" si="14"/>
        <v>3.79</v>
      </c>
      <c r="H28" s="532"/>
      <c r="I28" s="204"/>
      <c r="J28" s="8">
        <f t="shared" si="15"/>
        <v>0.14000000000000012</v>
      </c>
      <c r="K28" s="29">
        <f t="shared" si="18"/>
        <v>40</v>
      </c>
      <c r="L28" s="29">
        <f t="shared" si="20"/>
        <v>3.8100000000000002E-2</v>
      </c>
      <c r="M28" s="3">
        <f t="shared" si="17"/>
        <v>1.524</v>
      </c>
      <c r="N28" s="3">
        <f t="shared" si="19"/>
        <v>3.2419999999999997E-2</v>
      </c>
      <c r="O28" s="3">
        <f t="shared" si="21"/>
        <v>47</v>
      </c>
      <c r="P28" s="13">
        <f t="shared" si="22"/>
        <v>-43.62</v>
      </c>
      <c r="S28" s="3">
        <f>$R$24</f>
        <v>70</v>
      </c>
      <c r="T28" s="3">
        <f t="shared" si="10"/>
        <v>6.7539028456565617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10.82150399600112</v>
      </c>
      <c r="Z28" s="10">
        <f>입력표!B21</f>
        <v>5.46</v>
      </c>
      <c r="AA28" s="10">
        <f>$Z$24</f>
        <v>5.3615039960011197</v>
      </c>
      <c r="AB28" s="10">
        <f t="shared" si="6"/>
        <v>240</v>
      </c>
      <c r="AC28" s="10">
        <f t="shared" si="7"/>
        <v>5.46</v>
      </c>
      <c r="AD28" s="78">
        <f>INT((AC$23+AE28)*100)/100</f>
        <v>5.46</v>
      </c>
      <c r="AE28" s="10">
        <f>AF28*AG$28</f>
        <v>1.3600000000000003</v>
      </c>
      <c r="AF28" s="10">
        <v>1</v>
      </c>
      <c r="AG28" s="10">
        <f>AC28-AC23</f>
        <v>1.3600000000000003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33">
        <v>90</v>
      </c>
      <c r="E29" s="533"/>
      <c r="F29" s="202">
        <f t="shared" ref="F29:F44" si="24">G29+$D$10</f>
        <v>35.61</v>
      </c>
      <c r="G29" s="532">
        <f t="shared" si="14"/>
        <v>3.91</v>
      </c>
      <c r="H29" s="532"/>
      <c r="I29" s="204"/>
      <c r="J29" s="8">
        <f t="shared" si="15"/>
        <v>0.12000000000000011</v>
      </c>
      <c r="K29" s="29">
        <f t="shared" si="18"/>
        <v>45</v>
      </c>
      <c r="L29" s="29">
        <f t="shared" si="20"/>
        <v>3.8100000000000002E-2</v>
      </c>
      <c r="M29" s="3">
        <f t="shared" si="17"/>
        <v>1.7145000000000001</v>
      </c>
      <c r="N29" s="3">
        <f t="shared" si="19"/>
        <v>3.2419999999999997E-2</v>
      </c>
      <c r="O29" s="3">
        <f t="shared" si="21"/>
        <v>52.88</v>
      </c>
      <c r="P29" s="13">
        <f t="shared" si="22"/>
        <v>-49.42</v>
      </c>
      <c r="R29" s="14">
        <f>B37</f>
        <v>85</v>
      </c>
      <c r="S29" s="3">
        <f>$R$29</f>
        <v>85</v>
      </c>
      <c r="T29" s="3">
        <f t="shared" si="10"/>
        <v>6.7539028456565617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13.181235347896635</v>
      </c>
      <c r="Z29" s="10">
        <f>Z32</f>
        <v>6.5460182012843582</v>
      </c>
      <c r="AA29" s="10">
        <f>$Z$29</f>
        <v>6.5460182012843582</v>
      </c>
      <c r="AB29" s="10">
        <f t="shared" si="6"/>
        <v>250</v>
      </c>
      <c r="AC29" s="10">
        <f t="shared" si="7"/>
        <v>6.6352171466122769</v>
      </c>
      <c r="AD29" s="78">
        <f>INT((AC$28+AE29)*100)/100</f>
        <v>6.38</v>
      </c>
      <c r="AE29" s="10">
        <f>AF29*AG$33</f>
        <v>0.92399999999999993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33">
        <v>105</v>
      </c>
      <c r="E30" s="533"/>
      <c r="F30" s="202">
        <f t="shared" si="24"/>
        <v>35.71</v>
      </c>
      <c r="G30" s="532">
        <f t="shared" si="14"/>
        <v>4.01</v>
      </c>
      <c r="H30" s="532"/>
      <c r="I30" s="204"/>
      <c r="J30" s="8">
        <f t="shared" si="15"/>
        <v>9.9999999999999645E-2</v>
      </c>
      <c r="K30" s="29">
        <f t="shared" si="18"/>
        <v>50</v>
      </c>
      <c r="L30" s="29">
        <f t="shared" si="20"/>
        <v>3.8100000000000002E-2</v>
      </c>
      <c r="M30" s="3">
        <f t="shared" si="17"/>
        <v>1.905</v>
      </c>
      <c r="N30" s="3">
        <f t="shared" si="19"/>
        <v>3.2419999999999997E-2</v>
      </c>
      <c r="O30" s="3">
        <f t="shared" si="21"/>
        <v>58.76</v>
      </c>
      <c r="P30" s="13">
        <f t="shared" si="22"/>
        <v>-55.23</v>
      </c>
      <c r="R30" s="3" t="s">
        <v>23</v>
      </c>
      <c r="S30" s="3">
        <f>$R$29</f>
        <v>85</v>
      </c>
      <c r="T30" s="3">
        <f t="shared" si="10"/>
        <v>6.7539028456565617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13.220471091347761</v>
      </c>
      <c r="AA30" s="10">
        <f>$Z$29</f>
        <v>6.5460182012843582</v>
      </c>
      <c r="AB30" s="10">
        <f t="shared" si="6"/>
        <v>260</v>
      </c>
      <c r="AC30" s="10">
        <f t="shared" si="7"/>
        <v>6.674452890063403</v>
      </c>
      <c r="AD30" s="78">
        <f>INT((AC$28+AE30)*100)/100</f>
        <v>6.53</v>
      </c>
      <c r="AE30" s="10">
        <f>AF30*AG$33</f>
        <v>1.0779999999999998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33">
        <v>120</v>
      </c>
      <c r="E31" s="533"/>
      <c r="F31" s="202">
        <f t="shared" si="24"/>
        <v>35.799999999999997</v>
      </c>
      <c r="G31" s="532">
        <f t="shared" si="14"/>
        <v>4.0999999999999996</v>
      </c>
      <c r="H31" s="532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3.8100000000000002E-2</v>
      </c>
      <c r="M31" s="3">
        <f t="shared" si="17"/>
        <v>2.0954999999999999</v>
      </c>
      <c r="N31" s="3">
        <f t="shared" si="19"/>
        <v>3.2419999999999997E-2</v>
      </c>
      <c r="O31" s="3">
        <f>INT(M31/N31*100)/100</f>
        <v>64.63</v>
      </c>
      <c r="P31" s="13">
        <f t="shared" si="22"/>
        <v>-61.04</v>
      </c>
      <c r="S31" s="3">
        <f>$R$29</f>
        <v>85</v>
      </c>
      <c r="T31" s="3">
        <f t="shared" si="10"/>
        <v>6.7539028456565617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13.258225882310111</v>
      </c>
      <c r="AA31" s="10">
        <f>$Z$29</f>
        <v>6.5460182012843582</v>
      </c>
      <c r="AB31" s="10">
        <f t="shared" si="6"/>
        <v>270</v>
      </c>
      <c r="AC31" s="10">
        <f t="shared" si="7"/>
        <v>6.7122076810257525</v>
      </c>
      <c r="AD31" s="78">
        <f>INT((AC$28+AE31)*100)/100</f>
        <v>6.69</v>
      </c>
      <c r="AE31" s="10">
        <f>AF31*AG$33</f>
        <v>1.2320000000000002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70</v>
      </c>
      <c r="C32" s="201">
        <v>0.50694444444444442</v>
      </c>
      <c r="D32" s="533">
        <v>130</v>
      </c>
      <c r="E32" s="533"/>
      <c r="F32" s="202">
        <f t="shared" si="24"/>
        <v>36.61</v>
      </c>
      <c r="G32" s="532">
        <f t="shared" si="14"/>
        <v>4.91</v>
      </c>
      <c r="H32" s="532"/>
      <c r="I32" s="204"/>
      <c r="J32" s="8">
        <f t="shared" si="15"/>
        <v>0.8100000000000005</v>
      </c>
      <c r="K32" s="29">
        <f t="shared" si="18"/>
        <v>60</v>
      </c>
      <c r="L32" s="29">
        <f t="shared" si="20"/>
        <v>3.8100000000000002E-2</v>
      </c>
      <c r="M32" s="3">
        <f t="shared" si="17"/>
        <v>2.286</v>
      </c>
      <c r="N32" s="3">
        <f t="shared" si="19"/>
        <v>3.2419999999999997E-2</v>
      </c>
      <c r="O32" s="3">
        <f>INT(M32/N32*100)/100</f>
        <v>70.510000000000005</v>
      </c>
      <c r="P32" s="13">
        <f t="shared" si="22"/>
        <v>-66.86</v>
      </c>
      <c r="S32" s="3">
        <f>$R$29</f>
        <v>85</v>
      </c>
      <c r="T32" s="3">
        <f t="shared" si="10"/>
        <v>6.7539028456565617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13.363626774590497</v>
      </c>
      <c r="Z32" s="10">
        <f>Y33-Z33</f>
        <v>6.5460182012843582</v>
      </c>
      <c r="AA32" s="10">
        <f>$Z$29</f>
        <v>6.5460182012843582</v>
      </c>
      <c r="AB32" s="10">
        <f t="shared" si="6"/>
        <v>300</v>
      </c>
      <c r="AC32" s="10">
        <f t="shared" si="7"/>
        <v>6.8176085733061385</v>
      </c>
      <c r="AD32" s="78">
        <f>INT((AC$28+AE32)*100)/100</f>
        <v>6.84</v>
      </c>
      <c r="AE32" s="10">
        <f>AF32*AG$33</f>
        <v>1.3860000000000001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33">
        <v>140</v>
      </c>
      <c r="E33" s="533"/>
      <c r="F33" s="202">
        <f t="shared" si="24"/>
        <v>36.75</v>
      </c>
      <c r="G33" s="532">
        <f t="shared" si="14"/>
        <v>5.05</v>
      </c>
      <c r="H33" s="532"/>
      <c r="I33" s="204"/>
      <c r="J33" s="8">
        <f t="shared" si="15"/>
        <v>0.13999999999999968</v>
      </c>
      <c r="L33" s="7" t="s">
        <v>23</v>
      </c>
      <c r="P33" s="13"/>
      <c r="S33" s="3">
        <f>$R$29</f>
        <v>85</v>
      </c>
      <c r="T33" s="3">
        <f t="shared" si="10"/>
        <v>6.7539028456565617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13.546018201284358</v>
      </c>
      <c r="Z33" s="10">
        <f>입력표!B22</f>
        <v>7</v>
      </c>
      <c r="AA33" s="10">
        <f>$Z$29</f>
        <v>6.5460182012843582</v>
      </c>
      <c r="AB33" s="10">
        <f t="shared" si="6"/>
        <v>360</v>
      </c>
      <c r="AC33" s="10">
        <f t="shared" si="7"/>
        <v>7</v>
      </c>
      <c r="AD33" s="78">
        <f>INT((AC$28+AE33)*100)/100</f>
        <v>7</v>
      </c>
      <c r="AE33" s="10">
        <f>AF33*AG$33</f>
        <v>1.54</v>
      </c>
      <c r="AF33" s="10">
        <v>1</v>
      </c>
      <c r="AG33" s="10">
        <f>AC33-AC28</f>
        <v>1.54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33">
        <v>150</v>
      </c>
      <c r="E34" s="533"/>
      <c r="F34" s="202">
        <f t="shared" si="24"/>
        <v>36.879999999999995</v>
      </c>
      <c r="G34" s="532">
        <f t="shared" si="14"/>
        <v>5.18</v>
      </c>
      <c r="H34" s="532"/>
      <c r="I34" s="204"/>
      <c r="J34" s="8">
        <f t="shared" si="15"/>
        <v>0.12999999999999989</v>
      </c>
      <c r="L34" s="7" t="s">
        <v>23</v>
      </c>
      <c r="R34" s="3">
        <f>B42</f>
        <v>100</v>
      </c>
      <c r="S34" s="3">
        <f>$R$34</f>
        <v>100</v>
      </c>
      <c r="T34" s="3">
        <f t="shared" si="10"/>
        <v>6.7539028456565617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15.968738441649972</v>
      </c>
      <c r="Z34" s="10">
        <f>Z37</f>
        <v>7.5550712003042424</v>
      </c>
      <c r="AA34" s="10">
        <f>$Z$34</f>
        <v>7.5550712003042424</v>
      </c>
      <c r="AB34" s="10">
        <f t="shared" si="6"/>
        <v>370</v>
      </c>
      <c r="AC34" s="10">
        <f t="shared" si="7"/>
        <v>8.4136672413457294</v>
      </c>
      <c r="AD34" s="78">
        <f>INT((AC$33+AE34)*100)/100</f>
        <v>8.0299999999999994</v>
      </c>
      <c r="AE34" s="10">
        <f>AG$38*AF34</f>
        <v>1.0320000000000003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33">
        <v>180</v>
      </c>
      <c r="E35" s="533"/>
      <c r="F35" s="202">
        <f t="shared" si="24"/>
        <v>37.019999999999996</v>
      </c>
      <c r="G35" s="532">
        <f t="shared" si="14"/>
        <v>5.32</v>
      </c>
      <c r="H35" s="532"/>
      <c r="I35" s="204"/>
      <c r="J35" s="8">
        <f t="shared" si="15"/>
        <v>0.14000000000000057</v>
      </c>
      <c r="L35" s="7" t="s">
        <v>23</v>
      </c>
      <c r="S35" s="3">
        <f>$R$34</f>
        <v>100</v>
      </c>
      <c r="T35" s="3">
        <f t="shared" si="10"/>
        <v>6.7539028456565617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16.000124873391599</v>
      </c>
      <c r="AA35" s="10">
        <f>$Z$34</f>
        <v>7.5550712003042424</v>
      </c>
      <c r="AB35" s="10">
        <f t="shared" si="6"/>
        <v>380</v>
      </c>
      <c r="AC35" s="10">
        <f t="shared" si="7"/>
        <v>8.4450536730873562</v>
      </c>
      <c r="AD35" s="78">
        <f>INT((AC$33+AE35)*100)/100</f>
        <v>8.1999999999999993</v>
      </c>
      <c r="AE35" s="10">
        <f>AG$38*AF35</f>
        <v>1.2040000000000004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33">
        <v>240</v>
      </c>
      <c r="E36" s="533"/>
      <c r="F36" s="202">
        <f t="shared" si="24"/>
        <v>37.159999999999997</v>
      </c>
      <c r="G36" s="532">
        <f t="shared" si="14"/>
        <v>5.46</v>
      </c>
      <c r="H36" s="532"/>
      <c r="I36" s="204"/>
      <c r="J36" s="8">
        <f t="shared" si="15"/>
        <v>0.13999999999999968</v>
      </c>
      <c r="L36" s="7" t="s">
        <v>23</v>
      </c>
      <c r="S36" s="3">
        <f>$R$34</f>
        <v>100</v>
      </c>
      <c r="T36" s="3">
        <f t="shared" si="10"/>
        <v>6.7539028456565617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16.030695980237869</v>
      </c>
      <c r="AA36" s="10">
        <f>$Z$34</f>
        <v>7.5550712003042424</v>
      </c>
      <c r="AB36" s="10">
        <f t="shared" si="6"/>
        <v>390</v>
      </c>
      <c r="AC36" s="10">
        <f t="shared" si="7"/>
        <v>8.4756247799336268</v>
      </c>
      <c r="AD36" s="78">
        <f>INT((AC$33+AE36)*100)/100</f>
        <v>8.3699999999999992</v>
      </c>
      <c r="AE36" s="10">
        <f>AG$38*AF36</f>
        <v>1.3760000000000006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85</v>
      </c>
      <c r="C37" s="201">
        <v>0.59027777777777779</v>
      </c>
      <c r="D37" s="533">
        <v>250</v>
      </c>
      <c r="E37" s="533"/>
      <c r="F37" s="202">
        <f t="shared" si="24"/>
        <v>38.08</v>
      </c>
      <c r="G37" s="532">
        <f t="shared" si="14"/>
        <v>6.38</v>
      </c>
      <c r="H37" s="532"/>
      <c r="I37" s="204"/>
      <c r="J37" s="8">
        <f t="shared" si="15"/>
        <v>0.91999999999999993</v>
      </c>
      <c r="L37" s="7" t="s">
        <v>23</v>
      </c>
      <c r="S37" s="3">
        <f>$R$34</f>
        <v>100</v>
      </c>
      <c r="T37" s="3">
        <f t="shared" si="10"/>
        <v>6.7539028456565617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16.117915241494423</v>
      </c>
      <c r="Z37" s="10">
        <f>Y38-Z38</f>
        <v>7.5550712003042424</v>
      </c>
      <c r="AA37" s="10">
        <f>$Z$34</f>
        <v>7.5550712003042424</v>
      </c>
      <c r="AB37" s="10">
        <f t="shared" si="6"/>
        <v>420</v>
      </c>
      <c r="AC37" s="10">
        <f t="shared" si="7"/>
        <v>8.5628440411901803</v>
      </c>
      <c r="AD37" s="78">
        <f>INT((AC$33+AE37)*100)/100</f>
        <v>8.5399999999999991</v>
      </c>
      <c r="AE37" s="10">
        <f>AG$38*AF37</f>
        <v>1.5480000000000007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33">
        <v>260</v>
      </c>
      <c r="E38" s="533"/>
      <c r="F38" s="202">
        <f t="shared" si="24"/>
        <v>38.229999999999997</v>
      </c>
      <c r="G38" s="532">
        <f t="shared" si="14"/>
        <v>6.53</v>
      </c>
      <c r="H38" s="532"/>
      <c r="I38" s="204"/>
      <c r="J38" s="8">
        <f t="shared" si="15"/>
        <v>0.15000000000000036</v>
      </c>
      <c r="L38" s="7" t="s">
        <v>23</v>
      </c>
      <c r="S38" s="3">
        <f>$R$34</f>
        <v>100</v>
      </c>
      <c r="T38" s="3">
        <f t="shared" si="10"/>
        <v>6.7539028456565617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16.275071200304243</v>
      </c>
      <c r="Z38" s="10">
        <f>입력표!B23</f>
        <v>8.7200000000000006</v>
      </c>
      <c r="AA38" s="10">
        <f>$Z$34</f>
        <v>7.5550712003042424</v>
      </c>
      <c r="AB38" s="10">
        <f t="shared" si="6"/>
        <v>480</v>
      </c>
      <c r="AC38" s="10">
        <f t="shared" si="7"/>
        <v>8.7200000000000006</v>
      </c>
      <c r="AD38" s="78">
        <f>INT((AC$33+AE38)*100)/100</f>
        <v>8.7200000000000006</v>
      </c>
      <c r="AE38" s="10">
        <f>AG$38*AF38</f>
        <v>1.7200000000000006</v>
      </c>
      <c r="AF38" s="10">
        <v>1</v>
      </c>
      <c r="AG38" s="10">
        <f>AC38-AC33</f>
        <v>1.7200000000000006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33">
        <v>270</v>
      </c>
      <c r="E39" s="533"/>
      <c r="F39" s="202">
        <f t="shared" si="24"/>
        <v>38.39</v>
      </c>
      <c r="G39" s="532">
        <f t="shared" si="14"/>
        <v>6.69</v>
      </c>
      <c r="H39" s="532"/>
      <c r="I39" s="204"/>
      <c r="J39" s="8">
        <f t="shared" si="15"/>
        <v>0.16000000000000014</v>
      </c>
      <c r="K39" s="6" t="s">
        <v>23</v>
      </c>
      <c r="L39" s="7" t="s">
        <v>23</v>
      </c>
      <c r="R39" s="14">
        <f>B47</f>
        <v>114.99999999999999</v>
      </c>
      <c r="S39" s="3">
        <f>$R$39</f>
        <v>114.99999999999999</v>
      </c>
      <c r="T39" s="3">
        <f t="shared" si="10"/>
        <v>6.7539028456565617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18.744239253699515</v>
      </c>
      <c r="Z39" s="10">
        <f>Z42</f>
        <v>7.6883476743906467</v>
      </c>
      <c r="AA39" s="10">
        <f>$Z$39</f>
        <v>7.6883476743906467</v>
      </c>
      <c r="AB39" s="10">
        <f t="shared" si="6"/>
        <v>490</v>
      </c>
      <c r="AC39" s="10">
        <f t="shared" si="7"/>
        <v>11.055891579308868</v>
      </c>
      <c r="AD39" s="78">
        <f>INT((AC$38+AE39)*100)/100</f>
        <v>9.76</v>
      </c>
      <c r="AE39" s="10">
        <f>AG$43*AF39</f>
        <v>1.0439999999999998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33">
        <v>300</v>
      </c>
      <c r="E40" s="533"/>
      <c r="F40" s="202">
        <f t="shared" si="24"/>
        <v>38.54</v>
      </c>
      <c r="G40" s="532">
        <f t="shared" si="14"/>
        <v>6.84</v>
      </c>
      <c r="H40" s="532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114.99999999999999</v>
      </c>
      <c r="T40" s="3">
        <f t="shared" si="10"/>
        <v>6.7539028456565617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18.771582802981303</v>
      </c>
      <c r="AA40" s="10">
        <f>$Z$39</f>
        <v>7.6883476743906467</v>
      </c>
      <c r="AB40" s="10">
        <f t="shared" si="6"/>
        <v>500</v>
      </c>
      <c r="AC40" s="10">
        <f t="shared" si="7"/>
        <v>11.083235128590657</v>
      </c>
      <c r="AD40" s="78">
        <f>INT((AC$38+AE40)*100)/100</f>
        <v>10.15</v>
      </c>
      <c r="AE40" s="10">
        <f>AG$43*AF40</f>
        <v>1.4354999999999998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33">
        <v>360</v>
      </c>
      <c r="E41" s="533"/>
      <c r="F41" s="202">
        <f t="shared" si="24"/>
        <v>38.700000000000003</v>
      </c>
      <c r="G41" s="532">
        <f t="shared" si="14"/>
        <v>7</v>
      </c>
      <c r="H41" s="532"/>
      <c r="I41" s="204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114.99999999999999</v>
      </c>
      <c r="T41" s="3">
        <f t="shared" si="10"/>
        <v>6.7539028456565617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18.798384860095322</v>
      </c>
      <c r="AA41" s="10">
        <f>$Z$39</f>
        <v>7.6883476743906467</v>
      </c>
      <c r="AB41" s="10">
        <f t="shared" si="6"/>
        <v>510</v>
      </c>
      <c r="AC41" s="10">
        <f t="shared" si="7"/>
        <v>11.110037185704675</v>
      </c>
      <c r="AD41" s="78">
        <f>INT((AC$38+AE41)*100)/100</f>
        <v>10.54</v>
      </c>
      <c r="AE41" s="10">
        <f>AG$43*AF41</f>
        <v>1.8269999999999995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100</v>
      </c>
      <c r="C42" s="201">
        <v>0.67361111111111116</v>
      </c>
      <c r="D42" s="533">
        <v>370</v>
      </c>
      <c r="E42" s="533"/>
      <c r="F42" s="202">
        <f t="shared" si="24"/>
        <v>39.729999999999997</v>
      </c>
      <c r="G42" s="532">
        <f t="shared" si="14"/>
        <v>8.0299999999999994</v>
      </c>
      <c r="H42" s="532"/>
      <c r="I42" s="204"/>
      <c r="J42" s="8">
        <f t="shared" si="15"/>
        <v>1.0299999999999994</v>
      </c>
      <c r="K42" s="6" t="s">
        <v>23</v>
      </c>
      <c r="L42" s="7" t="s">
        <v>23</v>
      </c>
      <c r="S42" s="3">
        <f>$R$39</f>
        <v>114.99999999999999</v>
      </c>
      <c r="T42" s="3">
        <f t="shared" si="10"/>
        <v>6.7539028456565617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18.875746467187771</v>
      </c>
      <c r="Z42" s="10">
        <f>Y43-Z43</f>
        <v>7.6883476743906467</v>
      </c>
      <c r="AA42" s="10">
        <f>$Z$39</f>
        <v>7.6883476743906467</v>
      </c>
      <c r="AB42" s="10">
        <f t="shared" si="6"/>
        <v>540</v>
      </c>
      <c r="AC42" s="10">
        <f t="shared" si="7"/>
        <v>11.187398792797124</v>
      </c>
      <c r="AD42" s="78">
        <f>INT((AC$38+AE42)*100)/100</f>
        <v>10.93</v>
      </c>
      <c r="AE42" s="10">
        <f>AG$43*AF42</f>
        <v>2.2184999999999993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33">
        <v>380</v>
      </c>
      <c r="E43" s="533"/>
      <c r="F43" s="202">
        <f t="shared" si="24"/>
        <v>39.9</v>
      </c>
      <c r="G43" s="532">
        <f t="shared" si="14"/>
        <v>8.1999999999999993</v>
      </c>
      <c r="H43" s="532"/>
      <c r="I43" s="204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114.99999999999999</v>
      </c>
      <c r="T43" s="3">
        <f t="shared" si="10"/>
        <v>6.7539028456565617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19.018347674390647</v>
      </c>
      <c r="Z43" s="10">
        <f>입력표!B24</f>
        <v>11.33</v>
      </c>
      <c r="AA43" s="10">
        <f>$Z$39</f>
        <v>7.6883476743906467</v>
      </c>
      <c r="AB43" s="10">
        <f t="shared" si="6"/>
        <v>600</v>
      </c>
      <c r="AC43" s="10">
        <f t="shared" si="7"/>
        <v>11.33</v>
      </c>
      <c r="AD43" s="78">
        <f>INT((AC$38+AE43)*100)/100</f>
        <v>11.33</v>
      </c>
      <c r="AE43" s="10">
        <f>AG$43*AF43</f>
        <v>2.6099999999999994</v>
      </c>
      <c r="AF43" s="10">
        <v>1</v>
      </c>
      <c r="AG43" s="10">
        <f>AC43-AC38</f>
        <v>2.6099999999999994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33">
        <v>390</v>
      </c>
      <c r="E44" s="533"/>
      <c r="F44" s="202">
        <f t="shared" si="24"/>
        <v>40.07</v>
      </c>
      <c r="G44" s="532">
        <f t="shared" si="14"/>
        <v>8.3699999999999992</v>
      </c>
      <c r="H44" s="532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33">
        <v>420</v>
      </c>
      <c r="E45" s="533"/>
      <c r="F45" s="202">
        <f t="shared" ref="F45:F51" si="25">G45+$D$10</f>
        <v>40.239999999999995</v>
      </c>
      <c r="G45" s="532">
        <f t="shared" si="14"/>
        <v>8.5399999999999991</v>
      </c>
      <c r="H45" s="532"/>
      <c r="I45" s="204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33">
        <v>480</v>
      </c>
      <c r="E46" s="533"/>
      <c r="F46" s="202">
        <f t="shared" si="25"/>
        <v>40.42</v>
      </c>
      <c r="G46" s="532">
        <f t="shared" si="14"/>
        <v>8.7200000000000006</v>
      </c>
      <c r="H46" s="532"/>
      <c r="I46" s="204"/>
      <c r="J46" s="8">
        <f t="shared" si="15"/>
        <v>0.18000000000000149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114.99999999999999</v>
      </c>
      <c r="C47" s="201">
        <v>0.75694444444444453</v>
      </c>
      <c r="D47" s="533">
        <v>490</v>
      </c>
      <c r="E47" s="533"/>
      <c r="F47" s="202">
        <f t="shared" si="25"/>
        <v>41.46</v>
      </c>
      <c r="G47" s="532">
        <f t="shared" si="14"/>
        <v>9.76</v>
      </c>
      <c r="H47" s="532"/>
      <c r="I47" s="204"/>
      <c r="J47" s="8">
        <f t="shared" si="15"/>
        <v>1.0399999999999991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33">
        <v>500</v>
      </c>
      <c r="E48" s="533"/>
      <c r="F48" s="202">
        <f t="shared" si="25"/>
        <v>41.85</v>
      </c>
      <c r="G48" s="532">
        <f t="shared" si="14"/>
        <v>10.15</v>
      </c>
      <c r="H48" s="532"/>
      <c r="I48" s="204"/>
      <c r="J48" s="8">
        <f t="shared" si="15"/>
        <v>0.39000000000000057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33">
        <v>510</v>
      </c>
      <c r="E49" s="533"/>
      <c r="F49" s="202">
        <f t="shared" si="25"/>
        <v>42.239999999999995</v>
      </c>
      <c r="G49" s="532">
        <f t="shared" si="14"/>
        <v>10.54</v>
      </c>
      <c r="H49" s="532"/>
      <c r="I49" s="204"/>
      <c r="J49" s="8">
        <f t="shared" si="15"/>
        <v>0.38999999999999879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33">
        <v>540</v>
      </c>
      <c r="E50" s="533"/>
      <c r="F50" s="202">
        <f t="shared" si="25"/>
        <v>42.629999999999995</v>
      </c>
      <c r="G50" s="532">
        <f t="shared" si="14"/>
        <v>10.93</v>
      </c>
      <c r="H50" s="532"/>
      <c r="I50" s="204"/>
      <c r="J50" s="8">
        <f t="shared" si="15"/>
        <v>0.39000000000000057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33">
        <v>600</v>
      </c>
      <c r="E51" s="533"/>
      <c r="F51" s="202">
        <f t="shared" si="25"/>
        <v>43.03</v>
      </c>
      <c r="G51" s="532">
        <f t="shared" si="14"/>
        <v>11.33</v>
      </c>
      <c r="H51" s="532"/>
      <c r="I51" s="204" t="s">
        <v>13</v>
      </c>
      <c r="J51" s="8">
        <f t="shared" si="15"/>
        <v>0.40000000000000036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tabSelected="1" zoomScaleNormal="100" workbookViewId="0">
      <selection activeCell="F36" sqref="F36"/>
    </sheetView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9" t="s">
        <v>137</v>
      </c>
      <c r="M1" s="264">
        <f>P1-R1</f>
        <v>-1.8095470174250181</v>
      </c>
      <c r="N1" s="549" t="s">
        <v>136</v>
      </c>
      <c r="O1" s="549"/>
      <c r="P1" s="265">
        <f>단계양수시험!G41</f>
        <v>7</v>
      </c>
      <c r="Q1" s="428" t="s">
        <v>125</v>
      </c>
      <c r="R1" s="266">
        <f>G35</f>
        <v>8.8095470174250181</v>
      </c>
      <c r="S1" s="267">
        <f>D7/2000</f>
        <v>0.1</v>
      </c>
      <c r="T1" s="268">
        <v>4.1154367189270733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 xml:space="preserve"> 울산 제2실내종합체육관 건립공사중 지열수축열공사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41.5</v>
      </c>
      <c r="T2" s="3">
        <v>0</v>
      </c>
      <c r="U2" s="14">
        <f>B10</f>
        <v>87</v>
      </c>
      <c r="V2" s="14">
        <f>U2</f>
        <v>87</v>
      </c>
      <c r="W2" s="3">
        <f>T1</f>
        <v>4.1154367189270733</v>
      </c>
      <c r="X2" s="3">
        <f>단계양수시험!U4</f>
        <v>0.1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8.3689565665210868</v>
      </c>
      <c r="AC2" s="10">
        <f>1.6*V2/(4*PI()*W2)*LOG10((2.25*W2*Z2)/(X2*X2*Y2))</f>
        <v>8.3689565665210868</v>
      </c>
      <c r="AD2" s="15">
        <v>0</v>
      </c>
      <c r="AE2" s="12">
        <f>AA2</f>
        <v>1</v>
      </c>
      <c r="AF2" s="10">
        <f>AC2-$P$3-O3</f>
        <v>1.9289568893769857</v>
      </c>
      <c r="AG2" s="10">
        <f>AC2</f>
        <v>8.3689565665210868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 xml:space="preserve"> 무거동 1027-5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0" t="s">
        <v>182</v>
      </c>
      <c r="M3" s="13">
        <f t="shared" ref="M3:M10" si="1">Q17</f>
        <v>0</v>
      </c>
      <c r="N3" s="62"/>
      <c r="O3" s="362"/>
      <c r="P3" s="361">
        <v>6.439999677144101</v>
      </c>
      <c r="V3" s="14">
        <f>V2</f>
        <v>87</v>
      </c>
      <c r="W3" s="3">
        <f>W$2</f>
        <v>4.1154367189270733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9.179214357134768</v>
      </c>
      <c r="AC3" s="10">
        <f t="shared" ref="AC3:AC35" si="4">1.6*V3/(4*PI()*W3)*LOG10((2.25*W3*Z3)/(X3*X3*Y3))</f>
        <v>9.179214357134768</v>
      </c>
      <c r="AD3" s="10">
        <f>AB69</f>
        <v>16.239999677144098</v>
      </c>
      <c r="AE3" s="12">
        <f t="shared" ref="AE3:AE66" si="5">AA3</f>
        <v>2</v>
      </c>
      <c r="AF3" s="10">
        <f t="shared" ref="AF3:AF16" si="6">AC3-$P$3-O4</f>
        <v>2.7392146799906669</v>
      </c>
      <c r="AG3" s="10">
        <f t="shared" ref="AG3:AG16" si="7">AC3</f>
        <v>9.179214357134768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 xml:space="preserve"> 울산광역시 남구 무거동 1027-5번지</v>
      </c>
      <c r="D4" s="58"/>
      <c r="E4" s="58"/>
      <c r="F4" s="184"/>
      <c r="G4" s="184"/>
      <c r="H4" s="184"/>
      <c r="I4" s="184"/>
      <c r="J4" s="185"/>
      <c r="L4" s="370" t="s">
        <v>183</v>
      </c>
      <c r="M4" s="13">
        <f t="shared" si="1"/>
        <v>-1.1100000000000001</v>
      </c>
      <c r="N4" s="62"/>
      <c r="O4" s="29"/>
      <c r="P4" s="29"/>
      <c r="V4" s="14">
        <f t="shared" ref="V4:V67" si="8">V3</f>
        <v>87</v>
      </c>
      <c r="W4" s="3">
        <f t="shared" ref="W4:W67" si="9">W$2</f>
        <v>4.1154367189270733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9.6531847805609452</v>
      </c>
      <c r="AC4" s="10">
        <f t="shared" si="4"/>
        <v>9.6531847805609452</v>
      </c>
      <c r="AD4" s="10">
        <f>AC69</f>
        <v>16.239999677144098</v>
      </c>
      <c r="AE4" s="12">
        <f t="shared" si="5"/>
        <v>3</v>
      </c>
      <c r="AF4" s="10">
        <f t="shared" si="6"/>
        <v>3.2131851034168442</v>
      </c>
      <c r="AG4" s="10">
        <f t="shared" si="7"/>
        <v>9.6531847805609452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 xml:space="preserve"> 주식회사 한일지하수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0" t="s">
        <v>184</v>
      </c>
      <c r="M5" s="13">
        <f t="shared" si="1"/>
        <v>-2.5499999999999998</v>
      </c>
      <c r="N5" s="62"/>
      <c r="O5" s="29"/>
      <c r="P5" s="29"/>
      <c r="V5" s="14">
        <f t="shared" si="8"/>
        <v>87</v>
      </c>
      <c r="W5" s="3">
        <f t="shared" si="9"/>
        <v>4.1154367189270733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9.9894721477484509</v>
      </c>
      <c r="AC5" s="10">
        <f t="shared" si="4"/>
        <v>9.9894721477484509</v>
      </c>
      <c r="AD5" s="10">
        <f>AF69</f>
        <v>9.7999999999999972</v>
      </c>
      <c r="AE5" s="12">
        <f t="shared" si="5"/>
        <v>4</v>
      </c>
      <c r="AF5" s="10">
        <f t="shared" si="6"/>
        <v>3.5494724706043499</v>
      </c>
      <c r="AG5" s="10">
        <f t="shared" si="7"/>
        <v>9.9894721477484509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45">
        <f>단계양수시험!C8</f>
        <v>5</v>
      </c>
      <c r="D6" s="545"/>
      <c r="E6" s="546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5">
        <v>0.2</v>
      </c>
      <c r="M6" s="13">
        <f t="shared" si="1"/>
        <v>-4.1500000000000004</v>
      </c>
      <c r="N6" s="62"/>
      <c r="O6" s="29"/>
      <c r="P6" s="29"/>
      <c r="V6" s="14">
        <f t="shared" si="8"/>
        <v>87</v>
      </c>
      <c r="W6" s="3">
        <f t="shared" si="9"/>
        <v>4.1154367189270733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10.250316894648355</v>
      </c>
      <c r="AC6" s="10">
        <f t="shared" si="4"/>
        <v>10.250316894648355</v>
      </c>
      <c r="AE6" s="12">
        <f t="shared" si="5"/>
        <v>5</v>
      </c>
      <c r="AF6" s="10">
        <f t="shared" si="6"/>
        <v>3.8103172175042541</v>
      </c>
      <c r="AG6" s="10">
        <f t="shared" si="7"/>
        <v>10.250316894648355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200</v>
      </c>
      <c r="E7" s="194"/>
      <c r="F7" s="195" t="s">
        <v>8</v>
      </c>
      <c r="G7" s="250">
        <f>단계양수시험!G9</f>
        <v>470</v>
      </c>
      <c r="H7" s="184"/>
      <c r="I7" s="184"/>
      <c r="J7" s="185"/>
      <c r="M7" s="13">
        <f t="shared" si="1"/>
        <v>-5.8</v>
      </c>
      <c r="N7" s="62"/>
      <c r="O7" s="29"/>
      <c r="P7" s="29"/>
      <c r="V7" s="14">
        <f t="shared" si="8"/>
        <v>87</v>
      </c>
      <c r="W7" s="3">
        <f t="shared" si="9"/>
        <v>4.1154367189270733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11.060574685262038</v>
      </c>
      <c r="AC7" s="10">
        <f t="shared" si="4"/>
        <v>11.060574685262038</v>
      </c>
      <c r="AE7" s="12">
        <f t="shared" si="5"/>
        <v>10</v>
      </c>
      <c r="AF7" s="10">
        <f t="shared" si="6"/>
        <v>4.6205750081179371</v>
      </c>
      <c r="AG7" s="10">
        <f t="shared" si="7"/>
        <v>11.060574685262038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31.7</v>
      </c>
      <c r="E8" s="194"/>
      <c r="F8" s="195" t="s">
        <v>14</v>
      </c>
      <c r="G8" s="198">
        <f>F77</f>
        <v>41.5</v>
      </c>
      <c r="H8" s="191">
        <f>입력표!C40</f>
        <v>87</v>
      </c>
      <c r="I8" s="191"/>
      <c r="J8" s="183"/>
      <c r="K8" s="382">
        <f>입력표!M50</f>
        <v>9.8000000000000007</v>
      </c>
      <c r="L8" s="366">
        <f>G10-K11</f>
        <v>1.1186990987633045</v>
      </c>
      <c r="M8" s="13">
        <f t="shared" si="1"/>
        <v>-14.6</v>
      </c>
      <c r="N8" s="62"/>
      <c r="O8" s="29"/>
      <c r="P8" s="29"/>
      <c r="V8" s="14">
        <f t="shared" si="8"/>
        <v>87</v>
      </c>
      <c r="W8" s="3">
        <f t="shared" si="9"/>
        <v>4.1154367189270733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11.534545108688215</v>
      </c>
      <c r="AC8" s="10">
        <f t="shared" si="4"/>
        <v>11.534545108688215</v>
      </c>
      <c r="AE8" s="12">
        <f t="shared" si="5"/>
        <v>15</v>
      </c>
      <c r="AF8" s="10">
        <f t="shared" si="6"/>
        <v>5.0945454315441143</v>
      </c>
      <c r="AG8" s="10">
        <f t="shared" si="7"/>
        <v>11.534545108688215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48" t="s">
        <v>161</v>
      </c>
      <c r="E9" s="548"/>
      <c r="F9" s="180" t="s">
        <v>162</v>
      </c>
      <c r="G9" s="180" t="s">
        <v>163</v>
      </c>
      <c r="H9" s="381"/>
      <c r="I9" s="381"/>
      <c r="J9" s="381"/>
      <c r="K9" s="9">
        <f>G8-D8</f>
        <v>9.8000000000000007</v>
      </c>
      <c r="M9" s="13">
        <f t="shared" si="1"/>
        <v>-23.75</v>
      </c>
      <c r="N9" s="62"/>
      <c r="O9" s="29"/>
      <c r="P9" s="29"/>
      <c r="V9" s="14">
        <f t="shared" si="8"/>
        <v>87</v>
      </c>
      <c r="W9" s="3">
        <f t="shared" si="9"/>
        <v>4.1154367189270733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11.870832475875719</v>
      </c>
      <c r="AC9" s="10">
        <f t="shared" si="4"/>
        <v>11.870832475875719</v>
      </c>
      <c r="AE9" s="12">
        <f t="shared" si="5"/>
        <v>20</v>
      </c>
      <c r="AF9" s="10">
        <f t="shared" si="6"/>
        <v>5.4308327987316183</v>
      </c>
      <c r="AG9" s="10">
        <f t="shared" si="7"/>
        <v>11.870832475875719</v>
      </c>
    </row>
    <row r="10" spans="1:38" s="3" customFormat="1" ht="21" customHeight="1" x14ac:dyDescent="0.15">
      <c r="A10" s="54">
        <v>1</v>
      </c>
      <c r="B10" s="61">
        <f>입력표!C26</f>
        <v>87</v>
      </c>
      <c r="C10" s="55">
        <v>44347.444444444445</v>
      </c>
      <c r="D10" s="181">
        <v>1</v>
      </c>
      <c r="E10" s="249">
        <f>D10/1440</f>
        <v>6.9444444444444447E-4</v>
      </c>
      <c r="F10" s="182">
        <f>G10+D$8</f>
        <v>33.628956889376987</v>
      </c>
      <c r="G10" s="277">
        <f>AF2</f>
        <v>1.9289568893769857</v>
      </c>
      <c r="H10" s="380"/>
      <c r="I10" s="380"/>
      <c r="J10" s="380"/>
      <c r="K10" s="263">
        <f>K8-K9</f>
        <v>0</v>
      </c>
      <c r="L10" s="9">
        <f>K10+Q17</f>
        <v>0</v>
      </c>
      <c r="M10" s="13">
        <f t="shared" si="1"/>
        <v>-33.020000000000003</v>
      </c>
      <c r="N10" s="62"/>
      <c r="O10" s="29"/>
      <c r="P10" s="29"/>
      <c r="V10" s="14">
        <f t="shared" si="8"/>
        <v>87</v>
      </c>
      <c r="W10" s="3">
        <f t="shared" si="9"/>
        <v>4.1154367189270733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12.131677222775625</v>
      </c>
      <c r="AC10" s="10">
        <f t="shared" si="4"/>
        <v>12.131677222775625</v>
      </c>
      <c r="AE10" s="12">
        <f t="shared" si="5"/>
        <v>25</v>
      </c>
      <c r="AF10" s="10">
        <f t="shared" si="6"/>
        <v>5.6916775456315243</v>
      </c>
      <c r="AG10" s="10">
        <f t="shared" si="7"/>
        <v>12.131677222775625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34.43921467999067</v>
      </c>
      <c r="G11" s="182">
        <f>AF3</f>
        <v>2.7392146799906669</v>
      </c>
      <c r="H11" s="380"/>
      <c r="I11" s="380"/>
      <c r="J11" s="380"/>
      <c r="K11" s="63">
        <f>G11-G10</f>
        <v>0.81025779061368119</v>
      </c>
      <c r="L11" s="9" t="s">
        <v>18</v>
      </c>
      <c r="N11" s="62"/>
      <c r="O11" s="29"/>
      <c r="V11" s="14">
        <f t="shared" si="8"/>
        <v>87</v>
      </c>
      <c r="W11" s="3">
        <f t="shared" si="9"/>
        <v>4.1154367189270733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12.344802899301898</v>
      </c>
      <c r="AC11" s="10">
        <f t="shared" si="4"/>
        <v>12.344802899301898</v>
      </c>
      <c r="AE11" s="12">
        <f t="shared" si="5"/>
        <v>30</v>
      </c>
      <c r="AF11" s="10">
        <f t="shared" si="6"/>
        <v>5.9048032221577973</v>
      </c>
      <c r="AG11" s="10">
        <f t="shared" si="7"/>
        <v>12.344802899301898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34.913185103416843</v>
      </c>
      <c r="G12" s="182">
        <f t="shared" ref="G12:G74" si="15">AF4</f>
        <v>3.2131851034168442</v>
      </c>
      <c r="H12" s="380"/>
      <c r="I12" s="380"/>
      <c r="J12" s="380"/>
      <c r="K12" s="63">
        <f t="shared" ref="K12:K47" si="16">G12-G11</f>
        <v>0.47397042342617723</v>
      </c>
      <c r="L12" s="9" t="s">
        <v>18</v>
      </c>
      <c r="N12" s="62"/>
      <c r="O12" s="29"/>
      <c r="V12" s="14">
        <f t="shared" si="8"/>
        <v>87</v>
      </c>
      <c r="W12" s="3">
        <f t="shared" si="9"/>
        <v>4.1154367189270733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12.524998091263194</v>
      </c>
      <c r="AC12" s="10">
        <f t="shared" si="4"/>
        <v>12.524998091263194</v>
      </c>
      <c r="AE12" s="12">
        <f t="shared" si="5"/>
        <v>35</v>
      </c>
      <c r="AF12" s="10">
        <f t="shared" si="6"/>
        <v>6.0849984141190934</v>
      </c>
      <c r="AG12" s="10">
        <f t="shared" si="7"/>
        <v>12.524998091263194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35.249472470604346</v>
      </c>
      <c r="G13" s="182">
        <f t="shared" si="15"/>
        <v>3.5494724706043499</v>
      </c>
      <c r="H13" s="380"/>
      <c r="I13" s="380"/>
      <c r="J13" s="380"/>
      <c r="K13" s="63">
        <f t="shared" si="16"/>
        <v>0.33628736718750574</v>
      </c>
      <c r="L13" s="9" t="s">
        <v>18</v>
      </c>
      <c r="N13" s="62"/>
      <c r="O13" s="29"/>
      <c r="V13" s="14">
        <f t="shared" si="8"/>
        <v>87</v>
      </c>
      <c r="W13" s="3">
        <f t="shared" si="9"/>
        <v>4.1154367189270733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12.681090266489401</v>
      </c>
      <c r="AC13" s="10">
        <f t="shared" si="4"/>
        <v>12.681090266489401</v>
      </c>
      <c r="AE13" s="12">
        <f t="shared" si="5"/>
        <v>40</v>
      </c>
      <c r="AF13" s="10">
        <f t="shared" si="6"/>
        <v>6.2410905893452995</v>
      </c>
      <c r="AG13" s="10">
        <f t="shared" si="7"/>
        <v>12.681090266489401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35.510317217504252</v>
      </c>
      <c r="G14" s="182">
        <f t="shared" si="15"/>
        <v>3.8103172175042541</v>
      </c>
      <c r="H14" s="380"/>
      <c r="I14" s="380"/>
      <c r="J14" s="380"/>
      <c r="K14" s="63">
        <f t="shared" si="16"/>
        <v>0.26084474689990422</v>
      </c>
      <c r="L14" s="9" t="s">
        <v>18</v>
      </c>
      <c r="N14" s="62"/>
      <c r="O14" s="29"/>
      <c r="V14" s="14">
        <f t="shared" si="8"/>
        <v>87</v>
      </c>
      <c r="W14" s="3">
        <f t="shared" si="9"/>
        <v>4.1154367189270733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12.818773322728074</v>
      </c>
      <c r="AC14" s="10">
        <f t="shared" si="4"/>
        <v>12.818773322728074</v>
      </c>
      <c r="AE14" s="12">
        <f t="shared" si="5"/>
        <v>45</v>
      </c>
      <c r="AF14" s="10">
        <f t="shared" si="6"/>
        <v>6.3787736455839728</v>
      </c>
      <c r="AG14" s="10">
        <f t="shared" si="7"/>
        <v>12.818773322728074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36.320575008117935</v>
      </c>
      <c r="G15" s="182">
        <f t="shared" si="15"/>
        <v>4.6205750081179371</v>
      </c>
      <c r="H15" s="380"/>
      <c r="I15" s="380"/>
      <c r="J15" s="380"/>
      <c r="K15" s="63">
        <f t="shared" si="16"/>
        <v>0.81025779061368297</v>
      </c>
      <c r="L15" s="9" t="s">
        <v>18</v>
      </c>
      <c r="N15" s="68"/>
      <c r="O15" s="364"/>
      <c r="V15" s="14">
        <f t="shared" si="8"/>
        <v>87</v>
      </c>
      <c r="W15" s="3">
        <f t="shared" si="9"/>
        <v>4.1154367189270733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12.941935013389307</v>
      </c>
      <c r="AC15" s="10">
        <f t="shared" si="4"/>
        <v>12.941935013389307</v>
      </c>
      <c r="AE15" s="12">
        <f t="shared" si="5"/>
        <v>50</v>
      </c>
      <c r="AF15" s="10">
        <f t="shared" si="6"/>
        <v>6.5019353362452055</v>
      </c>
      <c r="AG15" s="10">
        <f t="shared" si="7"/>
        <v>12.941935013389307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36.794545431544115</v>
      </c>
      <c r="G16" s="182">
        <f t="shared" si="15"/>
        <v>5.0945454315441143</v>
      </c>
      <c r="H16" s="380"/>
      <c r="I16" s="380"/>
      <c r="J16" s="380"/>
      <c r="K16" s="63">
        <f t="shared" si="16"/>
        <v>0.47397042342617723</v>
      </c>
      <c r="L16" s="65"/>
      <c r="N16" s="66"/>
      <c r="O16" s="15"/>
      <c r="Q16" s="13"/>
      <c r="V16" s="14">
        <f t="shared" si="8"/>
        <v>87</v>
      </c>
      <c r="W16" s="3">
        <f t="shared" si="9"/>
        <v>4.1154367189270733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13.053348314744525</v>
      </c>
      <c r="AC16" s="10">
        <f t="shared" si="4"/>
        <v>13.053348314744525</v>
      </c>
      <c r="AE16" s="12">
        <f t="shared" si="5"/>
        <v>55</v>
      </c>
      <c r="AF16" s="10">
        <f t="shared" si="6"/>
        <v>6.5819386376004241</v>
      </c>
      <c r="AG16" s="10">
        <f t="shared" si="7"/>
        <v>13.053348314744525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37.130832798731618</v>
      </c>
      <c r="G17" s="182">
        <f t="shared" si="15"/>
        <v>5.4308327987316183</v>
      </c>
      <c r="H17" s="380"/>
      <c r="I17" s="380"/>
      <c r="J17" s="380"/>
      <c r="K17" s="63">
        <f t="shared" si="16"/>
        <v>0.33628736718750396</v>
      </c>
      <c r="L17" s="29">
        <f>D10</f>
        <v>1</v>
      </c>
      <c r="M17" s="3">
        <f>INT(B10/1440*10000)/10000</f>
        <v>6.0400000000000002E-2</v>
      </c>
      <c r="N17" s="3">
        <f>L17*M17</f>
        <v>6.0400000000000002E-2</v>
      </c>
      <c r="O17" s="3">
        <f>INT((D7/2/1000)^2*PI()*100000)/100000</f>
        <v>3.141E-2</v>
      </c>
      <c r="P17" s="3">
        <f>INT(N17/O17*100)/100</f>
        <v>1.92</v>
      </c>
      <c r="Q17" s="13">
        <f>INT((G10-P17)*100)/100</f>
        <v>0</v>
      </c>
      <c r="V17" s="14">
        <f t="shared" si="8"/>
        <v>87</v>
      </c>
      <c r="W17" s="3">
        <f t="shared" si="9"/>
        <v>4.1154367189270733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13.155060689915578</v>
      </c>
      <c r="AC17" s="10">
        <f t="shared" si="4"/>
        <v>13.155060689915578</v>
      </c>
      <c r="AE17" s="12">
        <f t="shared" si="5"/>
        <v>60</v>
      </c>
      <c r="AF17" s="10">
        <f t="shared" ref="AF17:AF48" si="17">AC17-$P$3</f>
        <v>6.7150610127714767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37.391677545631524</v>
      </c>
      <c r="G18" s="182">
        <f t="shared" si="15"/>
        <v>5.6916775456315243</v>
      </c>
      <c r="H18" s="380"/>
      <c r="I18" s="380"/>
      <c r="J18" s="380"/>
      <c r="K18" s="63">
        <f t="shared" si="16"/>
        <v>0.260844746899906</v>
      </c>
      <c r="L18" s="29">
        <f t="shared" ref="L18:L31" si="18">D11</f>
        <v>2</v>
      </c>
      <c r="M18" s="3">
        <f>M17</f>
        <v>6.0400000000000002E-2</v>
      </c>
      <c r="N18" s="3">
        <f t="shared" ref="N18:N27" si="19">L18*M18</f>
        <v>0.1208</v>
      </c>
      <c r="O18" s="3">
        <f>O17</f>
        <v>3.141E-2</v>
      </c>
      <c r="P18" s="3">
        <f>INT(N18/O18*100)/100</f>
        <v>3.84</v>
      </c>
      <c r="Q18" s="13">
        <f t="shared" ref="Q18:Q27" si="20">INT((G11-P18)*100)/100</f>
        <v>-1.1100000000000001</v>
      </c>
      <c r="V18" s="14">
        <f t="shared" si="8"/>
        <v>87</v>
      </c>
      <c r="W18" s="3">
        <f t="shared" si="9"/>
        <v>4.1154367189270733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13.415905436815486</v>
      </c>
      <c r="AC18" s="10">
        <f t="shared" si="4"/>
        <v>13.415905436815486</v>
      </c>
      <c r="AE18" s="12">
        <f t="shared" si="5"/>
        <v>75</v>
      </c>
      <c r="AF18" s="10">
        <f t="shared" si="17"/>
        <v>6.9759057596713845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37.604803222157798</v>
      </c>
      <c r="G19" s="182">
        <f t="shared" si="15"/>
        <v>5.9048032221577973</v>
      </c>
      <c r="H19" s="380"/>
      <c r="I19" s="380"/>
      <c r="J19" s="380"/>
      <c r="K19" s="63">
        <f t="shared" si="16"/>
        <v>0.21312567652627301</v>
      </c>
      <c r="L19" s="29">
        <f t="shared" si="18"/>
        <v>3</v>
      </c>
      <c r="M19" s="3">
        <f>M18</f>
        <v>6.0400000000000002E-2</v>
      </c>
      <c r="N19" s="3">
        <f t="shared" si="19"/>
        <v>0.1812</v>
      </c>
      <c r="O19" s="3">
        <f t="shared" ref="O19:O31" si="21">O18</f>
        <v>3.141E-2</v>
      </c>
      <c r="P19" s="3">
        <f>INT(N19/O19*100)/100</f>
        <v>5.76</v>
      </c>
      <c r="Q19" s="13">
        <f t="shared" si="20"/>
        <v>-2.5499999999999998</v>
      </c>
      <c r="V19" s="14">
        <f t="shared" si="8"/>
        <v>87</v>
      </c>
      <c r="W19" s="3">
        <f t="shared" si="9"/>
        <v>4.1154367189270733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13.629031113341755</v>
      </c>
      <c r="AC19" s="10">
        <f t="shared" si="4"/>
        <v>13.629031113341755</v>
      </c>
      <c r="AE19" s="12">
        <f t="shared" si="5"/>
        <v>90</v>
      </c>
      <c r="AF19" s="10">
        <f t="shared" si="17"/>
        <v>7.1890314361976539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37.784998414119094</v>
      </c>
      <c r="G20" s="182">
        <f t="shared" si="15"/>
        <v>6.0849984141190934</v>
      </c>
      <c r="H20" s="380"/>
      <c r="I20" s="380"/>
      <c r="J20" s="380"/>
      <c r="K20" s="63">
        <f t="shared" si="16"/>
        <v>0.18019519196129608</v>
      </c>
      <c r="L20" s="29">
        <f t="shared" si="18"/>
        <v>4</v>
      </c>
      <c r="M20" s="3">
        <f>M19</f>
        <v>6.0400000000000002E-2</v>
      </c>
      <c r="N20" s="3">
        <f t="shared" si="19"/>
        <v>0.24160000000000001</v>
      </c>
      <c r="O20" s="3">
        <f>O19</f>
        <v>3.141E-2</v>
      </c>
      <c r="P20" s="3">
        <f>INT(N20/O20*100)/100</f>
        <v>7.69</v>
      </c>
      <c r="Q20" s="13">
        <f t="shared" si="20"/>
        <v>-4.1500000000000004</v>
      </c>
      <c r="V20" s="14">
        <f t="shared" si="8"/>
        <v>87</v>
      </c>
      <c r="W20" s="3">
        <f t="shared" si="9"/>
        <v>4.1154367189270733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13.809226305303055</v>
      </c>
      <c r="AC20" s="10">
        <f t="shared" si="4"/>
        <v>13.809226305303055</v>
      </c>
      <c r="AE20" s="12">
        <f t="shared" si="5"/>
        <v>105</v>
      </c>
      <c r="AF20" s="10">
        <f t="shared" si="17"/>
        <v>7.3692266281589536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37.941090589345301</v>
      </c>
      <c r="G21" s="182">
        <f t="shared" si="15"/>
        <v>6.2410905893452995</v>
      </c>
      <c r="H21" s="380"/>
      <c r="I21" s="380"/>
      <c r="J21" s="380"/>
      <c r="K21" s="63">
        <f t="shared" si="16"/>
        <v>0.15609217522620611</v>
      </c>
      <c r="L21" s="29">
        <f t="shared" si="18"/>
        <v>5</v>
      </c>
      <c r="M21" s="3">
        <f>M20</f>
        <v>6.0400000000000002E-2</v>
      </c>
      <c r="N21" s="3">
        <f t="shared" si="19"/>
        <v>0.30199999999999999</v>
      </c>
      <c r="O21" s="3">
        <f t="shared" si="21"/>
        <v>3.141E-2</v>
      </c>
      <c r="P21" s="3">
        <f>INT(N21/O21*100)/100</f>
        <v>9.61</v>
      </c>
      <c r="Q21" s="13">
        <f t="shared" si="20"/>
        <v>-5.8</v>
      </c>
      <c r="V21" s="14">
        <f t="shared" si="8"/>
        <v>87</v>
      </c>
      <c r="W21" s="3">
        <f t="shared" si="9"/>
        <v>4.1154367189270733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13.965318480529259</v>
      </c>
      <c r="AC21" s="10">
        <f t="shared" si="4"/>
        <v>13.965318480529259</v>
      </c>
      <c r="AE21" s="12">
        <f t="shared" si="5"/>
        <v>120</v>
      </c>
      <c r="AF21" s="10">
        <f t="shared" si="17"/>
        <v>7.5253188033851579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38.078773645583972</v>
      </c>
      <c r="G22" s="182">
        <f t="shared" si="15"/>
        <v>6.3787736455839728</v>
      </c>
      <c r="H22" s="380"/>
      <c r="I22" s="380"/>
      <c r="J22" s="380"/>
      <c r="K22" s="63">
        <f t="shared" si="16"/>
        <v>0.13768305623867327</v>
      </c>
      <c r="L22" s="29">
        <f t="shared" si="18"/>
        <v>10</v>
      </c>
      <c r="M22" s="3">
        <f t="shared" ref="M22:M31" si="22">M21</f>
        <v>6.0400000000000002E-2</v>
      </c>
      <c r="N22" s="3">
        <f t="shared" si="19"/>
        <v>0.60399999999999998</v>
      </c>
      <c r="O22" s="3">
        <f t="shared" si="21"/>
        <v>3.141E-2</v>
      </c>
      <c r="P22" s="3">
        <f t="shared" ref="P22:P27" si="23">INT(N22/O22*100)/100</f>
        <v>19.22</v>
      </c>
      <c r="Q22" s="13">
        <f t="shared" si="20"/>
        <v>-14.6</v>
      </c>
      <c r="V22" s="14">
        <f t="shared" si="8"/>
        <v>87</v>
      </c>
      <c r="W22" s="3">
        <f t="shared" si="9"/>
        <v>4.1154367189270733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14.145513672490559</v>
      </c>
      <c r="AC22" s="10">
        <f t="shared" si="4"/>
        <v>14.145513672490559</v>
      </c>
      <c r="AE22" s="12">
        <f t="shared" si="5"/>
        <v>140</v>
      </c>
      <c r="AF22" s="10">
        <f t="shared" si="17"/>
        <v>7.7055139953464575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38.201935336245207</v>
      </c>
      <c r="G23" s="182">
        <f t="shared" si="15"/>
        <v>6.5019353362452055</v>
      </c>
      <c r="H23" s="380"/>
      <c r="I23" s="380"/>
      <c r="J23" s="380"/>
      <c r="K23" s="63">
        <f t="shared" si="16"/>
        <v>0.12316169066123273</v>
      </c>
      <c r="L23" s="29">
        <f t="shared" si="18"/>
        <v>15</v>
      </c>
      <c r="M23" s="3">
        <f t="shared" si="22"/>
        <v>6.0400000000000002E-2</v>
      </c>
      <c r="N23" s="3">
        <f t="shared" si="19"/>
        <v>0.90600000000000003</v>
      </c>
      <c r="O23" s="3">
        <f t="shared" si="21"/>
        <v>3.141E-2</v>
      </c>
      <c r="P23" s="3">
        <f t="shared" si="23"/>
        <v>28.84</v>
      </c>
      <c r="Q23" s="13">
        <f t="shared" si="20"/>
        <v>-23.75</v>
      </c>
      <c r="V23" s="14">
        <f t="shared" si="8"/>
        <v>87</v>
      </c>
      <c r="W23" s="3">
        <f t="shared" si="9"/>
        <v>4.1154367189270733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14.301605847716765</v>
      </c>
      <c r="AC23" s="10">
        <f t="shared" si="4"/>
        <v>14.301605847716765</v>
      </c>
      <c r="AE23" s="12">
        <f t="shared" si="5"/>
        <v>160</v>
      </c>
      <c r="AF23" s="10">
        <f t="shared" si="17"/>
        <v>7.8616061705726636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38.281938637600426</v>
      </c>
      <c r="G24" s="182">
        <f t="shared" si="15"/>
        <v>6.5819386376004241</v>
      </c>
      <c r="H24" s="380"/>
      <c r="I24" s="380"/>
      <c r="J24" s="380"/>
      <c r="K24" s="63">
        <f t="shared" si="16"/>
        <v>8.0003301355218603E-2</v>
      </c>
      <c r="L24" s="29">
        <f t="shared" si="18"/>
        <v>20</v>
      </c>
      <c r="M24" s="3">
        <f t="shared" si="22"/>
        <v>6.0400000000000002E-2</v>
      </c>
      <c r="N24" s="3">
        <f t="shared" si="19"/>
        <v>1.208</v>
      </c>
      <c r="O24" s="3">
        <f t="shared" si="21"/>
        <v>3.141E-2</v>
      </c>
      <c r="P24" s="3">
        <f t="shared" si="23"/>
        <v>38.450000000000003</v>
      </c>
      <c r="Q24" s="13">
        <f t="shared" si="20"/>
        <v>-33.020000000000003</v>
      </c>
      <c r="V24" s="14">
        <f t="shared" si="8"/>
        <v>87</v>
      </c>
      <c r="W24" s="3">
        <f t="shared" si="9"/>
        <v>4.1154367189270733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14.439288903955436</v>
      </c>
      <c r="AC24" s="10">
        <f t="shared" si="4"/>
        <v>14.439288903955436</v>
      </c>
      <c r="AE24" s="12">
        <f t="shared" si="5"/>
        <v>180</v>
      </c>
      <c r="AF24" s="10">
        <f t="shared" si="17"/>
        <v>7.9992892268113351</v>
      </c>
    </row>
    <row r="25" spans="1:32" s="3" customFormat="1" ht="21" customHeight="1" x14ac:dyDescent="0.15">
      <c r="A25" s="54"/>
      <c r="B25" s="54"/>
      <c r="C25" s="55">
        <f>$C$10+D25/1440</f>
        <v>44347.486111111109</v>
      </c>
      <c r="D25" s="181">
        <v>60</v>
      </c>
      <c r="E25" s="249">
        <f t="shared" si="13"/>
        <v>4.1666666666666664E-2</v>
      </c>
      <c r="F25" s="182">
        <f t="shared" si="14"/>
        <v>38.415061012771474</v>
      </c>
      <c r="G25" s="182">
        <f t="shared" si="15"/>
        <v>6.7150610127714767</v>
      </c>
      <c r="H25" s="380"/>
      <c r="I25" s="380"/>
      <c r="J25" s="380"/>
      <c r="K25" s="63">
        <f t="shared" si="16"/>
        <v>0.13312237517105263</v>
      </c>
      <c r="L25" s="29">
        <f t="shared" si="18"/>
        <v>25</v>
      </c>
      <c r="M25" s="3">
        <f t="shared" si="22"/>
        <v>6.0400000000000002E-2</v>
      </c>
      <c r="N25" s="3">
        <f t="shared" si="19"/>
        <v>1.51</v>
      </c>
      <c r="O25" s="3">
        <f t="shared" si="21"/>
        <v>3.141E-2</v>
      </c>
      <c r="P25" s="3">
        <f t="shared" si="23"/>
        <v>48.07</v>
      </c>
      <c r="Q25" s="13">
        <f t="shared" si="20"/>
        <v>-42.38</v>
      </c>
      <c r="V25" s="14">
        <f t="shared" si="8"/>
        <v>87</v>
      </c>
      <c r="W25" s="3">
        <f t="shared" si="9"/>
        <v>4.1154367189270733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14.77557627114294</v>
      </c>
      <c r="AC25" s="10">
        <f t="shared" si="4"/>
        <v>14.77557627114294</v>
      </c>
      <c r="AE25" s="12">
        <f t="shared" si="5"/>
        <v>240</v>
      </c>
      <c r="AF25" s="10">
        <f t="shared" si="17"/>
        <v>8.3355765939988391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38.67590575967138</v>
      </c>
      <c r="G26" s="182">
        <f t="shared" si="15"/>
        <v>6.9759057596713845</v>
      </c>
      <c r="H26" s="380"/>
      <c r="I26" s="380"/>
      <c r="J26" s="380"/>
      <c r="K26" s="63">
        <f t="shared" si="16"/>
        <v>0.26084474689990778</v>
      </c>
      <c r="L26" s="29">
        <f t="shared" si="18"/>
        <v>30</v>
      </c>
      <c r="M26" s="3">
        <f t="shared" si="22"/>
        <v>6.0400000000000002E-2</v>
      </c>
      <c r="N26" s="3">
        <f t="shared" si="19"/>
        <v>1.8120000000000001</v>
      </c>
      <c r="O26" s="3">
        <f t="shared" si="21"/>
        <v>3.141E-2</v>
      </c>
      <c r="P26" s="3">
        <f t="shared" si="23"/>
        <v>57.68</v>
      </c>
      <c r="Q26" s="13">
        <f t="shared" si="20"/>
        <v>-51.78</v>
      </c>
      <c r="V26" s="14">
        <f t="shared" si="8"/>
        <v>87</v>
      </c>
      <c r="W26" s="3">
        <f t="shared" si="9"/>
        <v>4.1154367189270733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15.036421018042848</v>
      </c>
      <c r="AC26" s="10">
        <f t="shared" si="4"/>
        <v>15.036421018042848</v>
      </c>
      <c r="AE26" s="12">
        <f t="shared" si="5"/>
        <v>300</v>
      </c>
      <c r="AF26" s="10">
        <f t="shared" si="17"/>
        <v>8.5964213408987469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38.889031436197655</v>
      </c>
      <c r="G27" s="182">
        <f t="shared" si="15"/>
        <v>7.1890314361976539</v>
      </c>
      <c r="H27" s="380"/>
      <c r="I27" s="380"/>
      <c r="J27" s="380"/>
      <c r="K27" s="63">
        <f t="shared" si="16"/>
        <v>0.21312567652626946</v>
      </c>
      <c r="L27" s="29">
        <f t="shared" si="18"/>
        <v>35</v>
      </c>
      <c r="M27" s="3">
        <f t="shared" si="22"/>
        <v>6.0400000000000002E-2</v>
      </c>
      <c r="N27" s="3">
        <f t="shared" si="19"/>
        <v>2.1139999999999999</v>
      </c>
      <c r="O27" s="3">
        <f t="shared" si="21"/>
        <v>3.141E-2</v>
      </c>
      <c r="P27" s="3">
        <f t="shared" si="23"/>
        <v>67.3</v>
      </c>
      <c r="Q27" s="13">
        <f t="shared" si="20"/>
        <v>-61.22</v>
      </c>
      <c r="V27" s="14">
        <f t="shared" si="8"/>
        <v>87</v>
      </c>
      <c r="W27" s="3">
        <f t="shared" si="9"/>
        <v>4.1154367189270733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15.249546694569119</v>
      </c>
      <c r="AC27" s="10">
        <f t="shared" si="4"/>
        <v>15.249546694569119</v>
      </c>
      <c r="AE27" s="12">
        <f t="shared" si="5"/>
        <v>360</v>
      </c>
      <c r="AF27" s="10">
        <f t="shared" si="17"/>
        <v>8.8095470174250181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39.069226628158951</v>
      </c>
      <c r="G28" s="182">
        <f t="shared" si="15"/>
        <v>7.3692266281589536</v>
      </c>
      <c r="H28" s="380"/>
      <c r="I28" s="380"/>
      <c r="J28" s="380"/>
      <c r="K28" s="63">
        <f t="shared" si="16"/>
        <v>0.18019519196129963</v>
      </c>
      <c r="L28" s="29">
        <f t="shared" si="18"/>
        <v>40</v>
      </c>
      <c r="M28" s="3">
        <f t="shared" si="22"/>
        <v>6.0400000000000002E-2</v>
      </c>
      <c r="N28" s="3">
        <f>L28*M28</f>
        <v>2.4159999999999999</v>
      </c>
      <c r="O28" s="3">
        <f t="shared" si="21"/>
        <v>3.141E-2</v>
      </c>
      <c r="P28" s="3">
        <f>INT(N28/O28*100)/100</f>
        <v>76.91</v>
      </c>
      <c r="Q28" s="13">
        <f>INT((G21-P28)*100)/100</f>
        <v>-70.67</v>
      </c>
      <c r="V28" s="14">
        <f t="shared" si="8"/>
        <v>87</v>
      </c>
      <c r="W28" s="3">
        <f t="shared" si="9"/>
        <v>4.1154367189270733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15.429741886530419</v>
      </c>
      <c r="AC28" s="10">
        <f t="shared" si="4"/>
        <v>15.429741886530419</v>
      </c>
      <c r="AE28" s="12">
        <f t="shared" si="5"/>
        <v>420</v>
      </c>
      <c r="AF28" s="10">
        <f t="shared" si="17"/>
        <v>8.9897422093863177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39.225318803385157</v>
      </c>
      <c r="G29" s="182">
        <f t="shared" si="15"/>
        <v>7.5253188033851579</v>
      </c>
      <c r="H29" s="380"/>
      <c r="I29" s="380"/>
      <c r="J29" s="380"/>
      <c r="K29" s="63">
        <f t="shared" si="16"/>
        <v>0.15609217522620433</v>
      </c>
      <c r="L29" s="29">
        <f t="shared" si="18"/>
        <v>45</v>
      </c>
      <c r="M29" s="3">
        <f t="shared" si="22"/>
        <v>6.0400000000000002E-2</v>
      </c>
      <c r="N29" s="3">
        <f>L29*M29</f>
        <v>2.718</v>
      </c>
      <c r="O29" s="3">
        <f t="shared" si="21"/>
        <v>3.141E-2</v>
      </c>
      <c r="P29" s="3">
        <f>INT(N29/O29*100)/100</f>
        <v>86.53</v>
      </c>
      <c r="Q29" s="13">
        <f>INT((G22-P29)*100)/100</f>
        <v>-80.16</v>
      </c>
      <c r="V29" s="14">
        <f t="shared" si="8"/>
        <v>87</v>
      </c>
      <c r="W29" s="3">
        <f t="shared" si="9"/>
        <v>4.1154367189270733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15.585834061756621</v>
      </c>
      <c r="AC29" s="10">
        <f t="shared" si="4"/>
        <v>15.585834061756621</v>
      </c>
      <c r="AE29" s="12">
        <f t="shared" si="5"/>
        <v>480</v>
      </c>
      <c r="AF29" s="10">
        <f t="shared" si="17"/>
        <v>9.1458343846125203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39.405513995346453</v>
      </c>
      <c r="G30" s="182">
        <f t="shared" si="15"/>
        <v>7.7055139953464575</v>
      </c>
      <c r="H30" s="380"/>
      <c r="I30" s="380"/>
      <c r="J30" s="380"/>
      <c r="K30" s="63">
        <f t="shared" si="16"/>
        <v>0.18019519196129963</v>
      </c>
      <c r="L30" s="29">
        <f t="shared" si="18"/>
        <v>50</v>
      </c>
      <c r="M30" s="3">
        <f t="shared" si="22"/>
        <v>6.0400000000000002E-2</v>
      </c>
      <c r="N30" s="3">
        <f>L30*M30</f>
        <v>3.02</v>
      </c>
      <c r="O30" s="3">
        <f t="shared" si="21"/>
        <v>3.141E-2</v>
      </c>
      <c r="P30" s="3">
        <f>INT(N30/O30*100)/100</f>
        <v>96.14</v>
      </c>
      <c r="Q30" s="13">
        <f>INT((G23-P30)*100)/100</f>
        <v>-89.64</v>
      </c>
      <c r="V30" s="14">
        <f t="shared" si="8"/>
        <v>87</v>
      </c>
      <c r="W30" s="3">
        <f t="shared" si="9"/>
        <v>4.1154367189270733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15.723517117995296</v>
      </c>
      <c r="AC30" s="10">
        <f t="shared" si="4"/>
        <v>15.723517117995296</v>
      </c>
      <c r="AE30" s="12">
        <f t="shared" si="5"/>
        <v>540</v>
      </c>
      <c r="AF30" s="10">
        <f t="shared" si="17"/>
        <v>9.2835174408511953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39.561606170572659</v>
      </c>
      <c r="G31" s="182">
        <f t="shared" si="15"/>
        <v>7.8616061705726636</v>
      </c>
      <c r="H31" s="380"/>
      <c r="I31" s="380"/>
      <c r="J31" s="380"/>
      <c r="K31" s="63">
        <f t="shared" si="16"/>
        <v>0.15609217522620611</v>
      </c>
      <c r="L31" s="29">
        <f t="shared" si="18"/>
        <v>55</v>
      </c>
      <c r="M31" s="3">
        <f t="shared" si="22"/>
        <v>6.0400000000000002E-2</v>
      </c>
      <c r="N31" s="3">
        <f>L31*M31</f>
        <v>3.3220000000000001</v>
      </c>
      <c r="O31" s="3">
        <f t="shared" si="21"/>
        <v>3.141E-2</v>
      </c>
      <c r="P31" s="3">
        <f>INT(N31/O31*100)/100</f>
        <v>105.76</v>
      </c>
      <c r="Q31" s="13">
        <f>INT((G24-P31)*100)/100</f>
        <v>-99.18</v>
      </c>
      <c r="V31" s="14">
        <f t="shared" si="8"/>
        <v>87</v>
      </c>
      <c r="W31" s="3">
        <f t="shared" si="9"/>
        <v>4.1154367189270733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15.846678808656529</v>
      </c>
      <c r="AC31" s="10">
        <f t="shared" si="4"/>
        <v>15.846678808656529</v>
      </c>
      <c r="AE31" s="12">
        <f t="shared" si="5"/>
        <v>600</v>
      </c>
      <c r="AF31" s="10">
        <f t="shared" si="17"/>
        <v>9.4066791315124281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39.699289226811331</v>
      </c>
      <c r="G32" s="182">
        <f t="shared" si="15"/>
        <v>7.9992892268113351</v>
      </c>
      <c r="H32" s="380"/>
      <c r="I32" s="380"/>
      <c r="J32" s="380"/>
      <c r="K32" s="63">
        <f t="shared" si="16"/>
        <v>0.1376830562386715</v>
      </c>
      <c r="L32" s="65" t="s">
        <v>18</v>
      </c>
      <c r="O32" s="67"/>
      <c r="V32" s="14">
        <f t="shared" si="8"/>
        <v>87</v>
      </c>
      <c r="W32" s="3">
        <f t="shared" si="9"/>
        <v>4.1154367189270733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15.958092110011746</v>
      </c>
      <c r="AC32" s="10">
        <f t="shared" si="4"/>
        <v>15.958092110011746</v>
      </c>
      <c r="AE32" s="12">
        <f t="shared" si="5"/>
        <v>660</v>
      </c>
      <c r="AF32" s="10">
        <f t="shared" si="17"/>
        <v>9.5180924328676451</v>
      </c>
    </row>
    <row r="33" spans="1:32" s="3" customFormat="1" ht="21" customHeight="1" x14ac:dyDescent="0.15">
      <c r="A33" s="54"/>
      <c r="B33" s="54"/>
      <c r="C33" s="55">
        <f>$C$10+D33/1440</f>
        <v>44347.611111111109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40.03557659399884</v>
      </c>
      <c r="G33" s="182">
        <f t="shared" si="15"/>
        <v>8.3355765939988391</v>
      </c>
      <c r="H33" s="380"/>
      <c r="I33" s="380"/>
      <c r="J33" s="380"/>
      <c r="K33" s="63">
        <f t="shared" si="16"/>
        <v>0.33628736718750396</v>
      </c>
      <c r="L33" s="9" t="s">
        <v>18</v>
      </c>
      <c r="O33" s="67"/>
      <c r="V33" s="14">
        <f t="shared" si="8"/>
        <v>87</v>
      </c>
      <c r="W33" s="3">
        <f t="shared" si="9"/>
        <v>4.1154367189270733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16.059804485182802</v>
      </c>
      <c r="AC33" s="10">
        <f t="shared" si="4"/>
        <v>16.059804485182802</v>
      </c>
      <c r="AE33" s="12">
        <f t="shared" si="5"/>
        <v>720</v>
      </c>
      <c r="AF33" s="10">
        <f t="shared" si="17"/>
        <v>9.6198048080387011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40.296421340898746</v>
      </c>
      <c r="G34" s="182">
        <f t="shared" si="15"/>
        <v>8.5964213408987469</v>
      </c>
      <c r="H34" s="380"/>
      <c r="I34" s="380"/>
      <c r="J34" s="380"/>
      <c r="K34" s="63">
        <f t="shared" si="16"/>
        <v>0.26084474689990778</v>
      </c>
      <c r="L34" s="9" t="s">
        <v>18</v>
      </c>
      <c r="P34" s="67"/>
      <c r="V34" s="14">
        <f t="shared" si="8"/>
        <v>87</v>
      </c>
      <c r="W34" s="3">
        <f t="shared" si="9"/>
        <v>4.1154367189270733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16.153370800235692</v>
      </c>
      <c r="AC34" s="10">
        <f t="shared" si="4"/>
        <v>16.153370800235692</v>
      </c>
      <c r="AE34" s="12">
        <f t="shared" si="5"/>
        <v>780</v>
      </c>
      <c r="AF34" s="10">
        <f t="shared" si="17"/>
        <v>9.7133711230915907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40.509547017425021</v>
      </c>
      <c r="G35" s="182">
        <f t="shared" si="15"/>
        <v>8.8095470174250181</v>
      </c>
      <c r="H35" s="380"/>
      <c r="I35" s="380"/>
      <c r="J35" s="380"/>
      <c r="K35" s="63">
        <f t="shared" si="16"/>
        <v>0.21312567652627123</v>
      </c>
      <c r="L35" s="9" t="s">
        <v>18</v>
      </c>
      <c r="O35" s="67"/>
      <c r="V35" s="14">
        <f t="shared" si="8"/>
        <v>87</v>
      </c>
      <c r="W35" s="3">
        <f t="shared" si="9"/>
        <v>4.1154367189270733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16.239999677144098</v>
      </c>
      <c r="AC35" s="10">
        <f t="shared" si="4"/>
        <v>16.239999677144098</v>
      </c>
      <c r="AE35" s="12">
        <f t="shared" si="5"/>
        <v>840</v>
      </c>
      <c r="AF35" s="10">
        <f t="shared" si="17"/>
        <v>9.7999999999999972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40.689742209386317</v>
      </c>
      <c r="G36" s="182">
        <f t="shared" si="15"/>
        <v>8.9897422093863177</v>
      </c>
      <c r="H36" s="380"/>
      <c r="I36" s="380"/>
      <c r="J36" s="380"/>
      <c r="K36" s="63">
        <f t="shared" si="16"/>
        <v>0.18019519196129963</v>
      </c>
      <c r="L36" s="9" t="s">
        <v>18</v>
      </c>
      <c r="V36" s="14">
        <f t="shared" si="8"/>
        <v>87</v>
      </c>
      <c r="W36" s="3">
        <f t="shared" si="9"/>
        <v>4.1154367189270733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16.239999677144098</v>
      </c>
      <c r="AC36" s="10">
        <f t="shared" ref="AC36:AC38" si="27">AC35</f>
        <v>16.239999677144098</v>
      </c>
      <c r="AE36" s="12">
        <f t="shared" si="5"/>
        <v>900</v>
      </c>
      <c r="AF36" s="10">
        <f t="shared" si="17"/>
        <v>9.7999999999999972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40.845834384612516</v>
      </c>
      <c r="G37" s="182">
        <f t="shared" si="15"/>
        <v>9.1458343846125203</v>
      </c>
      <c r="H37" s="380"/>
      <c r="I37" s="380"/>
      <c r="J37" s="380"/>
      <c r="K37" s="63">
        <f t="shared" si="16"/>
        <v>0.15609217522620256</v>
      </c>
      <c r="L37" s="9" t="s">
        <v>18</v>
      </c>
      <c r="V37" s="14">
        <f t="shared" si="8"/>
        <v>87</v>
      </c>
      <c r="W37" s="3">
        <f t="shared" si="9"/>
        <v>4.1154367189270733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16.239999677144098</v>
      </c>
      <c r="AC37" s="10">
        <f t="shared" si="27"/>
        <v>16.239999677144098</v>
      </c>
      <c r="AD37" s="3">
        <v>37</v>
      </c>
      <c r="AE37" s="12">
        <f t="shared" si="5"/>
        <v>960</v>
      </c>
      <c r="AF37" s="10">
        <f t="shared" si="17"/>
        <v>9.7999999999999972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40.983517440851195</v>
      </c>
      <c r="G38" s="182">
        <f t="shared" si="15"/>
        <v>9.2835174408511953</v>
      </c>
      <c r="H38" s="380"/>
      <c r="I38" s="380"/>
      <c r="J38" s="380"/>
      <c r="K38" s="63">
        <f t="shared" si="16"/>
        <v>0.13768305623867505</v>
      </c>
      <c r="L38" s="9" t="s">
        <v>18</v>
      </c>
      <c r="V38" s="14">
        <f t="shared" si="8"/>
        <v>87</v>
      </c>
      <c r="W38" s="3">
        <f t="shared" si="9"/>
        <v>4.1154367189270733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16.239999677144098</v>
      </c>
      <c r="AC38" s="10">
        <f t="shared" si="27"/>
        <v>16.239999677144098</v>
      </c>
      <c r="AD38" s="29" t="s">
        <v>28</v>
      </c>
      <c r="AE38" s="12">
        <f t="shared" si="5"/>
        <v>1020</v>
      </c>
      <c r="AF38" s="10">
        <f t="shared" si="17"/>
        <v>9.7999999999999972</v>
      </c>
    </row>
    <row r="39" spans="1:32" s="3" customFormat="1" ht="21" customHeight="1" x14ac:dyDescent="0.15">
      <c r="A39" s="54"/>
      <c r="B39" s="54"/>
      <c r="C39" s="55">
        <f>$C$10+D39/1440</f>
        <v>44347.861111111109</v>
      </c>
      <c r="D39" s="181">
        <f t="shared" si="25"/>
        <v>600</v>
      </c>
      <c r="E39" s="249">
        <f t="shared" si="24"/>
        <v>0.41666666666666669</v>
      </c>
      <c r="F39" s="182">
        <f t="shared" si="14"/>
        <v>41.106679131512429</v>
      </c>
      <c r="G39" s="182">
        <f t="shared" si="15"/>
        <v>9.4066791315124281</v>
      </c>
      <c r="H39" s="380"/>
      <c r="I39" s="380"/>
      <c r="J39" s="380"/>
      <c r="K39" s="63">
        <f t="shared" si="16"/>
        <v>0.12316169066123273</v>
      </c>
      <c r="L39" s="9" t="s">
        <v>18</v>
      </c>
      <c r="V39" s="14">
        <f t="shared" si="8"/>
        <v>87</v>
      </c>
      <c r="W39" s="3">
        <f t="shared" si="9"/>
        <v>4.1154367189270733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16.239999677144098</v>
      </c>
      <c r="AC39" s="10">
        <f t="shared" ref="AC39:AC41" si="28">AC38</f>
        <v>16.239999677144098</v>
      </c>
      <c r="AD39" s="355">
        <v>39</v>
      </c>
      <c r="AE39" s="12">
        <f t="shared" si="5"/>
        <v>1080</v>
      </c>
      <c r="AF39" s="10">
        <f t="shared" si="17"/>
        <v>9.7999999999999972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41.218092432867643</v>
      </c>
      <c r="G40" s="182">
        <f t="shared" si="15"/>
        <v>9.5180924328676451</v>
      </c>
      <c r="H40" s="380"/>
      <c r="I40" s="380"/>
      <c r="J40" s="380"/>
      <c r="K40" s="63">
        <f t="shared" si="16"/>
        <v>0.11141330135521699</v>
      </c>
      <c r="L40" s="9" t="s">
        <v>18</v>
      </c>
      <c r="V40" s="14">
        <f t="shared" si="8"/>
        <v>87</v>
      </c>
      <c r="W40" s="3">
        <f t="shared" si="9"/>
        <v>4.1154367189270733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16.239999677144098</v>
      </c>
      <c r="AC40" s="10">
        <f t="shared" si="28"/>
        <v>16.239999677144098</v>
      </c>
      <c r="AD40" s="355">
        <v>40</v>
      </c>
      <c r="AE40" s="12">
        <f t="shared" si="5"/>
        <v>1140</v>
      </c>
      <c r="AF40" s="10">
        <f t="shared" si="17"/>
        <v>9.7999999999999972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41.319804808038697</v>
      </c>
      <c r="G41" s="182">
        <f t="shared" si="15"/>
        <v>9.6198048080387011</v>
      </c>
      <c r="H41" s="380"/>
      <c r="I41" s="380"/>
      <c r="J41" s="380"/>
      <c r="K41" s="63">
        <f t="shared" si="16"/>
        <v>0.10171237517105602</v>
      </c>
      <c r="L41" s="9" t="s">
        <v>18</v>
      </c>
      <c r="V41" s="352">
        <f t="shared" si="8"/>
        <v>87</v>
      </c>
      <c r="W41" s="351">
        <f t="shared" si="9"/>
        <v>4.1154367189270733</v>
      </c>
      <c r="X41" s="351">
        <f t="shared" si="10"/>
        <v>0.1</v>
      </c>
      <c r="Y41" s="351">
        <f t="shared" si="11"/>
        <v>5.0000000000000001E-4</v>
      </c>
      <c r="Z41" s="351">
        <f t="shared" si="2"/>
        <v>0.83333333333333337</v>
      </c>
      <c r="AA41" s="353">
        <f t="shared" si="12"/>
        <v>1200</v>
      </c>
      <c r="AB41" s="354">
        <f t="shared" si="26"/>
        <v>16.239999677144098</v>
      </c>
      <c r="AC41" s="10">
        <f t="shared" si="28"/>
        <v>16.239999677144098</v>
      </c>
      <c r="AD41" s="356">
        <v>41</v>
      </c>
      <c r="AE41" s="12">
        <f t="shared" si="5"/>
        <v>1200</v>
      </c>
      <c r="AF41" s="10">
        <f t="shared" si="17"/>
        <v>9.7999999999999972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41.413371123091594</v>
      </c>
      <c r="G42" s="182">
        <f t="shared" si="15"/>
        <v>9.7133711230915907</v>
      </c>
      <c r="H42" s="380"/>
      <c r="I42" s="380"/>
      <c r="J42" s="380"/>
      <c r="K42" s="63">
        <f t="shared" si="16"/>
        <v>9.3566315052889593E-2</v>
      </c>
      <c r="L42" s="9" t="s">
        <v>18</v>
      </c>
      <c r="V42" s="14">
        <f t="shared" si="8"/>
        <v>87</v>
      </c>
      <c r="W42" s="3">
        <f t="shared" si="9"/>
        <v>4.1154367189270733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16.239999677144098</v>
      </c>
      <c r="AC42" s="10">
        <f t="shared" ref="AC42:AC46" si="30">AC41</f>
        <v>16.239999677144098</v>
      </c>
      <c r="AD42" s="355">
        <v>42</v>
      </c>
      <c r="AE42" s="12">
        <f t="shared" si="5"/>
        <v>1260</v>
      </c>
      <c r="AF42" s="10">
        <f t="shared" si="17"/>
        <v>9.7999999999999972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41.5</v>
      </c>
      <c r="G43" s="182">
        <f t="shared" si="15"/>
        <v>9.7999999999999972</v>
      </c>
      <c r="H43" s="380"/>
      <c r="I43" s="380"/>
      <c r="J43" s="380"/>
      <c r="K43" s="63">
        <f t="shared" si="16"/>
        <v>8.6628876908406482E-2</v>
      </c>
      <c r="L43" s="9" t="s">
        <v>18</v>
      </c>
      <c r="V43" s="352">
        <f t="shared" si="8"/>
        <v>87</v>
      </c>
      <c r="W43" s="351">
        <f t="shared" si="9"/>
        <v>4.1154367189270733</v>
      </c>
      <c r="X43" s="351">
        <f t="shared" si="10"/>
        <v>0.1</v>
      </c>
      <c r="Y43" s="351">
        <f t="shared" si="11"/>
        <v>5.0000000000000001E-4</v>
      </c>
      <c r="Z43" s="351">
        <f t="shared" si="2"/>
        <v>0.91666666666666663</v>
      </c>
      <c r="AA43" s="353">
        <f t="shared" si="29"/>
        <v>1320</v>
      </c>
      <c r="AB43" s="354">
        <f t="shared" si="26"/>
        <v>16.239999677144098</v>
      </c>
      <c r="AC43" s="10">
        <f t="shared" si="30"/>
        <v>16.239999677144098</v>
      </c>
      <c r="AD43" s="356">
        <v>43</v>
      </c>
      <c r="AE43" s="12">
        <f t="shared" si="5"/>
        <v>1320</v>
      </c>
      <c r="AF43" s="10">
        <f t="shared" si="17"/>
        <v>9.7999999999999972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41.5</v>
      </c>
      <c r="G44" s="182">
        <f t="shared" si="15"/>
        <v>9.7999999999999972</v>
      </c>
      <c r="H44" s="380"/>
      <c r="I44" s="380"/>
      <c r="J44" s="380"/>
      <c r="K44" s="63">
        <f t="shared" si="16"/>
        <v>0</v>
      </c>
      <c r="L44" s="9" t="s">
        <v>18</v>
      </c>
      <c r="V44" s="14">
        <f t="shared" si="8"/>
        <v>87</v>
      </c>
      <c r="W44" s="3">
        <f t="shared" si="9"/>
        <v>4.1154367189270733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16.239999677144098</v>
      </c>
      <c r="AC44" s="10">
        <f t="shared" si="30"/>
        <v>16.239999677144098</v>
      </c>
      <c r="AD44" s="355">
        <v>44</v>
      </c>
      <c r="AE44" s="12">
        <f t="shared" si="5"/>
        <v>1380</v>
      </c>
      <c r="AF44" s="10">
        <f t="shared" si="17"/>
        <v>9.7999999999999972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44348.111111111109</v>
      </c>
      <c r="D45" s="181">
        <f t="shared" si="25"/>
        <v>960</v>
      </c>
      <c r="E45" s="249">
        <f t="shared" si="31"/>
        <v>0.66666666666666663</v>
      </c>
      <c r="F45" s="182">
        <f t="shared" si="14"/>
        <v>41.5</v>
      </c>
      <c r="G45" s="182">
        <f t="shared" si="15"/>
        <v>9.7999999999999972</v>
      </c>
      <c r="H45" s="380"/>
      <c r="I45" s="380"/>
      <c r="J45" s="380"/>
      <c r="K45" s="63">
        <f t="shared" si="16"/>
        <v>0</v>
      </c>
      <c r="L45" s="9" t="s">
        <v>18</v>
      </c>
      <c r="V45" s="352">
        <f t="shared" si="8"/>
        <v>87</v>
      </c>
      <c r="W45" s="351">
        <f t="shared" si="9"/>
        <v>4.1154367189270733</v>
      </c>
      <c r="X45" s="351">
        <f t="shared" si="10"/>
        <v>0.1</v>
      </c>
      <c r="Y45" s="351">
        <f t="shared" si="11"/>
        <v>5.0000000000000001E-4</v>
      </c>
      <c r="Z45" s="351">
        <f t="shared" si="2"/>
        <v>1</v>
      </c>
      <c r="AA45" s="353">
        <f t="shared" si="29"/>
        <v>1440</v>
      </c>
      <c r="AB45" s="354">
        <f t="shared" si="26"/>
        <v>16.239999677144098</v>
      </c>
      <c r="AC45" s="10">
        <f t="shared" si="30"/>
        <v>16.239999677144098</v>
      </c>
      <c r="AD45" s="356">
        <v>45</v>
      </c>
      <c r="AE45" s="12">
        <f t="shared" si="5"/>
        <v>1440</v>
      </c>
      <c r="AF45" s="10">
        <f t="shared" si="17"/>
        <v>9.7999999999999972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41.5</v>
      </c>
      <c r="G46" s="182">
        <f t="shared" si="15"/>
        <v>9.7999999999999972</v>
      </c>
      <c r="H46" s="380"/>
      <c r="I46" s="380"/>
      <c r="J46" s="380"/>
      <c r="K46" s="63">
        <f t="shared" si="16"/>
        <v>0</v>
      </c>
      <c r="L46" s="9" t="s">
        <v>18</v>
      </c>
      <c r="V46" s="14">
        <f t="shared" si="8"/>
        <v>87</v>
      </c>
      <c r="W46" s="3">
        <f t="shared" si="9"/>
        <v>4.1154367189270733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18">
        <f t="shared" si="29"/>
        <v>1500</v>
      </c>
      <c r="AB46" s="319">
        <f t="shared" si="26"/>
        <v>16.239999677144098</v>
      </c>
      <c r="AC46" s="10">
        <f t="shared" si="30"/>
        <v>16.239999677144098</v>
      </c>
      <c r="AD46" s="355">
        <v>46</v>
      </c>
      <c r="AE46" s="318">
        <f t="shared" si="5"/>
        <v>1500</v>
      </c>
      <c r="AF46" s="320">
        <f t="shared" si="17"/>
        <v>9.7999999999999972</v>
      </c>
    </row>
    <row r="47" spans="1:32" s="3" customFormat="1" ht="21" customHeight="1" x14ac:dyDescent="0.15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41.5</v>
      </c>
      <c r="G47" s="182">
        <f t="shared" si="15"/>
        <v>9.7999999999999972</v>
      </c>
      <c r="H47" s="380"/>
      <c r="I47" s="380"/>
      <c r="J47" s="380"/>
      <c r="K47" s="63">
        <f t="shared" si="16"/>
        <v>0</v>
      </c>
      <c r="L47" s="9" t="s">
        <v>18</v>
      </c>
      <c r="V47" s="14">
        <f t="shared" si="8"/>
        <v>87</v>
      </c>
      <c r="W47" s="3">
        <f t="shared" si="9"/>
        <v>4.1154367189270733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16.239999677144098</v>
      </c>
      <c r="AC47" s="10">
        <f t="shared" ref="AC47" si="33">AC46</f>
        <v>16.239999677144098</v>
      </c>
      <c r="AE47" s="12">
        <f t="shared" si="5"/>
        <v>1560</v>
      </c>
      <c r="AF47" s="10">
        <f t="shared" si="17"/>
        <v>9.7999999999999972</v>
      </c>
    </row>
    <row r="48" spans="1:32" s="3" customFormat="1" ht="21" customHeight="1" x14ac:dyDescent="0.15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41.5</v>
      </c>
      <c r="G48" s="182">
        <f t="shared" si="15"/>
        <v>9.7999999999999972</v>
      </c>
      <c r="H48" s="380"/>
      <c r="I48" s="380"/>
      <c r="J48" s="380"/>
      <c r="K48" s="3" t="s">
        <v>18</v>
      </c>
      <c r="L48" s="9" t="s">
        <v>18</v>
      </c>
      <c r="V48" s="14">
        <f t="shared" si="8"/>
        <v>87</v>
      </c>
      <c r="W48" s="3">
        <f t="shared" si="9"/>
        <v>4.1154367189270733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16.239999677144098</v>
      </c>
      <c r="AC48" s="10">
        <f t="shared" ref="AC48:AC52" si="34">AC47</f>
        <v>16.239999677144098</v>
      </c>
      <c r="AE48" s="12">
        <f t="shared" si="5"/>
        <v>1620</v>
      </c>
      <c r="AF48" s="10">
        <f t="shared" si="17"/>
        <v>9.7999999999999972</v>
      </c>
    </row>
    <row r="49" spans="1:32" s="3" customFormat="1" ht="21" customHeight="1" x14ac:dyDescent="0.15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41.5</v>
      </c>
      <c r="G49" s="182">
        <f t="shared" si="15"/>
        <v>9.7999999999999972</v>
      </c>
      <c r="H49" s="380"/>
      <c r="I49" s="380"/>
      <c r="J49" s="380"/>
      <c r="K49" s="3" t="s">
        <v>18</v>
      </c>
      <c r="L49" s="9" t="s">
        <v>18</v>
      </c>
      <c r="V49" s="14">
        <f t="shared" si="8"/>
        <v>87</v>
      </c>
      <c r="W49" s="3">
        <f t="shared" si="9"/>
        <v>4.1154367189270733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16.239999677144098</v>
      </c>
      <c r="AC49" s="10">
        <f t="shared" si="34"/>
        <v>16.239999677144098</v>
      </c>
      <c r="AE49" s="12">
        <f t="shared" si="5"/>
        <v>1680</v>
      </c>
      <c r="AF49" s="10">
        <f t="shared" ref="AF49:AF69" si="35">AC49-$P$3</f>
        <v>9.7999999999999972</v>
      </c>
    </row>
    <row r="50" spans="1:32" s="3" customFormat="1" ht="21" customHeight="1" x14ac:dyDescent="0.15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41.5</v>
      </c>
      <c r="G50" s="182">
        <f t="shared" si="15"/>
        <v>9.7999999999999972</v>
      </c>
      <c r="H50" s="380"/>
      <c r="I50" s="380"/>
      <c r="J50" s="380"/>
      <c r="K50" s="3" t="s">
        <v>18</v>
      </c>
      <c r="L50" s="9" t="s">
        <v>18</v>
      </c>
      <c r="V50" s="14">
        <f t="shared" si="8"/>
        <v>87</v>
      </c>
      <c r="W50" s="3">
        <f t="shared" si="9"/>
        <v>4.1154367189270733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16.239999677144098</v>
      </c>
      <c r="AC50" s="10">
        <f t="shared" si="34"/>
        <v>16.239999677144098</v>
      </c>
      <c r="AE50" s="12">
        <f t="shared" si="5"/>
        <v>1740</v>
      </c>
      <c r="AF50" s="10">
        <f t="shared" si="35"/>
        <v>9.7999999999999972</v>
      </c>
    </row>
    <row r="51" spans="1:32" s="3" customFormat="1" ht="21" customHeight="1" x14ac:dyDescent="0.15">
      <c r="A51" s="54"/>
      <c r="B51" s="54"/>
      <c r="C51" s="55">
        <f>$C$10+D51/1440</f>
        <v>44348.361111111109</v>
      </c>
      <c r="D51" s="181">
        <f t="shared" si="32"/>
        <v>1320</v>
      </c>
      <c r="E51" s="249">
        <f t="shared" si="31"/>
        <v>0.91666666666666663</v>
      </c>
      <c r="F51" s="182">
        <f t="shared" si="14"/>
        <v>41.5</v>
      </c>
      <c r="G51" s="182">
        <f t="shared" si="15"/>
        <v>9.7999999999999972</v>
      </c>
      <c r="H51" s="380"/>
      <c r="I51" s="380"/>
      <c r="J51" s="380"/>
      <c r="K51" s="3" t="s">
        <v>18</v>
      </c>
      <c r="L51" s="9" t="s">
        <v>18</v>
      </c>
      <c r="V51" s="14">
        <f t="shared" si="8"/>
        <v>87</v>
      </c>
      <c r="W51" s="3">
        <f t="shared" si="9"/>
        <v>4.1154367189270733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16.239999677144098</v>
      </c>
      <c r="AC51" s="10">
        <f t="shared" si="34"/>
        <v>16.239999677144098</v>
      </c>
      <c r="AE51" s="12">
        <f t="shared" si="5"/>
        <v>1800</v>
      </c>
      <c r="AF51" s="10">
        <f t="shared" si="35"/>
        <v>9.7999999999999972</v>
      </c>
    </row>
    <row r="52" spans="1:32" s="3" customFormat="1" ht="21" customHeight="1" x14ac:dyDescent="0.15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41.5</v>
      </c>
      <c r="G52" s="182">
        <f t="shared" si="15"/>
        <v>9.7999999999999972</v>
      </c>
      <c r="H52" s="380"/>
      <c r="I52" s="380"/>
      <c r="J52" s="380"/>
      <c r="K52" s="3" t="s">
        <v>18</v>
      </c>
      <c r="L52" s="9" t="s">
        <v>18</v>
      </c>
      <c r="V52" s="14">
        <f t="shared" si="8"/>
        <v>87</v>
      </c>
      <c r="W52" s="3">
        <f t="shared" si="9"/>
        <v>4.1154367189270733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16.239999677144098</v>
      </c>
      <c r="AC52" s="10">
        <f t="shared" si="34"/>
        <v>16.239999677144098</v>
      </c>
      <c r="AE52" s="12">
        <f t="shared" si="5"/>
        <v>1860</v>
      </c>
      <c r="AF52" s="10">
        <f t="shared" si="35"/>
        <v>9.7999999999999972</v>
      </c>
    </row>
    <row r="53" spans="1:32" s="3" customFormat="1" ht="21" customHeight="1" x14ac:dyDescent="0.15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41.5</v>
      </c>
      <c r="G53" s="182">
        <f t="shared" si="15"/>
        <v>9.7999999999999972</v>
      </c>
      <c r="H53" s="380"/>
      <c r="I53" s="380"/>
      <c r="J53" s="380"/>
      <c r="K53" s="3" t="s">
        <v>18</v>
      </c>
      <c r="L53" s="9" t="s">
        <v>18</v>
      </c>
      <c r="V53" s="14">
        <f t="shared" si="8"/>
        <v>87</v>
      </c>
      <c r="W53" s="3">
        <f t="shared" si="9"/>
        <v>4.1154367189270733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16.239999677144098</v>
      </c>
      <c r="AC53" s="10">
        <f t="shared" ref="AC53:AC69" si="36">AC52</f>
        <v>16.239999677144098</v>
      </c>
      <c r="AE53" s="12">
        <f t="shared" si="5"/>
        <v>1920</v>
      </c>
      <c r="AF53" s="10">
        <f t="shared" si="35"/>
        <v>9.7999999999999972</v>
      </c>
    </row>
    <row r="54" spans="1:32" s="3" customFormat="1" ht="21" customHeight="1" x14ac:dyDescent="0.15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41.5</v>
      </c>
      <c r="G54" s="182">
        <f t="shared" si="15"/>
        <v>9.7999999999999972</v>
      </c>
      <c r="H54" s="380"/>
      <c r="I54" s="380"/>
      <c r="J54" s="380"/>
      <c r="K54" s="3" t="s">
        <v>18</v>
      </c>
      <c r="L54" s="9" t="s">
        <v>18</v>
      </c>
      <c r="V54" s="14">
        <f t="shared" si="8"/>
        <v>87</v>
      </c>
      <c r="W54" s="3">
        <f t="shared" si="9"/>
        <v>4.1154367189270733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16.239999677144098</v>
      </c>
      <c r="AC54" s="10">
        <f t="shared" si="36"/>
        <v>16.239999677144098</v>
      </c>
      <c r="AE54" s="12">
        <f t="shared" si="5"/>
        <v>1980</v>
      </c>
      <c r="AF54" s="10">
        <f t="shared" si="35"/>
        <v>9.7999999999999972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41.5</v>
      </c>
      <c r="G55" s="182">
        <f t="shared" si="15"/>
        <v>9.7999999999999972</v>
      </c>
      <c r="H55" s="380"/>
      <c r="I55" s="380"/>
      <c r="J55" s="380"/>
      <c r="K55" s="3" t="s">
        <v>18</v>
      </c>
      <c r="L55" s="9" t="s">
        <v>18</v>
      </c>
      <c r="V55" s="14">
        <f t="shared" si="8"/>
        <v>87</v>
      </c>
      <c r="W55" s="3">
        <f t="shared" si="9"/>
        <v>4.1154367189270733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16.239999677144098</v>
      </c>
      <c r="AC55" s="10">
        <f t="shared" si="36"/>
        <v>16.239999677144098</v>
      </c>
      <c r="AE55" s="12">
        <f t="shared" si="5"/>
        <v>2040</v>
      </c>
      <c r="AF55" s="10">
        <f t="shared" si="35"/>
        <v>9.7999999999999972</v>
      </c>
    </row>
    <row r="56" spans="1:32" s="3" customFormat="1" ht="21.6" customHeight="1" x14ac:dyDescent="0.15">
      <c r="A56" s="54"/>
      <c r="B56" s="54"/>
      <c r="C56" s="55">
        <f>$C$10+D56/1440</f>
        <v>44348.569444444445</v>
      </c>
      <c r="D56" s="181">
        <f t="shared" si="32"/>
        <v>1620</v>
      </c>
      <c r="E56" s="249">
        <f t="shared" si="31"/>
        <v>1.125</v>
      </c>
      <c r="F56" s="182">
        <f t="shared" si="14"/>
        <v>41.5</v>
      </c>
      <c r="G56" s="182">
        <f t="shared" si="15"/>
        <v>9.7999999999999972</v>
      </c>
      <c r="H56" s="380"/>
      <c r="I56" s="380"/>
      <c r="J56" s="380"/>
      <c r="K56" s="3" t="s">
        <v>18</v>
      </c>
      <c r="L56" s="9" t="s">
        <v>18</v>
      </c>
      <c r="V56" s="14">
        <f t="shared" si="8"/>
        <v>87</v>
      </c>
      <c r="W56" s="3">
        <f t="shared" si="9"/>
        <v>4.1154367189270733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16.239999677144098</v>
      </c>
      <c r="AC56" s="10">
        <f t="shared" si="36"/>
        <v>16.239999677144098</v>
      </c>
      <c r="AE56" s="12">
        <f t="shared" si="5"/>
        <v>2100</v>
      </c>
      <c r="AF56" s="10">
        <f t="shared" si="35"/>
        <v>9.7999999999999972</v>
      </c>
    </row>
    <row r="57" spans="1:32" s="3" customFormat="1" ht="21.6" customHeight="1" x14ac:dyDescent="0.15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41.5</v>
      </c>
      <c r="G57" s="182">
        <f t="shared" si="15"/>
        <v>9.7999999999999972</v>
      </c>
      <c r="H57" s="380"/>
      <c r="I57" s="380"/>
      <c r="J57" s="380"/>
      <c r="K57" s="3" t="s">
        <v>18</v>
      </c>
      <c r="L57" s="9" t="s">
        <v>18</v>
      </c>
      <c r="V57" s="14">
        <f t="shared" si="8"/>
        <v>87</v>
      </c>
      <c r="W57" s="3">
        <f t="shared" si="9"/>
        <v>4.1154367189270733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16.239999677144098</v>
      </c>
      <c r="AC57" s="10">
        <f t="shared" si="36"/>
        <v>16.239999677144098</v>
      </c>
      <c r="AE57" s="12">
        <f t="shared" si="5"/>
        <v>2160</v>
      </c>
      <c r="AF57" s="10">
        <f t="shared" si="35"/>
        <v>9.7999999999999972</v>
      </c>
    </row>
    <row r="58" spans="1:32" s="3" customFormat="1" ht="21.6" customHeight="1" x14ac:dyDescent="0.15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41.5</v>
      </c>
      <c r="G58" s="182">
        <f t="shared" si="15"/>
        <v>9.7999999999999972</v>
      </c>
      <c r="H58" s="380"/>
      <c r="I58" s="380"/>
      <c r="J58" s="380"/>
      <c r="K58" s="3" t="s">
        <v>18</v>
      </c>
      <c r="L58" s="9" t="s">
        <v>18</v>
      </c>
      <c r="V58" s="14">
        <f t="shared" si="8"/>
        <v>87</v>
      </c>
      <c r="W58" s="3">
        <f t="shared" si="9"/>
        <v>4.1154367189270733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16.239999677144098</v>
      </c>
      <c r="AC58" s="10">
        <f t="shared" si="36"/>
        <v>16.239999677144098</v>
      </c>
      <c r="AE58" s="12">
        <f t="shared" si="5"/>
        <v>2220</v>
      </c>
      <c r="AF58" s="10">
        <f t="shared" si="35"/>
        <v>9.7999999999999972</v>
      </c>
    </row>
    <row r="59" spans="1:32" s="3" customFormat="1" ht="21.6" customHeight="1" x14ac:dyDescent="0.15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41.5</v>
      </c>
      <c r="G59" s="182">
        <f t="shared" si="15"/>
        <v>9.7999999999999972</v>
      </c>
      <c r="H59" s="380"/>
      <c r="I59" s="380"/>
      <c r="J59" s="380"/>
      <c r="K59" s="3" t="s">
        <v>18</v>
      </c>
      <c r="L59" s="9" t="s">
        <v>18</v>
      </c>
      <c r="V59" s="14">
        <f t="shared" si="8"/>
        <v>87</v>
      </c>
      <c r="W59" s="3">
        <f t="shared" si="9"/>
        <v>4.1154367189270733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16.239999677144098</v>
      </c>
      <c r="AC59" s="10">
        <f t="shared" si="36"/>
        <v>16.239999677144098</v>
      </c>
      <c r="AE59" s="12">
        <f t="shared" si="5"/>
        <v>2280</v>
      </c>
      <c r="AF59" s="10">
        <f t="shared" si="35"/>
        <v>9.7999999999999972</v>
      </c>
    </row>
    <row r="60" spans="1:32" s="3" customFormat="1" ht="21.6" customHeight="1" x14ac:dyDescent="0.15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41.5</v>
      </c>
      <c r="G60" s="182">
        <f t="shared" si="15"/>
        <v>9.7999999999999972</v>
      </c>
      <c r="H60" s="380"/>
      <c r="I60" s="380"/>
      <c r="J60" s="380"/>
      <c r="K60" s="3" t="s">
        <v>18</v>
      </c>
      <c r="L60" s="9" t="s">
        <v>18</v>
      </c>
      <c r="V60" s="14">
        <f t="shared" si="8"/>
        <v>87</v>
      </c>
      <c r="W60" s="3">
        <f t="shared" si="9"/>
        <v>4.1154367189270733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16.239999677144098</v>
      </c>
      <c r="AC60" s="10">
        <f t="shared" si="36"/>
        <v>16.239999677144098</v>
      </c>
      <c r="AE60" s="12">
        <f t="shared" si="5"/>
        <v>2340</v>
      </c>
      <c r="AF60" s="10">
        <f t="shared" si="35"/>
        <v>9.7999999999999972</v>
      </c>
    </row>
    <row r="61" spans="1:32" s="3" customFormat="1" ht="21.6" customHeight="1" x14ac:dyDescent="0.15">
      <c r="A61" s="54"/>
      <c r="B61" s="54"/>
      <c r="C61" s="55">
        <f>$C$10+D61/1440</f>
        <v>44348.777777777781</v>
      </c>
      <c r="D61" s="181">
        <f t="shared" si="32"/>
        <v>1920</v>
      </c>
      <c r="E61" s="249">
        <f t="shared" si="37"/>
        <v>1.3333333333333333</v>
      </c>
      <c r="F61" s="182">
        <f t="shared" si="14"/>
        <v>41.5</v>
      </c>
      <c r="G61" s="182">
        <f t="shared" si="15"/>
        <v>9.7999999999999972</v>
      </c>
      <c r="H61" s="380"/>
      <c r="I61" s="380"/>
      <c r="J61" s="380"/>
      <c r="K61" s="3" t="s">
        <v>18</v>
      </c>
      <c r="L61" s="9" t="s">
        <v>18</v>
      </c>
      <c r="V61" s="14">
        <f t="shared" si="8"/>
        <v>87</v>
      </c>
      <c r="W61" s="3">
        <f t="shared" si="9"/>
        <v>4.1154367189270733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16.239999677144098</v>
      </c>
      <c r="AC61" s="10">
        <f t="shared" si="36"/>
        <v>16.239999677144098</v>
      </c>
      <c r="AE61" s="12">
        <f t="shared" si="5"/>
        <v>2400</v>
      </c>
      <c r="AF61" s="10">
        <f t="shared" si="35"/>
        <v>9.7999999999999972</v>
      </c>
    </row>
    <row r="62" spans="1:32" s="3" customFormat="1" ht="21.6" customHeight="1" x14ac:dyDescent="0.15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41.5</v>
      </c>
      <c r="G62" s="182">
        <f t="shared" si="15"/>
        <v>9.7999999999999972</v>
      </c>
      <c r="H62" s="380"/>
      <c r="I62" s="380"/>
      <c r="J62" s="380"/>
      <c r="K62" s="3" t="s">
        <v>18</v>
      </c>
      <c r="L62" s="9" t="s">
        <v>18</v>
      </c>
      <c r="V62" s="14">
        <f t="shared" si="8"/>
        <v>87</v>
      </c>
      <c r="W62" s="3">
        <f t="shared" si="9"/>
        <v>4.1154367189270733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16.239999677144098</v>
      </c>
      <c r="AC62" s="10">
        <f t="shared" si="36"/>
        <v>16.239999677144098</v>
      </c>
      <c r="AE62" s="12">
        <f t="shared" si="5"/>
        <v>2460</v>
      </c>
      <c r="AF62" s="10">
        <f t="shared" si="35"/>
        <v>9.7999999999999972</v>
      </c>
    </row>
    <row r="63" spans="1:32" s="3" customFormat="1" ht="21.6" customHeight="1" x14ac:dyDescent="0.15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41.5</v>
      </c>
      <c r="G63" s="182">
        <f t="shared" si="15"/>
        <v>9.7999999999999972</v>
      </c>
      <c r="H63" s="380"/>
      <c r="I63" s="380"/>
      <c r="J63" s="380"/>
      <c r="K63" s="3" t="s">
        <v>18</v>
      </c>
      <c r="L63" s="9" t="s">
        <v>18</v>
      </c>
      <c r="V63" s="14">
        <f t="shared" si="8"/>
        <v>87</v>
      </c>
      <c r="W63" s="3">
        <f t="shared" si="9"/>
        <v>4.1154367189270733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16.239999677144098</v>
      </c>
      <c r="AC63" s="10">
        <f t="shared" si="36"/>
        <v>16.239999677144098</v>
      </c>
      <c r="AE63" s="12">
        <f t="shared" si="5"/>
        <v>2520</v>
      </c>
      <c r="AF63" s="10">
        <f t="shared" si="35"/>
        <v>9.7999999999999972</v>
      </c>
    </row>
    <row r="64" spans="1:32" s="3" customFormat="1" ht="21.6" customHeight="1" x14ac:dyDescent="0.15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41.5</v>
      </c>
      <c r="G64" s="182">
        <f t="shared" si="15"/>
        <v>9.7999999999999972</v>
      </c>
      <c r="H64" s="380"/>
      <c r="I64" s="380"/>
      <c r="J64" s="380"/>
      <c r="K64" s="3" t="s">
        <v>18</v>
      </c>
      <c r="L64" s="9" t="s">
        <v>18</v>
      </c>
      <c r="V64" s="14">
        <f t="shared" si="8"/>
        <v>87</v>
      </c>
      <c r="W64" s="3">
        <f t="shared" si="9"/>
        <v>4.1154367189270733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16.239999677144098</v>
      </c>
      <c r="AC64" s="10">
        <f t="shared" si="36"/>
        <v>16.239999677144098</v>
      </c>
      <c r="AE64" s="12">
        <f t="shared" si="5"/>
        <v>2580</v>
      </c>
      <c r="AF64" s="10">
        <f t="shared" si="35"/>
        <v>9.7999999999999972</v>
      </c>
    </row>
    <row r="65" spans="1:32" s="3" customFormat="1" ht="21.6" customHeight="1" x14ac:dyDescent="0.15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41.5</v>
      </c>
      <c r="G65" s="182">
        <f t="shared" si="15"/>
        <v>9.7999999999999972</v>
      </c>
      <c r="H65" s="380"/>
      <c r="I65" s="380"/>
      <c r="J65" s="380"/>
      <c r="K65" s="3" t="s">
        <v>18</v>
      </c>
      <c r="L65" s="9" t="s">
        <v>18</v>
      </c>
      <c r="V65" s="14">
        <f t="shared" si="8"/>
        <v>87</v>
      </c>
      <c r="W65" s="3">
        <f t="shared" si="9"/>
        <v>4.1154367189270733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16.239999677144098</v>
      </c>
      <c r="AC65" s="10">
        <f t="shared" si="36"/>
        <v>16.239999677144098</v>
      </c>
      <c r="AE65" s="12">
        <f t="shared" si="5"/>
        <v>2640</v>
      </c>
      <c r="AF65" s="10">
        <f t="shared" si="35"/>
        <v>9.7999999999999972</v>
      </c>
    </row>
    <row r="66" spans="1:32" s="3" customFormat="1" ht="21.6" customHeight="1" x14ac:dyDescent="0.15">
      <c r="A66" s="54"/>
      <c r="B66" s="54"/>
      <c r="C66" s="55">
        <f>$C$10+D66/1440</f>
        <v>44348.986111111109</v>
      </c>
      <c r="D66" s="181">
        <f t="shared" si="38"/>
        <v>2220</v>
      </c>
      <c r="E66" s="249">
        <f t="shared" si="37"/>
        <v>1.5416666666666667</v>
      </c>
      <c r="F66" s="182">
        <f t="shared" si="39"/>
        <v>41.5</v>
      </c>
      <c r="G66" s="182">
        <f t="shared" si="15"/>
        <v>9.7999999999999972</v>
      </c>
      <c r="H66" s="380"/>
      <c r="I66" s="380"/>
      <c r="J66" s="380"/>
      <c r="K66" s="3" t="s">
        <v>18</v>
      </c>
      <c r="L66" s="9" t="s">
        <v>18</v>
      </c>
      <c r="V66" s="14">
        <f t="shared" si="8"/>
        <v>87</v>
      </c>
      <c r="W66" s="3">
        <f t="shared" si="9"/>
        <v>4.1154367189270733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16.239999677144098</v>
      </c>
      <c r="AC66" s="10">
        <f t="shared" si="36"/>
        <v>16.239999677144098</v>
      </c>
      <c r="AE66" s="12">
        <f t="shared" si="5"/>
        <v>2700</v>
      </c>
      <c r="AF66" s="10">
        <f t="shared" si="35"/>
        <v>9.7999999999999972</v>
      </c>
    </row>
    <row r="67" spans="1:32" s="3" customFormat="1" ht="21.6" customHeight="1" x14ac:dyDescent="0.15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41.5</v>
      </c>
      <c r="G67" s="182">
        <f t="shared" si="15"/>
        <v>9.7999999999999972</v>
      </c>
      <c r="H67" s="380"/>
      <c r="I67" s="380"/>
      <c r="J67" s="380"/>
      <c r="K67" s="3" t="s">
        <v>18</v>
      </c>
      <c r="L67" s="9" t="s">
        <v>18</v>
      </c>
      <c r="V67" s="14">
        <f t="shared" si="8"/>
        <v>87</v>
      </c>
      <c r="W67" s="3">
        <f t="shared" si="9"/>
        <v>4.1154367189270733</v>
      </c>
      <c r="X67" s="3">
        <f t="shared" si="10"/>
        <v>0.1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16.239999677144098</v>
      </c>
      <c r="AC67" s="10">
        <f t="shared" si="36"/>
        <v>16.239999677144098</v>
      </c>
      <c r="AE67" s="12">
        <f>AA67</f>
        <v>2760</v>
      </c>
      <c r="AF67" s="10">
        <f t="shared" si="35"/>
        <v>9.7999999999999972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41.5</v>
      </c>
      <c r="G68" s="182">
        <f t="shared" si="15"/>
        <v>9.7999999999999972</v>
      </c>
      <c r="H68" s="380"/>
      <c r="I68" s="380"/>
      <c r="J68" s="380"/>
      <c r="K68" s="3" t="s">
        <v>18</v>
      </c>
      <c r="L68" s="9" t="s">
        <v>18</v>
      </c>
      <c r="V68" s="14">
        <f>V67</f>
        <v>87</v>
      </c>
      <c r="W68" s="3">
        <f t="shared" ref="W68:W83" si="41">W$2</f>
        <v>4.1154367189270733</v>
      </c>
      <c r="X68" s="3">
        <f t="shared" ref="X68:X83" si="42">X67</f>
        <v>0.1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16.239999677144098</v>
      </c>
      <c r="AC68" s="10">
        <f t="shared" si="36"/>
        <v>16.239999677144098</v>
      </c>
      <c r="AE68" s="12">
        <f>AA68</f>
        <v>2820</v>
      </c>
      <c r="AF68" s="10">
        <f t="shared" si="35"/>
        <v>9.7999999999999972</v>
      </c>
    </row>
    <row r="69" spans="1:32" s="3" customFormat="1" ht="21.6" customHeight="1" x14ac:dyDescent="0.15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41.5</v>
      </c>
      <c r="G69" s="182">
        <f t="shared" si="15"/>
        <v>9.7999999999999972</v>
      </c>
      <c r="H69" s="380"/>
      <c r="I69" s="380"/>
      <c r="J69" s="380"/>
      <c r="K69" s="3" t="s">
        <v>18</v>
      </c>
      <c r="L69" s="9" t="s">
        <v>18</v>
      </c>
      <c r="V69" s="14">
        <f>V68</f>
        <v>87</v>
      </c>
      <c r="W69" s="3">
        <f t="shared" si="41"/>
        <v>4.1154367189270733</v>
      </c>
      <c r="X69" s="3">
        <f t="shared" si="42"/>
        <v>0.1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16.239999677144098</v>
      </c>
      <c r="AC69" s="10">
        <f t="shared" si="36"/>
        <v>16.239999677144098</v>
      </c>
      <c r="AE69" s="12">
        <f>AA69</f>
        <v>2880</v>
      </c>
      <c r="AF69" s="10">
        <f t="shared" si="35"/>
        <v>9.7999999999999972</v>
      </c>
    </row>
    <row r="70" spans="1:32" s="3" customFormat="1" ht="21.6" customHeight="1" x14ac:dyDescent="0.15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41.5</v>
      </c>
      <c r="G70" s="182">
        <f t="shared" si="15"/>
        <v>9.7999999999999972</v>
      </c>
      <c r="H70" s="380"/>
      <c r="I70" s="380"/>
      <c r="J70" s="380"/>
      <c r="K70" s="3" t="s">
        <v>18</v>
      </c>
      <c r="L70" s="9" t="s">
        <v>18</v>
      </c>
      <c r="V70" s="14"/>
      <c r="W70" s="3">
        <f t="shared" si="41"/>
        <v>4.1154367189270733</v>
      </c>
      <c r="X70" s="3">
        <f t="shared" si="42"/>
        <v>0.1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44349.194444444445</v>
      </c>
      <c r="D71" s="181">
        <f t="shared" si="38"/>
        <v>2520</v>
      </c>
      <c r="E71" s="249">
        <f t="shared" si="37"/>
        <v>1.75</v>
      </c>
      <c r="F71" s="182">
        <f t="shared" si="39"/>
        <v>41.5</v>
      </c>
      <c r="G71" s="182">
        <f t="shared" si="15"/>
        <v>9.7999999999999972</v>
      </c>
      <c r="H71" s="380"/>
      <c r="I71" s="380"/>
      <c r="J71" s="380"/>
      <c r="K71" s="3" t="s">
        <v>18</v>
      </c>
      <c r="L71" s="9" t="s">
        <v>18</v>
      </c>
      <c r="V71" s="14"/>
      <c r="W71" s="3">
        <f t="shared" si="41"/>
        <v>4.1154367189270733</v>
      </c>
      <c r="X71" s="3">
        <f t="shared" si="42"/>
        <v>0.1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41.5</v>
      </c>
      <c r="G72" s="182">
        <f t="shared" si="15"/>
        <v>9.7999999999999972</v>
      </c>
      <c r="H72" s="380"/>
      <c r="I72" s="380"/>
      <c r="J72" s="380"/>
      <c r="K72" s="3" t="s">
        <v>18</v>
      </c>
      <c r="L72" s="9" t="s">
        <v>18</v>
      </c>
      <c r="V72" s="14"/>
      <c r="W72" s="3">
        <f t="shared" si="41"/>
        <v>4.1154367189270733</v>
      </c>
      <c r="X72" s="3">
        <f t="shared" si="42"/>
        <v>0.1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41.5</v>
      </c>
      <c r="G73" s="182">
        <f t="shared" si="15"/>
        <v>9.7999999999999972</v>
      </c>
      <c r="H73" s="380"/>
      <c r="I73" s="380"/>
      <c r="J73" s="380"/>
      <c r="K73" s="3" t="s">
        <v>18</v>
      </c>
      <c r="L73" s="9" t="s">
        <v>18</v>
      </c>
      <c r="V73" s="14"/>
      <c r="W73" s="3">
        <f t="shared" si="41"/>
        <v>4.1154367189270733</v>
      </c>
      <c r="X73" s="3">
        <f t="shared" si="42"/>
        <v>0.1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41.5</v>
      </c>
      <c r="G74" s="182">
        <f t="shared" si="15"/>
        <v>9.7999999999999972</v>
      </c>
      <c r="H74" s="380"/>
      <c r="I74" s="380"/>
      <c r="J74" s="380"/>
      <c r="K74" s="3" t="s">
        <v>18</v>
      </c>
      <c r="L74" s="9" t="s">
        <v>18</v>
      </c>
      <c r="V74" s="14"/>
      <c r="W74" s="3">
        <f t="shared" si="41"/>
        <v>4.1154367189270733</v>
      </c>
      <c r="X74" s="3">
        <f t="shared" si="42"/>
        <v>0.1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41.5</v>
      </c>
      <c r="G75" s="182">
        <f>AF67</f>
        <v>9.7999999999999972</v>
      </c>
      <c r="H75" s="380"/>
      <c r="I75" s="380"/>
      <c r="J75" s="380"/>
      <c r="K75" s="3" t="s">
        <v>18</v>
      </c>
      <c r="L75" s="9" t="s">
        <v>18</v>
      </c>
      <c r="V75" s="14"/>
      <c r="W75" s="3">
        <f t="shared" si="41"/>
        <v>4.1154367189270733</v>
      </c>
      <c r="X75" s="3">
        <f t="shared" si="42"/>
        <v>0.1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41.5</v>
      </c>
      <c r="G76" s="182">
        <f>AF68</f>
        <v>9.7999999999999972</v>
      </c>
      <c r="H76" s="380"/>
      <c r="I76" s="380"/>
      <c r="J76" s="380"/>
      <c r="K76" s="3" t="s">
        <v>18</v>
      </c>
      <c r="L76" s="9" t="s">
        <v>18</v>
      </c>
      <c r="V76" s="14"/>
      <c r="W76" s="3">
        <f t="shared" si="41"/>
        <v>4.1154367189270733</v>
      </c>
      <c r="X76" s="3">
        <f t="shared" si="42"/>
        <v>0.1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44349.444444444445</v>
      </c>
      <c r="D77" s="181">
        <f>D76+60</f>
        <v>2880</v>
      </c>
      <c r="E77" s="249">
        <f>D77/1440</f>
        <v>2</v>
      </c>
      <c r="F77" s="277">
        <f t="shared" si="39"/>
        <v>41.5</v>
      </c>
      <c r="G77" s="182">
        <f>AF69</f>
        <v>9.7999999999999972</v>
      </c>
      <c r="H77" s="380" t="s">
        <v>13</v>
      </c>
      <c r="I77" s="380"/>
      <c r="J77" s="380"/>
      <c r="K77" s="3" t="s">
        <v>18</v>
      </c>
      <c r="L77" s="9" t="s">
        <v>18</v>
      </c>
      <c r="V77" s="14"/>
      <c r="W77" s="3">
        <f t="shared" si="41"/>
        <v>4.1154367189270733</v>
      </c>
      <c r="X77" s="3">
        <f t="shared" si="42"/>
        <v>0.1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44349.445138888892</v>
      </c>
      <c r="D78" s="181">
        <v>1</v>
      </c>
      <c r="E78" s="249">
        <f t="shared" ref="E78:E101" si="44">D78/1440</f>
        <v>6.9444444444444447E-4</v>
      </c>
      <c r="F78" s="182">
        <f>G78+D$8</f>
        <v>38.819580831295582</v>
      </c>
      <c r="G78" s="182">
        <f>H114</f>
        <v>7.1195808312955835</v>
      </c>
      <c r="H78" s="547" t="s">
        <v>248</v>
      </c>
      <c r="I78" s="547"/>
      <c r="J78" s="547"/>
      <c r="K78" s="3" t="s">
        <v>18</v>
      </c>
      <c r="L78" s="9"/>
      <c r="V78" s="14"/>
      <c r="W78" s="3">
        <f t="shared" si="41"/>
        <v>4.1154367189270733</v>
      </c>
      <c r="X78" s="3">
        <f t="shared" si="42"/>
        <v>0.1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38.34840768486805</v>
      </c>
      <c r="G79" s="182">
        <f>H115</f>
        <v>6.6484076848680518</v>
      </c>
      <c r="H79" s="547"/>
      <c r="I79" s="547"/>
      <c r="J79" s="547"/>
      <c r="K79" s="3" t="s">
        <v>18</v>
      </c>
      <c r="L79" s="9" t="s">
        <v>18</v>
      </c>
      <c r="V79" s="14"/>
      <c r="W79" s="3">
        <f t="shared" si="41"/>
        <v>4.1154367189270733</v>
      </c>
      <c r="X79" s="3">
        <f t="shared" si="42"/>
        <v>0.1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37.908416730085648</v>
      </c>
      <c r="G80" s="182">
        <f>H116</f>
        <v>6.2084167300856468</v>
      </c>
      <c r="H80" s="547"/>
      <c r="I80" s="547"/>
      <c r="J80" s="547"/>
      <c r="K80" s="3" t="s">
        <v>18</v>
      </c>
      <c r="L80" s="9" t="s">
        <v>18</v>
      </c>
      <c r="V80" s="14"/>
      <c r="W80" s="3">
        <f t="shared" si="41"/>
        <v>4.1154367189270733</v>
      </c>
      <c r="X80" s="3">
        <f t="shared" si="42"/>
        <v>0.1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37.497544332628017</v>
      </c>
      <c r="G81" s="182">
        <f>H117</f>
        <v>5.7975443326280196</v>
      </c>
      <c r="H81" s="547"/>
      <c r="I81" s="547"/>
      <c r="J81" s="547"/>
      <c r="K81" s="3" t="s">
        <v>18</v>
      </c>
      <c r="L81" s="9" t="s">
        <v>18</v>
      </c>
      <c r="V81" s="14"/>
      <c r="W81" s="3">
        <f t="shared" si="41"/>
        <v>4.1154367189270733</v>
      </c>
      <c r="X81" s="3">
        <f t="shared" si="42"/>
        <v>0.1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37.113863429287484</v>
      </c>
      <c r="G82" s="182">
        <f>H118</f>
        <v>5.4138634292874857</v>
      </c>
      <c r="H82" s="547"/>
      <c r="I82" s="547"/>
      <c r="J82" s="547"/>
      <c r="K82" s="3" t="s">
        <v>18</v>
      </c>
      <c r="L82" s="9" t="s">
        <v>18</v>
      </c>
      <c r="V82" s="14"/>
      <c r="W82" s="3">
        <f t="shared" si="41"/>
        <v>4.1154367189270733</v>
      </c>
      <c r="X82" s="3">
        <f t="shared" si="42"/>
        <v>0.1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36.10856196254128</v>
      </c>
      <c r="G83" s="182">
        <f>H121</f>
        <v>4.4085619625412837</v>
      </c>
      <c r="H83" s="547"/>
      <c r="I83" s="547"/>
      <c r="J83" s="547"/>
      <c r="K83" s="3" t="s">
        <v>18</v>
      </c>
      <c r="L83" s="9" t="s">
        <v>18</v>
      </c>
      <c r="V83" s="14"/>
      <c r="W83" s="3">
        <f t="shared" si="41"/>
        <v>4.1154367189270733</v>
      </c>
      <c r="X83" s="3">
        <f t="shared" si="42"/>
        <v>0.1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35.911845459098451</v>
      </c>
      <c r="G84" s="182">
        <f>H124</f>
        <v>4.2118454590984493</v>
      </c>
      <c r="H84" s="547"/>
      <c r="I84" s="547"/>
      <c r="J84" s="547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35.372813390622554</v>
      </c>
      <c r="G85" s="182">
        <f>H126</f>
        <v>3.6728133906225544</v>
      </c>
      <c r="H85" s="547"/>
      <c r="I85" s="547"/>
      <c r="J85" s="547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35.129746968243602</v>
      </c>
      <c r="G86" s="182">
        <f t="shared" ref="G86:G92" si="46">H127</f>
        <v>3.429746968243601</v>
      </c>
      <c r="H86" s="547"/>
      <c r="I86" s="547"/>
      <c r="J86" s="547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34.902766657355897</v>
      </c>
      <c r="G87" s="182">
        <f t="shared" si="46"/>
        <v>3.2027666573558946</v>
      </c>
      <c r="H87" s="547"/>
      <c r="I87" s="547"/>
      <c r="J87" s="547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34.830495168499702</v>
      </c>
      <c r="G88" s="182">
        <f t="shared" si="46"/>
        <v>3.1304951684997051</v>
      </c>
      <c r="H88" s="547"/>
      <c r="I88" s="547"/>
      <c r="J88" s="547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34.759854509691493</v>
      </c>
      <c r="G89" s="182">
        <f t="shared" si="46"/>
        <v>3.0598545096914975</v>
      </c>
      <c r="H89" s="547"/>
      <c r="I89" s="547"/>
      <c r="J89" s="547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34.69080788071188</v>
      </c>
      <c r="G90" s="182">
        <f t="shared" si="46"/>
        <v>2.9908078807118836</v>
      </c>
      <c r="H90" s="547"/>
      <c r="I90" s="547"/>
      <c r="J90" s="547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34.623319311750599</v>
      </c>
      <c r="G91" s="182">
        <f t="shared" si="46"/>
        <v>2.9233193117505967</v>
      </c>
      <c r="H91" s="547"/>
      <c r="I91" s="547"/>
      <c r="J91" s="547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34.557353644668034</v>
      </c>
      <c r="G92" s="182">
        <f t="shared" si="46"/>
        <v>2.8573536446680361</v>
      </c>
      <c r="H92" s="547"/>
      <c r="I92" s="547"/>
      <c r="J92" s="547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44349.486111111109</v>
      </c>
      <c r="D93" s="181">
        <v>60</v>
      </c>
      <c r="E93" s="249">
        <f t="shared" si="44"/>
        <v>4.1666666666666664E-2</v>
      </c>
      <c r="F93" s="182">
        <f t="shared" si="45"/>
        <v>34.492876514679644</v>
      </c>
      <c r="G93" s="182">
        <f>H134</f>
        <v>2.7928765146796457</v>
      </c>
      <c r="H93" s="547"/>
      <c r="I93" s="547"/>
      <c r="J93" s="547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34.429854332453601</v>
      </c>
      <c r="G94" s="182">
        <f>H135</f>
        <v>2.7298543324536007</v>
      </c>
      <c r="H94" s="547"/>
      <c r="I94" s="547"/>
      <c r="J94" s="547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34.368254266612453</v>
      </c>
      <c r="G95" s="182">
        <f>H136</f>
        <v>2.6682542666124576</v>
      </c>
      <c r="H95" s="547"/>
      <c r="I95" s="547"/>
      <c r="J95" s="547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34.308044226629661</v>
      </c>
      <c r="G96" s="182">
        <f>H137</f>
        <v>2.6080442266296622</v>
      </c>
      <c r="H96" s="547"/>
      <c r="I96" s="547"/>
      <c r="J96" s="547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44349.527777777781</v>
      </c>
      <c r="D97" s="181">
        <v>120</v>
      </c>
      <c r="E97" s="249">
        <f t="shared" si="44"/>
        <v>8.3333333333333329E-2</v>
      </c>
      <c r="F97" s="182">
        <f t="shared" si="45"/>
        <v>34.135444120892871</v>
      </c>
      <c r="G97" s="182">
        <f>H138</f>
        <v>2.4354441208928703</v>
      </c>
      <c r="H97" s="547"/>
      <c r="I97" s="547"/>
      <c r="J97" s="547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34.080487518844222</v>
      </c>
      <c r="G98" s="182">
        <f>H140</f>
        <v>2.3804875188442236</v>
      </c>
      <c r="H98" s="547"/>
      <c r="I98" s="547"/>
      <c r="J98" s="547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44349.611111111109</v>
      </c>
      <c r="D99" s="181">
        <v>240</v>
      </c>
      <c r="E99" s="249">
        <f t="shared" si="44"/>
        <v>0.16666666666666666</v>
      </c>
      <c r="F99" s="182">
        <f t="shared" si="45"/>
        <v>33.775832677225623</v>
      </c>
      <c r="G99" s="182">
        <f>H142</f>
        <v>2.0758326772256246</v>
      </c>
      <c r="H99" s="547"/>
      <c r="I99" s="547"/>
      <c r="J99" s="547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33.510167568502879</v>
      </c>
      <c r="G100" s="182">
        <f>H144</f>
        <v>1.8101675685028813</v>
      </c>
      <c r="H100" s="547"/>
      <c r="I100" s="547"/>
      <c r="J100" s="547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44349.694444444445</v>
      </c>
      <c r="D101" s="181">
        <v>360</v>
      </c>
      <c r="E101" s="249">
        <f t="shared" si="44"/>
        <v>0.25</v>
      </c>
      <c r="F101" s="277">
        <f t="shared" si="45"/>
        <v>33.278502285858124</v>
      </c>
      <c r="G101" s="242">
        <f>H146</f>
        <v>1.5785022858581215</v>
      </c>
      <c r="H101" s="547"/>
      <c r="I101" s="547"/>
      <c r="J101" s="547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9.7999999999999972</v>
      </c>
      <c r="F110" s="243" t="s">
        <v>180</v>
      </c>
      <c r="H110" s="245" t="s">
        <v>181</v>
      </c>
      <c r="I110" s="376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9.7999999999999972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8.7430864354209241</v>
      </c>
      <c r="I111" s="377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9">C111-C$110</f>
        <v>92</v>
      </c>
      <c r="D112" s="35">
        <f>D111</f>
        <v>9.7999999999999972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8.1644698506977083</v>
      </c>
      <c r="I112" s="377"/>
      <c r="J112" s="13">
        <f>H111-H112</f>
        <v>0.57861658472321587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9"/>
        <v>89</v>
      </c>
      <c r="D113" s="35">
        <f t="shared" ref="D113:D146" si="51">D112</f>
        <v>9.7999999999999972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7.6241460536061423</v>
      </c>
      <c r="I113" s="377"/>
      <c r="J113" s="13">
        <f t="shared" ref="J113:J146" si="52">H112-H113</f>
        <v>0.54032379709156597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9"/>
        <v>86</v>
      </c>
      <c r="D114" s="35">
        <f t="shared" si="51"/>
        <v>9.7999999999999972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7.1195808312955835</v>
      </c>
      <c r="I114" s="378"/>
      <c r="J114" s="13">
        <f t="shared" si="52"/>
        <v>0.50456522231055878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9"/>
        <v>83</v>
      </c>
      <c r="D115" s="35">
        <f t="shared" si="51"/>
        <v>9.7999999999999972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6.6484076848680518</v>
      </c>
      <c r="I115" s="378"/>
      <c r="J115" s="13">
        <f t="shared" si="52"/>
        <v>0.47117314642753172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9"/>
        <v>80</v>
      </c>
      <c r="D116" s="35">
        <f t="shared" si="51"/>
        <v>9.7999999999999972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6.2084167300856468</v>
      </c>
      <c r="I116" s="378"/>
      <c r="J116" s="13">
        <f t="shared" si="52"/>
        <v>0.43999095478240502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9"/>
        <v>77</v>
      </c>
      <c r="D117" s="35">
        <f t="shared" si="51"/>
        <v>9.7999999999999972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5.7975443326280196</v>
      </c>
      <c r="I117" s="378"/>
      <c r="J117" s="13">
        <f t="shared" si="52"/>
        <v>0.41087239745762716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9"/>
        <v>74</v>
      </c>
      <c r="D118" s="35">
        <f t="shared" si="51"/>
        <v>9.7999999999999972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5.4138634292874857</v>
      </c>
      <c r="I118" s="378"/>
      <c r="J118" s="13">
        <f t="shared" si="52"/>
        <v>0.38368090334053395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9"/>
        <v>71</v>
      </c>
      <c r="D119" s="35">
        <f t="shared" si="51"/>
        <v>9.7999999999999972</v>
      </c>
      <c r="E119" s="15">
        <f t="shared" si="50"/>
        <v>0.71</v>
      </c>
      <c r="F119" s="54"/>
      <c r="G119" s="3">
        <v>9</v>
      </c>
      <c r="H119" s="248">
        <f t="shared" si="48"/>
        <v>5.055574489706455</v>
      </c>
      <c r="I119" s="379"/>
      <c r="J119" s="13">
        <f t="shared" si="52"/>
        <v>0.3582889395810307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1"/>
        <v>9.7999999999999972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4.720997076266193</v>
      </c>
      <c r="I120" s="377"/>
      <c r="J120" s="13">
        <f t="shared" si="52"/>
        <v>0.33457741344026193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3">C120-A$120</f>
        <v>65</v>
      </c>
      <c r="D121" s="35">
        <f t="shared" si="51"/>
        <v>9.7999999999999972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4.4085619625412837</v>
      </c>
      <c r="I121" s="378"/>
      <c r="J121" s="13">
        <f t="shared" si="52"/>
        <v>0.31243511372490929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3"/>
        <v>62</v>
      </c>
      <c r="D122" s="35">
        <f t="shared" si="51"/>
        <v>9.7999999999999972</v>
      </c>
      <c r="E122" s="15">
        <f t="shared" si="50"/>
        <v>0.62</v>
      </c>
      <c r="F122" s="54"/>
      <c r="G122" s="3">
        <v>14</v>
      </c>
      <c r="H122" s="246">
        <f t="shared" si="48"/>
        <v>4.1168037733539977</v>
      </c>
      <c r="I122" s="377"/>
      <c r="J122" s="13">
        <f t="shared" si="52"/>
        <v>0.29175818918728602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1"/>
        <v>9.7999999999999972</v>
      </c>
      <c r="E123" s="15">
        <f t="shared" si="50"/>
        <v>0.37</v>
      </c>
      <c r="F123" s="54"/>
      <c r="G123" s="3">
        <v>15</v>
      </c>
      <c r="H123" s="246">
        <f t="shared" si="48"/>
        <v>2.3267710306962921</v>
      </c>
      <c r="I123" s="377"/>
      <c r="J123" s="13">
        <f t="shared" si="52"/>
        <v>1.7900327426577056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1"/>
        <v>9.7999999999999972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4.2118454590984493</v>
      </c>
      <c r="I124" s="378"/>
      <c r="J124" s="13">
        <f t="shared" si="52"/>
        <v>-1.8850744284021572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3"/>
        <v>60</v>
      </c>
      <c r="D125" s="35">
        <f t="shared" si="51"/>
        <v>9.7999999999999972</v>
      </c>
      <c r="E125" s="15">
        <f t="shared" si="50"/>
        <v>0.6</v>
      </c>
      <c r="F125" s="54"/>
      <c r="G125" s="3">
        <v>18</v>
      </c>
      <c r="H125" s="246">
        <f t="shared" si="48"/>
        <v>3.9331059484089139</v>
      </c>
      <c r="I125" s="377"/>
      <c r="J125" s="13">
        <f t="shared" si="52"/>
        <v>0.2787395106895354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3"/>
        <v>57</v>
      </c>
      <c r="D126" s="35">
        <f t="shared" si="51"/>
        <v>9.7999999999999972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3.6728133906225544</v>
      </c>
      <c r="I126" s="378"/>
      <c r="J126" s="13">
        <f t="shared" si="52"/>
        <v>0.26029255778635951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3"/>
        <v>54</v>
      </c>
      <c r="D127" s="35">
        <f t="shared" si="51"/>
        <v>9.7999999999999972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3.429746968243601</v>
      </c>
      <c r="I127" s="378"/>
      <c r="J127" s="13">
        <f t="shared" si="52"/>
        <v>0.24306642237895337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3"/>
        <v>51</v>
      </c>
      <c r="D128" s="35">
        <f t="shared" si="51"/>
        <v>9.7999999999999972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3.2027666573558946</v>
      </c>
      <c r="I128" s="378"/>
      <c r="J128" s="13">
        <f t="shared" si="52"/>
        <v>0.22698031088770643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1"/>
        <v>9.7999999999999972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3.1304951684997051</v>
      </c>
      <c r="I129" s="378"/>
      <c r="J129" s="13">
        <f t="shared" si="52"/>
        <v>7.2271488856189503E-2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1"/>
        <v>9.7999999999999972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3.0598545096914975</v>
      </c>
      <c r="I130" s="378"/>
      <c r="J130" s="13">
        <f t="shared" si="52"/>
        <v>7.0640658808207579E-2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1"/>
        <v>9.7999999999999972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2.9908078807118836</v>
      </c>
      <c r="I131" s="378"/>
      <c r="J131" s="13">
        <f t="shared" si="52"/>
        <v>6.9046628979613889E-2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1"/>
        <v>9.7999999999999972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2.9233193117505967</v>
      </c>
      <c r="I132" s="378"/>
      <c r="J132" s="13">
        <f t="shared" si="52"/>
        <v>6.7488568961286965E-2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1"/>
        <v>9.7999999999999972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2.8573536446680361</v>
      </c>
      <c r="I133" s="378"/>
      <c r="J133" s="13">
        <f t="shared" si="52"/>
        <v>6.5965667082560575E-2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1"/>
        <v>9.7999999999999972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2.7928765146796457</v>
      </c>
      <c r="I134" s="378"/>
      <c r="J134" s="13">
        <f t="shared" si="52"/>
        <v>6.4477129988390391E-2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1"/>
        <v>9.7999999999999972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2.7298543324536007</v>
      </c>
      <c r="I135" s="378"/>
      <c r="J135" s="13">
        <f t="shared" si="52"/>
        <v>6.3022182226045054E-2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1"/>
        <v>9.7999999999999972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2.6682542666124576</v>
      </c>
      <c r="I136" s="378"/>
      <c r="J136" s="13">
        <f t="shared" si="52"/>
        <v>6.1600065841143081E-2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1"/>
        <v>9.7999999999999972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2.6080442266296622</v>
      </c>
      <c r="I137" s="378"/>
      <c r="J137" s="13">
        <f t="shared" si="52"/>
        <v>6.0210039982795394E-2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1"/>
        <v>9.7999999999999972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2.4354441208928703</v>
      </c>
      <c r="I138" s="378"/>
      <c r="J138" s="13">
        <f t="shared" si="52"/>
        <v>0.17260010573679185</v>
      </c>
      <c r="AA138" s="12"/>
      <c r="AB138" s="257"/>
    </row>
    <row r="139" spans="1:28" s="3" customFormat="1" ht="17.25" hidden="1" customHeight="1" x14ac:dyDescent="0.15">
      <c r="C139" s="3">
        <f t="shared" ref="C139:C146" si="54">C138-A$138</f>
        <v>36</v>
      </c>
      <c r="D139" s="35">
        <f t="shared" si="51"/>
        <v>9.7999999999999972</v>
      </c>
      <c r="E139" s="15">
        <f t="shared" si="50"/>
        <v>0.36</v>
      </c>
      <c r="F139" s="54"/>
      <c r="G139" s="3">
        <v>150</v>
      </c>
      <c r="H139" s="246">
        <f t="shared" si="48"/>
        <v>2.2742666728687699</v>
      </c>
      <c r="I139" s="377"/>
      <c r="J139" s="13">
        <f t="shared" si="52"/>
        <v>0.16117744802410039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1"/>
        <v>9.7999999999999972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2.3804875188442236</v>
      </c>
      <c r="I140" s="378"/>
      <c r="J140" s="13">
        <f t="shared" si="52"/>
        <v>-0.10622084597545367</v>
      </c>
      <c r="AA140" s="12"/>
      <c r="AB140" s="257"/>
    </row>
    <row r="141" spans="1:28" s="3" customFormat="1" ht="17.25" hidden="1" customHeight="1" x14ac:dyDescent="0.15">
      <c r="C141" s="3">
        <f t="shared" si="54"/>
        <v>35</v>
      </c>
      <c r="D141" s="35">
        <f t="shared" si="51"/>
        <v>9.7999999999999972</v>
      </c>
      <c r="E141" s="15">
        <f t="shared" si="50"/>
        <v>0.35</v>
      </c>
      <c r="F141" s="54"/>
      <c r="G141" s="3">
        <v>210</v>
      </c>
      <c r="H141" s="246">
        <f t="shared" si="48"/>
        <v>2.2229470932400957</v>
      </c>
      <c r="I141" s="377"/>
      <c r="J141" s="13">
        <f t="shared" si="52"/>
        <v>0.15754042560412795</v>
      </c>
      <c r="AA141" s="12"/>
      <c r="AB141" s="257"/>
    </row>
    <row r="142" spans="1:28" s="3" customFormat="1" ht="17.25" customHeight="1" x14ac:dyDescent="0.15">
      <c r="C142" s="3">
        <f t="shared" si="54"/>
        <v>32</v>
      </c>
      <c r="D142" s="35">
        <f t="shared" si="51"/>
        <v>9.7999999999999972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2.0758326772256246</v>
      </c>
      <c r="I142" s="378"/>
      <c r="J142" s="13">
        <f t="shared" si="52"/>
        <v>0.14711441601447106</v>
      </c>
      <c r="AA142" s="12"/>
      <c r="AB142" s="257"/>
    </row>
    <row r="143" spans="1:28" s="3" customFormat="1" ht="17.25" hidden="1" customHeight="1" x14ac:dyDescent="0.15">
      <c r="C143" s="3">
        <f t="shared" si="54"/>
        <v>29</v>
      </c>
      <c r="D143" s="35">
        <f t="shared" si="51"/>
        <v>9.7999999999999972</v>
      </c>
      <c r="E143" s="15">
        <f>C143/100</f>
        <v>0.28999999999999998</v>
      </c>
      <c r="F143" s="54"/>
      <c r="G143" s="3">
        <v>270</v>
      </c>
      <c r="H143" s="246">
        <f t="shared" si="48"/>
        <v>1.9384542785302765</v>
      </c>
      <c r="I143" s="377"/>
      <c r="J143" s="13">
        <f t="shared" si="52"/>
        <v>0.13737839869534807</v>
      </c>
      <c r="AA143" s="12"/>
      <c r="AB143" s="257"/>
    </row>
    <row r="144" spans="1:28" s="3" customFormat="1" ht="17.25" customHeight="1" x14ac:dyDescent="0.15">
      <c r="C144" s="3">
        <f t="shared" si="54"/>
        <v>26</v>
      </c>
      <c r="D144" s="35">
        <f t="shared" si="51"/>
        <v>9.7999999999999972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1.8101675685028813</v>
      </c>
      <c r="I144" s="378"/>
      <c r="J144" s="13">
        <f t="shared" si="52"/>
        <v>0.12828671002739522</v>
      </c>
      <c r="AA144" s="12"/>
      <c r="AB144" s="257"/>
    </row>
    <row r="145" spans="3:28" s="3" customFormat="1" ht="17.25" hidden="1" customHeight="1" x14ac:dyDescent="0.15">
      <c r="C145" s="3">
        <f t="shared" si="54"/>
        <v>23</v>
      </c>
      <c r="D145" s="35">
        <f t="shared" si="51"/>
        <v>9.7999999999999972</v>
      </c>
      <c r="E145" s="15">
        <f>C145/100</f>
        <v>0.23</v>
      </c>
      <c r="F145" s="54"/>
      <c r="G145" s="3">
        <v>330</v>
      </c>
      <c r="H145" s="246">
        <f t="shared" si="48"/>
        <v>1.6903708600978768</v>
      </c>
      <c r="I145" s="377"/>
      <c r="J145" s="13">
        <f t="shared" si="52"/>
        <v>0.11979670840500445</v>
      </c>
      <c r="AA145" s="12"/>
      <c r="AB145" s="257"/>
    </row>
    <row r="146" spans="3:28" s="3" customFormat="1" ht="17.25" customHeight="1" x14ac:dyDescent="0.15">
      <c r="C146" s="3">
        <f t="shared" si="54"/>
        <v>20</v>
      </c>
      <c r="D146" s="35">
        <f t="shared" si="51"/>
        <v>9.7999999999999972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1.5785022858581215</v>
      </c>
      <c r="I146" s="378"/>
      <c r="J146" s="13">
        <f t="shared" si="52"/>
        <v>0.11186857423975538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295275</xdr:colOff>
                <xdr:row>38</xdr:row>
                <xdr:rowOff>57150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87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0.74</v>
      </c>
      <c r="C8" t="s">
        <v>88</v>
      </c>
      <c r="D8" s="69" t="s">
        <v>78</v>
      </c>
      <c r="E8" s="70">
        <f>입력표!C26</f>
        <v>87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181.3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47.5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1.3680000000000001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173.5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16"/>
    <col min="2" max="3" width="8.88671875" style="417"/>
    <col min="4" max="16384" width="8.88671875" style="416"/>
  </cols>
  <sheetData>
    <row r="1" spans="1:2" x14ac:dyDescent="0.3">
      <c r="B1" s="416"/>
    </row>
    <row r="2" spans="1:2" x14ac:dyDescent="0.3">
      <c r="A2" s="416" t="s">
        <v>98</v>
      </c>
      <c r="B2" s="416"/>
    </row>
    <row r="3" spans="1:2" x14ac:dyDescent="0.3">
      <c r="A3" s="416">
        <v>2</v>
      </c>
      <c r="B3" s="416"/>
    </row>
    <row r="4" spans="1:2" x14ac:dyDescent="0.3">
      <c r="A4" s="416">
        <v>1</v>
      </c>
      <c r="B4" s="416"/>
    </row>
    <row r="5" spans="1:2" x14ac:dyDescent="0.3">
      <c r="A5" s="416">
        <v>6</v>
      </c>
      <c r="B5" s="416"/>
    </row>
    <row r="6" spans="1:2" x14ac:dyDescent="0.3">
      <c r="A6" s="416" t="s">
        <v>99</v>
      </c>
      <c r="B6" s="416"/>
    </row>
    <row r="7" spans="1:2" x14ac:dyDescent="0.3">
      <c r="A7" s="416">
        <f>입력표!M46</f>
        <v>434</v>
      </c>
      <c r="B7" s="416"/>
    </row>
    <row r="8" spans="1:2" x14ac:dyDescent="0.3">
      <c r="A8" s="416" t="s">
        <v>100</v>
      </c>
      <c r="B8" s="416"/>
    </row>
    <row r="9" spans="1:2" x14ac:dyDescent="0.3">
      <c r="A9" s="416">
        <v>1</v>
      </c>
      <c r="B9" s="416"/>
    </row>
    <row r="10" spans="1:2" x14ac:dyDescent="0.3">
      <c r="A10" s="416" t="s">
        <v>101</v>
      </c>
      <c r="B10" s="416"/>
    </row>
    <row r="11" spans="1:2" x14ac:dyDescent="0.3">
      <c r="A11" s="416">
        <v>1</v>
      </c>
      <c r="B11" s="416"/>
    </row>
    <row r="12" spans="1:2" x14ac:dyDescent="0.3">
      <c r="A12" s="416" t="s">
        <v>102</v>
      </c>
      <c r="B12" s="416"/>
    </row>
    <row r="13" spans="1:2" x14ac:dyDescent="0.3">
      <c r="A13" s="416">
        <v>1</v>
      </c>
      <c r="B13" s="416"/>
    </row>
    <row r="14" spans="1:2" x14ac:dyDescent="0.3">
      <c r="A14" s="416" t="s">
        <v>103</v>
      </c>
      <c r="B14" s="416"/>
    </row>
    <row r="15" spans="1:2" x14ac:dyDescent="0.3">
      <c r="A15" s="416" t="str">
        <f>입력표!I54</f>
        <v>W-1</v>
      </c>
      <c r="B15" s="416"/>
    </row>
    <row r="16" spans="1:2" x14ac:dyDescent="0.3">
      <c r="A16" s="416">
        <v>0</v>
      </c>
      <c r="B16" s="416"/>
    </row>
    <row r="17" spans="1:2" x14ac:dyDescent="0.3">
      <c r="A17" s="416">
        <v>0</v>
      </c>
      <c r="B17" s="416"/>
    </row>
    <row r="18" spans="1:2" x14ac:dyDescent="0.3">
      <c r="A18" s="416">
        <f>입력표!N45/2/1000</f>
        <v>0.1</v>
      </c>
      <c r="B18" s="416"/>
    </row>
    <row r="19" spans="1:2" x14ac:dyDescent="0.3">
      <c r="A19" s="416">
        <f>입력표!M44/2/1000</f>
        <v>0.1</v>
      </c>
      <c r="B19" s="416"/>
    </row>
    <row r="20" spans="1:2" x14ac:dyDescent="0.3">
      <c r="A20" s="416">
        <v>0</v>
      </c>
      <c r="B20" s="416"/>
    </row>
    <row r="21" spans="1:2" x14ac:dyDescent="0.3">
      <c r="A21" s="416">
        <v>0</v>
      </c>
      <c r="B21" s="416"/>
    </row>
    <row r="22" spans="1:2" x14ac:dyDescent="0.3">
      <c r="A22" s="416">
        <v>1</v>
      </c>
      <c r="B22" s="416"/>
    </row>
    <row r="23" spans="1:2" x14ac:dyDescent="0.3">
      <c r="A23" s="416">
        <v>5</v>
      </c>
      <c r="B23" s="416"/>
    </row>
    <row r="24" spans="1:2" x14ac:dyDescent="0.3">
      <c r="A24" s="418">
        <v>0</v>
      </c>
      <c r="B24" s="418">
        <f>입력표!D3</f>
        <v>55</v>
      </c>
    </row>
    <row r="25" spans="1:2" x14ac:dyDescent="0.3">
      <c r="A25" s="418">
        <f>단계양수시험!D31</f>
        <v>120</v>
      </c>
      <c r="B25" s="418">
        <f>입력표!D4</f>
        <v>70</v>
      </c>
    </row>
    <row r="26" spans="1:2" x14ac:dyDescent="0.3">
      <c r="A26" s="418">
        <f>단계양수시험!D36</f>
        <v>240</v>
      </c>
      <c r="B26" s="418">
        <f>입력표!D5</f>
        <v>85</v>
      </c>
    </row>
    <row r="27" spans="1:2" x14ac:dyDescent="0.3">
      <c r="A27" s="418">
        <f>단계양수시험!D41</f>
        <v>360</v>
      </c>
      <c r="B27" s="418">
        <f>입력표!D6</f>
        <v>100</v>
      </c>
    </row>
    <row r="28" spans="1:2" x14ac:dyDescent="0.3">
      <c r="A28" s="418">
        <f>단계양수시험!D46</f>
        <v>480</v>
      </c>
      <c r="B28" s="418">
        <f>입력표!D7</f>
        <v>114.99999999999999</v>
      </c>
    </row>
    <row r="29" spans="1:2" x14ac:dyDescent="0.3">
      <c r="A29" s="416" t="s">
        <v>104</v>
      </c>
      <c r="B29" s="416"/>
    </row>
    <row r="30" spans="1:2" x14ac:dyDescent="0.3">
      <c r="A30" s="416" t="str">
        <f>A15</f>
        <v>W-1</v>
      </c>
      <c r="B30" s="416"/>
    </row>
    <row r="31" spans="1:2" x14ac:dyDescent="0.3">
      <c r="A31" s="419">
        <f>A19</f>
        <v>0.1</v>
      </c>
      <c r="B31" s="416"/>
    </row>
    <row r="32" spans="1:2" x14ac:dyDescent="0.3">
      <c r="A32" s="416">
        <v>0</v>
      </c>
      <c r="B32" s="416"/>
    </row>
    <row r="33" spans="1:3" x14ac:dyDescent="0.3">
      <c r="A33" s="416">
        <v>0</v>
      </c>
      <c r="B33" s="416"/>
    </row>
    <row r="34" spans="1:3" x14ac:dyDescent="0.3">
      <c r="A34" s="418">
        <f>SUM(C35:C134)</f>
        <v>100</v>
      </c>
      <c r="B34" s="416"/>
    </row>
    <row r="35" spans="1:3" x14ac:dyDescent="0.3">
      <c r="A35" s="416">
        <f>Sheet1!A1</f>
        <v>1</v>
      </c>
      <c r="B35" s="417">
        <f>Sheet1!B1</f>
        <v>1</v>
      </c>
      <c r="C35" s="418">
        <v>1</v>
      </c>
    </row>
    <row r="36" spans="1:3" x14ac:dyDescent="0.3">
      <c r="A36" s="416">
        <f>Sheet1!A2</f>
        <v>2</v>
      </c>
      <c r="B36" s="417">
        <f>Sheet1!B2</f>
        <v>1.44</v>
      </c>
      <c r="C36" s="418">
        <v>1</v>
      </c>
    </row>
    <row r="37" spans="1:3" x14ac:dyDescent="0.3">
      <c r="A37" s="416">
        <f>Sheet1!A3</f>
        <v>3</v>
      </c>
      <c r="B37" s="417">
        <f>Sheet1!B3</f>
        <v>1.71</v>
      </c>
      <c r="C37" s="418">
        <v>1</v>
      </c>
    </row>
    <row r="38" spans="1:3" x14ac:dyDescent="0.3">
      <c r="A38" s="416">
        <f>Sheet1!A4</f>
        <v>4</v>
      </c>
      <c r="B38" s="417">
        <f>Sheet1!B4</f>
        <v>1.89</v>
      </c>
      <c r="C38" s="418">
        <v>1</v>
      </c>
    </row>
    <row r="39" spans="1:3" x14ac:dyDescent="0.3">
      <c r="A39" s="416">
        <f>Sheet1!A5</f>
        <v>5</v>
      </c>
      <c r="B39" s="417">
        <f>Sheet1!B5</f>
        <v>2.04</v>
      </c>
      <c r="C39" s="418">
        <v>1</v>
      </c>
    </row>
    <row r="40" spans="1:3" x14ac:dyDescent="0.3">
      <c r="A40" s="416">
        <f>Sheet1!A6</f>
        <v>10</v>
      </c>
      <c r="B40" s="417">
        <f>Sheet1!B6</f>
        <v>2.4900000000000002</v>
      </c>
      <c r="C40" s="418">
        <v>1</v>
      </c>
    </row>
    <row r="41" spans="1:3" x14ac:dyDescent="0.3">
      <c r="A41" s="416">
        <f>Sheet1!A7</f>
        <v>15</v>
      </c>
      <c r="B41" s="417">
        <f>Sheet1!B7</f>
        <v>2.75</v>
      </c>
      <c r="C41" s="418">
        <v>1</v>
      </c>
    </row>
    <row r="42" spans="1:3" x14ac:dyDescent="0.3">
      <c r="A42" s="416">
        <f>Sheet1!A8</f>
        <v>20</v>
      </c>
      <c r="B42" s="417">
        <f>Sheet1!B8</f>
        <v>2.94</v>
      </c>
      <c r="C42" s="418">
        <v>1</v>
      </c>
    </row>
    <row r="43" spans="1:3" x14ac:dyDescent="0.3">
      <c r="A43" s="416">
        <f>Sheet1!A9</f>
        <v>25</v>
      </c>
      <c r="B43" s="417">
        <f>Sheet1!B9</f>
        <v>3.08</v>
      </c>
      <c r="C43" s="418">
        <v>1</v>
      </c>
    </row>
    <row r="44" spans="1:3" x14ac:dyDescent="0.3">
      <c r="A44" s="416">
        <f>Sheet1!A10</f>
        <v>30</v>
      </c>
      <c r="B44" s="417">
        <f>Sheet1!B10</f>
        <v>3.2</v>
      </c>
      <c r="C44" s="418">
        <v>1</v>
      </c>
    </row>
    <row r="45" spans="1:3" x14ac:dyDescent="0.3">
      <c r="A45" s="416">
        <f>Sheet1!A11</f>
        <v>35</v>
      </c>
      <c r="B45" s="417">
        <f>Sheet1!B11</f>
        <v>3.3</v>
      </c>
      <c r="C45" s="418">
        <v>1</v>
      </c>
    </row>
    <row r="46" spans="1:3" x14ac:dyDescent="0.3">
      <c r="A46" s="416">
        <f>Sheet1!A12</f>
        <v>40</v>
      </c>
      <c r="B46" s="417">
        <f>Sheet1!B12</f>
        <v>3.38</v>
      </c>
      <c r="C46" s="418">
        <v>1</v>
      </c>
    </row>
    <row r="47" spans="1:3" x14ac:dyDescent="0.3">
      <c r="A47" s="416">
        <f>Sheet1!A13</f>
        <v>45</v>
      </c>
      <c r="B47" s="417">
        <f>Sheet1!B13</f>
        <v>3.46</v>
      </c>
      <c r="C47" s="418">
        <v>1</v>
      </c>
    </row>
    <row r="48" spans="1:3" x14ac:dyDescent="0.3">
      <c r="A48" s="416">
        <f>Sheet1!A14</f>
        <v>50</v>
      </c>
      <c r="B48" s="417">
        <f>Sheet1!B14</f>
        <v>3.53</v>
      </c>
      <c r="C48" s="418">
        <v>1</v>
      </c>
    </row>
    <row r="49" spans="1:3" x14ac:dyDescent="0.3">
      <c r="A49" s="416">
        <f>Sheet1!A15</f>
        <v>55</v>
      </c>
      <c r="B49" s="417">
        <f>Sheet1!B15</f>
        <v>3.59</v>
      </c>
      <c r="C49" s="418">
        <v>1</v>
      </c>
    </row>
    <row r="50" spans="1:3" x14ac:dyDescent="0.3">
      <c r="A50" s="416">
        <f>Sheet1!A16</f>
        <v>60</v>
      </c>
      <c r="B50" s="417">
        <f>Sheet1!B16</f>
        <v>3.65</v>
      </c>
      <c r="C50" s="418">
        <v>1</v>
      </c>
    </row>
    <row r="51" spans="1:3" x14ac:dyDescent="0.3">
      <c r="A51" s="416">
        <f>Sheet1!A17</f>
        <v>75</v>
      </c>
      <c r="B51" s="417">
        <f>Sheet1!B17</f>
        <v>3.79</v>
      </c>
      <c r="C51" s="418">
        <v>1</v>
      </c>
    </row>
    <row r="52" spans="1:3" x14ac:dyDescent="0.3">
      <c r="A52" s="416">
        <f>Sheet1!A18</f>
        <v>90</v>
      </c>
      <c r="B52" s="417">
        <f>Sheet1!B18</f>
        <v>3.91</v>
      </c>
      <c r="C52" s="418">
        <v>1</v>
      </c>
    </row>
    <row r="53" spans="1:3" x14ac:dyDescent="0.3">
      <c r="A53" s="416">
        <f>Sheet1!A19</f>
        <v>105</v>
      </c>
      <c r="B53" s="417">
        <f>Sheet1!B19</f>
        <v>4.01</v>
      </c>
      <c r="C53" s="418">
        <v>1</v>
      </c>
    </row>
    <row r="54" spans="1:3" x14ac:dyDescent="0.3">
      <c r="A54" s="416">
        <f>Sheet1!A20</f>
        <v>120</v>
      </c>
      <c r="B54" s="417">
        <f>Sheet1!B20</f>
        <v>4.0999999999999996</v>
      </c>
      <c r="C54" s="418">
        <v>1</v>
      </c>
    </row>
    <row r="55" spans="1:3" x14ac:dyDescent="0.3">
      <c r="A55" s="416">
        <f>Sheet1!A21</f>
        <v>121</v>
      </c>
      <c r="B55" s="417">
        <f>Sheet1!B21</f>
        <v>4.26</v>
      </c>
      <c r="C55" s="418">
        <v>1</v>
      </c>
    </row>
    <row r="56" spans="1:3" x14ac:dyDescent="0.3">
      <c r="A56" s="416">
        <f>Sheet1!A22</f>
        <v>122</v>
      </c>
      <c r="B56" s="417">
        <f>Sheet1!B22</f>
        <v>4.41</v>
      </c>
      <c r="C56" s="418">
        <v>1</v>
      </c>
    </row>
    <row r="57" spans="1:3" x14ac:dyDescent="0.3">
      <c r="A57" s="416">
        <f>Sheet1!A23</f>
        <v>123</v>
      </c>
      <c r="B57" s="417">
        <f>Sheet1!B23</f>
        <v>4.55</v>
      </c>
      <c r="C57" s="418">
        <v>1</v>
      </c>
    </row>
    <row r="58" spans="1:3" x14ac:dyDescent="0.3">
      <c r="A58" s="416">
        <f>Sheet1!A24</f>
        <v>124</v>
      </c>
      <c r="B58" s="417">
        <f>Sheet1!B24</f>
        <v>4.68</v>
      </c>
      <c r="C58" s="418">
        <v>1</v>
      </c>
    </row>
    <row r="59" spans="1:3" x14ac:dyDescent="0.3">
      <c r="A59" s="416">
        <f>Sheet1!A25</f>
        <v>125</v>
      </c>
      <c r="B59" s="417">
        <f>Sheet1!B25</f>
        <v>4.8099999999999996</v>
      </c>
      <c r="C59" s="418">
        <v>1</v>
      </c>
    </row>
    <row r="60" spans="1:3" x14ac:dyDescent="0.3">
      <c r="A60" s="416">
        <f>Sheet1!A26</f>
        <v>130</v>
      </c>
      <c r="B60" s="417">
        <f>Sheet1!B26</f>
        <v>4.91</v>
      </c>
      <c r="C60" s="418">
        <v>1</v>
      </c>
    </row>
    <row r="61" spans="1:3" x14ac:dyDescent="0.3">
      <c r="A61" s="416">
        <f>Sheet1!A27</f>
        <v>135</v>
      </c>
      <c r="B61" s="417">
        <f>Sheet1!B27</f>
        <v>5.0200000000000005</v>
      </c>
      <c r="C61" s="418">
        <v>1</v>
      </c>
    </row>
    <row r="62" spans="1:3" x14ac:dyDescent="0.3">
      <c r="A62" s="416">
        <f>Sheet1!A28</f>
        <v>140</v>
      </c>
      <c r="B62" s="417">
        <f>Sheet1!B28</f>
        <v>5.05</v>
      </c>
      <c r="C62" s="418">
        <v>1</v>
      </c>
    </row>
    <row r="63" spans="1:3" x14ac:dyDescent="0.3">
      <c r="A63" s="416">
        <f>Sheet1!A29</f>
        <v>145</v>
      </c>
      <c r="B63" s="417">
        <f>Sheet1!B29</f>
        <v>5.1499999999999995</v>
      </c>
      <c r="C63" s="418">
        <v>1</v>
      </c>
    </row>
    <row r="64" spans="1:3" x14ac:dyDescent="0.3">
      <c r="A64" s="416">
        <f>Sheet1!A30</f>
        <v>150</v>
      </c>
      <c r="B64" s="417">
        <f>Sheet1!B30</f>
        <v>5.18</v>
      </c>
      <c r="C64" s="418">
        <v>1</v>
      </c>
    </row>
    <row r="65" spans="1:3" x14ac:dyDescent="0.3">
      <c r="A65" s="416">
        <f>Sheet1!A31</f>
        <v>155</v>
      </c>
      <c r="B65" s="417">
        <f>Sheet1!B31</f>
        <v>5.2399999999999993</v>
      </c>
      <c r="C65" s="418">
        <v>1</v>
      </c>
    </row>
    <row r="66" spans="1:3" x14ac:dyDescent="0.3">
      <c r="A66" s="416">
        <f>Sheet1!A32</f>
        <v>160</v>
      </c>
      <c r="B66" s="417">
        <f>Sheet1!B32</f>
        <v>5.2899999999999991</v>
      </c>
      <c r="C66" s="418">
        <v>1</v>
      </c>
    </row>
    <row r="67" spans="1:3" x14ac:dyDescent="0.3">
      <c r="A67" s="416">
        <f>Sheet1!A33</f>
        <v>165</v>
      </c>
      <c r="B67" s="417">
        <f>Sheet1!B33</f>
        <v>5.3299999999999992</v>
      </c>
      <c r="C67" s="418">
        <v>1</v>
      </c>
    </row>
    <row r="68" spans="1:3" x14ac:dyDescent="0.3">
      <c r="A68" s="416">
        <f>Sheet1!A34</f>
        <v>170</v>
      </c>
      <c r="B68" s="417">
        <f>Sheet1!B34</f>
        <v>5.3599999999999994</v>
      </c>
      <c r="C68" s="418">
        <v>1</v>
      </c>
    </row>
    <row r="69" spans="1:3" x14ac:dyDescent="0.3">
      <c r="A69" s="416">
        <f>Sheet1!A35</f>
        <v>175</v>
      </c>
      <c r="B69" s="417">
        <f>Sheet1!B35</f>
        <v>5.379999999999999</v>
      </c>
      <c r="C69" s="418">
        <v>1</v>
      </c>
    </row>
    <row r="70" spans="1:3" x14ac:dyDescent="0.3">
      <c r="A70" s="416">
        <f>Sheet1!A36</f>
        <v>180</v>
      </c>
      <c r="B70" s="417">
        <f>Sheet1!B36</f>
        <v>5.32</v>
      </c>
      <c r="C70" s="418">
        <v>1</v>
      </c>
    </row>
    <row r="71" spans="1:3" x14ac:dyDescent="0.3">
      <c r="A71" s="416">
        <f>Sheet1!A37</f>
        <v>195</v>
      </c>
      <c r="B71" s="417">
        <f>Sheet1!B37</f>
        <v>5.3900000000000006</v>
      </c>
      <c r="C71" s="418">
        <v>1</v>
      </c>
    </row>
    <row r="72" spans="1:3" x14ac:dyDescent="0.3">
      <c r="A72" s="416">
        <f>Sheet1!A38</f>
        <v>210</v>
      </c>
      <c r="B72" s="417">
        <f>Sheet1!B38</f>
        <v>5.45</v>
      </c>
      <c r="C72" s="418">
        <v>1</v>
      </c>
    </row>
    <row r="73" spans="1:3" x14ac:dyDescent="0.3">
      <c r="A73" s="416">
        <f>Sheet1!A39</f>
        <v>225</v>
      </c>
      <c r="B73" s="417">
        <f>Sheet1!B39</f>
        <v>5.5</v>
      </c>
      <c r="C73" s="418">
        <v>1</v>
      </c>
    </row>
    <row r="74" spans="1:3" x14ac:dyDescent="0.3">
      <c r="A74" s="416">
        <f>Sheet1!A40</f>
        <v>240</v>
      </c>
      <c r="B74" s="417">
        <f>Sheet1!B40</f>
        <v>5.46</v>
      </c>
      <c r="C74" s="418">
        <v>1</v>
      </c>
    </row>
    <row r="75" spans="1:3" x14ac:dyDescent="0.3">
      <c r="A75" s="416">
        <f>Sheet1!A41</f>
        <v>241</v>
      </c>
      <c r="B75" s="417">
        <f>Sheet1!B41</f>
        <v>5.64</v>
      </c>
      <c r="C75" s="418">
        <v>1</v>
      </c>
    </row>
    <row r="76" spans="1:3" x14ac:dyDescent="0.3">
      <c r="A76" s="416">
        <f>Sheet1!A42</f>
        <v>242</v>
      </c>
      <c r="B76" s="417">
        <f>Sheet1!B42</f>
        <v>5.8</v>
      </c>
      <c r="C76" s="418">
        <v>1</v>
      </c>
    </row>
    <row r="77" spans="1:3" x14ac:dyDescent="0.3">
      <c r="A77" s="416">
        <f>Sheet1!A43</f>
        <v>243</v>
      </c>
      <c r="B77" s="417">
        <f>Sheet1!B43</f>
        <v>5.95</v>
      </c>
      <c r="C77" s="418">
        <v>1</v>
      </c>
    </row>
    <row r="78" spans="1:3" x14ac:dyDescent="0.3">
      <c r="A78" s="416">
        <f>Sheet1!A44</f>
        <v>244</v>
      </c>
      <c r="B78" s="417">
        <f>Sheet1!B44</f>
        <v>6.09</v>
      </c>
      <c r="C78" s="418">
        <v>1</v>
      </c>
    </row>
    <row r="79" spans="1:3" x14ac:dyDescent="0.3">
      <c r="A79" s="416">
        <f>Sheet1!A45</f>
        <v>245</v>
      </c>
      <c r="B79" s="417">
        <f>Sheet1!B45</f>
        <v>6.22</v>
      </c>
      <c r="C79" s="418">
        <v>1</v>
      </c>
    </row>
    <row r="80" spans="1:3" x14ac:dyDescent="0.3">
      <c r="A80" s="416">
        <f>Sheet1!A46</f>
        <v>250</v>
      </c>
      <c r="B80" s="417">
        <f>Sheet1!B46</f>
        <v>6.38</v>
      </c>
      <c r="C80" s="418">
        <v>1</v>
      </c>
    </row>
    <row r="81" spans="1:3" x14ac:dyDescent="0.3">
      <c r="A81" s="416">
        <f>Sheet1!A47</f>
        <v>255</v>
      </c>
      <c r="B81" s="417">
        <f>Sheet1!B47</f>
        <v>6.49</v>
      </c>
      <c r="C81" s="418">
        <v>1</v>
      </c>
    </row>
    <row r="82" spans="1:3" x14ac:dyDescent="0.3">
      <c r="A82" s="416">
        <f>Sheet1!A48</f>
        <v>260</v>
      </c>
      <c r="B82" s="417">
        <f>Sheet1!B48</f>
        <v>6.53</v>
      </c>
      <c r="C82" s="418">
        <v>1</v>
      </c>
    </row>
    <row r="83" spans="1:3" x14ac:dyDescent="0.3">
      <c r="A83" s="416">
        <f>Sheet1!A49</f>
        <v>265</v>
      </c>
      <c r="B83" s="417">
        <f>Sheet1!B49</f>
        <v>6.6400000000000006</v>
      </c>
      <c r="C83" s="418">
        <v>1</v>
      </c>
    </row>
    <row r="84" spans="1:3" x14ac:dyDescent="0.3">
      <c r="A84" s="416">
        <f>Sheet1!A50</f>
        <v>270</v>
      </c>
      <c r="B84" s="417">
        <f>Sheet1!B50</f>
        <v>6.69</v>
      </c>
      <c r="C84" s="418">
        <v>1</v>
      </c>
    </row>
    <row r="85" spans="1:3" x14ac:dyDescent="0.3">
      <c r="A85" s="416">
        <f>Sheet1!A51</f>
        <v>275</v>
      </c>
      <c r="B85" s="417">
        <f>Sheet1!B51</f>
        <v>6.7600000000000007</v>
      </c>
      <c r="C85" s="418">
        <v>1</v>
      </c>
    </row>
    <row r="86" spans="1:3" x14ac:dyDescent="0.3">
      <c r="A86" s="416">
        <f>Sheet1!A52</f>
        <v>280</v>
      </c>
      <c r="B86" s="417">
        <f>Sheet1!B52</f>
        <v>6.8100000000000005</v>
      </c>
      <c r="C86" s="418">
        <v>1</v>
      </c>
    </row>
    <row r="87" spans="1:3" x14ac:dyDescent="0.3">
      <c r="A87" s="416">
        <f>Sheet1!A53</f>
        <v>285</v>
      </c>
      <c r="B87" s="417">
        <f>Sheet1!B53</f>
        <v>6.8500000000000005</v>
      </c>
      <c r="C87" s="418">
        <v>1</v>
      </c>
    </row>
    <row r="88" spans="1:3" x14ac:dyDescent="0.3">
      <c r="A88" s="416">
        <f>Sheet1!A54</f>
        <v>290</v>
      </c>
      <c r="B88" s="417">
        <f>Sheet1!B54</f>
        <v>6.8800000000000008</v>
      </c>
      <c r="C88" s="418">
        <v>1</v>
      </c>
    </row>
    <row r="89" spans="1:3" x14ac:dyDescent="0.3">
      <c r="A89" s="416">
        <f>Sheet1!A55</f>
        <v>295</v>
      </c>
      <c r="B89" s="417">
        <f>Sheet1!B55</f>
        <v>6.9</v>
      </c>
      <c r="C89" s="418">
        <v>1</v>
      </c>
    </row>
    <row r="90" spans="1:3" x14ac:dyDescent="0.3">
      <c r="A90" s="416">
        <f>Sheet1!A56</f>
        <v>300</v>
      </c>
      <c r="B90" s="417">
        <f>Sheet1!B56</f>
        <v>6.84</v>
      </c>
      <c r="C90" s="418">
        <v>1</v>
      </c>
    </row>
    <row r="91" spans="1:3" x14ac:dyDescent="0.3">
      <c r="A91" s="416">
        <f>Sheet1!A57</f>
        <v>315</v>
      </c>
      <c r="B91" s="417">
        <f>Sheet1!B57</f>
        <v>6.92</v>
      </c>
      <c r="C91" s="418">
        <v>1</v>
      </c>
    </row>
    <row r="92" spans="1:3" x14ac:dyDescent="0.3">
      <c r="A92" s="416">
        <f>Sheet1!A58</f>
        <v>330</v>
      </c>
      <c r="B92" s="417">
        <f>Sheet1!B58</f>
        <v>6.9799999999999995</v>
      </c>
      <c r="C92" s="418">
        <v>1</v>
      </c>
    </row>
    <row r="93" spans="1:3" x14ac:dyDescent="0.3">
      <c r="A93" s="416">
        <f>Sheet1!A59</f>
        <v>345</v>
      </c>
      <c r="B93" s="417">
        <f>Sheet1!B59</f>
        <v>7.0299999999999994</v>
      </c>
      <c r="C93" s="418">
        <v>1</v>
      </c>
    </row>
    <row r="94" spans="1:3" x14ac:dyDescent="0.3">
      <c r="A94" s="416">
        <f>Sheet1!A60</f>
        <v>360</v>
      </c>
      <c r="B94" s="417">
        <f>Sheet1!B60</f>
        <v>7</v>
      </c>
      <c r="C94" s="418">
        <v>1</v>
      </c>
    </row>
    <row r="95" spans="1:3" x14ac:dyDescent="0.3">
      <c r="A95" s="416">
        <f>Sheet1!A61</f>
        <v>361</v>
      </c>
      <c r="B95" s="417">
        <f>Sheet1!B61</f>
        <v>7.19</v>
      </c>
      <c r="C95" s="418">
        <v>1</v>
      </c>
    </row>
    <row r="96" spans="1:3" x14ac:dyDescent="0.3">
      <c r="A96" s="416">
        <f>Sheet1!A62</f>
        <v>362</v>
      </c>
      <c r="B96" s="417">
        <f>Sheet1!B62</f>
        <v>7.36</v>
      </c>
      <c r="C96" s="418">
        <v>1</v>
      </c>
    </row>
    <row r="97" spans="1:3" x14ac:dyDescent="0.3">
      <c r="A97" s="416">
        <f>Sheet1!A63</f>
        <v>363</v>
      </c>
      <c r="B97" s="417">
        <f>Sheet1!B63</f>
        <v>7.5200000000000005</v>
      </c>
      <c r="C97" s="418">
        <v>1</v>
      </c>
    </row>
    <row r="98" spans="1:3" x14ac:dyDescent="0.3">
      <c r="A98" s="416">
        <f>Sheet1!A64</f>
        <v>364</v>
      </c>
      <c r="B98" s="417">
        <f>Sheet1!B64</f>
        <v>7.6700000000000008</v>
      </c>
      <c r="C98" s="418">
        <v>1</v>
      </c>
    </row>
    <row r="99" spans="1:3" x14ac:dyDescent="0.3">
      <c r="A99" s="416">
        <f>Sheet1!A65</f>
        <v>365</v>
      </c>
      <c r="B99" s="417">
        <f>Sheet1!B65</f>
        <v>7.8100000000000005</v>
      </c>
      <c r="C99" s="418">
        <v>1</v>
      </c>
    </row>
    <row r="100" spans="1:3" x14ac:dyDescent="0.3">
      <c r="A100" s="416">
        <f>Sheet1!A66</f>
        <v>370</v>
      </c>
      <c r="B100" s="417">
        <f>Sheet1!B66</f>
        <v>8.0299999999999994</v>
      </c>
      <c r="C100" s="418">
        <v>1</v>
      </c>
    </row>
    <row r="101" spans="1:3" x14ac:dyDescent="0.3">
      <c r="A101" s="416">
        <f>Sheet1!A67</f>
        <v>375</v>
      </c>
      <c r="B101" s="417">
        <f>Sheet1!B67</f>
        <v>8.1499999999999986</v>
      </c>
      <c r="C101" s="418">
        <v>1</v>
      </c>
    </row>
    <row r="102" spans="1:3" x14ac:dyDescent="0.3">
      <c r="A102" s="416">
        <f>Sheet1!A68</f>
        <v>380</v>
      </c>
      <c r="B102" s="417">
        <f>Sheet1!B68</f>
        <v>8.1999999999999993</v>
      </c>
      <c r="C102" s="418">
        <v>1</v>
      </c>
    </row>
    <row r="103" spans="1:3" x14ac:dyDescent="0.3">
      <c r="A103" s="416">
        <f>Sheet1!A69</f>
        <v>385</v>
      </c>
      <c r="B103" s="417">
        <f>Sheet1!B69</f>
        <v>8.3199999999999985</v>
      </c>
      <c r="C103" s="418">
        <v>1</v>
      </c>
    </row>
    <row r="104" spans="1:3" x14ac:dyDescent="0.3">
      <c r="A104" s="416">
        <f>Sheet1!A70</f>
        <v>390</v>
      </c>
      <c r="B104" s="417">
        <f>Sheet1!B70</f>
        <v>8.3699999999999992</v>
      </c>
      <c r="C104" s="418">
        <v>1</v>
      </c>
    </row>
    <row r="105" spans="1:3" x14ac:dyDescent="0.3">
      <c r="A105" s="416">
        <f>Sheet1!A71</f>
        <v>395</v>
      </c>
      <c r="B105" s="417">
        <f>Sheet1!B71</f>
        <v>8.44</v>
      </c>
      <c r="C105" s="418">
        <v>1</v>
      </c>
    </row>
    <row r="106" spans="1:3" x14ac:dyDescent="0.3">
      <c r="A106" s="416">
        <f>Sheet1!A72</f>
        <v>400</v>
      </c>
      <c r="B106" s="417">
        <f>Sheet1!B72</f>
        <v>8.49</v>
      </c>
      <c r="C106" s="418">
        <v>1</v>
      </c>
    </row>
    <row r="107" spans="1:3" x14ac:dyDescent="0.3">
      <c r="A107" s="416">
        <f>Sheet1!A73</f>
        <v>405</v>
      </c>
      <c r="B107" s="417">
        <f>Sheet1!B73</f>
        <v>8.5299999999999994</v>
      </c>
      <c r="C107" s="418">
        <v>1</v>
      </c>
    </row>
    <row r="108" spans="1:3" x14ac:dyDescent="0.3">
      <c r="A108" s="416">
        <f>Sheet1!A74</f>
        <v>410</v>
      </c>
      <c r="B108" s="417">
        <f>Sheet1!B74</f>
        <v>8.5599999999999987</v>
      </c>
      <c r="C108" s="418">
        <v>1</v>
      </c>
    </row>
    <row r="109" spans="1:3" x14ac:dyDescent="0.3">
      <c r="A109" s="416">
        <f>Sheet1!A75</f>
        <v>415</v>
      </c>
      <c r="B109" s="417">
        <f>Sheet1!B75</f>
        <v>8.5899999999999981</v>
      </c>
      <c r="C109" s="418">
        <v>1</v>
      </c>
    </row>
    <row r="110" spans="1:3" x14ac:dyDescent="0.3">
      <c r="A110" s="416">
        <f>Sheet1!A76</f>
        <v>420</v>
      </c>
      <c r="B110" s="417">
        <f>Sheet1!B76</f>
        <v>8.5399999999999991</v>
      </c>
      <c r="C110" s="418">
        <v>1</v>
      </c>
    </row>
    <row r="111" spans="1:3" x14ac:dyDescent="0.3">
      <c r="A111" s="416">
        <f>Sheet1!A77</f>
        <v>435</v>
      </c>
      <c r="B111" s="417">
        <f>Sheet1!B77</f>
        <v>8.629999999999999</v>
      </c>
      <c r="C111" s="418">
        <v>1</v>
      </c>
    </row>
    <row r="112" spans="1:3" x14ac:dyDescent="0.3">
      <c r="A112" s="416">
        <f>Sheet1!A78</f>
        <v>450</v>
      </c>
      <c r="B112" s="417">
        <f>Sheet1!B78</f>
        <v>8.6999999999999993</v>
      </c>
      <c r="C112" s="418">
        <v>1</v>
      </c>
    </row>
    <row r="113" spans="1:3" x14ac:dyDescent="0.3">
      <c r="A113" s="416">
        <f>Sheet1!A79</f>
        <v>465</v>
      </c>
      <c r="B113" s="417">
        <f>Sheet1!B79</f>
        <v>8.75</v>
      </c>
      <c r="C113" s="418">
        <v>1</v>
      </c>
    </row>
    <row r="114" spans="1:3" x14ac:dyDescent="0.3">
      <c r="A114" s="416">
        <f>Sheet1!A80</f>
        <v>480</v>
      </c>
      <c r="B114" s="417">
        <f>Sheet1!B80</f>
        <v>8.7200000000000006</v>
      </c>
      <c r="C114" s="418">
        <v>1</v>
      </c>
    </row>
    <row r="115" spans="1:3" x14ac:dyDescent="0.3">
      <c r="A115" s="416">
        <f>Sheet1!A81</f>
        <v>481</v>
      </c>
      <c r="B115" s="417">
        <f>Sheet1!B81</f>
        <v>8.9300000000000015</v>
      </c>
      <c r="C115" s="418">
        <v>1</v>
      </c>
    </row>
    <row r="116" spans="1:3" x14ac:dyDescent="0.3">
      <c r="A116" s="416">
        <f>Sheet1!A82</f>
        <v>482</v>
      </c>
      <c r="B116" s="417">
        <f>Sheet1!B82</f>
        <v>9.120000000000001</v>
      </c>
      <c r="C116" s="418">
        <v>1</v>
      </c>
    </row>
    <row r="117" spans="1:3" x14ac:dyDescent="0.3">
      <c r="A117" s="416">
        <f>Sheet1!A83</f>
        <v>483</v>
      </c>
      <c r="B117" s="417">
        <f>Sheet1!B83</f>
        <v>9.2900000000000009</v>
      </c>
      <c r="C117" s="418">
        <v>1</v>
      </c>
    </row>
    <row r="118" spans="1:3" x14ac:dyDescent="0.3">
      <c r="A118" s="416">
        <f>Sheet1!A84</f>
        <v>484</v>
      </c>
      <c r="B118" s="417">
        <f>Sheet1!B84</f>
        <v>9.4500000000000011</v>
      </c>
      <c r="C118" s="418">
        <v>1</v>
      </c>
    </row>
    <row r="119" spans="1:3" x14ac:dyDescent="0.3">
      <c r="A119" s="416">
        <f>Sheet1!A85</f>
        <v>485</v>
      </c>
      <c r="B119" s="417">
        <f>Sheet1!B85</f>
        <v>9.5900000000000016</v>
      </c>
      <c r="C119" s="418">
        <v>1</v>
      </c>
    </row>
    <row r="120" spans="1:3" x14ac:dyDescent="0.3">
      <c r="A120" s="416">
        <f>Sheet1!A86</f>
        <v>490</v>
      </c>
      <c r="B120" s="417">
        <f>Sheet1!B86</f>
        <v>9.76</v>
      </c>
      <c r="C120" s="418">
        <v>1</v>
      </c>
    </row>
    <row r="121" spans="1:3" x14ac:dyDescent="0.3">
      <c r="A121" s="416">
        <f>Sheet1!A87</f>
        <v>495</v>
      </c>
      <c r="B121" s="417">
        <f>Sheet1!B87</f>
        <v>10.07</v>
      </c>
      <c r="C121" s="418">
        <v>1</v>
      </c>
    </row>
    <row r="122" spans="1:3" x14ac:dyDescent="0.3">
      <c r="A122" s="416">
        <f>Sheet1!A88</f>
        <v>500</v>
      </c>
      <c r="B122" s="417">
        <f>Sheet1!B88</f>
        <v>10.15</v>
      </c>
      <c r="C122" s="418">
        <v>1</v>
      </c>
    </row>
    <row r="123" spans="1:3" x14ac:dyDescent="0.3">
      <c r="A123" s="416">
        <f>Sheet1!A89</f>
        <v>505</v>
      </c>
      <c r="B123" s="417">
        <f>Sheet1!B89</f>
        <v>10.450000000000001</v>
      </c>
      <c r="C123" s="418">
        <v>1</v>
      </c>
    </row>
    <row r="124" spans="1:3" x14ac:dyDescent="0.3">
      <c r="A124" s="416">
        <f>Sheet1!A90</f>
        <v>510</v>
      </c>
      <c r="B124" s="417">
        <f>Sheet1!B90</f>
        <v>10.54</v>
      </c>
      <c r="C124" s="418">
        <v>1</v>
      </c>
    </row>
    <row r="125" spans="1:3" x14ac:dyDescent="0.3">
      <c r="A125" s="416">
        <f>Sheet1!A91</f>
        <v>515</v>
      </c>
      <c r="B125" s="417">
        <f>Sheet1!B91</f>
        <v>10.69</v>
      </c>
      <c r="C125" s="418">
        <v>1</v>
      </c>
    </row>
    <row r="126" spans="1:3" x14ac:dyDescent="0.3">
      <c r="A126" s="416">
        <f>Sheet1!A92</f>
        <v>520</v>
      </c>
      <c r="B126" s="417">
        <f>Sheet1!B92</f>
        <v>10.82</v>
      </c>
      <c r="C126" s="418">
        <v>1</v>
      </c>
    </row>
    <row r="127" spans="1:3" x14ac:dyDescent="0.3">
      <c r="A127" s="416">
        <f>Sheet1!A93</f>
        <v>525</v>
      </c>
      <c r="B127" s="417">
        <f>Sheet1!B93</f>
        <v>10.93</v>
      </c>
      <c r="C127" s="418">
        <v>1</v>
      </c>
    </row>
    <row r="128" spans="1:3" x14ac:dyDescent="0.3">
      <c r="A128" s="416">
        <f>Sheet1!A94</f>
        <v>530</v>
      </c>
      <c r="B128" s="417">
        <f>Sheet1!B94</f>
        <v>11.01</v>
      </c>
      <c r="C128" s="418">
        <v>1</v>
      </c>
    </row>
    <row r="129" spans="1:3" x14ac:dyDescent="0.3">
      <c r="A129" s="416">
        <f>Sheet1!A95</f>
        <v>535</v>
      </c>
      <c r="B129" s="417">
        <f>Sheet1!B95</f>
        <v>11.08</v>
      </c>
      <c r="C129" s="418">
        <v>1</v>
      </c>
    </row>
    <row r="130" spans="1:3" x14ac:dyDescent="0.3">
      <c r="A130" s="416">
        <f>Sheet1!A96</f>
        <v>540</v>
      </c>
      <c r="B130" s="417">
        <f>Sheet1!B96</f>
        <v>10.93</v>
      </c>
      <c r="C130" s="418">
        <v>1</v>
      </c>
    </row>
    <row r="131" spans="1:3" x14ac:dyDescent="0.3">
      <c r="A131" s="416">
        <f>Sheet1!A97</f>
        <v>555</v>
      </c>
      <c r="B131" s="417">
        <f>Sheet1!B97</f>
        <v>11.12</v>
      </c>
      <c r="C131" s="418">
        <v>1</v>
      </c>
    </row>
    <row r="132" spans="1:3" x14ac:dyDescent="0.3">
      <c r="A132" s="416">
        <f>Sheet1!A98</f>
        <v>570</v>
      </c>
      <c r="B132" s="417">
        <f>Sheet1!B98</f>
        <v>11.28</v>
      </c>
      <c r="C132" s="418">
        <v>1</v>
      </c>
    </row>
    <row r="133" spans="1:3" x14ac:dyDescent="0.3">
      <c r="A133" s="416">
        <f>Sheet1!A99</f>
        <v>585</v>
      </c>
      <c r="B133" s="417">
        <f>Sheet1!B99</f>
        <v>11.42</v>
      </c>
      <c r="C133" s="418">
        <v>1</v>
      </c>
    </row>
    <row r="134" spans="1:3" x14ac:dyDescent="0.3">
      <c r="A134" s="416">
        <f>Sheet1!A100</f>
        <v>600</v>
      </c>
      <c r="B134" s="417">
        <f>Sheet1!B100</f>
        <v>11.33</v>
      </c>
      <c r="C134" s="418">
        <v>1</v>
      </c>
    </row>
    <row r="135" spans="1:3" x14ac:dyDescent="0.3">
      <c r="A135" s="41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16"/>
    <col min="2" max="3" width="8.88671875" style="417"/>
    <col min="4" max="16384" width="8.88671875" style="416"/>
  </cols>
  <sheetData>
    <row r="1" spans="1:2" x14ac:dyDescent="0.3">
      <c r="B1" s="416"/>
    </row>
    <row r="2" spans="1:2" x14ac:dyDescent="0.3">
      <c r="A2" s="416" t="s">
        <v>98</v>
      </c>
      <c r="B2" s="416"/>
    </row>
    <row r="3" spans="1:2" x14ac:dyDescent="0.3">
      <c r="A3" s="416">
        <v>2</v>
      </c>
      <c r="B3" s="416"/>
    </row>
    <row r="4" spans="1:2" x14ac:dyDescent="0.3">
      <c r="A4" s="416">
        <v>1</v>
      </c>
      <c r="B4" s="416"/>
    </row>
    <row r="5" spans="1:2" x14ac:dyDescent="0.3">
      <c r="A5" s="416">
        <v>6</v>
      </c>
      <c r="B5" s="416"/>
    </row>
    <row r="6" spans="1:2" x14ac:dyDescent="0.3">
      <c r="A6" s="416" t="s">
        <v>99</v>
      </c>
      <c r="B6" s="416"/>
    </row>
    <row r="7" spans="1:2" x14ac:dyDescent="0.3">
      <c r="A7" s="416">
        <f>Step.Select!A7</f>
        <v>434</v>
      </c>
      <c r="B7" s="416"/>
    </row>
    <row r="8" spans="1:2" x14ac:dyDescent="0.3">
      <c r="A8" s="416" t="s">
        <v>100</v>
      </c>
      <c r="B8" s="416"/>
    </row>
    <row r="9" spans="1:2" x14ac:dyDescent="0.3">
      <c r="A9" s="416">
        <v>1</v>
      </c>
      <c r="B9" s="416"/>
    </row>
    <row r="10" spans="1:2" x14ac:dyDescent="0.3">
      <c r="A10" s="416" t="s">
        <v>101</v>
      </c>
      <c r="B10" s="416"/>
    </row>
    <row r="11" spans="1:2" x14ac:dyDescent="0.3">
      <c r="A11" s="416">
        <v>1</v>
      </c>
      <c r="B11" s="416"/>
    </row>
    <row r="12" spans="1:2" x14ac:dyDescent="0.3">
      <c r="A12" s="416" t="s">
        <v>102</v>
      </c>
      <c r="B12" s="416"/>
    </row>
    <row r="13" spans="1:2" x14ac:dyDescent="0.3">
      <c r="A13" s="416">
        <v>1</v>
      </c>
      <c r="B13" s="416"/>
    </row>
    <row r="14" spans="1:2" x14ac:dyDescent="0.3">
      <c r="A14" s="416" t="s">
        <v>103</v>
      </c>
      <c r="B14" s="416"/>
    </row>
    <row r="15" spans="1:2" x14ac:dyDescent="0.3">
      <c r="A15" s="416" t="str">
        <f>입력표!I54</f>
        <v>W-1</v>
      </c>
      <c r="B15" s="416"/>
    </row>
    <row r="16" spans="1:2" x14ac:dyDescent="0.3">
      <c r="A16" s="416">
        <v>0</v>
      </c>
      <c r="B16" s="416"/>
    </row>
    <row r="17" spans="1:3" x14ac:dyDescent="0.3">
      <c r="A17" s="416">
        <v>0</v>
      </c>
      <c r="B17" s="416"/>
    </row>
    <row r="18" spans="1:3" x14ac:dyDescent="0.3">
      <c r="A18" s="416">
        <f>Step.Select!A18</f>
        <v>0.1</v>
      </c>
      <c r="B18" s="416"/>
    </row>
    <row r="19" spans="1:3" x14ac:dyDescent="0.3">
      <c r="A19" s="416">
        <f>Step.Select!A19</f>
        <v>0.1</v>
      </c>
      <c r="B19" s="416"/>
    </row>
    <row r="20" spans="1:3" x14ac:dyDescent="0.3">
      <c r="A20" s="416">
        <v>0</v>
      </c>
      <c r="B20" s="416"/>
    </row>
    <row r="21" spans="1:3" x14ac:dyDescent="0.3">
      <c r="A21" s="416">
        <v>0</v>
      </c>
      <c r="B21" s="416"/>
    </row>
    <row r="22" spans="1:3" x14ac:dyDescent="0.3">
      <c r="A22" s="416">
        <v>1</v>
      </c>
      <c r="B22" s="416"/>
    </row>
    <row r="23" spans="1:3" x14ac:dyDescent="0.3">
      <c r="A23" s="416">
        <v>1</v>
      </c>
      <c r="B23" s="416"/>
    </row>
    <row r="24" spans="1:3" x14ac:dyDescent="0.3">
      <c r="A24" s="418">
        <v>0</v>
      </c>
      <c r="B24" s="418">
        <f>입력표!M51</f>
        <v>87</v>
      </c>
    </row>
    <row r="25" spans="1:3" x14ac:dyDescent="0.3">
      <c r="A25" s="416" t="s">
        <v>104</v>
      </c>
      <c r="B25" s="416"/>
    </row>
    <row r="26" spans="1:3" x14ac:dyDescent="0.3">
      <c r="A26" s="416" t="str">
        <f>A15</f>
        <v>W-1</v>
      </c>
      <c r="B26" s="416"/>
    </row>
    <row r="27" spans="1:3" x14ac:dyDescent="0.3">
      <c r="A27" s="419">
        <f>스킨팩터!C8</f>
        <v>1.7569999999999999</v>
      </c>
      <c r="B27" s="416"/>
    </row>
    <row r="28" spans="1:3" x14ac:dyDescent="0.3">
      <c r="A28" s="416">
        <v>0</v>
      </c>
      <c r="B28" s="416"/>
    </row>
    <row r="29" spans="1:3" x14ac:dyDescent="0.3">
      <c r="A29" s="416">
        <v>0</v>
      </c>
      <c r="B29" s="416"/>
    </row>
    <row r="30" spans="1:3" x14ac:dyDescent="0.3">
      <c r="A30" s="418">
        <f>SUM(C31:C98)</f>
        <v>68</v>
      </c>
      <c r="B30" s="416"/>
    </row>
    <row r="31" spans="1:3" x14ac:dyDescent="0.3">
      <c r="A31" s="416">
        <f>장기양수시험!D10</f>
        <v>1</v>
      </c>
      <c r="B31" s="420">
        <f>장기양수시험!G10</f>
        <v>1.9289568893769857</v>
      </c>
      <c r="C31" s="418">
        <v>1</v>
      </c>
    </row>
    <row r="32" spans="1:3" x14ac:dyDescent="0.3">
      <c r="A32" s="416">
        <f>장기양수시험!D11</f>
        <v>2</v>
      </c>
      <c r="B32" s="420">
        <f>장기양수시험!G11</f>
        <v>2.7392146799906669</v>
      </c>
      <c r="C32" s="418">
        <v>1</v>
      </c>
    </row>
    <row r="33" spans="1:3" x14ac:dyDescent="0.3">
      <c r="A33" s="416">
        <f>장기양수시험!D12</f>
        <v>3</v>
      </c>
      <c r="B33" s="420">
        <f>장기양수시험!G12</f>
        <v>3.2131851034168442</v>
      </c>
      <c r="C33" s="418">
        <v>1</v>
      </c>
    </row>
    <row r="34" spans="1:3" x14ac:dyDescent="0.3">
      <c r="A34" s="416">
        <f>장기양수시험!D13</f>
        <v>4</v>
      </c>
      <c r="B34" s="420">
        <f>장기양수시험!G13</f>
        <v>3.5494724706043499</v>
      </c>
      <c r="C34" s="418">
        <v>1</v>
      </c>
    </row>
    <row r="35" spans="1:3" x14ac:dyDescent="0.3">
      <c r="A35" s="416">
        <f>장기양수시험!D14</f>
        <v>5</v>
      </c>
      <c r="B35" s="420">
        <f>장기양수시험!G14</f>
        <v>3.8103172175042541</v>
      </c>
      <c r="C35" s="418">
        <v>1</v>
      </c>
    </row>
    <row r="36" spans="1:3" x14ac:dyDescent="0.3">
      <c r="A36" s="416">
        <f>장기양수시험!D15</f>
        <v>10</v>
      </c>
      <c r="B36" s="420">
        <f>장기양수시험!G15</f>
        <v>4.6205750081179371</v>
      </c>
      <c r="C36" s="418">
        <v>1</v>
      </c>
    </row>
    <row r="37" spans="1:3" x14ac:dyDescent="0.3">
      <c r="A37" s="416">
        <f>장기양수시험!D16</f>
        <v>15</v>
      </c>
      <c r="B37" s="420">
        <f>장기양수시험!G16</f>
        <v>5.0945454315441143</v>
      </c>
      <c r="C37" s="418">
        <v>1</v>
      </c>
    </row>
    <row r="38" spans="1:3" x14ac:dyDescent="0.3">
      <c r="A38" s="416">
        <f>장기양수시험!D17</f>
        <v>20</v>
      </c>
      <c r="B38" s="420">
        <f>장기양수시험!G17</f>
        <v>5.4308327987316183</v>
      </c>
      <c r="C38" s="418">
        <v>1</v>
      </c>
    </row>
    <row r="39" spans="1:3" x14ac:dyDescent="0.3">
      <c r="A39" s="416">
        <f>장기양수시험!D18</f>
        <v>25</v>
      </c>
      <c r="B39" s="420">
        <f>장기양수시험!G18</f>
        <v>5.6916775456315243</v>
      </c>
      <c r="C39" s="418">
        <v>1</v>
      </c>
    </row>
    <row r="40" spans="1:3" x14ac:dyDescent="0.3">
      <c r="A40" s="416">
        <f>장기양수시험!D19</f>
        <v>30</v>
      </c>
      <c r="B40" s="420">
        <f>장기양수시험!G19</f>
        <v>5.9048032221577973</v>
      </c>
      <c r="C40" s="418">
        <v>1</v>
      </c>
    </row>
    <row r="41" spans="1:3" x14ac:dyDescent="0.3">
      <c r="A41" s="416">
        <f>장기양수시험!D20</f>
        <v>35</v>
      </c>
      <c r="B41" s="420">
        <f>장기양수시험!G20</f>
        <v>6.0849984141190934</v>
      </c>
      <c r="C41" s="418">
        <v>1</v>
      </c>
    </row>
    <row r="42" spans="1:3" x14ac:dyDescent="0.3">
      <c r="A42" s="416">
        <f>장기양수시험!D21</f>
        <v>40</v>
      </c>
      <c r="B42" s="420">
        <f>장기양수시험!G21</f>
        <v>6.2410905893452995</v>
      </c>
      <c r="C42" s="418">
        <v>1</v>
      </c>
    </row>
    <row r="43" spans="1:3" x14ac:dyDescent="0.3">
      <c r="A43" s="416">
        <f>장기양수시험!D22</f>
        <v>45</v>
      </c>
      <c r="B43" s="420">
        <f>장기양수시험!G22</f>
        <v>6.3787736455839728</v>
      </c>
      <c r="C43" s="418">
        <v>1</v>
      </c>
    </row>
    <row r="44" spans="1:3" x14ac:dyDescent="0.3">
      <c r="A44" s="416">
        <f>장기양수시험!D23</f>
        <v>50</v>
      </c>
      <c r="B44" s="420">
        <f>장기양수시험!G23</f>
        <v>6.5019353362452055</v>
      </c>
      <c r="C44" s="418">
        <v>1</v>
      </c>
    </row>
    <row r="45" spans="1:3" x14ac:dyDescent="0.3">
      <c r="A45" s="416">
        <f>장기양수시험!D24</f>
        <v>55</v>
      </c>
      <c r="B45" s="420">
        <f>장기양수시험!G24</f>
        <v>6.5819386376004241</v>
      </c>
      <c r="C45" s="418">
        <v>1</v>
      </c>
    </row>
    <row r="46" spans="1:3" x14ac:dyDescent="0.3">
      <c r="A46" s="416">
        <f>장기양수시험!D25</f>
        <v>60</v>
      </c>
      <c r="B46" s="420">
        <f>장기양수시험!G25</f>
        <v>6.7150610127714767</v>
      </c>
      <c r="C46" s="418">
        <v>1</v>
      </c>
    </row>
    <row r="47" spans="1:3" x14ac:dyDescent="0.3">
      <c r="A47" s="416">
        <f>장기양수시험!D26</f>
        <v>75</v>
      </c>
      <c r="B47" s="420">
        <f>장기양수시험!G26</f>
        <v>6.9759057596713845</v>
      </c>
      <c r="C47" s="418">
        <v>1</v>
      </c>
    </row>
    <row r="48" spans="1:3" x14ac:dyDescent="0.3">
      <c r="A48" s="416">
        <f>장기양수시험!D27</f>
        <v>90</v>
      </c>
      <c r="B48" s="420">
        <f>장기양수시험!G27</f>
        <v>7.1890314361976539</v>
      </c>
      <c r="C48" s="418">
        <v>1</v>
      </c>
    </row>
    <row r="49" spans="1:3" x14ac:dyDescent="0.3">
      <c r="A49" s="416">
        <f>장기양수시험!D28</f>
        <v>105</v>
      </c>
      <c r="B49" s="420">
        <f>장기양수시험!G28</f>
        <v>7.3692266281589536</v>
      </c>
      <c r="C49" s="418">
        <v>1</v>
      </c>
    </row>
    <row r="50" spans="1:3" x14ac:dyDescent="0.3">
      <c r="A50" s="416">
        <f>장기양수시험!D29</f>
        <v>120</v>
      </c>
      <c r="B50" s="420">
        <f>장기양수시험!G29</f>
        <v>7.5253188033851579</v>
      </c>
      <c r="C50" s="418">
        <v>1</v>
      </c>
    </row>
    <row r="51" spans="1:3" x14ac:dyDescent="0.3">
      <c r="A51" s="416">
        <f>장기양수시험!D30</f>
        <v>140</v>
      </c>
      <c r="B51" s="420">
        <f>장기양수시험!G30</f>
        <v>7.7055139953464575</v>
      </c>
      <c r="C51" s="418">
        <v>1</v>
      </c>
    </row>
    <row r="52" spans="1:3" x14ac:dyDescent="0.3">
      <c r="A52" s="416">
        <f>장기양수시험!D31</f>
        <v>160</v>
      </c>
      <c r="B52" s="420">
        <f>장기양수시험!G31</f>
        <v>7.8616061705726636</v>
      </c>
      <c r="C52" s="418">
        <v>1</v>
      </c>
    </row>
    <row r="53" spans="1:3" x14ac:dyDescent="0.3">
      <c r="A53" s="416">
        <f>장기양수시험!D32</f>
        <v>180</v>
      </c>
      <c r="B53" s="420">
        <f>장기양수시험!G32</f>
        <v>7.9992892268113351</v>
      </c>
      <c r="C53" s="418">
        <v>1</v>
      </c>
    </row>
    <row r="54" spans="1:3" x14ac:dyDescent="0.3">
      <c r="A54" s="416">
        <f>장기양수시험!D33</f>
        <v>240</v>
      </c>
      <c r="B54" s="420">
        <f>장기양수시험!G33</f>
        <v>8.3355765939988391</v>
      </c>
      <c r="C54" s="418">
        <v>1</v>
      </c>
    </row>
    <row r="55" spans="1:3" x14ac:dyDescent="0.3">
      <c r="A55" s="416">
        <f>장기양수시험!D34</f>
        <v>300</v>
      </c>
      <c r="B55" s="420">
        <f>장기양수시험!G34</f>
        <v>8.5964213408987469</v>
      </c>
      <c r="C55" s="418">
        <v>1</v>
      </c>
    </row>
    <row r="56" spans="1:3" x14ac:dyDescent="0.3">
      <c r="A56" s="416">
        <f>장기양수시험!D35</f>
        <v>360</v>
      </c>
      <c r="B56" s="420">
        <f>장기양수시험!G35</f>
        <v>8.8095470174250181</v>
      </c>
      <c r="C56" s="418">
        <v>1</v>
      </c>
    </row>
    <row r="57" spans="1:3" x14ac:dyDescent="0.3">
      <c r="A57" s="416">
        <f>장기양수시험!D36</f>
        <v>420</v>
      </c>
      <c r="B57" s="420">
        <f>장기양수시험!G36</f>
        <v>8.9897422093863177</v>
      </c>
      <c r="C57" s="418">
        <v>1</v>
      </c>
    </row>
    <row r="58" spans="1:3" x14ac:dyDescent="0.3">
      <c r="A58" s="416">
        <f>장기양수시험!D37</f>
        <v>480</v>
      </c>
      <c r="B58" s="420">
        <f>장기양수시험!G37</f>
        <v>9.1458343846125203</v>
      </c>
      <c r="C58" s="418">
        <v>1</v>
      </c>
    </row>
    <row r="59" spans="1:3" x14ac:dyDescent="0.3">
      <c r="A59" s="416">
        <f>장기양수시험!D38</f>
        <v>540</v>
      </c>
      <c r="B59" s="420">
        <f>장기양수시험!G38</f>
        <v>9.2835174408511953</v>
      </c>
      <c r="C59" s="418">
        <v>1</v>
      </c>
    </row>
    <row r="60" spans="1:3" x14ac:dyDescent="0.3">
      <c r="A60" s="416">
        <f>장기양수시험!D39</f>
        <v>600</v>
      </c>
      <c r="B60" s="420">
        <f>장기양수시험!G39</f>
        <v>9.4066791315124281</v>
      </c>
      <c r="C60" s="418">
        <v>1</v>
      </c>
    </row>
    <row r="61" spans="1:3" x14ac:dyDescent="0.3">
      <c r="A61" s="416">
        <f>장기양수시험!D40</f>
        <v>660</v>
      </c>
      <c r="B61" s="420">
        <f>장기양수시험!G40</f>
        <v>9.5180924328676451</v>
      </c>
      <c r="C61" s="418">
        <v>1</v>
      </c>
    </row>
    <row r="62" spans="1:3" x14ac:dyDescent="0.3">
      <c r="A62" s="416">
        <f>장기양수시험!D41</f>
        <v>720</v>
      </c>
      <c r="B62" s="420">
        <f>장기양수시험!G41</f>
        <v>9.6198048080387011</v>
      </c>
      <c r="C62" s="418">
        <v>1</v>
      </c>
    </row>
    <row r="63" spans="1:3" x14ac:dyDescent="0.3">
      <c r="A63" s="416">
        <f>장기양수시험!D42</f>
        <v>780</v>
      </c>
      <c r="B63" s="420">
        <f>장기양수시험!G42</f>
        <v>9.7133711230915907</v>
      </c>
      <c r="C63" s="418">
        <v>1</v>
      </c>
    </row>
    <row r="64" spans="1:3" x14ac:dyDescent="0.3">
      <c r="A64" s="416">
        <f>장기양수시험!D43</f>
        <v>840</v>
      </c>
      <c r="B64" s="420">
        <f>장기양수시험!G43</f>
        <v>9.7999999999999972</v>
      </c>
      <c r="C64" s="418">
        <v>1</v>
      </c>
    </row>
    <row r="65" spans="1:3" x14ac:dyDescent="0.3">
      <c r="A65" s="416">
        <f>장기양수시험!D44</f>
        <v>900</v>
      </c>
      <c r="B65" s="420">
        <f>장기양수시험!G44</f>
        <v>9.7999999999999972</v>
      </c>
      <c r="C65" s="418">
        <v>1</v>
      </c>
    </row>
    <row r="66" spans="1:3" x14ac:dyDescent="0.3">
      <c r="A66" s="416">
        <f>장기양수시험!D45</f>
        <v>960</v>
      </c>
      <c r="B66" s="420">
        <f>장기양수시험!G45</f>
        <v>9.7999999999999972</v>
      </c>
      <c r="C66" s="418">
        <v>1</v>
      </c>
    </row>
    <row r="67" spans="1:3" x14ac:dyDescent="0.3">
      <c r="A67" s="416">
        <f>장기양수시험!D46</f>
        <v>1020</v>
      </c>
      <c r="B67" s="420">
        <f>장기양수시험!G46</f>
        <v>9.7999999999999972</v>
      </c>
      <c r="C67" s="418">
        <v>1</v>
      </c>
    </row>
    <row r="68" spans="1:3" x14ac:dyDescent="0.3">
      <c r="A68" s="416">
        <f>장기양수시험!D47</f>
        <v>1080</v>
      </c>
      <c r="B68" s="420">
        <f>장기양수시험!G47</f>
        <v>9.7999999999999972</v>
      </c>
      <c r="C68" s="418">
        <v>1</v>
      </c>
    </row>
    <row r="69" spans="1:3" x14ac:dyDescent="0.3">
      <c r="A69" s="416">
        <f>장기양수시험!D48</f>
        <v>1140</v>
      </c>
      <c r="B69" s="420">
        <f>장기양수시험!G48</f>
        <v>9.7999999999999972</v>
      </c>
      <c r="C69" s="418">
        <v>1</v>
      </c>
    </row>
    <row r="70" spans="1:3" x14ac:dyDescent="0.3">
      <c r="A70" s="416">
        <f>장기양수시험!D49</f>
        <v>1200</v>
      </c>
      <c r="B70" s="420">
        <f>장기양수시험!G49</f>
        <v>9.7999999999999972</v>
      </c>
      <c r="C70" s="418">
        <v>1</v>
      </c>
    </row>
    <row r="71" spans="1:3" x14ac:dyDescent="0.3">
      <c r="A71" s="416">
        <f>장기양수시험!D50</f>
        <v>1260</v>
      </c>
      <c r="B71" s="420">
        <f>장기양수시험!G50</f>
        <v>9.7999999999999972</v>
      </c>
      <c r="C71" s="418">
        <v>1</v>
      </c>
    </row>
    <row r="72" spans="1:3" x14ac:dyDescent="0.3">
      <c r="A72" s="416">
        <f>장기양수시험!D51</f>
        <v>1320</v>
      </c>
      <c r="B72" s="420">
        <f>장기양수시험!G51</f>
        <v>9.7999999999999972</v>
      </c>
      <c r="C72" s="418">
        <v>1</v>
      </c>
    </row>
    <row r="73" spans="1:3" x14ac:dyDescent="0.3">
      <c r="A73" s="416">
        <f>장기양수시험!D52</f>
        <v>1380</v>
      </c>
      <c r="B73" s="420">
        <f>장기양수시험!G52</f>
        <v>9.7999999999999972</v>
      </c>
      <c r="C73" s="418">
        <v>1</v>
      </c>
    </row>
    <row r="74" spans="1:3" x14ac:dyDescent="0.3">
      <c r="A74" s="416">
        <f>장기양수시험!D53</f>
        <v>1440</v>
      </c>
      <c r="B74" s="420">
        <f>장기양수시험!G53</f>
        <v>9.7999999999999972</v>
      </c>
      <c r="C74" s="418">
        <v>1</v>
      </c>
    </row>
    <row r="75" spans="1:3" x14ac:dyDescent="0.3">
      <c r="A75" s="416">
        <f>장기양수시험!D54</f>
        <v>1500</v>
      </c>
      <c r="B75" s="420">
        <f>장기양수시험!G54</f>
        <v>9.7999999999999972</v>
      </c>
      <c r="C75" s="418">
        <v>1</v>
      </c>
    </row>
    <row r="76" spans="1:3" x14ac:dyDescent="0.3">
      <c r="A76" s="416">
        <f>장기양수시험!D55</f>
        <v>1560</v>
      </c>
      <c r="B76" s="420">
        <f>장기양수시험!G55</f>
        <v>9.7999999999999972</v>
      </c>
      <c r="C76" s="418">
        <v>1</v>
      </c>
    </row>
    <row r="77" spans="1:3" x14ac:dyDescent="0.3">
      <c r="A77" s="416">
        <f>장기양수시험!D56</f>
        <v>1620</v>
      </c>
      <c r="B77" s="420">
        <f>장기양수시험!G56</f>
        <v>9.7999999999999972</v>
      </c>
      <c r="C77" s="418">
        <v>1</v>
      </c>
    </row>
    <row r="78" spans="1:3" x14ac:dyDescent="0.3">
      <c r="A78" s="416">
        <f>장기양수시험!D57</f>
        <v>1680</v>
      </c>
      <c r="B78" s="420">
        <f>장기양수시험!G57</f>
        <v>9.7999999999999972</v>
      </c>
      <c r="C78" s="418">
        <v>1</v>
      </c>
    </row>
    <row r="79" spans="1:3" x14ac:dyDescent="0.3">
      <c r="A79" s="416">
        <f>장기양수시험!D58</f>
        <v>1740</v>
      </c>
      <c r="B79" s="420">
        <f>장기양수시험!G58</f>
        <v>9.7999999999999972</v>
      </c>
      <c r="C79" s="418">
        <v>1</v>
      </c>
    </row>
    <row r="80" spans="1:3" x14ac:dyDescent="0.3">
      <c r="A80" s="416">
        <f>장기양수시험!D59</f>
        <v>1800</v>
      </c>
      <c r="B80" s="420">
        <f>장기양수시험!G59</f>
        <v>9.7999999999999972</v>
      </c>
      <c r="C80" s="418">
        <v>1</v>
      </c>
    </row>
    <row r="81" spans="1:3" x14ac:dyDescent="0.3">
      <c r="A81" s="416">
        <f>장기양수시험!D60</f>
        <v>1860</v>
      </c>
      <c r="B81" s="420">
        <f>장기양수시험!G60</f>
        <v>9.7999999999999972</v>
      </c>
      <c r="C81" s="418">
        <v>1</v>
      </c>
    </row>
    <row r="82" spans="1:3" x14ac:dyDescent="0.3">
      <c r="A82" s="416">
        <f>장기양수시험!D61</f>
        <v>1920</v>
      </c>
      <c r="B82" s="420">
        <f>장기양수시험!G61</f>
        <v>9.7999999999999972</v>
      </c>
      <c r="C82" s="418">
        <v>1</v>
      </c>
    </row>
    <row r="83" spans="1:3" x14ac:dyDescent="0.3">
      <c r="A83" s="416">
        <f>장기양수시험!D62</f>
        <v>1980</v>
      </c>
      <c r="B83" s="420">
        <f>장기양수시험!G62</f>
        <v>9.7999999999999972</v>
      </c>
      <c r="C83" s="418">
        <v>1</v>
      </c>
    </row>
    <row r="84" spans="1:3" x14ac:dyDescent="0.3">
      <c r="A84" s="416">
        <f>장기양수시험!D63</f>
        <v>2040</v>
      </c>
      <c r="B84" s="420">
        <f>장기양수시험!G63</f>
        <v>9.7999999999999972</v>
      </c>
      <c r="C84" s="418">
        <v>1</v>
      </c>
    </row>
    <row r="85" spans="1:3" x14ac:dyDescent="0.3">
      <c r="A85" s="416">
        <f>장기양수시험!D64</f>
        <v>2100</v>
      </c>
      <c r="B85" s="420">
        <f>장기양수시험!G64</f>
        <v>9.7999999999999972</v>
      </c>
      <c r="C85" s="418">
        <v>1</v>
      </c>
    </row>
    <row r="86" spans="1:3" x14ac:dyDescent="0.3">
      <c r="A86" s="416">
        <f>장기양수시험!D65</f>
        <v>2160</v>
      </c>
      <c r="B86" s="420">
        <f>장기양수시험!G65</f>
        <v>9.7999999999999972</v>
      </c>
      <c r="C86" s="418">
        <v>1</v>
      </c>
    </row>
    <row r="87" spans="1:3" x14ac:dyDescent="0.3">
      <c r="A87" s="416">
        <f>장기양수시험!D66</f>
        <v>2220</v>
      </c>
      <c r="B87" s="420">
        <f>장기양수시험!G66</f>
        <v>9.7999999999999972</v>
      </c>
      <c r="C87" s="418">
        <v>1</v>
      </c>
    </row>
    <row r="88" spans="1:3" x14ac:dyDescent="0.3">
      <c r="A88" s="416">
        <f>장기양수시험!D67</f>
        <v>2280</v>
      </c>
      <c r="B88" s="420">
        <f>장기양수시험!G67</f>
        <v>9.7999999999999972</v>
      </c>
      <c r="C88" s="418">
        <v>1</v>
      </c>
    </row>
    <row r="89" spans="1:3" x14ac:dyDescent="0.3">
      <c r="A89" s="416">
        <f>장기양수시험!D68</f>
        <v>2340</v>
      </c>
      <c r="B89" s="420">
        <f>장기양수시험!G68</f>
        <v>9.7999999999999972</v>
      </c>
      <c r="C89" s="418">
        <v>1</v>
      </c>
    </row>
    <row r="90" spans="1:3" x14ac:dyDescent="0.3">
      <c r="A90" s="416">
        <f>장기양수시험!D69</f>
        <v>2400</v>
      </c>
      <c r="B90" s="420">
        <f>장기양수시험!G69</f>
        <v>9.7999999999999972</v>
      </c>
      <c r="C90" s="418">
        <v>1</v>
      </c>
    </row>
    <row r="91" spans="1:3" x14ac:dyDescent="0.3">
      <c r="A91" s="416">
        <f>장기양수시험!D70</f>
        <v>2460</v>
      </c>
      <c r="B91" s="420">
        <f>장기양수시험!G70</f>
        <v>9.7999999999999972</v>
      </c>
      <c r="C91" s="418">
        <v>1</v>
      </c>
    </row>
    <row r="92" spans="1:3" x14ac:dyDescent="0.3">
      <c r="A92" s="416">
        <f>장기양수시험!D71</f>
        <v>2520</v>
      </c>
      <c r="B92" s="420">
        <f>장기양수시험!G71</f>
        <v>9.7999999999999972</v>
      </c>
      <c r="C92" s="418">
        <v>1</v>
      </c>
    </row>
    <row r="93" spans="1:3" x14ac:dyDescent="0.3">
      <c r="A93" s="416">
        <f>장기양수시험!D72</f>
        <v>2580</v>
      </c>
      <c r="B93" s="420">
        <f>장기양수시험!G72</f>
        <v>9.7999999999999972</v>
      </c>
      <c r="C93" s="418">
        <v>1</v>
      </c>
    </row>
    <row r="94" spans="1:3" x14ac:dyDescent="0.3">
      <c r="A94" s="416">
        <f>장기양수시험!D73</f>
        <v>2640</v>
      </c>
      <c r="B94" s="420">
        <f>장기양수시험!G73</f>
        <v>9.7999999999999972</v>
      </c>
      <c r="C94" s="418">
        <v>1</v>
      </c>
    </row>
    <row r="95" spans="1:3" x14ac:dyDescent="0.3">
      <c r="A95" s="416">
        <f>장기양수시험!D74</f>
        <v>2700</v>
      </c>
      <c r="B95" s="420">
        <f>장기양수시험!G74</f>
        <v>9.7999999999999972</v>
      </c>
      <c r="C95" s="418">
        <v>1</v>
      </c>
    </row>
    <row r="96" spans="1:3" x14ac:dyDescent="0.3">
      <c r="A96" s="416">
        <f>장기양수시험!D75</f>
        <v>2760</v>
      </c>
      <c r="B96" s="420">
        <f>장기양수시험!G75</f>
        <v>9.7999999999999972</v>
      </c>
      <c r="C96" s="418">
        <v>1</v>
      </c>
    </row>
    <row r="97" spans="1:3" x14ac:dyDescent="0.3">
      <c r="A97" s="416">
        <f>장기양수시험!D76</f>
        <v>2820</v>
      </c>
      <c r="B97" s="420">
        <f>장기양수시험!G76</f>
        <v>9.7999999999999972</v>
      </c>
      <c r="C97" s="418">
        <v>1</v>
      </c>
    </row>
    <row r="98" spans="1:3" x14ac:dyDescent="0.3">
      <c r="A98" s="416">
        <f>장기양수시험!D77</f>
        <v>2880</v>
      </c>
      <c r="B98" s="420">
        <f>장기양수시험!G77</f>
        <v>9.7999999999999972</v>
      </c>
      <c r="C98" s="418">
        <v>1</v>
      </c>
    </row>
    <row r="99" spans="1:3" x14ac:dyDescent="0.3">
      <c r="A99" s="416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16"/>
    <col min="2" max="3" width="8.88671875" style="417"/>
    <col min="4" max="16384" width="8.88671875" style="416"/>
  </cols>
  <sheetData>
    <row r="1" spans="1:2" x14ac:dyDescent="0.3">
      <c r="B1" s="416"/>
    </row>
    <row r="2" spans="1:2" x14ac:dyDescent="0.3">
      <c r="A2" s="416" t="s">
        <v>98</v>
      </c>
      <c r="B2" s="416"/>
    </row>
    <row r="3" spans="1:2" x14ac:dyDescent="0.3">
      <c r="A3" s="416">
        <v>2</v>
      </c>
      <c r="B3" s="416"/>
    </row>
    <row r="4" spans="1:2" x14ac:dyDescent="0.3">
      <c r="A4" s="416">
        <v>1</v>
      </c>
      <c r="B4" s="416"/>
    </row>
    <row r="5" spans="1:2" x14ac:dyDescent="0.3">
      <c r="A5" s="416">
        <v>6</v>
      </c>
      <c r="B5" s="416"/>
    </row>
    <row r="6" spans="1:2" x14ac:dyDescent="0.3">
      <c r="A6" s="416" t="s">
        <v>99</v>
      </c>
      <c r="B6" s="416"/>
    </row>
    <row r="7" spans="1:2" x14ac:dyDescent="0.3">
      <c r="A7" s="416">
        <f>Step.Select!A7</f>
        <v>434</v>
      </c>
      <c r="B7" s="416"/>
    </row>
    <row r="8" spans="1:2" x14ac:dyDescent="0.3">
      <c r="A8" s="416" t="s">
        <v>100</v>
      </c>
      <c r="B8" s="416"/>
    </row>
    <row r="9" spans="1:2" x14ac:dyDescent="0.3">
      <c r="A9" s="416">
        <v>1</v>
      </c>
      <c r="B9" s="416"/>
    </row>
    <row r="10" spans="1:2" x14ac:dyDescent="0.3">
      <c r="A10" s="416" t="s">
        <v>101</v>
      </c>
      <c r="B10" s="416"/>
    </row>
    <row r="11" spans="1:2" x14ac:dyDescent="0.3">
      <c r="A11" s="416">
        <v>1</v>
      </c>
      <c r="B11" s="416"/>
    </row>
    <row r="12" spans="1:2" x14ac:dyDescent="0.3">
      <c r="A12" s="416" t="s">
        <v>102</v>
      </c>
      <c r="B12" s="416"/>
    </row>
    <row r="13" spans="1:2" x14ac:dyDescent="0.3">
      <c r="A13" s="416">
        <v>1</v>
      </c>
      <c r="B13" s="416"/>
    </row>
    <row r="14" spans="1:2" x14ac:dyDescent="0.3">
      <c r="A14" s="416" t="s">
        <v>103</v>
      </c>
      <c r="B14" s="416"/>
    </row>
    <row r="15" spans="1:2" x14ac:dyDescent="0.3">
      <c r="A15" s="416" t="str">
        <f>입력표!I54</f>
        <v>W-1</v>
      </c>
      <c r="B15" s="416"/>
    </row>
    <row r="16" spans="1:2" x14ac:dyDescent="0.3">
      <c r="A16" s="416">
        <v>0</v>
      </c>
      <c r="B16" s="416"/>
    </row>
    <row r="17" spans="1:3" x14ac:dyDescent="0.3">
      <c r="A17" s="416">
        <v>0</v>
      </c>
      <c r="B17" s="416"/>
    </row>
    <row r="18" spans="1:3" x14ac:dyDescent="0.3">
      <c r="A18" s="416">
        <f>Step.Select!A18</f>
        <v>0.1</v>
      </c>
      <c r="B18" s="416"/>
    </row>
    <row r="19" spans="1:3" x14ac:dyDescent="0.3">
      <c r="A19" s="416">
        <f>Step.Select!A19</f>
        <v>0.1</v>
      </c>
      <c r="B19" s="416"/>
    </row>
    <row r="20" spans="1:3" x14ac:dyDescent="0.3">
      <c r="A20" s="416">
        <v>0</v>
      </c>
      <c r="B20" s="416"/>
    </row>
    <row r="21" spans="1:3" x14ac:dyDescent="0.3">
      <c r="A21" s="416">
        <v>0</v>
      </c>
      <c r="B21" s="416"/>
    </row>
    <row r="22" spans="1:3" x14ac:dyDescent="0.3">
      <c r="A22" s="416">
        <v>1</v>
      </c>
      <c r="B22" s="416"/>
    </row>
    <row r="23" spans="1:3" x14ac:dyDescent="0.3">
      <c r="A23" s="416">
        <v>2</v>
      </c>
      <c r="B23" s="416"/>
    </row>
    <row r="24" spans="1:3" x14ac:dyDescent="0.3">
      <c r="A24" s="418">
        <v>0</v>
      </c>
      <c r="B24" s="418">
        <f>입력표!M51</f>
        <v>87</v>
      </c>
    </row>
    <row r="25" spans="1:3" x14ac:dyDescent="0.3">
      <c r="A25" s="418">
        <v>2880</v>
      </c>
      <c r="B25" s="418">
        <v>0</v>
      </c>
    </row>
    <row r="26" spans="1:3" x14ac:dyDescent="0.3">
      <c r="A26" s="416" t="s">
        <v>104</v>
      </c>
      <c r="B26" s="416"/>
    </row>
    <row r="27" spans="1:3" x14ac:dyDescent="0.3">
      <c r="A27" s="416" t="str">
        <f>A15</f>
        <v>W-1</v>
      </c>
      <c r="B27" s="416"/>
    </row>
    <row r="28" spans="1:3" x14ac:dyDescent="0.3">
      <c r="A28" s="419">
        <f>스킨팩터!C8</f>
        <v>1.7569999999999999</v>
      </c>
      <c r="B28" s="416"/>
    </row>
    <row r="29" spans="1:3" x14ac:dyDescent="0.3">
      <c r="A29" s="416">
        <v>0</v>
      </c>
      <c r="B29" s="416"/>
    </row>
    <row r="30" spans="1:3" x14ac:dyDescent="0.3">
      <c r="A30" s="416">
        <v>0</v>
      </c>
      <c r="B30" s="416"/>
    </row>
    <row r="31" spans="1:3" x14ac:dyDescent="0.3">
      <c r="A31" s="418">
        <f>SUM(C32:C56)</f>
        <v>25</v>
      </c>
      <c r="B31" s="416"/>
    </row>
    <row r="32" spans="1:3" x14ac:dyDescent="0.3">
      <c r="A32" s="416">
        <f>장기양수시험!D77</f>
        <v>2880</v>
      </c>
      <c r="B32" s="417">
        <f>장기양수시험!G77</f>
        <v>9.7999999999999972</v>
      </c>
      <c r="C32" s="418">
        <v>1</v>
      </c>
    </row>
    <row r="33" spans="1:3" x14ac:dyDescent="0.3">
      <c r="A33" s="416">
        <f>$A$32+장기양수시험!D78</f>
        <v>2881</v>
      </c>
      <c r="B33" s="417">
        <f>장기양수시험!G78</f>
        <v>7.1195808312955835</v>
      </c>
      <c r="C33" s="418">
        <v>1</v>
      </c>
    </row>
    <row r="34" spans="1:3" x14ac:dyDescent="0.3">
      <c r="A34" s="416">
        <f>$A$32+장기양수시험!D79</f>
        <v>2882</v>
      </c>
      <c r="B34" s="417">
        <f>장기양수시험!G79</f>
        <v>6.6484076848680518</v>
      </c>
      <c r="C34" s="418">
        <v>1</v>
      </c>
    </row>
    <row r="35" spans="1:3" x14ac:dyDescent="0.3">
      <c r="A35" s="416">
        <f>$A$32+장기양수시험!D80</f>
        <v>2883</v>
      </c>
      <c r="B35" s="417">
        <f>장기양수시험!G80</f>
        <v>6.2084167300856468</v>
      </c>
      <c r="C35" s="418">
        <v>1</v>
      </c>
    </row>
    <row r="36" spans="1:3" x14ac:dyDescent="0.3">
      <c r="A36" s="416">
        <f>$A$32+장기양수시험!D81</f>
        <v>2884</v>
      </c>
      <c r="B36" s="417">
        <f>장기양수시험!G81</f>
        <v>5.7975443326280196</v>
      </c>
      <c r="C36" s="418">
        <v>1</v>
      </c>
    </row>
    <row r="37" spans="1:3" x14ac:dyDescent="0.3">
      <c r="A37" s="416">
        <f>$A$32+장기양수시험!D82</f>
        <v>2885</v>
      </c>
      <c r="B37" s="417">
        <f>장기양수시험!G82</f>
        <v>5.4138634292874857</v>
      </c>
      <c r="C37" s="418">
        <v>1</v>
      </c>
    </row>
    <row r="38" spans="1:3" x14ac:dyDescent="0.3">
      <c r="A38" s="416">
        <f>$A$32+장기양수시험!D83</f>
        <v>2890</v>
      </c>
      <c r="B38" s="417">
        <f>장기양수시험!G83</f>
        <v>4.4085619625412837</v>
      </c>
      <c r="C38" s="418">
        <v>1</v>
      </c>
    </row>
    <row r="39" spans="1:3" x14ac:dyDescent="0.3">
      <c r="A39" s="416">
        <f>$A$32+장기양수시험!D84</f>
        <v>2895</v>
      </c>
      <c r="B39" s="417">
        <f>장기양수시험!G84</f>
        <v>4.2118454590984493</v>
      </c>
      <c r="C39" s="418">
        <v>1</v>
      </c>
    </row>
    <row r="40" spans="1:3" x14ac:dyDescent="0.3">
      <c r="A40" s="416">
        <f>$A$32+장기양수시험!D85</f>
        <v>2900</v>
      </c>
      <c r="B40" s="417">
        <f>장기양수시험!G85</f>
        <v>3.6728133906225544</v>
      </c>
      <c r="C40" s="418">
        <v>1</v>
      </c>
    </row>
    <row r="41" spans="1:3" x14ac:dyDescent="0.3">
      <c r="A41" s="416">
        <f>$A$32+장기양수시험!D86</f>
        <v>2905</v>
      </c>
      <c r="B41" s="417">
        <f>장기양수시험!G86</f>
        <v>3.429746968243601</v>
      </c>
      <c r="C41" s="418">
        <v>1</v>
      </c>
    </row>
    <row r="42" spans="1:3" x14ac:dyDescent="0.3">
      <c r="A42" s="416">
        <f>$A$32+장기양수시험!D87</f>
        <v>2910</v>
      </c>
      <c r="B42" s="417">
        <f>장기양수시험!G87</f>
        <v>3.2027666573558946</v>
      </c>
      <c r="C42" s="418">
        <v>1</v>
      </c>
    </row>
    <row r="43" spans="1:3" x14ac:dyDescent="0.3">
      <c r="A43" s="416">
        <f>$A$32+장기양수시험!D88</f>
        <v>2915</v>
      </c>
      <c r="B43" s="417">
        <f>장기양수시험!G88</f>
        <v>3.1304951684997051</v>
      </c>
      <c r="C43" s="418">
        <v>1</v>
      </c>
    </row>
    <row r="44" spans="1:3" x14ac:dyDescent="0.3">
      <c r="A44" s="416">
        <f>$A$32+장기양수시험!D89</f>
        <v>2920</v>
      </c>
      <c r="B44" s="417">
        <f>장기양수시험!G89</f>
        <v>3.0598545096914975</v>
      </c>
      <c r="C44" s="418">
        <v>1</v>
      </c>
    </row>
    <row r="45" spans="1:3" x14ac:dyDescent="0.3">
      <c r="A45" s="416">
        <f>$A$32+장기양수시험!D90</f>
        <v>2925</v>
      </c>
      <c r="B45" s="417">
        <f>장기양수시험!G90</f>
        <v>2.9908078807118836</v>
      </c>
      <c r="C45" s="418">
        <v>1</v>
      </c>
    </row>
    <row r="46" spans="1:3" x14ac:dyDescent="0.3">
      <c r="A46" s="416">
        <f>$A$32+장기양수시험!D91</f>
        <v>2930</v>
      </c>
      <c r="B46" s="417">
        <f>장기양수시험!G91</f>
        <v>2.9233193117505967</v>
      </c>
      <c r="C46" s="418">
        <v>1</v>
      </c>
    </row>
    <row r="47" spans="1:3" x14ac:dyDescent="0.3">
      <c r="A47" s="416">
        <f>$A$32+장기양수시험!D92</f>
        <v>2935</v>
      </c>
      <c r="B47" s="417">
        <f>장기양수시험!G92</f>
        <v>2.8573536446680361</v>
      </c>
      <c r="C47" s="418">
        <v>1</v>
      </c>
    </row>
    <row r="48" spans="1:3" x14ac:dyDescent="0.3">
      <c r="A48" s="416">
        <f>$A$32+장기양수시험!D93</f>
        <v>2940</v>
      </c>
      <c r="B48" s="417">
        <f>장기양수시험!G93</f>
        <v>2.7928765146796457</v>
      </c>
      <c r="C48" s="418">
        <v>1</v>
      </c>
    </row>
    <row r="49" spans="1:3" x14ac:dyDescent="0.3">
      <c r="A49" s="416">
        <f>$A$32+장기양수시험!D94</f>
        <v>2955</v>
      </c>
      <c r="B49" s="417">
        <f>장기양수시험!G94</f>
        <v>2.7298543324536007</v>
      </c>
      <c r="C49" s="418">
        <v>1</v>
      </c>
    </row>
    <row r="50" spans="1:3" x14ac:dyDescent="0.3">
      <c r="A50" s="416">
        <f>$A$32+장기양수시험!D95</f>
        <v>2970</v>
      </c>
      <c r="B50" s="417">
        <f>장기양수시험!G95</f>
        <v>2.6682542666124576</v>
      </c>
      <c r="C50" s="418">
        <v>1</v>
      </c>
    </row>
    <row r="51" spans="1:3" x14ac:dyDescent="0.3">
      <c r="A51" s="416">
        <f>$A$32+장기양수시험!D96</f>
        <v>2985</v>
      </c>
      <c r="B51" s="417">
        <f>장기양수시험!G96</f>
        <v>2.6080442266296622</v>
      </c>
      <c r="C51" s="418">
        <v>1</v>
      </c>
    </row>
    <row r="52" spans="1:3" x14ac:dyDescent="0.3">
      <c r="A52" s="416">
        <f>$A$32+장기양수시험!D97</f>
        <v>3000</v>
      </c>
      <c r="B52" s="417">
        <f>장기양수시험!G97</f>
        <v>2.4354441208928703</v>
      </c>
      <c r="C52" s="418">
        <v>1</v>
      </c>
    </row>
    <row r="53" spans="1:3" x14ac:dyDescent="0.3">
      <c r="A53" s="416">
        <f>$A$32+장기양수시험!D98</f>
        <v>3060</v>
      </c>
      <c r="B53" s="417">
        <f>장기양수시험!G98</f>
        <v>2.3804875188442236</v>
      </c>
      <c r="C53" s="418">
        <v>1</v>
      </c>
    </row>
    <row r="54" spans="1:3" x14ac:dyDescent="0.3">
      <c r="A54" s="416">
        <f>$A$32+장기양수시험!D99</f>
        <v>3120</v>
      </c>
      <c r="B54" s="417">
        <f>장기양수시험!G99</f>
        <v>2.0758326772256246</v>
      </c>
      <c r="C54" s="418">
        <v>1</v>
      </c>
    </row>
    <row r="55" spans="1:3" x14ac:dyDescent="0.3">
      <c r="A55" s="416">
        <f>$A$32+장기양수시험!D100</f>
        <v>3180</v>
      </c>
      <c r="B55" s="417">
        <f>장기양수시험!G100</f>
        <v>1.8101675685028813</v>
      </c>
      <c r="C55" s="418">
        <v>1</v>
      </c>
    </row>
    <row r="56" spans="1:3" x14ac:dyDescent="0.3">
      <c r="A56" s="416">
        <f>$A$32+장기양수시험!D101</f>
        <v>3240</v>
      </c>
      <c r="B56" s="417">
        <f>장기양수시험!G101</f>
        <v>1.5785022858581215</v>
      </c>
      <c r="C56" s="418">
        <v>1</v>
      </c>
    </row>
    <row r="57" spans="1:3" x14ac:dyDescent="0.3">
      <c r="A57" s="416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2"/>
    <col min="2" max="2" width="16.6640625" style="342" customWidth="1"/>
    <col min="3" max="4" width="14.6640625" style="342" customWidth="1"/>
    <col min="5" max="5" width="12" style="415" customWidth="1"/>
    <col min="6" max="6" width="12.33203125" style="415" customWidth="1"/>
    <col min="7" max="7" width="8.88671875" style="342"/>
    <col min="8" max="8" width="10.33203125" style="342" customWidth="1"/>
    <col min="9" max="9" width="9.44140625" style="342" customWidth="1"/>
    <col min="10" max="10" width="10.21875" style="342" customWidth="1"/>
    <col min="11" max="11" width="8.88671875" style="342"/>
    <col min="12" max="12" width="10" style="342" customWidth="1"/>
    <col min="13" max="15" width="8.88671875" style="342"/>
    <col min="16" max="16" width="10" style="342" customWidth="1"/>
    <col min="17" max="16384" width="8.88671875" style="342"/>
  </cols>
  <sheetData>
    <row r="1" spans="2:16" s="383" customFormat="1" ht="18" customHeight="1" x14ac:dyDescent="0.15">
      <c r="E1" s="384"/>
      <c r="F1" s="384"/>
    </row>
    <row r="2" spans="2:16" s="383" customFormat="1" ht="18" customHeight="1" x14ac:dyDescent="0.15">
      <c r="B2" s="383" t="s">
        <v>252</v>
      </c>
      <c r="E2" s="384"/>
      <c r="F2" s="384"/>
    </row>
    <row r="3" spans="2:16" s="383" customFormat="1" ht="18" customHeight="1" x14ac:dyDescent="0.15">
      <c r="E3" s="384"/>
      <c r="F3" s="384"/>
    </row>
    <row r="4" spans="2:16" s="387" customFormat="1" ht="26.25" customHeight="1" x14ac:dyDescent="0.15">
      <c r="B4" s="385" t="s">
        <v>253</v>
      </c>
      <c r="C4" s="386" t="s">
        <v>237</v>
      </c>
      <c r="E4" s="386"/>
      <c r="F4" s="386"/>
    </row>
    <row r="5" spans="2:16" s="383" customFormat="1" ht="18" customHeight="1" thickBot="1" x14ac:dyDescent="0.2">
      <c r="E5" s="384"/>
      <c r="F5" s="384"/>
    </row>
    <row r="6" spans="2:16" s="383" customFormat="1" ht="26.1" customHeight="1" thickBot="1" x14ac:dyDescent="0.2">
      <c r="B6" s="388" t="s">
        <v>254</v>
      </c>
      <c r="C6" s="389">
        <f>장기양수시험!C10</f>
        <v>44347.444444444445</v>
      </c>
      <c r="D6" s="390"/>
      <c r="E6" s="384"/>
      <c r="F6" s="384"/>
    </row>
    <row r="7" spans="2:16" s="383" customFormat="1" ht="26.1" customHeight="1" thickBot="1" x14ac:dyDescent="0.2">
      <c r="B7" s="388" t="s">
        <v>255</v>
      </c>
      <c r="C7" s="391">
        <v>14.7</v>
      </c>
      <c r="D7" s="390"/>
      <c r="E7" s="384"/>
      <c r="F7" s="384"/>
    </row>
    <row r="8" spans="2:16" s="383" customFormat="1" ht="26.1" customHeight="1" x14ac:dyDescent="0.15">
      <c r="B8" s="392" t="s">
        <v>256</v>
      </c>
      <c r="C8" s="393">
        <v>226</v>
      </c>
      <c r="D8" s="390"/>
      <c r="E8" s="384"/>
      <c r="F8" s="384"/>
    </row>
    <row r="9" spans="2:16" s="383" customFormat="1" ht="26.1" customHeight="1" x14ac:dyDescent="0.15">
      <c r="B9" s="392" t="s">
        <v>257</v>
      </c>
      <c r="C9" s="394">
        <v>6.7</v>
      </c>
      <c r="D9" s="390"/>
      <c r="E9" s="384"/>
      <c r="F9" s="384"/>
    </row>
    <row r="10" spans="2:16" s="383" customFormat="1" ht="26.1" customHeight="1" x14ac:dyDescent="0.15">
      <c r="B10" s="392"/>
      <c r="C10" s="393"/>
      <c r="D10" s="390"/>
      <c r="E10" s="384"/>
      <c r="F10" s="384"/>
    </row>
    <row r="11" spans="2:16" s="383" customFormat="1" ht="18" customHeight="1" thickBot="1" x14ac:dyDescent="0.2">
      <c r="E11" s="384"/>
      <c r="F11" s="384"/>
      <c r="L11"/>
      <c r="M11"/>
      <c r="N11"/>
      <c r="O11"/>
      <c r="P11"/>
    </row>
    <row r="12" spans="2:16" s="384" customFormat="1" ht="26.1" customHeight="1" x14ac:dyDescent="0.15">
      <c r="B12" s="555" t="s">
        <v>258</v>
      </c>
      <c r="C12" s="556"/>
      <c r="D12" s="557" t="s">
        <v>237</v>
      </c>
      <c r="E12" s="558"/>
      <c r="F12" s="556"/>
      <c r="H12" s="555" t="s">
        <v>237</v>
      </c>
      <c r="I12" s="558"/>
      <c r="J12" s="556"/>
      <c r="L12" s="550" t="s">
        <v>237</v>
      </c>
      <c r="M12" s="551"/>
      <c r="N12" s="552"/>
      <c r="O12"/>
      <c r="P12"/>
    </row>
    <row r="13" spans="2:16" s="384" customFormat="1" ht="26.1" customHeight="1" x14ac:dyDescent="0.15">
      <c r="B13" s="395" t="s">
        <v>254</v>
      </c>
      <c r="C13" s="396" t="s">
        <v>259</v>
      </c>
      <c r="D13" s="397" t="s">
        <v>260</v>
      </c>
      <c r="E13" s="398" t="s">
        <v>261</v>
      </c>
      <c r="F13" s="396" t="s">
        <v>262</v>
      </c>
      <c r="H13" s="456" t="s">
        <v>260</v>
      </c>
      <c r="I13" s="398" t="s">
        <v>261</v>
      </c>
      <c r="J13" s="457" t="s">
        <v>262</v>
      </c>
      <c r="L13" s="459" t="s">
        <v>260</v>
      </c>
      <c r="M13" s="460" t="s">
        <v>261</v>
      </c>
      <c r="N13" s="461" t="s">
        <v>262</v>
      </c>
      <c r="O13"/>
      <c r="P13"/>
    </row>
    <row r="14" spans="2:16" s="384" customFormat="1" ht="26.1" customHeight="1" x14ac:dyDescent="0.15">
      <c r="B14" s="399">
        <f>$C$6+C14/1440</f>
        <v>44347.447916666664</v>
      </c>
      <c r="C14" s="400">
        <v>5</v>
      </c>
      <c r="D14" s="491">
        <f t="shared" ref="D14:D23" si="0">baseTemp+H14</f>
        <v>14.799999999999999</v>
      </c>
      <c r="E14" s="401">
        <f>$C$8+I14</f>
        <v>224</v>
      </c>
      <c r="F14" s="402">
        <f>$C$9+J14</f>
        <v>6.62</v>
      </c>
      <c r="H14" s="403">
        <v>0.1</v>
      </c>
      <c r="I14" s="404">
        <v>-2</v>
      </c>
      <c r="J14" s="405">
        <v>-0.08</v>
      </c>
      <c r="L14" s="459">
        <f ca="1">ROUND(myRandBetween(0,1,10), 1)</f>
        <v>0</v>
      </c>
      <c r="M14" s="460">
        <f ca="1">myRandBetween(1,3,1)</f>
        <v>3</v>
      </c>
      <c r="N14" s="461">
        <f ca="1">ROUND(myRandBetween(7,12,100), 2)</f>
        <v>-7.0000000000000007E-2</v>
      </c>
      <c r="O14"/>
      <c r="P14"/>
    </row>
    <row r="15" spans="2:16" s="384" customFormat="1" ht="26.1" customHeight="1" x14ac:dyDescent="0.15">
      <c r="B15" s="406">
        <f t="shared" ref="B15:B23" si="1">$C$6+C15/1440</f>
        <v>44347.465277777781</v>
      </c>
      <c r="C15" s="405">
        <v>30</v>
      </c>
      <c r="D15" s="409">
        <f t="shared" si="0"/>
        <v>14.7</v>
      </c>
      <c r="E15" s="407">
        <f t="shared" ref="E15:E23" si="2">$C$8+I15</f>
        <v>228</v>
      </c>
      <c r="F15" s="408">
        <f t="shared" ref="F15:F23" si="3">$C$9+J15</f>
        <v>6.8</v>
      </c>
      <c r="H15" s="403">
        <v>0</v>
      </c>
      <c r="I15" s="404">
        <v>2</v>
      </c>
      <c r="J15" s="405">
        <v>0.1</v>
      </c>
      <c r="L15" s="459">
        <f t="shared" ref="L15:L23" ca="1" si="4">ROUND(myRandBetween(0,1,10), 1)</f>
        <v>0</v>
      </c>
      <c r="M15" s="460">
        <f t="shared" ref="M15:M23" ca="1" si="5">myRandBetween(1,3,1)</f>
        <v>-3</v>
      </c>
      <c r="N15" s="461">
        <f t="shared" ref="N15:N23" ca="1" si="6">ROUND(myRandBetween(7,12,100), 2)</f>
        <v>0.09</v>
      </c>
      <c r="O15"/>
      <c r="P15"/>
    </row>
    <row r="16" spans="2:16" s="384" customFormat="1" ht="26.1" customHeight="1" x14ac:dyDescent="0.15">
      <c r="B16" s="406">
        <f t="shared" si="1"/>
        <v>44347.486111111109</v>
      </c>
      <c r="C16" s="405">
        <v>60</v>
      </c>
      <c r="D16" s="409">
        <f t="shared" si="0"/>
        <v>14.6</v>
      </c>
      <c r="E16" s="407">
        <f t="shared" si="2"/>
        <v>223</v>
      </c>
      <c r="F16" s="408">
        <f t="shared" si="3"/>
        <v>6.61</v>
      </c>
      <c r="H16" s="403">
        <v>-0.1</v>
      </c>
      <c r="I16" s="404">
        <v>-3</v>
      </c>
      <c r="J16" s="405">
        <v>-0.09</v>
      </c>
      <c r="L16" s="459">
        <f t="shared" ca="1" si="4"/>
        <v>0.1</v>
      </c>
      <c r="M16" s="460">
        <f t="shared" ca="1" si="5"/>
        <v>1</v>
      </c>
      <c r="N16" s="461">
        <f t="shared" ca="1" si="6"/>
        <v>-7.0000000000000007E-2</v>
      </c>
      <c r="O16"/>
      <c r="P16"/>
    </row>
    <row r="17" spans="2:16" s="384" customFormat="1" ht="26.1" customHeight="1" x14ac:dyDescent="0.15">
      <c r="B17" s="406">
        <f t="shared" si="1"/>
        <v>44347.527777777781</v>
      </c>
      <c r="C17" s="405">
        <v>120</v>
      </c>
      <c r="D17" s="409">
        <f t="shared" si="0"/>
        <v>14.6</v>
      </c>
      <c r="E17" s="407">
        <f t="shared" si="2"/>
        <v>227</v>
      </c>
      <c r="F17" s="408">
        <f t="shared" si="3"/>
        <v>6.59</v>
      </c>
      <c r="H17" s="403">
        <v>-0.1</v>
      </c>
      <c r="I17" s="404">
        <v>1</v>
      </c>
      <c r="J17" s="405">
        <v>-0.11</v>
      </c>
      <c r="L17" s="459">
        <f t="shared" ca="1" si="4"/>
        <v>0.1</v>
      </c>
      <c r="M17" s="460">
        <f t="shared" ca="1" si="5"/>
        <v>-2</v>
      </c>
      <c r="N17" s="461">
        <f t="shared" ca="1" si="6"/>
        <v>0.12</v>
      </c>
      <c r="O17"/>
      <c r="P17"/>
    </row>
    <row r="18" spans="2:16" s="384" customFormat="1" ht="26.1" customHeight="1" x14ac:dyDescent="0.15">
      <c r="B18" s="406">
        <f t="shared" si="1"/>
        <v>44347.611111111109</v>
      </c>
      <c r="C18" s="405">
        <v>240</v>
      </c>
      <c r="D18" s="409">
        <f t="shared" si="0"/>
        <v>14.6</v>
      </c>
      <c r="E18" s="407">
        <f t="shared" si="2"/>
        <v>229</v>
      </c>
      <c r="F18" s="408">
        <f t="shared" si="3"/>
        <v>6.79</v>
      </c>
      <c r="H18" s="403">
        <v>-0.1</v>
      </c>
      <c r="I18" s="404">
        <v>3</v>
      </c>
      <c r="J18" s="405">
        <v>0.09</v>
      </c>
      <c r="L18" s="459">
        <f t="shared" ca="1" si="4"/>
        <v>0.1</v>
      </c>
      <c r="M18" s="460">
        <f t="shared" ca="1" si="5"/>
        <v>3</v>
      </c>
      <c r="N18" s="461">
        <f t="shared" ca="1" si="6"/>
        <v>0.12</v>
      </c>
      <c r="O18"/>
      <c r="P18"/>
    </row>
    <row r="19" spans="2:16" s="384" customFormat="1" ht="26.1" customHeight="1" x14ac:dyDescent="0.15">
      <c r="B19" s="406">
        <f t="shared" si="1"/>
        <v>44347.777777777781</v>
      </c>
      <c r="C19" s="405">
        <v>480</v>
      </c>
      <c r="D19" s="409">
        <f t="shared" si="0"/>
        <v>14.7</v>
      </c>
      <c r="E19" s="407">
        <f t="shared" si="2"/>
        <v>227</v>
      </c>
      <c r="F19" s="408">
        <f t="shared" si="3"/>
        <v>6.61</v>
      </c>
      <c r="H19" s="403">
        <v>0</v>
      </c>
      <c r="I19" s="404">
        <v>1</v>
      </c>
      <c r="J19" s="405">
        <v>-0.09</v>
      </c>
      <c r="L19" s="459">
        <f t="shared" ca="1" si="4"/>
        <v>0.1</v>
      </c>
      <c r="M19" s="460">
        <f t="shared" ca="1" si="5"/>
        <v>1</v>
      </c>
      <c r="N19" s="461">
        <f t="shared" ca="1" si="6"/>
        <v>-0.09</v>
      </c>
      <c r="O19"/>
      <c r="P19"/>
    </row>
    <row r="20" spans="2:16" s="383" customFormat="1" ht="26.1" customHeight="1" x14ac:dyDescent="0.15">
      <c r="B20" s="406">
        <f t="shared" si="1"/>
        <v>44348.444444444445</v>
      </c>
      <c r="C20" s="405">
        <v>1440</v>
      </c>
      <c r="D20" s="409">
        <f t="shared" si="0"/>
        <v>14.7</v>
      </c>
      <c r="E20" s="407">
        <f t="shared" si="2"/>
        <v>227</v>
      </c>
      <c r="F20" s="408">
        <f t="shared" si="3"/>
        <v>6.62</v>
      </c>
      <c r="H20" s="403">
        <v>0</v>
      </c>
      <c r="I20" s="404">
        <v>1</v>
      </c>
      <c r="J20" s="405">
        <v>-0.08</v>
      </c>
      <c r="L20" s="459">
        <f t="shared" ca="1" si="4"/>
        <v>-0.1</v>
      </c>
      <c r="M20" s="460">
        <f t="shared" ca="1" si="5"/>
        <v>1</v>
      </c>
      <c r="N20" s="461">
        <f t="shared" ca="1" si="6"/>
        <v>7.0000000000000007E-2</v>
      </c>
      <c r="O20"/>
      <c r="P20"/>
    </row>
    <row r="21" spans="2:16" s="383" customFormat="1" ht="26.1" customHeight="1" x14ac:dyDescent="0.15">
      <c r="B21" s="406">
        <f t="shared" si="1"/>
        <v>44348.611111111109</v>
      </c>
      <c r="C21" s="405">
        <v>1680</v>
      </c>
      <c r="D21" s="409">
        <f t="shared" si="0"/>
        <v>14.7</v>
      </c>
      <c r="E21" s="407">
        <f t="shared" si="2"/>
        <v>227</v>
      </c>
      <c r="F21" s="408">
        <f t="shared" si="3"/>
        <v>6.7700000000000005</v>
      </c>
      <c r="H21" s="403">
        <v>0</v>
      </c>
      <c r="I21" s="404">
        <v>1</v>
      </c>
      <c r="J21" s="405">
        <v>7.0000000000000007E-2</v>
      </c>
      <c r="L21" s="459">
        <f t="shared" ca="1" si="4"/>
        <v>0</v>
      </c>
      <c r="M21" s="460">
        <f t="shared" ca="1" si="5"/>
        <v>2</v>
      </c>
      <c r="N21" s="461">
        <f t="shared" ca="1" si="6"/>
        <v>-0.1</v>
      </c>
      <c r="O21"/>
      <c r="P21"/>
    </row>
    <row r="22" spans="2:16" s="383" customFormat="1" ht="26.1" customHeight="1" x14ac:dyDescent="0.15">
      <c r="B22" s="406">
        <f t="shared" si="1"/>
        <v>44348.777777777781</v>
      </c>
      <c r="C22" s="405">
        <v>1920</v>
      </c>
      <c r="D22" s="409">
        <f t="shared" si="0"/>
        <v>14.799999999999999</v>
      </c>
      <c r="E22" s="407">
        <f t="shared" si="2"/>
        <v>225</v>
      </c>
      <c r="F22" s="408">
        <f t="shared" si="3"/>
        <v>6.62</v>
      </c>
      <c r="H22" s="403">
        <v>0.1</v>
      </c>
      <c r="I22" s="404">
        <v>-1</v>
      </c>
      <c r="J22" s="405">
        <v>-0.08</v>
      </c>
      <c r="L22" s="459">
        <f t="shared" ca="1" si="4"/>
        <v>0.1</v>
      </c>
      <c r="M22" s="460">
        <f t="shared" ca="1" si="5"/>
        <v>-2</v>
      </c>
      <c r="N22" s="461">
        <f t="shared" ca="1" si="6"/>
        <v>0.08</v>
      </c>
      <c r="O22"/>
      <c r="P22"/>
    </row>
    <row r="23" spans="2:16" s="383" customFormat="1" ht="26.1" customHeight="1" thickBot="1" x14ac:dyDescent="0.2">
      <c r="B23" s="406">
        <f t="shared" si="1"/>
        <v>44349.444444444445</v>
      </c>
      <c r="C23" s="405">
        <v>2880</v>
      </c>
      <c r="D23" s="409">
        <f t="shared" si="0"/>
        <v>14.7</v>
      </c>
      <c r="E23" s="407">
        <f t="shared" si="2"/>
        <v>228</v>
      </c>
      <c r="F23" s="408">
        <f t="shared" si="3"/>
        <v>6.79</v>
      </c>
      <c r="H23" s="410">
        <v>0</v>
      </c>
      <c r="I23" s="458">
        <v>2</v>
      </c>
      <c r="J23" s="411">
        <v>0.09</v>
      </c>
      <c r="L23" s="459">
        <f t="shared" ca="1" si="4"/>
        <v>0</v>
      </c>
      <c r="M23" s="462">
        <f t="shared" ca="1" si="5"/>
        <v>3</v>
      </c>
      <c r="N23" s="463">
        <f t="shared" ca="1" si="6"/>
        <v>0.11</v>
      </c>
      <c r="O23"/>
      <c r="P23"/>
    </row>
    <row r="24" spans="2:16" s="383" customFormat="1" ht="26.1" customHeight="1" x14ac:dyDescent="0.15">
      <c r="B24" s="559" t="s">
        <v>178</v>
      </c>
      <c r="C24" s="560"/>
      <c r="D24" s="397">
        <f>MAX(D14:D23)</f>
        <v>14.799999999999999</v>
      </c>
      <c r="E24" s="398">
        <f t="shared" ref="E24:F24" si="7">MAX(E14:E23)</f>
        <v>229</v>
      </c>
      <c r="F24" s="396">
        <f t="shared" si="7"/>
        <v>6.8</v>
      </c>
      <c r="H24" s="384"/>
      <c r="I24" s="384"/>
      <c r="J24" s="384"/>
      <c r="L24"/>
      <c r="M24"/>
      <c r="N24"/>
      <c r="O24"/>
      <c r="P24"/>
    </row>
    <row r="25" spans="2:16" s="383" customFormat="1" ht="26.1" customHeight="1" x14ac:dyDescent="0.15">
      <c r="B25" s="559" t="s">
        <v>263</v>
      </c>
      <c r="C25" s="560"/>
      <c r="D25" s="397">
        <f>MIN(D14:D23)</f>
        <v>14.6</v>
      </c>
      <c r="E25" s="398">
        <f t="shared" ref="E25:F25" si="8">MIN(E14:E23)</f>
        <v>223</v>
      </c>
      <c r="F25" s="396">
        <f t="shared" si="8"/>
        <v>6.59</v>
      </c>
      <c r="H25" s="384"/>
      <c r="I25" s="384"/>
      <c r="J25" s="384"/>
      <c r="L25"/>
      <c r="M25"/>
      <c r="N25"/>
      <c r="O25"/>
      <c r="P25"/>
    </row>
    <row r="26" spans="2:16" s="383" customFormat="1" ht="26.1" customHeight="1" thickBot="1" x14ac:dyDescent="0.2">
      <c r="B26" s="553" t="s">
        <v>264</v>
      </c>
      <c r="C26" s="554"/>
      <c r="D26" s="412">
        <f>D24-D25</f>
        <v>0.19999999999999929</v>
      </c>
      <c r="E26" s="413">
        <f t="shared" ref="E26:F26" si="9">E24-E25</f>
        <v>6</v>
      </c>
      <c r="F26" s="414">
        <f t="shared" si="9"/>
        <v>0.20999999999999996</v>
      </c>
      <c r="H26" s="384"/>
      <c r="I26" s="384"/>
      <c r="J26" s="384"/>
      <c r="L26"/>
      <c r="M26"/>
      <c r="N26"/>
      <c r="O26"/>
      <c r="P26"/>
    </row>
    <row r="27" spans="2:16" s="383" customFormat="1" ht="18" customHeight="1" x14ac:dyDescent="0.15">
      <c r="E27" s="384"/>
      <c r="F27" s="384"/>
      <c r="L27"/>
      <c r="M27"/>
      <c r="N27"/>
      <c r="O27"/>
      <c r="P27"/>
    </row>
    <row r="28" spans="2:16" s="383" customFormat="1" ht="18" customHeight="1" x14ac:dyDescent="0.15">
      <c r="E28" s="384"/>
      <c r="F28" s="384"/>
      <c r="L28"/>
      <c r="M28"/>
      <c r="N28"/>
      <c r="O28"/>
      <c r="P28"/>
    </row>
    <row r="29" spans="2:16" s="383" customFormat="1" ht="18" customHeight="1" x14ac:dyDescent="0.15">
      <c r="E29" s="384"/>
      <c r="F29" s="384"/>
    </row>
    <row r="30" spans="2:16" s="383" customFormat="1" ht="18" customHeight="1" x14ac:dyDescent="0.15">
      <c r="E30" s="384"/>
      <c r="F30" s="384"/>
    </row>
    <row r="31" spans="2:16" s="383" customFormat="1" ht="18" customHeight="1" x14ac:dyDescent="0.15">
      <c r="E31" s="384"/>
      <c r="F31" s="384"/>
    </row>
    <row r="32" spans="2:16" s="383" customFormat="1" ht="18" customHeight="1" x14ac:dyDescent="0.15">
      <c r="E32" s="384"/>
      <c r="F32" s="384"/>
    </row>
    <row r="33" spans="5:6" s="383" customFormat="1" ht="18" customHeight="1" x14ac:dyDescent="0.15">
      <c r="E33" s="384"/>
      <c r="F33" s="384"/>
    </row>
    <row r="34" spans="5:6" s="383" customFormat="1" ht="18" customHeight="1" x14ac:dyDescent="0.15">
      <c r="E34" s="384"/>
      <c r="F34" s="384"/>
    </row>
    <row r="35" spans="5:6" s="383" customFormat="1" ht="18" customHeight="1" x14ac:dyDescent="0.15">
      <c r="E35" s="384"/>
      <c r="F35" s="384"/>
    </row>
    <row r="36" spans="5:6" s="383" customFormat="1" ht="18" customHeight="1" x14ac:dyDescent="0.15">
      <c r="E36" s="384"/>
      <c r="F36" s="384"/>
    </row>
    <row r="37" spans="5:6" s="383" customFormat="1" ht="18" customHeight="1" x14ac:dyDescent="0.15">
      <c r="E37" s="384"/>
      <c r="F37" s="384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61" t="s">
        <v>152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2021-06-16T07:04:43Z</cp:lastPrinted>
  <dcterms:created xsi:type="dcterms:W3CDTF">1998-04-14T02:17:03Z</dcterms:created>
  <dcterms:modified xsi:type="dcterms:W3CDTF">2021-06-24T01:51:51Z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