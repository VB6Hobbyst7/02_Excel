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inhwasoo\My Documents\"/>
    </mc:Choice>
  </mc:AlternateContent>
  <xr:revisionPtr revIDLastSave="0" documentId="13_ncr:1_{DE7F474C-F28F-4B42-A9CB-A1E0EAE5DB57}" xr6:coauthVersionLast="47" xr6:coauthVersionMax="47" xr10:uidLastSave="{00000000-0000-0000-0000-000000000000}"/>
  <bookViews>
    <workbookView xWindow="-120" yWindow="-120" windowWidth="29040" windowHeight="15720" tabRatio="619" firstSheet="2" activeTab="10" xr2:uid="{00000000-000D-0000-FFFF-FFFF00000000}"/>
  </bookViews>
  <sheets>
    <sheet name="VXXX" sheetId="17" state="veryHidden" r:id="rId1"/>
    <sheet name="Sheet1" sheetId="24" state="hidden" r:id="rId2"/>
    <sheet name="Input" sheetId="1" r:id="rId3"/>
    <sheet name="REF" sheetId="30" state="hidden" r:id="rId4"/>
    <sheet name="SkinFactor" sheetId="27" r:id="rId5"/>
    <sheet name="SafeYield" sheetId="19" r:id="rId6"/>
    <sheet name="StepTest" sheetId="2" r:id="rId7"/>
    <sheet name="LongTest" sheetId="3" r:id="rId8"/>
    <sheet name="펌프마력" sheetId="18" state="hidden" r:id="rId9"/>
    <sheet name="01_g_step_01" sheetId="20" r:id="rId10"/>
    <sheet name="01_g_janggi_02" sheetId="21" r:id="rId11"/>
    <sheet name="01_g_recover_01" sheetId="22" r:id="rId12"/>
    <sheet name="w1" sheetId="33" r:id="rId13"/>
    <sheet name="시추주상" sheetId="23" state="hidden" r:id="rId14"/>
  </sheets>
  <functionGroups builtInGroupCount="19"/>
  <definedNames>
    <definedName name="baseTemp" localSheetId="12">'w1'!$C$7</definedName>
    <definedName name="EffectiveRadius">SkinFactor!$H$10</definedName>
    <definedName name="gongbun">REF!$D$4:$D$18</definedName>
    <definedName name="gongbun2">REF!$E$4:$E$18</definedName>
    <definedName name="_xlnm.Print_Area" localSheetId="2">Input!$A$1:$M$62</definedName>
    <definedName name="_xlnm.Print_Area" localSheetId="7">LongTest!$A$1:$J$101</definedName>
    <definedName name="_xlnm.Print_Area" localSheetId="6">StepTest!$A$1:$I$51</definedName>
    <definedName name="_xlnm.Print_Titles" localSheetId="7">LongTest!$1:$9</definedName>
    <definedName name="_xlnm.Print_Titles" localSheetId="6">StepTest!$3:$10</definedName>
    <definedName name="pump_hp">REF!$C$4:$C$13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</workbook>
</file>

<file path=xl/calcChain.xml><?xml version="1.0" encoding="utf-8"?>
<calcChain xmlns="http://schemas.openxmlformats.org/spreadsheetml/2006/main">
  <c r="A28" i="22" l="1"/>
  <c r="C6" i="33"/>
  <c r="D4" i="27"/>
  <c r="B15" i="19"/>
  <c r="C7" i="27" l="1"/>
  <c r="L22" i="33"/>
  <c r="L14" i="33"/>
  <c r="L17" i="33"/>
  <c r="L21" i="33"/>
  <c r="L16" i="33"/>
  <c r="L18" i="33"/>
  <c r="L19" i="33"/>
  <c r="L20" i="33"/>
  <c r="L23" i="33"/>
  <c r="L15" i="33"/>
  <c r="M47" i="1" l="1"/>
  <c r="F13" i="27" l="1"/>
  <c r="H16" i="27"/>
  <c r="N18" i="33"/>
  <c r="M14" i="33"/>
  <c r="M22" i="33"/>
  <c r="N14" i="33"/>
  <c r="M17" i="33"/>
  <c r="N17" i="33"/>
  <c r="N16" i="33"/>
  <c r="M16" i="33"/>
  <c r="N23" i="33"/>
  <c r="N19" i="33"/>
  <c r="M23" i="33"/>
  <c r="M19" i="33"/>
  <c r="M21" i="33"/>
  <c r="N15" i="33"/>
  <c r="N22" i="33"/>
  <c r="M18" i="33"/>
  <c r="M15" i="33"/>
  <c r="N20" i="33"/>
  <c r="M20" i="33"/>
  <c r="N21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A27" i="21" l="1"/>
  <c r="E6" i="27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W10" i="2"/>
  <c r="AB24" i="2"/>
  <c r="W24" i="2"/>
  <c r="W39" i="2"/>
  <c r="A7" i="20"/>
  <c r="AB19" i="2"/>
  <c r="W19" i="2"/>
  <c r="A131" i="3"/>
  <c r="A138" i="3" s="1"/>
  <c r="C141" i="3" s="1"/>
  <c r="E140" i="3"/>
  <c r="Y33" i="3" l="1"/>
  <c r="Y37" i="3"/>
  <c r="W29" i="2"/>
  <c r="D34" i="3"/>
  <c r="C33" i="3"/>
  <c r="Y41" i="3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AC36" i="3" s="1"/>
  <c r="AC37" i="3" s="1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B13" i="19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A57" i="21" l="1"/>
  <c r="H4" i="27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C39" i="3" s="1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H60" i="1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B11" i="19" l="1"/>
  <c r="B14" i="19"/>
  <c r="C122" i="3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C45" i="3" s="1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C51" i="3" s="1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C56" i="3" s="1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C61" i="3" s="1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C66" i="3" s="1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8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C71" i="3" s="1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C77" i="3" s="1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8" authorId="1" shapeId="0" xr:uid="{96B5F474-250C-44FB-8968-F3DA095CE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H8" authorId="1" shapeId="0" xr:uid="{86351505-66BA-46D2-A633-A6ED55B2C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0" authorId="1" shapeId="0" xr:uid="{D75CC81C-71A7-4CAE-A828-70E3F8EF7E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<sst xmlns="http://schemas.openxmlformats.org/spreadsheetml/2006/main" count="1158" uniqueCount="306">
  <si>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</si>
  <si>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</si>
  <si>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</si>
  <si>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</si>
  <si>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</si>
  <si>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</si>
  <si>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</si>
  <si>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</si>
  <si>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</si>
  <si>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</si>
  <si>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</si>
  <si>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</si>
  <si>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</si>
  <si>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</si>
  <si>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</si>
  <si>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7" type="noConversion"/>
  </si>
  <si>
    <t>T</t>
    <phoneticPr fontId="7" type="noConversion"/>
  </si>
  <si>
    <t>Re</t>
    <phoneticPr fontId="7" type="noConversion"/>
  </si>
  <si>
    <t xml:space="preserve"> </t>
    <phoneticPr fontId="7" type="noConversion"/>
  </si>
  <si>
    <t>S</t>
    <phoneticPr fontId="7" type="noConversion"/>
  </si>
  <si>
    <t>t</t>
    <phoneticPr fontId="7" type="noConversion"/>
  </si>
  <si>
    <t>Day</t>
    <phoneticPr fontId="7" type="noConversion"/>
  </si>
  <si>
    <t>Sw</t>
    <phoneticPr fontId="7" type="noConversion"/>
  </si>
  <si>
    <t xml:space="preserve"> </t>
    <phoneticPr fontId="7" type="noConversion"/>
  </si>
  <si>
    <t>t</t>
    <phoneticPr fontId="7" type="noConversion"/>
  </si>
  <si>
    <t>반경  =</t>
    <phoneticPr fontId="7" type="noConversion"/>
  </si>
  <si>
    <t>유효우물</t>
    <phoneticPr fontId="7" type="noConversion"/>
  </si>
  <si>
    <t>2.25xTxt =</t>
    <phoneticPr fontId="7" type="noConversion"/>
  </si>
  <si>
    <t>고정</t>
    <phoneticPr fontId="7" type="noConversion"/>
  </si>
  <si>
    <t>대수층손실</t>
    <phoneticPr fontId="7" type="noConversion"/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</si>
  <si>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</si>
  <si>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</si>
  <si>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</si>
  <si>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</si>
  <si>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</si>
  <si>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</si>
  <si>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B</t>
    <phoneticPr fontId="7" type="noConversion"/>
  </si>
  <si>
    <t>Re =</t>
    <phoneticPr fontId="7" type="noConversion"/>
  </si>
  <si>
    <t>A</t>
    <phoneticPr fontId="7" type="noConversion"/>
  </si>
  <si>
    <t>S =</t>
    <phoneticPr fontId="7" type="noConversion"/>
  </si>
  <si>
    <t>A/B =</t>
    <phoneticPr fontId="7" type="noConversion"/>
  </si>
  <si>
    <t>10^(5.46xTxB)=</t>
    <phoneticPr fontId="7" type="noConversion"/>
  </si>
  <si>
    <t>그래프조정</t>
    <phoneticPr fontId="7" type="noConversion"/>
  </si>
  <si>
    <t>초기치</t>
    <phoneticPr fontId="7" type="noConversion"/>
  </si>
  <si>
    <t>수위강하량 초기치조정</t>
    <phoneticPr fontId="7" type="noConversion"/>
  </si>
  <si>
    <t>지 구 명</t>
    <phoneticPr fontId="7" type="noConversion"/>
  </si>
  <si>
    <t>위    치</t>
    <phoneticPr fontId="7" type="noConversion"/>
  </si>
  <si>
    <t>단계양수시험</t>
    <phoneticPr fontId="7" type="noConversion"/>
  </si>
  <si>
    <t>장기디스시험</t>
    <phoneticPr fontId="7" type="noConversion"/>
  </si>
  <si>
    <t>장기c-j시험</t>
    <phoneticPr fontId="7" type="noConversion"/>
  </si>
  <si>
    <t>회복수위시험</t>
    <phoneticPr fontId="7" type="noConversion"/>
  </si>
  <si>
    <t>선택치</t>
    <phoneticPr fontId="7" type="noConversion"/>
  </si>
  <si>
    <t>T값</t>
    <phoneticPr fontId="7" type="noConversion"/>
  </si>
  <si>
    <t>선택치</t>
    <phoneticPr fontId="7" type="noConversion"/>
  </si>
  <si>
    <t>지구명</t>
    <phoneticPr fontId="7" type="noConversion"/>
  </si>
  <si>
    <t>위  치</t>
    <phoneticPr fontId="7" type="noConversion"/>
  </si>
  <si>
    <t>조사자</t>
    <phoneticPr fontId="7" type="noConversion"/>
  </si>
  <si>
    <t>수중모터</t>
    <phoneticPr fontId="7" type="noConversion"/>
  </si>
  <si>
    <t>양수시험일</t>
    <phoneticPr fontId="7" type="noConversion"/>
  </si>
  <si>
    <t>우물직경</t>
    <phoneticPr fontId="7" type="noConversion"/>
  </si>
  <si>
    <t>관정심도</t>
    <phoneticPr fontId="7" type="noConversion"/>
  </si>
  <si>
    <t>대수층두께</t>
    <phoneticPr fontId="7" type="noConversion"/>
  </si>
  <si>
    <t>적정양수량</t>
    <phoneticPr fontId="7" type="noConversion"/>
  </si>
  <si>
    <t>자연수위</t>
    <phoneticPr fontId="7" type="noConversion"/>
  </si>
  <si>
    <t>안정수위</t>
    <phoneticPr fontId="7" type="noConversion"/>
  </si>
  <si>
    <t>수위강하량</t>
    <phoneticPr fontId="7" type="noConversion"/>
  </si>
  <si>
    <t>단계수위강하</t>
    <phoneticPr fontId="7" type="noConversion"/>
  </si>
  <si>
    <t>영향반경</t>
    <phoneticPr fontId="7" type="noConversion"/>
  </si>
  <si>
    <t>R</t>
    <phoneticPr fontId="7" type="noConversion"/>
  </si>
  <si>
    <t>Shultze:</t>
    <phoneticPr fontId="7" type="noConversion"/>
  </si>
  <si>
    <t>Weber:</t>
    <phoneticPr fontId="7" type="noConversion"/>
  </si>
  <si>
    <t>Jacob:</t>
    <phoneticPr fontId="7" type="noConversion"/>
  </si>
  <si>
    <t>평균</t>
    <phoneticPr fontId="7" type="noConversion"/>
  </si>
  <si>
    <t>포획구간</t>
    <phoneticPr fontId="7" type="noConversion"/>
  </si>
  <si>
    <t>상류</t>
    <phoneticPr fontId="7" type="noConversion"/>
  </si>
  <si>
    <t>하류</t>
    <phoneticPr fontId="7" type="noConversion"/>
  </si>
  <si>
    <t>S값</t>
    <phoneticPr fontId="7" type="noConversion"/>
  </si>
  <si>
    <t>s'=</t>
    <phoneticPr fontId="7" type="noConversion"/>
  </si>
  <si>
    <t>Q양수량 =</t>
    <phoneticPr fontId="7" type="noConversion"/>
  </si>
  <si>
    <t>㎥/일</t>
    <phoneticPr fontId="7" type="noConversion"/>
  </si>
  <si>
    <t>양수량(㎥/일)</t>
    <phoneticPr fontId="7" type="noConversion"/>
  </si>
  <si>
    <t>1일상수 =</t>
    <phoneticPr fontId="7" type="noConversion"/>
  </si>
  <si>
    <t>일</t>
    <phoneticPr fontId="7" type="noConversion"/>
  </si>
  <si>
    <t>A효율</t>
    <phoneticPr fontId="7" type="noConversion"/>
  </si>
  <si>
    <t>H 양정 =</t>
    <phoneticPr fontId="7" type="noConversion"/>
  </si>
  <si>
    <t>m</t>
    <phoneticPr fontId="7" type="noConversion"/>
  </si>
  <si>
    <t>B효율</t>
    <phoneticPr fontId="7" type="noConversion"/>
  </si>
  <si>
    <t>hp 마력 =</t>
    <phoneticPr fontId="7" type="noConversion"/>
  </si>
  <si>
    <t>hp</t>
    <phoneticPr fontId="7" type="noConversion"/>
  </si>
  <si>
    <t>평균효율</t>
    <phoneticPr fontId="7" type="noConversion"/>
  </si>
  <si>
    <t>η 효율 =</t>
    <phoneticPr fontId="7" type="noConversion"/>
  </si>
  <si>
    <t>%</t>
    <phoneticPr fontId="7" type="noConversion"/>
  </si>
  <si>
    <t>마력산정 =</t>
    <phoneticPr fontId="7" type="noConversion"/>
  </si>
  <si>
    <t>양정산정 =</t>
    <phoneticPr fontId="7" type="noConversion"/>
  </si>
  <si>
    <t>1분양수량</t>
    <phoneticPr fontId="7" type="noConversion"/>
  </si>
  <si>
    <t>시경수량</t>
    <phoneticPr fontId="7" type="noConversion"/>
  </si>
  <si>
    <t>케이싱</t>
    <phoneticPr fontId="7" type="noConversion"/>
  </si>
  <si>
    <t>우물자재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</si>
  <si>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</si>
  <si>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</si>
  <si>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</si>
  <si>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</si>
  <si>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</si>
  <si>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</si>
  <si>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</si>
  <si>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</si>
  <si>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</si>
  <si>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</si>
  <si>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</si>
  <si>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</si>
  <si>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</si>
  <si>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</si>
  <si>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</si>
  <si>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개발시 적정채수량으로 적용 =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</si>
  <si>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</si>
  <si>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</si>
  <si>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</si>
  <si>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</si>
  <si>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정해진 목표 가채수량</t>
    <phoneticPr fontId="7" type="noConversion"/>
  </si>
  <si>
    <t>계산상 가재수량</t>
    <phoneticPr fontId="7" type="noConversion"/>
  </si>
  <si>
    <t>시추조사시 수량의 대소에 따라 차등적용</t>
    <phoneticPr fontId="7" type="noConversion"/>
  </si>
  <si>
    <t>Sw</t>
    <phoneticPr fontId="7" type="noConversion"/>
  </si>
  <si>
    <t>Q</t>
    <phoneticPr fontId="7" type="noConversion"/>
  </si>
  <si>
    <t>그래프양수량조정</t>
    <phoneticPr fontId="7" type="noConversion"/>
  </si>
  <si>
    <t>그래프기울기저정</t>
    <phoneticPr fontId="7" type="noConversion"/>
  </si>
  <si>
    <t>360분수
위강하량</t>
    <phoneticPr fontId="7" type="noConversion"/>
  </si>
  <si>
    <t>1층</t>
    <phoneticPr fontId="7" type="noConversion"/>
  </si>
  <si>
    <t>저항</t>
    <phoneticPr fontId="7" type="noConversion"/>
  </si>
  <si>
    <t>심도</t>
    <phoneticPr fontId="7" type="noConversion"/>
  </si>
  <si>
    <t>2층</t>
    <phoneticPr fontId="7" type="noConversion"/>
  </si>
  <si>
    <t>심도</t>
    <phoneticPr fontId="7" type="noConversion"/>
  </si>
  <si>
    <t>3층</t>
    <phoneticPr fontId="7" type="noConversion"/>
  </si>
  <si>
    <t>4층</t>
    <phoneticPr fontId="7" type="noConversion"/>
  </si>
  <si>
    <t>저항</t>
    <phoneticPr fontId="7" type="noConversion"/>
  </si>
  <si>
    <t>측점수</t>
    <phoneticPr fontId="7" type="noConversion"/>
  </si>
  <si>
    <t>전기탐사</t>
    <phoneticPr fontId="7" type="noConversion"/>
  </si>
  <si>
    <t>단계양수 3단계
수위강하량</t>
    <phoneticPr fontId="7" type="noConversion"/>
  </si>
  <si>
    <t>확인
적색으로</t>
    <phoneticPr fontId="7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</si>
  <si>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</si>
  <si>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</si>
  <si>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</si>
  <si>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</si>
  <si>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</si>
  <si>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</si>
  <si>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</si>
  <si>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</si>
  <si>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</si>
  <si>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</si>
  <si>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</si>
  <si>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</si>
  <si>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</si>
  <si>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</si>
  <si>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9" type="noConversion"/>
  </si>
  <si>
    <t xml:space="preserve">  2006.    .    .</t>
    <phoneticPr fontId="19" type="noConversion"/>
  </si>
  <si>
    <t>지  질</t>
    <phoneticPr fontId="19" type="noConversion"/>
  </si>
  <si>
    <t>지질명</t>
    <phoneticPr fontId="19" type="noConversion"/>
  </si>
  <si>
    <t>주    상    도</t>
    <phoneticPr fontId="19" type="noConversion"/>
  </si>
  <si>
    <t>토 사 층</t>
    <phoneticPr fontId="19" type="noConversion"/>
  </si>
  <si>
    <t>오염방지그라우팅</t>
    <phoneticPr fontId="19" type="noConversion"/>
  </si>
  <si>
    <t>250m/m</t>
    <phoneticPr fontId="19" type="noConversion"/>
  </si>
  <si>
    <t>양수량(㎥/day)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</si>
  <si>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</si>
  <si>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</si>
  <si>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</si>
  <si>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</si>
  <si>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조 사 자</t>
    <phoneticPr fontId="7" type="noConversion"/>
  </si>
  <si>
    <t xml:space="preserve">  충청남도 공주시 쌍신동 산6-1</t>
    <phoneticPr fontId="19" type="noConversion"/>
  </si>
  <si>
    <t>12m 설치</t>
    <phoneticPr fontId="19" type="noConversion"/>
  </si>
  <si>
    <t>직     경</t>
    <phoneticPr fontId="7" type="noConversion"/>
  </si>
  <si>
    <t>자연 수위</t>
    <phoneticPr fontId="7" type="noConversion"/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</si>
  <si>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</si>
  <si>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</si>
  <si>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</si>
  <si>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</si>
  <si>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</si>
  <si>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&lt;부록 : 4&gt; 양수시험일보</t>
    <phoneticPr fontId="7" type="noConversion"/>
  </si>
  <si>
    <t>△h</t>
    <phoneticPr fontId="7" type="noConversion"/>
  </si>
  <si>
    <t>K</t>
    <phoneticPr fontId="7" type="noConversion"/>
  </si>
  <si>
    <t>최대</t>
    <phoneticPr fontId="7" type="noConversion"/>
  </si>
  <si>
    <t>&lt;END&gt;</t>
    <phoneticPr fontId="4" type="noConversion"/>
  </si>
  <si>
    <t>적용시간</t>
    <phoneticPr fontId="7" type="noConversion"/>
  </si>
  <si>
    <t>적용수위</t>
    <phoneticPr fontId="7" type="noConversion"/>
  </si>
  <si>
    <t>안정수위</t>
    <phoneticPr fontId="7" type="noConversion"/>
  </si>
  <si>
    <t>도달시간</t>
    <phoneticPr fontId="7" type="noConversion"/>
  </si>
  <si>
    <t>확    인</t>
    <phoneticPr fontId="7" type="noConversion"/>
  </si>
  <si>
    <t>케이싱직경</t>
    <phoneticPr fontId="7" type="noConversion"/>
  </si>
  <si>
    <t>지하수위</t>
    <phoneticPr fontId="7" type="noConversion"/>
  </si>
  <si>
    <t>강하수위</t>
    <phoneticPr fontId="7" type="noConversion"/>
  </si>
  <si>
    <t>단계별수위강하량</t>
    <phoneticPr fontId="7" type="noConversion"/>
  </si>
  <si>
    <t>Sw/Q</t>
    <phoneticPr fontId="7" type="noConversion"/>
  </si>
  <si>
    <t>장기양수 및 회복수위시험 일보</t>
    <phoneticPr fontId="7" type="noConversion"/>
  </si>
  <si>
    <t>조사명</t>
    <phoneticPr fontId="7" type="noConversion"/>
  </si>
  <si>
    <t>조 사 명</t>
    <phoneticPr fontId="7" type="noConversion"/>
  </si>
  <si>
    <t>양수능력 =</t>
    <phoneticPr fontId="7" type="noConversion"/>
  </si>
  <si>
    <t>비양수량(Q/Sw)</t>
    <phoneticPr fontId="7" type="noConversion"/>
  </si>
  <si>
    <t>Sw/Q</t>
    <phoneticPr fontId="7" type="noConversion"/>
  </si>
  <si>
    <t>π</t>
    <phoneticPr fontId="7" type="noConversion"/>
  </si>
  <si>
    <t>=</t>
    <phoneticPr fontId="7" type="noConversion"/>
  </si>
  <si>
    <t>△s</t>
    <phoneticPr fontId="7" type="noConversion"/>
  </si>
  <si>
    <t>Q</t>
    <phoneticPr fontId="7" type="noConversion"/>
  </si>
  <si>
    <t>σ =</t>
    <phoneticPr fontId="7" type="noConversion"/>
  </si>
  <si>
    <t>케이싱심도</t>
    <phoneticPr fontId="7" type="noConversion"/>
  </si>
  <si>
    <t>Shultze   R =</t>
    <phoneticPr fontId="7" type="noConversion"/>
  </si>
  <si>
    <t>장기 T =</t>
    <phoneticPr fontId="7" type="noConversion"/>
  </si>
  <si>
    <t>회복 T =</t>
    <phoneticPr fontId="7" type="noConversion"/>
  </si>
  <si>
    <t>△h(수위강하량)</t>
    <phoneticPr fontId="7" type="noConversion"/>
  </si>
  <si>
    <t>T(투수량계수)</t>
    <phoneticPr fontId="7" type="noConversion"/>
  </si>
  <si>
    <t>1일</t>
    <phoneticPr fontId="7" type="noConversion"/>
  </si>
  <si>
    <t>안정도달</t>
    <phoneticPr fontId="7" type="noConversion"/>
  </si>
  <si>
    <t>Weber   R =</t>
    <phoneticPr fontId="7" type="noConversion"/>
  </si>
  <si>
    <t>K</t>
    <phoneticPr fontId="7" type="noConversion"/>
  </si>
  <si>
    <t>Jacop   R =</t>
    <phoneticPr fontId="7" type="noConversion"/>
  </si>
  <si>
    <t>대수층두께</t>
    <phoneticPr fontId="7" type="noConversion"/>
  </si>
  <si>
    <t>T(투수량계수)</t>
    <phoneticPr fontId="7" type="noConversion"/>
  </si>
  <si>
    <t>안정도달</t>
    <phoneticPr fontId="7" type="noConversion"/>
  </si>
  <si>
    <t>S</t>
    <phoneticPr fontId="7" type="noConversion"/>
  </si>
  <si>
    <t>T 값 평균=</t>
    <phoneticPr fontId="7" type="noConversion"/>
  </si>
  <si>
    <t>k값</t>
    <phoneticPr fontId="7" type="noConversion"/>
  </si>
  <si>
    <t>S 값 적용=</t>
    <phoneticPr fontId="7" type="noConversion"/>
  </si>
  <si>
    <t>영향반경 평균=</t>
    <phoneticPr fontId="7" type="noConversion"/>
  </si>
  <si>
    <t>Q/Sw</t>
    <phoneticPr fontId="7" type="noConversion"/>
  </si>
  <si>
    <t>공심도(굴착깊이)</t>
    <phoneticPr fontId="7" type="noConversion"/>
  </si>
  <si>
    <t>t(일)</t>
    <phoneticPr fontId="7" type="noConversion"/>
  </si>
  <si>
    <t>안정도달(분)</t>
    <phoneticPr fontId="7" type="noConversion"/>
  </si>
  <si>
    <t>Rw</t>
    <phoneticPr fontId="7" type="noConversion"/>
  </si>
  <si>
    <t>자연수위(단위 m)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</si>
  <si>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</si>
  <si>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</si>
  <si>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</si>
  <si>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 xml:space="preserve"> </t>
    <phoneticPr fontId="7" type="noConversion"/>
  </si>
  <si>
    <t xml:space="preserve"> </t>
    <phoneticPr fontId="7" type="noConversion"/>
  </si>
  <si>
    <t>회복수위</t>
    <phoneticPr fontId="7" type="noConversion"/>
  </si>
  <si>
    <t>수위회복량(Sw)</t>
    <phoneticPr fontId="7" type="noConversion"/>
  </si>
  <si>
    <t>양수량</t>
    <phoneticPr fontId="7" type="noConversion"/>
  </si>
  <si>
    <t>지하수위</t>
    <phoneticPr fontId="7" type="noConversion"/>
  </si>
  <si>
    <t>강하수위</t>
    <phoneticPr fontId="7" type="noConversion"/>
  </si>
  <si>
    <t>공번</t>
    <phoneticPr fontId="7" type="noConversion"/>
  </si>
  <si>
    <t>W-1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</si>
  <si>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</si>
  <si>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</si>
  <si>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</si>
  <si>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</si>
  <si>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</si>
  <si>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7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</si>
  <si>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</si>
  <si>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</si>
  <si>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</si>
  <si>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</si>
  <si>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</si>
  <si>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</si>
  <si>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</si>
  <si>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</si>
  <si>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</si>
  <si>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</si>
  <si>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</si>
  <si>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</si>
  <si>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</si>
  <si>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</si>
  <si>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</si>
  <si>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</si>
  <si>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</si>
  <si>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</si>
  <si>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</si>
  <si>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</si>
  <si>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a---&gt;</t>
    <phoneticPr fontId="7" type="noConversion"/>
  </si>
  <si>
    <t>b---&gt;</t>
    <phoneticPr fontId="7" type="noConversion"/>
  </si>
  <si>
    <t>&lt;---장기양수T</t>
    <phoneticPr fontId="7" type="noConversion"/>
  </si>
  <si>
    <t>&lt;--sqrt(a/b)</t>
    <phoneticPr fontId="7" type="noConversion"/>
  </si>
  <si>
    <t>e---&gt;</t>
    <phoneticPr fontId="7" type="noConversion"/>
  </si>
  <si>
    <t>경험식Re2=</t>
    <phoneticPr fontId="7" type="noConversion"/>
  </si>
  <si>
    <t>SkinFactor Re =</t>
    <phoneticPr fontId="7" type="noConversion"/>
  </si>
  <si>
    <t>저류계수</t>
    <phoneticPr fontId="7" type="noConversion"/>
  </si>
  <si>
    <t>W-7</t>
    <phoneticPr fontId="7" type="noConversion"/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</si>
  <si>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</si>
  <si>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</si>
  <si>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</si>
  <si>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</si>
  <si>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</si>
  <si>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</si>
  <si>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</si>
  <si>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</si>
  <si>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</si>
  <si>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S1:</t>
    <phoneticPr fontId="7" type="noConversion"/>
  </si>
  <si>
    <t>경험식Re3</t>
    <phoneticPr fontId="7" type="noConversion"/>
  </si>
  <si>
    <t>한계양수량</t>
    <phoneticPr fontId="7" type="noConversion"/>
  </si>
  <si>
    <t>취수계획량</t>
    <phoneticPr fontId="7" type="noConversion"/>
  </si>
  <si>
    <t>경험식Re1=</t>
    <phoneticPr fontId="7" type="noConversion"/>
  </si>
  <si>
    <t>유효우물반경</t>
    <phoneticPr fontId="7" type="noConversion"/>
  </si>
  <si>
    <t>경험식 3번</t>
  </si>
  <si>
    <t>경험식 1번</t>
    <phoneticPr fontId="7" type="noConversion"/>
  </si>
  <si>
    <t>경험식 2번</t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</si>
  <si>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</si>
  <si>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</si>
  <si>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</si>
  <si>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</si>
  <si>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</si>
  <si>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</si>
  <si>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t>W-13</t>
  </si>
  <si>
    <t>W-14</t>
  </si>
  <si>
    <t>W-15</t>
  </si>
  <si>
    <t xml:space="preserve"> 2021년 상반기 소규모수도시설 사후관리 및 영향조사용역(3구역)</t>
    <phoneticPr fontId="7" type="noConversion"/>
  </si>
  <si>
    <t xml:space="preserve"> 정진건설㈜</t>
    <phoneticPr fontId="7" type="noConversion"/>
  </si>
  <si>
    <t>공  번 : W - 1</t>
  </si>
  <si>
    <t xml:space="preserve"> 고등리 382</t>
    <phoneticPr fontId="7" type="noConversion"/>
  </si>
  <si>
    <t xml:space="preserve"> 세종특별자치시 소정면 고등리 382</t>
    <phoneticPr fontId="7" type="noConversion"/>
  </si>
  <si>
    <t>수질 1번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</si>
</sst>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41" formatCode="_(* #,##0_);_(* \(#,##0\);_(* &quot;-&quot;_);_(@_)"/>
    <numFmt numFmtId="24" formatCode="\$#,##0_);[Red]\(\$#,##0\)"/>
    <numFmt numFmtId="176" formatCode="0.0"/>
    <numFmt numFmtId="177" formatCode="0.000"/>
    <numFmt numFmtId="178" formatCode="0\ &quot;m/m&quot;"/>
    <numFmt numFmtId="179" formatCode="0\ &quot;M&quot;"/>
    <numFmt numFmtId="180" formatCode="0.00\ &quot;M&quot;"/>
    <numFmt numFmtId="181" formatCode="0.0\ &quot;M&quot;"/>
    <numFmt numFmtId="182" formatCode="\ 0\ &quot;분&quot;\ "/>
    <numFmt numFmtId="183" formatCode="\ 0.00\ &quot;m&quot;\ "/>
    <numFmt numFmtId="184" formatCode="&quot;마력 :&quot;\ 0&quot; HP&quot;"/>
    <numFmt numFmtId="185" formatCode="h&quot;시&quot;\ mm&quot;분&quot;\ "/>
    <numFmt numFmtId="186" formatCode="\ \ yy\ &quot;년&quot;\ \ \ m&quot; 월&quot;\ \ \ d\ &quot;일&quot;\ \ \ "/>
    <numFmt numFmtId="187" formatCode="0.00_);[Red]\(0.00\)"/>
    <numFmt numFmtId="188" formatCode="\ 0\ "/>
    <numFmt numFmtId="189" formatCode="\ 0\ \ "/>
    <numFmt numFmtId="190" formatCode="\ 0.00\ "/>
    <numFmt numFmtId="191" formatCode="\ 0.00"/>
    <numFmt numFmtId="192" formatCode="\ 0\ &quot;지구&quot;\ "/>
    <numFmt numFmtId="193" formatCode="0.000_ "/>
    <numFmt numFmtId="194" formatCode="0.00_ "/>
    <numFmt numFmtId="195" formatCode="#,##0_ "/>
    <numFmt numFmtId="196" formatCode="0&quot; kg&quot;"/>
    <numFmt numFmtId="197" formatCode="&quot;(&quot;\ 0.0&quot;   일  )&quot;"/>
    <numFmt numFmtId="198" formatCode="&quot;평균심도(&quot;\ 0.0\ &quot;)&quot;\ "/>
    <numFmt numFmtId="199" formatCode="0.0\ &quot;Hp&quot;"/>
    <numFmt numFmtId="200" formatCode="0_ "/>
    <numFmt numFmtId="201" formatCode="\ 0.00000\ "/>
    <numFmt numFmtId="202" formatCode="0.00000"/>
    <numFmt numFmtId="203" formatCode="0.0000"/>
    <numFmt numFmtId="204" formatCode="0.0000000"/>
    <numFmt numFmtId="205" formatCode="_-* #,##0.0_-;\-* #,##0.0_-;_-* &quot;-&quot;_-;_-@_-"/>
    <numFmt numFmtId="206" formatCode="_-* #,##0.0_-;\-* #,##0.0_-;_-* &quot;-&quot;??_-;_-@_-"/>
    <numFmt numFmtId="207" formatCode="#,##0.00;[Red]#,##0.00"/>
    <numFmt numFmtId="208" formatCode="0.0000_ "/>
    <numFmt numFmtId="209" formatCode="_-* #,##0.00_-;&quot;₩&quot;\!\-* #,##0.00_-;_-* &quot;-&quot;??_-;_-@_-"/>
    <numFmt numFmtId="210" formatCode="0.0000000_ "/>
    <numFmt numFmtId="211" formatCode="&quot;t:&quot;0,000"/>
    <numFmt numFmtId="212" formatCode="&quot;  마력 :&quot;\ 0.0&quot; HP&quot;"/>
    <numFmt numFmtId="213" formatCode="#,##0.0_ "/>
    <numFmt numFmtId="214" formatCode="0.0_ "/>
    <numFmt numFmtId="215" formatCode="&quot;s`:&quot;0.00"/>
    <numFmt numFmtId="216" formatCode="0.0\ &quot;도&quot;"/>
    <numFmt numFmtId="217" formatCode="0.000\ &quot;%&quot;"/>
    <numFmt numFmtId="218" formatCode="yyyy&quot;년&quot;\ m&quot;월&quot;\ d&quot;일&quot;;@"/>
    <numFmt numFmtId="219" formatCode="0_);[Red]\(0\)"/>
    <numFmt numFmtId="220" formatCode="#,##0.00_ "/>
    <numFmt numFmtId="221" formatCode="yy&quot;-&quot;m&quot;-&quot;d\ h:mm;@"/>
    <numFmt numFmtId="222" formatCode="#,##0.0_);[Red]\(#,##0.0\)"/>
    <numFmt numFmtId="223" formatCode="yyyy&quot;-&quot;mm&quot;-&quot;dd\ h:mm;@"/>
    <numFmt numFmtId="224" formatCode="0.0%"/>
  </numFmts>
  <fonts count="7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3" fillId="0" borderId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9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206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09" fontId="3" fillId="0" borderId="0" applyFont="0" applyFill="0" applyBorder="0" applyAlignment="0" applyProtection="0"/>
    <xf numFmtId="0" fontId="18" fillId="0" borderId="0"/>
    <xf numFmtId="0" fontId="3" fillId="0" borderId="0">
      <alignment vertical="center"/>
    </xf>
    <xf numFmtId="0" fontId="44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64">
    <xf numFmtId="0" fontId="0" fillId="0" borderId="0" xfId="0"/>
    <xf numFmtId="0" fontId="5" fillId="0" borderId="0" xfId="0" applyFont="1" applyAlignment="1">
      <alignment horizontal="centerContinuous"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/>
    </xf>
    <xf numFmtId="176" fontId="4" fillId="0" borderId="0" xfId="0" applyNumberFormat="1" applyFont="1" applyAlignment="1">
      <alignment vertical="center"/>
    </xf>
    <xf numFmtId="183" fontId="4" fillId="0" borderId="0" xfId="0" applyNumberFormat="1" applyFont="1" applyAlignment="1">
      <alignment vertical="center"/>
    </xf>
    <xf numFmtId="183" fontId="0" fillId="0" borderId="0" xfId="0" applyNumberFormat="1"/>
    <xf numFmtId="180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182" fontId="4" fillId="0" borderId="0" xfId="0" applyNumberFormat="1" applyFont="1" applyAlignment="1">
      <alignment vertical="center"/>
    </xf>
    <xf numFmtId="187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0" fontId="4" fillId="0" borderId="0" xfId="0" applyFont="1" applyAlignment="1">
      <alignment horizontal="right" vertical="center"/>
    </xf>
    <xf numFmtId="182" fontId="4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2" fontId="8" fillId="0" borderId="0" xfId="0" applyNumberFormat="1" applyFont="1"/>
    <xf numFmtId="1" fontId="8" fillId="0" borderId="0" xfId="0" applyNumberFormat="1" applyFont="1"/>
    <xf numFmtId="177" fontId="8" fillId="0" borderId="0" xfId="0" applyNumberFormat="1" applyFont="1"/>
    <xf numFmtId="0" fontId="8" fillId="0" borderId="0" xfId="0" applyFont="1" applyAlignment="1">
      <alignment horizontal="center"/>
    </xf>
    <xf numFmtId="176" fontId="8" fillId="0" borderId="0" xfId="0" applyNumberFormat="1" applyFont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9" fontId="8" fillId="0" borderId="0" xfId="8" applyFont="1"/>
    <xf numFmtId="0" fontId="10" fillId="0" borderId="0" xfId="0" applyFont="1" applyAlignment="1">
      <alignment horizontal="right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8" fillId="2" borderId="0" xfId="0" applyFont="1" applyFill="1"/>
    <xf numFmtId="191" fontId="4" fillId="0" borderId="0" xfId="0" applyNumberFormat="1" applyFont="1" applyAlignment="1">
      <alignment horizontal="center" vertical="center"/>
    </xf>
    <xf numFmtId="191" fontId="4" fillId="2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8" fillId="3" borderId="0" xfId="0" applyFont="1" applyFill="1"/>
    <xf numFmtId="0" fontId="9" fillId="0" borderId="3" xfId="0" applyFont="1" applyBorder="1"/>
    <xf numFmtId="0" fontId="9" fillId="2" borderId="3" xfId="0" applyFont="1" applyFill="1" applyBorder="1"/>
    <xf numFmtId="0" fontId="9" fillId="4" borderId="3" xfId="0" applyFont="1" applyFill="1" applyBorder="1"/>
    <xf numFmtId="2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0" borderId="3" xfId="0" applyFont="1" applyBorder="1" applyAlignment="1">
      <alignment horizontal="center"/>
    </xf>
    <xf numFmtId="0" fontId="9" fillId="0" borderId="3" xfId="0" applyFont="1" applyBorder="1" applyAlignment="1">
      <alignment horizontal="right"/>
    </xf>
    <xf numFmtId="176" fontId="9" fillId="0" borderId="3" xfId="0" applyNumberFormat="1" applyFont="1" applyBorder="1"/>
    <xf numFmtId="0" fontId="12" fillId="0" borderId="3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Continuous" vertical="center"/>
    </xf>
    <xf numFmtId="0" fontId="4" fillId="0" borderId="3" xfId="0" applyFont="1" applyBorder="1" applyAlignment="1">
      <alignment vertical="center"/>
    </xf>
    <xf numFmtId="185" fontId="4" fillId="0" borderId="3" xfId="0" applyNumberFormat="1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Continuous" vertical="center"/>
    </xf>
    <xf numFmtId="0" fontId="4" fillId="0" borderId="4" xfId="0" applyFont="1" applyBorder="1" applyAlignment="1">
      <alignment vertical="center"/>
    </xf>
    <xf numFmtId="183" fontId="4" fillId="0" borderId="0" xfId="0" applyNumberFormat="1" applyFont="1" applyAlignment="1">
      <alignment horizontal="centerContinuous"/>
    </xf>
    <xf numFmtId="1" fontId="4" fillId="0" borderId="3" xfId="0" applyNumberFormat="1" applyFont="1" applyBorder="1" applyAlignment="1">
      <alignment vertical="center"/>
    </xf>
    <xf numFmtId="188" fontId="4" fillId="0" borderId="0" xfId="0" applyNumberFormat="1" applyFont="1" applyAlignment="1">
      <alignment vertical="center"/>
    </xf>
    <xf numFmtId="191" fontId="4" fillId="0" borderId="0" xfId="0" applyNumberFormat="1" applyFont="1" applyAlignment="1">
      <alignment vertical="center"/>
    </xf>
    <xf numFmtId="2" fontId="4" fillId="2" borderId="0" xfId="0" applyNumberFormat="1" applyFont="1" applyFill="1" applyAlignment="1">
      <alignment vertical="center"/>
    </xf>
    <xf numFmtId="188" fontId="4" fillId="0" borderId="0" xfId="0" applyNumberFormat="1" applyFont="1" applyAlignment="1">
      <alignment horizontal="right"/>
    </xf>
    <xf numFmtId="201" fontId="4" fillId="0" borderId="0" xfId="0" applyNumberFormat="1" applyFont="1" applyAlignment="1">
      <alignment vertical="center"/>
    </xf>
    <xf numFmtId="202" fontId="4" fillId="0" borderId="0" xfId="0" applyNumberFormat="1" applyFont="1" applyAlignment="1">
      <alignment vertical="center"/>
    </xf>
    <xf numFmtId="188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6" fontId="0" fillId="0" borderId="3" xfId="0" applyNumberFormat="1" applyBorder="1"/>
    <xf numFmtId="0" fontId="0" fillId="0" borderId="0" xfId="0" applyAlignment="1">
      <alignment horizontal="center"/>
    </xf>
    <xf numFmtId="176" fontId="0" fillId="0" borderId="0" xfId="0" applyNumberFormat="1"/>
    <xf numFmtId="0" fontId="15" fillId="0" borderId="0" xfId="0" applyFont="1"/>
    <xf numFmtId="0" fontId="8" fillId="0" borderId="4" xfId="0" applyFont="1" applyBorder="1" applyAlignment="1">
      <alignment horizontal="center"/>
    </xf>
    <xf numFmtId="177" fontId="4" fillId="5" borderId="0" xfId="0" applyNumberFormat="1" applyFont="1" applyFill="1" applyAlignment="1">
      <alignment vertical="center"/>
    </xf>
    <xf numFmtId="0" fontId="16" fillId="0" borderId="0" xfId="0" applyFont="1"/>
    <xf numFmtId="2" fontId="16" fillId="0" borderId="0" xfId="0" applyNumberFormat="1" applyFont="1"/>
    <xf numFmtId="1" fontId="8" fillId="0" borderId="3" xfId="0" applyNumberFormat="1" applyFont="1" applyBorder="1"/>
    <xf numFmtId="2" fontId="16" fillId="0" borderId="3" xfId="0" applyNumberFormat="1" applyFont="1" applyBorder="1"/>
    <xf numFmtId="2" fontId="8" fillId="0" borderId="3" xfId="0" applyNumberFormat="1" applyFont="1" applyBorder="1"/>
    <xf numFmtId="0" fontId="8" fillId="0" borderId="5" xfId="0" applyFont="1" applyBorder="1"/>
    <xf numFmtId="1" fontId="16" fillId="0" borderId="4" xfId="0" applyNumberFormat="1" applyFont="1" applyBorder="1"/>
    <xf numFmtId="0" fontId="8" fillId="6" borderId="3" xfId="0" applyFont="1" applyFill="1" applyBorder="1"/>
    <xf numFmtId="0" fontId="8" fillId="2" borderId="3" xfId="0" applyFont="1" applyFill="1" applyBorder="1"/>
    <xf numFmtId="187" fontId="0" fillId="0" borderId="0" xfId="0" applyNumberFormat="1"/>
    <xf numFmtId="193" fontId="4" fillId="2" borderId="0" xfId="0" applyNumberFormat="1" applyFont="1" applyFill="1" applyAlignment="1">
      <alignment vertical="center"/>
    </xf>
    <xf numFmtId="193" fontId="4" fillId="0" borderId="0" xfId="0" applyNumberFormat="1" applyFont="1"/>
    <xf numFmtId="193" fontId="4" fillId="2" borderId="0" xfId="0" applyNumberFormat="1" applyFont="1" applyFill="1"/>
    <xf numFmtId="193" fontId="4" fillId="0" borderId="0" xfId="0" applyNumberFormat="1" applyFont="1" applyAlignment="1">
      <alignment horizontal="center" vertical="center"/>
    </xf>
    <xf numFmtId="193" fontId="4" fillId="0" borderId="0" xfId="0" applyNumberFormat="1" applyFont="1" applyAlignment="1">
      <alignment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/>
    <xf numFmtId="0" fontId="9" fillId="0" borderId="8" xfId="0" applyFont="1" applyBorder="1"/>
    <xf numFmtId="0" fontId="9" fillId="0" borderId="9" xfId="0" applyFont="1" applyBorder="1"/>
    <xf numFmtId="41" fontId="9" fillId="0" borderId="8" xfId="9" applyFont="1" applyBorder="1"/>
    <xf numFmtId="41" fontId="9" fillId="0" borderId="9" xfId="9" applyFont="1" applyBorder="1"/>
    <xf numFmtId="0" fontId="9" fillId="0" borderId="7" xfId="0" applyFont="1" applyBorder="1" applyAlignment="1">
      <alignment horizontal="right"/>
    </xf>
    <xf numFmtId="41" fontId="9" fillId="0" borderId="8" xfId="0" applyNumberFormat="1" applyFont="1" applyBorder="1"/>
    <xf numFmtId="205" fontId="9" fillId="0" borderId="8" xfId="0" applyNumberFormat="1" applyFont="1" applyBorder="1"/>
    <xf numFmtId="41" fontId="9" fillId="0" borderId="9" xfId="0" applyNumberFormat="1" applyFont="1" applyBorder="1"/>
    <xf numFmtId="0" fontId="9" fillId="2" borderId="10" xfId="0" applyFont="1" applyFill="1" applyBorder="1"/>
    <xf numFmtId="41" fontId="9" fillId="0" borderId="11" xfId="0" applyNumberFormat="1" applyFont="1" applyBorder="1"/>
    <xf numFmtId="206" fontId="9" fillId="0" borderId="11" xfId="0" applyNumberFormat="1" applyFont="1" applyBorder="1"/>
    <xf numFmtId="41" fontId="9" fillId="0" borderId="12" xfId="0" applyNumberFormat="1" applyFont="1" applyBorder="1"/>
    <xf numFmtId="0" fontId="9" fillId="0" borderId="13" xfId="0" applyFont="1" applyBorder="1" applyAlignment="1">
      <alignment horizontal="center"/>
    </xf>
    <xf numFmtId="0" fontId="8" fillId="4" borderId="0" xfId="0" applyFont="1" applyFill="1"/>
    <xf numFmtId="0" fontId="21" fillId="0" borderId="0" xfId="14" applyFont="1"/>
    <xf numFmtId="0" fontId="9" fillId="0" borderId="14" xfId="14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Continuous"/>
    </xf>
    <xf numFmtId="0" fontId="9" fillId="0" borderId="14" xfId="14" quotePrefix="1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" vertical="top"/>
    </xf>
    <xf numFmtId="0" fontId="9" fillId="0" borderId="15" xfId="14" applyFont="1" applyBorder="1" applyAlignment="1">
      <alignment horizontal="center" vertical="center"/>
    </xf>
    <xf numFmtId="0" fontId="9" fillId="0" borderId="16" xfId="14" applyFont="1" applyBorder="1" applyAlignment="1">
      <alignment horizontal="left" vertical="center"/>
    </xf>
    <xf numFmtId="0" fontId="9" fillId="0" borderId="17" xfId="14" applyFont="1" applyBorder="1" applyAlignment="1">
      <alignment horizontal="left" vertical="center"/>
    </xf>
    <xf numFmtId="0" fontId="18" fillId="0" borderId="18" xfId="14" applyBorder="1"/>
    <xf numFmtId="0" fontId="9" fillId="0" borderId="19" xfId="14" applyFont="1" applyBorder="1" applyAlignment="1">
      <alignment horizontal="left" vertical="center"/>
    </xf>
    <xf numFmtId="0" fontId="9" fillId="0" borderId="20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Continuous" vertical="center"/>
    </xf>
    <xf numFmtId="0" fontId="9" fillId="0" borderId="4" xfId="14" quotePrefix="1" applyFont="1" applyBorder="1" applyAlignment="1">
      <alignment horizontal="centerContinuous" vertical="center"/>
    </xf>
    <xf numFmtId="0" fontId="9" fillId="0" borderId="4" xfId="14" applyFont="1" applyBorder="1" applyAlignment="1">
      <alignment horizontal="centerContinuous" vertical="center"/>
    </xf>
    <xf numFmtId="0" fontId="9" fillId="0" borderId="21" xfId="14" applyFont="1" applyBorder="1" applyAlignment="1">
      <alignment horizontal="centerContinuous" vertical="center"/>
    </xf>
    <xf numFmtId="0" fontId="9" fillId="0" borderId="22" xfId="14" quotePrefix="1" applyFont="1" applyBorder="1" applyAlignment="1">
      <alignment horizontal="center" vertical="center"/>
    </xf>
    <xf numFmtId="0" fontId="9" fillId="0" borderId="23" xfId="14" quotePrefix="1" applyFont="1" applyBorder="1" applyAlignment="1">
      <alignment horizontal="center" vertical="center"/>
    </xf>
    <xf numFmtId="0" fontId="9" fillId="0" borderId="0" xfId="14" quotePrefix="1" applyFont="1" applyAlignment="1">
      <alignment horizontal="centerContinuous" vertical="center"/>
    </xf>
    <xf numFmtId="0" fontId="9" fillId="0" borderId="24" xfId="14" applyFont="1" applyBorder="1" applyAlignment="1">
      <alignment horizontal="centerContinuous" vertical="center"/>
    </xf>
    <xf numFmtId="0" fontId="9" fillId="0" borderId="25" xfId="14" applyFont="1" applyBorder="1" applyAlignment="1">
      <alignment horizontal="centerContinuous" vertical="center"/>
    </xf>
    <xf numFmtId="0" fontId="9" fillId="0" borderId="22" xfId="14" applyFont="1" applyBorder="1" applyAlignment="1">
      <alignment vertical="center"/>
    </xf>
    <xf numFmtId="0" fontId="9" fillId="0" borderId="23" xfId="14" applyFont="1" applyBorder="1" applyAlignment="1">
      <alignment vertical="center"/>
    </xf>
    <xf numFmtId="0" fontId="9" fillId="0" borderId="0" xfId="14" applyFont="1" applyAlignment="1">
      <alignment vertical="center"/>
    </xf>
    <xf numFmtId="0" fontId="9" fillId="0" borderId="0" xfId="14" quotePrefix="1" applyFont="1" applyAlignment="1">
      <alignment horizontal="center" vertical="top"/>
    </xf>
    <xf numFmtId="0" fontId="9" fillId="8" borderId="24" xfId="14" applyFont="1" applyFill="1" applyBorder="1" applyAlignment="1">
      <alignment vertical="center"/>
    </xf>
    <xf numFmtId="0" fontId="9" fillId="0" borderId="25" xfId="14" applyFont="1" applyBorder="1" applyAlignment="1">
      <alignment vertical="center"/>
    </xf>
    <xf numFmtId="0" fontId="9" fillId="4" borderId="0" xfId="14" applyFont="1" applyFill="1" applyAlignment="1">
      <alignment vertical="center"/>
    </xf>
    <xf numFmtId="0" fontId="9" fillId="0" borderId="0" xfId="14" applyFont="1" applyAlignment="1">
      <alignment horizontal="center" vertical="top"/>
    </xf>
    <xf numFmtId="0" fontId="12" fillId="0" borderId="24" xfId="14" applyFont="1" applyBorder="1" applyAlignment="1">
      <alignment horizontal="left" vertical="center"/>
    </xf>
    <xf numFmtId="0" fontId="9" fillId="0" borderId="25" xfId="14" applyFont="1" applyBorder="1" applyAlignment="1">
      <alignment horizontal="right" vertical="center"/>
    </xf>
    <xf numFmtId="176" fontId="9" fillId="0" borderId="22" xfId="14" applyNumberFormat="1" applyFont="1" applyBorder="1"/>
    <xf numFmtId="0" fontId="9" fillId="0" borderId="26" xfId="14" applyFont="1" applyBorder="1" applyAlignment="1">
      <alignment vertical="center"/>
    </xf>
    <xf numFmtId="0" fontId="9" fillId="4" borderId="26" xfId="14" applyFont="1" applyFill="1" applyBorder="1" applyAlignment="1">
      <alignment horizontal="center" vertical="center"/>
    </xf>
    <xf numFmtId="0" fontId="9" fillId="0" borderId="14" xfId="14" applyFont="1" applyBorder="1" applyAlignment="1">
      <alignment vertical="center"/>
    </xf>
    <xf numFmtId="0" fontId="9" fillId="0" borderId="0" xfId="14" applyFont="1" applyAlignment="1">
      <alignment horizontal="center" vertical="center"/>
    </xf>
    <xf numFmtId="0" fontId="12" fillId="0" borderId="24" xfId="14" applyFont="1" applyBorder="1" applyAlignment="1">
      <alignment horizontal="center" vertical="center"/>
    </xf>
    <xf numFmtId="176" fontId="9" fillId="0" borderId="26" xfId="14" applyNumberFormat="1" applyFont="1" applyBorder="1" applyAlignment="1">
      <alignment horizontal="center" vertical="center"/>
    </xf>
    <xf numFmtId="0" fontId="9" fillId="9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center"/>
    </xf>
    <xf numFmtId="0" fontId="9" fillId="0" borderId="3" xfId="14" applyFont="1" applyBorder="1" applyAlignment="1">
      <alignment vertical="center"/>
    </xf>
    <xf numFmtId="0" fontId="9" fillId="10" borderId="0" xfId="14" applyFont="1" applyFill="1" applyAlignment="1">
      <alignment vertical="center"/>
    </xf>
    <xf numFmtId="0" fontId="12" fillId="0" borderId="24" xfId="14" applyFont="1" applyBorder="1" applyAlignment="1">
      <alignment vertical="center"/>
    </xf>
    <xf numFmtId="176" fontId="9" fillId="0" borderId="27" xfId="14" applyNumberFormat="1" applyFont="1" applyBorder="1" applyAlignment="1">
      <alignment horizontal="center" vertical="justify"/>
    </xf>
    <xf numFmtId="0" fontId="9" fillId="11" borderId="27" xfId="14" applyFont="1" applyFill="1" applyBorder="1" applyAlignment="1">
      <alignment vertical="center"/>
    </xf>
    <xf numFmtId="0" fontId="9" fillId="0" borderId="27" xfId="14" applyFont="1" applyBorder="1" applyAlignment="1">
      <alignment horizontal="center" vertical="center"/>
    </xf>
    <xf numFmtId="0" fontId="9" fillId="0" borderId="27" xfId="14" applyFont="1" applyBorder="1" applyAlignment="1">
      <alignment vertical="center"/>
    </xf>
    <xf numFmtId="0" fontId="9" fillId="0" borderId="24" xfId="14" applyFont="1" applyBorder="1" applyAlignment="1">
      <alignment vertical="center"/>
    </xf>
    <xf numFmtId="176" fontId="9" fillId="0" borderId="26" xfId="14" applyNumberFormat="1" applyFont="1" applyBorder="1" applyAlignment="1">
      <alignment horizontal="center" vertical="justify"/>
    </xf>
    <xf numFmtId="0" fontId="9" fillId="11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top"/>
    </xf>
    <xf numFmtId="0" fontId="9" fillId="10" borderId="14" xfId="14" applyFont="1" applyFill="1" applyBorder="1" applyAlignment="1">
      <alignment vertical="center"/>
    </xf>
    <xf numFmtId="176" fontId="9" fillId="12" borderId="22" xfId="14" applyNumberFormat="1" applyFont="1" applyFill="1" applyBorder="1"/>
    <xf numFmtId="176" fontId="9" fillId="4" borderId="26" xfId="14" applyNumberFormat="1" applyFont="1" applyFill="1" applyBorder="1" applyAlignment="1">
      <alignment horizontal="center" vertical="center"/>
    </xf>
    <xf numFmtId="0" fontId="9" fillId="13" borderId="26" xfId="14" applyFont="1" applyFill="1" applyBorder="1" applyAlignment="1">
      <alignment vertical="center"/>
    </xf>
    <xf numFmtId="0" fontId="6" fillId="14" borderId="26" xfId="14" quotePrefix="1" applyFont="1" applyFill="1" applyBorder="1" applyAlignment="1">
      <alignment horizontal="center" vertical="center"/>
    </xf>
    <xf numFmtId="0" fontId="9" fillId="0" borderId="28" xfId="14" applyFont="1" applyBorder="1" applyAlignment="1">
      <alignment horizontal="center" vertical="center"/>
    </xf>
    <xf numFmtId="0" fontId="9" fillId="0" borderId="0" xfId="14" applyFont="1" applyAlignment="1">
      <alignment horizontal="left" vertical="center"/>
    </xf>
    <xf numFmtId="176" fontId="9" fillId="0" borderId="29" xfId="14" applyNumberFormat="1" applyFont="1" applyBorder="1"/>
    <xf numFmtId="0" fontId="9" fillId="15" borderId="26" xfId="14" applyFont="1" applyFill="1" applyBorder="1" applyAlignment="1">
      <alignment vertical="center"/>
    </xf>
    <xf numFmtId="0" fontId="9" fillId="0" borderId="30" xfId="14" applyFont="1" applyBorder="1" applyAlignment="1">
      <alignment vertical="center"/>
    </xf>
    <xf numFmtId="0" fontId="9" fillId="0" borderId="14" xfId="14" applyFont="1" applyBorder="1" applyAlignment="1">
      <alignment horizontal="center" vertical="center"/>
    </xf>
    <xf numFmtId="0" fontId="9" fillId="0" borderId="31" xfId="14" applyFont="1" applyBorder="1"/>
    <xf numFmtId="0" fontId="9" fillId="0" borderId="32" xfId="14" applyFont="1" applyBorder="1" applyAlignment="1">
      <alignment vertical="center"/>
    </xf>
    <xf numFmtId="0" fontId="9" fillId="0" borderId="33" xfId="14" applyFont="1" applyBorder="1" applyAlignment="1">
      <alignment vertical="center"/>
    </xf>
    <xf numFmtId="0" fontId="9" fillId="0" borderId="34" xfId="14" applyFont="1" applyBorder="1" applyAlignment="1">
      <alignment vertical="center"/>
    </xf>
    <xf numFmtId="0" fontId="9" fillId="0" borderId="35" xfId="14" applyFont="1" applyBorder="1" applyAlignment="1">
      <alignment vertical="center"/>
    </xf>
    <xf numFmtId="0" fontId="18" fillId="0" borderId="0" xfId="14"/>
    <xf numFmtId="193" fontId="16" fillId="0" borderId="0" xfId="0" applyNumberFormat="1" applyFont="1" applyAlignment="1">
      <alignment horizontal="right"/>
    </xf>
    <xf numFmtId="187" fontId="8" fillId="0" borderId="0" xfId="0" applyNumberFormat="1" applyFont="1"/>
    <xf numFmtId="0" fontId="22" fillId="0" borderId="3" xfId="0" applyFont="1" applyBorder="1" applyAlignment="1">
      <alignment horizontal="center" vertical="center" wrapText="1"/>
    </xf>
    <xf numFmtId="188" fontId="4" fillId="0" borderId="4" xfId="0" applyNumberFormat="1" applyFont="1" applyBorder="1" applyAlignment="1">
      <alignment horizontal="right" vertical="center"/>
    </xf>
    <xf numFmtId="191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horizontal="centerContinuous" vertical="center"/>
    </xf>
    <xf numFmtId="0" fontId="22" fillId="0" borderId="2" xfId="0" applyFont="1" applyBorder="1" applyAlignment="1">
      <alignment vertical="center"/>
    </xf>
    <xf numFmtId="0" fontId="22" fillId="0" borderId="36" xfId="0" applyFont="1" applyBorder="1" applyAlignment="1">
      <alignment horizontal="center" vertical="center"/>
    </xf>
    <xf numFmtId="0" fontId="22" fillId="0" borderId="2" xfId="0" applyFont="1" applyBorder="1" applyAlignment="1">
      <alignment horizontal="right" vertical="center"/>
    </xf>
    <xf numFmtId="0" fontId="22" fillId="0" borderId="2" xfId="0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3" fillId="0" borderId="2" xfId="0" applyFont="1" applyBorder="1" applyAlignment="1">
      <alignment horizontal="center" vertical="center"/>
    </xf>
    <xf numFmtId="186" fontId="23" fillId="0" borderId="36" xfId="0" applyNumberFormat="1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184" fontId="22" fillId="0" borderId="3" xfId="0" applyNumberFormat="1" applyFont="1" applyBorder="1" applyAlignment="1">
      <alignment horizontal="center" vertical="center"/>
    </xf>
    <xf numFmtId="178" fontId="22" fillId="0" borderId="4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85" fontId="22" fillId="0" borderId="3" xfId="0" applyNumberFormat="1" applyFont="1" applyBorder="1" applyAlignment="1">
      <alignment horizontal="center" vertical="center"/>
    </xf>
    <xf numFmtId="180" fontId="22" fillId="0" borderId="4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vertical="center"/>
    </xf>
    <xf numFmtId="1" fontId="24" fillId="0" borderId="3" xfId="0" applyNumberFormat="1" applyFont="1" applyBorder="1" applyAlignment="1">
      <alignment vertical="center"/>
    </xf>
    <xf numFmtId="185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0" fontId="24" fillId="0" borderId="2" xfId="0" applyFont="1" applyBorder="1" applyAlignment="1">
      <alignment vertical="center"/>
    </xf>
    <xf numFmtId="183" fontId="24" fillId="0" borderId="2" xfId="0" applyNumberFormat="1" applyFont="1" applyBorder="1"/>
    <xf numFmtId="0" fontId="24" fillId="0" borderId="36" xfId="0" applyFont="1" applyBorder="1" applyAlignment="1">
      <alignment horizontal="center" vertical="center"/>
    </xf>
    <xf numFmtId="200" fontId="24" fillId="0" borderId="4" xfId="0" applyNumberFormat="1" applyFont="1" applyBorder="1" applyAlignment="1">
      <alignment horizontal="left" vertical="center"/>
    </xf>
    <xf numFmtId="0" fontId="24" fillId="0" borderId="2" xfId="0" applyFont="1" applyBorder="1" applyAlignment="1">
      <alignment horizontal="right" vertical="center"/>
    </xf>
    <xf numFmtId="183" fontId="24" fillId="0" borderId="2" xfId="0" applyNumberFormat="1" applyFont="1" applyBorder="1" applyAlignment="1">
      <alignment horizontal="centerContinuous" vertical="center"/>
    </xf>
    <xf numFmtId="0" fontId="24" fillId="0" borderId="36" xfId="0" applyFont="1" applyBorder="1" applyAlignment="1">
      <alignment horizontal="centerContinuous" vertical="center"/>
    </xf>
    <xf numFmtId="0" fontId="24" fillId="0" borderId="4" xfId="0" applyFont="1" applyBorder="1" applyAlignment="1">
      <alignment vertical="center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2" xfId="0" applyFont="1" applyBorder="1" applyAlignment="1">
      <alignment horizontal="centerContinuous" vertical="center"/>
    </xf>
    <xf numFmtId="186" fontId="25" fillId="0" borderId="2" xfId="0" applyNumberFormat="1" applyFont="1" applyBorder="1" applyAlignment="1">
      <alignment horizontal="centerContinuous" vertical="center"/>
    </xf>
    <xf numFmtId="183" fontId="25" fillId="0" borderId="2" xfId="0" applyNumberFormat="1" applyFont="1" applyBorder="1" applyAlignment="1">
      <alignment horizontal="centerContinuous"/>
    </xf>
    <xf numFmtId="0" fontId="25" fillId="0" borderId="36" xfId="0" applyFont="1" applyBorder="1" applyAlignment="1">
      <alignment horizontal="centerContinuous" vertical="center"/>
    </xf>
    <xf numFmtId="0" fontId="24" fillId="0" borderId="3" xfId="0" applyFont="1" applyBorder="1" applyAlignment="1">
      <alignment horizontal="centerContinuous" vertical="center"/>
    </xf>
    <xf numFmtId="0" fontId="25" fillId="0" borderId="4" xfId="0" applyFont="1" applyBorder="1" applyAlignment="1">
      <alignment horizontal="centerContinuous" vertical="center"/>
    </xf>
    <xf numFmtId="183" fontId="25" fillId="0" borderId="36" xfId="0" applyNumberFormat="1" applyFont="1" applyBorder="1" applyAlignment="1">
      <alignment horizontal="centerContinuous"/>
    </xf>
    <xf numFmtId="185" fontId="24" fillId="0" borderId="3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0" fontId="26" fillId="0" borderId="0" xfId="0" applyFont="1" applyAlignment="1">
      <alignment horizontal="centerContinuous" vertical="top"/>
    </xf>
    <xf numFmtId="0" fontId="27" fillId="0" borderId="0" xfId="0" applyFont="1"/>
    <xf numFmtId="189" fontId="24" fillId="0" borderId="3" xfId="0" applyNumberFormat="1" applyFont="1" applyBorder="1" applyAlignment="1">
      <alignment horizontal="center" vertical="center"/>
    </xf>
    <xf numFmtId="193" fontId="8" fillId="3" borderId="3" xfId="0" applyNumberFormat="1" applyFont="1" applyFill="1" applyBorder="1" applyAlignment="1">
      <alignment horizontal="right"/>
    </xf>
    <xf numFmtId="189" fontId="24" fillId="2" borderId="3" xfId="0" applyNumberFormat="1" applyFont="1" applyFill="1" applyBorder="1" applyAlignment="1">
      <alignment horizontal="center" vertical="center"/>
    </xf>
    <xf numFmtId="0" fontId="28" fillId="0" borderId="0" xfId="0" applyFont="1"/>
    <xf numFmtId="2" fontId="9" fillId="0" borderId="3" xfId="0" applyNumberFormat="1" applyFont="1" applyBorder="1"/>
    <xf numFmtId="208" fontId="9" fillId="0" borderId="3" xfId="0" applyNumberFormat="1" applyFont="1" applyBorder="1" applyAlignment="1">
      <alignment horizontal="right"/>
    </xf>
    <xf numFmtId="176" fontId="9" fillId="2" borderId="3" xfId="0" applyNumberFormat="1" applyFont="1" applyFill="1" applyBorder="1"/>
    <xf numFmtId="190" fontId="29" fillId="0" borderId="3" xfId="0" applyNumberFormat="1" applyFont="1" applyBorder="1" applyAlignment="1">
      <alignment horizontal="center" vertical="center"/>
    </xf>
    <xf numFmtId="0" fontId="0" fillId="16" borderId="0" xfId="0" applyFill="1"/>
    <xf numFmtId="193" fontId="0" fillId="16" borderId="0" xfId="0" applyNumberFormat="1" applyFill="1"/>
    <xf numFmtId="194" fontId="0" fillId="16" borderId="0" xfId="0" applyNumberFormat="1" applyFill="1"/>
    <xf numFmtId="187" fontId="0" fillId="16" borderId="0" xfId="0" applyNumberFormat="1" applyFill="1"/>
    <xf numFmtId="190" fontId="24" fillId="16" borderId="3" xfId="0" applyNumberFormat="1" applyFont="1" applyFill="1" applyBorder="1" applyAlignment="1">
      <alignment horizontal="center" vertical="center"/>
    </xf>
    <xf numFmtId="182" fontId="30" fillId="0" borderId="0" xfId="0" applyNumberFormat="1" applyFont="1" applyAlignment="1">
      <alignment vertical="center"/>
    </xf>
    <xf numFmtId="191" fontId="4" fillId="4" borderId="3" xfId="0" applyNumberFormat="1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vertical="center"/>
    </xf>
    <xf numFmtId="2" fontId="11" fillId="0" borderId="3" xfId="0" applyNumberFormat="1" applyFont="1" applyBorder="1" applyAlignment="1">
      <alignment vertical="center"/>
    </xf>
    <xf numFmtId="2" fontId="4" fillId="4" borderId="3" xfId="0" applyNumberFormat="1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179" fontId="22" fillId="0" borderId="3" xfId="0" applyNumberFormat="1" applyFont="1" applyBorder="1" applyAlignment="1">
      <alignment horizontal="right" vertical="center"/>
    </xf>
    <xf numFmtId="177" fontId="8" fillId="3" borderId="0" xfId="0" applyNumberFormat="1" applyFont="1" applyFill="1"/>
    <xf numFmtId="0" fontId="31" fillId="2" borderId="0" xfId="0" applyFont="1" applyFill="1"/>
    <xf numFmtId="208" fontId="9" fillId="0" borderId="3" xfId="0" applyNumberFormat="1" applyFont="1" applyBorder="1"/>
    <xf numFmtId="211" fontId="9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 shrinkToFit="1"/>
    </xf>
    <xf numFmtId="187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shrinkToFit="1"/>
    </xf>
    <xf numFmtId="213" fontId="0" fillId="0" borderId="0" xfId="0" applyNumberFormat="1"/>
    <xf numFmtId="0" fontId="33" fillId="0" borderId="0" xfId="0" applyFont="1" applyAlignment="1">
      <alignment horizontal="right"/>
    </xf>
    <xf numFmtId="0" fontId="33" fillId="0" borderId="0" xfId="0" applyFont="1"/>
    <xf numFmtId="176" fontId="33" fillId="0" borderId="0" xfId="0" applyNumberFormat="1" applyFont="1"/>
    <xf numFmtId="187" fontId="4" fillId="17" borderId="0" xfId="0" applyNumberFormat="1" applyFont="1" applyFill="1" applyAlignment="1">
      <alignment vertical="center"/>
    </xf>
    <xf numFmtId="207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91" fontId="4" fillId="4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32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203" fontId="8" fillId="0" borderId="0" xfId="0" applyNumberFormat="1" applyFont="1"/>
    <xf numFmtId="0" fontId="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1" fontId="8" fillId="20" borderId="0" xfId="0" applyNumberFormat="1" applyFont="1" applyFill="1"/>
    <xf numFmtId="2" fontId="8" fillId="20" borderId="0" xfId="0" applyNumberFormat="1" applyFont="1" applyFill="1"/>
    <xf numFmtId="191" fontId="4" fillId="19" borderId="3" xfId="0" applyNumberFormat="1" applyFont="1" applyFill="1" applyBorder="1" applyAlignment="1">
      <alignment vertical="center"/>
    </xf>
    <xf numFmtId="188" fontId="4" fillId="19" borderId="4" xfId="0" applyNumberFormat="1" applyFont="1" applyFill="1" applyBorder="1" applyAlignment="1">
      <alignment horizontal="right" vertical="center"/>
    </xf>
    <xf numFmtId="0" fontId="37" fillId="0" borderId="0" xfId="15" applyFont="1">
      <alignment vertical="center"/>
    </xf>
    <xf numFmtId="0" fontId="38" fillId="0" borderId="0" xfId="15" applyFont="1" applyAlignment="1">
      <alignment horizontal="left" vertical="center"/>
    </xf>
    <xf numFmtId="0" fontId="39" fillId="0" borderId="0" xfId="15" applyFont="1">
      <alignment vertical="center"/>
    </xf>
    <xf numFmtId="0" fontId="37" fillId="0" borderId="46" xfId="15" applyFont="1" applyBorder="1">
      <alignment vertical="center"/>
    </xf>
    <xf numFmtId="0" fontId="37" fillId="0" borderId="40" xfId="15" applyFont="1" applyBorder="1">
      <alignment vertical="center"/>
    </xf>
    <xf numFmtId="0" fontId="37" fillId="0" borderId="8" xfId="15" applyFont="1" applyBorder="1">
      <alignment vertical="center"/>
    </xf>
    <xf numFmtId="0" fontId="37" fillId="0" borderId="41" xfId="15" applyFont="1" applyBorder="1">
      <alignment vertical="center"/>
    </xf>
    <xf numFmtId="0" fontId="37" fillId="0" borderId="39" xfId="15" applyFont="1" applyBorder="1">
      <alignment vertical="center"/>
    </xf>
    <xf numFmtId="0" fontId="37" fillId="0" borderId="8" xfId="15" applyFont="1" applyBorder="1" applyAlignment="1">
      <alignment horizontal="center" vertical="center"/>
    </xf>
    <xf numFmtId="0" fontId="37" fillId="0" borderId="47" xfId="15" applyFont="1" applyBorder="1">
      <alignment vertical="center"/>
    </xf>
    <xf numFmtId="0" fontId="37" fillId="0" borderId="47" xfId="15" applyFont="1" applyBorder="1" applyAlignment="1">
      <alignment horizontal="right" vertical="center"/>
    </xf>
    <xf numFmtId="0" fontId="40" fillId="0" borderId="40" xfId="15" applyFont="1" applyBorder="1" applyAlignment="1">
      <alignment horizontal="center" vertical="center"/>
    </xf>
    <xf numFmtId="0" fontId="37" fillId="0" borderId="41" xfId="15" applyFont="1" applyBorder="1" applyAlignment="1">
      <alignment horizontal="center" vertical="center"/>
    </xf>
    <xf numFmtId="203" fontId="37" fillId="0" borderId="43" xfId="15" applyNumberFormat="1" applyFont="1" applyBorder="1" applyAlignment="1">
      <alignment horizontal="center" vertical="center"/>
    </xf>
    <xf numFmtId="0" fontId="37" fillId="0" borderId="43" xfId="15" applyFont="1" applyBorder="1" applyAlignment="1">
      <alignment horizontal="center" vertical="center"/>
    </xf>
    <xf numFmtId="0" fontId="41" fillId="0" borderId="49" xfId="15" applyFont="1" applyBorder="1" applyAlignment="1">
      <alignment horizontal="right" vertical="center"/>
    </xf>
    <xf numFmtId="0" fontId="37" fillId="0" borderId="50" xfId="15" applyFont="1" applyBorder="1">
      <alignment vertical="center"/>
    </xf>
    <xf numFmtId="0" fontId="37" fillId="0" borderId="51" xfId="15" applyFont="1" applyBorder="1">
      <alignment vertical="center"/>
    </xf>
    <xf numFmtId="0" fontId="37" fillId="0" borderId="52" xfId="15" applyFont="1" applyBorder="1">
      <alignment vertical="center"/>
    </xf>
    <xf numFmtId="0" fontId="37" fillId="0" borderId="53" xfId="15" applyFont="1" applyBorder="1">
      <alignment vertical="center"/>
    </xf>
    <xf numFmtId="0" fontId="37" fillId="0" borderId="54" xfId="15" applyFont="1" applyBorder="1">
      <alignment vertical="center"/>
    </xf>
    <xf numFmtId="0" fontId="40" fillId="0" borderId="52" xfId="15" applyFont="1" applyBorder="1" applyAlignment="1">
      <alignment horizontal="center" vertical="center"/>
    </xf>
    <xf numFmtId="0" fontId="37" fillId="0" borderId="53" xfId="15" applyFont="1" applyBorder="1" applyAlignment="1">
      <alignment horizontal="center" vertical="center"/>
    </xf>
    <xf numFmtId="0" fontId="37" fillId="0" borderId="54" xfId="15" applyFont="1" applyBorder="1" applyAlignment="1">
      <alignment horizontal="center" vertical="center"/>
    </xf>
    <xf numFmtId="0" fontId="37" fillId="0" borderId="55" xfId="15" applyFont="1" applyBorder="1" applyAlignment="1">
      <alignment horizontal="center" vertical="center"/>
    </xf>
    <xf numFmtId="0" fontId="37" fillId="0" borderId="56" xfId="15" applyFont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0" borderId="48" xfId="15" applyFont="1" applyBorder="1">
      <alignment vertical="center"/>
    </xf>
    <xf numFmtId="0" fontId="37" fillId="0" borderId="42" xfId="15" applyFont="1" applyBorder="1" applyAlignment="1">
      <alignment horizontal="center" vertical="center"/>
    </xf>
    <xf numFmtId="0" fontId="37" fillId="0" borderId="44" xfId="15" applyFont="1" applyBorder="1" applyAlignment="1">
      <alignment horizontal="center" vertical="center"/>
    </xf>
    <xf numFmtId="0" fontId="37" fillId="0" borderId="0" xfId="15" applyFont="1" applyAlignment="1">
      <alignment horizontal="right" vertical="center"/>
    </xf>
    <xf numFmtId="208" fontId="37" fillId="0" borderId="0" xfId="15" applyNumberFormat="1" applyFont="1">
      <alignment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right" vertical="center" wrapText="1"/>
    </xf>
    <xf numFmtId="0" fontId="42" fillId="0" borderId="0" xfId="0" quotePrefix="1" applyFont="1" applyAlignment="1">
      <alignment horizontal="right" vertical="center" wrapText="1"/>
    </xf>
    <xf numFmtId="0" fontId="37" fillId="19" borderId="0" xfId="15" applyFont="1" applyFill="1">
      <alignment vertical="center"/>
    </xf>
    <xf numFmtId="182" fontId="44" fillId="22" borderId="0" xfId="16" applyNumberFormat="1">
      <alignment vertical="center"/>
    </xf>
    <xf numFmtId="187" fontId="44" fillId="22" borderId="0" xfId="16" applyNumberFormat="1" applyAlignment="1">
      <alignment vertical="center" shrinkToFit="1"/>
    </xf>
    <xf numFmtId="2" fontId="44" fillId="22" borderId="0" xfId="16" applyNumberFormat="1">
      <alignment vertical="center"/>
    </xf>
    <xf numFmtId="0" fontId="39" fillId="0" borderId="56" xfId="15" applyFont="1" applyBorder="1" applyAlignment="1">
      <alignment horizontal="center" vertical="center"/>
    </xf>
    <xf numFmtId="177" fontId="9" fillId="0" borderId="0" xfId="0" applyNumberFormat="1" applyFont="1"/>
    <xf numFmtId="204" fontId="0" fillId="0" borderId="0" xfId="0" applyNumberFormat="1"/>
    <xf numFmtId="0" fontId="46" fillId="0" borderId="0" xfId="0" applyFont="1" applyAlignment="1">
      <alignment horizontal="center" vertical="center" readingOrder="1"/>
    </xf>
    <xf numFmtId="191" fontId="39" fillId="0" borderId="0" xfId="15" applyNumberFormat="1" applyFont="1">
      <alignment vertical="center"/>
    </xf>
    <xf numFmtId="0" fontId="45" fillId="23" borderId="0" xfId="0" applyFont="1" applyFill="1" applyAlignment="1">
      <alignment horizontal="right"/>
    </xf>
    <xf numFmtId="176" fontId="39" fillId="0" borderId="0" xfId="15" applyNumberFormat="1" applyFont="1">
      <alignment vertical="center"/>
    </xf>
    <xf numFmtId="1" fontId="9" fillId="0" borderId="0" xfId="0" applyNumberFormat="1" applyFont="1" applyAlignment="1">
      <alignment horizontal="right" vertical="center"/>
    </xf>
    <xf numFmtId="0" fontId="47" fillId="3" borderId="3" xfId="0" applyFont="1" applyFill="1" applyBorder="1" applyAlignment="1">
      <alignment horizontal="center" vertical="center"/>
    </xf>
    <xf numFmtId="0" fontId="37" fillId="0" borderId="0" xfId="15" applyFont="1" applyFill="1">
      <alignment vertical="center"/>
    </xf>
    <xf numFmtId="216" fontId="37" fillId="0" borderId="0" xfId="15" applyNumberFormat="1" applyFont="1" applyFill="1">
      <alignment vertical="center"/>
    </xf>
    <xf numFmtId="217" fontId="37" fillId="0" borderId="0" xfId="15" applyNumberFormat="1" applyFont="1" applyFill="1">
      <alignment vertical="center"/>
    </xf>
    <xf numFmtId="0" fontId="37" fillId="0" borderId="0" xfId="15" applyFont="1" applyFill="1" applyBorder="1">
      <alignment vertical="center"/>
    </xf>
    <xf numFmtId="216" fontId="37" fillId="0" borderId="0" xfId="15" applyNumberFormat="1" applyFont="1" applyFill="1" applyBorder="1">
      <alignment vertical="center"/>
    </xf>
    <xf numFmtId="194" fontId="37" fillId="0" borderId="0" xfId="15" applyNumberFormat="1" applyFont="1" applyFill="1" applyBorder="1">
      <alignment vertical="center"/>
    </xf>
    <xf numFmtId="0" fontId="4" fillId="24" borderId="0" xfId="0" applyFont="1" applyFill="1" applyAlignment="1">
      <alignment vertical="center"/>
    </xf>
    <xf numFmtId="0" fontId="49" fillId="3" borderId="3" xfId="0" applyFont="1" applyFill="1" applyBorder="1" applyAlignment="1">
      <alignment horizontal="center"/>
    </xf>
    <xf numFmtId="0" fontId="37" fillId="2" borderId="3" xfId="0" applyFont="1" applyFill="1" applyBorder="1"/>
    <xf numFmtId="192" fontId="37" fillId="2" borderId="3" xfId="0" applyNumberFormat="1" applyFont="1" applyFill="1" applyBorder="1"/>
    <xf numFmtId="183" fontId="48" fillId="2" borderId="3" xfId="0" applyNumberFormat="1" applyFont="1" applyFill="1" applyBorder="1" applyAlignment="1">
      <alignment horizontal="centerContinuous"/>
    </xf>
    <xf numFmtId="0" fontId="37" fillId="4" borderId="3" xfId="0" applyFont="1" applyFill="1" applyBorder="1"/>
    <xf numFmtId="0" fontId="37" fillId="0" borderId="0" xfId="0" applyFont="1"/>
    <xf numFmtId="1" fontId="37" fillId="4" borderId="3" xfId="0" applyNumberFormat="1" applyFont="1" applyFill="1" applyBorder="1"/>
    <xf numFmtId="183" fontId="50" fillId="3" borderId="3" xfId="0" applyNumberFormat="1" applyFont="1" applyFill="1" applyBorder="1" applyAlignment="1">
      <alignment horizontal="center"/>
    </xf>
    <xf numFmtId="2" fontId="37" fillId="4" borderId="3" xfId="0" applyNumberFormat="1" applyFont="1" applyFill="1" applyBorder="1"/>
    <xf numFmtId="0" fontId="52" fillId="4" borderId="3" xfId="0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37" fillId="0" borderId="3" xfId="0" applyFont="1" applyBorder="1"/>
    <xf numFmtId="0" fontId="53" fillId="3" borderId="3" xfId="0" applyFont="1" applyFill="1" applyBorder="1"/>
    <xf numFmtId="187" fontId="37" fillId="0" borderId="0" xfId="0" applyNumberFormat="1" applyFont="1"/>
    <xf numFmtId="0" fontId="4" fillId="19" borderId="0" xfId="0" applyFont="1" applyFill="1" applyAlignment="1">
      <alignment vertical="center"/>
    </xf>
    <xf numFmtId="1" fontId="4" fillId="19" borderId="0" xfId="0" applyNumberFormat="1" applyFont="1" applyFill="1" applyAlignment="1">
      <alignment vertical="center"/>
    </xf>
    <xf numFmtId="182" fontId="4" fillId="19" borderId="0" xfId="0" applyNumberFormat="1" applyFont="1" applyFill="1" applyAlignment="1">
      <alignment vertical="center"/>
    </xf>
    <xf numFmtId="187" fontId="4" fillId="19" borderId="0" xfId="0" applyNumberFormat="1" applyFont="1" applyFill="1" applyAlignment="1">
      <alignment vertical="center" shrinkToFit="1"/>
    </xf>
    <xf numFmtId="0" fontId="54" fillId="0" borderId="0" xfId="0" applyFont="1" applyAlignment="1">
      <alignment vertical="center"/>
    </xf>
    <xf numFmtId="0" fontId="54" fillId="19" borderId="0" xfId="0" applyFont="1" applyFill="1" applyAlignment="1">
      <alignment vertical="center"/>
    </xf>
    <xf numFmtId="0" fontId="5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9" fillId="0" borderId="0" xfId="0" applyNumberFormat="1" applyFont="1"/>
    <xf numFmtId="177" fontId="4" fillId="17" borderId="0" xfId="0" applyNumberFormat="1" applyFont="1" applyFill="1" applyAlignment="1">
      <alignment vertical="center"/>
    </xf>
    <xf numFmtId="177" fontId="4" fillId="2" borderId="0" xfId="0" applyNumberFormat="1" applyFont="1" applyFill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4" fontId="59" fillId="26" borderId="0" xfId="0" applyNumberFormat="1" applyFont="1" applyFill="1" applyBorder="1" applyAlignment="1">
      <alignment horizontal="right" vertical="center"/>
    </xf>
    <xf numFmtId="194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8" fillId="19" borderId="58" xfId="0" applyFont="1" applyFill="1" applyBorder="1"/>
    <xf numFmtId="2" fontId="8" fillId="21" borderId="3" xfId="0" applyNumberFormat="1" applyFont="1" applyFill="1" applyBorder="1"/>
    <xf numFmtId="1" fontId="8" fillId="21" borderId="4" xfId="0" applyNumberFormat="1" applyFont="1" applyFill="1" applyBorder="1"/>
    <xf numFmtId="1" fontId="16" fillId="21" borderId="4" xfId="0" applyNumberFormat="1" applyFont="1" applyFill="1" applyBorder="1"/>
    <xf numFmtId="0" fontId="40" fillId="3" borderId="3" xfId="0" applyFont="1" applyFill="1" applyBorder="1" applyAlignment="1">
      <alignment horizont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vertical="center"/>
    </xf>
    <xf numFmtId="2" fontId="11" fillId="0" borderId="0" xfId="0" applyNumberFormat="1" applyFont="1" applyBorder="1" applyAlignment="1">
      <alignment vertical="center"/>
    </xf>
    <xf numFmtId="2" fontId="4" fillId="4" borderId="0" xfId="0" applyNumberFormat="1" applyFont="1" applyFill="1" applyBorder="1" applyAlignment="1">
      <alignment vertical="center"/>
    </xf>
    <xf numFmtId="218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180" fontId="59" fillId="26" borderId="0" xfId="0" applyNumberFormat="1" applyFont="1" applyFill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7" fillId="23" borderId="62" xfId="0" applyFont="1" applyFill="1" applyBorder="1" applyAlignment="1">
      <alignment horizontal="center" vertical="center"/>
    </xf>
    <xf numFmtId="221" fontId="37" fillId="23" borderId="63" xfId="0" applyNumberFormat="1" applyFont="1" applyFill="1" applyBorder="1" applyAlignment="1">
      <alignment horizontal="center" vertical="center"/>
    </xf>
    <xf numFmtId="221" fontId="37" fillId="23" borderId="0" xfId="0" applyNumberFormat="1" applyFont="1" applyFill="1" applyAlignment="1">
      <alignment horizontal="center" vertical="center"/>
    </xf>
    <xf numFmtId="222" fontId="37" fillId="23" borderId="63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222" fontId="37" fillId="23" borderId="0" xfId="0" applyNumberFormat="1" applyFont="1" applyFill="1" applyAlignment="1">
      <alignment horizontal="center" vertical="center"/>
    </xf>
    <xf numFmtId="40" fontId="37" fillId="23" borderId="0" xfId="0" applyNumberFormat="1" applyFont="1" applyFill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27" borderId="70" xfId="0" applyFont="1" applyFill="1" applyBorder="1" applyAlignment="1">
      <alignment horizontal="center" vertical="center"/>
    </xf>
    <xf numFmtId="0" fontId="37" fillId="27" borderId="58" xfId="0" applyFont="1" applyFill="1" applyBorder="1" applyAlignment="1">
      <alignment horizontal="center" vertical="center"/>
    </xf>
    <xf numFmtId="223" fontId="37" fillId="0" borderId="71" xfId="0" applyNumberFormat="1" applyFont="1" applyBorder="1" applyAlignment="1">
      <alignment horizontal="center" vertical="center"/>
    </xf>
    <xf numFmtId="0" fontId="37" fillId="0" borderId="61" xfId="0" applyFont="1" applyBorder="1" applyAlignment="1">
      <alignment horizontal="center" vertical="center"/>
    </xf>
    <xf numFmtId="38" fontId="37" fillId="0" borderId="60" xfId="0" applyNumberFormat="1" applyFont="1" applyBorder="1" applyAlignment="1">
      <alignment horizontal="center" vertical="center"/>
    </xf>
    <xf numFmtId="220" fontId="37" fillId="0" borderId="61" xfId="0" applyNumberFormat="1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7" fillId="0" borderId="58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223" fontId="37" fillId="0" borderId="68" xfId="0" applyNumberFormat="1" applyFont="1" applyBorder="1" applyAlignment="1">
      <alignment horizontal="center" vertical="center"/>
    </xf>
    <xf numFmtId="38" fontId="37" fillId="0" borderId="58" xfId="0" applyNumberFormat="1" applyFont="1" applyBorder="1" applyAlignment="1">
      <alignment horizontal="center" vertical="center"/>
    </xf>
    <xf numFmtId="220" fontId="37" fillId="0" borderId="69" xfId="0" applyNumberFormat="1" applyFont="1" applyBorder="1" applyAlignment="1">
      <alignment horizontal="center" vertical="center"/>
    </xf>
    <xf numFmtId="176" fontId="37" fillId="0" borderId="70" xfId="0" applyNumberFormat="1" applyFont="1" applyBorder="1" applyAlignment="1">
      <alignment horizontal="center" vertical="center"/>
    </xf>
    <xf numFmtId="0" fontId="37" fillId="0" borderId="72" xfId="0" applyFont="1" applyBorder="1" applyAlignment="1">
      <alignment horizontal="center" vertical="center"/>
    </xf>
    <xf numFmtId="0" fontId="37" fillId="0" borderId="73" xfId="0" applyFont="1" applyBorder="1" applyAlignment="1">
      <alignment horizontal="center" vertical="center"/>
    </xf>
    <xf numFmtId="0" fontId="37" fillId="27" borderId="74" xfId="0" applyFont="1" applyFill="1" applyBorder="1" applyAlignment="1">
      <alignment horizontal="center" vertical="center"/>
    </xf>
    <xf numFmtId="0" fontId="37" fillId="27" borderId="75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left"/>
    </xf>
    <xf numFmtId="2" fontId="37" fillId="0" borderId="0" xfId="0" applyNumberFormat="1" applyFont="1" applyAlignment="1">
      <alignment horizontal="left"/>
    </xf>
    <xf numFmtId="1" fontId="37" fillId="0" borderId="0" xfId="0" applyNumberFormat="1" applyFont="1" applyAlignment="1">
      <alignment horizontal="left"/>
    </xf>
    <xf numFmtId="203" fontId="37" fillId="0" borderId="0" xfId="0" applyNumberFormat="1" applyFont="1" applyAlignment="1">
      <alignment horizontal="left"/>
    </xf>
    <xf numFmtId="194" fontId="37" fillId="0" borderId="0" xfId="0" applyNumberFormat="1" applyFont="1" applyAlignment="1">
      <alignment horizontal="left"/>
    </xf>
    <xf numFmtId="0" fontId="39" fillId="0" borderId="43" xfId="15" applyFont="1" applyBorder="1" applyAlignment="1">
      <alignment horizontal="center" vertical="center"/>
    </xf>
    <xf numFmtId="0" fontId="39" fillId="17" borderId="43" xfId="15" applyFont="1" applyFill="1" applyBorder="1" applyAlignment="1">
      <alignment horizontal="center" vertical="center"/>
    </xf>
    <xf numFmtId="0" fontId="37" fillId="0" borderId="0" xfId="15" applyFont="1" applyAlignment="1">
      <alignment horizontal="center" vertical="center"/>
    </xf>
    <xf numFmtId="0" fontId="37" fillId="0" borderId="25" xfId="15" applyFont="1" applyBorder="1" applyAlignment="1">
      <alignment horizontal="center" vertical="center"/>
    </xf>
    <xf numFmtId="0" fontId="37" fillId="0" borderId="50" xfId="15" applyFont="1" applyBorder="1" applyAlignment="1">
      <alignment horizontal="center" vertical="center"/>
    </xf>
    <xf numFmtId="0" fontId="37" fillId="0" borderId="47" xfId="15" applyFont="1" applyBorder="1" applyAlignment="1">
      <alignment horizontal="center" vertical="center"/>
    </xf>
    <xf numFmtId="193" fontId="39" fillId="4" borderId="47" xfId="15" applyNumberFormat="1" applyFont="1" applyFill="1" applyBorder="1">
      <alignment vertical="center"/>
    </xf>
    <xf numFmtId="0" fontId="4" fillId="4" borderId="0" xfId="0" applyFont="1" applyFill="1" applyAlignment="1">
      <alignment horizontal="right" vertical="center" wrapText="1"/>
    </xf>
    <xf numFmtId="0" fontId="37" fillId="0" borderId="45" xfId="15" applyFont="1" applyBorder="1" applyAlignment="1">
      <alignment horizontal="right" vertical="center"/>
    </xf>
    <xf numFmtId="0" fontId="37" fillId="0" borderId="46" xfId="15" applyFont="1" applyBorder="1" applyAlignment="1">
      <alignment horizontal="center" vertical="center"/>
    </xf>
    <xf numFmtId="0" fontId="37" fillId="0" borderId="46" xfId="15" applyFont="1" applyBorder="1" applyAlignment="1">
      <alignment horizontal="right" vertical="center"/>
    </xf>
    <xf numFmtId="203" fontId="37" fillId="0" borderId="0" xfId="15" applyNumberFormat="1" applyFont="1">
      <alignment vertical="center"/>
    </xf>
    <xf numFmtId="0" fontId="65" fillId="0" borderId="55" xfId="15" applyFont="1" applyBorder="1" applyAlignment="1">
      <alignment horizontal="right" vertical="center"/>
    </xf>
    <xf numFmtId="0" fontId="37" fillId="0" borderId="77" xfId="15" applyFont="1" applyBorder="1" applyAlignment="1">
      <alignment horizontal="center" vertical="center"/>
    </xf>
    <xf numFmtId="0" fontId="37" fillId="0" borderId="76" xfId="15" applyFont="1" applyBorder="1">
      <alignment vertical="center"/>
    </xf>
    <xf numFmtId="0" fontId="37" fillId="0" borderId="77" xfId="15" applyFont="1" applyBorder="1" applyAlignment="1">
      <alignment horizontal="right" vertical="center"/>
    </xf>
    <xf numFmtId="0" fontId="37" fillId="0" borderId="79" xfId="15" applyFont="1" applyBorder="1">
      <alignment vertical="center"/>
    </xf>
    <xf numFmtId="0" fontId="37" fillId="0" borderId="80" xfId="15" applyFont="1" applyBorder="1">
      <alignment vertical="center"/>
    </xf>
    <xf numFmtId="0" fontId="40" fillId="0" borderId="81" xfId="15" applyFont="1" applyBorder="1">
      <alignment vertical="center"/>
    </xf>
    <xf numFmtId="0" fontId="37" fillId="0" borderId="77" xfId="15" applyFont="1" applyBorder="1">
      <alignment vertical="center"/>
    </xf>
    <xf numFmtId="0" fontId="37" fillId="0" borderId="19" xfId="15" applyFont="1" applyBorder="1">
      <alignment vertical="center"/>
    </xf>
    <xf numFmtId="0" fontId="37" fillId="0" borderId="25" xfId="15" applyFont="1" applyBorder="1">
      <alignment vertical="center"/>
    </xf>
    <xf numFmtId="0" fontId="39" fillId="29" borderId="82" xfId="15" applyFont="1" applyFill="1" applyBorder="1" applyAlignment="1">
      <alignment horizontal="center" vertical="center"/>
    </xf>
    <xf numFmtId="0" fontId="39" fillId="29" borderId="83" xfId="15" applyFont="1" applyFill="1" applyBorder="1" applyAlignment="1">
      <alignment horizontal="center" vertical="center"/>
    </xf>
    <xf numFmtId="0" fontId="39" fillId="29" borderId="84" xfId="15" applyFont="1" applyFill="1" applyBorder="1" applyAlignment="1">
      <alignment horizontal="center" vertical="center"/>
    </xf>
    <xf numFmtId="0" fontId="37" fillId="0" borderId="85" xfId="15" applyFont="1" applyBorder="1" applyAlignment="1">
      <alignment horizontal="center" vertical="center"/>
    </xf>
    <xf numFmtId="0" fontId="37" fillId="0" borderId="88" xfId="15" applyFont="1" applyBorder="1">
      <alignment vertical="center"/>
    </xf>
    <xf numFmtId="0" fontId="37" fillId="0" borderId="89" xfId="15" applyFont="1" applyBorder="1">
      <alignment vertical="center"/>
    </xf>
    <xf numFmtId="214" fontId="39" fillId="21" borderId="83" xfId="15" applyNumberFormat="1" applyFont="1" applyFill="1" applyBorder="1">
      <alignment vertical="center"/>
    </xf>
    <xf numFmtId="0" fontId="37" fillId="0" borderId="3" xfId="15" applyFont="1" applyBorder="1" applyAlignment="1">
      <alignment horizontal="center" vertical="center"/>
    </xf>
    <xf numFmtId="194" fontId="39" fillId="2" borderId="20" xfId="15" applyNumberFormat="1" applyFont="1" applyFill="1" applyBorder="1" applyAlignment="1">
      <alignment horizontal="center" vertical="center"/>
    </xf>
    <xf numFmtId="0" fontId="39" fillId="18" borderId="3" xfId="15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58" xfId="17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75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39" fillId="0" borderId="78" xfId="15" applyFont="1" applyBorder="1" applyAlignment="1">
      <alignment horizontal="center" vertical="center"/>
    </xf>
    <xf numFmtId="0" fontId="37" fillId="0" borderId="91" xfId="15" applyFont="1" applyBorder="1" applyAlignment="1">
      <alignment horizontal="center" vertical="center"/>
    </xf>
    <xf numFmtId="0" fontId="37" fillId="31" borderId="20" xfId="15" applyFont="1" applyFill="1" applyBorder="1" applyAlignment="1">
      <alignment horizontal="right" vertical="center"/>
    </xf>
    <xf numFmtId="193" fontId="37" fillId="31" borderId="3" xfId="15" applyNumberFormat="1" applyFont="1" applyFill="1" applyBorder="1" applyAlignment="1">
      <alignment horizontal="center" vertical="center"/>
    </xf>
    <xf numFmtId="0" fontId="37" fillId="31" borderId="3" xfId="15" applyFont="1" applyFill="1" applyBorder="1" applyAlignment="1">
      <alignment horizontal="center" vertical="center"/>
    </xf>
    <xf numFmtId="0" fontId="39" fillId="32" borderId="0" xfId="0" applyFont="1" applyFill="1"/>
    <xf numFmtId="208" fontId="58" fillId="33" borderId="86" xfId="15" applyNumberFormat="1" applyFont="1" applyFill="1" applyBorder="1" applyAlignment="1">
      <alignment horizontal="center" vertical="center"/>
    </xf>
    <xf numFmtId="208" fontId="58" fillId="33" borderId="90" xfId="15" applyNumberFormat="1" applyFont="1" applyFill="1" applyBorder="1" applyAlignment="1">
      <alignment horizontal="center" vertical="center"/>
    </xf>
    <xf numFmtId="214" fontId="58" fillId="33" borderId="90" xfId="15" applyNumberFormat="1" applyFont="1" applyFill="1" applyBorder="1" applyAlignment="1">
      <alignment horizontal="center" vertical="center"/>
    </xf>
    <xf numFmtId="204" fontId="58" fillId="34" borderId="87" xfId="15" applyNumberFormat="1" applyFont="1" applyFill="1" applyBorder="1" applyAlignment="1">
      <alignment horizontal="center" vertical="center"/>
    </xf>
    <xf numFmtId="208" fontId="58" fillId="34" borderId="90" xfId="15" applyNumberFormat="1" applyFont="1" applyFill="1" applyBorder="1" applyAlignment="1">
      <alignment horizontal="center" vertical="center"/>
    </xf>
    <xf numFmtId="0" fontId="37" fillId="31" borderId="26" xfId="15" quotePrefix="1" applyFont="1" applyFill="1" applyBorder="1" applyAlignment="1">
      <alignment horizontal="center" vertical="center"/>
    </xf>
    <xf numFmtId="208" fontId="58" fillId="34" borderId="93" xfId="15" applyNumberFormat="1" applyFont="1" applyFill="1" applyBorder="1" applyAlignment="1">
      <alignment horizontal="center" vertical="center"/>
    </xf>
    <xf numFmtId="0" fontId="58" fillId="35" borderId="3" xfId="15" applyFont="1" applyFill="1" applyBorder="1" applyAlignment="1">
      <alignment horizontal="center" vertical="center"/>
    </xf>
    <xf numFmtId="0" fontId="39" fillId="2" borderId="3" xfId="0" applyFont="1" applyFill="1" applyBorder="1"/>
    <xf numFmtId="0" fontId="39" fillId="28" borderId="3" xfId="0" applyFont="1" applyFill="1" applyBorder="1"/>
    <xf numFmtId="2" fontId="39" fillId="2" borderId="3" xfId="0" applyNumberFormat="1" applyFont="1" applyFill="1" applyBorder="1"/>
    <xf numFmtId="219" fontId="67" fillId="2" borderId="3" xfId="0" applyNumberFormat="1" applyFont="1" applyFill="1" applyBorder="1" applyAlignment="1" applyProtection="1">
      <alignment horizontal="center" vertical="center"/>
    </xf>
    <xf numFmtId="1" fontId="39" fillId="2" borderId="3" xfId="15" applyNumberFormat="1" applyFont="1" applyFill="1" applyBorder="1" applyAlignment="1">
      <alignment horizontal="center" vertical="center"/>
    </xf>
    <xf numFmtId="214" fontId="58" fillId="36" borderId="0" xfId="15" applyNumberFormat="1" applyFont="1" applyFill="1" applyAlignment="1">
      <alignment horizontal="center" vertical="center"/>
    </xf>
    <xf numFmtId="0" fontId="58" fillId="34" borderId="0" xfId="15" applyFont="1" applyFill="1" applyAlignment="1">
      <alignment horizontal="center" vertical="center"/>
    </xf>
    <xf numFmtId="214" fontId="68" fillId="34" borderId="0" xfId="0" applyNumberFormat="1" applyFont="1" applyFill="1" applyAlignment="1">
      <alignment vertical="center"/>
    </xf>
    <xf numFmtId="176" fontId="37" fillId="0" borderId="59" xfId="0" applyNumberFormat="1" applyFont="1" applyBorder="1" applyAlignment="1">
      <alignment horizontal="center" vertical="center"/>
    </xf>
    <xf numFmtId="194" fontId="58" fillId="33" borderId="92" xfId="15" applyNumberFormat="1" applyFont="1" applyFill="1" applyBorder="1" applyAlignment="1">
      <alignment horizontal="center" vertical="center"/>
    </xf>
    <xf numFmtId="215" fontId="39" fillId="2" borderId="48" xfId="15" applyNumberFormat="1" applyFont="1" applyFill="1" applyBorder="1" applyAlignment="1">
      <alignment horizontal="center" vertical="center"/>
    </xf>
    <xf numFmtId="0" fontId="65" fillId="0" borderId="56" xfId="15" applyFont="1" applyBorder="1" applyAlignment="1">
      <alignment horizontal="right" vertical="center"/>
    </xf>
    <xf numFmtId="0" fontId="65" fillId="0" borderId="78" xfId="15" applyFont="1" applyBorder="1" applyAlignment="1">
      <alignment horizontal="right" vertical="center"/>
    </xf>
    <xf numFmtId="0" fontId="65" fillId="0" borderId="0" xfId="15" applyFont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58" fillId="36" borderId="0" xfId="15" applyFont="1" applyFill="1" applyAlignment="1">
      <alignment horizontal="center" vertical="center"/>
    </xf>
    <xf numFmtId="208" fontId="69" fillId="34" borderId="86" xfId="15" applyNumberFormat="1" applyFont="1" applyFill="1" applyBorder="1" applyAlignment="1">
      <alignment horizontal="center" vertical="center"/>
    </xf>
    <xf numFmtId="0" fontId="69" fillId="37" borderId="86" xfId="15" applyFont="1" applyFill="1" applyBorder="1" applyAlignment="1">
      <alignment horizontal="center" vertical="center"/>
    </xf>
    <xf numFmtId="0" fontId="69" fillId="37" borderId="87" xfId="15" applyFont="1" applyFill="1" applyBorder="1" applyAlignment="1">
      <alignment horizontal="center" vertical="center"/>
    </xf>
    <xf numFmtId="0" fontId="58" fillId="37" borderId="3" xfId="0" applyFont="1" applyFill="1" applyBorder="1"/>
    <xf numFmtId="194" fontId="39" fillId="38" borderId="25" xfId="15" applyNumberFormat="1" applyFont="1" applyFill="1" applyBorder="1" applyAlignment="1">
      <alignment horizontal="center" vertical="center"/>
    </xf>
    <xf numFmtId="200" fontId="39" fillId="38" borderId="25" xfId="15" applyNumberFormat="1" applyFont="1" applyFill="1" applyBorder="1" applyAlignment="1">
      <alignment horizontal="center" vertical="center"/>
    </xf>
    <xf numFmtId="208" fontId="39" fillId="17" borderId="27" xfId="15" applyNumberFormat="1" applyFont="1" applyFill="1" applyBorder="1" applyAlignment="1">
      <alignment horizontal="center" vertical="center"/>
    </xf>
    <xf numFmtId="1" fontId="71" fillId="0" borderId="0" xfId="0" applyNumberFormat="1" applyFont="1" applyAlignment="1">
      <alignment vertical="center"/>
    </xf>
    <xf numFmtId="2" fontId="71" fillId="0" borderId="0" xfId="0" applyNumberFormat="1" applyFont="1" applyAlignment="1">
      <alignment vertical="center"/>
    </xf>
    <xf numFmtId="0" fontId="71" fillId="0" borderId="0" xfId="0" applyFont="1" applyAlignment="1">
      <alignment vertical="center"/>
    </xf>
    <xf numFmtId="224" fontId="71" fillId="0" borderId="0" xfId="0" applyNumberFormat="1" applyFont="1" applyAlignment="1">
      <alignment vertical="center"/>
    </xf>
    <xf numFmtId="0" fontId="72" fillId="36" borderId="82" xfId="0" applyFont="1" applyFill="1" applyBorder="1" applyAlignment="1">
      <alignment horizontal="right" vertical="center"/>
    </xf>
    <xf numFmtId="1" fontId="70" fillId="36" borderId="84" xfId="0" applyNumberFormat="1" applyFont="1" applyFill="1" applyBorder="1" applyAlignment="1">
      <alignment vertical="center"/>
    </xf>
    <xf numFmtId="0" fontId="72" fillId="36" borderId="20" xfId="0" applyFont="1" applyFill="1" applyBorder="1" applyAlignment="1">
      <alignment horizontal="right" vertical="center"/>
    </xf>
    <xf numFmtId="0" fontId="70" fillId="36" borderId="85" xfId="0" applyFont="1" applyFill="1" applyBorder="1" applyAlignment="1">
      <alignment vertical="center"/>
    </xf>
    <xf numFmtId="0" fontId="72" fillId="36" borderId="94" xfId="0" applyFont="1" applyFill="1" applyBorder="1" applyAlignment="1">
      <alignment horizontal="right" vertical="center"/>
    </xf>
    <xf numFmtId="0" fontId="70" fillId="36" borderId="87" xfId="0" applyFont="1" applyFill="1" applyBorder="1" applyAlignment="1">
      <alignment vertical="center"/>
    </xf>
    <xf numFmtId="0" fontId="16" fillId="0" borderId="0" xfId="0" applyFont="1" applyAlignment="1">
      <alignment horizontal="right"/>
    </xf>
    <xf numFmtId="0" fontId="41" fillId="4" borderId="5" xfId="0" applyFont="1" applyFill="1" applyBorder="1" applyAlignment="1">
      <alignment horizontal="right"/>
    </xf>
    <xf numFmtId="0" fontId="9" fillId="0" borderId="38" xfId="0" applyFont="1" applyBorder="1" applyAlignment="1">
      <alignment horizontal="center"/>
    </xf>
    <xf numFmtId="0" fontId="40" fillId="3" borderId="27" xfId="0" applyFont="1" applyFill="1" applyBorder="1" applyAlignment="1">
      <alignment horizontal="center" vertical="center"/>
    </xf>
    <xf numFmtId="0" fontId="40" fillId="3" borderId="23" xfId="0" applyFont="1" applyFill="1" applyBorder="1" applyAlignment="1">
      <alignment horizontal="center" vertical="center"/>
    </xf>
    <xf numFmtId="0" fontId="40" fillId="3" borderId="26" xfId="0" applyFont="1" applyFill="1" applyBorder="1" applyAlignment="1">
      <alignment horizontal="center" vertical="center"/>
    </xf>
    <xf numFmtId="186" fontId="51" fillId="4" borderId="4" xfId="0" applyNumberFormat="1" applyFont="1" applyFill="1" applyBorder="1" applyAlignment="1">
      <alignment horizontal="right" vertical="center"/>
    </xf>
    <xf numFmtId="186" fontId="51" fillId="4" borderId="2" xfId="0" applyNumberFormat="1" applyFont="1" applyFill="1" applyBorder="1" applyAlignment="1">
      <alignment horizontal="right" vertical="center"/>
    </xf>
    <xf numFmtId="186" fontId="51" fillId="4" borderId="36" xfId="0" applyNumberFormat="1" applyFont="1" applyFill="1" applyBorder="1" applyAlignment="1">
      <alignment horizontal="right" vertical="center"/>
    </xf>
    <xf numFmtId="0" fontId="8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186" fontId="48" fillId="2" borderId="3" xfId="0" applyNumberFormat="1" applyFont="1" applyFill="1" applyBorder="1" applyAlignment="1">
      <alignment horizontal="center" vertical="center"/>
    </xf>
    <xf numFmtId="183" fontId="57" fillId="25" borderId="3" xfId="0" applyNumberFormat="1" applyFont="1" applyFill="1" applyBorder="1" applyAlignment="1">
      <alignment horizontal="center"/>
    </xf>
    <xf numFmtId="0" fontId="37" fillId="2" borderId="4" xfId="0" applyFont="1" applyFill="1" applyBorder="1" applyAlignment="1">
      <alignment horizontal="left"/>
    </xf>
    <xf numFmtId="0" fontId="37" fillId="2" borderId="2" xfId="0" applyFont="1" applyFill="1" applyBorder="1" applyAlignment="1">
      <alignment horizontal="left"/>
    </xf>
    <xf numFmtId="0" fontId="37" fillId="2" borderId="36" xfId="0" applyFont="1" applyFill="1" applyBorder="1" applyAlignment="1">
      <alignment horizontal="left"/>
    </xf>
    <xf numFmtId="204" fontId="8" fillId="3" borderId="3" xfId="0" applyNumberFormat="1" applyFont="1" applyFill="1" applyBorder="1" applyAlignment="1">
      <alignment horizontal="center"/>
    </xf>
    <xf numFmtId="204" fontId="8" fillId="0" borderId="37" xfId="0" applyNumberFormat="1" applyFont="1" applyBorder="1" applyAlignment="1">
      <alignment horizontal="center" vertical="center"/>
    </xf>
    <xf numFmtId="204" fontId="8" fillId="0" borderId="5" xfId="0" applyNumberFormat="1" applyFont="1" applyBorder="1" applyAlignment="1">
      <alignment horizontal="center" vertical="center"/>
    </xf>
    <xf numFmtId="204" fontId="8" fillId="0" borderId="30" xfId="0" applyNumberFormat="1" applyFont="1" applyBorder="1" applyAlignment="1">
      <alignment horizontal="center" vertical="center"/>
    </xf>
    <xf numFmtId="204" fontId="8" fillId="0" borderId="14" xfId="0" applyNumberFormat="1" applyFont="1" applyBorder="1" applyAlignment="1">
      <alignment horizontal="center" vertical="center"/>
    </xf>
    <xf numFmtId="193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210" fontId="8" fillId="2" borderId="4" xfId="0" applyNumberFormat="1" applyFont="1" applyFill="1" applyBorder="1" applyAlignment="1">
      <alignment horizontal="center"/>
    </xf>
    <xf numFmtId="210" fontId="8" fillId="2" borderId="36" xfId="0" applyNumberFormat="1" applyFont="1" applyFill="1" applyBorder="1" applyAlignment="1">
      <alignment horizontal="center"/>
    </xf>
    <xf numFmtId="0" fontId="62" fillId="0" borderId="3" xfId="0" applyFont="1" applyBorder="1" applyAlignment="1">
      <alignment horizontal="left"/>
    </xf>
    <xf numFmtId="2" fontId="16" fillId="0" borderId="3" xfId="0" applyNumberFormat="1" applyFont="1" applyBorder="1" applyAlignment="1">
      <alignment horizontal="left"/>
    </xf>
    <xf numFmtId="190" fontId="24" fillId="0" borderId="3" xfId="0" applyNumberFormat="1" applyFont="1" applyBorder="1" applyAlignment="1">
      <alignment horizontal="center" vertical="center"/>
    </xf>
    <xf numFmtId="189" fontId="24" fillId="0" borderId="3" xfId="0" applyNumberFormat="1" applyFont="1" applyBorder="1" applyAlignment="1">
      <alignment horizontal="center" vertical="center"/>
    </xf>
    <xf numFmtId="179" fontId="24" fillId="0" borderId="3" xfId="0" applyNumberFormat="1" applyFont="1" applyBorder="1" applyAlignment="1">
      <alignment horizontal="center" vertical="center"/>
    </xf>
    <xf numFmtId="181" fontId="24" fillId="0" borderId="2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180" fontId="24" fillId="0" borderId="4" xfId="0" applyNumberFormat="1" applyFont="1" applyBorder="1" applyAlignment="1">
      <alignment horizontal="center" vertical="center"/>
    </xf>
    <xf numFmtId="180" fontId="24" fillId="0" borderId="2" xfId="0" applyNumberFormat="1" applyFont="1" applyBorder="1" applyAlignment="1">
      <alignment horizontal="center" vertical="center"/>
    </xf>
    <xf numFmtId="185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199" fontId="24" fillId="0" borderId="2" xfId="0" applyNumberFormat="1" applyFont="1" applyBorder="1" applyAlignment="1">
      <alignment horizontal="center" vertical="center"/>
    </xf>
    <xf numFmtId="199" fontId="24" fillId="0" borderId="36" xfId="0" applyNumberFormat="1" applyFont="1" applyBorder="1" applyAlignment="1">
      <alignment horizontal="center" vertical="center"/>
    </xf>
    <xf numFmtId="178" fontId="24" fillId="0" borderId="3" xfId="0" applyNumberFormat="1" applyFont="1" applyBorder="1" applyAlignment="1">
      <alignment horizontal="center" vertical="center"/>
    </xf>
    <xf numFmtId="212" fontId="4" fillId="0" borderId="3" xfId="0" applyNumberFormat="1" applyFont="1" applyBorder="1" applyAlignment="1">
      <alignment horizontal="left" vertical="center"/>
    </xf>
    <xf numFmtId="212" fontId="4" fillId="0" borderId="4" xfId="0" applyNumberFormat="1" applyFont="1" applyBorder="1" applyAlignment="1">
      <alignment horizontal="left" vertical="center"/>
    </xf>
    <xf numFmtId="218" fontId="4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17" fillId="4" borderId="0" xfId="0" applyFont="1" applyFill="1" applyAlignment="1">
      <alignment horizontal="right" vertical="center" wrapText="1"/>
    </xf>
    <xf numFmtId="0" fontId="66" fillId="30" borderId="64" xfId="17" applyBorder="1" applyAlignment="1">
      <alignment horizontal="center" vertical="center"/>
    </xf>
    <xf numFmtId="0" fontId="66" fillId="30" borderId="67" xfId="17" applyBorder="1" applyAlignment="1">
      <alignment horizontal="center" vertical="center"/>
    </xf>
    <xf numFmtId="0" fontId="66" fillId="30" borderId="65" xfId="17" applyBorder="1" applyAlignment="1">
      <alignment horizontal="center" vertical="center"/>
    </xf>
    <xf numFmtId="0" fontId="37" fillId="27" borderId="72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27" borderId="64" xfId="0" applyFont="1" applyFill="1" applyBorder="1" applyAlignment="1">
      <alignment horizontal="center" vertical="center"/>
    </xf>
    <xf numFmtId="0" fontId="37" fillId="27" borderId="65" xfId="0" applyFont="1" applyFill="1" applyBorder="1" applyAlignment="1">
      <alignment horizontal="center" vertical="center"/>
    </xf>
    <xf numFmtId="0" fontId="37" fillId="27" borderId="66" xfId="0" applyFont="1" applyFill="1" applyBorder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20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보통" xfId="17" builtinId="28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579791"/>
      <color rgb="FF7A983E"/>
      <color rgb="FF647D33"/>
      <color rgb="FF467A75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 formatCode="\ 0.00\ ">
                  <c:v>11.46</c:v>
                </c:pt>
                <c:pt idx="21" formatCode="\ 0.00\ ">
                  <c:v>11.610000000000001</c:v>
                </c:pt>
                <c:pt idx="22" formatCode="\ 0.00\ ">
                  <c:v>11.750000000000002</c:v>
                </c:pt>
                <c:pt idx="23" formatCode="\ 0.00\ ">
                  <c:v>11.880000000000003</c:v>
                </c:pt>
                <c:pt idx="24" formatCode="\ 0.00\ ">
                  <c:v>12.010000000000003</c:v>
                </c:pt>
                <c:pt idx="25">
                  <c:v>13.56</c:v>
                </c:pt>
                <c:pt idx="26" formatCode="\ 0.00\ ">
                  <c:v>13.67</c:v>
                </c:pt>
                <c:pt idx="27">
                  <c:v>13.93</c:v>
                </c:pt>
                <c:pt idx="28" formatCode="\ 0.00\ ">
                  <c:v>14.03</c:v>
                </c:pt>
                <c:pt idx="29">
                  <c:v>14.31</c:v>
                </c:pt>
                <c:pt idx="30" formatCode="\ 0.00\ ">
                  <c:v>14.370000000000001</c:v>
                </c:pt>
                <c:pt idx="31" formatCode="\ 0.00\ ">
                  <c:v>14.420000000000002</c:v>
                </c:pt>
                <c:pt idx="32" formatCode="\ 0.00\ ">
                  <c:v>14.46</c:v>
                </c:pt>
                <c:pt idx="33" formatCode="\ 0.00\ ">
                  <c:v>14.49</c:v>
                </c:pt>
                <c:pt idx="34" formatCode="\ 0.00\ ">
                  <c:v>14.51</c:v>
                </c:pt>
                <c:pt idx="35">
                  <c:v>14.69</c:v>
                </c:pt>
                <c:pt idx="36" formatCode="\ 0.00\ ">
                  <c:v>14.76</c:v>
                </c:pt>
                <c:pt idx="37" formatCode="\ 0.00\ ">
                  <c:v>14.82</c:v>
                </c:pt>
                <c:pt idx="38" formatCode="\ 0.00\ ">
                  <c:v>14.870000000000001</c:v>
                </c:pt>
                <c:pt idx="39">
                  <c:v>15.07</c:v>
                </c:pt>
                <c:pt idx="40" formatCode="\ 0.00\ ">
                  <c:v>15.25</c:v>
                </c:pt>
                <c:pt idx="41" formatCode="\ 0.00\ ">
                  <c:v>15.41</c:v>
                </c:pt>
                <c:pt idx="42" formatCode="\ 0.00\ ">
                  <c:v>15.56</c:v>
                </c:pt>
                <c:pt idx="43" formatCode="\ 0.00\ ">
                  <c:v>15.700000000000001</c:v>
                </c:pt>
                <c:pt idx="44" formatCode="\ 0.00\ ">
                  <c:v>15.830000000000002</c:v>
                </c:pt>
                <c:pt idx="45">
                  <c:v>17.61</c:v>
                </c:pt>
                <c:pt idx="46" formatCode="\ 0.00\ ">
                  <c:v>17.72</c:v>
                </c:pt>
                <c:pt idx="47">
                  <c:v>18.03</c:v>
                </c:pt>
                <c:pt idx="48" formatCode="\ 0.00\ ">
                  <c:v>18.14</c:v>
                </c:pt>
                <c:pt idx="49">
                  <c:v>18.46</c:v>
                </c:pt>
                <c:pt idx="50" formatCode="\ 0.00\ ">
                  <c:v>18.53</c:v>
                </c:pt>
                <c:pt idx="51" formatCode="\ 0.00\ ">
                  <c:v>18.580000000000002</c:v>
                </c:pt>
                <c:pt idx="52" formatCode="\ 0.00\ ">
                  <c:v>18.62</c:v>
                </c:pt>
                <c:pt idx="53" formatCode="\ 0.00\ ">
                  <c:v>18.650000000000002</c:v>
                </c:pt>
                <c:pt idx="54" formatCode="\ 0.00\ ">
                  <c:v>18.670000000000002</c:v>
                </c:pt>
                <c:pt idx="55">
                  <c:v>18.88</c:v>
                </c:pt>
                <c:pt idx="56" formatCode="\ 0.00\ ">
                  <c:v>18.959999999999997</c:v>
                </c:pt>
                <c:pt idx="57" formatCode="\ 0.00\ ">
                  <c:v>19.019999999999996</c:v>
                </c:pt>
                <c:pt idx="58" formatCode="\ 0.00\ ">
                  <c:v>19.069999999999997</c:v>
                </c:pt>
                <c:pt idx="59">
                  <c:v>19.309999999999999</c:v>
                </c:pt>
                <c:pt idx="60" formatCode="\ 0.00\ ">
                  <c:v>19.5</c:v>
                </c:pt>
                <c:pt idx="61" formatCode="\ 0.00\ ">
                  <c:v>19.670000000000002</c:v>
                </c:pt>
                <c:pt idx="62" formatCode="\ 0.00\ ">
                  <c:v>19.830000000000002</c:v>
                </c:pt>
                <c:pt idx="63" formatCode="\ 0.00\ ">
                  <c:v>19.98</c:v>
                </c:pt>
                <c:pt idx="64" formatCode="\ 0.00\ ">
                  <c:v>20.12</c:v>
                </c:pt>
                <c:pt idx="65">
                  <c:v>22.14</c:v>
                </c:pt>
                <c:pt idx="66" formatCode="\ 0.00\ ">
                  <c:v>22.26</c:v>
                </c:pt>
                <c:pt idx="67" formatCode="\ 0.00\ ">
                  <c:v>22.61</c:v>
                </c:pt>
                <c:pt idx="68" formatCode="\ 0.00\ ">
                  <c:v>22.73</c:v>
                </c:pt>
                <c:pt idx="69" formatCode="\ 0.00\ ">
                  <c:v>23.08</c:v>
                </c:pt>
                <c:pt idx="70" formatCode="\ 0.00\ ">
                  <c:v>23.15</c:v>
                </c:pt>
                <c:pt idx="71" formatCode="\ 0.00\ ">
                  <c:v>23.2</c:v>
                </c:pt>
                <c:pt idx="72" formatCode="\ 0.00\ ">
                  <c:v>23.24</c:v>
                </c:pt>
                <c:pt idx="73" formatCode="\ 0.00\ ">
                  <c:v>23.27</c:v>
                </c:pt>
                <c:pt idx="74" formatCode="\ 0.00\ ">
                  <c:v>23.3</c:v>
                </c:pt>
                <c:pt idx="75" formatCode="\ 0.00\ ">
                  <c:v>23.55</c:v>
                </c:pt>
                <c:pt idx="76" formatCode="\ 0.00\ ">
                  <c:v>23.64</c:v>
                </c:pt>
                <c:pt idx="77" formatCode="\ 0.00\ ">
                  <c:v>23.71</c:v>
                </c:pt>
                <c:pt idx="78" formatCode="\ 0.00\ ">
                  <c:v>23.76</c:v>
                </c:pt>
                <c:pt idx="79" formatCode="\ 0.00\ ">
                  <c:v>24.03</c:v>
                </c:pt>
                <c:pt idx="80" formatCode="\ 0.00\ ">
                  <c:v>24.240000000000002</c:v>
                </c:pt>
                <c:pt idx="81" formatCode="\ 0.00\ ">
                  <c:v>24.430000000000003</c:v>
                </c:pt>
                <c:pt idx="82" formatCode="\ 0.00\ ">
                  <c:v>24.600000000000005</c:v>
                </c:pt>
                <c:pt idx="83" formatCode="\ 0.00\ ">
                  <c:v>24.760000000000005</c:v>
                </c:pt>
                <c:pt idx="84" formatCode="\ 0.00\ ">
                  <c:v>24.900000000000006</c:v>
                </c:pt>
                <c:pt idx="85" formatCode="\ 0.00\ ">
                  <c:v>26.91</c:v>
                </c:pt>
                <c:pt idx="86" formatCode="\ 0.00\ ">
                  <c:v>27.22</c:v>
                </c:pt>
                <c:pt idx="87" formatCode="\ 0.00\ ">
                  <c:v>27.99</c:v>
                </c:pt>
                <c:pt idx="88" formatCode="\ 0.00\ ">
                  <c:v>28.29</c:v>
                </c:pt>
                <c:pt idx="89" formatCode="\ 0.00\ ">
                  <c:v>29.07</c:v>
                </c:pt>
                <c:pt idx="90" formatCode="\ 0.00\ ">
                  <c:v>29.22</c:v>
                </c:pt>
                <c:pt idx="91" formatCode="\ 0.00\ ">
                  <c:v>29.349999999999998</c:v>
                </c:pt>
                <c:pt idx="92" formatCode="\ 0.00\ ">
                  <c:v>29.459999999999997</c:v>
                </c:pt>
                <c:pt idx="93" formatCode="\ 0.00\ ">
                  <c:v>29.539999999999996</c:v>
                </c:pt>
                <c:pt idx="94" formatCode="\ 0.00\ ">
                  <c:v>29.609999999999996</c:v>
                </c:pt>
                <c:pt idx="95" formatCode="\ 0.00\ ">
                  <c:v>30.15</c:v>
                </c:pt>
                <c:pt idx="96" formatCode="\ 0.00\ ">
                  <c:v>30.34</c:v>
                </c:pt>
                <c:pt idx="97" formatCode="\ 0.00\ ">
                  <c:v>30.5</c:v>
                </c:pt>
                <c:pt idx="98" formatCode="\ 0.00\ ">
                  <c:v>30.64</c:v>
                </c:pt>
                <c:pt idx="99" formatCode="\ 0.00\ ">
                  <c:v>31.23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0.12</c:v>
                </c:pt>
                <c:pt idx="1">
                  <c:v>0.125</c:v>
                </c:pt>
                <c:pt idx="2">
                  <c:v>0.13200000000000001</c:v>
                </c:pt>
                <c:pt idx="3">
                  <c:v>0.13900000000000001</c:v>
                </c:pt>
                <c:pt idx="4">
                  <c:v>0.157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80.3818189264571</c:v>
                </c:pt>
                <c:pt idx="2">
                  <c:v>76.244556440584049</c:v>
                </c:pt>
                <c:pt idx="3">
                  <c:v>72.48504342561931</c:v>
                </c:pt>
                <c:pt idx="4">
                  <c:v>69.128455567399868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11.3</c:v>
                </c:pt>
                <c:pt idx="1">
                  <c:v>15.07</c:v>
                </c:pt>
                <c:pt idx="2">
                  <c:v>19.309999999999999</c:v>
                </c:pt>
                <c:pt idx="3">
                  <c:v>24.03</c:v>
                </c:pt>
                <c:pt idx="4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0.12021276595744682</c:v>
                </c:pt>
                <c:pt idx="2">
                  <c:v>0.12558333333333332</c:v>
                </c:pt>
                <c:pt idx="3">
                  <c:v>0.13207934336525307</c:v>
                </c:pt>
                <c:pt idx="4">
                  <c:v>0.1397093023255814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1.0006435767209894</c:v>
                </c:pt>
                <c:pt idx="1">
                  <c:v>2.4918147891081475</c:v>
                </c:pt>
                <c:pt idx="2">
                  <c:v>3.3640940305095377</c:v>
                </c:pt>
                <c:pt idx="3">
                  <c:v>3.982986001495302</c:v>
                </c:pt>
                <c:pt idx="4">
                  <c:v>4.463035909049978</c:v>
                </c:pt>
                <c:pt idx="5">
                  <c:v>5.9542071214371362</c:v>
                </c:pt>
                <c:pt idx="6">
                  <c:v>6.8264863628385264</c:v>
                </c:pt>
                <c:pt idx="7">
                  <c:v>7.4453783338242943</c:v>
                </c:pt>
                <c:pt idx="8">
                  <c:v>7.9254282413789703</c:v>
                </c:pt>
                <c:pt idx="9">
                  <c:v>8.3176575752256845</c:v>
                </c:pt>
                <c:pt idx="10">
                  <c:v>8.6492827517756723</c:v>
                </c:pt>
                <c:pt idx="11">
                  <c:v>8.9365495462114524</c:v>
                </c:pt>
                <c:pt idx="12">
                  <c:v>9.1899368166270747</c:v>
                </c:pt>
                <c:pt idx="13">
                  <c:v>9.4165994537661284</c:v>
                </c:pt>
                <c:pt idx="14">
                  <c:v>9.6216407499838255</c:v>
                </c:pt>
                <c:pt idx="15">
                  <c:v>9.8088287876128426</c:v>
                </c:pt>
                <c:pt idx="16">
                  <c:v>10.288878695167519</c:v>
                </c:pt>
                <c:pt idx="17">
                  <c:v>10.681108029014233</c:v>
                </c:pt>
                <c:pt idx="18">
                  <c:v>11.012733205564217</c:v>
                </c:pt>
                <c:pt idx="19">
                  <c:v>11.3</c:v>
                </c:pt>
                <c:pt idx="20">
                  <c:v>13.386202242445989</c:v>
                </c:pt>
                <c:pt idx="21">
                  <c:v>13.589728464888719</c:v>
                </c:pt>
                <c:pt idx="22">
                  <c:v>13.779206844894706</c:v>
                </c:pt>
                <c:pt idx="23">
                  <c:v>14.279925143422425</c:v>
                </c:pt>
                <c:pt idx="24">
                  <c:v>15.07</c:v>
                </c:pt>
                <c:pt idx="25">
                  <c:v>18.08991641258746</c:v>
                </c:pt>
                <c:pt idx="26">
                  <c:v>18.221147598977051</c:v>
                </c:pt>
                <c:pt idx="27">
                  <c:v>18.347425466402992</c:v>
                </c:pt>
                <c:pt idx="28">
                  <c:v>18.699958206293733</c:v>
                </c:pt>
                <c:pt idx="29">
                  <c:v>19.309999999999999</c:v>
                </c:pt>
                <c:pt idx="30">
                  <c:v>23.0054135435647</c:v>
                </c:pt>
                <c:pt idx="31">
                  <c:v>23.110391258059146</c:v>
                </c:pt>
                <c:pt idx="32">
                  <c:v>23.212641967942503</c:v>
                </c:pt>
                <c:pt idx="33">
                  <c:v>23.504362886777088</c:v>
                </c:pt>
                <c:pt idx="34">
                  <c:v>24.03</c:v>
                </c:pt>
                <c:pt idx="35">
                  <c:v>30.313193790083776</c:v>
                </c:pt>
                <c:pt idx="36">
                  <c:v>30.404649337926809</c:v>
                </c:pt>
                <c:pt idx="37">
                  <c:v>30.494293765262203</c:v>
                </c:pt>
                <c:pt idx="38">
                  <c:v>30.753043940147816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17.020520507105719</c:v>
                </c:pt>
                <c:pt idx="1">
                  <c:v>15.418137849046119</c:v>
                </c:pt>
                <c:pt idx="2">
                  <c:v>13.966610165238238</c:v>
                </c:pt>
                <c:pt idx="3">
                  <c:v>12.651735340387058</c:v>
                </c:pt>
                <c:pt idx="4">
                  <c:v>11.460648305455756</c:v>
                </c:pt>
                <c:pt idx="5">
                  <c:v>8.5189574037614335</c:v>
                </c:pt>
                <c:pt idx="6">
                  <c:v>7.9755229930197045</c:v>
                </c:pt>
                <c:pt idx="7">
                  <c:v>6.5445131634427272</c:v>
                </c:pt>
                <c:pt idx="8">
                  <c:v>5.9283854490073606</c:v>
                </c:pt>
                <c:pt idx="9">
                  <c:v>5.3702625625882066</c:v>
                </c:pt>
                <c:pt idx="10">
                  <c:v>5.196152422706632</c:v>
                </c:pt>
                <c:pt idx="11">
                  <c:v>5.0276871354661115</c:v>
                </c:pt>
                <c:pt idx="12">
                  <c:v>4.864683688197994</c:v>
                </c:pt>
                <c:pt idx="13">
                  <c:v>4.7069650017165721</c:v>
                </c:pt>
                <c:pt idx="14">
                  <c:v>4.5543597379486931</c:v>
                </c:pt>
                <c:pt idx="15">
                  <c:v>4.4067021138002209</c:v>
                </c:pt>
                <c:pt idx="16">
                  <c:v>4.2638317210571888</c:v>
                </c:pt>
                <c:pt idx="17">
                  <c:v>4.1255933521259358</c:v>
                </c:pt>
                <c:pt idx="18">
                  <c:v>3.9918368314229804</c:v>
                </c:pt>
                <c:pt idx="19">
                  <c:v>3.616028693839564</c:v>
                </c:pt>
                <c:pt idx="20">
                  <c:v>3.4987928502727712</c:v>
                </c:pt>
                <c:pt idx="21">
                  <c:v>2.8710212339441612</c:v>
                </c:pt>
                <c:pt idx="22">
                  <c:v>2.3558876671179987</c:v>
                </c:pt>
                <c:pt idx="23">
                  <c:v>1.9331820449317627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8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3</xdr:row>
      <xdr:rowOff>238125</xdr:rowOff>
    </xdr:from>
    <xdr:to>
      <xdr:col>6</xdr:col>
      <xdr:colOff>9306</xdr:colOff>
      <xdr:row>6</xdr:row>
      <xdr:rowOff>199937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981075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495300</xdr:colOff>
          <xdr:row>37</xdr:row>
          <xdr:rowOff>247650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9525</xdr:rowOff>
        </xdr:from>
        <xdr:to>
          <xdr:col>4</xdr:col>
          <xdr:colOff>514350</xdr:colOff>
          <xdr:row>9</xdr:row>
          <xdr:rowOff>57150</xdr:rowOff>
        </xdr:to>
        <xdr:sp macro="" textlink="">
          <xdr:nvSpPr>
            <xdr:cNvPr id="30724" name="CommandButton3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C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1.46</v>
      </c>
      <c r="E1">
        <v>1</v>
      </c>
      <c r="F1">
        <f>StepTest!G12</f>
        <v>1.46</v>
      </c>
    </row>
    <row r="2" spans="1:6">
      <c r="A2" s="228">
        <v>2</v>
      </c>
      <c r="B2">
        <f t="shared" ref="B2:B20" si="0">F2</f>
        <v>2.4900000000000002</v>
      </c>
      <c r="E2">
        <v>2</v>
      </c>
      <c r="F2">
        <f>StepTest!G13</f>
        <v>2.4900000000000002</v>
      </c>
    </row>
    <row r="3" spans="1:6">
      <c r="A3" s="228">
        <v>3</v>
      </c>
      <c r="B3">
        <f t="shared" si="0"/>
        <v>3.36</v>
      </c>
      <c r="E3">
        <v>3</v>
      </c>
      <c r="F3">
        <f>StepTest!G14</f>
        <v>3.36</v>
      </c>
    </row>
    <row r="4" spans="1:6">
      <c r="A4" s="228">
        <v>4</v>
      </c>
      <c r="B4">
        <f t="shared" si="0"/>
        <v>3.98</v>
      </c>
      <c r="E4">
        <v>4</v>
      </c>
      <c r="F4">
        <f>StepTest!G15</f>
        <v>3.98</v>
      </c>
    </row>
    <row r="5" spans="1:6">
      <c r="A5" s="228">
        <v>5</v>
      </c>
      <c r="B5">
        <f t="shared" si="0"/>
        <v>4.46</v>
      </c>
      <c r="E5">
        <v>5</v>
      </c>
      <c r="F5">
        <f>StepTest!G16</f>
        <v>4.46</v>
      </c>
    </row>
    <row r="6" spans="1:6">
      <c r="A6" s="228">
        <v>10</v>
      </c>
      <c r="B6">
        <f t="shared" si="0"/>
        <v>5.95</v>
      </c>
      <c r="E6">
        <v>10</v>
      </c>
      <c r="F6">
        <f>StepTest!G17</f>
        <v>5.95</v>
      </c>
    </row>
    <row r="7" spans="1:6">
      <c r="A7" s="228">
        <v>15</v>
      </c>
      <c r="B7">
        <f t="shared" si="0"/>
        <v>6.82</v>
      </c>
      <c r="E7">
        <v>15</v>
      </c>
      <c r="F7">
        <f>StepTest!G18</f>
        <v>6.82</v>
      </c>
    </row>
    <row r="8" spans="1:6">
      <c r="A8" s="228">
        <v>20</v>
      </c>
      <c r="B8">
        <f t="shared" si="0"/>
        <v>7.44</v>
      </c>
      <c r="E8">
        <v>20</v>
      </c>
      <c r="F8">
        <f>StepTest!G19</f>
        <v>7.44</v>
      </c>
    </row>
    <row r="9" spans="1:6">
      <c r="A9" s="228">
        <v>25</v>
      </c>
      <c r="B9">
        <f t="shared" si="0"/>
        <v>7.92</v>
      </c>
      <c r="E9">
        <v>25</v>
      </c>
      <c r="F9">
        <f>StepTest!G20</f>
        <v>7.92</v>
      </c>
    </row>
    <row r="10" spans="1:6">
      <c r="A10" s="228">
        <v>30</v>
      </c>
      <c r="B10">
        <f t="shared" si="0"/>
        <v>8.31</v>
      </c>
      <c r="E10">
        <v>30</v>
      </c>
      <c r="F10">
        <f>StepTest!G21</f>
        <v>8.31</v>
      </c>
    </row>
    <row r="11" spans="1:6">
      <c r="A11" s="228">
        <v>35</v>
      </c>
      <c r="B11">
        <f t="shared" si="0"/>
        <v>8.64</v>
      </c>
      <c r="E11">
        <v>35</v>
      </c>
      <c r="F11">
        <f>StepTest!G22</f>
        <v>8.64</v>
      </c>
    </row>
    <row r="12" spans="1:6">
      <c r="A12" s="228">
        <v>40</v>
      </c>
      <c r="B12">
        <f t="shared" si="0"/>
        <v>8.93</v>
      </c>
      <c r="E12">
        <v>40</v>
      </c>
      <c r="F12">
        <f>StepTest!G23</f>
        <v>8.93</v>
      </c>
    </row>
    <row r="13" spans="1:6">
      <c r="A13" s="228">
        <v>45</v>
      </c>
      <c r="B13">
        <f t="shared" si="0"/>
        <v>9.18</v>
      </c>
      <c r="E13">
        <v>45</v>
      </c>
      <c r="F13">
        <f>StepTest!G24</f>
        <v>9.18</v>
      </c>
    </row>
    <row r="14" spans="1:6">
      <c r="A14" s="228">
        <v>50</v>
      </c>
      <c r="B14">
        <f t="shared" si="0"/>
        <v>9.41</v>
      </c>
      <c r="E14">
        <v>50</v>
      </c>
      <c r="F14">
        <f>StepTest!G25</f>
        <v>9.41</v>
      </c>
    </row>
    <row r="15" spans="1:6">
      <c r="A15" s="228">
        <v>55</v>
      </c>
      <c r="B15">
        <f t="shared" si="0"/>
        <v>9.6199999999999992</v>
      </c>
      <c r="E15">
        <v>55</v>
      </c>
      <c r="F15">
        <f>StepTest!G26</f>
        <v>9.6199999999999992</v>
      </c>
    </row>
    <row r="16" spans="1:6">
      <c r="A16" s="228">
        <v>60</v>
      </c>
      <c r="B16">
        <f t="shared" si="0"/>
        <v>9.8000000000000007</v>
      </c>
      <c r="E16">
        <v>60</v>
      </c>
      <c r="F16">
        <f>StepTest!G27</f>
        <v>9.8000000000000007</v>
      </c>
    </row>
    <row r="17" spans="1:6">
      <c r="A17" s="228">
        <v>75</v>
      </c>
      <c r="B17">
        <f t="shared" si="0"/>
        <v>10.28</v>
      </c>
      <c r="E17">
        <v>75</v>
      </c>
      <c r="F17">
        <f>StepTest!G28</f>
        <v>10.28</v>
      </c>
    </row>
    <row r="18" spans="1:6">
      <c r="A18" s="228">
        <v>90</v>
      </c>
      <c r="B18">
        <f t="shared" si="0"/>
        <v>10.68</v>
      </c>
      <c r="E18">
        <v>90</v>
      </c>
      <c r="F18">
        <f>StepTest!G29</f>
        <v>10.68</v>
      </c>
    </row>
    <row r="19" spans="1:6">
      <c r="A19" s="228">
        <v>105</v>
      </c>
      <c r="B19">
        <f t="shared" si="0"/>
        <v>11.01</v>
      </c>
      <c r="E19">
        <v>105</v>
      </c>
      <c r="F19">
        <f>StepTest!G30</f>
        <v>11.01</v>
      </c>
    </row>
    <row r="20" spans="1:6">
      <c r="A20" s="230">
        <v>120</v>
      </c>
      <c r="B20" s="236">
        <f t="shared" si="0"/>
        <v>11.3</v>
      </c>
      <c r="C20" s="236">
        <f>B26-B20</f>
        <v>2.2599999999999998</v>
      </c>
      <c r="D20" s="237">
        <f>C20/10</f>
        <v>0.22599999999999998</v>
      </c>
      <c r="E20">
        <v>120</v>
      </c>
      <c r="F20">
        <f>StepTest!G31</f>
        <v>11.3</v>
      </c>
    </row>
    <row r="21" spans="1:6">
      <c r="A21" s="228">
        <v>121</v>
      </c>
      <c r="B21" s="235">
        <f>B20+D21</f>
        <v>11.46</v>
      </c>
      <c r="D21">
        <v>0.16</v>
      </c>
      <c r="E21">
        <v>130</v>
      </c>
      <c r="F21">
        <f>StepTest!G32</f>
        <v>13.56</v>
      </c>
    </row>
    <row r="22" spans="1:6">
      <c r="A22" s="228">
        <v>122</v>
      </c>
      <c r="B22" s="235">
        <f>B21+D22</f>
        <v>11.610000000000001</v>
      </c>
      <c r="D22">
        <v>0.15</v>
      </c>
      <c r="E22">
        <v>140</v>
      </c>
      <c r="F22">
        <f>StepTest!G33</f>
        <v>13.93</v>
      </c>
    </row>
    <row r="23" spans="1:6">
      <c r="A23" s="228">
        <v>123</v>
      </c>
      <c r="B23" s="235">
        <f>B22+D23</f>
        <v>11.750000000000002</v>
      </c>
      <c r="D23">
        <v>0.14000000000000001</v>
      </c>
      <c r="E23">
        <v>150</v>
      </c>
      <c r="F23">
        <f>StepTest!G34</f>
        <v>14.31</v>
      </c>
    </row>
    <row r="24" spans="1:6">
      <c r="A24" s="228">
        <v>124</v>
      </c>
      <c r="B24" s="235">
        <f>B23+D24</f>
        <v>11.880000000000003</v>
      </c>
      <c r="D24">
        <v>0.13</v>
      </c>
      <c r="E24">
        <v>180</v>
      </c>
      <c r="F24">
        <f>StepTest!G35</f>
        <v>14.69</v>
      </c>
    </row>
    <row r="25" spans="1:6">
      <c r="A25" s="228">
        <v>125</v>
      </c>
      <c r="B25" s="235">
        <f>B24+D25</f>
        <v>12.010000000000003</v>
      </c>
      <c r="D25">
        <v>0.13</v>
      </c>
      <c r="E25">
        <v>240</v>
      </c>
      <c r="F25">
        <f>StepTest!G36</f>
        <v>15.07</v>
      </c>
    </row>
    <row r="26" spans="1:6">
      <c r="A26" s="228">
        <v>130</v>
      </c>
      <c r="B26" s="236">
        <f>F21</f>
        <v>13.56</v>
      </c>
      <c r="C26" s="236">
        <f>B28-B26</f>
        <v>0.36999999999999922</v>
      </c>
      <c r="D26" s="236">
        <f>C26/2</f>
        <v>0.18499999999999961</v>
      </c>
      <c r="E26">
        <v>250</v>
      </c>
      <c r="F26">
        <f>StepTest!G37</f>
        <v>17.61</v>
      </c>
    </row>
    <row r="27" spans="1:6">
      <c r="A27" s="228">
        <v>135</v>
      </c>
      <c r="B27" s="235">
        <f>B26+D27</f>
        <v>13.67</v>
      </c>
      <c r="D27">
        <v>0.11</v>
      </c>
      <c r="E27">
        <v>260</v>
      </c>
      <c r="F27">
        <f>StepTest!G38</f>
        <v>18.03</v>
      </c>
    </row>
    <row r="28" spans="1:6">
      <c r="A28" s="228">
        <v>140</v>
      </c>
      <c r="B28" s="236">
        <f>F22</f>
        <v>13.93</v>
      </c>
      <c r="C28" s="236">
        <f>B30-B28</f>
        <v>0.38000000000000078</v>
      </c>
      <c r="D28" s="236">
        <f>C28/2</f>
        <v>0.19000000000000039</v>
      </c>
      <c r="E28">
        <v>270</v>
      </c>
      <c r="F28">
        <f>StepTest!G39</f>
        <v>18.46</v>
      </c>
    </row>
    <row r="29" spans="1:6">
      <c r="A29" s="228">
        <v>145</v>
      </c>
      <c r="B29" s="235">
        <f>B28+D29</f>
        <v>14.03</v>
      </c>
      <c r="D29">
        <v>0.1</v>
      </c>
      <c r="E29">
        <v>300</v>
      </c>
      <c r="F29">
        <f>StepTest!G40</f>
        <v>18.88</v>
      </c>
    </row>
    <row r="30" spans="1:6">
      <c r="A30" s="228">
        <v>150</v>
      </c>
      <c r="B30" s="236">
        <f>F23</f>
        <v>14.31</v>
      </c>
      <c r="C30" s="236">
        <f>B36-B30</f>
        <v>0.37999999999999901</v>
      </c>
      <c r="D30" s="238">
        <f>C30/6</f>
        <v>6.3333333333333172E-2</v>
      </c>
      <c r="E30">
        <v>360</v>
      </c>
      <c r="F30">
        <f>StepTest!G41</f>
        <v>19.309999999999999</v>
      </c>
    </row>
    <row r="31" spans="1:6">
      <c r="A31" s="228">
        <v>155</v>
      </c>
      <c r="B31" s="235">
        <f>B30+D31</f>
        <v>14.370000000000001</v>
      </c>
      <c r="D31">
        <v>0.06</v>
      </c>
    </row>
    <row r="32" spans="1:6">
      <c r="A32" s="228">
        <v>160</v>
      </c>
      <c r="B32" s="235">
        <f t="shared" ref="B32:B39" si="1">B31+D32</f>
        <v>14.420000000000002</v>
      </c>
      <c r="D32">
        <v>0.05</v>
      </c>
    </row>
    <row r="33" spans="1:4">
      <c r="A33" s="228">
        <v>165</v>
      </c>
      <c r="B33" s="235">
        <f t="shared" si="1"/>
        <v>14.46</v>
      </c>
      <c r="D33">
        <v>0.04</v>
      </c>
    </row>
    <row r="34" spans="1:4">
      <c r="A34" s="228">
        <v>170</v>
      </c>
      <c r="B34" s="235">
        <f t="shared" si="1"/>
        <v>14.49</v>
      </c>
      <c r="D34">
        <v>0.03</v>
      </c>
    </row>
    <row r="35" spans="1:4">
      <c r="A35" s="228">
        <v>175</v>
      </c>
      <c r="B35" s="235">
        <f t="shared" si="1"/>
        <v>14.51</v>
      </c>
      <c r="D35">
        <v>0.02</v>
      </c>
    </row>
    <row r="36" spans="1:4">
      <c r="A36" s="228">
        <v>180</v>
      </c>
      <c r="B36" s="236">
        <f>F24</f>
        <v>14.69</v>
      </c>
      <c r="C36" s="236">
        <f>B40-B36</f>
        <v>0.38000000000000078</v>
      </c>
      <c r="D36" s="236">
        <f>C36/4</f>
        <v>9.5000000000000195E-2</v>
      </c>
    </row>
    <row r="37" spans="1:4">
      <c r="A37" s="228">
        <v>195</v>
      </c>
      <c r="B37" s="235">
        <f t="shared" si="1"/>
        <v>14.76</v>
      </c>
      <c r="D37">
        <v>7.0000000000000007E-2</v>
      </c>
    </row>
    <row r="38" spans="1:4">
      <c r="A38" s="228">
        <v>210</v>
      </c>
      <c r="B38" s="235">
        <f t="shared" si="1"/>
        <v>14.82</v>
      </c>
      <c r="D38">
        <v>0.06</v>
      </c>
    </row>
    <row r="39" spans="1:4">
      <c r="A39" s="228">
        <v>225</v>
      </c>
      <c r="B39" s="235">
        <f t="shared" si="1"/>
        <v>14.870000000000001</v>
      </c>
      <c r="D39">
        <v>0.05</v>
      </c>
    </row>
    <row r="40" spans="1:4">
      <c r="A40" s="230">
        <v>240</v>
      </c>
      <c r="B40" s="236">
        <f>F25</f>
        <v>15.07</v>
      </c>
      <c r="C40" s="236">
        <f>B46-B40</f>
        <v>2.5399999999999991</v>
      </c>
      <c r="D40" s="237">
        <f>C40/10</f>
        <v>0.25399999999999989</v>
      </c>
    </row>
    <row r="41" spans="1:4">
      <c r="A41" s="228">
        <v>241</v>
      </c>
      <c r="B41" s="235">
        <f>B40+D41</f>
        <v>15.25</v>
      </c>
      <c r="D41">
        <v>0.18</v>
      </c>
    </row>
    <row r="42" spans="1:4">
      <c r="A42" s="228">
        <v>242</v>
      </c>
      <c r="B42" s="235">
        <f>B41+D42</f>
        <v>15.41</v>
      </c>
      <c r="D42">
        <v>0.16</v>
      </c>
    </row>
    <row r="43" spans="1:4">
      <c r="A43" s="228">
        <v>243</v>
      </c>
      <c r="B43" s="235">
        <f>B42+D43</f>
        <v>15.56</v>
      </c>
      <c r="D43">
        <v>0.15</v>
      </c>
    </row>
    <row r="44" spans="1:4">
      <c r="A44" s="228">
        <v>244</v>
      </c>
      <c r="B44" s="235">
        <f>B43+D44</f>
        <v>15.700000000000001</v>
      </c>
      <c r="D44">
        <v>0.14000000000000001</v>
      </c>
    </row>
    <row r="45" spans="1:4">
      <c r="A45" s="228">
        <v>245</v>
      </c>
      <c r="B45" s="235">
        <f>B44+D45</f>
        <v>15.830000000000002</v>
      </c>
      <c r="D45">
        <v>0.13</v>
      </c>
    </row>
    <row r="46" spans="1:4">
      <c r="A46" s="228">
        <v>250</v>
      </c>
      <c r="B46" s="236">
        <f>F26</f>
        <v>17.61</v>
      </c>
      <c r="C46" s="236">
        <f>B48-B46</f>
        <v>0.42000000000000171</v>
      </c>
      <c r="D46" s="236">
        <f>C46/2</f>
        <v>0.21000000000000085</v>
      </c>
    </row>
    <row r="47" spans="1:4">
      <c r="A47" s="228">
        <v>255</v>
      </c>
      <c r="B47" s="235">
        <f>B46+D47</f>
        <v>17.72</v>
      </c>
      <c r="D47">
        <v>0.11</v>
      </c>
    </row>
    <row r="48" spans="1:4">
      <c r="A48" s="228">
        <v>260</v>
      </c>
      <c r="B48" s="236">
        <f>F27</f>
        <v>18.03</v>
      </c>
      <c r="C48" s="236">
        <f>B50-B48</f>
        <v>0.42999999999999972</v>
      </c>
      <c r="D48" s="236">
        <f>C48/2</f>
        <v>0.21499999999999986</v>
      </c>
    </row>
    <row r="49" spans="1:6">
      <c r="A49" s="228">
        <v>265</v>
      </c>
      <c r="B49" s="235">
        <f>B48+D49</f>
        <v>18.14</v>
      </c>
      <c r="D49">
        <v>0.11</v>
      </c>
    </row>
    <row r="50" spans="1:6">
      <c r="A50" s="228">
        <v>270</v>
      </c>
      <c r="B50" s="236">
        <f>F28</f>
        <v>18.46</v>
      </c>
      <c r="C50" s="236">
        <f>B56-B50</f>
        <v>0.41999999999999815</v>
      </c>
      <c r="D50" s="238">
        <f>C50/6</f>
        <v>6.9999999999999687E-2</v>
      </c>
    </row>
    <row r="51" spans="1:6">
      <c r="A51" s="228">
        <v>275</v>
      </c>
      <c r="B51" s="235">
        <f>B50+D51</f>
        <v>18.53</v>
      </c>
      <c r="D51">
        <v>7.0000000000000007E-2</v>
      </c>
    </row>
    <row r="52" spans="1:6">
      <c r="A52" s="228">
        <v>280</v>
      </c>
      <c r="B52" s="235">
        <f>B51+D52</f>
        <v>18.580000000000002</v>
      </c>
      <c r="D52">
        <v>0.05</v>
      </c>
    </row>
    <row r="53" spans="1:6">
      <c r="A53" s="228">
        <v>285</v>
      </c>
      <c r="B53" s="235">
        <f>B52+D53</f>
        <v>18.62</v>
      </c>
      <c r="D53">
        <v>0.04</v>
      </c>
    </row>
    <row r="54" spans="1:6">
      <c r="A54" s="228">
        <v>290</v>
      </c>
      <c r="B54" s="235">
        <f>B53+D54</f>
        <v>18.650000000000002</v>
      </c>
      <c r="D54">
        <v>0.03</v>
      </c>
    </row>
    <row r="55" spans="1:6">
      <c r="A55" s="228">
        <v>295</v>
      </c>
      <c r="B55" s="235">
        <f>B54+D55</f>
        <v>18.670000000000002</v>
      </c>
      <c r="D55">
        <v>0.02</v>
      </c>
    </row>
    <row r="56" spans="1:6">
      <c r="A56" s="228">
        <v>300</v>
      </c>
      <c r="B56" s="236">
        <f>F29</f>
        <v>18.88</v>
      </c>
      <c r="C56" s="236">
        <f>B60-B56</f>
        <v>0.42999999999999972</v>
      </c>
      <c r="D56" s="236">
        <f>C56/4</f>
        <v>0.10749999999999993</v>
      </c>
    </row>
    <row r="57" spans="1:6">
      <c r="A57" s="228">
        <v>315</v>
      </c>
      <c r="B57" s="235">
        <f>B56+D57</f>
        <v>18.959999999999997</v>
      </c>
      <c r="D57">
        <v>0.08</v>
      </c>
    </row>
    <row r="58" spans="1:6">
      <c r="A58" s="228">
        <v>330</v>
      </c>
      <c r="B58" s="235">
        <f>B57+D58</f>
        <v>19.019999999999996</v>
      </c>
      <c r="D58">
        <v>0.06</v>
      </c>
    </row>
    <row r="59" spans="1:6">
      <c r="A59" s="228">
        <v>345</v>
      </c>
      <c r="B59" s="235">
        <f>B58+D59</f>
        <v>19.069999999999997</v>
      </c>
      <c r="D59">
        <v>0.05</v>
      </c>
    </row>
    <row r="60" spans="1:6">
      <c r="A60" s="230">
        <v>360</v>
      </c>
      <c r="B60" s="236">
        <f>F30</f>
        <v>19.309999999999999</v>
      </c>
      <c r="C60" s="236">
        <f>B66-B60</f>
        <v>2.8300000000000018</v>
      </c>
      <c r="D60" s="237">
        <f>C60/10</f>
        <v>0.2830000000000002</v>
      </c>
    </row>
    <row r="61" spans="1:6">
      <c r="A61" s="228">
        <v>361</v>
      </c>
      <c r="B61" s="235">
        <f>B60+D61</f>
        <v>19.5</v>
      </c>
      <c r="D61">
        <v>0.19</v>
      </c>
    </row>
    <row r="62" spans="1:6">
      <c r="A62" s="228">
        <v>362</v>
      </c>
      <c r="B62" s="235">
        <f>B61+D62</f>
        <v>19.670000000000002</v>
      </c>
      <c r="D62">
        <v>0.17</v>
      </c>
    </row>
    <row r="63" spans="1:6">
      <c r="A63" s="228">
        <v>363</v>
      </c>
      <c r="B63" s="235">
        <f>B62+D63</f>
        <v>19.830000000000002</v>
      </c>
      <c r="D63">
        <v>0.16</v>
      </c>
      <c r="E63">
        <v>370</v>
      </c>
      <c r="F63">
        <f>StepTest!G42</f>
        <v>22.14</v>
      </c>
    </row>
    <row r="64" spans="1:6">
      <c r="A64" s="228">
        <v>364</v>
      </c>
      <c r="B64" s="235">
        <f>B63+D64</f>
        <v>19.98</v>
      </c>
      <c r="D64">
        <v>0.15</v>
      </c>
      <c r="E64">
        <v>380</v>
      </c>
      <c r="F64">
        <f>StepTest!G43</f>
        <v>22.61</v>
      </c>
    </row>
    <row r="65" spans="1:6">
      <c r="A65" s="228">
        <v>365</v>
      </c>
      <c r="B65" s="235">
        <f>B64+D65</f>
        <v>20.12</v>
      </c>
      <c r="D65">
        <v>0.14000000000000001</v>
      </c>
      <c r="E65">
        <v>390</v>
      </c>
      <c r="F65">
        <f>StepTest!G44</f>
        <v>23.08</v>
      </c>
    </row>
    <row r="66" spans="1:6">
      <c r="A66" s="228">
        <v>370</v>
      </c>
      <c r="B66" s="236">
        <f>F63</f>
        <v>22.14</v>
      </c>
      <c r="C66" s="239">
        <f>B68-B66</f>
        <v>0.46999999999999886</v>
      </c>
      <c r="D66" s="236">
        <f>C66/2</f>
        <v>0.23499999999999943</v>
      </c>
      <c r="E66">
        <v>420</v>
      </c>
      <c r="F66">
        <f>StepTest!G45</f>
        <v>23.55</v>
      </c>
    </row>
    <row r="67" spans="1:6">
      <c r="A67" s="228">
        <v>375</v>
      </c>
      <c r="B67" s="235">
        <f>B66+D67</f>
        <v>22.26</v>
      </c>
      <c r="D67">
        <v>0.12</v>
      </c>
      <c r="E67">
        <v>480</v>
      </c>
      <c r="F67">
        <f>StepTest!G46</f>
        <v>24.03</v>
      </c>
    </row>
    <row r="68" spans="1:6">
      <c r="A68" s="228">
        <v>380</v>
      </c>
      <c r="B68" s="240">
        <f>F64</f>
        <v>22.61</v>
      </c>
      <c r="C68" s="236">
        <f>B70-B68</f>
        <v>0.46999999999999886</v>
      </c>
      <c r="D68" s="236">
        <f>C68/2</f>
        <v>0.23499999999999943</v>
      </c>
      <c r="E68">
        <v>490</v>
      </c>
      <c r="F68">
        <f>StepTest!G47</f>
        <v>26.91</v>
      </c>
    </row>
    <row r="69" spans="1:6">
      <c r="A69" s="228">
        <v>385</v>
      </c>
      <c r="B69" s="235">
        <f>B68+D69</f>
        <v>22.73</v>
      </c>
      <c r="D69">
        <v>0.12</v>
      </c>
      <c r="E69">
        <v>500</v>
      </c>
      <c r="F69">
        <f>StepTest!G48</f>
        <v>27.99</v>
      </c>
    </row>
    <row r="70" spans="1:6">
      <c r="A70" s="228">
        <v>390</v>
      </c>
      <c r="B70" s="240">
        <f>F65</f>
        <v>23.08</v>
      </c>
      <c r="C70" s="236">
        <f>B76-B70</f>
        <v>0.47000000000000242</v>
      </c>
      <c r="D70" s="238">
        <f>C70/6</f>
        <v>7.8333333333333741E-2</v>
      </c>
      <c r="E70">
        <v>510</v>
      </c>
      <c r="F70">
        <f>StepTest!G49</f>
        <v>29.07</v>
      </c>
    </row>
    <row r="71" spans="1:6">
      <c r="A71" s="228">
        <v>395</v>
      </c>
      <c r="B71" s="235">
        <f>B70+D71</f>
        <v>23.15</v>
      </c>
      <c r="D71">
        <v>7.0000000000000007E-2</v>
      </c>
      <c r="E71">
        <v>540</v>
      </c>
      <c r="F71">
        <f>StepTest!G50</f>
        <v>30.15</v>
      </c>
    </row>
    <row r="72" spans="1:6">
      <c r="A72" s="228">
        <v>400</v>
      </c>
      <c r="B72" s="235">
        <f>B71+D72</f>
        <v>23.2</v>
      </c>
      <c r="D72">
        <v>0.05</v>
      </c>
      <c r="E72">
        <v>600</v>
      </c>
      <c r="F72">
        <f>StepTest!G51</f>
        <v>31.23</v>
      </c>
    </row>
    <row r="73" spans="1:6">
      <c r="A73" s="228">
        <v>405</v>
      </c>
      <c r="B73" s="235">
        <f>B72+D73</f>
        <v>23.24</v>
      </c>
      <c r="D73">
        <v>0.04</v>
      </c>
    </row>
    <row r="74" spans="1:6">
      <c r="A74" s="228">
        <v>410</v>
      </c>
      <c r="B74" s="235">
        <f>B73+D74</f>
        <v>23.27</v>
      </c>
      <c r="D74">
        <v>0.03</v>
      </c>
    </row>
    <row r="75" spans="1:6">
      <c r="A75" s="228">
        <v>415</v>
      </c>
      <c r="B75" s="235">
        <f>B74+D75</f>
        <v>23.3</v>
      </c>
      <c r="D75">
        <v>0.03</v>
      </c>
    </row>
    <row r="76" spans="1:6">
      <c r="A76" s="228">
        <v>420</v>
      </c>
      <c r="B76" s="240">
        <f>F66</f>
        <v>23.55</v>
      </c>
      <c r="C76" s="236">
        <f>B80-B76</f>
        <v>0.48000000000000043</v>
      </c>
      <c r="D76" s="236">
        <f>C76/4</f>
        <v>0.12000000000000011</v>
      </c>
    </row>
    <row r="77" spans="1:6">
      <c r="A77" s="228">
        <v>435</v>
      </c>
      <c r="B77" s="235">
        <f>B76+D77</f>
        <v>23.64</v>
      </c>
      <c r="D77">
        <v>0.09</v>
      </c>
    </row>
    <row r="78" spans="1:6">
      <c r="A78" s="228">
        <v>450</v>
      </c>
      <c r="B78" s="235">
        <f>B77+D78</f>
        <v>23.71</v>
      </c>
      <c r="D78">
        <v>7.0000000000000007E-2</v>
      </c>
    </row>
    <row r="79" spans="1:6">
      <c r="A79" s="228">
        <v>465</v>
      </c>
      <c r="B79" s="235">
        <f>B78+D79</f>
        <v>23.76</v>
      </c>
      <c r="D79">
        <v>0.05</v>
      </c>
    </row>
    <row r="80" spans="1:6">
      <c r="A80" s="230">
        <v>480</v>
      </c>
      <c r="B80" s="240">
        <f>F67</f>
        <v>24.03</v>
      </c>
      <c r="C80" s="236">
        <f>B86-B80</f>
        <v>2.879999999999999</v>
      </c>
      <c r="D80" s="237">
        <f>C80/10</f>
        <v>0.28799999999999992</v>
      </c>
    </row>
    <row r="81" spans="1:4">
      <c r="A81" s="228">
        <v>481</v>
      </c>
      <c r="B81" s="235">
        <f>B80+D81</f>
        <v>24.240000000000002</v>
      </c>
      <c r="D81">
        <v>0.21</v>
      </c>
    </row>
    <row r="82" spans="1:4">
      <c r="A82" s="228">
        <v>482</v>
      </c>
      <c r="B82" s="235">
        <f>B81+D82</f>
        <v>24.430000000000003</v>
      </c>
      <c r="D82">
        <v>0.19</v>
      </c>
    </row>
    <row r="83" spans="1:4">
      <c r="A83" s="228">
        <v>483</v>
      </c>
      <c r="B83" s="235">
        <f>B82+D83</f>
        <v>24.600000000000005</v>
      </c>
      <c r="D83">
        <v>0.17</v>
      </c>
    </row>
    <row r="84" spans="1:4">
      <c r="A84" s="228">
        <v>484</v>
      </c>
      <c r="B84" s="235">
        <f>B83+D84</f>
        <v>24.760000000000005</v>
      </c>
      <c r="D84">
        <v>0.16</v>
      </c>
    </row>
    <row r="85" spans="1:4">
      <c r="A85" s="228">
        <v>485</v>
      </c>
      <c r="B85" s="235">
        <f>B84+D85</f>
        <v>24.900000000000006</v>
      </c>
      <c r="D85">
        <v>0.14000000000000001</v>
      </c>
    </row>
    <row r="86" spans="1:4">
      <c r="A86" s="228">
        <v>490</v>
      </c>
      <c r="B86" s="240">
        <f>F68</f>
        <v>26.91</v>
      </c>
      <c r="C86" s="236">
        <f>B88-B86</f>
        <v>1.0799999999999983</v>
      </c>
      <c r="D86" s="236">
        <f>C86/2</f>
        <v>0.53999999999999915</v>
      </c>
    </row>
    <row r="87" spans="1:4">
      <c r="A87" s="228">
        <v>495</v>
      </c>
      <c r="B87" s="235">
        <f>B86+D87</f>
        <v>27.22</v>
      </c>
      <c r="D87">
        <v>0.31</v>
      </c>
    </row>
    <row r="88" spans="1:4">
      <c r="A88" s="228">
        <v>500</v>
      </c>
      <c r="B88" s="240">
        <f>F69</f>
        <v>27.99</v>
      </c>
      <c r="C88" s="236">
        <f>B90-B88</f>
        <v>1.0800000000000018</v>
      </c>
      <c r="D88" s="236">
        <f>C88/2</f>
        <v>0.54000000000000092</v>
      </c>
    </row>
    <row r="89" spans="1:4">
      <c r="A89" s="228">
        <v>505</v>
      </c>
      <c r="B89" s="235">
        <f>B88+D89</f>
        <v>28.29</v>
      </c>
      <c r="D89">
        <v>0.3</v>
      </c>
    </row>
    <row r="90" spans="1:4">
      <c r="A90" s="228">
        <v>510</v>
      </c>
      <c r="B90" s="240">
        <f>F70</f>
        <v>29.07</v>
      </c>
      <c r="C90" s="236">
        <f>B96-B90</f>
        <v>1.0799999999999983</v>
      </c>
      <c r="D90" s="238">
        <f>C90/6</f>
        <v>0.17999999999999972</v>
      </c>
    </row>
    <row r="91" spans="1:4">
      <c r="A91" s="228">
        <v>515</v>
      </c>
      <c r="B91" s="235">
        <f>B90+D91</f>
        <v>29.22</v>
      </c>
      <c r="D91">
        <v>0.15</v>
      </c>
    </row>
    <row r="92" spans="1:4">
      <c r="A92" s="228">
        <v>520</v>
      </c>
      <c r="B92" s="235">
        <f>B91+D92</f>
        <v>29.349999999999998</v>
      </c>
      <c r="D92">
        <v>0.13</v>
      </c>
    </row>
    <row r="93" spans="1:4">
      <c r="A93" s="228">
        <v>525</v>
      </c>
      <c r="B93" s="235">
        <f>B92+D93</f>
        <v>29.459999999999997</v>
      </c>
      <c r="D93">
        <v>0.11</v>
      </c>
    </row>
    <row r="94" spans="1:4">
      <c r="A94" s="228">
        <v>530</v>
      </c>
      <c r="B94" s="235">
        <f>B93+D94</f>
        <v>29.539999999999996</v>
      </c>
      <c r="D94">
        <v>0.08</v>
      </c>
    </row>
    <row r="95" spans="1:4">
      <c r="A95" s="228">
        <v>535</v>
      </c>
      <c r="B95" s="235">
        <f>B94+D95</f>
        <v>29.609999999999996</v>
      </c>
      <c r="D95">
        <v>7.0000000000000007E-2</v>
      </c>
    </row>
    <row r="96" spans="1:4">
      <c r="A96" s="228">
        <v>540</v>
      </c>
      <c r="B96" s="240">
        <f>F71</f>
        <v>30.15</v>
      </c>
      <c r="C96" s="236">
        <f>B100-B96</f>
        <v>1.0800000000000018</v>
      </c>
      <c r="D96" s="236">
        <f>C96/4</f>
        <v>0.27000000000000046</v>
      </c>
    </row>
    <row r="97" spans="1:4">
      <c r="A97" s="228">
        <v>555</v>
      </c>
      <c r="B97" s="235">
        <f>B96+D97</f>
        <v>30.34</v>
      </c>
      <c r="D97">
        <v>0.19</v>
      </c>
    </row>
    <row r="98" spans="1:4">
      <c r="A98" s="228">
        <v>570</v>
      </c>
      <c r="B98" s="235">
        <f>B97+D98</f>
        <v>30.5</v>
      </c>
      <c r="D98">
        <v>0.16</v>
      </c>
    </row>
    <row r="99" spans="1:4">
      <c r="A99" s="228">
        <v>585</v>
      </c>
      <c r="B99" s="235">
        <f>B98+D99</f>
        <v>30.64</v>
      </c>
      <c r="D99">
        <v>0.14000000000000001</v>
      </c>
    </row>
    <row r="100" spans="1:4">
      <c r="A100" s="230">
        <v>600</v>
      </c>
      <c r="B100" s="203">
        <f>F72</f>
        <v>31.23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>
    <tabColor rgb="FF002060"/>
  </sheetPr>
  <dimension ref="A1:U79"/>
  <sheetViews>
    <sheetView zoomScaleNormal="100" workbookViewId="0">
      <selection activeCell="O17" sqref="O17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44.35</v>
      </c>
      <c r="F1" s="231"/>
      <c r="G1" s="231">
        <f>E1/E2</f>
        <v>0.88700000000000001</v>
      </c>
    </row>
    <row r="2" spans="1:19">
      <c r="A2" s="47" t="s">
        <v>186</v>
      </c>
      <c r="B2" s="47" t="s">
        <v>187</v>
      </c>
      <c r="D2" s="20">
        <f>D19</f>
        <v>84</v>
      </c>
      <c r="E2" s="231">
        <f>M51/3</f>
        <v>50</v>
      </c>
      <c r="F2" s="274" t="s">
        <v>189</v>
      </c>
      <c r="G2" s="273" t="s">
        <v>220</v>
      </c>
    </row>
    <row r="3" spans="1:19">
      <c r="A3" s="179">
        <f>B3+$M$48</f>
        <v>14.9</v>
      </c>
      <c r="B3" s="276">
        <f>B20</f>
        <v>11.3</v>
      </c>
      <c r="C3" s="19"/>
      <c r="D3" s="275">
        <f t="shared" ref="D3:D7" si="0">D20</f>
        <v>94</v>
      </c>
      <c r="E3" s="17">
        <f>D3/12</f>
        <v>7.833333333333333</v>
      </c>
      <c r="F3" s="21">
        <f>INT(B3/D3*1000)/1000</f>
        <v>0.12</v>
      </c>
      <c r="G3" s="21">
        <f>1/F3</f>
        <v>8.3333333333333339</v>
      </c>
    </row>
    <row r="4" spans="1:19">
      <c r="A4" s="179">
        <f>B4+$M$48</f>
        <v>18.670000000000002</v>
      </c>
      <c r="B4" s="19">
        <f>B21</f>
        <v>15.07</v>
      </c>
      <c r="C4" s="19"/>
      <c r="D4" s="20">
        <f t="shared" si="0"/>
        <v>120</v>
      </c>
      <c r="E4" s="17">
        <f>D4/12</f>
        <v>10</v>
      </c>
      <c r="F4" s="21">
        <f>INT(B4/D4*1000)/1000</f>
        <v>0.125</v>
      </c>
      <c r="G4" s="21">
        <f t="shared" ref="G4:G7" si="1">1/F4</f>
        <v>8</v>
      </c>
    </row>
    <row r="5" spans="1:19">
      <c r="A5" s="179">
        <f>B5+$M$48</f>
        <v>22.91</v>
      </c>
      <c r="B5" s="19">
        <f>B22</f>
        <v>19.309999999999999</v>
      </c>
      <c r="C5" s="19"/>
      <c r="D5" s="20">
        <f t="shared" si="0"/>
        <v>146.19999999999999</v>
      </c>
      <c r="E5" s="17">
        <f>D5/12</f>
        <v>12.183333333333332</v>
      </c>
      <c r="F5" s="21">
        <f>INT(B5/D5*1000)/1000</f>
        <v>0.13200000000000001</v>
      </c>
      <c r="G5" s="21">
        <f t="shared" si="1"/>
        <v>7.5757575757575752</v>
      </c>
    </row>
    <row r="6" spans="1:19">
      <c r="A6" s="179">
        <f>B6+$M$48</f>
        <v>27.630000000000003</v>
      </c>
      <c r="B6" s="276">
        <f>B23</f>
        <v>24.03</v>
      </c>
      <c r="C6" s="19"/>
      <c r="D6" s="20">
        <f>D23</f>
        <v>172</v>
      </c>
      <c r="E6" s="17">
        <f>D6/12</f>
        <v>14.333333333333334</v>
      </c>
      <c r="F6" s="21">
        <f>INT(B6/D6*1000)/1000</f>
        <v>0.13900000000000001</v>
      </c>
      <c r="G6" s="21">
        <f t="shared" si="1"/>
        <v>7.1942446043165464</v>
      </c>
    </row>
    <row r="7" spans="1:19">
      <c r="A7" s="179">
        <f>B7+$M$48</f>
        <v>34.83</v>
      </c>
      <c r="B7" s="19">
        <f>B24</f>
        <v>31.23</v>
      </c>
      <c r="C7" s="19"/>
      <c r="D7" s="20">
        <f t="shared" si="0"/>
        <v>197.79999999999998</v>
      </c>
      <c r="E7" s="17">
        <f>D7/12</f>
        <v>16.483333333333331</v>
      </c>
      <c r="F7" s="21">
        <f>INT(B7/D7*1000)/1000</f>
        <v>0.157</v>
      </c>
      <c r="G7" s="21">
        <f t="shared" si="1"/>
        <v>6.369426751592357</v>
      </c>
    </row>
    <row r="8" spans="1:19">
      <c r="B8" s="17" t="s">
        <v>0</v>
      </c>
      <c r="E8" s="532" t="s">
        <v>124</v>
      </c>
      <c r="F8" s="532"/>
      <c r="G8" s="532"/>
    </row>
    <row r="9" spans="1:19">
      <c r="A9" s="272" t="s">
        <v>194</v>
      </c>
      <c r="B9" s="272" t="s">
        <v>195</v>
      </c>
      <c r="E9" s="86">
        <v>0.98</v>
      </c>
      <c r="F9" s="533" t="s">
        <v>114</v>
      </c>
      <c r="G9" s="533"/>
    </row>
    <row r="10" spans="1:19">
      <c r="A10" s="271">
        <f>D20/B20</f>
        <v>8.3185840707964598</v>
      </c>
      <c r="B10" s="271">
        <f>B20/D20</f>
        <v>0.12021276595744682</v>
      </c>
      <c r="E10" s="86">
        <v>0.98</v>
      </c>
      <c r="F10" s="533" t="s">
        <v>115</v>
      </c>
      <c r="G10" s="533"/>
    </row>
    <row r="11" spans="1:19">
      <c r="A11" s="271">
        <f t="shared" ref="A11:A14" si="2">D21/B21</f>
        <v>7.9628400796284007</v>
      </c>
      <c r="B11" s="271">
        <f t="shared" ref="B11:B14" si="3">B21/D21</f>
        <v>0.12558333333333332</v>
      </c>
      <c r="D11" s="17" t="s">
        <v>0</v>
      </c>
      <c r="E11" s="86">
        <v>0.98</v>
      </c>
      <c r="F11" s="533" t="s">
        <v>116</v>
      </c>
      <c r="G11" s="533"/>
    </row>
    <row r="12" spans="1:19">
      <c r="A12" s="271">
        <f t="shared" si="2"/>
        <v>7.5712066286897981</v>
      </c>
      <c r="B12" s="271">
        <f t="shared" si="3"/>
        <v>0.13207934336525307</v>
      </c>
      <c r="E12" s="86">
        <v>1</v>
      </c>
      <c r="F12" s="533" t="s">
        <v>117</v>
      </c>
      <c r="G12" s="533"/>
    </row>
    <row r="13" spans="1:19">
      <c r="A13" s="271">
        <f t="shared" si="2"/>
        <v>7.1577195172700785</v>
      </c>
      <c r="B13" s="271">
        <f t="shared" si="3"/>
        <v>0.1397093023255814</v>
      </c>
      <c r="D13" s="17" t="s">
        <v>0</v>
      </c>
      <c r="E13" s="532" t="s">
        <v>123</v>
      </c>
      <c r="F13" s="532"/>
      <c r="G13" s="532"/>
    </row>
    <row r="14" spans="1:19">
      <c r="A14" s="271">
        <f t="shared" si="2"/>
        <v>6.333653538264489</v>
      </c>
      <c r="B14" s="271">
        <f t="shared" si="3"/>
        <v>0.15788675429726998</v>
      </c>
      <c r="E14" s="87">
        <v>1</v>
      </c>
      <c r="F14" s="533" t="s">
        <v>114</v>
      </c>
      <c r="G14" s="533"/>
    </row>
    <row r="15" spans="1:19">
      <c r="E15" s="87">
        <v>1</v>
      </c>
      <c r="F15" s="533" t="s">
        <v>115</v>
      </c>
      <c r="G15" s="533"/>
    </row>
    <row r="16" spans="1:19">
      <c r="B16" s="38" t="s">
        <v>121</v>
      </c>
      <c r="D16" s="77" t="s">
        <v>122</v>
      </c>
      <c r="E16" s="87">
        <v>1</v>
      </c>
      <c r="F16" s="533" t="s">
        <v>116</v>
      </c>
      <c r="G16" s="533"/>
      <c r="R16" s="18">
        <v>0.128</v>
      </c>
      <c r="S16" s="18">
        <f>ROUNDDOWN(R16,1)</f>
        <v>0.1</v>
      </c>
    </row>
    <row r="17" spans="1:21">
      <c r="B17" s="82">
        <f>M52</f>
        <v>24.03</v>
      </c>
      <c r="D17" s="85">
        <f>M47</f>
        <v>172</v>
      </c>
      <c r="E17" s="87">
        <v>1</v>
      </c>
      <c r="F17" s="533" t="s">
        <v>117</v>
      </c>
      <c r="G17" s="533"/>
      <c r="P17" s="322"/>
      <c r="Q17" s="321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22"/>
    </row>
    <row r="19" spans="1:21">
      <c r="B19" s="83"/>
      <c r="C19" s="19"/>
      <c r="D19" s="81">
        <f>INT(D20*0.9)</f>
        <v>84</v>
      </c>
      <c r="F19" s="19"/>
      <c r="G19" s="19"/>
    </row>
    <row r="20" spans="1:21">
      <c r="A20" s="252" t="s">
        <v>188</v>
      </c>
      <c r="B20" s="369">
        <f>INT(B$17*C20*100)/100</f>
        <v>11.3</v>
      </c>
      <c r="C20" s="17">
        <f>0.48*E9</f>
        <v>0.47039999999999998</v>
      </c>
      <c r="D20" s="370">
        <f>INT(D$17*E20)</f>
        <v>94</v>
      </c>
      <c r="E20" s="368">
        <f>0.55*E14</f>
        <v>0.55000000000000004</v>
      </c>
      <c r="F20" s="21">
        <f>B20/D20</f>
        <v>0.12021276595744682</v>
      </c>
      <c r="G20" s="17">
        <f>F20-F19</f>
        <v>0.12021276595744682</v>
      </c>
    </row>
    <row r="21" spans="1:21">
      <c r="A21" s="19">
        <f>B21-B20</f>
        <v>3.7699999999999996</v>
      </c>
      <c r="B21" s="369">
        <f>INT(B$17*C21*100)/100</f>
        <v>15.07</v>
      </c>
      <c r="C21" s="17">
        <f>0.64*E10</f>
        <v>0.62719999999999998</v>
      </c>
      <c r="D21" s="370">
        <f>INT(D$17*E21)</f>
        <v>120</v>
      </c>
      <c r="E21" s="368">
        <f>0.7*E15</f>
        <v>0.7</v>
      </c>
      <c r="F21" s="21">
        <f>B21/D21</f>
        <v>0.12558333333333332</v>
      </c>
      <c r="G21" s="17">
        <f>F21-F20</f>
        <v>5.3705673758865091E-3</v>
      </c>
      <c r="N21" s="108" t="s">
        <v>135</v>
      </c>
      <c r="O21" s="507" t="s">
        <v>126</v>
      </c>
      <c r="P21" s="507"/>
      <c r="Q21" s="507" t="s">
        <v>129</v>
      </c>
      <c r="R21" s="507"/>
      <c r="S21" s="507" t="s">
        <v>131</v>
      </c>
      <c r="T21" s="507"/>
      <c r="U21" s="94" t="s">
        <v>132</v>
      </c>
    </row>
    <row r="22" spans="1:21">
      <c r="A22" s="19">
        <f>B22-B21</f>
        <v>4.2399999999999984</v>
      </c>
      <c r="B22" s="369">
        <f>INT(B$17*C22*100)/100</f>
        <v>19.309999999999999</v>
      </c>
      <c r="C22" s="17">
        <f>0.82*E11</f>
        <v>0.80359999999999998</v>
      </c>
      <c r="D22" s="371">
        <f>(D$17*E22)</f>
        <v>146.19999999999999</v>
      </c>
      <c r="E22" s="368">
        <f>0.85*E16</f>
        <v>0.85</v>
      </c>
      <c r="F22" s="21">
        <f>B22/D22</f>
        <v>0.13207934336525307</v>
      </c>
      <c r="G22" s="17">
        <f>F22-F21</f>
        <v>6.4960100319197411E-3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4.7200000000000024</v>
      </c>
      <c r="B23" s="369">
        <f>INT(B$17*C23*100)/100</f>
        <v>24.03</v>
      </c>
      <c r="C23" s="17">
        <v>1</v>
      </c>
      <c r="D23" s="370">
        <f>D$17*E23</f>
        <v>172</v>
      </c>
      <c r="E23" s="368">
        <v>1</v>
      </c>
      <c r="F23" s="21">
        <f>B23/D23</f>
        <v>0.1397093023255814</v>
      </c>
      <c r="G23" s="17">
        <f>F23-F22</f>
        <v>7.6299589603283369E-3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7.1999999999999993</v>
      </c>
      <c r="B24" s="369">
        <f>INT(B$17*C24*100)/100</f>
        <v>31.23</v>
      </c>
      <c r="C24" s="17">
        <f>1.3*E12</f>
        <v>1.3</v>
      </c>
      <c r="D24" s="370">
        <f>D$17*E24</f>
        <v>197.79999999999998</v>
      </c>
      <c r="E24" s="368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0.15788675429726998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505" t="s">
        <v>118</v>
      </c>
      <c r="B26" s="505"/>
      <c r="C26" s="79">
        <f>INT(M51*1)</f>
        <v>150</v>
      </c>
      <c r="F26" s="178">
        <f>M50/M51</f>
        <v>0.18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505" t="s">
        <v>119</v>
      </c>
      <c r="B27" s="505"/>
      <c r="C27" s="80">
        <f>SafeYield!B7</f>
        <v>155.44547053051494</v>
      </c>
      <c r="D27" s="19">
        <f>(C27/D6)*100</f>
        <v>90.375273564252865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2.497E-4</v>
      </c>
      <c r="B31" s="32">
        <v>9.6171300000000001E-2</v>
      </c>
      <c r="D31" s="20">
        <f t="shared" ref="D31:D36" si="4">D19</f>
        <v>84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2.497E-4</v>
      </c>
      <c r="B32" s="17">
        <f t="shared" si="5"/>
        <v>9.6171300000000001E-2</v>
      </c>
      <c r="D32" s="20">
        <f t="shared" si="4"/>
        <v>94</v>
      </c>
      <c r="F32" s="23">
        <f>B32*D32/(B32*D32+A32*D32*D32)*100</f>
        <v>80.3818189264571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2.497E-4</v>
      </c>
      <c r="B33" s="17">
        <f t="shared" si="5"/>
        <v>9.6171300000000001E-2</v>
      </c>
      <c r="D33" s="20">
        <f t="shared" si="4"/>
        <v>120</v>
      </c>
      <c r="F33" s="23">
        <f>B33*D33/(B33*D33+A33*D33*D33)*100</f>
        <v>76.244556440584049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2.497E-4</v>
      </c>
      <c r="B34" s="17">
        <f t="shared" si="5"/>
        <v>9.6171300000000001E-2</v>
      </c>
      <c r="D34" s="20">
        <f t="shared" si="4"/>
        <v>146.19999999999999</v>
      </c>
      <c r="F34" s="23">
        <f>B34*D34/(B34*D34+A34*D34*D34)*100</f>
        <v>72.48504342561931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2.497E-4</v>
      </c>
      <c r="B35" s="17">
        <f>B34</f>
        <v>9.6171300000000001E-2</v>
      </c>
      <c r="D35" s="20">
        <f t="shared" si="4"/>
        <v>172</v>
      </c>
      <c r="F35" s="23">
        <f>B35*D35/(B35*D35+A35*D35*D35)*100</f>
        <v>69.128455567399868</v>
      </c>
      <c r="G35" s="23"/>
    </row>
    <row r="36" spans="1:21">
      <c r="D36" s="20">
        <f t="shared" si="4"/>
        <v>197.79999999999998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74.559968590015075</v>
      </c>
      <c r="P37" s="18">
        <v>2.497E-4</v>
      </c>
      <c r="Q37" s="18">
        <v>0.14399999999999999</v>
      </c>
    </row>
    <row r="38" spans="1:21">
      <c r="A38" s="46">
        <v>72.147000000000006</v>
      </c>
      <c r="B38" s="47">
        <v>0.14399999999999999</v>
      </c>
      <c r="C38" s="47">
        <v>93.747</v>
      </c>
      <c r="E38" s="17" t="s">
        <v>33</v>
      </c>
      <c r="P38" s="18">
        <v>9.6171300000000001E-2</v>
      </c>
      <c r="Q38" s="18">
        <v>93.747</v>
      </c>
    </row>
    <row r="39" spans="1:21">
      <c r="A39" s="24"/>
      <c r="B39" s="25" t="s">
        <v>34</v>
      </c>
      <c r="C39" s="19">
        <f>(C38-A38)/B38</f>
        <v>149.99999999999997</v>
      </c>
      <c r="D39" s="17">
        <f>C38-B38*M51</f>
        <v>72.147000000000006</v>
      </c>
    </row>
    <row r="40" spans="1:21">
      <c r="A40" s="24" t="s">
        <v>35</v>
      </c>
      <c r="B40" s="25" t="s">
        <v>34</v>
      </c>
      <c r="C40" s="17">
        <f>INT(C39)</f>
        <v>150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4" t="s">
        <v>233</v>
      </c>
      <c r="R43" s="324" t="s">
        <v>234</v>
      </c>
      <c r="S43" s="324" t="s">
        <v>235</v>
      </c>
      <c r="T43" s="324" t="s">
        <v>220</v>
      </c>
      <c r="U43" s="324" t="s">
        <v>189</v>
      </c>
    </row>
    <row r="44" spans="1:21" ht="16.5">
      <c r="A44" s="109">
        <f>B58</f>
        <v>40.21</v>
      </c>
      <c r="B44" s="22" t="s">
        <v>16</v>
      </c>
      <c r="H44" s="372" t="s">
        <v>191</v>
      </c>
      <c r="I44" s="518" t="s">
        <v>300</v>
      </c>
      <c r="J44" s="519"/>
      <c r="K44" s="520"/>
      <c r="L44" s="335" t="s">
        <v>59</v>
      </c>
      <c r="M44" s="336">
        <v>250</v>
      </c>
      <c r="N44" s="335" t="s">
        <v>185</v>
      </c>
      <c r="Q44" s="326">
        <v>94</v>
      </c>
      <c r="R44" s="358">
        <v>14.9</v>
      </c>
      <c r="S44" s="358">
        <v>11.3</v>
      </c>
      <c r="T44" s="320">
        <v>8.3333333333333339</v>
      </c>
      <c r="U44" s="18">
        <v>0.12</v>
      </c>
    </row>
    <row r="45" spans="1:21" ht="16.5">
      <c r="A45" s="87">
        <v>5.0000000000000001E-4</v>
      </c>
      <c r="B45" s="22" t="s">
        <v>19</v>
      </c>
      <c r="H45" s="372" t="s">
        <v>54</v>
      </c>
      <c r="I45" s="337" t="s">
        <v>303</v>
      </c>
      <c r="J45" s="338"/>
      <c r="K45" s="336"/>
      <c r="L45" s="335" t="s">
        <v>60</v>
      </c>
      <c r="M45" s="472">
        <v>50</v>
      </c>
      <c r="N45" s="472">
        <f>M44</f>
        <v>250</v>
      </c>
      <c r="Q45" s="326">
        <v>120</v>
      </c>
      <c r="R45" s="358">
        <v>18.670000000000002</v>
      </c>
      <c r="S45" s="358">
        <v>15.07</v>
      </c>
      <c r="T45" s="320">
        <v>8</v>
      </c>
      <c r="U45" s="18">
        <v>0.125</v>
      </c>
    </row>
    <row r="46" spans="1:21" ht="16.5">
      <c r="A46" s="17">
        <f>B34</f>
        <v>9.6171300000000001E-2</v>
      </c>
      <c r="B46" s="22" t="s">
        <v>36</v>
      </c>
      <c r="C46" s="514" t="s">
        <v>29</v>
      </c>
      <c r="D46" s="514"/>
      <c r="H46" s="372" t="s">
        <v>55</v>
      </c>
      <c r="I46" s="336" t="s">
        <v>304</v>
      </c>
      <c r="J46" s="338"/>
      <c r="K46" s="336"/>
      <c r="L46" s="335" t="s">
        <v>61</v>
      </c>
      <c r="M46" s="339">
        <f>IF(I52&gt;M48, M45-I52,M45-M48)</f>
        <v>38</v>
      </c>
      <c r="N46" s="340"/>
      <c r="Q46" s="326">
        <v>146</v>
      </c>
      <c r="R46" s="358">
        <v>22.91</v>
      </c>
      <c r="S46" s="358">
        <v>19.309999999999999</v>
      </c>
      <c r="T46" s="320">
        <v>7.5757575757575752</v>
      </c>
      <c r="U46" s="18">
        <v>0.13200000000000001</v>
      </c>
    </row>
    <row r="47" spans="1:21" ht="16.5">
      <c r="A47" s="17">
        <f>120/1440</f>
        <v>8.3333333333333329E-2</v>
      </c>
      <c r="B47" s="22" t="s">
        <v>24</v>
      </c>
      <c r="C47" s="514" t="s">
        <v>28</v>
      </c>
      <c r="D47" s="514"/>
      <c r="H47" s="372" t="s">
        <v>56</v>
      </c>
      <c r="I47" s="336" t="s">
        <v>301</v>
      </c>
      <c r="J47" s="338"/>
      <c r="K47" s="336"/>
      <c r="L47" s="335" t="s">
        <v>62</v>
      </c>
      <c r="M47" s="341">
        <f>INT((M51*100)/M53)</f>
        <v>172</v>
      </c>
      <c r="N47" s="340"/>
      <c r="Q47" s="326">
        <v>172</v>
      </c>
      <c r="R47" s="358">
        <v>27.630000000000003</v>
      </c>
      <c r="S47" s="358">
        <v>24.03</v>
      </c>
      <c r="T47" s="320">
        <v>7.1942446043165464</v>
      </c>
      <c r="U47" s="18">
        <v>0.13900000000000001</v>
      </c>
    </row>
    <row r="48" spans="1:21" ht="16.5">
      <c r="B48" s="22"/>
      <c r="H48" s="372" t="s">
        <v>57</v>
      </c>
      <c r="I48" s="473">
        <v>7.5</v>
      </c>
      <c r="J48" s="517" t="s">
        <v>302</v>
      </c>
      <c r="K48" s="517"/>
      <c r="L48" s="342" t="s">
        <v>63</v>
      </c>
      <c r="M48" s="474">
        <v>3.6</v>
      </c>
      <c r="N48" s="340"/>
      <c r="Q48" s="326">
        <v>198</v>
      </c>
      <c r="R48" s="358">
        <v>34.83</v>
      </c>
      <c r="S48" s="358">
        <v>31.23</v>
      </c>
      <c r="T48" s="320">
        <v>6.369426751592357</v>
      </c>
      <c r="U48" s="18">
        <v>0.157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08" t="s">
        <v>58</v>
      </c>
      <c r="I49" s="516" t="str">
        <f>I45</f>
        <v xml:space="preserve"> 고등리 382</v>
      </c>
      <c r="J49" s="516"/>
      <c r="K49" s="516"/>
      <c r="L49" s="335" t="s">
        <v>64</v>
      </c>
      <c r="M49" s="474">
        <v>30.6</v>
      </c>
      <c r="N49" s="340"/>
    </row>
    <row r="50" spans="1:17" ht="16.5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09"/>
      <c r="I50" s="516"/>
      <c r="J50" s="516"/>
      <c r="K50" s="516"/>
      <c r="L50" s="335" t="s">
        <v>65</v>
      </c>
      <c r="M50" s="343">
        <f>M49-M48</f>
        <v>27</v>
      </c>
      <c r="N50" s="340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10"/>
      <c r="I51" s="511" t="s">
        <v>113</v>
      </c>
      <c r="J51" s="512"/>
      <c r="K51" s="513"/>
      <c r="L51" s="344" t="s">
        <v>106</v>
      </c>
      <c r="M51" s="491">
        <v>150</v>
      </c>
      <c r="N51" s="340"/>
      <c r="Q51" s="18">
        <v>94</v>
      </c>
    </row>
    <row r="52" spans="1:17" ht="16.5">
      <c r="A52" s="28" t="s">
        <v>41</v>
      </c>
      <c r="B52" s="17">
        <f>INT(10^((INT(5.46*A44*A46*1000))/1000)*1000)/1000</f>
        <v>1.3001695780332996E+21</v>
      </c>
      <c r="C52" s="17">
        <f>INT(B52*B51*1000)/1000</f>
        <v>6.5008478901664986E+17</v>
      </c>
      <c r="H52" s="345" t="s">
        <v>96</v>
      </c>
      <c r="I52" s="473">
        <v>12</v>
      </c>
      <c r="J52" s="345" t="s">
        <v>97</v>
      </c>
      <c r="K52" s="346">
        <v>0</v>
      </c>
      <c r="L52" s="347" t="s">
        <v>66</v>
      </c>
      <c r="M52" s="339">
        <f>INT(M50*0.89*100)/100</f>
        <v>24.03</v>
      </c>
      <c r="N52" s="348"/>
      <c r="Q52" s="18">
        <v>120</v>
      </c>
    </row>
    <row r="53" spans="1:17" ht="16.5">
      <c r="H53" s="340"/>
      <c r="I53" s="506" t="s">
        <v>120</v>
      </c>
      <c r="J53" s="506"/>
      <c r="K53" s="506"/>
      <c r="L53" s="506"/>
      <c r="M53" s="463">
        <v>87</v>
      </c>
      <c r="N53" s="340"/>
      <c r="Q53" s="18">
        <v>146</v>
      </c>
    </row>
    <row r="54" spans="1:17" ht="18.75" customHeight="1">
      <c r="A54" s="25" t="s">
        <v>40</v>
      </c>
      <c r="B54" s="17">
        <f>INT(C50/C52*1000)/1000</f>
        <v>0</v>
      </c>
      <c r="H54" s="327" t="s">
        <v>236</v>
      </c>
      <c r="I54" s="475" t="s">
        <v>237</v>
      </c>
      <c r="Q54" s="18">
        <v>172</v>
      </c>
    </row>
    <row r="55" spans="1:17">
      <c r="A55" s="25"/>
      <c r="Q55" s="18">
        <v>198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527" t="s">
        <v>76</v>
      </c>
      <c r="E57" s="527"/>
      <c r="F57" s="527" t="s">
        <v>53</v>
      </c>
      <c r="G57" s="529"/>
      <c r="H57" s="48" t="s">
        <v>176</v>
      </c>
      <c r="I57" s="232">
        <f>M50</f>
        <v>27</v>
      </c>
      <c r="J57" s="43" t="s">
        <v>67</v>
      </c>
      <c r="K57" s="48" t="s">
        <v>68</v>
      </c>
      <c r="L57" s="515" t="s">
        <v>73</v>
      </c>
      <c r="M57" s="515"/>
      <c r="Q57" s="18">
        <v>14.9</v>
      </c>
    </row>
    <row r="58" spans="1:17">
      <c r="A58" s="38" t="s">
        <v>47</v>
      </c>
      <c r="B58" s="39">
        <v>40.21</v>
      </c>
      <c r="C58" s="38"/>
      <c r="D58" s="527">
        <v>0.22439999999999999</v>
      </c>
      <c r="E58" s="527"/>
      <c r="F58" s="527"/>
      <c r="G58" s="529"/>
      <c r="H58" s="48" t="s">
        <v>177</v>
      </c>
      <c r="I58" s="233">
        <f>C62/M46</f>
        <v>1.1952631578947368</v>
      </c>
      <c r="J58" s="49" t="s">
        <v>69</v>
      </c>
      <c r="K58" s="50">
        <f>INT((6*I57*I58*I60/I59)^0.5)</f>
        <v>25</v>
      </c>
      <c r="L58" s="48" t="s">
        <v>74</v>
      </c>
      <c r="M58" s="48" t="s">
        <v>75</v>
      </c>
      <c r="Q58" s="18">
        <v>18.670000000000002</v>
      </c>
    </row>
    <row r="59" spans="1:17">
      <c r="A59" s="38" t="s">
        <v>48</v>
      </c>
      <c r="B59" s="39">
        <v>59.61</v>
      </c>
      <c r="C59" s="526">
        <f>B59</f>
        <v>59.61</v>
      </c>
      <c r="D59" s="530">
        <v>0.15190000000000001</v>
      </c>
      <c r="E59" s="531"/>
      <c r="F59" s="522">
        <f>INT((D59+D60)/1*10000000)/10000000</f>
        <v>0.15190000000000001</v>
      </c>
      <c r="G59" s="523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30</v>
      </c>
      <c r="L59" s="50"/>
      <c r="M59" s="50"/>
      <c r="Q59" s="18">
        <v>22.91</v>
      </c>
    </row>
    <row r="60" spans="1:17">
      <c r="A60" s="38" t="s">
        <v>49</v>
      </c>
      <c r="B60" s="39"/>
      <c r="C60" s="526"/>
      <c r="D60" s="530"/>
      <c r="E60" s="531"/>
      <c r="F60" s="524"/>
      <c r="G60" s="525"/>
      <c r="H60" s="254">
        <f>LongTest!AE33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27.630000000000003</v>
      </c>
    </row>
    <row r="61" spans="1:17">
      <c r="A61" s="38" t="s">
        <v>50</v>
      </c>
      <c r="B61" s="39">
        <v>31.23</v>
      </c>
      <c r="C61" s="38">
        <f>B61</f>
        <v>31.23</v>
      </c>
      <c r="D61" s="527"/>
      <c r="E61" s="527"/>
      <c r="F61" s="527"/>
      <c r="G61" s="529"/>
      <c r="H61" s="48" t="s">
        <v>16</v>
      </c>
      <c r="I61" s="43">
        <f>C62</f>
        <v>45.42</v>
      </c>
      <c r="J61" s="49" t="s">
        <v>72</v>
      </c>
      <c r="K61" s="50">
        <f>((K58+K59+K60)/3)</f>
        <v>24.446970837196091</v>
      </c>
      <c r="L61" s="52"/>
      <c r="M61" s="44"/>
      <c r="Q61" s="18">
        <v>34.83</v>
      </c>
    </row>
    <row r="62" spans="1:17">
      <c r="A62" s="40" t="s">
        <v>51</v>
      </c>
      <c r="B62" s="40"/>
      <c r="C62" s="229">
        <f>INT((C58+C59+C61)*1000/2)/1000</f>
        <v>45.42</v>
      </c>
      <c r="D62" s="528"/>
      <c r="E62" s="528"/>
      <c r="F62" s="521">
        <f>F59</f>
        <v>0.15190000000000001</v>
      </c>
      <c r="G62" s="521"/>
      <c r="H62" s="49" t="s">
        <v>77</v>
      </c>
      <c r="I62" s="44">
        <v>70.33</v>
      </c>
      <c r="J62" s="49" t="s">
        <v>178</v>
      </c>
      <c r="K62" s="234">
        <f>MAX(K58:K60)</f>
        <v>30</v>
      </c>
      <c r="L62" s="52"/>
      <c r="M62" s="45"/>
    </row>
    <row r="63" spans="1:17">
      <c r="Q63" s="18">
        <v>11.3</v>
      </c>
    </row>
    <row r="64" spans="1:17">
      <c r="Q64" s="18">
        <v>15.07</v>
      </c>
    </row>
    <row r="65" spans="17:17">
      <c r="Q65" s="18">
        <v>19.309999999999999</v>
      </c>
    </row>
    <row r="66" spans="17:17">
      <c r="Q66" s="18">
        <v>24.03</v>
      </c>
    </row>
    <row r="67" spans="17:17">
      <c r="Q67" s="18">
        <v>31.23</v>
      </c>
    </row>
    <row r="69" spans="17:17">
      <c r="Q69" s="320">
        <v>8.3333333333333339</v>
      </c>
    </row>
    <row r="70" spans="17:17">
      <c r="Q70" s="320">
        <v>8</v>
      </c>
    </row>
    <row r="71" spans="17:17">
      <c r="Q71" s="320">
        <v>7.5757575757575752</v>
      </c>
    </row>
    <row r="72" spans="17:17">
      <c r="Q72" s="320">
        <v>7.1942446043165464</v>
      </c>
    </row>
    <row r="73" spans="17:17">
      <c r="Q73" s="320">
        <v>6.369426751592357</v>
      </c>
    </row>
    <row r="75" spans="17:17">
      <c r="Q75" s="18">
        <v>0.12</v>
      </c>
    </row>
    <row r="76" spans="17:17">
      <c r="Q76" s="18">
        <v>0.125</v>
      </c>
    </row>
    <row r="77" spans="17:17">
      <c r="Q77" s="18">
        <v>0.13200000000000001</v>
      </c>
    </row>
    <row r="78" spans="17:17">
      <c r="Q78" s="18">
        <v>0.13900000000000001</v>
      </c>
    </row>
    <row r="79" spans="17:17">
      <c r="Q79" s="18">
        <v>0.157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7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H18"/>
  <sheetViews>
    <sheetView workbookViewId="0"/>
  </sheetViews>
  <sheetFormatPr defaultRowHeight="18" customHeight="1"/>
  <cols>
    <col min="1" max="2" width="11.88671875" style="355" customWidth="1"/>
    <col min="3" max="3" width="13.109375" style="355" customWidth="1"/>
    <col min="4" max="4" width="14.6640625" style="355" customWidth="1"/>
    <col min="5" max="5" width="10.5546875" style="355" customWidth="1"/>
    <col min="6" max="7" width="8.88671875" style="355"/>
    <col min="8" max="8" width="11.44140625" style="355" customWidth="1"/>
    <col min="9" max="16384" width="8.88671875" style="355"/>
  </cols>
  <sheetData>
    <row r="3" spans="3:8" ht="18" customHeight="1">
      <c r="C3" s="356" t="s">
        <v>57</v>
      </c>
      <c r="D3" s="356" t="s">
        <v>236</v>
      </c>
      <c r="E3" s="356" t="s">
        <v>243</v>
      </c>
      <c r="F3" s="356" t="s">
        <v>59</v>
      </c>
      <c r="G3" s="355" t="s">
        <v>271</v>
      </c>
      <c r="H3" s="381" t="s">
        <v>287</v>
      </c>
    </row>
    <row r="4" spans="3:8" ht="18" customHeight="1">
      <c r="C4" s="355">
        <v>1</v>
      </c>
      <c r="D4" s="357" t="s">
        <v>238</v>
      </c>
      <c r="E4" s="355" t="s">
        <v>237</v>
      </c>
      <c r="F4" s="355">
        <v>150</v>
      </c>
      <c r="G4" s="355">
        <v>5.0000000000000001E-4</v>
      </c>
      <c r="H4" s="355" t="s">
        <v>291</v>
      </c>
    </row>
    <row r="5" spans="3:8" ht="18" customHeight="1">
      <c r="C5" s="355">
        <v>2</v>
      </c>
      <c r="D5" s="355" t="s">
        <v>239</v>
      </c>
      <c r="E5" s="355" t="s">
        <v>244</v>
      </c>
      <c r="F5" s="355">
        <v>200</v>
      </c>
      <c r="G5" s="355">
        <v>0.1</v>
      </c>
      <c r="H5" s="486" t="s">
        <v>289</v>
      </c>
    </row>
    <row r="6" spans="3:8" ht="18" customHeight="1">
      <c r="C6" s="355">
        <v>3</v>
      </c>
      <c r="D6" s="355" t="s">
        <v>240</v>
      </c>
      <c r="E6" s="355" t="s">
        <v>245</v>
      </c>
      <c r="F6" s="355">
        <v>250</v>
      </c>
      <c r="H6" s="486" t="s">
        <v>290</v>
      </c>
    </row>
    <row r="7" spans="3:8" ht="18" customHeight="1">
      <c r="C7" s="355">
        <v>5</v>
      </c>
      <c r="D7" s="355" t="s">
        <v>241</v>
      </c>
      <c r="E7" s="355" t="s">
        <v>246</v>
      </c>
      <c r="H7" s="486" t="s">
        <v>288</v>
      </c>
    </row>
    <row r="8" spans="3:8" ht="18" customHeight="1">
      <c r="C8" s="355">
        <v>7.5</v>
      </c>
      <c r="D8" s="355" t="s">
        <v>242</v>
      </c>
      <c r="E8" s="355" t="s">
        <v>247</v>
      </c>
      <c r="H8" s="357"/>
    </row>
    <row r="9" spans="3:8" ht="18" customHeight="1">
      <c r="C9" s="355">
        <v>10</v>
      </c>
      <c r="D9" s="357" t="s">
        <v>250</v>
      </c>
      <c r="E9" s="355" t="s">
        <v>251</v>
      </c>
      <c r="H9" s="357"/>
    </row>
    <row r="10" spans="3:8" ht="18" customHeight="1">
      <c r="C10" s="355">
        <v>15</v>
      </c>
      <c r="D10" s="357" t="s">
        <v>274</v>
      </c>
      <c r="E10" s="355" t="s">
        <v>272</v>
      </c>
      <c r="H10" s="357"/>
    </row>
    <row r="11" spans="3:8" ht="18" customHeight="1">
      <c r="C11" s="355">
        <v>20</v>
      </c>
      <c r="D11" s="355" t="s">
        <v>275</v>
      </c>
      <c r="E11" s="355" t="s">
        <v>273</v>
      </c>
      <c r="H11" s="357"/>
    </row>
    <row r="12" spans="3:8" ht="18" customHeight="1">
      <c r="C12" s="355">
        <v>25</v>
      </c>
      <c r="D12" s="357" t="s">
        <v>276</v>
      </c>
      <c r="E12" s="355" t="s">
        <v>279</v>
      </c>
      <c r="H12" s="357"/>
    </row>
    <row r="13" spans="3:8" ht="18" customHeight="1">
      <c r="C13" s="355">
        <v>30</v>
      </c>
      <c r="D13" s="357" t="s">
        <v>277</v>
      </c>
      <c r="E13" s="355" t="s">
        <v>280</v>
      </c>
      <c r="H13" s="357"/>
    </row>
    <row r="14" spans="3:8" ht="18" customHeight="1">
      <c r="D14" s="357" t="s">
        <v>278</v>
      </c>
      <c r="E14" s="355" t="s">
        <v>281</v>
      </c>
      <c r="H14" s="357"/>
    </row>
    <row r="15" spans="3:8" ht="18" customHeight="1">
      <c r="D15" s="357" t="s">
        <v>292</v>
      </c>
      <c r="E15" s="355" t="s">
        <v>296</v>
      </c>
    </row>
    <row r="16" spans="3:8" ht="18" customHeight="1">
      <c r="D16" s="357" t="s">
        <v>293</v>
      </c>
      <c r="E16" s="355" t="s">
        <v>297</v>
      </c>
    </row>
    <row r="17" spans="4:5" ht="18" customHeight="1">
      <c r="D17" s="357" t="s">
        <v>294</v>
      </c>
      <c r="E17" s="355" t="s">
        <v>298</v>
      </c>
    </row>
    <row r="18" spans="4:5" ht="18" customHeight="1">
      <c r="D18" s="357" t="s">
        <v>295</v>
      </c>
      <c r="E18" s="355" t="s">
        <v>299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rgb="FFC00000"/>
  </sheetPr>
  <dimension ref="A1:O113"/>
  <sheetViews>
    <sheetView zoomScaleNormal="100" workbookViewId="0">
      <selection activeCell="H14" sqref="H14"/>
    </sheetView>
  </sheetViews>
  <sheetFormatPr defaultRowHeight="13.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79"/>
      <c r="B1" s="279" t="str">
        <f>Input!I45</f>
        <v xml:space="preserve"> 고등리 382</v>
      </c>
      <c r="C1" s="279"/>
      <c r="D1" s="279"/>
      <c r="E1" s="279"/>
      <c r="F1" s="279"/>
      <c r="G1" s="279"/>
      <c r="H1" s="420"/>
      <c r="I1" s="279"/>
      <c r="J1" s="279"/>
      <c r="K1" s="279"/>
      <c r="L1" s="279"/>
      <c r="M1" s="279"/>
      <c r="N1" s="279"/>
      <c r="O1" s="279"/>
    </row>
    <row r="2" spans="1:15" ht="22.7" customHeight="1" thickBot="1">
      <c r="A2" s="279"/>
      <c r="B2" s="280" t="str">
        <f>Input!J48</f>
        <v>공  번 : W - 1</v>
      </c>
      <c r="C2" s="281" t="str">
        <f>Input!I46</f>
        <v xml:space="preserve"> 세종특별자치시 소정면 고등리 382</v>
      </c>
      <c r="D2" s="279"/>
      <c r="E2" s="279"/>
      <c r="F2" s="279"/>
      <c r="G2" s="279"/>
      <c r="H2" s="420"/>
      <c r="I2" s="279"/>
      <c r="J2" s="279"/>
      <c r="K2" s="328"/>
      <c r="L2" s="331"/>
      <c r="M2" s="332"/>
      <c r="N2" s="329"/>
      <c r="O2" s="279"/>
    </row>
    <row r="3" spans="1:15" ht="22.7" customHeight="1">
      <c r="A3" s="279"/>
      <c r="B3" s="440" t="s">
        <v>198</v>
      </c>
      <c r="C3" s="441" t="s">
        <v>199</v>
      </c>
      <c r="D3" s="441" t="s">
        <v>16</v>
      </c>
      <c r="E3" s="441" t="s">
        <v>224</v>
      </c>
      <c r="F3" s="441" t="s">
        <v>19</v>
      </c>
      <c r="G3" s="441" t="s">
        <v>196</v>
      </c>
      <c r="H3" s="442" t="s">
        <v>36</v>
      </c>
      <c r="I3" s="438" t="s">
        <v>225</v>
      </c>
      <c r="J3" s="279"/>
      <c r="K3" s="328"/>
      <c r="L3" s="331"/>
      <c r="M3" s="331"/>
      <c r="N3" s="328"/>
      <c r="O3" s="279"/>
    </row>
    <row r="4" spans="1:15" ht="22.7" customHeight="1" thickBot="1">
      <c r="A4" s="279"/>
      <c r="B4" s="448">
        <f>LongTest!G10</f>
        <v>2.4310769115568367</v>
      </c>
      <c r="C4" s="476">
        <f>LongTest!B10</f>
        <v>150</v>
      </c>
      <c r="D4" s="494">
        <f>StepTest!T4</f>
        <v>3.4731863622877492</v>
      </c>
      <c r="E4" s="449">
        <f>Input!M44/2000</f>
        <v>0.125</v>
      </c>
      <c r="F4" s="447">
        <v>5.0000000000000001E-4</v>
      </c>
      <c r="G4" s="447">
        <f>PI()</f>
        <v>3.1415926535897931</v>
      </c>
      <c r="H4" s="443">
        <f>Input!$A$46</f>
        <v>9.6171300000000001E-2</v>
      </c>
      <c r="I4" s="492">
        <f>Input!M48</f>
        <v>3.6</v>
      </c>
      <c r="J4" s="279"/>
      <c r="K4" s="328"/>
      <c r="L4" s="331"/>
      <c r="M4" s="331"/>
      <c r="N4" s="328"/>
      <c r="O4" s="279"/>
    </row>
    <row r="5" spans="1:15" ht="22.7" customHeight="1" thickBot="1">
      <c r="A5" s="279"/>
      <c r="B5" s="434"/>
      <c r="C5" s="435"/>
      <c r="D5" s="470">
        <v>3.8</v>
      </c>
      <c r="E5" s="436" t="s">
        <v>266</v>
      </c>
      <c r="F5" s="437"/>
      <c r="G5" s="437"/>
      <c r="H5" s="421"/>
      <c r="I5" s="439" t="s">
        <v>64</v>
      </c>
      <c r="J5" s="279"/>
      <c r="K5" s="328"/>
      <c r="L5" s="331"/>
      <c r="M5" s="331"/>
      <c r="N5" s="328"/>
      <c r="O5" s="279"/>
    </row>
    <row r="6" spans="1:15" ht="22.7" customHeight="1" thickBot="1">
      <c r="A6" s="279"/>
      <c r="B6" s="460" t="s">
        <v>200</v>
      </c>
      <c r="C6" s="461">
        <f>(2*G4*B4*D5)/(C4)</f>
        <v>0.38696430386004188</v>
      </c>
      <c r="D6" s="469"/>
      <c r="E6" s="461">
        <f>1.15*LOG((2.25*D5*(1/1440))/(F4*E4^2))</f>
        <v>3.3129356311229099</v>
      </c>
      <c r="F6" s="462" t="s">
        <v>197</v>
      </c>
      <c r="G6" s="464">
        <f>C6-E6</f>
        <v>-2.925971327262868</v>
      </c>
      <c r="H6" s="421"/>
      <c r="I6" s="492">
        <f>Input!M49</f>
        <v>30.6</v>
      </c>
      <c r="J6" s="279"/>
      <c r="K6" s="328"/>
      <c r="L6" s="331"/>
      <c r="M6" s="333"/>
      <c r="N6" s="328"/>
      <c r="O6" s="279"/>
    </row>
    <row r="7" spans="1:15" ht="22.7" customHeight="1">
      <c r="A7" s="279"/>
      <c r="B7" s="426" t="s">
        <v>264</v>
      </c>
      <c r="C7" s="431">
        <f>2.25*D4*(120/1440)</f>
        <v>0.65122244292895293</v>
      </c>
      <c r="D7" s="282"/>
      <c r="E7" s="433" t="s">
        <v>265</v>
      </c>
      <c r="F7" s="427">
        <f>F4*10^(5.46*D4*H4)</f>
        <v>3.3321445439268856E-2</v>
      </c>
      <c r="G7" s="428" t="s">
        <v>268</v>
      </c>
      <c r="H7" s="421">
        <f>F4*EXP(4*G4*D4*H4)</f>
        <v>3.3257575753085022E-2</v>
      </c>
      <c r="I7" s="439" t="s">
        <v>221</v>
      </c>
      <c r="J7" s="279"/>
      <c r="K7" s="328"/>
      <c r="L7" s="331"/>
      <c r="M7" s="333"/>
      <c r="N7" s="328"/>
      <c r="O7" s="279"/>
    </row>
    <row r="8" spans="1:15" ht="22.7" customHeight="1" thickBot="1">
      <c r="A8" s="279"/>
      <c r="B8" s="430" t="s">
        <v>270</v>
      </c>
      <c r="C8" s="488">
        <f>ROUND(E4*EXP(-1*G6),3)</f>
        <v>2.3319999999999999</v>
      </c>
      <c r="D8" s="483" t="s">
        <v>286</v>
      </c>
      <c r="E8" s="489">
        <f>ROUND(SQRT(C7/F7),3)</f>
        <v>4.4210000000000003</v>
      </c>
      <c r="F8" s="432" t="s">
        <v>267</v>
      </c>
      <c r="G8" s="484" t="s">
        <v>269</v>
      </c>
      <c r="H8" s="490">
        <f>ROUND(SQRT(C7/H7),3)</f>
        <v>4.4249999999999998</v>
      </c>
      <c r="I8" s="493">
        <f>Input!M45</f>
        <v>50</v>
      </c>
      <c r="J8" s="279"/>
      <c r="K8" s="328"/>
      <c r="L8" s="331"/>
      <c r="M8" s="331"/>
      <c r="N8" s="330"/>
      <c r="O8" s="279"/>
    </row>
    <row r="9" spans="1:15" ht="22.7" customHeight="1">
      <c r="A9" s="279"/>
      <c r="B9" s="279"/>
      <c r="C9" s="279"/>
      <c r="D9" s="279"/>
      <c r="E9" s="279"/>
      <c r="F9" s="279"/>
      <c r="G9" s="279"/>
      <c r="H9" s="42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>
      <c r="A10" s="279"/>
      <c r="B10" s="279" t="s">
        <v>231</v>
      </c>
      <c r="C10" s="323">
        <f>LongTest!F101</f>
        <v>5.5331820449317632</v>
      </c>
      <c r="D10" s="485" t="s">
        <v>282</v>
      </c>
      <c r="E10" s="471">
        <v>0.11020000000000001</v>
      </c>
      <c r="F10" s="485" t="s">
        <v>283</v>
      </c>
      <c r="G10" s="489">
        <f>ROUND(E4*SQRT(E10/F4),4)</f>
        <v>1.8556999999999999</v>
      </c>
      <c r="H10" s="487" t="s">
        <v>288</v>
      </c>
      <c r="I10" s="493">
        <f>Input!I52</f>
        <v>12</v>
      </c>
      <c r="J10" s="279"/>
      <c r="L10" s="279"/>
      <c r="M10" s="279"/>
      <c r="N10" s="279"/>
      <c r="O10" s="279"/>
    </row>
    <row r="11" spans="1:15" ht="22.7" customHeight="1">
      <c r="A11" s="279"/>
      <c r="B11" s="279" t="s">
        <v>232</v>
      </c>
      <c r="C11" s="323">
        <f>I6-C10</f>
        <v>25.066817955068238</v>
      </c>
      <c r="D11" s="279"/>
      <c r="E11" s="279"/>
      <c r="F11" s="279"/>
      <c r="G11" s="279"/>
      <c r="H11" s="420"/>
      <c r="I11" s="279"/>
      <c r="J11" s="279"/>
      <c r="K11" s="279"/>
      <c r="L11" s="279"/>
      <c r="M11" s="279"/>
      <c r="N11" s="279"/>
      <c r="O11" s="279"/>
    </row>
    <row r="12" spans="1:15" ht="15" customHeight="1" thickBot="1">
      <c r="A12" s="279"/>
      <c r="B12" s="279"/>
      <c r="C12" s="279"/>
      <c r="D12" s="279"/>
      <c r="E12" s="279"/>
      <c r="F12" s="279"/>
      <c r="G12" s="279"/>
      <c r="H12" s="420"/>
      <c r="I12" s="279"/>
      <c r="J12" s="279"/>
      <c r="K12" s="279"/>
      <c r="L12" s="279"/>
      <c r="M12" s="279"/>
      <c r="N12" s="279"/>
      <c r="O12" s="279"/>
    </row>
    <row r="13" spans="1:15" ht="22.7" customHeight="1" thickBot="1">
      <c r="A13" s="279"/>
      <c r="B13" s="294" t="s">
        <v>202</v>
      </c>
      <c r="C13" s="446">
        <f>ROUND(SQRT(6*B16*E16*H16/I16),1)</f>
        <v>139.69999999999999</v>
      </c>
      <c r="D13" s="444"/>
      <c r="E13" s="289" t="s">
        <v>203</v>
      </c>
      <c r="F13" s="424">
        <f>D5</f>
        <v>3.8</v>
      </c>
      <c r="G13" s="289" t="s">
        <v>204</v>
      </c>
      <c r="H13" s="468">
        <v>3.5219999999999998</v>
      </c>
      <c r="I13" s="482">
        <v>20.04</v>
      </c>
      <c r="J13" s="279"/>
      <c r="K13" s="279"/>
      <c r="L13" s="279"/>
      <c r="M13" s="279"/>
      <c r="N13" s="279"/>
      <c r="O13" s="279"/>
    </row>
    <row r="14" spans="1:15" ht="22.7" customHeight="1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5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>
      <c r="A16" s="279"/>
      <c r="B16" s="481">
        <f>I6-I4</f>
        <v>27</v>
      </c>
      <c r="C16" s="466">
        <f>I8-IF(I4&gt;I10,I4,I10)</f>
        <v>38</v>
      </c>
      <c r="D16" s="465">
        <f>(F13+H13)/2</f>
        <v>3.6609999999999996</v>
      </c>
      <c r="E16" s="292">
        <f>INT(D16/C16*100000)/100000</f>
        <v>9.6339999999999995E-2</v>
      </c>
      <c r="F16" s="293">
        <v>1440</v>
      </c>
      <c r="G16" s="419">
        <v>900</v>
      </c>
      <c r="H16" s="458">
        <f>INT(G16/F16*10000)/10000</f>
        <v>0.625</v>
      </c>
      <c r="I16" s="467">
        <v>4.9980000000000001E-4</v>
      </c>
      <c r="J16" s="279"/>
      <c r="K16" s="279"/>
      <c r="L16" s="279"/>
      <c r="M16" s="279"/>
      <c r="N16" s="279"/>
      <c r="O16" s="279"/>
    </row>
    <row r="17" spans="1:15" ht="13.5" customHeight="1" thickBot="1">
      <c r="A17" s="279"/>
      <c r="B17" s="279"/>
      <c r="C17" s="279"/>
      <c r="D17" s="279"/>
      <c r="E17" s="429"/>
      <c r="F17" s="279"/>
      <c r="G17" s="279"/>
      <c r="H17" s="420"/>
      <c r="I17" s="279"/>
      <c r="J17" s="279"/>
      <c r="K17" s="279"/>
      <c r="L17" s="279"/>
      <c r="M17" s="279"/>
      <c r="N17" s="279"/>
      <c r="O17" s="279"/>
    </row>
    <row r="18" spans="1:15" ht="22.7" customHeight="1">
      <c r="A18" s="279"/>
      <c r="B18" s="294" t="s">
        <v>209</v>
      </c>
      <c r="C18" s="446">
        <f>ROUND(3*SQRT(B21*E21*H21/I21),1)</f>
        <v>171.1</v>
      </c>
      <c r="D18" s="295"/>
      <c r="E18" s="295"/>
      <c r="F18" s="295"/>
      <c r="G18" s="295"/>
      <c r="H18" s="422"/>
      <c r="I18" s="296"/>
      <c r="J18" s="279"/>
      <c r="K18" s="279"/>
      <c r="L18" s="279"/>
      <c r="M18" s="279"/>
      <c r="N18" s="279"/>
      <c r="O18" s="279"/>
    </row>
    <row r="19" spans="1:15" ht="22.7" customHeight="1">
      <c r="A19" s="279"/>
      <c r="B19" s="297"/>
      <c r="C19" s="445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>
      <c r="A21" s="279"/>
      <c r="B21" s="303">
        <f t="shared" ref="B21:I21" si="0">B16</f>
        <v>27</v>
      </c>
      <c r="C21" s="319">
        <f t="shared" si="0"/>
        <v>38</v>
      </c>
      <c r="D21" s="304">
        <f t="shared" si="0"/>
        <v>3.6609999999999996</v>
      </c>
      <c r="E21" s="465">
        <f t="shared" si="0"/>
        <v>9.6339999999999995E-2</v>
      </c>
      <c r="F21" s="304">
        <f t="shared" si="0"/>
        <v>1440</v>
      </c>
      <c r="G21" s="304">
        <f>G16</f>
        <v>900</v>
      </c>
      <c r="H21" s="319">
        <f t="shared" si="0"/>
        <v>0.625</v>
      </c>
      <c r="I21" s="305">
        <f t="shared" si="0"/>
        <v>4.9980000000000001E-4</v>
      </c>
      <c r="J21" s="279"/>
      <c r="K21" s="279"/>
      <c r="L21" s="279"/>
      <c r="M21" s="279"/>
      <c r="N21" s="279"/>
      <c r="O21" s="279"/>
    </row>
    <row r="22" spans="1:15" ht="15" customHeight="1" thickBot="1">
      <c r="A22" s="279"/>
      <c r="B22" s="279"/>
      <c r="C22" s="279"/>
      <c r="D22" s="279"/>
      <c r="E22" s="279"/>
      <c r="F22" s="279"/>
      <c r="G22" s="279"/>
      <c r="H22" s="420"/>
      <c r="I22" s="279"/>
      <c r="J22" s="279"/>
      <c r="K22" s="279"/>
      <c r="L22" s="279"/>
      <c r="M22" s="279"/>
      <c r="N22" s="279"/>
      <c r="O22" s="279"/>
    </row>
    <row r="23" spans="1:15" ht="22.7" customHeight="1">
      <c r="A23" s="279"/>
      <c r="B23" s="294" t="s">
        <v>211</v>
      </c>
      <c r="C23" s="446">
        <f>ROUND(SQRT((2.25*D26*H26)/I26),1)</f>
        <v>101.5</v>
      </c>
      <c r="D23" s="444"/>
      <c r="E23" s="288"/>
      <c r="F23" s="288"/>
      <c r="G23" s="288"/>
      <c r="H23" s="423"/>
      <c r="I23" s="306"/>
      <c r="J23" s="279"/>
      <c r="K23" s="279"/>
      <c r="L23" s="279"/>
      <c r="M23" s="279"/>
      <c r="N23" s="279"/>
      <c r="O23" s="279"/>
    </row>
    <row r="24" spans="1:15" ht="22.7" customHeight="1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>
      <c r="A26" s="279"/>
      <c r="B26" s="307">
        <f t="shared" ref="B26:I26" si="1">B21</f>
        <v>27</v>
      </c>
      <c r="C26" s="293">
        <f t="shared" si="1"/>
        <v>38</v>
      </c>
      <c r="D26" s="418">
        <f t="shared" si="1"/>
        <v>3.6609999999999996</v>
      </c>
      <c r="E26" s="292">
        <f t="shared" si="1"/>
        <v>9.6339999999999995E-2</v>
      </c>
      <c r="F26" s="293">
        <f t="shared" si="1"/>
        <v>1440</v>
      </c>
      <c r="G26" s="293">
        <f t="shared" si="1"/>
        <v>900</v>
      </c>
      <c r="H26" s="465">
        <f>INT(G16/F16*10000)/10000</f>
        <v>0.625</v>
      </c>
      <c r="I26" s="308">
        <f t="shared" si="1"/>
        <v>4.9980000000000001E-4</v>
      </c>
      <c r="J26" s="279"/>
      <c r="K26" s="279"/>
      <c r="L26" s="279"/>
      <c r="M26" s="279"/>
      <c r="N26" s="279"/>
      <c r="O26" s="279"/>
    </row>
    <row r="27" spans="1:15" ht="22.7" customHeight="1">
      <c r="A27" s="279"/>
      <c r="B27" s="309" t="s">
        <v>216</v>
      </c>
      <c r="C27" s="310">
        <f>D16</f>
        <v>3.6609999999999996</v>
      </c>
      <c r="D27" s="315">
        <f>(C27/C16)*(100/86400)</f>
        <v>1.115070662768031E-4</v>
      </c>
      <c r="E27" s="279" t="s">
        <v>217</v>
      </c>
      <c r="F27" s="279"/>
      <c r="G27" s="279"/>
      <c r="H27" s="42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>
      <c r="A28" s="279"/>
      <c r="B28" s="309" t="s">
        <v>218</v>
      </c>
      <c r="C28" s="279">
        <f>I21</f>
        <v>4.9980000000000001E-4</v>
      </c>
      <c r="D28" s="279">
        <f>C27/C16*100/86400</f>
        <v>1.1150706627680311E-4</v>
      </c>
      <c r="E28" s="279"/>
      <c r="F28" s="279"/>
      <c r="G28" s="279"/>
      <c r="H28" s="420"/>
      <c r="I28" s="279"/>
      <c r="J28" s="279"/>
      <c r="K28" s="279"/>
      <c r="L28" s="279"/>
      <c r="M28" s="279"/>
      <c r="N28" s="279"/>
      <c r="O28" s="279"/>
    </row>
    <row r="29" spans="1:15" ht="22.7" customHeight="1">
      <c r="A29" s="279"/>
      <c r="B29" s="309" t="s">
        <v>219</v>
      </c>
      <c r="C29" s="325">
        <f>(C13+C18+C23)/3</f>
        <v>137.43333333333331</v>
      </c>
      <c r="D29" s="279"/>
      <c r="E29" s="479">
        <f>(C13+C18)/2</f>
        <v>155.39999999999998</v>
      </c>
      <c r="F29" s="477">
        <f>MAX(C13,C18)</f>
        <v>171.1</v>
      </c>
      <c r="G29" s="478">
        <f>ROUND(C4/(G4*F29^2*I16),3)</f>
        <v>3.2629999999999999</v>
      </c>
      <c r="H29" s="420"/>
      <c r="I29" s="279"/>
      <c r="J29" s="279"/>
      <c r="K29" s="279"/>
      <c r="L29" s="279"/>
      <c r="M29" s="279"/>
      <c r="N29" s="279"/>
      <c r="O29" s="279"/>
    </row>
    <row r="30" spans="1:15" ht="22.7" customHeight="1">
      <c r="A30" s="279"/>
      <c r="F30" s="279"/>
      <c r="G30" s="279"/>
      <c r="H30" s="420"/>
      <c r="I30" s="279"/>
      <c r="J30" s="279"/>
      <c r="K30" s="279"/>
      <c r="L30" s="279"/>
      <c r="M30" s="279"/>
      <c r="N30" s="279"/>
      <c r="O30" s="279"/>
    </row>
    <row r="31" spans="1:15" ht="22.7" customHeight="1">
      <c r="A31" s="279"/>
      <c r="B31" s="279"/>
      <c r="C31" s="279"/>
      <c r="D31" s="279"/>
      <c r="E31" s="279"/>
      <c r="F31" s="279"/>
      <c r="G31" s="279"/>
      <c r="H31" s="420"/>
      <c r="I31" s="279"/>
      <c r="J31" s="279"/>
      <c r="K31" s="279"/>
      <c r="L31" s="279"/>
      <c r="M31" s="279"/>
      <c r="N31" s="279"/>
      <c r="O31" s="279"/>
    </row>
    <row r="32" spans="1:15" ht="22.7" customHeight="1">
      <c r="A32" s="279"/>
      <c r="D32" s="279"/>
      <c r="E32" s="279"/>
      <c r="F32" s="279"/>
      <c r="G32" s="279"/>
      <c r="H32" s="420"/>
      <c r="I32" s="279"/>
      <c r="J32" s="279"/>
      <c r="K32" s="279"/>
      <c r="L32" s="279"/>
      <c r="M32" s="279"/>
      <c r="N32" s="279"/>
      <c r="O32" s="279"/>
    </row>
    <row r="33" spans="1:15" ht="22.7" customHeight="1">
      <c r="A33" s="279"/>
      <c r="B33" s="279"/>
      <c r="C33" s="279"/>
      <c r="D33" s="279"/>
      <c r="E33" s="279"/>
      <c r="F33" s="279"/>
      <c r="G33" s="279"/>
      <c r="H33" s="420"/>
      <c r="I33" s="279"/>
      <c r="J33" s="279"/>
      <c r="K33" s="279"/>
      <c r="L33" s="279"/>
      <c r="M33" s="279"/>
      <c r="N33" s="279"/>
      <c r="O33" s="279"/>
    </row>
    <row r="34" spans="1:15" ht="22.7" customHeight="1">
      <c r="A34" s="279"/>
      <c r="B34" s="279"/>
      <c r="C34" s="279"/>
      <c r="D34" s="279"/>
      <c r="E34" s="279"/>
      <c r="F34" s="279"/>
      <c r="G34" s="279"/>
      <c r="H34" s="420"/>
      <c r="I34" s="279"/>
      <c r="J34" s="279"/>
      <c r="K34" s="279"/>
      <c r="L34" s="279"/>
      <c r="M34" s="279"/>
      <c r="N34" s="279"/>
      <c r="O34" s="279"/>
    </row>
    <row r="35" spans="1:15" ht="22.7" customHeight="1">
      <c r="A35" s="279"/>
      <c r="B35" s="279"/>
      <c r="C35" s="279"/>
      <c r="D35" s="279"/>
      <c r="E35" s="279"/>
      <c r="F35" s="279"/>
      <c r="G35" s="279"/>
      <c r="H35" s="420"/>
      <c r="I35" s="279"/>
      <c r="J35" s="279"/>
      <c r="K35" s="279"/>
      <c r="L35" s="279"/>
      <c r="M35" s="279"/>
      <c r="N35" s="279"/>
      <c r="O35" s="279"/>
    </row>
    <row r="36" spans="1:15" ht="22.7" customHeight="1">
      <c r="A36" s="279"/>
      <c r="B36" s="279"/>
      <c r="C36" s="279"/>
      <c r="D36" s="279"/>
      <c r="E36" s="279"/>
      <c r="F36" s="279"/>
      <c r="G36" s="279"/>
      <c r="H36" s="420"/>
      <c r="I36" s="279"/>
      <c r="J36" s="279"/>
      <c r="K36" s="279"/>
      <c r="L36" s="279"/>
      <c r="M36" s="279"/>
      <c r="N36" s="279"/>
      <c r="O36" s="279"/>
    </row>
    <row r="37" spans="1:15" ht="22.7" customHeight="1">
      <c r="A37" s="279"/>
      <c r="B37" s="279"/>
      <c r="C37" s="279"/>
      <c r="D37" s="279"/>
      <c r="E37" s="279"/>
      <c r="F37" s="279"/>
      <c r="G37" s="279"/>
      <c r="H37" s="420"/>
      <c r="I37" s="279"/>
      <c r="J37" s="279"/>
      <c r="K37" s="279"/>
      <c r="L37" s="279"/>
      <c r="M37" s="279"/>
      <c r="N37" s="279"/>
      <c r="O37" s="279"/>
    </row>
    <row r="38" spans="1:15" ht="22.7" customHeight="1">
      <c r="A38" s="279"/>
      <c r="B38" s="279"/>
      <c r="C38" s="279"/>
      <c r="D38" s="279"/>
      <c r="E38" s="279"/>
      <c r="F38" s="279"/>
      <c r="G38" s="279"/>
      <c r="H38" s="420"/>
      <c r="I38" s="279"/>
      <c r="J38" s="279"/>
      <c r="K38" s="279"/>
      <c r="L38" s="279"/>
      <c r="M38" s="279"/>
      <c r="N38" s="279"/>
      <c r="O38" s="279"/>
    </row>
    <row r="39" spans="1:15" ht="22.7" customHeight="1">
      <c r="A39" s="279"/>
      <c r="B39" s="279"/>
      <c r="C39" s="279"/>
      <c r="D39" s="279"/>
      <c r="E39" s="279"/>
      <c r="F39" s="279"/>
      <c r="G39" s="279"/>
      <c r="H39" s="420"/>
      <c r="I39" s="279"/>
      <c r="J39" s="279"/>
      <c r="K39" s="279"/>
      <c r="L39" s="279"/>
      <c r="M39" s="279"/>
      <c r="N39" s="279"/>
      <c r="O39" s="279"/>
    </row>
    <row r="40" spans="1:15" ht="16.5">
      <c r="A40" s="279"/>
      <c r="B40" s="279"/>
      <c r="C40" s="279"/>
      <c r="D40" s="279"/>
      <c r="E40" s="279"/>
      <c r="F40" s="279"/>
      <c r="G40" s="279"/>
      <c r="H40" s="420"/>
      <c r="I40" s="279"/>
      <c r="J40" s="279"/>
      <c r="K40" s="279"/>
      <c r="L40" s="279"/>
      <c r="M40" s="279"/>
      <c r="N40" s="279"/>
      <c r="O40" s="279"/>
    </row>
    <row r="41" spans="1:15" ht="16.5">
      <c r="A41" s="279"/>
      <c r="B41" s="279"/>
      <c r="C41" s="279"/>
      <c r="D41" s="279"/>
      <c r="E41" s="279"/>
      <c r="F41" s="279"/>
      <c r="G41" s="279"/>
      <c r="H41" s="420"/>
      <c r="I41" s="279"/>
      <c r="J41" s="279"/>
      <c r="K41" s="279"/>
      <c r="L41" s="279"/>
      <c r="M41" s="279"/>
      <c r="N41" s="279"/>
      <c r="O41" s="279"/>
    </row>
    <row r="42" spans="1:15" ht="16.5">
      <c r="A42" s="279"/>
      <c r="B42" s="279"/>
      <c r="C42" s="279"/>
      <c r="D42" s="279"/>
      <c r="E42" s="279"/>
      <c r="F42" s="279"/>
      <c r="G42" s="279"/>
      <c r="H42" s="420"/>
      <c r="I42" s="279"/>
      <c r="J42" s="279"/>
      <c r="K42" s="279"/>
      <c r="L42" s="279"/>
      <c r="M42" s="279"/>
      <c r="N42" s="279"/>
      <c r="O42" s="279"/>
    </row>
    <row r="43" spans="1:15" ht="16.5">
      <c r="A43" s="279"/>
      <c r="B43" s="279"/>
      <c r="C43" s="279"/>
      <c r="D43" s="279"/>
      <c r="E43" s="279"/>
      <c r="F43" s="279"/>
      <c r="G43" s="279"/>
      <c r="H43" s="420"/>
      <c r="I43" s="279"/>
      <c r="J43" s="279"/>
      <c r="K43" s="279"/>
      <c r="L43" s="279"/>
      <c r="M43" s="279"/>
      <c r="N43" s="279"/>
      <c r="O43" s="279"/>
    </row>
    <row r="44" spans="1:15" ht="16.5">
      <c r="A44" s="279"/>
      <c r="B44" s="279"/>
      <c r="C44" s="279"/>
      <c r="D44" s="279"/>
      <c r="E44" s="279"/>
      <c r="F44" s="279"/>
      <c r="G44" s="279"/>
      <c r="H44" s="420"/>
      <c r="I44" s="279"/>
      <c r="J44" s="279"/>
      <c r="K44" s="279"/>
      <c r="L44" s="279"/>
      <c r="M44" s="279"/>
      <c r="N44" s="279"/>
      <c r="O44" s="279"/>
    </row>
    <row r="45" spans="1:15" ht="16.5">
      <c r="A45" s="279"/>
      <c r="B45" s="279"/>
      <c r="C45" s="279"/>
      <c r="D45" s="279"/>
      <c r="E45" s="279"/>
      <c r="F45" s="279"/>
      <c r="G45" s="279"/>
      <c r="H45" s="420"/>
      <c r="I45" s="279"/>
      <c r="J45" s="279"/>
      <c r="K45" s="279"/>
      <c r="L45" s="279"/>
      <c r="M45" s="279"/>
      <c r="N45" s="279"/>
      <c r="O45" s="279"/>
    </row>
    <row r="46" spans="1:15" ht="16.5">
      <c r="A46" s="279"/>
      <c r="B46" s="279"/>
      <c r="C46" s="279"/>
      <c r="D46" s="279"/>
      <c r="E46" s="279"/>
      <c r="F46" s="279"/>
      <c r="G46" s="279"/>
      <c r="H46" s="420"/>
      <c r="I46" s="279"/>
      <c r="J46" s="279"/>
      <c r="K46" s="279"/>
      <c r="L46" s="279"/>
      <c r="M46" s="279"/>
      <c r="N46" s="279"/>
      <c r="O46" s="279"/>
    </row>
    <row r="47" spans="1:15" ht="16.5">
      <c r="A47" s="279"/>
      <c r="B47" s="279"/>
      <c r="C47" s="279"/>
      <c r="D47" s="279"/>
      <c r="E47" s="279"/>
      <c r="F47" s="279"/>
      <c r="G47" s="279"/>
      <c r="H47" s="420"/>
      <c r="I47" s="279"/>
      <c r="J47" s="279"/>
      <c r="K47" s="279"/>
      <c r="L47" s="279"/>
      <c r="M47" s="279"/>
      <c r="N47" s="279"/>
      <c r="O47" s="279"/>
    </row>
    <row r="48" spans="1:15" ht="16.5">
      <c r="A48" s="279"/>
      <c r="B48" s="279"/>
      <c r="C48" s="279"/>
      <c r="D48" s="279"/>
      <c r="E48" s="279"/>
      <c r="F48" s="279"/>
      <c r="G48" s="279"/>
      <c r="H48" s="420"/>
      <c r="I48" s="279"/>
      <c r="J48" s="279"/>
      <c r="K48" s="279"/>
      <c r="L48" s="279"/>
      <c r="M48" s="279"/>
      <c r="N48" s="279"/>
      <c r="O48" s="279"/>
    </row>
    <row r="49" spans="1:15" ht="16.5">
      <c r="A49" s="279"/>
      <c r="B49" s="279"/>
      <c r="C49" s="279"/>
      <c r="D49" s="279"/>
      <c r="E49" s="279"/>
      <c r="F49" s="279"/>
      <c r="G49" s="279"/>
      <c r="H49" s="420"/>
      <c r="I49" s="279"/>
      <c r="J49" s="279"/>
      <c r="K49" s="279"/>
      <c r="L49" s="279"/>
      <c r="M49" s="279"/>
      <c r="N49" s="279"/>
      <c r="O49" s="279"/>
    </row>
    <row r="50" spans="1:15" ht="16.5">
      <c r="A50" s="279"/>
      <c r="B50" s="279"/>
      <c r="C50" s="279"/>
      <c r="D50" s="279"/>
      <c r="E50" s="279"/>
      <c r="F50" s="279"/>
      <c r="G50" s="279"/>
      <c r="H50" s="420"/>
      <c r="I50" s="279"/>
      <c r="J50" s="279"/>
      <c r="K50" s="279"/>
      <c r="L50" s="279"/>
      <c r="M50" s="279"/>
      <c r="N50" s="279"/>
      <c r="O50" s="279"/>
    </row>
    <row r="51" spans="1:15" ht="16.5">
      <c r="A51" s="279"/>
      <c r="B51" s="279"/>
      <c r="C51" s="279"/>
      <c r="D51" s="279"/>
      <c r="E51" s="279"/>
      <c r="F51" s="279"/>
      <c r="G51" s="279"/>
      <c r="H51" s="420"/>
      <c r="I51" s="279"/>
      <c r="J51" s="279"/>
      <c r="K51" s="279"/>
      <c r="L51" s="279"/>
      <c r="M51" s="279"/>
      <c r="N51" s="279"/>
      <c r="O51" s="279"/>
    </row>
    <row r="52" spans="1:15" ht="16.5">
      <c r="A52" s="279"/>
      <c r="B52" s="279"/>
      <c r="C52" s="279"/>
      <c r="D52" s="279"/>
      <c r="E52" s="279"/>
      <c r="F52" s="279"/>
      <c r="G52" s="279"/>
      <c r="H52" s="420"/>
      <c r="I52" s="279"/>
      <c r="J52" s="279"/>
      <c r="K52" s="279"/>
      <c r="L52" s="279"/>
      <c r="M52" s="279"/>
      <c r="N52" s="279"/>
      <c r="O52" s="279"/>
    </row>
    <row r="53" spans="1:15" ht="16.5">
      <c r="A53" s="279"/>
      <c r="B53" s="279"/>
      <c r="C53" s="279"/>
      <c r="D53" s="279"/>
      <c r="E53" s="279"/>
      <c r="F53" s="279"/>
      <c r="G53" s="279"/>
      <c r="H53" s="420"/>
      <c r="I53" s="279"/>
      <c r="J53" s="279"/>
      <c r="K53" s="279"/>
      <c r="L53" s="279"/>
      <c r="M53" s="279"/>
      <c r="N53" s="279"/>
      <c r="O53" s="279"/>
    </row>
    <row r="54" spans="1:15" ht="16.5">
      <c r="A54" s="279"/>
      <c r="B54" s="279"/>
      <c r="C54" s="279"/>
      <c r="D54" s="279"/>
      <c r="E54" s="279"/>
      <c r="F54" s="279"/>
      <c r="G54" s="279"/>
      <c r="H54" s="420"/>
      <c r="I54" s="279"/>
      <c r="J54" s="279"/>
      <c r="K54" s="279"/>
      <c r="L54" s="279"/>
      <c r="M54" s="279"/>
      <c r="N54" s="279"/>
      <c r="O54" s="279"/>
    </row>
    <row r="55" spans="1:15" ht="16.5">
      <c r="A55" s="279"/>
      <c r="B55" s="279"/>
      <c r="C55" s="279"/>
      <c r="D55" s="279"/>
      <c r="E55" s="279"/>
      <c r="F55" s="279"/>
      <c r="G55" s="279"/>
      <c r="H55" s="420"/>
      <c r="I55" s="279"/>
      <c r="J55" s="279"/>
      <c r="K55" s="279"/>
      <c r="L55" s="279"/>
      <c r="M55" s="279"/>
      <c r="N55" s="279"/>
      <c r="O55" s="279"/>
    </row>
    <row r="56" spans="1:15" ht="16.5">
      <c r="A56" s="279"/>
      <c r="B56" s="279"/>
      <c r="C56" s="279"/>
      <c r="D56" s="279"/>
      <c r="E56" s="279"/>
      <c r="F56" s="279"/>
      <c r="G56" s="279"/>
      <c r="H56" s="420"/>
      <c r="I56" s="279"/>
      <c r="J56" s="279"/>
      <c r="K56" s="279"/>
      <c r="L56" s="279"/>
      <c r="M56" s="279"/>
      <c r="N56" s="279"/>
      <c r="O56" s="279"/>
    </row>
    <row r="57" spans="1:15" ht="16.5">
      <c r="A57" s="279"/>
      <c r="B57" s="279"/>
      <c r="C57" s="279"/>
      <c r="D57" s="279"/>
      <c r="E57" s="279"/>
      <c r="F57" s="279"/>
      <c r="G57" s="279"/>
      <c r="H57" s="420"/>
      <c r="I57" s="279"/>
      <c r="J57" s="279"/>
      <c r="K57" s="279"/>
      <c r="L57" s="279"/>
      <c r="M57" s="279"/>
      <c r="N57" s="279"/>
      <c r="O57" s="279"/>
    </row>
    <row r="58" spans="1:15" ht="16.5">
      <c r="A58" s="279"/>
      <c r="B58" s="279"/>
      <c r="C58" s="279"/>
      <c r="D58" s="279"/>
      <c r="E58" s="279"/>
      <c r="F58" s="279"/>
      <c r="G58" s="279"/>
      <c r="H58" s="420"/>
      <c r="I58" s="279"/>
      <c r="J58" s="279"/>
      <c r="K58" s="279"/>
      <c r="L58" s="279"/>
      <c r="M58" s="279"/>
      <c r="N58" s="279"/>
      <c r="O58" s="279"/>
    </row>
    <row r="59" spans="1:15" ht="16.5">
      <c r="A59" s="279"/>
      <c r="B59" s="279"/>
      <c r="C59" s="279"/>
      <c r="D59" s="279"/>
      <c r="E59" s="279"/>
      <c r="F59" s="279"/>
      <c r="G59" s="279"/>
      <c r="H59" s="420"/>
      <c r="I59" s="279"/>
      <c r="J59" s="279"/>
      <c r="K59" s="279"/>
      <c r="L59" s="279"/>
      <c r="M59" s="279"/>
      <c r="N59" s="279"/>
      <c r="O59" s="279"/>
    </row>
    <row r="60" spans="1:15" ht="16.5">
      <c r="A60" s="279"/>
      <c r="B60" s="279"/>
      <c r="C60" s="279"/>
      <c r="D60" s="279"/>
      <c r="E60" s="279"/>
      <c r="F60" s="279"/>
      <c r="G60" s="279"/>
      <c r="H60" s="420"/>
      <c r="I60" s="279"/>
      <c r="J60" s="279"/>
      <c r="K60" s="279"/>
      <c r="L60" s="279"/>
      <c r="M60" s="279"/>
      <c r="N60" s="279"/>
      <c r="O60" s="279"/>
    </row>
    <row r="61" spans="1:15" ht="16.5">
      <c r="A61" s="279"/>
      <c r="B61" s="279"/>
      <c r="C61" s="279"/>
      <c r="D61" s="279"/>
      <c r="E61" s="279"/>
      <c r="F61" s="279"/>
      <c r="G61" s="279"/>
      <c r="H61" s="420"/>
      <c r="I61" s="279"/>
      <c r="J61" s="279"/>
      <c r="K61" s="279"/>
      <c r="L61" s="279"/>
      <c r="M61" s="279"/>
      <c r="N61" s="279"/>
      <c r="O61" s="279"/>
    </row>
    <row r="62" spans="1:15" ht="16.5">
      <c r="A62" s="279"/>
      <c r="B62" s="279"/>
      <c r="C62" s="279"/>
      <c r="D62" s="279"/>
      <c r="E62" s="279"/>
      <c r="F62" s="279"/>
      <c r="G62" s="279"/>
      <c r="H62" s="420"/>
      <c r="I62" s="279"/>
      <c r="J62" s="279"/>
      <c r="K62" s="279"/>
      <c r="L62" s="279"/>
      <c r="M62" s="279"/>
      <c r="N62" s="279"/>
      <c r="O62" s="279"/>
    </row>
    <row r="63" spans="1:15" ht="16.5">
      <c r="A63" s="279"/>
      <c r="B63" s="279"/>
      <c r="C63" s="279"/>
      <c r="D63" s="279"/>
      <c r="E63" s="279"/>
      <c r="F63" s="279"/>
      <c r="G63" s="279"/>
      <c r="H63" s="420"/>
      <c r="I63" s="279"/>
      <c r="J63" s="279"/>
      <c r="K63" s="279"/>
      <c r="L63" s="279"/>
      <c r="M63" s="279"/>
      <c r="N63" s="279"/>
      <c r="O63" s="279"/>
    </row>
    <row r="64" spans="1:15" ht="16.5">
      <c r="A64" s="279"/>
      <c r="B64" s="279"/>
      <c r="C64" s="279"/>
      <c r="D64" s="279"/>
      <c r="E64" s="279"/>
      <c r="F64" s="279"/>
      <c r="G64" s="279"/>
      <c r="H64" s="420"/>
      <c r="I64" s="279"/>
      <c r="J64" s="279"/>
      <c r="K64" s="279"/>
      <c r="L64" s="279"/>
      <c r="M64" s="279"/>
      <c r="N64" s="279"/>
      <c r="O64" s="279"/>
    </row>
    <row r="65" spans="1:15" ht="16.5">
      <c r="A65" s="279"/>
      <c r="B65" s="279"/>
      <c r="C65" s="279"/>
      <c r="D65" s="279"/>
      <c r="E65" s="279"/>
      <c r="F65" s="279"/>
      <c r="G65" s="279"/>
      <c r="H65" s="420"/>
      <c r="I65" s="279"/>
      <c r="J65" s="279"/>
      <c r="K65" s="279"/>
      <c r="L65" s="279"/>
      <c r="M65" s="279"/>
      <c r="N65" s="279"/>
      <c r="O65" s="279"/>
    </row>
    <row r="66" spans="1:15" ht="16.5">
      <c r="A66" s="279"/>
      <c r="B66" s="279"/>
      <c r="C66" s="279"/>
      <c r="D66" s="279"/>
      <c r="E66" s="279"/>
      <c r="F66" s="279"/>
      <c r="G66" s="279"/>
      <c r="H66" s="420"/>
      <c r="I66" s="279"/>
      <c r="J66" s="279"/>
      <c r="K66" s="279"/>
      <c r="L66" s="279"/>
      <c r="M66" s="279"/>
      <c r="N66" s="279"/>
      <c r="O66" s="279"/>
    </row>
    <row r="67" spans="1:15" ht="16.5">
      <c r="A67" s="279"/>
      <c r="B67" s="279"/>
      <c r="C67" s="279"/>
      <c r="D67" s="279"/>
      <c r="E67" s="279"/>
      <c r="F67" s="279"/>
      <c r="G67" s="279"/>
      <c r="H67" s="420"/>
      <c r="I67" s="279"/>
      <c r="J67" s="279"/>
      <c r="K67" s="279"/>
      <c r="L67" s="279"/>
      <c r="M67" s="279"/>
      <c r="N67" s="279"/>
      <c r="O67" s="279"/>
    </row>
    <row r="68" spans="1:15" ht="16.5">
      <c r="A68" s="279"/>
      <c r="B68" s="279"/>
      <c r="C68" s="279"/>
      <c r="D68" s="279"/>
      <c r="E68" s="279"/>
      <c r="F68" s="279"/>
      <c r="G68" s="279"/>
      <c r="H68" s="420"/>
      <c r="I68" s="279"/>
      <c r="J68" s="279"/>
      <c r="K68" s="279"/>
      <c r="L68" s="279"/>
      <c r="M68" s="279"/>
      <c r="N68" s="279"/>
      <c r="O68" s="279"/>
    </row>
    <row r="69" spans="1:15" ht="16.5">
      <c r="A69" s="279"/>
      <c r="B69" s="279"/>
      <c r="C69" s="279"/>
      <c r="D69" s="279"/>
      <c r="E69" s="279"/>
      <c r="F69" s="279"/>
      <c r="G69" s="279"/>
      <c r="H69" s="420"/>
      <c r="I69" s="279"/>
      <c r="J69" s="279"/>
      <c r="K69" s="279"/>
      <c r="L69" s="279"/>
      <c r="M69" s="279"/>
      <c r="N69" s="279"/>
      <c r="O69" s="279"/>
    </row>
    <row r="70" spans="1:15" ht="16.5">
      <c r="A70" s="279"/>
      <c r="B70" s="279"/>
      <c r="C70" s="279"/>
      <c r="D70" s="279"/>
      <c r="E70" s="279"/>
      <c r="F70" s="279"/>
      <c r="G70" s="279"/>
      <c r="H70" s="420"/>
      <c r="I70" s="279"/>
      <c r="J70" s="279"/>
      <c r="K70" s="279"/>
      <c r="L70" s="279"/>
      <c r="M70" s="279"/>
      <c r="N70" s="279"/>
      <c r="O70" s="279"/>
    </row>
    <row r="71" spans="1:15" ht="16.5">
      <c r="A71" s="279"/>
      <c r="B71" s="279"/>
      <c r="C71" s="279"/>
      <c r="D71" s="279"/>
      <c r="E71" s="279"/>
      <c r="F71" s="279"/>
      <c r="G71" s="279"/>
      <c r="H71" s="420"/>
      <c r="I71" s="279"/>
      <c r="J71" s="279"/>
      <c r="K71" s="279"/>
      <c r="L71" s="279"/>
      <c r="M71" s="279"/>
      <c r="N71" s="279"/>
      <c r="O71" s="279"/>
    </row>
    <row r="72" spans="1:15" ht="16.5">
      <c r="A72" s="279"/>
      <c r="B72" s="279"/>
      <c r="C72" s="279"/>
      <c r="D72" s="279"/>
      <c r="E72" s="279"/>
      <c r="F72" s="279"/>
      <c r="G72" s="279"/>
      <c r="H72" s="420"/>
      <c r="I72" s="279"/>
      <c r="J72" s="279"/>
      <c r="K72" s="279"/>
      <c r="L72" s="279"/>
      <c r="M72" s="279"/>
      <c r="N72" s="279"/>
      <c r="O72" s="279"/>
    </row>
    <row r="73" spans="1:15" ht="16.5">
      <c r="A73" s="279"/>
      <c r="B73" s="279"/>
      <c r="C73" s="279"/>
      <c r="D73" s="279"/>
      <c r="E73" s="279"/>
      <c r="F73" s="279"/>
      <c r="G73" s="279"/>
      <c r="H73" s="420"/>
      <c r="I73" s="279"/>
      <c r="J73" s="279"/>
      <c r="K73" s="279"/>
      <c r="L73" s="279"/>
      <c r="M73" s="279"/>
      <c r="N73" s="279"/>
      <c r="O73" s="279"/>
    </row>
    <row r="74" spans="1:15" ht="16.5">
      <c r="A74" s="279"/>
      <c r="B74" s="279"/>
      <c r="C74" s="279"/>
      <c r="D74" s="279"/>
      <c r="E74" s="279"/>
      <c r="F74" s="279"/>
      <c r="G74" s="279"/>
      <c r="H74" s="420"/>
      <c r="I74" s="279"/>
      <c r="J74" s="279"/>
      <c r="K74" s="279"/>
      <c r="L74" s="279"/>
      <c r="M74" s="279"/>
      <c r="N74" s="279"/>
      <c r="O74" s="279"/>
    </row>
    <row r="75" spans="1:15" ht="16.5">
      <c r="A75" s="279"/>
      <c r="B75" s="279"/>
      <c r="C75" s="279"/>
      <c r="D75" s="279"/>
      <c r="E75" s="279"/>
      <c r="F75" s="279"/>
      <c r="G75" s="279"/>
      <c r="H75" s="420"/>
      <c r="I75" s="279"/>
      <c r="J75" s="279"/>
      <c r="K75" s="279"/>
      <c r="L75" s="279"/>
      <c r="M75" s="279"/>
      <c r="N75" s="279"/>
      <c r="O75" s="279"/>
    </row>
    <row r="76" spans="1:15" ht="16.5">
      <c r="A76" s="279"/>
      <c r="B76" s="279"/>
      <c r="C76" s="279"/>
      <c r="D76" s="279"/>
      <c r="E76" s="279"/>
      <c r="F76" s="279"/>
      <c r="G76" s="279"/>
      <c r="H76" s="420"/>
      <c r="I76" s="279"/>
      <c r="J76" s="279"/>
      <c r="K76" s="279"/>
      <c r="L76" s="279"/>
      <c r="M76" s="279"/>
      <c r="N76" s="279"/>
      <c r="O76" s="279"/>
    </row>
    <row r="77" spans="1:15" ht="16.5">
      <c r="A77" s="279"/>
      <c r="B77" s="279"/>
      <c r="C77" s="279"/>
      <c r="D77" s="279"/>
      <c r="E77" s="279"/>
      <c r="F77" s="279"/>
      <c r="G77" s="279"/>
      <c r="H77" s="420"/>
      <c r="I77" s="279"/>
      <c r="J77" s="279"/>
      <c r="K77" s="279"/>
      <c r="L77" s="279"/>
      <c r="M77" s="279"/>
      <c r="N77" s="279"/>
      <c r="O77" s="279"/>
    </row>
    <row r="78" spans="1:15" ht="16.5">
      <c r="A78" s="279"/>
      <c r="B78" s="279"/>
      <c r="C78" s="279"/>
      <c r="D78" s="279"/>
      <c r="E78" s="279"/>
      <c r="F78" s="279"/>
      <c r="G78" s="279"/>
      <c r="H78" s="420"/>
      <c r="I78" s="279"/>
      <c r="J78" s="279"/>
      <c r="K78" s="279"/>
      <c r="L78" s="279"/>
      <c r="M78" s="279"/>
      <c r="N78" s="279"/>
      <c r="O78" s="279"/>
    </row>
    <row r="79" spans="1:15" ht="16.5">
      <c r="A79" s="279"/>
      <c r="B79" s="279"/>
      <c r="C79" s="279"/>
      <c r="D79" s="279"/>
      <c r="E79" s="279"/>
      <c r="F79" s="279"/>
      <c r="G79" s="279"/>
      <c r="H79" s="420"/>
      <c r="I79" s="279"/>
      <c r="J79" s="279"/>
      <c r="K79" s="279"/>
      <c r="L79" s="279"/>
      <c r="M79" s="279"/>
      <c r="N79" s="279"/>
      <c r="O79" s="279"/>
    </row>
    <row r="80" spans="1:15" ht="16.5">
      <c r="A80" s="279"/>
      <c r="B80" s="279"/>
      <c r="C80" s="279"/>
      <c r="D80" s="279"/>
      <c r="E80" s="279"/>
      <c r="F80" s="279"/>
      <c r="G80" s="279"/>
      <c r="H80" s="420"/>
      <c r="I80" s="279"/>
      <c r="J80" s="279"/>
      <c r="K80" s="279"/>
      <c r="L80" s="279"/>
      <c r="M80" s="279"/>
      <c r="N80" s="279"/>
      <c r="O80" s="279"/>
    </row>
    <row r="81" spans="1:15" ht="16.5">
      <c r="A81" s="279"/>
      <c r="B81" s="279"/>
      <c r="C81" s="279"/>
      <c r="D81" s="279"/>
      <c r="E81" s="279"/>
      <c r="F81" s="279"/>
      <c r="G81" s="279"/>
      <c r="H81" s="420"/>
      <c r="I81" s="279"/>
      <c r="J81" s="279"/>
      <c r="K81" s="279"/>
      <c r="L81" s="279"/>
      <c r="M81" s="279"/>
      <c r="N81" s="279"/>
      <c r="O81" s="279"/>
    </row>
    <row r="82" spans="1:15" ht="16.5">
      <c r="A82" s="279"/>
      <c r="B82" s="279"/>
      <c r="C82" s="279"/>
      <c r="D82" s="279"/>
      <c r="E82" s="279"/>
      <c r="F82" s="279"/>
      <c r="G82" s="279"/>
      <c r="H82" s="420"/>
      <c r="I82" s="279"/>
      <c r="J82" s="279"/>
      <c r="K82" s="279"/>
      <c r="L82" s="279"/>
      <c r="M82" s="279"/>
      <c r="N82" s="279"/>
      <c r="O82" s="279"/>
    </row>
    <row r="83" spans="1:15" ht="16.5">
      <c r="A83" s="279"/>
      <c r="B83" s="279"/>
      <c r="C83" s="279"/>
      <c r="D83" s="279"/>
      <c r="E83" s="279"/>
      <c r="F83" s="279"/>
      <c r="G83" s="279"/>
      <c r="H83" s="420"/>
      <c r="I83" s="279"/>
      <c r="J83" s="279"/>
      <c r="K83" s="279"/>
      <c r="L83" s="279"/>
      <c r="M83" s="279"/>
      <c r="N83" s="279"/>
      <c r="O83" s="279"/>
    </row>
    <row r="84" spans="1:15" ht="16.5">
      <c r="A84" s="279"/>
      <c r="B84" s="279"/>
      <c r="C84" s="279"/>
      <c r="D84" s="279"/>
      <c r="E84" s="279"/>
      <c r="F84" s="279"/>
      <c r="G84" s="279"/>
      <c r="H84" s="420"/>
      <c r="I84" s="279"/>
      <c r="J84" s="279"/>
      <c r="K84" s="279"/>
      <c r="L84" s="279"/>
      <c r="M84" s="279"/>
      <c r="N84" s="279"/>
      <c r="O84" s="279"/>
    </row>
    <row r="85" spans="1:15" ht="16.5">
      <c r="A85" s="279"/>
      <c r="B85" s="279"/>
      <c r="C85" s="279"/>
      <c r="D85" s="279"/>
      <c r="E85" s="279"/>
      <c r="F85" s="279"/>
      <c r="G85" s="279"/>
      <c r="H85" s="420"/>
      <c r="I85" s="279"/>
      <c r="J85" s="279"/>
      <c r="K85" s="279"/>
      <c r="L85" s="279"/>
      <c r="M85" s="279"/>
      <c r="N85" s="279"/>
      <c r="O85" s="279"/>
    </row>
    <row r="86" spans="1:15" ht="16.5">
      <c r="A86" s="279"/>
      <c r="B86" s="279"/>
      <c r="C86" s="279"/>
      <c r="D86" s="279"/>
      <c r="E86" s="279"/>
      <c r="F86" s="279"/>
      <c r="G86" s="279"/>
      <c r="H86" s="420"/>
      <c r="I86" s="279"/>
      <c r="J86" s="279"/>
      <c r="K86" s="279"/>
      <c r="L86" s="279"/>
      <c r="M86" s="279"/>
      <c r="N86" s="279"/>
      <c r="O86" s="279"/>
    </row>
    <row r="87" spans="1:15" ht="16.5">
      <c r="A87" s="279"/>
      <c r="B87" s="279"/>
      <c r="C87" s="279"/>
      <c r="D87" s="279"/>
      <c r="E87" s="279"/>
      <c r="F87" s="279"/>
      <c r="G87" s="279"/>
      <c r="H87" s="420"/>
      <c r="I87" s="279"/>
      <c r="J87" s="279"/>
      <c r="K87" s="279"/>
      <c r="L87" s="279"/>
      <c r="M87" s="279"/>
      <c r="N87" s="279"/>
      <c r="O87" s="279"/>
    </row>
    <row r="88" spans="1:15" ht="16.5">
      <c r="A88" s="279"/>
      <c r="B88" s="279"/>
      <c r="C88" s="279"/>
      <c r="D88" s="279"/>
      <c r="E88" s="279"/>
      <c r="F88" s="279"/>
      <c r="G88" s="279"/>
      <c r="H88" s="420"/>
      <c r="I88" s="279"/>
      <c r="J88" s="279"/>
      <c r="K88" s="279"/>
      <c r="L88" s="279"/>
      <c r="M88" s="279"/>
      <c r="N88" s="279"/>
      <c r="O88" s="279"/>
    </row>
    <row r="89" spans="1:15" ht="16.5">
      <c r="A89" s="279"/>
      <c r="B89" s="279"/>
      <c r="C89" s="279"/>
      <c r="D89" s="279"/>
      <c r="E89" s="279"/>
      <c r="F89" s="279"/>
      <c r="G89" s="279"/>
      <c r="H89" s="420"/>
      <c r="I89" s="279"/>
      <c r="J89" s="279"/>
      <c r="K89" s="279"/>
      <c r="L89" s="279"/>
      <c r="M89" s="279"/>
      <c r="N89" s="279"/>
      <c r="O89" s="279"/>
    </row>
    <row r="90" spans="1:15" ht="16.5">
      <c r="A90" s="279"/>
      <c r="B90" s="279"/>
      <c r="C90" s="279"/>
      <c r="D90" s="279"/>
      <c r="E90" s="279"/>
      <c r="F90" s="279"/>
      <c r="G90" s="279"/>
      <c r="H90" s="420"/>
      <c r="I90" s="279"/>
      <c r="J90" s="279"/>
      <c r="K90" s="279"/>
      <c r="L90" s="279"/>
      <c r="M90" s="279"/>
      <c r="N90" s="279"/>
      <c r="O90" s="279"/>
    </row>
    <row r="91" spans="1:15" ht="16.5">
      <c r="A91" s="279"/>
      <c r="B91" s="279"/>
      <c r="C91" s="279"/>
      <c r="D91" s="279"/>
      <c r="E91" s="279"/>
      <c r="F91" s="279"/>
      <c r="G91" s="279"/>
      <c r="H91" s="420"/>
      <c r="I91" s="279"/>
      <c r="J91" s="279"/>
      <c r="K91" s="279"/>
      <c r="L91" s="279"/>
      <c r="M91" s="279"/>
      <c r="N91" s="279"/>
      <c r="O91" s="279"/>
    </row>
    <row r="92" spans="1:15" ht="16.5">
      <c r="A92" s="279"/>
      <c r="B92" s="279"/>
      <c r="C92" s="279"/>
      <c r="D92" s="279"/>
      <c r="E92" s="279"/>
      <c r="F92" s="279"/>
      <c r="G92" s="279"/>
      <c r="H92" s="420"/>
      <c r="I92" s="279"/>
      <c r="J92" s="279"/>
      <c r="K92" s="279"/>
      <c r="L92" s="279"/>
      <c r="M92" s="279"/>
      <c r="N92" s="279"/>
      <c r="O92" s="279"/>
    </row>
    <row r="93" spans="1:15" ht="16.5">
      <c r="A93" s="279"/>
      <c r="B93" s="279"/>
      <c r="C93" s="279"/>
      <c r="D93" s="279"/>
      <c r="E93" s="279"/>
      <c r="F93" s="279"/>
      <c r="G93" s="279"/>
      <c r="H93" s="420"/>
      <c r="I93" s="279"/>
      <c r="J93" s="279"/>
      <c r="K93" s="279"/>
      <c r="L93" s="279"/>
      <c r="M93" s="279"/>
      <c r="N93" s="279"/>
      <c r="O93" s="279"/>
    </row>
    <row r="94" spans="1:15" ht="16.5">
      <c r="A94" s="279"/>
      <c r="B94" s="279"/>
      <c r="C94" s="279"/>
      <c r="D94" s="279"/>
      <c r="E94" s="279"/>
      <c r="F94" s="279"/>
      <c r="G94" s="279"/>
      <c r="H94" s="420"/>
      <c r="I94" s="279"/>
      <c r="J94" s="279"/>
      <c r="K94" s="279"/>
      <c r="L94" s="279"/>
      <c r="M94" s="279"/>
      <c r="N94" s="279"/>
      <c r="O94" s="279"/>
    </row>
    <row r="95" spans="1:15" ht="16.5">
      <c r="A95" s="279"/>
      <c r="B95" s="279"/>
      <c r="C95" s="279"/>
      <c r="D95" s="279"/>
      <c r="E95" s="279"/>
      <c r="F95" s="279"/>
      <c r="G95" s="279"/>
      <c r="H95" s="420"/>
      <c r="I95" s="279"/>
      <c r="J95" s="279"/>
      <c r="K95" s="279"/>
      <c r="L95" s="279"/>
      <c r="M95" s="279"/>
      <c r="N95" s="279"/>
      <c r="O95" s="279"/>
    </row>
    <row r="96" spans="1:15" ht="16.5">
      <c r="A96" s="279"/>
      <c r="B96" s="279"/>
      <c r="C96" s="279"/>
      <c r="D96" s="279"/>
      <c r="E96" s="279"/>
      <c r="F96" s="279"/>
      <c r="G96" s="279"/>
      <c r="H96" s="420"/>
      <c r="I96" s="279"/>
      <c r="J96" s="279"/>
      <c r="K96" s="279"/>
      <c r="L96" s="279"/>
      <c r="M96" s="279"/>
      <c r="N96" s="279"/>
      <c r="O96" s="279"/>
    </row>
    <row r="97" spans="1:15" ht="16.5">
      <c r="A97" s="279"/>
      <c r="B97" s="279"/>
      <c r="C97" s="279"/>
      <c r="D97" s="279"/>
      <c r="E97" s="279"/>
      <c r="F97" s="279"/>
      <c r="G97" s="279"/>
      <c r="H97" s="420"/>
      <c r="I97" s="279"/>
      <c r="J97" s="279"/>
      <c r="K97" s="279"/>
      <c r="L97" s="279"/>
      <c r="M97" s="279"/>
      <c r="N97" s="279"/>
      <c r="O97" s="279"/>
    </row>
    <row r="98" spans="1:15" ht="16.5">
      <c r="A98" s="279"/>
      <c r="B98" s="279"/>
      <c r="C98" s="279"/>
      <c r="D98" s="279"/>
      <c r="E98" s="279"/>
      <c r="F98" s="279"/>
      <c r="G98" s="279"/>
      <c r="H98" s="420"/>
      <c r="I98" s="279"/>
      <c r="J98" s="279"/>
      <c r="K98" s="279"/>
      <c r="L98" s="279"/>
      <c r="M98" s="279"/>
      <c r="N98" s="279"/>
      <c r="O98" s="279"/>
    </row>
    <row r="99" spans="1:15" ht="16.5">
      <c r="A99" s="279"/>
      <c r="B99" s="279"/>
      <c r="C99" s="279"/>
      <c r="D99" s="279"/>
      <c r="E99" s="279"/>
      <c r="F99" s="279"/>
      <c r="G99" s="279"/>
      <c r="H99" s="420"/>
      <c r="I99" s="279"/>
      <c r="J99" s="279"/>
      <c r="K99" s="279"/>
      <c r="L99" s="279"/>
      <c r="M99" s="279"/>
      <c r="N99" s="279"/>
      <c r="O99" s="279"/>
    </row>
    <row r="100" spans="1:15" ht="16.5">
      <c r="A100" s="279"/>
      <c r="B100" s="279"/>
      <c r="C100" s="279"/>
      <c r="D100" s="279"/>
      <c r="E100" s="279"/>
      <c r="F100" s="279"/>
      <c r="G100" s="279"/>
      <c r="H100" s="420"/>
      <c r="I100" s="279"/>
      <c r="J100" s="279"/>
      <c r="K100" s="279"/>
      <c r="L100" s="279"/>
      <c r="M100" s="279"/>
      <c r="N100" s="279"/>
      <c r="O100" s="279"/>
    </row>
    <row r="101" spans="1:15" ht="16.5">
      <c r="A101" s="279"/>
      <c r="B101" s="279"/>
      <c r="C101" s="279"/>
      <c r="D101" s="279"/>
      <c r="E101" s="279"/>
      <c r="F101" s="279"/>
      <c r="G101" s="279"/>
      <c r="H101" s="420"/>
      <c r="I101" s="279"/>
      <c r="J101" s="279"/>
      <c r="K101" s="279"/>
      <c r="L101" s="279"/>
      <c r="M101" s="279"/>
      <c r="N101" s="279"/>
      <c r="O101" s="279"/>
    </row>
    <row r="102" spans="1:15" ht="16.5">
      <c r="A102" s="279"/>
      <c r="B102" s="279"/>
      <c r="C102" s="279"/>
      <c r="D102" s="279"/>
      <c r="E102" s="279"/>
      <c r="F102" s="279"/>
      <c r="G102" s="279"/>
      <c r="H102" s="420"/>
      <c r="I102" s="279"/>
      <c r="J102" s="279"/>
      <c r="K102" s="279"/>
      <c r="L102" s="279"/>
      <c r="M102" s="279"/>
      <c r="N102" s="279"/>
      <c r="O102" s="279"/>
    </row>
    <row r="103" spans="1:15" ht="16.5">
      <c r="A103" s="279"/>
      <c r="B103" s="279"/>
      <c r="C103" s="279"/>
      <c r="D103" s="279"/>
      <c r="E103" s="279"/>
      <c r="F103" s="279"/>
      <c r="G103" s="279"/>
      <c r="H103" s="420"/>
      <c r="I103" s="279"/>
      <c r="J103" s="279"/>
      <c r="K103" s="279"/>
      <c r="L103" s="279"/>
      <c r="M103" s="279"/>
      <c r="N103" s="279"/>
      <c r="O103" s="279"/>
    </row>
    <row r="104" spans="1:15" ht="16.5">
      <c r="A104" s="279"/>
      <c r="B104" s="279"/>
      <c r="C104" s="279"/>
      <c r="D104" s="279"/>
      <c r="E104" s="279"/>
      <c r="F104" s="279"/>
      <c r="G104" s="279"/>
      <c r="H104" s="420"/>
      <c r="I104" s="279"/>
      <c r="J104" s="279"/>
      <c r="K104" s="279"/>
      <c r="L104" s="279"/>
      <c r="M104" s="279"/>
      <c r="N104" s="279"/>
      <c r="O104" s="279"/>
    </row>
    <row r="105" spans="1:15" ht="16.5">
      <c r="A105" s="279"/>
      <c r="B105" s="279"/>
      <c r="C105" s="279"/>
      <c r="D105" s="279"/>
      <c r="E105" s="279"/>
      <c r="F105" s="279"/>
      <c r="G105" s="279"/>
      <c r="H105" s="420"/>
      <c r="I105" s="279"/>
      <c r="J105" s="279"/>
      <c r="K105" s="279"/>
      <c r="L105" s="279"/>
      <c r="M105" s="279"/>
      <c r="N105" s="279"/>
      <c r="O105" s="279"/>
    </row>
    <row r="106" spans="1:15" ht="16.5">
      <c r="A106" s="279"/>
      <c r="B106" s="279"/>
      <c r="C106" s="279"/>
      <c r="D106" s="279"/>
      <c r="E106" s="279"/>
      <c r="F106" s="279"/>
      <c r="G106" s="279"/>
      <c r="H106" s="420"/>
      <c r="I106" s="279"/>
      <c r="J106" s="279"/>
      <c r="K106" s="279"/>
      <c r="L106" s="279"/>
      <c r="M106" s="279"/>
      <c r="N106" s="279"/>
      <c r="O106" s="279"/>
    </row>
    <row r="107" spans="1:15" ht="16.5">
      <c r="A107" s="279"/>
      <c r="B107" s="279"/>
      <c r="C107" s="279"/>
      <c r="D107" s="279"/>
      <c r="E107" s="279"/>
      <c r="F107" s="279"/>
      <c r="G107" s="279"/>
      <c r="H107" s="420"/>
      <c r="I107" s="279"/>
      <c r="J107" s="279"/>
      <c r="K107" s="279"/>
      <c r="L107" s="279"/>
      <c r="M107" s="279"/>
      <c r="N107" s="279"/>
      <c r="O107" s="279"/>
    </row>
    <row r="108" spans="1:15" ht="16.5">
      <c r="A108" s="279"/>
      <c r="B108" s="279"/>
      <c r="C108" s="279"/>
      <c r="D108" s="279"/>
      <c r="E108" s="279"/>
      <c r="F108" s="279"/>
      <c r="G108" s="279"/>
      <c r="H108" s="420"/>
      <c r="I108" s="279"/>
      <c r="J108" s="279"/>
      <c r="K108" s="279"/>
      <c r="L108" s="279"/>
      <c r="M108" s="279"/>
      <c r="N108" s="279"/>
      <c r="O108" s="279"/>
    </row>
    <row r="109" spans="1:15" ht="16.5">
      <c r="A109" s="279"/>
      <c r="B109" s="279"/>
      <c r="C109" s="279"/>
      <c r="D109" s="279"/>
      <c r="E109" s="279"/>
      <c r="F109" s="279"/>
      <c r="G109" s="279"/>
      <c r="H109" s="420"/>
      <c r="I109" s="279"/>
      <c r="J109" s="279"/>
      <c r="K109" s="279"/>
      <c r="L109" s="279"/>
      <c r="M109" s="279"/>
      <c r="N109" s="279"/>
      <c r="O109" s="279"/>
    </row>
    <row r="110" spans="1:15" ht="16.5">
      <c r="A110" s="279"/>
      <c r="B110" s="279"/>
      <c r="C110" s="279"/>
      <c r="D110" s="279"/>
      <c r="E110" s="279"/>
      <c r="F110" s="279"/>
      <c r="G110" s="279"/>
      <c r="H110" s="420"/>
      <c r="I110" s="279"/>
      <c r="J110" s="279"/>
      <c r="K110" s="279"/>
      <c r="L110" s="279"/>
      <c r="M110" s="279"/>
      <c r="N110" s="279"/>
      <c r="O110" s="279"/>
    </row>
    <row r="111" spans="1:15" ht="16.5">
      <c r="A111" s="279"/>
      <c r="B111" s="279"/>
      <c r="C111" s="279"/>
      <c r="D111" s="279"/>
      <c r="E111" s="279"/>
      <c r="F111" s="279"/>
      <c r="G111" s="279"/>
      <c r="H111" s="420"/>
      <c r="I111" s="279"/>
      <c r="J111" s="279"/>
      <c r="K111" s="279"/>
      <c r="L111" s="279"/>
      <c r="M111" s="279"/>
      <c r="N111" s="279"/>
      <c r="O111" s="279"/>
    </row>
    <row r="112" spans="1:15" ht="16.5">
      <c r="A112" s="279"/>
      <c r="B112" s="279"/>
      <c r="C112" s="279"/>
      <c r="D112" s="279"/>
      <c r="E112" s="279"/>
      <c r="F112" s="279"/>
      <c r="G112" s="279"/>
      <c r="H112" s="420"/>
      <c r="I112" s="279"/>
      <c r="J112" s="279"/>
      <c r="K112" s="279"/>
      <c r="L112" s="279"/>
      <c r="M112" s="279"/>
      <c r="N112" s="279"/>
      <c r="O112" s="279"/>
    </row>
    <row r="113" spans="1:15" ht="16.5">
      <c r="A113" s="279"/>
      <c r="B113" s="279"/>
      <c r="C113" s="279"/>
      <c r="D113" s="279"/>
      <c r="E113" s="279"/>
      <c r="F113" s="279"/>
      <c r="G113" s="279"/>
      <c r="H113" s="420"/>
      <c r="I113" s="279"/>
      <c r="J113" s="279"/>
      <c r="K113" s="279"/>
      <c r="L113" s="279"/>
      <c r="M113" s="279"/>
      <c r="N113" s="279"/>
      <c r="O113" s="279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  <x14:dataValidation type="list" allowBlank="1" showInputMessage="1" showErrorMessage="1" xr:uid="{4E5A4B55-778F-40EB-B3AC-D9F5C04FDA0C}">
          <x14:formula1>
            <xm:f>REF!$H$4:$H$7</xm:f>
          </x14:formula1>
          <xm:sqref>H10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>
    <tabColor rgb="FF00B0F0"/>
  </sheetPr>
  <dimension ref="A1:B15"/>
  <sheetViews>
    <sheetView workbookViewId="0">
      <selection activeCell="D15" sqref="D15"/>
    </sheetView>
  </sheetViews>
  <sheetFormatPr defaultRowHeight="16.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/>
    <row r="2" spans="1:2" ht="20.100000000000001" customHeight="1">
      <c r="A2" s="311" t="s">
        <v>107</v>
      </c>
      <c r="B2" s="495">
        <f>StepTest!B12</f>
        <v>94</v>
      </c>
    </row>
    <row r="3" spans="1:2" ht="20.100000000000001" customHeight="1">
      <c r="A3" s="313" t="s">
        <v>108</v>
      </c>
      <c r="B3" s="496">
        <f>StepTest!G31</f>
        <v>11.3</v>
      </c>
    </row>
    <row r="4" spans="1:2" ht="20.100000000000001" customHeight="1">
      <c r="A4" s="313" t="s">
        <v>109</v>
      </c>
      <c r="B4" s="497">
        <f>StepTest!G46</f>
        <v>24.03</v>
      </c>
    </row>
    <row r="5" spans="1:2" ht="20.100000000000001" customHeight="1">
      <c r="A5" s="314" t="s">
        <v>110</v>
      </c>
      <c r="B5" s="497">
        <f>2/3</f>
        <v>0.66666666666666663</v>
      </c>
    </row>
    <row r="6" spans="1:2" ht="20.100000000000001" customHeight="1">
      <c r="A6" s="313"/>
      <c r="B6" s="497"/>
    </row>
    <row r="7" spans="1:2" ht="20.100000000000001" customHeight="1">
      <c r="A7" s="313" t="s">
        <v>111</v>
      </c>
      <c r="B7" s="497">
        <f>B2*(B4/B3)^(2/3)</f>
        <v>155.44547053051494</v>
      </c>
    </row>
    <row r="8" spans="1:2" ht="20.100000000000001" customHeight="1">
      <c r="A8" s="313" t="s">
        <v>112</v>
      </c>
      <c r="B8" s="497">
        <f>INT(B7)</f>
        <v>155</v>
      </c>
    </row>
    <row r="9" spans="1:2" ht="24.75" customHeight="1">
      <c r="B9" s="497"/>
    </row>
    <row r="10" spans="1:2" ht="24.75" customHeight="1">
      <c r="B10" s="497"/>
    </row>
    <row r="11" spans="1:2">
      <c r="B11" s="498">
        <f>B8/Input!$D$23</f>
        <v>0.90116279069767447</v>
      </c>
    </row>
    <row r="12" spans="1:2" ht="17.25" thickBot="1"/>
    <row r="13" spans="1:2" ht="24.95" customHeight="1">
      <c r="A13" s="499" t="s">
        <v>284</v>
      </c>
      <c r="B13" s="500">
        <f>Input!$D$6</f>
        <v>172</v>
      </c>
    </row>
    <row r="14" spans="1:2" ht="24.95" customHeight="1">
      <c r="A14" s="501" t="s">
        <v>106</v>
      </c>
      <c r="B14" s="502">
        <f>B8</f>
        <v>155</v>
      </c>
    </row>
    <row r="15" spans="1:2" ht="24.95" customHeight="1" thickBot="1">
      <c r="A15" s="503" t="s">
        <v>285</v>
      </c>
      <c r="B15" s="504">
        <f>Input!$M$51</f>
        <v>150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542" t="s">
        <v>192</v>
      </c>
      <c r="B4" s="542"/>
      <c r="C4" s="205" t="str">
        <f>Input!I44</f>
        <v xml:space="preserve"> 2021년 상반기 소규모수도시설 사후관리 및 영향조사용역(3구역)</v>
      </c>
      <c r="D4" s="206"/>
      <c r="E4" s="206"/>
      <c r="F4" s="206"/>
      <c r="G4" s="206"/>
      <c r="H4" s="207"/>
      <c r="I4" s="208"/>
      <c r="P4" s="3">
        <v>1</v>
      </c>
      <c r="Q4" s="64">
        <v>-0.46201492309570341</v>
      </c>
      <c r="R4" s="14">
        <f>B12</f>
        <v>94</v>
      </c>
      <c r="S4" s="3">
        <f>$R$4</f>
        <v>94</v>
      </c>
      <c r="T4" s="334">
        <v>3.4731863622877492</v>
      </c>
      <c r="U4" s="89">
        <f>Input!M44/2/1000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14.076829241513423</v>
      </c>
      <c r="Z4" s="13">
        <f>Z22</f>
        <v>13.076185664792433</v>
      </c>
      <c r="AA4" s="10">
        <f>$Z$4</f>
        <v>13.076185664792433</v>
      </c>
      <c r="AB4" s="10">
        <f>X4</f>
        <v>1</v>
      </c>
      <c r="AC4" s="10">
        <f>Y4-AA4</f>
        <v>1.0006435767209894</v>
      </c>
      <c r="AD4" s="78">
        <f>INT((AC4-AE4)*100)/100</f>
        <v>1.46</v>
      </c>
      <c r="AE4" s="6">
        <f>Q4</f>
        <v>-0.46201492309570341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542" t="s">
        <v>45</v>
      </c>
      <c r="B5" s="542"/>
      <c r="C5" s="209" t="str">
        <f>Input!I45</f>
        <v xml:space="preserve"> 고등리 382</v>
      </c>
      <c r="D5" s="206"/>
      <c r="E5" s="206"/>
      <c r="F5" s="210"/>
      <c r="G5" s="206"/>
      <c r="H5" s="211" t="str">
        <f>Input!J48</f>
        <v>공  번 : W - 1</v>
      </c>
      <c r="I5" s="212"/>
      <c r="P5" s="3">
        <v>2</v>
      </c>
      <c r="Q5" s="64"/>
      <c r="S5" s="3">
        <f t="shared" ref="S5:S23" si="3">$R$4</f>
        <v>94</v>
      </c>
      <c r="T5" s="3">
        <f>$T4</f>
        <v>3.4731863622877492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15.568000453900581</v>
      </c>
      <c r="AA5" s="10">
        <f t="shared" ref="AA5:AA23" si="5">$Z$4</f>
        <v>13.076185664792433</v>
      </c>
      <c r="AB5" s="10">
        <f t="shared" ref="AB5:AB43" si="6">X5</f>
        <v>2</v>
      </c>
      <c r="AC5" s="10">
        <f t="shared" ref="AC5:AC43" si="7">Y5-AA5</f>
        <v>2.4918147891081475</v>
      </c>
      <c r="AD5" s="78">
        <f t="shared" ref="AD5:AD16" si="8">INT((AC5-AE5)*100)/100</f>
        <v>2.4900000000000002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542" t="s">
        <v>46</v>
      </c>
      <c r="B6" s="542"/>
      <c r="C6" s="213" t="str">
        <f>Input!I46</f>
        <v xml:space="preserve"> 세종특별자치시 소정면 고등리 382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94</v>
      </c>
      <c r="T6" s="3">
        <f t="shared" ref="T6:T51" si="10">$T5</f>
        <v>3.4731863622877492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16.440279695301971</v>
      </c>
      <c r="AA6" s="10">
        <f t="shared" si="5"/>
        <v>13.076185664792433</v>
      </c>
      <c r="AB6" s="10">
        <f t="shared" si="6"/>
        <v>3</v>
      </c>
      <c r="AC6" s="10">
        <f t="shared" si="7"/>
        <v>3.3640940305095377</v>
      </c>
      <c r="AD6" s="78">
        <f t="shared" si="8"/>
        <v>3.36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542" t="s">
        <v>165</v>
      </c>
      <c r="B7" s="542"/>
      <c r="C7" s="214" t="str">
        <f>Input!I47</f>
        <v xml:space="preserve"> 정진건설㈜</v>
      </c>
      <c r="D7" s="215"/>
      <c r="E7" s="206"/>
      <c r="F7" s="216"/>
      <c r="G7" s="217" t="str">
        <f>Input!I49</f>
        <v xml:space="preserve"> 고등리 382</v>
      </c>
      <c r="H7" s="218"/>
      <c r="I7" s="219"/>
      <c r="P7" s="3">
        <v>4</v>
      </c>
      <c r="Q7" s="64"/>
      <c r="S7" s="3">
        <f t="shared" si="3"/>
        <v>94</v>
      </c>
      <c r="T7" s="3">
        <f t="shared" si="10"/>
        <v>3.4731863622877492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17.059171666287735</v>
      </c>
      <c r="AA7" s="10">
        <f t="shared" si="5"/>
        <v>13.076185664792433</v>
      </c>
      <c r="AB7" s="10">
        <f t="shared" si="6"/>
        <v>4</v>
      </c>
      <c r="AC7" s="10">
        <f t="shared" si="7"/>
        <v>3.982986001495302</v>
      </c>
      <c r="AD7" s="78">
        <f t="shared" si="8"/>
        <v>3.98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543">
        <f>Input!I48</f>
        <v>7.5</v>
      </c>
      <c r="D8" s="544"/>
      <c r="E8" s="545"/>
      <c r="F8" s="221" t="s">
        <v>6</v>
      </c>
      <c r="G8" s="217" t="str">
        <f>G7</f>
        <v xml:space="preserve"> 고등리 382</v>
      </c>
      <c r="H8" s="218"/>
      <c r="I8" s="222"/>
      <c r="K8" s="365"/>
      <c r="P8" s="3">
        <v>5</v>
      </c>
      <c r="Q8" s="64"/>
      <c r="S8" s="3">
        <f t="shared" si="3"/>
        <v>94</v>
      </c>
      <c r="T8" s="3">
        <f t="shared" si="10"/>
        <v>3.4731863622877492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17.539221573842411</v>
      </c>
      <c r="AA8" s="10">
        <f t="shared" si="5"/>
        <v>13.076185664792433</v>
      </c>
      <c r="AB8" s="10">
        <f t="shared" si="6"/>
        <v>5</v>
      </c>
      <c r="AC8" s="10">
        <f t="shared" si="7"/>
        <v>4.463035909049978</v>
      </c>
      <c r="AD8" s="78">
        <f t="shared" si="8"/>
        <v>4.46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46">
        <f>Input!M44</f>
        <v>250</v>
      </c>
      <c r="E9" s="546"/>
      <c r="F9" s="204" t="s">
        <v>8</v>
      </c>
      <c r="G9" s="536">
        <f>Input!M45</f>
        <v>50</v>
      </c>
      <c r="H9" s="536"/>
      <c r="I9" s="204"/>
      <c r="P9" s="3">
        <v>10</v>
      </c>
      <c r="Q9" s="64"/>
      <c r="S9" s="3">
        <f t="shared" si="3"/>
        <v>94</v>
      </c>
      <c r="T9" s="3">
        <f t="shared" si="10"/>
        <v>3.4731863622877492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19.030392786229569</v>
      </c>
      <c r="AA9" s="10">
        <f t="shared" si="5"/>
        <v>13.076185664792433</v>
      </c>
      <c r="AB9" s="10">
        <f t="shared" si="6"/>
        <v>10</v>
      </c>
      <c r="AC9" s="10">
        <f t="shared" si="7"/>
        <v>5.9542071214371362</v>
      </c>
      <c r="AD9" s="78">
        <f t="shared" si="8"/>
        <v>5.95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539">
        <f>Input!M48</f>
        <v>3.6</v>
      </c>
      <c r="E10" s="540"/>
      <c r="F10" s="224" t="s">
        <v>0</v>
      </c>
      <c r="G10" s="537" t="s">
        <v>0</v>
      </c>
      <c r="H10" s="537"/>
      <c r="I10" s="212"/>
      <c r="P10" s="3">
        <v>15</v>
      </c>
      <c r="Q10" s="64"/>
      <c r="S10" s="3">
        <f t="shared" si="3"/>
        <v>94</v>
      </c>
      <c r="T10" s="3">
        <f t="shared" si="10"/>
        <v>3.4731863622877492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19.90267202763096</v>
      </c>
      <c r="AA10" s="10">
        <f t="shared" si="5"/>
        <v>13.076185664792433</v>
      </c>
      <c r="AB10" s="10">
        <f t="shared" si="6"/>
        <v>15</v>
      </c>
      <c r="AC10" s="10">
        <f t="shared" si="7"/>
        <v>6.8264863628385264</v>
      </c>
      <c r="AD10" s="78">
        <f t="shared" si="8"/>
        <v>6.82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541" t="s">
        <v>172</v>
      </c>
      <c r="E11" s="541"/>
      <c r="F11" s="225" t="s">
        <v>173</v>
      </c>
      <c r="G11" s="538" t="s">
        <v>174</v>
      </c>
      <c r="H11" s="538"/>
      <c r="I11" s="204" t="s">
        <v>164</v>
      </c>
      <c r="J11" s="364">
        <f>G12-J13</f>
        <v>0.42999999999999972</v>
      </c>
      <c r="P11" s="3">
        <v>20</v>
      </c>
      <c r="Q11" s="64"/>
      <c r="S11" s="3">
        <f t="shared" si="3"/>
        <v>94</v>
      </c>
      <c r="T11" s="3">
        <f t="shared" si="10"/>
        <v>3.4731863622877492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20.521563998616728</v>
      </c>
      <c r="AA11" s="10">
        <f t="shared" si="5"/>
        <v>13.076185664792433</v>
      </c>
      <c r="AB11" s="10">
        <f t="shared" si="6"/>
        <v>20</v>
      </c>
      <c r="AC11" s="10">
        <f t="shared" si="7"/>
        <v>7.4453783338242943</v>
      </c>
      <c r="AD11" s="78">
        <f t="shared" si="8"/>
        <v>7.44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Input!D20</f>
        <v>94</v>
      </c>
      <c r="C12" s="201">
        <v>0.41736111111111113</v>
      </c>
      <c r="D12" s="535">
        <v>1</v>
      </c>
      <c r="E12" s="535"/>
      <c r="F12" s="202">
        <f>G12+$D$10</f>
        <v>5.0600000000000005</v>
      </c>
      <c r="G12" s="534">
        <f>AD4</f>
        <v>1.46</v>
      </c>
      <c r="H12" s="534"/>
      <c r="I12" s="204" t="s">
        <v>12</v>
      </c>
      <c r="J12" s="8"/>
      <c r="P12" s="3">
        <v>25</v>
      </c>
      <c r="Q12" s="64"/>
      <c r="S12" s="3">
        <f t="shared" si="3"/>
        <v>94</v>
      </c>
      <c r="T12" s="3">
        <f t="shared" si="10"/>
        <v>3.4731863622877492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21.001613906171404</v>
      </c>
      <c r="AA12" s="10">
        <f t="shared" si="5"/>
        <v>13.076185664792433</v>
      </c>
      <c r="AB12" s="10">
        <f t="shared" si="6"/>
        <v>25</v>
      </c>
      <c r="AC12" s="10">
        <f t="shared" si="7"/>
        <v>7.9254282413789703</v>
      </c>
      <c r="AD12" s="78">
        <f t="shared" si="8"/>
        <v>7.92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535">
        <v>2</v>
      </c>
      <c r="E13" s="535"/>
      <c r="F13" s="202">
        <f t="shared" ref="F13:F28" si="13">G13+$D$10</f>
        <v>6.09</v>
      </c>
      <c r="G13" s="534">
        <f t="shared" ref="G13:G51" si="14">AD5</f>
        <v>2.4900000000000002</v>
      </c>
      <c r="H13" s="534"/>
      <c r="I13" s="203"/>
      <c r="J13" s="8">
        <f>G13-G12</f>
        <v>1.0300000000000002</v>
      </c>
      <c r="P13" s="3">
        <v>30</v>
      </c>
      <c r="Q13" s="64"/>
      <c r="S13" s="3">
        <f t="shared" si="3"/>
        <v>94</v>
      </c>
      <c r="T13" s="3">
        <f t="shared" si="10"/>
        <v>3.4731863622877492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21.393843240018118</v>
      </c>
      <c r="AA13" s="10">
        <f t="shared" si="5"/>
        <v>13.076185664792433</v>
      </c>
      <c r="AB13" s="10">
        <f t="shared" si="6"/>
        <v>30</v>
      </c>
      <c r="AC13" s="10">
        <f t="shared" si="7"/>
        <v>8.3176575752256845</v>
      </c>
      <c r="AD13" s="78">
        <f t="shared" si="8"/>
        <v>8.31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535">
        <v>3</v>
      </c>
      <c r="E14" s="535"/>
      <c r="F14" s="202">
        <f t="shared" si="13"/>
        <v>6.96</v>
      </c>
      <c r="G14" s="534">
        <f t="shared" si="14"/>
        <v>3.36</v>
      </c>
      <c r="H14" s="534"/>
      <c r="I14" s="203"/>
      <c r="J14" s="8">
        <f t="shared" ref="J14:J51" si="15">G14-G13</f>
        <v>0.86999999999999966</v>
      </c>
      <c r="Q14" s="64"/>
      <c r="S14" s="3">
        <f t="shared" si="3"/>
        <v>94</v>
      </c>
      <c r="T14" s="3">
        <f t="shared" si="10"/>
        <v>3.4731863622877492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21.725468416568106</v>
      </c>
      <c r="AA14" s="10">
        <f t="shared" si="5"/>
        <v>13.076185664792433</v>
      </c>
      <c r="AB14" s="10">
        <f t="shared" si="6"/>
        <v>35</v>
      </c>
      <c r="AC14" s="10">
        <f t="shared" si="7"/>
        <v>8.6492827517756723</v>
      </c>
      <c r="AD14" s="78">
        <f t="shared" si="8"/>
        <v>8.64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535">
        <v>4</v>
      </c>
      <c r="E15" s="535"/>
      <c r="F15" s="202">
        <f t="shared" si="13"/>
        <v>7.58</v>
      </c>
      <c r="G15" s="534">
        <f t="shared" si="14"/>
        <v>3.98</v>
      </c>
      <c r="H15" s="534"/>
      <c r="I15" s="203"/>
      <c r="J15" s="8">
        <f t="shared" si="15"/>
        <v>0.62000000000000011</v>
      </c>
      <c r="Q15" s="64"/>
      <c r="S15" s="3">
        <f t="shared" si="3"/>
        <v>94</v>
      </c>
      <c r="T15" s="3">
        <f t="shared" si="10"/>
        <v>3.4731863622877492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22.012735211003886</v>
      </c>
      <c r="AA15" s="10">
        <f t="shared" si="5"/>
        <v>13.076185664792433</v>
      </c>
      <c r="AB15" s="10">
        <f t="shared" si="6"/>
        <v>40</v>
      </c>
      <c r="AC15" s="10">
        <f t="shared" si="7"/>
        <v>8.9365495462114524</v>
      </c>
      <c r="AD15" s="78">
        <f t="shared" si="8"/>
        <v>8.93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535">
        <v>5</v>
      </c>
      <c r="E16" s="535"/>
      <c r="F16" s="202">
        <f t="shared" si="13"/>
        <v>8.06</v>
      </c>
      <c r="G16" s="534">
        <f t="shared" si="14"/>
        <v>4.46</v>
      </c>
      <c r="H16" s="534"/>
      <c r="I16" s="203"/>
      <c r="J16" s="8">
        <f t="shared" si="15"/>
        <v>0.48</v>
      </c>
      <c r="L16" s="11" t="s">
        <v>94</v>
      </c>
      <c r="M16" s="11" t="s">
        <v>95</v>
      </c>
      <c r="S16" s="3">
        <f t="shared" si="3"/>
        <v>94</v>
      </c>
      <c r="T16" s="3">
        <f t="shared" si="10"/>
        <v>3.4731863622877492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22.266122481419508</v>
      </c>
      <c r="AA16" s="10">
        <f t="shared" si="5"/>
        <v>13.076185664792433</v>
      </c>
      <c r="AB16" s="10">
        <f t="shared" si="6"/>
        <v>45</v>
      </c>
      <c r="AC16" s="10">
        <f t="shared" si="7"/>
        <v>9.1899368166270747</v>
      </c>
      <c r="AD16" s="78">
        <f t="shared" si="8"/>
        <v>9.18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535">
        <v>10</v>
      </c>
      <c r="E17" s="535"/>
      <c r="F17" s="202">
        <f t="shared" si="13"/>
        <v>9.5500000000000007</v>
      </c>
      <c r="G17" s="534">
        <f t="shared" si="14"/>
        <v>5.95</v>
      </c>
      <c r="H17" s="534"/>
      <c r="I17" s="203"/>
      <c r="J17" s="8">
        <f t="shared" si="15"/>
        <v>1.4900000000000002</v>
      </c>
      <c r="K17" s="29">
        <f>D12</f>
        <v>1</v>
      </c>
      <c r="L17" s="3">
        <f>INT(B12/1440*10000)/10000</f>
        <v>6.5199999999999994E-2</v>
      </c>
      <c r="M17" s="3">
        <f>K17*L17</f>
        <v>6.5199999999999994E-2</v>
      </c>
      <c r="N17" s="3">
        <f>INT((8*2.54/2/100)^2*3.14159*100000)/100000</f>
        <v>3.2419999999999997E-2</v>
      </c>
      <c r="O17" s="3">
        <f>INT(M17/N17*100)/100</f>
        <v>2.0099999999999998</v>
      </c>
      <c r="P17" s="13">
        <f>INT((G12-O17)*100)/100</f>
        <v>-0.55000000000000004</v>
      </c>
      <c r="S17" s="3">
        <f t="shared" si="3"/>
        <v>94</v>
      </c>
      <c r="T17" s="3">
        <f t="shared" si="10"/>
        <v>3.4731863622877492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22.492785118558562</v>
      </c>
      <c r="AA17" s="10">
        <f t="shared" si="5"/>
        <v>13.076185664792433</v>
      </c>
      <c r="AB17" s="10">
        <f t="shared" si="6"/>
        <v>50</v>
      </c>
      <c r="AC17" s="10">
        <f t="shared" si="7"/>
        <v>9.4165994537661284</v>
      </c>
      <c r="AD17" s="78">
        <f t="shared" ref="AD17:AD22" si="16">INT(AC17*100)/100</f>
        <v>9.41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535">
        <v>15</v>
      </c>
      <c r="E18" s="535"/>
      <c r="F18" s="202">
        <f t="shared" si="13"/>
        <v>10.42</v>
      </c>
      <c r="G18" s="534">
        <f t="shared" si="14"/>
        <v>6.82</v>
      </c>
      <c r="H18" s="534"/>
      <c r="I18" s="203"/>
      <c r="J18" s="8">
        <f t="shared" si="15"/>
        <v>0.87000000000000011</v>
      </c>
      <c r="K18" s="29">
        <f>D13</f>
        <v>2</v>
      </c>
      <c r="L18" s="3">
        <f>L17</f>
        <v>6.5199999999999994E-2</v>
      </c>
      <c r="M18" s="3">
        <f t="shared" ref="M18:M32" si="17">K18*L18</f>
        <v>0.13039999999999999</v>
      </c>
      <c r="N18" s="3">
        <f>N17</f>
        <v>3.2419999999999997E-2</v>
      </c>
      <c r="O18" s="3">
        <f>INT(M18/N18*100)/100</f>
        <v>4.0199999999999996</v>
      </c>
      <c r="P18" s="13">
        <f>INT((G13-O18)*100*0.98)/100</f>
        <v>-1.5</v>
      </c>
      <c r="S18" s="3">
        <f t="shared" si="3"/>
        <v>94</v>
      </c>
      <c r="T18" s="3">
        <f t="shared" si="10"/>
        <v>3.4731863622877492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22.697826414776259</v>
      </c>
      <c r="AA18" s="10">
        <f t="shared" si="5"/>
        <v>13.076185664792433</v>
      </c>
      <c r="AB18" s="10">
        <f t="shared" si="6"/>
        <v>55</v>
      </c>
      <c r="AC18" s="10">
        <f t="shared" si="7"/>
        <v>9.6216407499838255</v>
      </c>
      <c r="AD18" s="78">
        <f t="shared" si="16"/>
        <v>9.6199999999999992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535">
        <v>20</v>
      </c>
      <c r="E19" s="535"/>
      <c r="F19" s="202">
        <f t="shared" si="13"/>
        <v>11.040000000000001</v>
      </c>
      <c r="G19" s="534">
        <f t="shared" si="14"/>
        <v>7.44</v>
      </c>
      <c r="H19" s="534"/>
      <c r="I19" s="203"/>
      <c r="J19" s="8">
        <f t="shared" si="15"/>
        <v>0.62000000000000011</v>
      </c>
      <c r="K19" s="29">
        <f t="shared" ref="K19:K32" si="18">D14</f>
        <v>3</v>
      </c>
      <c r="L19" s="3">
        <f>L18</f>
        <v>6.5199999999999994E-2</v>
      </c>
      <c r="M19" s="3">
        <f t="shared" si="17"/>
        <v>0.1956</v>
      </c>
      <c r="N19" s="3">
        <f t="shared" ref="N19:N32" si="19">N18</f>
        <v>3.2419999999999997E-2</v>
      </c>
      <c r="O19" s="3">
        <f>INT(M19/N19*100)/100</f>
        <v>6.03</v>
      </c>
      <c r="P19" s="13">
        <f>INT((G14-O19)*100*0.95)/100</f>
        <v>-2.54</v>
      </c>
      <c r="S19" s="3">
        <f t="shared" si="3"/>
        <v>94</v>
      </c>
      <c r="T19" s="3">
        <f t="shared" si="10"/>
        <v>3.4731863622877492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22.885014452405276</v>
      </c>
      <c r="AA19" s="10">
        <f t="shared" si="5"/>
        <v>13.076185664792433</v>
      </c>
      <c r="AB19" s="10">
        <f t="shared" si="6"/>
        <v>60</v>
      </c>
      <c r="AC19" s="10">
        <f t="shared" si="7"/>
        <v>9.8088287876128426</v>
      </c>
      <c r="AD19" s="78">
        <f t="shared" si="16"/>
        <v>9.8000000000000007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535">
        <v>25</v>
      </c>
      <c r="E20" s="535"/>
      <c r="F20" s="202">
        <f t="shared" si="13"/>
        <v>11.52</v>
      </c>
      <c r="G20" s="534">
        <f t="shared" si="14"/>
        <v>7.92</v>
      </c>
      <c r="H20" s="534"/>
      <c r="I20" s="203"/>
      <c r="J20" s="8">
        <f t="shared" si="15"/>
        <v>0.47999999999999954</v>
      </c>
      <c r="K20" s="29">
        <f t="shared" si="18"/>
        <v>4</v>
      </c>
      <c r="L20" s="3">
        <f>L19</f>
        <v>6.5199999999999994E-2</v>
      </c>
      <c r="M20" s="3">
        <f t="shared" si="17"/>
        <v>0.26079999999999998</v>
      </c>
      <c r="N20" s="3">
        <f t="shared" si="19"/>
        <v>3.2419999999999997E-2</v>
      </c>
      <c r="O20" s="3">
        <f>INT(M20/N20*100)/100</f>
        <v>8.0399999999999991</v>
      </c>
      <c r="P20" s="13">
        <f>INT((G15-O20)*100*0.91)/100</f>
        <v>-3.7</v>
      </c>
      <c r="S20" s="3">
        <f t="shared" si="3"/>
        <v>94</v>
      </c>
      <c r="T20" s="3">
        <f t="shared" si="10"/>
        <v>3.4731863622877492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23.365064359959952</v>
      </c>
      <c r="AA20" s="10">
        <f t="shared" si="5"/>
        <v>13.076185664792433</v>
      </c>
      <c r="AB20" s="10">
        <f t="shared" si="6"/>
        <v>75</v>
      </c>
      <c r="AC20" s="10">
        <f t="shared" si="7"/>
        <v>10.288878695167519</v>
      </c>
      <c r="AD20" s="78">
        <f t="shared" si="16"/>
        <v>10.28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535">
        <v>30</v>
      </c>
      <c r="E21" s="535"/>
      <c r="F21" s="202">
        <f t="shared" si="13"/>
        <v>11.91</v>
      </c>
      <c r="G21" s="534">
        <f t="shared" si="14"/>
        <v>8.31</v>
      </c>
      <c r="H21" s="534"/>
      <c r="I21" s="203"/>
      <c r="J21" s="8">
        <f t="shared" si="15"/>
        <v>0.39000000000000057</v>
      </c>
      <c r="K21" s="29">
        <f t="shared" si="18"/>
        <v>5</v>
      </c>
      <c r="L21" s="29">
        <f>L20</f>
        <v>6.5199999999999994E-2</v>
      </c>
      <c r="M21" s="3">
        <f t="shared" si="17"/>
        <v>0.32599999999999996</v>
      </c>
      <c r="N21" s="3">
        <f t="shared" si="19"/>
        <v>3.2419999999999997E-2</v>
      </c>
      <c r="O21" s="29">
        <f>INT(M21/N21*100)/100</f>
        <v>10.050000000000001</v>
      </c>
      <c r="P21" s="13">
        <f>INT((G16-O21)*100*0.86)/100</f>
        <v>-4.8099999999999996</v>
      </c>
      <c r="S21" s="3">
        <f t="shared" si="3"/>
        <v>94</v>
      </c>
      <c r="T21" s="3">
        <f t="shared" si="10"/>
        <v>3.4731863622877492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23.757293693806666</v>
      </c>
      <c r="AA21" s="10">
        <f t="shared" si="5"/>
        <v>13.076185664792433</v>
      </c>
      <c r="AB21" s="10">
        <f t="shared" si="6"/>
        <v>90</v>
      </c>
      <c r="AC21" s="10">
        <f t="shared" si="7"/>
        <v>10.681108029014233</v>
      </c>
      <c r="AD21" s="78">
        <f t="shared" si="16"/>
        <v>10.68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535">
        <v>35</v>
      </c>
      <c r="E22" s="535"/>
      <c r="F22" s="202">
        <f t="shared" si="13"/>
        <v>12.24</v>
      </c>
      <c r="G22" s="534">
        <f t="shared" si="14"/>
        <v>8.64</v>
      </c>
      <c r="H22" s="534"/>
      <c r="I22" s="204"/>
      <c r="J22" s="8">
        <f t="shared" si="15"/>
        <v>0.33000000000000007</v>
      </c>
      <c r="K22" s="29">
        <f t="shared" si="18"/>
        <v>10</v>
      </c>
      <c r="L22" s="29">
        <f t="shared" ref="L22:L32" si="20">L21</f>
        <v>6.5199999999999994E-2</v>
      </c>
      <c r="M22" s="3">
        <f t="shared" si="17"/>
        <v>0.65199999999999991</v>
      </c>
      <c r="N22" s="3">
        <f t="shared" si="19"/>
        <v>3.2419999999999997E-2</v>
      </c>
      <c r="O22" s="29">
        <f t="shared" ref="O22:O30" si="21">INT(M22/N22*100)/100</f>
        <v>20.11</v>
      </c>
      <c r="P22" s="13">
        <f>INT((G17-O22)*100*0.8)/100</f>
        <v>-11.33</v>
      </c>
      <c r="S22" s="3">
        <f t="shared" si="3"/>
        <v>94</v>
      </c>
      <c r="T22" s="3">
        <f t="shared" si="10"/>
        <v>3.4731863622877492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24.08891887035665</v>
      </c>
      <c r="Z22" s="10">
        <f>Y23-Z23</f>
        <v>13.076185664792433</v>
      </c>
      <c r="AA22" s="10">
        <f t="shared" si="5"/>
        <v>13.076185664792433</v>
      </c>
      <c r="AB22" s="10">
        <f t="shared" si="6"/>
        <v>105</v>
      </c>
      <c r="AC22" s="10">
        <f t="shared" si="7"/>
        <v>11.012733205564217</v>
      </c>
      <c r="AD22" s="78">
        <f t="shared" si="16"/>
        <v>11.01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535">
        <v>40</v>
      </c>
      <c r="E23" s="535"/>
      <c r="F23" s="202">
        <f t="shared" si="13"/>
        <v>12.53</v>
      </c>
      <c r="G23" s="534">
        <f t="shared" si="14"/>
        <v>8.93</v>
      </c>
      <c r="H23" s="534"/>
      <c r="I23" s="204"/>
      <c r="J23" s="8">
        <f t="shared" si="15"/>
        <v>0.28999999999999915</v>
      </c>
      <c r="K23" s="29">
        <f t="shared" si="18"/>
        <v>15</v>
      </c>
      <c r="L23" s="29">
        <f t="shared" si="20"/>
        <v>6.5199999999999994E-2</v>
      </c>
      <c r="M23" s="3">
        <f t="shared" si="17"/>
        <v>0.97799999999999987</v>
      </c>
      <c r="N23" s="3">
        <f t="shared" si="19"/>
        <v>3.2419999999999997E-2</v>
      </c>
      <c r="O23" s="29">
        <f t="shared" si="21"/>
        <v>30.16</v>
      </c>
      <c r="P23" s="13">
        <f t="shared" ref="P23:P32" si="22">INT((G18-O23)*100)/100</f>
        <v>-23.34</v>
      </c>
      <c r="S23" s="3">
        <f t="shared" si="3"/>
        <v>94</v>
      </c>
      <c r="T23" s="3">
        <f t="shared" si="10"/>
        <v>3.4731863622877492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24.376185664792434</v>
      </c>
      <c r="Z23" s="10">
        <f>Input!B20</f>
        <v>11.3</v>
      </c>
      <c r="AA23" s="10">
        <f t="shared" si="5"/>
        <v>13.076185664792433</v>
      </c>
      <c r="AB23" s="10">
        <f t="shared" si="6"/>
        <v>120</v>
      </c>
      <c r="AC23" s="10">
        <f t="shared" si="7"/>
        <v>11.3</v>
      </c>
      <c r="AD23" s="78">
        <f>INT((AC$3+AE23)*100)/100</f>
        <v>11.3</v>
      </c>
      <c r="AE23" s="10">
        <f>AG$23*AF23</f>
        <v>11.3</v>
      </c>
      <c r="AF23" s="10">
        <v>1</v>
      </c>
      <c r="AG23" s="10">
        <f>AC23-AC3</f>
        <v>11.3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535">
        <v>45</v>
      </c>
      <c r="E24" s="535"/>
      <c r="F24" s="202">
        <f t="shared" si="13"/>
        <v>12.78</v>
      </c>
      <c r="G24" s="534">
        <f t="shared" si="14"/>
        <v>9.18</v>
      </c>
      <c r="H24" s="534"/>
      <c r="I24" s="204"/>
      <c r="J24" s="8">
        <f t="shared" si="15"/>
        <v>0.25</v>
      </c>
      <c r="K24" s="29">
        <f t="shared" si="18"/>
        <v>20</v>
      </c>
      <c r="L24" s="29">
        <f t="shared" si="20"/>
        <v>6.5199999999999994E-2</v>
      </c>
      <c r="M24" s="3">
        <f t="shared" si="17"/>
        <v>1.3039999999999998</v>
      </c>
      <c r="N24" s="3">
        <f t="shared" si="19"/>
        <v>3.2419999999999997E-2</v>
      </c>
      <c r="O24" s="29">
        <f t="shared" si="21"/>
        <v>40.22</v>
      </c>
      <c r="P24" s="13">
        <f t="shared" si="22"/>
        <v>-32.78</v>
      </c>
      <c r="R24" s="14">
        <f>B32</f>
        <v>120</v>
      </c>
      <c r="S24" s="3">
        <f>$R$24</f>
        <v>120</v>
      </c>
      <c r="T24" s="3">
        <f t="shared" si="10"/>
        <v>3.4731863622877492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31.338359957994399</v>
      </c>
      <c r="Z24" s="10">
        <f>Z27</f>
        <v>17.95215771554841</v>
      </c>
      <c r="AA24" s="10">
        <f>$Z$24</f>
        <v>17.95215771554841</v>
      </c>
      <c r="AB24" s="10">
        <f t="shared" si="6"/>
        <v>130</v>
      </c>
      <c r="AC24" s="10">
        <f t="shared" si="7"/>
        <v>13.386202242445989</v>
      </c>
      <c r="AD24" s="78">
        <f>INT((AC$23+AE24)*100)/100</f>
        <v>13.56</v>
      </c>
      <c r="AE24" s="10">
        <f>AF24*AG$28</f>
        <v>2.2619999999999996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535">
        <v>50</v>
      </c>
      <c r="E25" s="535"/>
      <c r="F25" s="202">
        <f t="shared" si="13"/>
        <v>13.01</v>
      </c>
      <c r="G25" s="534">
        <f t="shared" si="14"/>
        <v>9.41</v>
      </c>
      <c r="H25" s="534"/>
      <c r="I25" s="204"/>
      <c r="J25" s="8">
        <f t="shared" si="15"/>
        <v>0.23000000000000043</v>
      </c>
      <c r="K25" s="29">
        <f t="shared" si="18"/>
        <v>25</v>
      </c>
      <c r="L25" s="29">
        <f t="shared" si="20"/>
        <v>6.5199999999999994E-2</v>
      </c>
      <c r="M25" s="3">
        <f t="shared" si="17"/>
        <v>1.63</v>
      </c>
      <c r="N25" s="3">
        <f t="shared" si="19"/>
        <v>3.2419999999999997E-2</v>
      </c>
      <c r="O25" s="29">
        <f t="shared" si="21"/>
        <v>50.27</v>
      </c>
      <c r="P25" s="13">
        <f t="shared" si="22"/>
        <v>-42.35</v>
      </c>
      <c r="S25" s="3">
        <f>$R$24</f>
        <v>120</v>
      </c>
      <c r="T25" s="3">
        <f t="shared" si="10"/>
        <v>3.4731863622877492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31.541886180437128</v>
      </c>
      <c r="AA25" s="10">
        <f>$Z$24</f>
        <v>17.95215771554841</v>
      </c>
      <c r="AB25" s="10">
        <f t="shared" si="6"/>
        <v>140</v>
      </c>
      <c r="AC25" s="10">
        <f t="shared" si="7"/>
        <v>13.589728464888719</v>
      </c>
      <c r="AD25" s="78">
        <f>INT((AC$23+AE25)*100)/100</f>
        <v>13.93</v>
      </c>
      <c r="AE25" s="10">
        <f>AF25*AG$28</f>
        <v>2.6389999999999993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535">
        <v>55</v>
      </c>
      <c r="E26" s="535"/>
      <c r="F26" s="202">
        <f t="shared" si="13"/>
        <v>13.219999999999999</v>
      </c>
      <c r="G26" s="534">
        <f t="shared" si="14"/>
        <v>9.6199999999999992</v>
      </c>
      <c r="H26" s="534"/>
      <c r="I26" s="204"/>
      <c r="J26" s="8">
        <f t="shared" si="15"/>
        <v>0.20999999999999908</v>
      </c>
      <c r="K26" s="29">
        <f t="shared" si="18"/>
        <v>30</v>
      </c>
      <c r="L26" s="29">
        <f t="shared" si="20"/>
        <v>6.5199999999999994E-2</v>
      </c>
      <c r="M26" s="3">
        <f t="shared" si="17"/>
        <v>1.9559999999999997</v>
      </c>
      <c r="N26" s="3">
        <f t="shared" si="19"/>
        <v>3.2419999999999997E-2</v>
      </c>
      <c r="O26" s="3">
        <f t="shared" si="21"/>
        <v>60.33</v>
      </c>
      <c r="P26" s="13">
        <f t="shared" si="22"/>
        <v>-52.02</v>
      </c>
      <c r="S26" s="3">
        <f>$R$24</f>
        <v>120</v>
      </c>
      <c r="T26" s="3">
        <f t="shared" si="10"/>
        <v>3.4731863622877492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31.731364560443115</v>
      </c>
      <c r="AA26" s="10">
        <f>$Z$24</f>
        <v>17.95215771554841</v>
      </c>
      <c r="AB26" s="10">
        <f t="shared" si="6"/>
        <v>150</v>
      </c>
      <c r="AC26" s="10">
        <f t="shared" si="7"/>
        <v>13.779206844894706</v>
      </c>
      <c r="AD26" s="78">
        <f>INT((AC$23+AE26)*100)/100</f>
        <v>14.31</v>
      </c>
      <c r="AE26" s="10">
        <f>AF26*AG$28</f>
        <v>3.016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535">
        <v>60</v>
      </c>
      <c r="E27" s="535"/>
      <c r="F27" s="202">
        <f t="shared" si="13"/>
        <v>13.4</v>
      </c>
      <c r="G27" s="534">
        <f t="shared" si="14"/>
        <v>9.8000000000000007</v>
      </c>
      <c r="H27" s="534"/>
      <c r="I27" s="204"/>
      <c r="J27" s="8">
        <f t="shared" si="15"/>
        <v>0.18000000000000149</v>
      </c>
      <c r="K27" s="29">
        <f t="shared" si="18"/>
        <v>35</v>
      </c>
      <c r="L27" s="29">
        <f t="shared" si="20"/>
        <v>6.5199999999999994E-2</v>
      </c>
      <c r="M27" s="3">
        <f t="shared" si="17"/>
        <v>2.2819999999999996</v>
      </c>
      <c r="N27" s="3">
        <f t="shared" si="19"/>
        <v>3.2419999999999997E-2</v>
      </c>
      <c r="O27" s="3">
        <f t="shared" si="21"/>
        <v>70.38</v>
      </c>
      <c r="P27" s="13">
        <f t="shared" si="22"/>
        <v>-61.74</v>
      </c>
      <c r="S27" s="3">
        <f>$R$24</f>
        <v>120</v>
      </c>
      <c r="T27" s="3">
        <f t="shared" si="10"/>
        <v>3.4731863622877492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32.232082858970834</v>
      </c>
      <c r="Z27" s="10">
        <f>Y28-Z28</f>
        <v>17.95215771554841</v>
      </c>
      <c r="AA27" s="10">
        <f>$Z$24</f>
        <v>17.95215771554841</v>
      </c>
      <c r="AB27" s="10">
        <f t="shared" si="6"/>
        <v>180</v>
      </c>
      <c r="AC27" s="10">
        <f t="shared" si="7"/>
        <v>14.279925143422425</v>
      </c>
      <c r="AD27" s="78">
        <f>INT((AC$23+AE27)*100)/100</f>
        <v>14.69</v>
      </c>
      <c r="AE27" s="10">
        <f>AF27*AG$28</f>
        <v>3.3929999999999998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535">
        <v>75</v>
      </c>
      <c r="E28" s="535"/>
      <c r="F28" s="202">
        <f t="shared" si="13"/>
        <v>13.879999999999999</v>
      </c>
      <c r="G28" s="534">
        <f t="shared" si="14"/>
        <v>10.28</v>
      </c>
      <c r="H28" s="534"/>
      <c r="I28" s="204"/>
      <c r="J28" s="8">
        <f t="shared" si="15"/>
        <v>0.47999999999999865</v>
      </c>
      <c r="K28" s="29">
        <f t="shared" si="18"/>
        <v>40</v>
      </c>
      <c r="L28" s="29">
        <f t="shared" si="20"/>
        <v>6.5199999999999994E-2</v>
      </c>
      <c r="M28" s="3">
        <f t="shared" si="17"/>
        <v>2.6079999999999997</v>
      </c>
      <c r="N28" s="3">
        <f t="shared" si="19"/>
        <v>3.2419999999999997E-2</v>
      </c>
      <c r="O28" s="3">
        <f t="shared" si="21"/>
        <v>80.44</v>
      </c>
      <c r="P28" s="13">
        <f t="shared" si="22"/>
        <v>-71.510000000000005</v>
      </c>
      <c r="S28" s="3">
        <f>$R$24</f>
        <v>120</v>
      </c>
      <c r="T28" s="3">
        <f t="shared" si="10"/>
        <v>3.4731863622877492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33.02215771554841</v>
      </c>
      <c r="Z28" s="10">
        <f>Input!B21</f>
        <v>15.07</v>
      </c>
      <c r="AA28" s="10">
        <f>$Z$24</f>
        <v>17.95215771554841</v>
      </c>
      <c r="AB28" s="10">
        <f t="shared" si="6"/>
        <v>240</v>
      </c>
      <c r="AC28" s="10">
        <f t="shared" si="7"/>
        <v>15.07</v>
      </c>
      <c r="AD28" s="78">
        <f>INT((AC$23+AE28)*100)/100</f>
        <v>15.07</v>
      </c>
      <c r="AE28" s="10">
        <f>AF28*AG$28</f>
        <v>3.7699999999999996</v>
      </c>
      <c r="AF28" s="10">
        <v>1</v>
      </c>
      <c r="AG28" s="10">
        <f>AC28-AC23</f>
        <v>3.7699999999999996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535">
        <v>90</v>
      </c>
      <c r="E29" s="535"/>
      <c r="F29" s="202">
        <f t="shared" ref="F29:F44" si="24">G29+$D$10</f>
        <v>14.28</v>
      </c>
      <c r="G29" s="534">
        <f t="shared" si="14"/>
        <v>10.68</v>
      </c>
      <c r="H29" s="534"/>
      <c r="I29" s="204"/>
      <c r="J29" s="8">
        <f t="shared" si="15"/>
        <v>0.40000000000000036</v>
      </c>
      <c r="K29" s="29">
        <f t="shared" si="18"/>
        <v>45</v>
      </c>
      <c r="L29" s="29">
        <f t="shared" si="20"/>
        <v>6.5199999999999994E-2</v>
      </c>
      <c r="M29" s="3">
        <f t="shared" si="17"/>
        <v>2.9339999999999997</v>
      </c>
      <c r="N29" s="3">
        <f t="shared" si="19"/>
        <v>3.2419999999999997E-2</v>
      </c>
      <c r="O29" s="3">
        <f t="shared" si="21"/>
        <v>90.49</v>
      </c>
      <c r="P29" s="13">
        <f t="shared" si="22"/>
        <v>-81.31</v>
      </c>
      <c r="R29" s="14">
        <f>B37</f>
        <v>146.19999999999999</v>
      </c>
      <c r="S29" s="3">
        <f>$R$29</f>
        <v>146.19999999999999</v>
      </c>
      <c r="T29" s="3">
        <f t="shared" si="10"/>
        <v>3.4731863622877492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40.368584503401692</v>
      </c>
      <c r="Z29" s="10">
        <f>Z32</f>
        <v>22.278668090814232</v>
      </c>
      <c r="AA29" s="10">
        <f>$Z$29</f>
        <v>22.278668090814232</v>
      </c>
      <c r="AB29" s="10">
        <f t="shared" si="6"/>
        <v>250</v>
      </c>
      <c r="AC29" s="10">
        <f t="shared" si="7"/>
        <v>18.08991641258746</v>
      </c>
      <c r="AD29" s="78">
        <f>INT((AC$28+AE29)*100)/100</f>
        <v>17.61</v>
      </c>
      <c r="AE29" s="10">
        <f>AF29*AG$33</f>
        <v>2.5439999999999992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535">
        <v>105</v>
      </c>
      <c r="E30" s="535"/>
      <c r="F30" s="202">
        <f t="shared" si="24"/>
        <v>14.61</v>
      </c>
      <c r="G30" s="534">
        <f t="shared" si="14"/>
        <v>11.01</v>
      </c>
      <c r="H30" s="534"/>
      <c r="I30" s="204"/>
      <c r="J30" s="8">
        <f t="shared" si="15"/>
        <v>0.33000000000000007</v>
      </c>
      <c r="K30" s="29">
        <f t="shared" si="18"/>
        <v>50</v>
      </c>
      <c r="L30" s="29">
        <f t="shared" si="20"/>
        <v>6.5199999999999994E-2</v>
      </c>
      <c r="M30" s="3">
        <f t="shared" si="17"/>
        <v>3.26</v>
      </c>
      <c r="N30" s="3">
        <f t="shared" si="19"/>
        <v>3.2419999999999997E-2</v>
      </c>
      <c r="O30" s="3">
        <f t="shared" si="21"/>
        <v>100.55</v>
      </c>
      <c r="P30" s="13">
        <f t="shared" si="22"/>
        <v>-91.14</v>
      </c>
      <c r="R30" s="3" t="s">
        <v>23</v>
      </c>
      <c r="S30" s="3">
        <f>$R$29</f>
        <v>146.19999999999999</v>
      </c>
      <c r="T30" s="3">
        <f t="shared" si="10"/>
        <v>3.4731863622877492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40.499815689791284</v>
      </c>
      <c r="AA30" s="10">
        <f>$Z$29</f>
        <v>22.278668090814232</v>
      </c>
      <c r="AB30" s="10">
        <f t="shared" si="6"/>
        <v>260</v>
      </c>
      <c r="AC30" s="10">
        <f t="shared" si="7"/>
        <v>18.221147598977051</v>
      </c>
      <c r="AD30" s="78">
        <f>INT((AC$28+AE30)*100)/100</f>
        <v>18.03</v>
      </c>
      <c r="AE30" s="10">
        <f>AF30*AG$33</f>
        <v>2.9679999999999986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535">
        <v>120</v>
      </c>
      <c r="E31" s="535"/>
      <c r="F31" s="202">
        <f t="shared" si="24"/>
        <v>14.9</v>
      </c>
      <c r="G31" s="534">
        <f t="shared" si="14"/>
        <v>11.3</v>
      </c>
      <c r="H31" s="534"/>
      <c r="I31" s="204"/>
      <c r="J31" s="8">
        <f t="shared" si="15"/>
        <v>0.29000000000000092</v>
      </c>
      <c r="K31" s="29">
        <f t="shared" si="18"/>
        <v>55</v>
      </c>
      <c r="L31" s="29">
        <f t="shared" si="20"/>
        <v>6.5199999999999994E-2</v>
      </c>
      <c r="M31" s="3">
        <f t="shared" si="17"/>
        <v>3.5859999999999999</v>
      </c>
      <c r="N31" s="3">
        <f t="shared" si="19"/>
        <v>3.2419999999999997E-2</v>
      </c>
      <c r="O31" s="3">
        <f>INT(M31/N31*100)/100</f>
        <v>110.61</v>
      </c>
      <c r="P31" s="13">
        <f t="shared" si="22"/>
        <v>-100.99</v>
      </c>
      <c r="S31" s="3">
        <f>$R$29</f>
        <v>146.19999999999999</v>
      </c>
      <c r="T31" s="3">
        <f t="shared" si="10"/>
        <v>3.4731863622877492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40.626093557217224</v>
      </c>
      <c r="AA31" s="10">
        <f>$Z$29</f>
        <v>22.278668090814232</v>
      </c>
      <c r="AB31" s="10">
        <f t="shared" si="6"/>
        <v>270</v>
      </c>
      <c r="AC31" s="10">
        <f t="shared" si="7"/>
        <v>18.347425466402992</v>
      </c>
      <c r="AD31" s="78">
        <f>INT((AC$28+AE31)*100)/100</f>
        <v>18.46</v>
      </c>
      <c r="AE31" s="10">
        <f>AF31*AG$33</f>
        <v>3.391999999999999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Input!D21</f>
        <v>120</v>
      </c>
      <c r="C32" s="201">
        <v>0.50694444444444442</v>
      </c>
      <c r="D32" s="535">
        <v>130</v>
      </c>
      <c r="E32" s="535"/>
      <c r="F32" s="202">
        <f t="shared" si="24"/>
        <v>17.16</v>
      </c>
      <c r="G32" s="534">
        <f t="shared" si="14"/>
        <v>13.56</v>
      </c>
      <c r="H32" s="534"/>
      <c r="I32" s="204"/>
      <c r="J32" s="8">
        <f t="shared" si="15"/>
        <v>2.2599999999999998</v>
      </c>
      <c r="K32" s="29">
        <f t="shared" si="18"/>
        <v>60</v>
      </c>
      <c r="L32" s="29">
        <f t="shared" si="20"/>
        <v>6.5199999999999994E-2</v>
      </c>
      <c r="M32" s="3">
        <f t="shared" si="17"/>
        <v>3.9119999999999995</v>
      </c>
      <c r="N32" s="3">
        <f t="shared" si="19"/>
        <v>3.2419999999999997E-2</v>
      </c>
      <c r="O32" s="3">
        <f>INT(M32/N32*100)/100</f>
        <v>120.66</v>
      </c>
      <c r="P32" s="13">
        <f t="shared" si="22"/>
        <v>-110.86</v>
      </c>
      <c r="S32" s="3">
        <f>$R$29</f>
        <v>146.19999999999999</v>
      </c>
      <c r="T32" s="3">
        <f t="shared" si="10"/>
        <v>3.4731863622877492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40.978626297107965</v>
      </c>
      <c r="Z32" s="10">
        <f>Y33-Z33</f>
        <v>22.278668090814232</v>
      </c>
      <c r="AA32" s="10">
        <f>$Z$29</f>
        <v>22.278668090814232</v>
      </c>
      <c r="AB32" s="10">
        <f t="shared" si="6"/>
        <v>300</v>
      </c>
      <c r="AC32" s="10">
        <f t="shared" si="7"/>
        <v>18.699958206293733</v>
      </c>
      <c r="AD32" s="78">
        <f>INT((AC$28+AE32)*100)/100</f>
        <v>18.88</v>
      </c>
      <c r="AE32" s="10">
        <f>AF32*AG$33</f>
        <v>3.8159999999999985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535">
        <v>140</v>
      </c>
      <c r="E33" s="535"/>
      <c r="F33" s="202">
        <f t="shared" si="24"/>
        <v>17.53</v>
      </c>
      <c r="G33" s="534">
        <f t="shared" si="14"/>
        <v>13.93</v>
      </c>
      <c r="H33" s="534"/>
      <c r="I33" s="204"/>
      <c r="J33" s="8">
        <f t="shared" si="15"/>
        <v>0.36999999999999922</v>
      </c>
      <c r="L33" s="7" t="s">
        <v>23</v>
      </c>
      <c r="P33" s="13"/>
      <c r="S33" s="3">
        <f>$R$29</f>
        <v>146.19999999999999</v>
      </c>
      <c r="T33" s="3">
        <f t="shared" si="10"/>
        <v>3.4731863622877492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41.588668090814231</v>
      </c>
      <c r="Z33" s="10">
        <f>Input!B22</f>
        <v>19.309999999999999</v>
      </c>
      <c r="AA33" s="10">
        <f>$Z$29</f>
        <v>22.278668090814232</v>
      </c>
      <c r="AB33" s="10">
        <f t="shared" si="6"/>
        <v>360</v>
      </c>
      <c r="AC33" s="10">
        <f t="shared" si="7"/>
        <v>19.309999999999999</v>
      </c>
      <c r="AD33" s="78">
        <f>INT((AC$28+AE33)*100)/100</f>
        <v>19.309999999999999</v>
      </c>
      <c r="AE33" s="10">
        <f>AF33*AG$33</f>
        <v>4.2399999999999984</v>
      </c>
      <c r="AF33" s="10">
        <v>1</v>
      </c>
      <c r="AG33" s="10">
        <f>AC33-AC28</f>
        <v>4.2399999999999984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535">
        <v>150</v>
      </c>
      <c r="E34" s="535"/>
      <c r="F34" s="202">
        <f t="shared" si="24"/>
        <v>17.91</v>
      </c>
      <c r="G34" s="534">
        <f t="shared" si="14"/>
        <v>14.31</v>
      </c>
      <c r="H34" s="534"/>
      <c r="I34" s="204"/>
      <c r="J34" s="8">
        <f t="shared" si="15"/>
        <v>0.38000000000000078</v>
      </c>
      <c r="L34" s="7" t="s">
        <v>23</v>
      </c>
      <c r="R34" s="3">
        <f>B42</f>
        <v>172</v>
      </c>
      <c r="S34" s="3">
        <f>$R$34</f>
        <v>172</v>
      </c>
      <c r="T34" s="3">
        <f t="shared" si="10"/>
        <v>3.4731863622877492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49.035698984048523</v>
      </c>
      <c r="Z34" s="10">
        <f>Z37</f>
        <v>26.030285440483823</v>
      </c>
      <c r="AA34" s="10">
        <f>$Z$34</f>
        <v>26.030285440483823</v>
      </c>
      <c r="AB34" s="10">
        <f t="shared" si="6"/>
        <v>370</v>
      </c>
      <c r="AC34" s="10">
        <f t="shared" si="7"/>
        <v>23.0054135435647</v>
      </c>
      <c r="AD34" s="78">
        <f>INT((AC$33+AE34)*100)/100</f>
        <v>22.14</v>
      </c>
      <c r="AE34" s="10">
        <f>AG$38*AF34</f>
        <v>2.8320000000000012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535">
        <v>180</v>
      </c>
      <c r="E35" s="535"/>
      <c r="F35" s="202">
        <f t="shared" si="24"/>
        <v>18.29</v>
      </c>
      <c r="G35" s="534">
        <f t="shared" si="14"/>
        <v>14.69</v>
      </c>
      <c r="H35" s="534"/>
      <c r="I35" s="204"/>
      <c r="J35" s="8">
        <f t="shared" si="15"/>
        <v>0.37999999999999901</v>
      </c>
      <c r="L35" s="7" t="s">
        <v>23</v>
      </c>
      <c r="S35" s="3">
        <f>$R$34</f>
        <v>172</v>
      </c>
      <c r="T35" s="3">
        <f t="shared" si="10"/>
        <v>3.4731863622877492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49.140676698542968</v>
      </c>
      <c r="AA35" s="10">
        <f>$Z$34</f>
        <v>26.030285440483823</v>
      </c>
      <c r="AB35" s="10">
        <f t="shared" si="6"/>
        <v>380</v>
      </c>
      <c r="AC35" s="10">
        <f t="shared" si="7"/>
        <v>23.110391258059146</v>
      </c>
      <c r="AD35" s="78">
        <f>INT((AC$33+AE35)*100)/100</f>
        <v>22.61</v>
      </c>
      <c r="AE35" s="10">
        <f>AG$38*AF35</f>
        <v>3.3040000000000016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535">
        <v>240</v>
      </c>
      <c r="E36" s="535"/>
      <c r="F36" s="202">
        <f t="shared" si="24"/>
        <v>18.670000000000002</v>
      </c>
      <c r="G36" s="534">
        <f t="shared" si="14"/>
        <v>15.07</v>
      </c>
      <c r="H36" s="534"/>
      <c r="I36" s="204"/>
      <c r="J36" s="8">
        <f t="shared" si="15"/>
        <v>0.38000000000000078</v>
      </c>
      <c r="L36" s="7" t="s">
        <v>23</v>
      </c>
      <c r="S36" s="3">
        <f>$R$34</f>
        <v>172</v>
      </c>
      <c r="T36" s="3">
        <f t="shared" si="10"/>
        <v>3.4731863622877492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49.242927408426326</v>
      </c>
      <c r="AA36" s="10">
        <f>$Z$34</f>
        <v>26.030285440483823</v>
      </c>
      <c r="AB36" s="10">
        <f t="shared" si="6"/>
        <v>390</v>
      </c>
      <c r="AC36" s="10">
        <f t="shared" si="7"/>
        <v>23.212641967942503</v>
      </c>
      <c r="AD36" s="78">
        <f>INT((AC$33+AE36)*100)/100</f>
        <v>23.08</v>
      </c>
      <c r="AE36" s="10">
        <f>AG$38*AF36</f>
        <v>3.776000000000002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Input!D22</f>
        <v>146.19999999999999</v>
      </c>
      <c r="C37" s="201">
        <v>0.59027777777777779</v>
      </c>
      <c r="D37" s="535">
        <v>250</v>
      </c>
      <c r="E37" s="535"/>
      <c r="F37" s="202">
        <f t="shared" si="24"/>
        <v>21.21</v>
      </c>
      <c r="G37" s="534">
        <f t="shared" si="14"/>
        <v>17.61</v>
      </c>
      <c r="H37" s="534"/>
      <c r="I37" s="204"/>
      <c r="J37" s="8">
        <f t="shared" si="15"/>
        <v>2.5399999999999991</v>
      </c>
      <c r="L37" s="7" t="s">
        <v>23</v>
      </c>
      <c r="S37" s="3">
        <f>$R$34</f>
        <v>172</v>
      </c>
      <c r="T37" s="3">
        <f t="shared" si="10"/>
        <v>3.4731863622877492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49.534648327260911</v>
      </c>
      <c r="Z37" s="10">
        <f>Y38-Z38</f>
        <v>26.030285440483823</v>
      </c>
      <c r="AA37" s="10">
        <f>$Z$34</f>
        <v>26.030285440483823</v>
      </c>
      <c r="AB37" s="10">
        <f t="shared" si="6"/>
        <v>420</v>
      </c>
      <c r="AC37" s="10">
        <f t="shared" si="7"/>
        <v>23.504362886777088</v>
      </c>
      <c r="AD37" s="78">
        <f>INT((AC$33+AE37)*100)/100</f>
        <v>23.55</v>
      </c>
      <c r="AE37" s="10">
        <f>AG$38*AF37</f>
        <v>4.248000000000002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535">
        <v>260</v>
      </c>
      <c r="E38" s="535"/>
      <c r="F38" s="202">
        <f t="shared" si="24"/>
        <v>21.630000000000003</v>
      </c>
      <c r="G38" s="534">
        <f t="shared" si="14"/>
        <v>18.03</v>
      </c>
      <c r="H38" s="534"/>
      <c r="I38" s="204"/>
      <c r="J38" s="8">
        <f t="shared" si="15"/>
        <v>0.42000000000000171</v>
      </c>
      <c r="L38" s="7" t="s">
        <v>23</v>
      </c>
      <c r="S38" s="3">
        <f>$R$34</f>
        <v>172</v>
      </c>
      <c r="T38" s="3">
        <f t="shared" si="10"/>
        <v>3.4731863622877492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50.060285440483824</v>
      </c>
      <c r="Z38" s="10">
        <f>Input!B23</f>
        <v>24.03</v>
      </c>
      <c r="AA38" s="10">
        <f>$Z$34</f>
        <v>26.030285440483823</v>
      </c>
      <c r="AB38" s="10">
        <f t="shared" si="6"/>
        <v>480</v>
      </c>
      <c r="AC38" s="10">
        <f t="shared" si="7"/>
        <v>24.03</v>
      </c>
      <c r="AD38" s="78">
        <f>INT((AC$33+AE38)*100)/100</f>
        <v>24.03</v>
      </c>
      <c r="AE38" s="10">
        <f>AG$38*AF38</f>
        <v>4.7200000000000024</v>
      </c>
      <c r="AF38" s="10">
        <v>1</v>
      </c>
      <c r="AG38" s="10">
        <f>AC38-AC33</f>
        <v>4.7200000000000024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535">
        <v>270</v>
      </c>
      <c r="E39" s="535"/>
      <c r="F39" s="202">
        <f t="shared" si="24"/>
        <v>22.060000000000002</v>
      </c>
      <c r="G39" s="534">
        <f t="shared" si="14"/>
        <v>18.46</v>
      </c>
      <c r="H39" s="534"/>
      <c r="I39" s="204"/>
      <c r="J39" s="8">
        <f t="shared" si="15"/>
        <v>0.42999999999999972</v>
      </c>
      <c r="K39" s="6" t="s">
        <v>23</v>
      </c>
      <c r="L39" s="7" t="s">
        <v>23</v>
      </c>
      <c r="R39" s="14">
        <f>B47</f>
        <v>197.79999999999998</v>
      </c>
      <c r="S39" s="3">
        <f>$R$39</f>
        <v>197.79999999999998</v>
      </c>
      <c r="T39" s="3">
        <f t="shared" si="10"/>
        <v>3.4731863622877492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57.66266961806906</v>
      </c>
      <c r="Z39" s="10">
        <f>Z42</f>
        <v>27.349475827985284</v>
      </c>
      <c r="AA39" s="10">
        <f>$Z$39</f>
        <v>27.349475827985284</v>
      </c>
      <c r="AB39" s="10">
        <f t="shared" si="6"/>
        <v>490</v>
      </c>
      <c r="AC39" s="10">
        <f t="shared" si="7"/>
        <v>30.313193790083776</v>
      </c>
      <c r="AD39" s="78">
        <f>INT((AC$38+AE39)*100)/100</f>
        <v>26.91</v>
      </c>
      <c r="AE39" s="10">
        <f>AG$43*AF39</f>
        <v>2.88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535">
        <v>300</v>
      </c>
      <c r="E40" s="535"/>
      <c r="F40" s="202">
        <f t="shared" si="24"/>
        <v>22.48</v>
      </c>
      <c r="G40" s="534">
        <f t="shared" si="14"/>
        <v>18.88</v>
      </c>
      <c r="H40" s="534"/>
      <c r="I40" s="204"/>
      <c r="J40" s="8">
        <f t="shared" si="15"/>
        <v>0.41999999999999815</v>
      </c>
      <c r="K40" s="6" t="s">
        <v>23</v>
      </c>
      <c r="L40" s="7" t="s">
        <v>23</v>
      </c>
      <c r="S40" s="3">
        <f>$R$39</f>
        <v>197.79999999999998</v>
      </c>
      <c r="T40" s="3">
        <f t="shared" si="10"/>
        <v>3.4731863622877492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57.754125165912093</v>
      </c>
      <c r="AA40" s="10">
        <f>$Z$39</f>
        <v>27.349475827985284</v>
      </c>
      <c r="AB40" s="10">
        <f t="shared" si="6"/>
        <v>500</v>
      </c>
      <c r="AC40" s="10">
        <f t="shared" si="7"/>
        <v>30.404649337926809</v>
      </c>
      <c r="AD40" s="78">
        <f>INT((AC$38+AE40)*100)/100</f>
        <v>27.99</v>
      </c>
      <c r="AE40" s="10">
        <f>AG$43*AF40</f>
        <v>3.96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535">
        <v>360</v>
      </c>
      <c r="E41" s="535"/>
      <c r="F41" s="202">
        <f t="shared" si="24"/>
        <v>22.91</v>
      </c>
      <c r="G41" s="534">
        <f t="shared" si="14"/>
        <v>19.309999999999999</v>
      </c>
      <c r="H41" s="534"/>
      <c r="I41" s="204"/>
      <c r="J41" s="8">
        <f t="shared" si="15"/>
        <v>0.42999999999999972</v>
      </c>
      <c r="K41" s="6" t="s">
        <v>23</v>
      </c>
      <c r="L41" s="7" t="s">
        <v>23</v>
      </c>
      <c r="S41" s="3">
        <f>$R$39</f>
        <v>197.79999999999998</v>
      </c>
      <c r="T41" s="3">
        <f t="shared" si="10"/>
        <v>3.4731863622877492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57.843769593247487</v>
      </c>
      <c r="AA41" s="10">
        <f>$Z$39</f>
        <v>27.349475827985284</v>
      </c>
      <c r="AB41" s="10">
        <f t="shared" si="6"/>
        <v>510</v>
      </c>
      <c r="AC41" s="10">
        <f t="shared" si="7"/>
        <v>30.494293765262203</v>
      </c>
      <c r="AD41" s="78">
        <f>INT((AC$38+AE41)*100)/100</f>
        <v>29.07</v>
      </c>
      <c r="AE41" s="10">
        <f>AG$43*AF41</f>
        <v>5.0399999999999991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Input!D23</f>
        <v>172</v>
      </c>
      <c r="C42" s="201">
        <v>0.67361111111111116</v>
      </c>
      <c r="D42" s="535">
        <v>370</v>
      </c>
      <c r="E42" s="535"/>
      <c r="F42" s="202">
        <f t="shared" si="24"/>
        <v>25.740000000000002</v>
      </c>
      <c r="G42" s="534">
        <f t="shared" si="14"/>
        <v>22.14</v>
      </c>
      <c r="H42" s="534"/>
      <c r="I42" s="204"/>
      <c r="J42" s="8">
        <f t="shared" si="15"/>
        <v>2.8300000000000018</v>
      </c>
      <c r="K42" s="6" t="s">
        <v>23</v>
      </c>
      <c r="L42" s="7" t="s">
        <v>23</v>
      </c>
      <c r="S42" s="3">
        <f>$R$39</f>
        <v>197.79999999999998</v>
      </c>
      <c r="T42" s="3">
        <f t="shared" si="10"/>
        <v>3.4731863622877492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58.102519768133099</v>
      </c>
      <c r="Z42" s="10">
        <f>Y43-Z43</f>
        <v>27.349475827985284</v>
      </c>
      <c r="AA42" s="10">
        <f>$Z$39</f>
        <v>27.349475827985284</v>
      </c>
      <c r="AB42" s="10">
        <f t="shared" si="6"/>
        <v>540</v>
      </c>
      <c r="AC42" s="10">
        <f t="shared" si="7"/>
        <v>30.753043940147816</v>
      </c>
      <c r="AD42" s="78">
        <f>INT((AC$38+AE42)*100)/100</f>
        <v>30.15</v>
      </c>
      <c r="AE42" s="10">
        <f>AG$43*AF42</f>
        <v>6.1199999999999992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535">
        <v>380</v>
      </c>
      <c r="E43" s="535"/>
      <c r="F43" s="202">
        <f t="shared" si="24"/>
        <v>26.21</v>
      </c>
      <c r="G43" s="534">
        <f t="shared" si="14"/>
        <v>22.61</v>
      </c>
      <c r="H43" s="534"/>
      <c r="I43" s="204"/>
      <c r="J43" s="8">
        <f t="shared" si="15"/>
        <v>0.46999999999999886</v>
      </c>
      <c r="K43" s="6" t="s">
        <v>23</v>
      </c>
      <c r="L43" s="7" t="s">
        <v>23</v>
      </c>
      <c r="S43" s="3">
        <f>$R$39</f>
        <v>197.79999999999998</v>
      </c>
      <c r="T43" s="3">
        <f t="shared" si="10"/>
        <v>3.4731863622877492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58.579475827985284</v>
      </c>
      <c r="Z43" s="10">
        <f>Input!B24</f>
        <v>31.23</v>
      </c>
      <c r="AA43" s="10">
        <f>$Z$39</f>
        <v>27.349475827985284</v>
      </c>
      <c r="AB43" s="10">
        <f t="shared" si="6"/>
        <v>600</v>
      </c>
      <c r="AC43" s="10">
        <f t="shared" si="7"/>
        <v>31.23</v>
      </c>
      <c r="AD43" s="78">
        <f>INT((AC$38+AE43)*100)/100</f>
        <v>31.23</v>
      </c>
      <c r="AE43" s="10">
        <f>AG$43*AF43</f>
        <v>7.1999999999999993</v>
      </c>
      <c r="AF43" s="10">
        <v>1</v>
      </c>
      <c r="AG43" s="10">
        <f>AC43-AC38</f>
        <v>7.1999999999999993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535">
        <v>390</v>
      </c>
      <c r="E44" s="535"/>
      <c r="F44" s="202">
        <f t="shared" si="24"/>
        <v>26.68</v>
      </c>
      <c r="G44" s="534">
        <f t="shared" si="14"/>
        <v>23.08</v>
      </c>
      <c r="H44" s="534"/>
      <c r="I44" s="204"/>
      <c r="J44" s="8">
        <f t="shared" si="15"/>
        <v>0.46999999999999886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535">
        <v>420</v>
      </c>
      <c r="E45" s="535"/>
      <c r="F45" s="202">
        <f t="shared" ref="F45:F51" si="25">G45+$D$10</f>
        <v>27.150000000000002</v>
      </c>
      <c r="G45" s="534">
        <f t="shared" si="14"/>
        <v>23.55</v>
      </c>
      <c r="H45" s="534"/>
      <c r="I45" s="204"/>
      <c r="J45" s="8">
        <f t="shared" si="15"/>
        <v>0.47000000000000242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535">
        <v>480</v>
      </c>
      <c r="E46" s="535"/>
      <c r="F46" s="202">
        <f t="shared" si="25"/>
        <v>27.630000000000003</v>
      </c>
      <c r="G46" s="534">
        <f t="shared" si="14"/>
        <v>24.03</v>
      </c>
      <c r="H46" s="534"/>
      <c r="I46" s="204"/>
      <c r="J46" s="8">
        <f t="shared" si="15"/>
        <v>0.48000000000000043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Input!D24</f>
        <v>197.79999999999998</v>
      </c>
      <c r="C47" s="201">
        <v>0.75694444444444453</v>
      </c>
      <c r="D47" s="535">
        <v>490</v>
      </c>
      <c r="E47" s="535"/>
      <c r="F47" s="202">
        <f t="shared" si="25"/>
        <v>30.51</v>
      </c>
      <c r="G47" s="534">
        <f t="shared" si="14"/>
        <v>26.91</v>
      </c>
      <c r="H47" s="534"/>
      <c r="I47" s="204"/>
      <c r="J47" s="8">
        <f t="shared" si="15"/>
        <v>2.879999999999999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535">
        <v>500</v>
      </c>
      <c r="E48" s="535"/>
      <c r="F48" s="202">
        <f t="shared" si="25"/>
        <v>31.59</v>
      </c>
      <c r="G48" s="534">
        <f t="shared" si="14"/>
        <v>27.99</v>
      </c>
      <c r="H48" s="534"/>
      <c r="I48" s="204"/>
      <c r="J48" s="8">
        <f t="shared" si="15"/>
        <v>1.0799999999999983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535">
        <v>510</v>
      </c>
      <c r="E49" s="535"/>
      <c r="F49" s="202">
        <f t="shared" si="25"/>
        <v>32.67</v>
      </c>
      <c r="G49" s="534">
        <f t="shared" si="14"/>
        <v>29.07</v>
      </c>
      <c r="H49" s="534"/>
      <c r="I49" s="204"/>
      <c r="J49" s="8">
        <f t="shared" si="15"/>
        <v>1.0800000000000018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535">
        <v>540</v>
      </c>
      <c r="E50" s="535"/>
      <c r="F50" s="202">
        <f t="shared" si="25"/>
        <v>33.75</v>
      </c>
      <c r="G50" s="534">
        <f t="shared" si="14"/>
        <v>30.15</v>
      </c>
      <c r="H50" s="534"/>
      <c r="I50" s="204"/>
      <c r="J50" s="8">
        <f t="shared" si="15"/>
        <v>1.0799999999999983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535">
        <v>600</v>
      </c>
      <c r="E51" s="535"/>
      <c r="F51" s="202">
        <f t="shared" si="25"/>
        <v>34.83</v>
      </c>
      <c r="G51" s="534">
        <f t="shared" si="14"/>
        <v>31.23</v>
      </c>
      <c r="H51" s="534"/>
      <c r="I51" s="204" t="s">
        <v>13</v>
      </c>
      <c r="J51" s="8">
        <f t="shared" si="15"/>
        <v>1.0800000000000018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7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>
    <tabColor rgb="FF00B050"/>
  </sheetPr>
  <dimension ref="A1:AL822"/>
  <sheetViews>
    <sheetView showGridLines="0" zoomScaleNormal="100" workbookViewId="0">
      <selection activeCell="P15" sqref="P15"/>
    </sheetView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6" t="s">
        <v>137</v>
      </c>
      <c r="M1" s="264">
        <f>P1-R1</f>
        <v>-4.3396755705798533</v>
      </c>
      <c r="N1" s="551" t="s">
        <v>136</v>
      </c>
      <c r="O1" s="551"/>
      <c r="P1" s="265">
        <f>StepTest!G41</f>
        <v>19.309999999999999</v>
      </c>
      <c r="Q1" s="425" t="s">
        <v>125</v>
      </c>
      <c r="R1" s="266">
        <f>G35</f>
        <v>23.649675570579852</v>
      </c>
      <c r="S1" s="267">
        <f>D7/2000</f>
        <v>0.125</v>
      </c>
      <c r="T1" s="268">
        <v>2.2684651866439514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StepTest!A4</f>
        <v>조 사 명</v>
      </c>
      <c r="B2" s="183"/>
      <c r="C2" s="56" t="str">
        <f>StepTest!C4</f>
        <v xml:space="preserve"> 2021년 상반기 소규모수도시설 사후관리 및 영향조사용역(3구역)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30.6</v>
      </c>
      <c r="T2" s="3">
        <v>0</v>
      </c>
      <c r="U2" s="14">
        <f>B10</f>
        <v>150</v>
      </c>
      <c r="V2" s="14">
        <f>U2</f>
        <v>150</v>
      </c>
      <c r="W2" s="3">
        <f>T1</f>
        <v>2.2684651866439514</v>
      </c>
      <c r="X2" s="3">
        <f>StepTest!U4</f>
        <v>0.125</v>
      </c>
      <c r="Y2" s="3">
        <f>Input!A45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22.367730866179095</v>
      </c>
      <c r="AC2" s="10">
        <f>1.6*V2/(4*PI()*W2)*LOG10((2.25*W2*Z2)/(X2*X2*Y2))</f>
        <v>22.367730866179095</v>
      </c>
      <c r="AD2" s="15">
        <v>0</v>
      </c>
      <c r="AE2" s="12">
        <f>AA2</f>
        <v>1</v>
      </c>
      <c r="AF2" s="10">
        <f>AC2-$P$3-O3</f>
        <v>2.4310769115568367</v>
      </c>
      <c r="AG2" s="10">
        <f>AC2</f>
        <v>22.367730866179095</v>
      </c>
    </row>
    <row r="3" spans="1:38" s="3" customFormat="1" ht="21.6" customHeight="1">
      <c r="A3" s="53" t="str">
        <f>StepTest!A5</f>
        <v>지 구 명</v>
      </c>
      <c r="B3" s="183"/>
      <c r="C3" s="56" t="str">
        <f>StepTest!C5</f>
        <v xml:space="preserve"> 고등리 382</v>
      </c>
      <c r="D3" s="57"/>
      <c r="E3" s="57"/>
      <c r="F3" s="186"/>
      <c r="G3" s="184"/>
      <c r="H3" s="187" t="str">
        <f>StepTest!H5</f>
        <v>공  번 : W - 1</v>
      </c>
      <c r="I3" s="187"/>
      <c r="J3" s="188"/>
      <c r="L3" s="367" t="s">
        <v>182</v>
      </c>
      <c r="M3" s="13">
        <f t="shared" ref="M3:M10" si="1">Q17</f>
        <v>0.31</v>
      </c>
      <c r="N3" s="62"/>
      <c r="O3" s="360">
        <v>-0.30334568100151704</v>
      </c>
      <c r="P3" s="359">
        <v>20.239999635623775</v>
      </c>
      <c r="V3" s="14">
        <f>V2</f>
        <v>150</v>
      </c>
      <c r="W3" s="3">
        <f>W$2</f>
        <v>2.2684651866439514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24.902153458737448</v>
      </c>
      <c r="AC3" s="10">
        <f t="shared" ref="AC3:AC36" si="4">1.6*V3/(4*PI()*W3)*LOG10((2.25*W3*Z3)/(X3*X3*Y3))</f>
        <v>24.902153458737448</v>
      </c>
      <c r="AD3" s="10">
        <f>AB69</f>
        <v>47.239999635623775</v>
      </c>
      <c r="AE3" s="12">
        <f t="shared" ref="AE3:AE66" si="5">AA3</f>
        <v>2</v>
      </c>
      <c r="AF3" s="10">
        <f t="shared" ref="AF3:AF16" si="6">AC3-$P$3-O4</f>
        <v>4.6621538231136732</v>
      </c>
      <c r="AG3" s="10">
        <f t="shared" ref="AG3:AG16" si="7">AC3</f>
        <v>24.902153458737448</v>
      </c>
    </row>
    <row r="4" spans="1:38" s="3" customFormat="1" ht="21.6" customHeight="1">
      <c r="A4" s="53" t="str">
        <f>StepTest!A6</f>
        <v>위    치</v>
      </c>
      <c r="B4" s="183"/>
      <c r="C4" s="56" t="str">
        <f>StepTest!C6</f>
        <v xml:space="preserve"> 세종특별자치시 소정면 고등리 382</v>
      </c>
      <c r="D4" s="58"/>
      <c r="E4" s="58"/>
      <c r="F4" s="184"/>
      <c r="G4" s="184"/>
      <c r="H4" s="184"/>
      <c r="I4" s="184"/>
      <c r="J4" s="185"/>
      <c r="L4" s="367" t="s">
        <v>183</v>
      </c>
      <c r="M4" s="13">
        <f t="shared" si="1"/>
        <v>0.42</v>
      </c>
      <c r="N4" s="62"/>
      <c r="O4" s="29"/>
      <c r="P4" s="29"/>
      <c r="V4" s="14">
        <f t="shared" ref="V4:V67" si="8">V3</f>
        <v>150</v>
      </c>
      <c r="W4" s="3">
        <f t="shared" ref="W4:W67" si="9">W$2</f>
        <v>2.2684651866439514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26.384695636364576</v>
      </c>
      <c r="AC4" s="10">
        <f t="shared" si="4"/>
        <v>26.384695636364576</v>
      </c>
      <c r="AD4" s="10">
        <f>AC69</f>
        <v>47.239999635623775</v>
      </c>
      <c r="AE4" s="12">
        <f t="shared" si="5"/>
        <v>3</v>
      </c>
      <c r="AF4" s="10">
        <f t="shared" si="6"/>
        <v>6.1446960007408009</v>
      </c>
      <c r="AG4" s="10">
        <f t="shared" si="7"/>
        <v>26.384695636364576</v>
      </c>
    </row>
    <row r="5" spans="1:38" s="3" customFormat="1" ht="21.6" customHeight="1">
      <c r="A5" s="53" t="str">
        <f>StepTest!A7</f>
        <v>조 사 자</v>
      </c>
      <c r="B5" s="183"/>
      <c r="C5" s="59" t="str">
        <f>StepTest!C7</f>
        <v xml:space="preserve"> 정진건설㈜</v>
      </c>
      <c r="E5" s="57"/>
      <c r="F5" s="189" t="s">
        <v>4</v>
      </c>
      <c r="G5" s="190">
        <f>Input!I50</f>
        <v>0</v>
      </c>
      <c r="H5" s="191"/>
      <c r="I5" s="191"/>
      <c r="J5" s="191"/>
      <c r="L5" s="367" t="s">
        <v>184</v>
      </c>
      <c r="M5" s="13">
        <f t="shared" si="1"/>
        <v>-0.22</v>
      </c>
      <c r="N5" s="62"/>
      <c r="O5" s="29"/>
      <c r="P5" s="29"/>
      <c r="V5" s="14">
        <f t="shared" si="8"/>
        <v>150</v>
      </c>
      <c r="W5" s="3">
        <f t="shared" si="9"/>
        <v>2.2684651866439514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27.436576051295798</v>
      </c>
      <c r="AC5" s="10">
        <f t="shared" si="4"/>
        <v>27.436576051295798</v>
      </c>
      <c r="AD5" s="10">
        <f>AF69</f>
        <v>27</v>
      </c>
      <c r="AE5" s="12">
        <f t="shared" si="5"/>
        <v>4</v>
      </c>
      <c r="AF5" s="10">
        <f t="shared" si="6"/>
        <v>7.1965764156720233</v>
      </c>
      <c r="AG5" s="10">
        <f t="shared" si="7"/>
        <v>27.436576051295798</v>
      </c>
    </row>
    <row r="6" spans="1:38" s="3" customFormat="1" ht="21.6" customHeight="1">
      <c r="A6" s="53" t="str">
        <f>StepTest!A8</f>
        <v>수중모타</v>
      </c>
      <c r="B6" s="183"/>
      <c r="C6" s="547">
        <f>StepTest!C8</f>
        <v>7.5</v>
      </c>
      <c r="D6" s="547"/>
      <c r="E6" s="548"/>
      <c r="F6" s="189" t="s">
        <v>6</v>
      </c>
      <c r="G6" s="190" t="str">
        <f>Input!I51</f>
        <v>개발시 적정채수량으로 적용 =</v>
      </c>
      <c r="H6" s="191"/>
      <c r="I6" s="191"/>
      <c r="J6" s="191"/>
      <c r="K6" s="3">
        <v>0.2</v>
      </c>
      <c r="L6" s="362">
        <v>0.2</v>
      </c>
      <c r="M6" s="13">
        <f t="shared" si="1"/>
        <v>-1.29</v>
      </c>
      <c r="N6" s="62"/>
      <c r="O6" s="29"/>
      <c r="P6" s="29"/>
      <c r="V6" s="14">
        <f t="shared" si="8"/>
        <v>150</v>
      </c>
      <c r="W6" s="3">
        <f t="shared" si="9"/>
        <v>2.2684651866439514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28.2524778881576</v>
      </c>
      <c r="AC6" s="10">
        <f t="shared" si="4"/>
        <v>28.2524778881576</v>
      </c>
      <c r="AE6" s="12">
        <f t="shared" si="5"/>
        <v>5</v>
      </c>
      <c r="AF6" s="10">
        <f t="shared" si="6"/>
        <v>8.0124782525338247</v>
      </c>
      <c r="AG6" s="10">
        <f t="shared" si="7"/>
        <v>28.2524778881576</v>
      </c>
      <c r="AL6" s="3">
        <f>10*(2.54/2/100)</f>
        <v>0.127</v>
      </c>
    </row>
    <row r="7" spans="1:38" s="3" customFormat="1" ht="21.6" customHeight="1">
      <c r="A7" s="53" t="str">
        <f>StepTest!A9</f>
        <v>우물현황</v>
      </c>
      <c r="B7" s="183"/>
      <c r="C7" s="192" t="str">
        <f>StepTest!C9</f>
        <v>직     경</v>
      </c>
      <c r="D7" s="193">
        <f>StepTest!D9</f>
        <v>250</v>
      </c>
      <c r="E7" s="194"/>
      <c r="F7" s="195" t="s">
        <v>8</v>
      </c>
      <c r="G7" s="250">
        <f>StepTest!G9</f>
        <v>50</v>
      </c>
      <c r="H7" s="184"/>
      <c r="I7" s="184"/>
      <c r="J7" s="185"/>
      <c r="M7" s="13">
        <f t="shared" si="1"/>
        <v>-2.59</v>
      </c>
      <c r="N7" s="62"/>
      <c r="O7" s="29"/>
      <c r="P7" s="29"/>
      <c r="V7" s="14">
        <f t="shared" si="8"/>
        <v>150</v>
      </c>
      <c r="W7" s="3">
        <f t="shared" si="9"/>
        <v>2.2684651866439514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30.786900480715953</v>
      </c>
      <c r="AC7" s="10">
        <f t="shared" si="4"/>
        <v>30.786900480715953</v>
      </c>
      <c r="AE7" s="12">
        <f t="shared" si="5"/>
        <v>10</v>
      </c>
      <c r="AF7" s="10">
        <f t="shared" si="6"/>
        <v>10.546900845092178</v>
      </c>
      <c r="AG7" s="10">
        <f t="shared" si="7"/>
        <v>30.786900480715953</v>
      </c>
      <c r="AL7" s="3">
        <f>AL6*2</f>
        <v>0.254</v>
      </c>
    </row>
    <row r="8" spans="1:38" s="3" customFormat="1" ht="21.6" customHeight="1">
      <c r="A8" s="53" t="str">
        <f>StepTest!A10</f>
        <v>양수시험</v>
      </c>
      <c r="B8" s="183"/>
      <c r="C8" s="196" t="s">
        <v>9</v>
      </c>
      <c r="D8" s="197">
        <f>StepTest!D10</f>
        <v>3.6</v>
      </c>
      <c r="E8" s="194"/>
      <c r="F8" s="195" t="s">
        <v>14</v>
      </c>
      <c r="G8" s="198">
        <f>F77</f>
        <v>30.6</v>
      </c>
      <c r="H8" s="191">
        <f>Input!C40</f>
        <v>150</v>
      </c>
      <c r="I8" s="191"/>
      <c r="J8" s="183"/>
      <c r="K8" s="379">
        <f>Input!M50</f>
        <v>27</v>
      </c>
      <c r="L8" s="363">
        <f>G10-K11</f>
        <v>0.20000000000000018</v>
      </c>
      <c r="M8" s="13">
        <f t="shared" si="1"/>
        <v>-10.67</v>
      </c>
      <c r="N8" s="62"/>
      <c r="O8" s="29"/>
      <c r="P8" s="29"/>
      <c r="V8" s="14">
        <f t="shared" si="8"/>
        <v>150</v>
      </c>
      <c r="W8" s="3">
        <f t="shared" si="9"/>
        <v>2.2684651866439514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32.269442658343081</v>
      </c>
      <c r="AC8" s="10">
        <f t="shared" si="4"/>
        <v>32.269442658343081</v>
      </c>
      <c r="AE8" s="12">
        <f t="shared" si="5"/>
        <v>15</v>
      </c>
      <c r="AF8" s="10">
        <f t="shared" si="6"/>
        <v>12.029443022719306</v>
      </c>
      <c r="AG8" s="10">
        <f t="shared" si="7"/>
        <v>32.269442658343081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50" t="s">
        <v>161</v>
      </c>
      <c r="E9" s="550"/>
      <c r="F9" s="180" t="s">
        <v>162</v>
      </c>
      <c r="G9" s="180" t="s">
        <v>163</v>
      </c>
      <c r="H9" s="378"/>
      <c r="I9" s="378"/>
      <c r="J9" s="378"/>
      <c r="K9" s="9">
        <f>G8-D8</f>
        <v>27</v>
      </c>
      <c r="M9" s="13">
        <f t="shared" si="1"/>
        <v>-19.79</v>
      </c>
      <c r="N9" s="62"/>
      <c r="O9" s="29"/>
      <c r="P9" s="29"/>
      <c r="V9" s="14">
        <f t="shared" si="8"/>
        <v>150</v>
      </c>
      <c r="W9" s="3">
        <f t="shared" si="9"/>
        <v>2.2684651866439514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33.3213230732743</v>
      </c>
      <c r="AC9" s="10">
        <f t="shared" si="4"/>
        <v>33.3213230732743</v>
      </c>
      <c r="AE9" s="12">
        <f t="shared" si="5"/>
        <v>20</v>
      </c>
      <c r="AF9" s="10">
        <f t="shared" si="6"/>
        <v>13.081323437650525</v>
      </c>
      <c r="AG9" s="10">
        <f t="shared" si="7"/>
        <v>33.3213230732743</v>
      </c>
    </row>
    <row r="10" spans="1:38" s="3" customFormat="1" ht="21" customHeight="1">
      <c r="A10" s="54">
        <v>1</v>
      </c>
      <c r="B10" s="61">
        <f>Input!C26</f>
        <v>150</v>
      </c>
      <c r="C10" s="55">
        <v>44375.388888888891</v>
      </c>
      <c r="D10" s="181">
        <v>1</v>
      </c>
      <c r="E10" s="249">
        <f>D10/1440</f>
        <v>6.9444444444444447E-4</v>
      </c>
      <c r="F10" s="182">
        <f>G10+D$8</f>
        <v>6.0310769115568368</v>
      </c>
      <c r="G10" s="277">
        <f>AF2</f>
        <v>2.4310769115568367</v>
      </c>
      <c r="H10" s="377"/>
      <c r="I10" s="377"/>
      <c r="J10" s="377"/>
      <c r="K10" s="263">
        <f>K8-K9</f>
        <v>0</v>
      </c>
      <c r="L10" s="9">
        <f>K10+Q17</f>
        <v>0.31</v>
      </c>
      <c r="M10" s="13">
        <f t="shared" si="1"/>
        <v>-29.34</v>
      </c>
      <c r="N10" s="62"/>
      <c r="O10" s="29"/>
      <c r="P10" s="29"/>
      <c r="V10" s="14">
        <f t="shared" si="8"/>
        <v>150</v>
      </c>
      <c r="W10" s="3">
        <f t="shared" si="9"/>
        <v>2.2684651866439514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34.137224910136105</v>
      </c>
      <c r="AC10" s="10">
        <f t="shared" si="4"/>
        <v>34.137224910136105</v>
      </c>
      <c r="AE10" s="12">
        <f t="shared" si="5"/>
        <v>25</v>
      </c>
      <c r="AF10" s="10">
        <f t="shared" si="6"/>
        <v>13.89722527451233</v>
      </c>
      <c r="AG10" s="10">
        <f t="shared" si="7"/>
        <v>34.137224910136105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8.2621538231136729</v>
      </c>
      <c r="G11" s="182">
        <f>AF3</f>
        <v>4.6621538231136732</v>
      </c>
      <c r="H11" s="377"/>
      <c r="I11" s="377"/>
      <c r="J11" s="377"/>
      <c r="K11" s="63">
        <f>G11-G10</f>
        <v>2.2310769115568365</v>
      </c>
      <c r="L11" s="9" t="s">
        <v>18</v>
      </c>
      <c r="N11" s="62"/>
      <c r="O11" s="29"/>
      <c r="V11" s="14">
        <f t="shared" si="8"/>
        <v>150</v>
      </c>
      <c r="W11" s="3">
        <f t="shared" si="9"/>
        <v>2.2684651866439514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34.803865250901431</v>
      </c>
      <c r="AC11" s="10">
        <f t="shared" si="4"/>
        <v>34.803865250901431</v>
      </c>
      <c r="AE11" s="12">
        <f t="shared" si="5"/>
        <v>30</v>
      </c>
      <c r="AF11" s="10">
        <f t="shared" si="6"/>
        <v>14.563865615277656</v>
      </c>
      <c r="AG11" s="10">
        <f t="shared" si="7"/>
        <v>34.803865250901431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9.7446960007408006</v>
      </c>
      <c r="G12" s="182">
        <f t="shared" ref="G12:G74" si="15">AF4</f>
        <v>6.1446960007408009</v>
      </c>
      <c r="H12" s="377"/>
      <c r="I12" s="377"/>
      <c r="J12" s="377"/>
      <c r="K12" s="63">
        <f t="shared" ref="K12:K47" si="16">G12-G11</f>
        <v>1.4825421776271277</v>
      </c>
      <c r="L12" s="9" t="s">
        <v>18</v>
      </c>
      <c r="N12" s="62"/>
      <c r="O12" s="29"/>
      <c r="V12" s="14">
        <f t="shared" si="8"/>
        <v>150</v>
      </c>
      <c r="W12" s="3">
        <f t="shared" si="9"/>
        <v>2.2684651866439514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35.367501627950283</v>
      </c>
      <c r="AC12" s="10">
        <f t="shared" si="4"/>
        <v>35.367501627950283</v>
      </c>
      <c r="AE12" s="12">
        <f t="shared" si="5"/>
        <v>35</v>
      </c>
      <c r="AF12" s="10">
        <f t="shared" si="6"/>
        <v>15.127501992326508</v>
      </c>
      <c r="AG12" s="10">
        <f t="shared" si="7"/>
        <v>35.367501627950283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10.796576415672023</v>
      </c>
      <c r="G13" s="182">
        <f t="shared" si="15"/>
        <v>7.1965764156720233</v>
      </c>
      <c r="H13" s="377"/>
      <c r="I13" s="377"/>
      <c r="J13" s="377"/>
      <c r="K13" s="63">
        <f t="shared" si="16"/>
        <v>1.0518804149312224</v>
      </c>
      <c r="L13" s="9" t="s">
        <v>18</v>
      </c>
      <c r="N13" s="62"/>
      <c r="O13" s="29"/>
      <c r="V13" s="14">
        <f t="shared" si="8"/>
        <v>150</v>
      </c>
      <c r="W13" s="3">
        <f t="shared" si="9"/>
        <v>2.2684651866439514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35.855745665832657</v>
      </c>
      <c r="AC13" s="10">
        <f t="shared" si="4"/>
        <v>35.855745665832657</v>
      </c>
      <c r="AE13" s="12">
        <f t="shared" si="5"/>
        <v>40</v>
      </c>
      <c r="AF13" s="10">
        <f t="shared" si="6"/>
        <v>15.615746030208882</v>
      </c>
      <c r="AG13" s="10">
        <f t="shared" si="7"/>
        <v>35.855745665832657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11.612478252533824</v>
      </c>
      <c r="G14" s="182">
        <f t="shared" si="15"/>
        <v>8.0124782525338247</v>
      </c>
      <c r="H14" s="377"/>
      <c r="I14" s="377"/>
      <c r="J14" s="377"/>
      <c r="K14" s="63">
        <f t="shared" si="16"/>
        <v>0.8159018368618014</v>
      </c>
      <c r="L14" s="9" t="s">
        <v>18</v>
      </c>
      <c r="N14" s="62"/>
      <c r="O14" s="29"/>
      <c r="V14" s="14">
        <f t="shared" si="8"/>
        <v>150</v>
      </c>
      <c r="W14" s="3">
        <f t="shared" si="9"/>
        <v>2.2684651866439514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36.286407428528562</v>
      </c>
      <c r="AC14" s="10">
        <f t="shared" si="4"/>
        <v>36.286407428528562</v>
      </c>
      <c r="AE14" s="12">
        <f t="shared" si="5"/>
        <v>45</v>
      </c>
      <c r="AF14" s="10">
        <f t="shared" si="6"/>
        <v>16.046407792904787</v>
      </c>
      <c r="AG14" s="10">
        <f t="shared" si="7"/>
        <v>36.286407428528562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14.146900845092178</v>
      </c>
      <c r="G15" s="182">
        <f t="shared" si="15"/>
        <v>10.546900845092178</v>
      </c>
      <c r="H15" s="377"/>
      <c r="I15" s="377"/>
      <c r="J15" s="377"/>
      <c r="K15" s="63">
        <f t="shared" si="16"/>
        <v>2.5344225925583537</v>
      </c>
      <c r="L15" s="9" t="s">
        <v>18</v>
      </c>
      <c r="N15" s="68"/>
      <c r="O15" s="361"/>
      <c r="V15" s="14">
        <f t="shared" si="8"/>
        <v>150</v>
      </c>
      <c r="W15" s="3">
        <f t="shared" si="9"/>
        <v>2.2684651866439514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36.671647502694455</v>
      </c>
      <c r="AC15" s="10">
        <f t="shared" si="4"/>
        <v>36.671647502694455</v>
      </c>
      <c r="AE15" s="12">
        <f t="shared" si="5"/>
        <v>50</v>
      </c>
      <c r="AF15" s="10">
        <f t="shared" si="6"/>
        <v>16.43164786707068</v>
      </c>
      <c r="AG15" s="10">
        <f t="shared" si="7"/>
        <v>36.671647502694455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15.629443022719306</v>
      </c>
      <c r="G16" s="182">
        <f t="shared" si="15"/>
        <v>12.029443022719306</v>
      </c>
      <c r="H16" s="377"/>
      <c r="I16" s="377"/>
      <c r="J16" s="377"/>
      <c r="K16" s="63">
        <f t="shared" si="16"/>
        <v>1.4825421776271277</v>
      </c>
      <c r="L16" s="65"/>
      <c r="N16" s="66"/>
      <c r="O16" s="15"/>
      <c r="Q16" s="13"/>
      <c r="V16" s="14">
        <f t="shared" si="8"/>
        <v>150</v>
      </c>
      <c r="W16" s="3">
        <f t="shared" si="9"/>
        <v>2.2684651866439514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37.020139539842674</v>
      </c>
      <c r="AC16" s="10">
        <f t="shared" si="4"/>
        <v>37.020139539842674</v>
      </c>
      <c r="AE16" s="12">
        <f t="shared" si="5"/>
        <v>55</v>
      </c>
      <c r="AF16" s="10">
        <f t="shared" si="6"/>
        <v>16.731059904218899</v>
      </c>
      <c r="AG16" s="10">
        <f t="shared" si="7"/>
        <v>37.020139539842674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16.681323437650526</v>
      </c>
      <c r="G17" s="182">
        <f t="shared" si="15"/>
        <v>13.081323437650525</v>
      </c>
      <c r="H17" s="377"/>
      <c r="I17" s="377"/>
      <c r="J17" s="377"/>
      <c r="K17" s="63">
        <f t="shared" si="16"/>
        <v>1.0518804149312189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0.31</v>
      </c>
      <c r="V17" s="14">
        <f t="shared" si="8"/>
        <v>150</v>
      </c>
      <c r="W17" s="3">
        <f t="shared" si="9"/>
        <v>2.2684651866439514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37.338287843459788</v>
      </c>
      <c r="AC17" s="10">
        <f t="shared" si="4"/>
        <v>37.338287843459788</v>
      </c>
      <c r="AE17" s="12">
        <f t="shared" si="5"/>
        <v>60</v>
      </c>
      <c r="AF17" s="10">
        <f t="shared" ref="AF17:AF48" si="17">AC17-$P$3</f>
        <v>17.098288207836013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17.497225274512331</v>
      </c>
      <c r="G18" s="182">
        <f t="shared" si="15"/>
        <v>13.89722527451233</v>
      </c>
      <c r="H18" s="377"/>
      <c r="I18" s="377"/>
      <c r="J18" s="377"/>
      <c r="K18" s="63">
        <f t="shared" si="16"/>
        <v>0.81590183686180495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0.42</v>
      </c>
      <c r="V18" s="14">
        <f t="shared" si="8"/>
        <v>150</v>
      </c>
      <c r="W18" s="3">
        <f t="shared" si="9"/>
        <v>2.2684651866439514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38.154189680321586</v>
      </c>
      <c r="AC18" s="10">
        <f t="shared" si="4"/>
        <v>38.154189680321586</v>
      </c>
      <c r="AE18" s="12">
        <f t="shared" si="5"/>
        <v>75</v>
      </c>
      <c r="AF18" s="10">
        <f t="shared" si="17"/>
        <v>17.914190044697811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18.163865615277658</v>
      </c>
      <c r="G19" s="182">
        <f t="shared" si="15"/>
        <v>14.563865615277656</v>
      </c>
      <c r="H19" s="377"/>
      <c r="I19" s="377"/>
      <c r="J19" s="377"/>
      <c r="K19" s="63">
        <f t="shared" si="16"/>
        <v>0.6666403407653263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-0.22</v>
      </c>
      <c r="V19" s="14">
        <f t="shared" si="8"/>
        <v>150</v>
      </c>
      <c r="W19" s="3">
        <f t="shared" si="9"/>
        <v>2.2684651866439514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38.82083002108692</v>
      </c>
      <c r="AC19" s="10">
        <f t="shared" si="4"/>
        <v>38.82083002108692</v>
      </c>
      <c r="AE19" s="12">
        <f t="shared" si="5"/>
        <v>90</v>
      </c>
      <c r="AF19" s="10">
        <f t="shared" si="17"/>
        <v>18.580830385463145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18.727501992326509</v>
      </c>
      <c r="G20" s="182">
        <f t="shared" si="15"/>
        <v>15.127501992326508</v>
      </c>
      <c r="H20" s="377"/>
      <c r="I20" s="377"/>
      <c r="J20" s="377"/>
      <c r="K20" s="63">
        <f t="shared" si="16"/>
        <v>0.5636363770488515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-1.29</v>
      </c>
      <c r="V20" s="14">
        <f t="shared" si="8"/>
        <v>150</v>
      </c>
      <c r="W20" s="3">
        <f t="shared" si="9"/>
        <v>2.2684651866439514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39.384466398135764</v>
      </c>
      <c r="AC20" s="10">
        <f t="shared" si="4"/>
        <v>39.384466398135764</v>
      </c>
      <c r="AE20" s="12">
        <f t="shared" si="5"/>
        <v>105</v>
      </c>
      <c r="AF20" s="10">
        <f t="shared" si="17"/>
        <v>19.144466762511989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19.215746030208884</v>
      </c>
      <c r="G21" s="182">
        <f t="shared" si="15"/>
        <v>15.615746030208882</v>
      </c>
      <c r="H21" s="377"/>
      <c r="I21" s="377"/>
      <c r="J21" s="377"/>
      <c r="K21" s="63">
        <f t="shared" si="16"/>
        <v>0.48824403788237447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-2.59</v>
      </c>
      <c r="V21" s="14">
        <f t="shared" si="8"/>
        <v>150</v>
      </c>
      <c r="W21" s="3">
        <f t="shared" si="9"/>
        <v>2.2684651866439514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39.872710436018139</v>
      </c>
      <c r="AC21" s="10">
        <f t="shared" si="4"/>
        <v>39.872710436018139</v>
      </c>
      <c r="AE21" s="12">
        <f t="shared" si="5"/>
        <v>120</v>
      </c>
      <c r="AF21" s="10">
        <f t="shared" si="17"/>
        <v>19.632710800394364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19.646407792904789</v>
      </c>
      <c r="G22" s="182">
        <f t="shared" si="15"/>
        <v>16.046407792904787</v>
      </c>
      <c r="H22" s="377"/>
      <c r="I22" s="377"/>
      <c r="J22" s="377"/>
      <c r="K22" s="63">
        <f t="shared" si="16"/>
        <v>0.43066176269590528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-10.67</v>
      </c>
      <c r="V22" s="14">
        <f t="shared" si="8"/>
        <v>150</v>
      </c>
      <c r="W22" s="3">
        <f t="shared" si="9"/>
        <v>2.2684651866439514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40.43634681306699</v>
      </c>
      <c r="AC22" s="10">
        <f t="shared" si="4"/>
        <v>40.43634681306699</v>
      </c>
      <c r="AE22" s="12">
        <f t="shared" si="5"/>
        <v>140</v>
      </c>
      <c r="AF22" s="10">
        <f t="shared" si="17"/>
        <v>20.196347177443215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20.031647867070681</v>
      </c>
      <c r="G23" s="182">
        <f t="shared" si="15"/>
        <v>16.43164786707068</v>
      </c>
      <c r="H23" s="377"/>
      <c r="I23" s="377"/>
      <c r="J23" s="377"/>
      <c r="K23" s="63">
        <f t="shared" si="16"/>
        <v>0.38524007416589257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-19.79</v>
      </c>
      <c r="V23" s="14">
        <f t="shared" si="8"/>
        <v>150</v>
      </c>
      <c r="W23" s="3">
        <f t="shared" si="9"/>
        <v>2.2684651866439514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40.924590850949365</v>
      </c>
      <c r="AC23" s="10">
        <f t="shared" si="4"/>
        <v>40.924590850949365</v>
      </c>
      <c r="AE23" s="12">
        <f t="shared" si="5"/>
        <v>160</v>
      </c>
      <c r="AF23" s="10">
        <f t="shared" si="17"/>
        <v>20.68459121532559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20.3310599042189</v>
      </c>
      <c r="G24" s="182">
        <f t="shared" si="15"/>
        <v>16.731059904218899</v>
      </c>
      <c r="H24" s="377"/>
      <c r="I24" s="377"/>
      <c r="J24" s="377"/>
      <c r="K24" s="63">
        <f t="shared" si="16"/>
        <v>0.29941203714821896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-29.34</v>
      </c>
      <c r="V24" s="14">
        <f t="shared" si="8"/>
        <v>150</v>
      </c>
      <c r="W24" s="3">
        <f t="shared" si="9"/>
        <v>2.2684651866439514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41.35525261364527</v>
      </c>
      <c r="AC24" s="10">
        <f t="shared" si="4"/>
        <v>41.35525261364527</v>
      </c>
      <c r="AE24" s="12">
        <f t="shared" si="5"/>
        <v>180</v>
      </c>
      <c r="AF24" s="10">
        <f t="shared" si="17"/>
        <v>21.115252978021495</v>
      </c>
    </row>
    <row r="25" spans="1:32" s="3" customFormat="1" ht="21" customHeight="1">
      <c r="A25" s="54"/>
      <c r="B25" s="54"/>
      <c r="C25" s="55">
        <f>$C$10+D25/1440</f>
        <v>44375.430555555555</v>
      </c>
      <c r="D25" s="181">
        <v>60</v>
      </c>
      <c r="E25" s="249">
        <f t="shared" si="13"/>
        <v>4.1666666666666664E-2</v>
      </c>
      <c r="F25" s="182">
        <f t="shared" si="14"/>
        <v>20.698288207836015</v>
      </c>
      <c r="G25" s="182">
        <f t="shared" si="15"/>
        <v>17.098288207836013</v>
      </c>
      <c r="H25" s="377"/>
      <c r="I25" s="377"/>
      <c r="J25" s="377"/>
      <c r="K25" s="63">
        <f t="shared" si="16"/>
        <v>0.36722830361711445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-39.130000000000003</v>
      </c>
      <c r="V25" s="14">
        <f t="shared" si="8"/>
        <v>150</v>
      </c>
      <c r="W25" s="3">
        <f t="shared" si="9"/>
        <v>2.2684651866439514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42.407133028576496</v>
      </c>
      <c r="AC25" s="10">
        <f t="shared" si="4"/>
        <v>42.407133028576496</v>
      </c>
      <c r="AE25" s="12">
        <f t="shared" si="5"/>
        <v>240</v>
      </c>
      <c r="AF25" s="10">
        <f t="shared" si="17"/>
        <v>22.167133392952721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21.514190044697813</v>
      </c>
      <c r="G26" s="182">
        <f t="shared" si="15"/>
        <v>17.914190044697811</v>
      </c>
      <c r="H26" s="377"/>
      <c r="I26" s="377"/>
      <c r="J26" s="377"/>
      <c r="K26" s="63">
        <f t="shared" si="16"/>
        <v>0.81590183686179785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-49.07</v>
      </c>
      <c r="V26" s="14">
        <f t="shared" si="8"/>
        <v>150</v>
      </c>
      <c r="W26" s="3">
        <f t="shared" si="9"/>
        <v>2.2684651866439514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43.223034865438294</v>
      </c>
      <c r="AC26" s="10">
        <f t="shared" si="4"/>
        <v>43.223034865438294</v>
      </c>
      <c r="AE26" s="12">
        <f t="shared" si="5"/>
        <v>300</v>
      </c>
      <c r="AF26" s="10">
        <f t="shared" si="17"/>
        <v>22.983035229814519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22.180830385463146</v>
      </c>
      <c r="G27" s="182">
        <f t="shared" si="15"/>
        <v>18.580830385463145</v>
      </c>
      <c r="H27" s="377"/>
      <c r="I27" s="377"/>
      <c r="J27" s="377"/>
      <c r="K27" s="63">
        <f t="shared" si="16"/>
        <v>0.66664034076533341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-59.11</v>
      </c>
      <c r="V27" s="14">
        <f t="shared" si="8"/>
        <v>150</v>
      </c>
      <c r="W27" s="3">
        <f t="shared" si="9"/>
        <v>2.2684651866439514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43.889675206203627</v>
      </c>
      <c r="AC27" s="10">
        <f t="shared" si="4"/>
        <v>43.889675206203627</v>
      </c>
      <c r="AE27" s="12">
        <f t="shared" si="5"/>
        <v>360</v>
      </c>
      <c r="AF27" s="10">
        <f t="shared" si="17"/>
        <v>23.649675570579852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22.744466762511991</v>
      </c>
      <c r="G28" s="182">
        <f t="shared" si="15"/>
        <v>19.144466762511989</v>
      </c>
      <c r="H28" s="377"/>
      <c r="I28" s="377"/>
      <c r="J28" s="377"/>
      <c r="K28" s="63">
        <f t="shared" si="16"/>
        <v>0.56363637704884439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-69.23</v>
      </c>
      <c r="V28" s="14">
        <f t="shared" si="8"/>
        <v>150</v>
      </c>
      <c r="W28" s="3">
        <f t="shared" si="9"/>
        <v>2.2684651866439514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44.453311583252471</v>
      </c>
      <c r="AC28" s="10">
        <f t="shared" si="4"/>
        <v>44.453311583252471</v>
      </c>
      <c r="AE28" s="12">
        <f t="shared" si="5"/>
        <v>420</v>
      </c>
      <c r="AF28" s="10">
        <f t="shared" si="17"/>
        <v>24.213311947628696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23.232710800394365</v>
      </c>
      <c r="G29" s="182">
        <f t="shared" si="15"/>
        <v>19.632710800394364</v>
      </c>
      <c r="H29" s="377"/>
      <c r="I29" s="377"/>
      <c r="J29" s="377"/>
      <c r="K29" s="63">
        <f t="shared" si="16"/>
        <v>0.48824403788237447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-79.400000000000006</v>
      </c>
      <c r="V29" s="14">
        <f t="shared" si="8"/>
        <v>150</v>
      </c>
      <c r="W29" s="3">
        <f t="shared" si="9"/>
        <v>2.2684651866439514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44.941555621134846</v>
      </c>
      <c r="AC29" s="10">
        <f t="shared" si="4"/>
        <v>44.941555621134846</v>
      </c>
      <c r="AE29" s="12">
        <f t="shared" si="5"/>
        <v>480</v>
      </c>
      <c r="AF29" s="10">
        <f t="shared" si="17"/>
        <v>24.701555985511071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23.796347177443216</v>
      </c>
      <c r="G30" s="182">
        <f t="shared" si="15"/>
        <v>20.196347177443215</v>
      </c>
      <c r="H30" s="377"/>
      <c r="I30" s="377"/>
      <c r="J30" s="377"/>
      <c r="K30" s="63">
        <f t="shared" si="16"/>
        <v>0.5636363770488515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-89.62</v>
      </c>
      <c r="V30" s="14">
        <f t="shared" si="8"/>
        <v>150</v>
      </c>
      <c r="W30" s="3">
        <f t="shared" si="9"/>
        <v>2.2684651866439514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45.372217383830758</v>
      </c>
      <c r="AC30" s="10">
        <f t="shared" si="4"/>
        <v>45.372217383830758</v>
      </c>
      <c r="AE30" s="12">
        <f t="shared" si="5"/>
        <v>540</v>
      </c>
      <c r="AF30" s="10">
        <f t="shared" si="17"/>
        <v>25.132217748206983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24.284591215325591</v>
      </c>
      <c r="G31" s="182">
        <f t="shared" si="15"/>
        <v>20.68459121532559</v>
      </c>
      <c r="H31" s="377"/>
      <c r="I31" s="377"/>
      <c r="J31" s="377"/>
      <c r="K31" s="63">
        <f t="shared" si="16"/>
        <v>0.48824403788237447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-99.92</v>
      </c>
      <c r="V31" s="14">
        <f t="shared" si="8"/>
        <v>150</v>
      </c>
      <c r="W31" s="3">
        <f t="shared" si="9"/>
        <v>2.2684651866439514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45.757457457996644</v>
      </c>
      <c r="AC31" s="10">
        <f t="shared" si="4"/>
        <v>45.757457457996644</v>
      </c>
      <c r="AE31" s="12">
        <f t="shared" si="5"/>
        <v>600</v>
      </c>
      <c r="AF31" s="10">
        <f t="shared" si="17"/>
        <v>25.517457822372869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24.715252978021496</v>
      </c>
      <c r="G32" s="182">
        <f t="shared" si="15"/>
        <v>21.115252978021495</v>
      </c>
      <c r="H32" s="377"/>
      <c r="I32" s="377"/>
      <c r="J32" s="377"/>
      <c r="K32" s="63">
        <f t="shared" si="16"/>
        <v>0.43066176269590528</v>
      </c>
      <c r="L32" s="65" t="s">
        <v>18</v>
      </c>
      <c r="O32" s="67"/>
      <c r="V32" s="14">
        <f t="shared" si="8"/>
        <v>150</v>
      </c>
      <c r="W32" s="3">
        <f t="shared" si="9"/>
        <v>2.2684651866439514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46.10594949514487</v>
      </c>
      <c r="AC32" s="10">
        <f t="shared" si="4"/>
        <v>46.10594949514487</v>
      </c>
      <c r="AE32" s="12">
        <f t="shared" si="5"/>
        <v>660</v>
      </c>
      <c r="AF32" s="10">
        <f t="shared" si="17"/>
        <v>25.865949859521095</v>
      </c>
    </row>
    <row r="33" spans="1:32" s="3" customFormat="1" ht="21" customHeight="1">
      <c r="A33" s="54"/>
      <c r="B33" s="54"/>
      <c r="C33" s="55">
        <f>$C$10+D33/1440</f>
        <v>44375.555555555555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25.767133392952722</v>
      </c>
      <c r="G33" s="182">
        <f t="shared" si="15"/>
        <v>22.167133392952721</v>
      </c>
      <c r="H33" s="377"/>
      <c r="I33" s="377"/>
      <c r="J33" s="377"/>
      <c r="K33" s="63">
        <f t="shared" si="16"/>
        <v>1.051880414931226</v>
      </c>
      <c r="L33" s="9" t="s">
        <v>18</v>
      </c>
      <c r="O33" s="67"/>
      <c r="V33" s="14">
        <f t="shared" si="8"/>
        <v>150</v>
      </c>
      <c r="W33" s="3">
        <f t="shared" si="9"/>
        <v>2.2684651866439514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46.424097798761977</v>
      </c>
      <c r="AC33" s="10">
        <f t="shared" si="4"/>
        <v>46.424097798761977</v>
      </c>
      <c r="AE33" s="12">
        <f t="shared" si="5"/>
        <v>720</v>
      </c>
      <c r="AF33" s="10">
        <f t="shared" si="17"/>
        <v>26.184098163138202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26.58303522981452</v>
      </c>
      <c r="G34" s="182">
        <f t="shared" si="15"/>
        <v>22.983035229814519</v>
      </c>
      <c r="H34" s="377"/>
      <c r="I34" s="377"/>
      <c r="J34" s="377"/>
      <c r="K34" s="63">
        <f t="shared" si="16"/>
        <v>0.81590183686179785</v>
      </c>
      <c r="L34" s="9" t="s">
        <v>18</v>
      </c>
      <c r="P34" s="67"/>
      <c r="V34" s="14">
        <f t="shared" si="8"/>
        <v>150</v>
      </c>
      <c r="W34" s="3">
        <f t="shared" si="9"/>
        <v>2.2684651866439514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46.716765867516834</v>
      </c>
      <c r="AC34" s="10">
        <f t="shared" si="4"/>
        <v>46.716765867516834</v>
      </c>
      <c r="AE34" s="12">
        <f t="shared" si="5"/>
        <v>780</v>
      </c>
      <c r="AF34" s="10">
        <f t="shared" si="17"/>
        <v>26.476766231893059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27.249675570579853</v>
      </c>
      <c r="G35" s="182">
        <f t="shared" si="15"/>
        <v>23.649675570579852</v>
      </c>
      <c r="H35" s="377"/>
      <c r="I35" s="377"/>
      <c r="J35" s="377"/>
      <c r="K35" s="63">
        <f t="shared" si="16"/>
        <v>0.66664034076533341</v>
      </c>
      <c r="L35" s="9" t="s">
        <v>18</v>
      </c>
      <c r="O35" s="67"/>
      <c r="V35" s="14">
        <f t="shared" si="8"/>
        <v>150</v>
      </c>
      <c r="W35" s="3">
        <f t="shared" si="9"/>
        <v>2.2684651866439514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46.987734175810829</v>
      </c>
      <c r="AC35" s="10">
        <f t="shared" si="4"/>
        <v>46.987734175810829</v>
      </c>
      <c r="AE35" s="12">
        <f t="shared" si="5"/>
        <v>840</v>
      </c>
      <c r="AF35" s="10">
        <f t="shared" si="17"/>
        <v>26.747734540187054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27.813311947628698</v>
      </c>
      <c r="G36" s="182">
        <f t="shared" si="15"/>
        <v>24.213311947628696</v>
      </c>
      <c r="H36" s="377"/>
      <c r="I36" s="377"/>
      <c r="J36" s="377"/>
      <c r="K36" s="63">
        <f t="shared" si="16"/>
        <v>0.56363637704884439</v>
      </c>
      <c r="L36" s="9" t="s">
        <v>18</v>
      </c>
      <c r="V36" s="14">
        <f t="shared" si="8"/>
        <v>150</v>
      </c>
      <c r="W36" s="3">
        <f t="shared" si="9"/>
        <v>2.2684651866439514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47.239999635623775</v>
      </c>
      <c r="AC36" s="10">
        <f t="shared" si="4"/>
        <v>47.239999635623775</v>
      </c>
      <c r="AE36" s="12">
        <f t="shared" si="5"/>
        <v>900</v>
      </c>
      <c r="AF36" s="10">
        <f t="shared" si="17"/>
        <v>27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28.301555985511072</v>
      </c>
      <c r="G37" s="182">
        <f t="shared" si="15"/>
        <v>24.701555985511071</v>
      </c>
      <c r="H37" s="377"/>
      <c r="I37" s="377"/>
      <c r="J37" s="377"/>
      <c r="K37" s="63">
        <f t="shared" si="16"/>
        <v>0.48824403788237447</v>
      </c>
      <c r="L37" s="9" t="s">
        <v>18</v>
      </c>
      <c r="V37" s="14">
        <f t="shared" si="8"/>
        <v>150</v>
      </c>
      <c r="W37" s="3">
        <f t="shared" si="9"/>
        <v>2.2684651866439514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47.239999635623775</v>
      </c>
      <c r="AC37" s="10">
        <f t="shared" ref="AC37:AC38" si="27">AC36</f>
        <v>47.239999635623775</v>
      </c>
      <c r="AD37" s="3">
        <v>37</v>
      </c>
      <c r="AE37" s="12">
        <f t="shared" si="5"/>
        <v>960</v>
      </c>
      <c r="AF37" s="10">
        <f t="shared" si="17"/>
        <v>27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28.732217748206985</v>
      </c>
      <c r="G38" s="182">
        <f t="shared" si="15"/>
        <v>25.132217748206983</v>
      </c>
      <c r="H38" s="377"/>
      <c r="I38" s="377"/>
      <c r="J38" s="377"/>
      <c r="K38" s="63">
        <f t="shared" si="16"/>
        <v>0.43066176269591239</v>
      </c>
      <c r="L38" s="9" t="s">
        <v>18</v>
      </c>
      <c r="V38" s="14">
        <f t="shared" si="8"/>
        <v>150</v>
      </c>
      <c r="W38" s="3">
        <f t="shared" si="9"/>
        <v>2.2684651866439514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47.239999635623775</v>
      </c>
      <c r="AC38" s="10">
        <f t="shared" si="27"/>
        <v>47.239999635623775</v>
      </c>
      <c r="AD38" s="29" t="s">
        <v>28</v>
      </c>
      <c r="AE38" s="12">
        <f t="shared" si="5"/>
        <v>1020</v>
      </c>
      <c r="AF38" s="10">
        <f t="shared" si="17"/>
        <v>27</v>
      </c>
    </row>
    <row r="39" spans="1:32" s="3" customFormat="1" ht="21" customHeight="1">
      <c r="A39" s="54"/>
      <c r="B39" s="54"/>
      <c r="C39" s="55">
        <f>$C$10+D39/1440</f>
        <v>44375.805555555555</v>
      </c>
      <c r="D39" s="181">
        <f t="shared" si="25"/>
        <v>600</v>
      </c>
      <c r="E39" s="249">
        <f t="shared" si="24"/>
        <v>0.41666666666666669</v>
      </c>
      <c r="F39" s="182">
        <f t="shared" si="14"/>
        <v>29.11745782237287</v>
      </c>
      <c r="G39" s="182">
        <f t="shared" si="15"/>
        <v>25.517457822372869</v>
      </c>
      <c r="H39" s="377"/>
      <c r="I39" s="377"/>
      <c r="J39" s="377"/>
      <c r="K39" s="63">
        <f t="shared" si="16"/>
        <v>0.38524007416588546</v>
      </c>
      <c r="L39" s="9" t="s">
        <v>18</v>
      </c>
      <c r="V39" s="14">
        <f t="shared" si="8"/>
        <v>150</v>
      </c>
      <c r="W39" s="3">
        <f t="shared" si="9"/>
        <v>2.2684651866439514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47.239999635623775</v>
      </c>
      <c r="AC39" s="10">
        <f t="shared" ref="AC39:AC41" si="28">AC38</f>
        <v>47.239999635623775</v>
      </c>
      <c r="AD39" s="353">
        <v>39</v>
      </c>
      <c r="AE39" s="12">
        <f t="shared" si="5"/>
        <v>1080</v>
      </c>
      <c r="AF39" s="10">
        <f t="shared" si="17"/>
        <v>27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29.465949859521096</v>
      </c>
      <c r="G40" s="182">
        <f t="shared" si="15"/>
        <v>25.865949859521095</v>
      </c>
      <c r="H40" s="377"/>
      <c r="I40" s="377"/>
      <c r="J40" s="377"/>
      <c r="K40" s="63">
        <f t="shared" si="16"/>
        <v>0.34849203714822607</v>
      </c>
      <c r="L40" s="9" t="s">
        <v>18</v>
      </c>
      <c r="V40" s="14">
        <f t="shared" si="8"/>
        <v>150</v>
      </c>
      <c r="W40" s="3">
        <f t="shared" si="9"/>
        <v>2.2684651866439514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47.239999635623775</v>
      </c>
      <c r="AC40" s="10">
        <f t="shared" si="28"/>
        <v>47.239999635623775</v>
      </c>
      <c r="AD40" s="353">
        <v>40</v>
      </c>
      <c r="AE40" s="12">
        <f t="shared" si="5"/>
        <v>1140</v>
      </c>
      <c r="AF40" s="10">
        <f t="shared" si="17"/>
        <v>27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29.784098163138204</v>
      </c>
      <c r="G41" s="182">
        <f t="shared" si="15"/>
        <v>26.184098163138202</v>
      </c>
      <c r="H41" s="377"/>
      <c r="I41" s="377"/>
      <c r="J41" s="377"/>
      <c r="K41" s="63">
        <f t="shared" si="16"/>
        <v>0.31814830361710733</v>
      </c>
      <c r="L41" s="9" t="s">
        <v>18</v>
      </c>
      <c r="V41" s="350">
        <f t="shared" si="8"/>
        <v>150</v>
      </c>
      <c r="W41" s="349">
        <f t="shared" si="9"/>
        <v>2.2684651866439514</v>
      </c>
      <c r="X41" s="349">
        <f t="shared" si="10"/>
        <v>0.125</v>
      </c>
      <c r="Y41" s="349">
        <f t="shared" si="11"/>
        <v>5.0000000000000001E-4</v>
      </c>
      <c r="Z41" s="349">
        <f t="shared" si="2"/>
        <v>0.83333333333333337</v>
      </c>
      <c r="AA41" s="351">
        <f t="shared" si="12"/>
        <v>1200</v>
      </c>
      <c r="AB41" s="352">
        <f t="shared" si="26"/>
        <v>47.239999635623775</v>
      </c>
      <c r="AC41" s="10">
        <f t="shared" si="28"/>
        <v>47.239999635623775</v>
      </c>
      <c r="AD41" s="354">
        <v>41</v>
      </c>
      <c r="AE41" s="12">
        <f t="shared" si="5"/>
        <v>1200</v>
      </c>
      <c r="AF41" s="10">
        <f t="shared" si="17"/>
        <v>27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30.07676623189306</v>
      </c>
      <c r="G42" s="182">
        <f t="shared" si="15"/>
        <v>26.476766231893059</v>
      </c>
      <c r="H42" s="377"/>
      <c r="I42" s="377"/>
      <c r="J42" s="377"/>
      <c r="K42" s="63">
        <f t="shared" si="16"/>
        <v>0.29266806875485685</v>
      </c>
      <c r="L42" s="9" t="s">
        <v>18</v>
      </c>
      <c r="V42" s="14">
        <f t="shared" si="8"/>
        <v>150</v>
      </c>
      <c r="W42" s="3">
        <f t="shared" si="9"/>
        <v>2.2684651866439514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47.239999635623775</v>
      </c>
      <c r="AC42" s="10">
        <f t="shared" ref="AC42:AC46" si="30">AC41</f>
        <v>47.239999635623775</v>
      </c>
      <c r="AD42" s="353">
        <v>42</v>
      </c>
      <c r="AE42" s="12">
        <f t="shared" si="5"/>
        <v>1260</v>
      </c>
      <c r="AF42" s="10">
        <f t="shared" si="17"/>
        <v>27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30.347734540187055</v>
      </c>
      <c r="G43" s="182">
        <f t="shared" si="15"/>
        <v>26.747734540187054</v>
      </c>
      <c r="H43" s="377"/>
      <c r="I43" s="377"/>
      <c r="J43" s="377"/>
      <c r="K43" s="63">
        <f t="shared" si="16"/>
        <v>0.27096830829399465</v>
      </c>
      <c r="L43" s="9" t="s">
        <v>18</v>
      </c>
      <c r="V43" s="350">
        <f t="shared" si="8"/>
        <v>150</v>
      </c>
      <c r="W43" s="349">
        <f t="shared" si="9"/>
        <v>2.2684651866439514</v>
      </c>
      <c r="X43" s="349">
        <f t="shared" si="10"/>
        <v>0.125</v>
      </c>
      <c r="Y43" s="349">
        <f t="shared" si="11"/>
        <v>5.0000000000000001E-4</v>
      </c>
      <c r="Z43" s="349">
        <f t="shared" si="2"/>
        <v>0.91666666666666663</v>
      </c>
      <c r="AA43" s="351">
        <f t="shared" si="29"/>
        <v>1320</v>
      </c>
      <c r="AB43" s="352">
        <f t="shared" si="26"/>
        <v>47.239999635623775</v>
      </c>
      <c r="AC43" s="10">
        <f t="shared" si="30"/>
        <v>47.239999635623775</v>
      </c>
      <c r="AD43" s="354">
        <v>43</v>
      </c>
      <c r="AE43" s="12">
        <f t="shared" si="5"/>
        <v>1320</v>
      </c>
      <c r="AF43" s="10">
        <f t="shared" si="17"/>
        <v>27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30.6</v>
      </c>
      <c r="G44" s="182">
        <f t="shared" si="15"/>
        <v>27</v>
      </c>
      <c r="H44" s="377"/>
      <c r="I44" s="377"/>
      <c r="J44" s="377"/>
      <c r="K44" s="63">
        <f t="shared" si="16"/>
        <v>0.25226545981294635</v>
      </c>
      <c r="L44" s="9" t="s">
        <v>18</v>
      </c>
      <c r="V44" s="14">
        <f t="shared" si="8"/>
        <v>150</v>
      </c>
      <c r="W44" s="3">
        <f t="shared" si="9"/>
        <v>2.2684651866439514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47.239999635623775</v>
      </c>
      <c r="AC44" s="10">
        <f t="shared" si="30"/>
        <v>47.239999635623775</v>
      </c>
      <c r="AD44" s="353">
        <v>44</v>
      </c>
      <c r="AE44" s="12">
        <f t="shared" si="5"/>
        <v>1380</v>
      </c>
      <c r="AF44" s="10">
        <f t="shared" si="17"/>
        <v>27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44376.055555555555</v>
      </c>
      <c r="D45" s="181">
        <f t="shared" si="25"/>
        <v>960</v>
      </c>
      <c r="E45" s="249">
        <f t="shared" si="31"/>
        <v>0.66666666666666663</v>
      </c>
      <c r="F45" s="182">
        <f t="shared" si="14"/>
        <v>30.6</v>
      </c>
      <c r="G45" s="182">
        <f t="shared" si="15"/>
        <v>27</v>
      </c>
      <c r="H45" s="377"/>
      <c r="I45" s="377"/>
      <c r="J45" s="377"/>
      <c r="K45" s="63">
        <f t="shared" si="16"/>
        <v>0</v>
      </c>
      <c r="L45" s="9" t="s">
        <v>18</v>
      </c>
      <c r="V45" s="350">
        <f t="shared" si="8"/>
        <v>150</v>
      </c>
      <c r="W45" s="349">
        <f t="shared" si="9"/>
        <v>2.2684651866439514</v>
      </c>
      <c r="X45" s="349">
        <f t="shared" si="10"/>
        <v>0.125</v>
      </c>
      <c r="Y45" s="349">
        <f t="shared" si="11"/>
        <v>5.0000000000000001E-4</v>
      </c>
      <c r="Z45" s="349">
        <f t="shared" si="2"/>
        <v>1</v>
      </c>
      <c r="AA45" s="351">
        <f t="shared" si="29"/>
        <v>1440</v>
      </c>
      <c r="AB45" s="352">
        <f t="shared" si="26"/>
        <v>47.239999635623775</v>
      </c>
      <c r="AC45" s="10">
        <f t="shared" si="30"/>
        <v>47.239999635623775</v>
      </c>
      <c r="AD45" s="354">
        <v>45</v>
      </c>
      <c r="AE45" s="12">
        <f t="shared" si="5"/>
        <v>1440</v>
      </c>
      <c r="AF45" s="10">
        <f t="shared" si="17"/>
        <v>27</v>
      </c>
    </row>
    <row r="46" spans="1:32" s="3" customFormat="1" ht="21" customHeight="1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30.6</v>
      </c>
      <c r="G46" s="182">
        <f t="shared" si="15"/>
        <v>27</v>
      </c>
      <c r="H46" s="377"/>
      <c r="I46" s="377"/>
      <c r="J46" s="377"/>
      <c r="K46" s="63">
        <f t="shared" si="16"/>
        <v>0</v>
      </c>
      <c r="L46" s="9" t="s">
        <v>18</v>
      </c>
      <c r="V46" s="14">
        <f t="shared" si="8"/>
        <v>150</v>
      </c>
      <c r="W46" s="3">
        <f t="shared" si="9"/>
        <v>2.2684651866439514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6">
        <f t="shared" si="29"/>
        <v>1500</v>
      </c>
      <c r="AB46" s="317">
        <f t="shared" si="26"/>
        <v>47.239999635623775</v>
      </c>
      <c r="AC46" s="10">
        <f t="shared" si="30"/>
        <v>47.239999635623775</v>
      </c>
      <c r="AD46" s="353">
        <v>46</v>
      </c>
      <c r="AE46" s="316">
        <f t="shared" si="5"/>
        <v>1500</v>
      </c>
      <c r="AF46" s="318">
        <f t="shared" si="17"/>
        <v>27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30.6</v>
      </c>
      <c r="G47" s="182">
        <f t="shared" si="15"/>
        <v>27</v>
      </c>
      <c r="H47" s="377"/>
      <c r="I47" s="377"/>
      <c r="J47" s="377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2.2684651866439514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47.239999635623775</v>
      </c>
      <c r="AC47" s="10">
        <f t="shared" ref="AC47" si="33">AC46</f>
        <v>47.239999635623775</v>
      </c>
      <c r="AE47" s="12">
        <f t="shared" si="5"/>
        <v>1560</v>
      </c>
      <c r="AF47" s="10">
        <f t="shared" si="17"/>
        <v>27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30.6</v>
      </c>
      <c r="G48" s="182">
        <f t="shared" si="15"/>
        <v>27</v>
      </c>
      <c r="H48" s="377"/>
      <c r="I48" s="377"/>
      <c r="J48" s="377"/>
      <c r="K48" s="3" t="s">
        <v>18</v>
      </c>
      <c r="L48" s="9" t="s">
        <v>18</v>
      </c>
      <c r="V48" s="14">
        <f t="shared" si="8"/>
        <v>150</v>
      </c>
      <c r="W48" s="3">
        <f t="shared" si="9"/>
        <v>2.2684651866439514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47.239999635623775</v>
      </c>
      <c r="AC48" s="10">
        <f t="shared" ref="AC48:AC52" si="34">AC47</f>
        <v>47.239999635623775</v>
      </c>
      <c r="AE48" s="12">
        <f t="shared" si="5"/>
        <v>1620</v>
      </c>
      <c r="AF48" s="10">
        <f t="shared" si="17"/>
        <v>27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30.6</v>
      </c>
      <c r="G49" s="182">
        <f t="shared" si="15"/>
        <v>27</v>
      </c>
      <c r="H49" s="377"/>
      <c r="I49" s="377"/>
      <c r="J49" s="377"/>
      <c r="K49" s="3" t="s">
        <v>18</v>
      </c>
      <c r="L49" s="9" t="s">
        <v>18</v>
      </c>
      <c r="V49" s="14">
        <f t="shared" si="8"/>
        <v>150</v>
      </c>
      <c r="W49" s="3">
        <f t="shared" si="9"/>
        <v>2.2684651866439514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47.239999635623775</v>
      </c>
      <c r="AC49" s="10">
        <f t="shared" si="34"/>
        <v>47.239999635623775</v>
      </c>
      <c r="AE49" s="12">
        <f t="shared" si="5"/>
        <v>1680</v>
      </c>
      <c r="AF49" s="10">
        <f t="shared" ref="AF49:AF69" si="35">AC49-$P$3</f>
        <v>27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30.6</v>
      </c>
      <c r="G50" s="182">
        <f t="shared" si="15"/>
        <v>27</v>
      </c>
      <c r="H50" s="377"/>
      <c r="I50" s="377"/>
      <c r="J50" s="377"/>
      <c r="K50" s="3" t="s">
        <v>18</v>
      </c>
      <c r="L50" s="9" t="s">
        <v>18</v>
      </c>
      <c r="V50" s="14">
        <f t="shared" si="8"/>
        <v>150</v>
      </c>
      <c r="W50" s="3">
        <f t="shared" si="9"/>
        <v>2.2684651866439514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47.239999635623775</v>
      </c>
      <c r="AC50" s="10">
        <f t="shared" si="34"/>
        <v>47.239999635623775</v>
      </c>
      <c r="AE50" s="12">
        <f t="shared" si="5"/>
        <v>1740</v>
      </c>
      <c r="AF50" s="10">
        <f t="shared" si="35"/>
        <v>27</v>
      </c>
    </row>
    <row r="51" spans="1:32" s="3" customFormat="1" ht="21" customHeight="1">
      <c r="A51" s="54"/>
      <c r="B51" s="54"/>
      <c r="C51" s="55">
        <f>$C$10+D51/1440</f>
        <v>44376.305555555555</v>
      </c>
      <c r="D51" s="181">
        <f t="shared" si="32"/>
        <v>1320</v>
      </c>
      <c r="E51" s="249">
        <f t="shared" si="31"/>
        <v>0.91666666666666663</v>
      </c>
      <c r="F51" s="182">
        <f t="shared" si="14"/>
        <v>30.6</v>
      </c>
      <c r="G51" s="182">
        <f t="shared" si="15"/>
        <v>27</v>
      </c>
      <c r="H51" s="377"/>
      <c r="I51" s="377"/>
      <c r="J51" s="377"/>
      <c r="K51" s="3" t="s">
        <v>18</v>
      </c>
      <c r="L51" s="9" t="s">
        <v>18</v>
      </c>
      <c r="V51" s="14">
        <f t="shared" si="8"/>
        <v>150</v>
      </c>
      <c r="W51" s="3">
        <f t="shared" si="9"/>
        <v>2.2684651866439514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47.239999635623775</v>
      </c>
      <c r="AC51" s="10">
        <f t="shared" si="34"/>
        <v>47.239999635623775</v>
      </c>
      <c r="AE51" s="12">
        <f t="shared" si="5"/>
        <v>1800</v>
      </c>
      <c r="AF51" s="10">
        <f t="shared" si="35"/>
        <v>27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30.6</v>
      </c>
      <c r="G52" s="182">
        <f t="shared" si="15"/>
        <v>27</v>
      </c>
      <c r="H52" s="377"/>
      <c r="I52" s="377"/>
      <c r="J52" s="377"/>
      <c r="K52" s="3" t="s">
        <v>18</v>
      </c>
      <c r="L52" s="9" t="s">
        <v>18</v>
      </c>
      <c r="V52" s="14">
        <f t="shared" si="8"/>
        <v>150</v>
      </c>
      <c r="W52" s="3">
        <f t="shared" si="9"/>
        <v>2.2684651866439514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47.239999635623775</v>
      </c>
      <c r="AC52" s="10">
        <f t="shared" si="34"/>
        <v>47.239999635623775</v>
      </c>
      <c r="AE52" s="12">
        <f t="shared" si="5"/>
        <v>1860</v>
      </c>
      <c r="AF52" s="10">
        <f t="shared" si="35"/>
        <v>27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30.6</v>
      </c>
      <c r="G53" s="182">
        <f t="shared" si="15"/>
        <v>27</v>
      </c>
      <c r="H53" s="377"/>
      <c r="I53" s="377"/>
      <c r="J53" s="377"/>
      <c r="K53" s="3" t="s">
        <v>18</v>
      </c>
      <c r="L53" s="9" t="s">
        <v>18</v>
      </c>
      <c r="V53" s="14">
        <f t="shared" si="8"/>
        <v>150</v>
      </c>
      <c r="W53" s="3">
        <f t="shared" si="9"/>
        <v>2.2684651866439514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47.239999635623775</v>
      </c>
      <c r="AC53" s="10">
        <f t="shared" ref="AC53:AC69" si="36">AC52</f>
        <v>47.239999635623775</v>
      </c>
      <c r="AE53" s="12">
        <f t="shared" si="5"/>
        <v>1920</v>
      </c>
      <c r="AF53" s="10">
        <f t="shared" si="35"/>
        <v>27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30.6</v>
      </c>
      <c r="G54" s="182">
        <f t="shared" si="15"/>
        <v>27</v>
      </c>
      <c r="H54" s="377"/>
      <c r="I54" s="377"/>
      <c r="J54" s="377"/>
      <c r="K54" s="3" t="s">
        <v>18</v>
      </c>
      <c r="L54" s="9" t="s">
        <v>18</v>
      </c>
      <c r="V54" s="14">
        <f t="shared" si="8"/>
        <v>150</v>
      </c>
      <c r="W54" s="3">
        <f t="shared" si="9"/>
        <v>2.2684651866439514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47.239999635623775</v>
      </c>
      <c r="AC54" s="10">
        <f t="shared" si="36"/>
        <v>47.239999635623775</v>
      </c>
      <c r="AE54" s="12">
        <f t="shared" si="5"/>
        <v>1980</v>
      </c>
      <c r="AF54" s="10">
        <f t="shared" si="35"/>
        <v>27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30.6</v>
      </c>
      <c r="G55" s="182">
        <f t="shared" si="15"/>
        <v>27</v>
      </c>
      <c r="H55" s="377"/>
      <c r="I55" s="377"/>
      <c r="J55" s="377"/>
      <c r="K55" s="3" t="s">
        <v>18</v>
      </c>
      <c r="L55" s="9" t="s">
        <v>18</v>
      </c>
      <c r="V55" s="14">
        <f t="shared" si="8"/>
        <v>150</v>
      </c>
      <c r="W55" s="3">
        <f t="shared" si="9"/>
        <v>2.2684651866439514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47.239999635623775</v>
      </c>
      <c r="AC55" s="10">
        <f t="shared" si="36"/>
        <v>47.239999635623775</v>
      </c>
      <c r="AE55" s="12">
        <f t="shared" si="5"/>
        <v>2040</v>
      </c>
      <c r="AF55" s="10">
        <f t="shared" si="35"/>
        <v>27</v>
      </c>
    </row>
    <row r="56" spans="1:32" s="3" customFormat="1" ht="21.6" customHeight="1">
      <c r="A56" s="54"/>
      <c r="B56" s="54"/>
      <c r="C56" s="55">
        <f>$C$10+D56/1440</f>
        <v>44376.513888888891</v>
      </c>
      <c r="D56" s="181">
        <f t="shared" si="32"/>
        <v>1620</v>
      </c>
      <c r="E56" s="249">
        <f t="shared" si="31"/>
        <v>1.125</v>
      </c>
      <c r="F56" s="182">
        <f t="shared" si="14"/>
        <v>30.6</v>
      </c>
      <c r="G56" s="182">
        <f t="shared" si="15"/>
        <v>27</v>
      </c>
      <c r="H56" s="377"/>
      <c r="I56" s="377"/>
      <c r="J56" s="377"/>
      <c r="K56" s="3" t="s">
        <v>18</v>
      </c>
      <c r="L56" s="9" t="s">
        <v>18</v>
      </c>
      <c r="V56" s="14">
        <f t="shared" si="8"/>
        <v>150</v>
      </c>
      <c r="W56" s="3">
        <f t="shared" si="9"/>
        <v>2.2684651866439514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47.239999635623775</v>
      </c>
      <c r="AC56" s="10">
        <f t="shared" si="36"/>
        <v>47.239999635623775</v>
      </c>
      <c r="AE56" s="12">
        <f t="shared" si="5"/>
        <v>2100</v>
      </c>
      <c r="AF56" s="10">
        <f t="shared" si="35"/>
        <v>27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30.6</v>
      </c>
      <c r="G57" s="182">
        <f t="shared" si="15"/>
        <v>27</v>
      </c>
      <c r="H57" s="377"/>
      <c r="I57" s="377"/>
      <c r="J57" s="377"/>
      <c r="K57" s="3" t="s">
        <v>18</v>
      </c>
      <c r="L57" s="9" t="s">
        <v>18</v>
      </c>
      <c r="V57" s="14">
        <f t="shared" si="8"/>
        <v>150</v>
      </c>
      <c r="W57" s="3">
        <f t="shared" si="9"/>
        <v>2.2684651866439514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47.239999635623775</v>
      </c>
      <c r="AC57" s="10">
        <f t="shared" si="36"/>
        <v>47.239999635623775</v>
      </c>
      <c r="AE57" s="12">
        <f t="shared" si="5"/>
        <v>2160</v>
      </c>
      <c r="AF57" s="10">
        <f t="shared" si="35"/>
        <v>27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30.6</v>
      </c>
      <c r="G58" s="182">
        <f t="shared" si="15"/>
        <v>27</v>
      </c>
      <c r="H58" s="377"/>
      <c r="I58" s="377"/>
      <c r="J58" s="377"/>
      <c r="K58" s="3" t="s">
        <v>18</v>
      </c>
      <c r="L58" s="9" t="s">
        <v>18</v>
      </c>
      <c r="V58" s="14">
        <f t="shared" si="8"/>
        <v>150</v>
      </c>
      <c r="W58" s="3">
        <f t="shared" si="9"/>
        <v>2.2684651866439514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47.239999635623775</v>
      </c>
      <c r="AC58" s="10">
        <f t="shared" si="36"/>
        <v>47.239999635623775</v>
      </c>
      <c r="AE58" s="12">
        <f t="shared" si="5"/>
        <v>2220</v>
      </c>
      <c r="AF58" s="10">
        <f t="shared" si="35"/>
        <v>27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30.6</v>
      </c>
      <c r="G59" s="182">
        <f t="shared" si="15"/>
        <v>27</v>
      </c>
      <c r="H59" s="377"/>
      <c r="I59" s="377"/>
      <c r="J59" s="377"/>
      <c r="K59" s="3" t="s">
        <v>18</v>
      </c>
      <c r="L59" s="9" t="s">
        <v>18</v>
      </c>
      <c r="V59" s="14">
        <f t="shared" si="8"/>
        <v>150</v>
      </c>
      <c r="W59" s="3">
        <f t="shared" si="9"/>
        <v>2.2684651866439514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47.239999635623775</v>
      </c>
      <c r="AC59" s="10">
        <f t="shared" si="36"/>
        <v>47.239999635623775</v>
      </c>
      <c r="AE59" s="12">
        <f t="shared" si="5"/>
        <v>2280</v>
      </c>
      <c r="AF59" s="10">
        <f t="shared" si="35"/>
        <v>27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30.6</v>
      </c>
      <c r="G60" s="182">
        <f t="shared" si="15"/>
        <v>27</v>
      </c>
      <c r="H60" s="377"/>
      <c r="I60" s="377"/>
      <c r="J60" s="377"/>
      <c r="K60" s="3" t="s">
        <v>18</v>
      </c>
      <c r="L60" s="9" t="s">
        <v>18</v>
      </c>
      <c r="V60" s="14">
        <f t="shared" si="8"/>
        <v>150</v>
      </c>
      <c r="W60" s="3">
        <f t="shared" si="9"/>
        <v>2.2684651866439514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47.239999635623775</v>
      </c>
      <c r="AC60" s="10">
        <f t="shared" si="36"/>
        <v>47.239999635623775</v>
      </c>
      <c r="AE60" s="12">
        <f t="shared" si="5"/>
        <v>2340</v>
      </c>
      <c r="AF60" s="10">
        <f t="shared" si="35"/>
        <v>27</v>
      </c>
    </row>
    <row r="61" spans="1:32" s="3" customFormat="1" ht="21.6" customHeight="1">
      <c r="A61" s="54"/>
      <c r="B61" s="54"/>
      <c r="C61" s="55">
        <f>$C$10+D61/1440</f>
        <v>44376.722222222226</v>
      </c>
      <c r="D61" s="181">
        <f t="shared" si="32"/>
        <v>1920</v>
      </c>
      <c r="E61" s="249">
        <f t="shared" si="37"/>
        <v>1.3333333333333333</v>
      </c>
      <c r="F61" s="182">
        <f t="shared" si="14"/>
        <v>30.6</v>
      </c>
      <c r="G61" s="182">
        <f t="shared" si="15"/>
        <v>27</v>
      </c>
      <c r="H61" s="377"/>
      <c r="I61" s="377"/>
      <c r="J61" s="377"/>
      <c r="K61" s="3" t="s">
        <v>18</v>
      </c>
      <c r="L61" s="9" t="s">
        <v>18</v>
      </c>
      <c r="V61" s="14">
        <f t="shared" si="8"/>
        <v>150</v>
      </c>
      <c r="W61" s="3">
        <f t="shared" si="9"/>
        <v>2.2684651866439514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47.239999635623775</v>
      </c>
      <c r="AC61" s="10">
        <f t="shared" si="36"/>
        <v>47.239999635623775</v>
      </c>
      <c r="AE61" s="12">
        <f t="shared" si="5"/>
        <v>2400</v>
      </c>
      <c r="AF61" s="10">
        <f t="shared" si="35"/>
        <v>27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30.6</v>
      </c>
      <c r="G62" s="182">
        <f t="shared" si="15"/>
        <v>27</v>
      </c>
      <c r="H62" s="377"/>
      <c r="I62" s="377"/>
      <c r="J62" s="377"/>
      <c r="K62" s="3" t="s">
        <v>18</v>
      </c>
      <c r="L62" s="9" t="s">
        <v>18</v>
      </c>
      <c r="V62" s="14">
        <f t="shared" si="8"/>
        <v>150</v>
      </c>
      <c r="W62" s="3">
        <f t="shared" si="9"/>
        <v>2.2684651866439514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47.239999635623775</v>
      </c>
      <c r="AC62" s="10">
        <f t="shared" si="36"/>
        <v>47.239999635623775</v>
      </c>
      <c r="AE62" s="12">
        <f t="shared" si="5"/>
        <v>2460</v>
      </c>
      <c r="AF62" s="10">
        <f t="shared" si="35"/>
        <v>27</v>
      </c>
    </row>
    <row r="63" spans="1:32" s="3" customFormat="1" ht="21.6" customHeight="1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30.6</v>
      </c>
      <c r="G63" s="182">
        <f t="shared" si="15"/>
        <v>27</v>
      </c>
      <c r="H63" s="377"/>
      <c r="I63" s="377"/>
      <c r="J63" s="377"/>
      <c r="K63" s="3" t="s">
        <v>18</v>
      </c>
      <c r="L63" s="9" t="s">
        <v>18</v>
      </c>
      <c r="V63" s="14">
        <f t="shared" si="8"/>
        <v>150</v>
      </c>
      <c r="W63" s="3">
        <f t="shared" si="9"/>
        <v>2.2684651866439514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47.239999635623775</v>
      </c>
      <c r="AC63" s="10">
        <f t="shared" si="36"/>
        <v>47.239999635623775</v>
      </c>
      <c r="AE63" s="12">
        <f t="shared" si="5"/>
        <v>2520</v>
      </c>
      <c r="AF63" s="10">
        <f t="shared" si="35"/>
        <v>27</v>
      </c>
    </row>
    <row r="64" spans="1:32" s="3" customFormat="1" ht="21.6" customHeight="1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30.6</v>
      </c>
      <c r="G64" s="182">
        <f t="shared" si="15"/>
        <v>27</v>
      </c>
      <c r="H64" s="377"/>
      <c r="I64" s="377"/>
      <c r="J64" s="377"/>
      <c r="K64" s="3" t="s">
        <v>18</v>
      </c>
      <c r="L64" s="9" t="s">
        <v>18</v>
      </c>
      <c r="V64" s="14">
        <f t="shared" si="8"/>
        <v>150</v>
      </c>
      <c r="W64" s="3">
        <f t="shared" si="9"/>
        <v>2.2684651866439514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47.239999635623775</v>
      </c>
      <c r="AC64" s="10">
        <f t="shared" si="36"/>
        <v>47.239999635623775</v>
      </c>
      <c r="AE64" s="12">
        <f t="shared" si="5"/>
        <v>2580</v>
      </c>
      <c r="AF64" s="10">
        <f t="shared" si="35"/>
        <v>27</v>
      </c>
    </row>
    <row r="65" spans="1:32" s="3" customFormat="1" ht="21.6" customHeight="1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30.6</v>
      </c>
      <c r="G65" s="182">
        <f t="shared" si="15"/>
        <v>27</v>
      </c>
      <c r="H65" s="377"/>
      <c r="I65" s="377"/>
      <c r="J65" s="377"/>
      <c r="K65" s="3" t="s">
        <v>18</v>
      </c>
      <c r="L65" s="9" t="s">
        <v>18</v>
      </c>
      <c r="V65" s="14">
        <f t="shared" si="8"/>
        <v>150</v>
      </c>
      <c r="W65" s="3">
        <f t="shared" si="9"/>
        <v>2.2684651866439514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47.239999635623775</v>
      </c>
      <c r="AC65" s="10">
        <f t="shared" si="36"/>
        <v>47.239999635623775</v>
      </c>
      <c r="AE65" s="12">
        <f t="shared" si="5"/>
        <v>2640</v>
      </c>
      <c r="AF65" s="10">
        <f t="shared" si="35"/>
        <v>27</v>
      </c>
    </row>
    <row r="66" spans="1:32" s="3" customFormat="1" ht="21.6" customHeight="1">
      <c r="A66" s="54"/>
      <c r="B66" s="54"/>
      <c r="C66" s="55">
        <f>$C$10+D66/1440</f>
        <v>44376.930555555555</v>
      </c>
      <c r="D66" s="181">
        <f t="shared" si="38"/>
        <v>2220</v>
      </c>
      <c r="E66" s="249">
        <f t="shared" si="37"/>
        <v>1.5416666666666667</v>
      </c>
      <c r="F66" s="182">
        <f t="shared" si="39"/>
        <v>30.6</v>
      </c>
      <c r="G66" s="182">
        <f t="shared" si="15"/>
        <v>27</v>
      </c>
      <c r="H66" s="377"/>
      <c r="I66" s="377"/>
      <c r="J66" s="377"/>
      <c r="K66" s="3" t="s">
        <v>18</v>
      </c>
      <c r="L66" s="9" t="s">
        <v>18</v>
      </c>
      <c r="V66" s="14">
        <f t="shared" si="8"/>
        <v>150</v>
      </c>
      <c r="W66" s="3">
        <f t="shared" si="9"/>
        <v>2.2684651866439514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47.239999635623775</v>
      </c>
      <c r="AC66" s="10">
        <f t="shared" si="36"/>
        <v>47.239999635623775</v>
      </c>
      <c r="AE66" s="12">
        <f t="shared" si="5"/>
        <v>2700</v>
      </c>
      <c r="AF66" s="10">
        <f t="shared" si="35"/>
        <v>27</v>
      </c>
    </row>
    <row r="67" spans="1:32" s="3" customFormat="1" ht="21.6" customHeight="1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30.6</v>
      </c>
      <c r="G67" s="182">
        <f t="shared" si="15"/>
        <v>27</v>
      </c>
      <c r="H67" s="377"/>
      <c r="I67" s="377"/>
      <c r="J67" s="377"/>
      <c r="K67" s="3" t="s">
        <v>18</v>
      </c>
      <c r="L67" s="9" t="s">
        <v>18</v>
      </c>
      <c r="V67" s="14">
        <f t="shared" si="8"/>
        <v>150</v>
      </c>
      <c r="W67" s="3">
        <f t="shared" si="9"/>
        <v>2.2684651866439514</v>
      </c>
      <c r="X67" s="3">
        <f t="shared" si="10"/>
        <v>0.125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47.239999635623775</v>
      </c>
      <c r="AC67" s="10">
        <f t="shared" si="36"/>
        <v>47.239999635623775</v>
      </c>
      <c r="AE67" s="12">
        <f>AA67</f>
        <v>2760</v>
      </c>
      <c r="AF67" s="10">
        <f t="shared" si="35"/>
        <v>27</v>
      </c>
    </row>
    <row r="68" spans="1:32" s="3" customFormat="1" ht="21.6" customHeight="1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30.6</v>
      </c>
      <c r="G68" s="182">
        <f t="shared" si="15"/>
        <v>27</v>
      </c>
      <c r="H68" s="377"/>
      <c r="I68" s="377"/>
      <c r="J68" s="377"/>
      <c r="K68" s="3" t="s">
        <v>18</v>
      </c>
      <c r="L68" s="9" t="s">
        <v>18</v>
      </c>
      <c r="V68" s="14">
        <f>V67</f>
        <v>150</v>
      </c>
      <c r="W68" s="3">
        <f t="shared" ref="W68:W83" si="41">W$2</f>
        <v>2.2684651866439514</v>
      </c>
      <c r="X68" s="3">
        <f t="shared" ref="X68:X83" si="42">X67</f>
        <v>0.125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47.239999635623775</v>
      </c>
      <c r="AC68" s="10">
        <f t="shared" si="36"/>
        <v>47.239999635623775</v>
      </c>
      <c r="AE68" s="12">
        <f>AA68</f>
        <v>2820</v>
      </c>
      <c r="AF68" s="10">
        <f t="shared" si="35"/>
        <v>27</v>
      </c>
    </row>
    <row r="69" spans="1:32" s="3" customFormat="1" ht="21.6" customHeight="1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30.6</v>
      </c>
      <c r="G69" s="182">
        <f t="shared" si="15"/>
        <v>27</v>
      </c>
      <c r="H69" s="377"/>
      <c r="I69" s="377"/>
      <c r="J69" s="377"/>
      <c r="K69" s="3" t="s">
        <v>18</v>
      </c>
      <c r="L69" s="9" t="s">
        <v>18</v>
      </c>
      <c r="V69" s="14">
        <f>V68</f>
        <v>150</v>
      </c>
      <c r="W69" s="3">
        <f t="shared" si="41"/>
        <v>2.2684651866439514</v>
      </c>
      <c r="X69" s="3">
        <f t="shared" si="42"/>
        <v>0.125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47.239999635623775</v>
      </c>
      <c r="AC69" s="10">
        <f t="shared" si="36"/>
        <v>47.239999635623775</v>
      </c>
      <c r="AE69" s="12">
        <f>AA69</f>
        <v>2880</v>
      </c>
      <c r="AF69" s="10">
        <f t="shared" si="35"/>
        <v>27</v>
      </c>
    </row>
    <row r="70" spans="1:32" s="3" customFormat="1" ht="21.6" customHeight="1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30.6</v>
      </c>
      <c r="G70" s="182">
        <f t="shared" si="15"/>
        <v>27</v>
      </c>
      <c r="H70" s="377"/>
      <c r="I70" s="377"/>
      <c r="J70" s="377"/>
      <c r="K70" s="3" t="s">
        <v>18</v>
      </c>
      <c r="L70" s="9" t="s">
        <v>18</v>
      </c>
      <c r="V70" s="14"/>
      <c r="W70" s="3">
        <f t="shared" si="41"/>
        <v>2.2684651866439514</v>
      </c>
      <c r="X70" s="3">
        <f t="shared" si="42"/>
        <v>0.125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44377.138888888891</v>
      </c>
      <c r="D71" s="181">
        <f t="shared" si="38"/>
        <v>2520</v>
      </c>
      <c r="E71" s="249">
        <f t="shared" si="37"/>
        <v>1.75</v>
      </c>
      <c r="F71" s="182">
        <f t="shared" si="39"/>
        <v>30.6</v>
      </c>
      <c r="G71" s="182">
        <f t="shared" si="15"/>
        <v>27</v>
      </c>
      <c r="H71" s="377"/>
      <c r="I71" s="377"/>
      <c r="J71" s="377"/>
      <c r="K71" s="3" t="s">
        <v>18</v>
      </c>
      <c r="L71" s="9" t="s">
        <v>18</v>
      </c>
      <c r="V71" s="14"/>
      <c r="W71" s="3">
        <f t="shared" si="41"/>
        <v>2.2684651866439514</v>
      </c>
      <c r="X71" s="3">
        <f t="shared" si="42"/>
        <v>0.125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30.6</v>
      </c>
      <c r="G72" s="182">
        <f t="shared" si="15"/>
        <v>27</v>
      </c>
      <c r="H72" s="377"/>
      <c r="I72" s="377"/>
      <c r="J72" s="377"/>
      <c r="K72" s="3" t="s">
        <v>18</v>
      </c>
      <c r="L72" s="9" t="s">
        <v>18</v>
      </c>
      <c r="V72" s="14"/>
      <c r="W72" s="3">
        <f t="shared" si="41"/>
        <v>2.2684651866439514</v>
      </c>
      <c r="X72" s="3">
        <f t="shared" si="42"/>
        <v>0.125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30.6</v>
      </c>
      <c r="G73" s="182">
        <f t="shared" si="15"/>
        <v>27</v>
      </c>
      <c r="H73" s="377"/>
      <c r="I73" s="377"/>
      <c r="J73" s="377"/>
      <c r="K73" s="3" t="s">
        <v>18</v>
      </c>
      <c r="L73" s="9" t="s">
        <v>18</v>
      </c>
      <c r="V73" s="14"/>
      <c r="W73" s="3">
        <f t="shared" si="41"/>
        <v>2.2684651866439514</v>
      </c>
      <c r="X73" s="3">
        <f t="shared" si="42"/>
        <v>0.125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30.6</v>
      </c>
      <c r="G74" s="182">
        <f t="shared" si="15"/>
        <v>27</v>
      </c>
      <c r="H74" s="377"/>
      <c r="I74" s="377"/>
      <c r="J74" s="377"/>
      <c r="K74" s="3" t="s">
        <v>18</v>
      </c>
      <c r="L74" s="9" t="s">
        <v>18</v>
      </c>
      <c r="V74" s="14"/>
      <c r="W74" s="3">
        <f t="shared" si="41"/>
        <v>2.2684651866439514</v>
      </c>
      <c r="X74" s="3">
        <f t="shared" si="42"/>
        <v>0.125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30.6</v>
      </c>
      <c r="G75" s="182">
        <f>AF67</f>
        <v>27</v>
      </c>
      <c r="H75" s="377"/>
      <c r="I75" s="377"/>
      <c r="J75" s="377"/>
      <c r="K75" s="3" t="s">
        <v>18</v>
      </c>
      <c r="L75" s="9" t="s">
        <v>18</v>
      </c>
      <c r="V75" s="14"/>
      <c r="W75" s="3">
        <f t="shared" si="41"/>
        <v>2.2684651866439514</v>
      </c>
      <c r="X75" s="3">
        <f t="shared" si="42"/>
        <v>0.125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30.6</v>
      </c>
      <c r="G76" s="182">
        <f>AF68</f>
        <v>27</v>
      </c>
      <c r="H76" s="377"/>
      <c r="I76" s="377"/>
      <c r="J76" s="377"/>
      <c r="K76" s="3" t="s">
        <v>18</v>
      </c>
      <c r="L76" s="9" t="s">
        <v>18</v>
      </c>
      <c r="V76" s="14"/>
      <c r="W76" s="3">
        <f t="shared" si="41"/>
        <v>2.2684651866439514</v>
      </c>
      <c r="X76" s="3">
        <f t="shared" si="42"/>
        <v>0.125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44377.388888888891</v>
      </c>
      <c r="D77" s="181">
        <f>D76+60</f>
        <v>2880</v>
      </c>
      <c r="E77" s="249">
        <f>D77/1440</f>
        <v>2</v>
      </c>
      <c r="F77" s="277">
        <f t="shared" si="39"/>
        <v>30.6</v>
      </c>
      <c r="G77" s="182">
        <f>AF69</f>
        <v>27</v>
      </c>
      <c r="H77" s="377" t="s">
        <v>13</v>
      </c>
      <c r="I77" s="377"/>
      <c r="J77" s="377"/>
      <c r="K77" s="3" t="s">
        <v>18</v>
      </c>
      <c r="L77" s="9" t="s">
        <v>18</v>
      </c>
      <c r="V77" s="14"/>
      <c r="W77" s="3">
        <f t="shared" si="41"/>
        <v>2.2684651866439514</v>
      </c>
      <c r="X77" s="3">
        <f t="shared" si="42"/>
        <v>0.125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44377.389583333337</v>
      </c>
      <c r="D78" s="181">
        <v>1</v>
      </c>
      <c r="E78" s="249">
        <f t="shared" ref="E78:E101" si="44">D78/1440</f>
        <v>6.9444444444444447E-4</v>
      </c>
      <c r="F78" s="182">
        <f>G78+D$8</f>
        <v>20.62052050710572</v>
      </c>
      <c r="G78" s="182">
        <f>H114</f>
        <v>17.020520507105719</v>
      </c>
      <c r="H78" s="549" t="s">
        <v>248</v>
      </c>
      <c r="I78" s="549"/>
      <c r="J78" s="549"/>
      <c r="K78" s="3" t="s">
        <v>18</v>
      </c>
      <c r="L78" s="9"/>
      <c r="V78" s="14"/>
      <c r="W78" s="3">
        <f t="shared" si="41"/>
        <v>2.2684651866439514</v>
      </c>
      <c r="X78" s="3">
        <f t="shared" si="42"/>
        <v>0.125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19.01813784904612</v>
      </c>
      <c r="G79" s="182">
        <f>H115</f>
        <v>15.418137849046119</v>
      </c>
      <c r="H79" s="549"/>
      <c r="I79" s="549"/>
      <c r="J79" s="549"/>
      <c r="K79" s="3" t="s">
        <v>18</v>
      </c>
      <c r="L79" s="9" t="s">
        <v>18</v>
      </c>
      <c r="V79" s="14"/>
      <c r="W79" s="3">
        <f t="shared" si="41"/>
        <v>2.2684651866439514</v>
      </c>
      <c r="X79" s="3">
        <f t="shared" si="42"/>
        <v>0.125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17.566610165238238</v>
      </c>
      <c r="G80" s="182">
        <f>H116</f>
        <v>13.966610165238238</v>
      </c>
      <c r="H80" s="549"/>
      <c r="I80" s="549"/>
      <c r="J80" s="549"/>
      <c r="K80" s="3" t="s">
        <v>18</v>
      </c>
      <c r="L80" s="9" t="s">
        <v>18</v>
      </c>
      <c r="V80" s="14"/>
      <c r="W80" s="3">
        <f t="shared" si="41"/>
        <v>2.2684651866439514</v>
      </c>
      <c r="X80" s="3">
        <f t="shared" si="42"/>
        <v>0.125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16.251735340387057</v>
      </c>
      <c r="G81" s="182">
        <f>H117</f>
        <v>12.651735340387058</v>
      </c>
      <c r="H81" s="549"/>
      <c r="I81" s="549"/>
      <c r="J81" s="549"/>
      <c r="K81" s="3" t="s">
        <v>18</v>
      </c>
      <c r="L81" s="9" t="s">
        <v>18</v>
      </c>
      <c r="V81" s="14"/>
      <c r="W81" s="3">
        <f t="shared" si="41"/>
        <v>2.2684651866439514</v>
      </c>
      <c r="X81" s="3">
        <f t="shared" si="42"/>
        <v>0.125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15.060648305455755</v>
      </c>
      <c r="G82" s="182">
        <f>H118</f>
        <v>11.460648305455756</v>
      </c>
      <c r="H82" s="549"/>
      <c r="I82" s="549"/>
      <c r="J82" s="549"/>
      <c r="K82" s="3" t="s">
        <v>18</v>
      </c>
      <c r="L82" s="9" t="s">
        <v>18</v>
      </c>
      <c r="V82" s="14"/>
      <c r="W82" s="3">
        <f t="shared" si="41"/>
        <v>2.2684651866439514</v>
      </c>
      <c r="X82" s="3">
        <f t="shared" si="42"/>
        <v>0.125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12.118957403761433</v>
      </c>
      <c r="G83" s="182">
        <f>H121</f>
        <v>8.5189574037614335</v>
      </c>
      <c r="H83" s="549"/>
      <c r="I83" s="549"/>
      <c r="J83" s="549"/>
      <c r="K83" s="3" t="s">
        <v>18</v>
      </c>
      <c r="L83" s="9" t="s">
        <v>18</v>
      </c>
      <c r="V83" s="14"/>
      <c r="W83" s="3">
        <f t="shared" si="41"/>
        <v>2.2684651866439514</v>
      </c>
      <c r="X83" s="3">
        <f t="shared" si="42"/>
        <v>0.125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11.575522993019705</v>
      </c>
      <c r="G84" s="182">
        <f>H124</f>
        <v>7.9755229930197045</v>
      </c>
      <c r="H84" s="549"/>
      <c r="I84" s="549"/>
      <c r="J84" s="549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10.144513163442728</v>
      </c>
      <c r="G85" s="182">
        <f>H126</f>
        <v>6.5445131634427272</v>
      </c>
      <c r="H85" s="549"/>
      <c r="I85" s="549"/>
      <c r="J85" s="549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9.5283854490073612</v>
      </c>
      <c r="G86" s="182">
        <f t="shared" ref="G86:G92" si="46">H127</f>
        <v>5.9283854490073606</v>
      </c>
      <c r="H86" s="549"/>
      <c r="I86" s="549"/>
      <c r="J86" s="549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8.9702625625882071</v>
      </c>
      <c r="G87" s="182">
        <f t="shared" si="46"/>
        <v>5.3702625625882066</v>
      </c>
      <c r="H87" s="549"/>
      <c r="I87" s="549"/>
      <c r="J87" s="549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8.7961524227066317</v>
      </c>
      <c r="G88" s="182">
        <f t="shared" si="46"/>
        <v>5.196152422706632</v>
      </c>
      <c r="H88" s="549"/>
      <c r="I88" s="549"/>
      <c r="J88" s="549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8.6276871354661111</v>
      </c>
      <c r="G89" s="182">
        <f t="shared" si="46"/>
        <v>5.0276871354661115</v>
      </c>
      <c r="H89" s="549"/>
      <c r="I89" s="549"/>
      <c r="J89" s="549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8.4646836881979937</v>
      </c>
      <c r="G90" s="182">
        <f t="shared" si="46"/>
        <v>4.864683688197994</v>
      </c>
      <c r="H90" s="549"/>
      <c r="I90" s="549"/>
      <c r="J90" s="549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8.3069650017165717</v>
      </c>
      <c r="G91" s="182">
        <f t="shared" si="46"/>
        <v>4.7069650017165721</v>
      </c>
      <c r="H91" s="549"/>
      <c r="I91" s="549"/>
      <c r="J91" s="549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8.1543597379486936</v>
      </c>
      <c r="G92" s="182">
        <f t="shared" si="46"/>
        <v>4.5543597379486931</v>
      </c>
      <c r="H92" s="549"/>
      <c r="I92" s="549"/>
      <c r="J92" s="549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44377.430555555555</v>
      </c>
      <c r="D93" s="181">
        <v>60</v>
      </c>
      <c r="E93" s="249">
        <f t="shared" si="44"/>
        <v>4.1666666666666664E-2</v>
      </c>
      <c r="F93" s="182">
        <f t="shared" si="45"/>
        <v>8.0067021138002215</v>
      </c>
      <c r="G93" s="182">
        <f>H134</f>
        <v>4.4067021138002209</v>
      </c>
      <c r="H93" s="549"/>
      <c r="I93" s="549"/>
      <c r="J93" s="549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7.8638317210571884</v>
      </c>
      <c r="G94" s="182">
        <f>H135</f>
        <v>4.2638317210571888</v>
      </c>
      <c r="H94" s="549"/>
      <c r="I94" s="549"/>
      <c r="J94" s="549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7.7255933521259355</v>
      </c>
      <c r="G95" s="182">
        <f>H136</f>
        <v>4.1255933521259358</v>
      </c>
      <c r="H95" s="549"/>
      <c r="I95" s="549"/>
      <c r="J95" s="549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7.5918368314229809</v>
      </c>
      <c r="G96" s="182">
        <f>H137</f>
        <v>3.9918368314229804</v>
      </c>
      <c r="H96" s="549"/>
      <c r="I96" s="549"/>
      <c r="J96" s="549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44377.472222222226</v>
      </c>
      <c r="D97" s="181">
        <v>120</v>
      </c>
      <c r="E97" s="249">
        <f t="shared" si="44"/>
        <v>8.3333333333333329E-2</v>
      </c>
      <c r="F97" s="182">
        <f t="shared" si="45"/>
        <v>7.2160286938395641</v>
      </c>
      <c r="G97" s="182">
        <f>H138</f>
        <v>3.616028693839564</v>
      </c>
      <c r="H97" s="549"/>
      <c r="I97" s="549"/>
      <c r="J97" s="549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7.0987928502727708</v>
      </c>
      <c r="G98" s="182">
        <f>H140</f>
        <v>3.4987928502727712</v>
      </c>
      <c r="H98" s="549"/>
      <c r="I98" s="549"/>
      <c r="J98" s="549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44377.555555555555</v>
      </c>
      <c r="D99" s="181">
        <v>240</v>
      </c>
      <c r="E99" s="249">
        <f t="shared" si="44"/>
        <v>0.16666666666666666</v>
      </c>
      <c r="F99" s="182">
        <f t="shared" si="45"/>
        <v>6.4710212339441613</v>
      </c>
      <c r="G99" s="182">
        <f>H142</f>
        <v>2.8710212339441612</v>
      </c>
      <c r="H99" s="549"/>
      <c r="I99" s="549"/>
      <c r="J99" s="549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5.9558876671179988</v>
      </c>
      <c r="G100" s="182">
        <f>H144</f>
        <v>2.3558876671179987</v>
      </c>
      <c r="H100" s="549"/>
      <c r="I100" s="549"/>
      <c r="J100" s="549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44377.638888888891</v>
      </c>
      <c r="D101" s="181">
        <v>360</v>
      </c>
      <c r="E101" s="249">
        <f t="shared" si="44"/>
        <v>0.25</v>
      </c>
      <c r="F101" s="277">
        <f t="shared" si="45"/>
        <v>5.5331820449317632</v>
      </c>
      <c r="G101" s="242">
        <f>H146</f>
        <v>1.9331820449317627</v>
      </c>
      <c r="H101" s="549"/>
      <c r="I101" s="549"/>
      <c r="J101" s="549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27</v>
      </c>
      <c r="F110" s="243" t="s">
        <v>180</v>
      </c>
      <c r="H110" s="245" t="s">
        <v>181</v>
      </c>
      <c r="I110" s="373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27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22.897895864769456</v>
      </c>
      <c r="I111" s="374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9">C111-C$110</f>
        <v>92</v>
      </c>
      <c r="D112" s="35">
        <f>D111</f>
        <v>27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20.742192622648091</v>
      </c>
      <c r="I112" s="374"/>
      <c r="J112" s="13">
        <f>H111-H112</f>
        <v>2.1557032421213655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9"/>
        <v>89</v>
      </c>
      <c r="D113" s="35">
        <f t="shared" ref="D113:D146" si="51">D112</f>
        <v>27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18.789436258071149</v>
      </c>
      <c r="I113" s="374"/>
      <c r="J113" s="13">
        <f t="shared" ref="J113:J146" si="52">H112-H113</f>
        <v>1.9527563645769419</v>
      </c>
      <c r="AA113" s="12"/>
      <c r="AB113" s="257"/>
    </row>
    <row r="114" spans="1:28" s="3" customFormat="1" ht="17.25" customHeight="1">
      <c r="B114" s="3">
        <v>4</v>
      </c>
      <c r="C114" s="3">
        <f t="shared" si="49"/>
        <v>86</v>
      </c>
      <c r="D114" s="35">
        <f t="shared" si="51"/>
        <v>27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17.020520507105719</v>
      </c>
      <c r="I114" s="375"/>
      <c r="J114" s="13">
        <f t="shared" si="52"/>
        <v>1.7689157509654301</v>
      </c>
      <c r="AA114" s="12"/>
      <c r="AB114" s="257"/>
    </row>
    <row r="115" spans="1:28" s="3" customFormat="1" ht="17.25" customHeight="1">
      <c r="B115" s="3">
        <v>5</v>
      </c>
      <c r="C115" s="3">
        <f t="shared" si="49"/>
        <v>83</v>
      </c>
      <c r="D115" s="35">
        <f t="shared" si="51"/>
        <v>27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15.418137849046119</v>
      </c>
      <c r="I115" s="375"/>
      <c r="J115" s="13">
        <f t="shared" si="52"/>
        <v>1.6023826580596001</v>
      </c>
      <c r="AA115" s="12"/>
      <c r="AB115" s="257"/>
    </row>
    <row r="116" spans="1:28" s="3" customFormat="1" ht="17.25" customHeight="1">
      <c r="B116" s="3">
        <v>6</v>
      </c>
      <c r="C116" s="3">
        <f t="shared" si="49"/>
        <v>80</v>
      </c>
      <c r="D116" s="35">
        <f t="shared" si="51"/>
        <v>27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13.966610165238238</v>
      </c>
      <c r="I116" s="375"/>
      <c r="J116" s="13">
        <f t="shared" si="52"/>
        <v>1.4515276838078801</v>
      </c>
      <c r="AA116" s="12"/>
      <c r="AB116" s="257"/>
    </row>
    <row r="117" spans="1:28" s="3" customFormat="1" ht="17.25" customHeight="1">
      <c r="B117" s="3">
        <v>7</v>
      </c>
      <c r="C117" s="3">
        <f t="shared" si="49"/>
        <v>77</v>
      </c>
      <c r="D117" s="35">
        <f t="shared" si="51"/>
        <v>27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12.651735340387058</v>
      </c>
      <c r="I117" s="375"/>
      <c r="J117" s="13">
        <f t="shared" si="52"/>
        <v>1.3148748248511808</v>
      </c>
      <c r="AA117" s="12"/>
      <c r="AB117" s="257"/>
    </row>
    <row r="118" spans="1:28" s="3" customFormat="1" ht="17.25" customHeight="1">
      <c r="B118" s="3">
        <v>8</v>
      </c>
      <c r="C118" s="3">
        <f t="shared" si="49"/>
        <v>74</v>
      </c>
      <c r="D118" s="35">
        <f t="shared" si="51"/>
        <v>27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11.460648305455756</v>
      </c>
      <c r="I118" s="375"/>
      <c r="J118" s="13">
        <f t="shared" si="52"/>
        <v>1.1910870349313019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9"/>
        <v>71</v>
      </c>
      <c r="D119" s="35">
        <f t="shared" si="51"/>
        <v>27</v>
      </c>
      <c r="E119" s="15">
        <f t="shared" si="50"/>
        <v>0.71</v>
      </c>
      <c r="F119" s="54"/>
      <c r="G119" s="3">
        <v>9</v>
      </c>
      <c r="H119" s="248">
        <f t="shared" si="48"/>
        <v>10.381695162564755</v>
      </c>
      <c r="I119" s="376"/>
      <c r="J119" s="13">
        <f t="shared" si="52"/>
        <v>1.0789531428910006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1"/>
        <v>27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9.4043191602967902</v>
      </c>
      <c r="I120" s="374"/>
      <c r="J120" s="13">
        <f t="shared" si="52"/>
        <v>0.97737600226796495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3">C120-A$120</f>
        <v>65</v>
      </c>
      <c r="D121" s="35">
        <f t="shared" si="51"/>
        <v>27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8.5189574037614335</v>
      </c>
      <c r="I121" s="375"/>
      <c r="J121" s="13">
        <f t="shared" si="52"/>
        <v>0.88536175653535665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3"/>
        <v>62</v>
      </c>
      <c r="D122" s="35">
        <f t="shared" si="51"/>
        <v>27</v>
      </c>
      <c r="E122" s="15">
        <f t="shared" si="50"/>
        <v>0.62</v>
      </c>
      <c r="F122" s="54"/>
      <c r="G122" s="3">
        <v>14</v>
      </c>
      <c r="H122" s="246">
        <f t="shared" si="48"/>
        <v>7.7169472888042039</v>
      </c>
      <c r="I122" s="374"/>
      <c r="J122" s="13">
        <f t="shared" si="52"/>
        <v>0.80201011495722963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1"/>
        <v>27</v>
      </c>
      <c r="E123" s="15">
        <f t="shared" si="50"/>
        <v>0.37</v>
      </c>
      <c r="F123" s="54"/>
      <c r="G123" s="3">
        <v>15</v>
      </c>
      <c r="H123" s="246">
        <f t="shared" si="48"/>
        <v>3.385357928706469</v>
      </c>
      <c r="I123" s="374"/>
      <c r="J123" s="13">
        <f t="shared" si="52"/>
        <v>4.3315893600977349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1"/>
        <v>27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7.9755229930197045</v>
      </c>
      <c r="I124" s="375"/>
      <c r="J124" s="13">
        <f t="shared" si="52"/>
        <v>-4.5901650643132355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3"/>
        <v>60</v>
      </c>
      <c r="D125" s="35">
        <f t="shared" si="51"/>
        <v>27</v>
      </c>
      <c r="E125" s="15">
        <f t="shared" si="50"/>
        <v>0.6</v>
      </c>
      <c r="F125" s="54"/>
      <c r="G125" s="3">
        <v>18</v>
      </c>
      <c r="H125" s="246">
        <f t="shared" si="48"/>
        <v>7.2246740558420761</v>
      </c>
      <c r="I125" s="374"/>
      <c r="J125" s="13">
        <f t="shared" si="52"/>
        <v>0.75084893717762835</v>
      </c>
      <c r="AA125" s="12"/>
      <c r="AB125" s="257"/>
    </row>
    <row r="126" spans="1:28" s="3" customFormat="1" ht="17.25" customHeight="1">
      <c r="B126" s="3">
        <v>15</v>
      </c>
      <c r="C126" s="3">
        <f t="shared" si="53"/>
        <v>57</v>
      </c>
      <c r="D126" s="35">
        <f t="shared" si="51"/>
        <v>27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6.5445131634427272</v>
      </c>
      <c r="I126" s="375"/>
      <c r="J126" s="13">
        <f t="shared" si="52"/>
        <v>0.68016089239934896</v>
      </c>
      <c r="AA126" s="12"/>
      <c r="AB126" s="257"/>
    </row>
    <row r="127" spans="1:28" s="3" customFormat="1" ht="17.25" customHeight="1">
      <c r="B127" s="3">
        <v>16</v>
      </c>
      <c r="C127" s="3">
        <f t="shared" si="53"/>
        <v>54</v>
      </c>
      <c r="D127" s="35">
        <f t="shared" si="51"/>
        <v>27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5.9283854490073606</v>
      </c>
      <c r="I127" s="375"/>
      <c r="J127" s="13">
        <f t="shared" si="52"/>
        <v>0.61612771443536651</v>
      </c>
      <c r="AA127" s="12"/>
      <c r="AB127" s="257"/>
    </row>
    <row r="128" spans="1:28" s="3" customFormat="1" ht="17.25" customHeight="1">
      <c r="B128" s="3">
        <v>17</v>
      </c>
      <c r="C128" s="3">
        <f t="shared" si="53"/>
        <v>51</v>
      </c>
      <c r="D128" s="35">
        <f t="shared" si="51"/>
        <v>27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5.3702625625882066</v>
      </c>
      <c r="I128" s="375"/>
      <c r="J128" s="13">
        <f t="shared" si="52"/>
        <v>0.55812288641915409</v>
      </c>
      <c r="AA128" s="12"/>
      <c r="AB128" s="257"/>
    </row>
    <row r="129" spans="1:28" s="3" customFormat="1" ht="17.25" customHeight="1">
      <c r="C129" s="3">
        <v>50</v>
      </c>
      <c r="D129" s="35">
        <f t="shared" si="51"/>
        <v>27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5.196152422706632</v>
      </c>
      <c r="I129" s="375"/>
      <c r="J129" s="13">
        <f t="shared" si="52"/>
        <v>0.17411013988157453</v>
      </c>
      <c r="AA129" s="12"/>
      <c r="AB129" s="257"/>
    </row>
    <row r="130" spans="1:28" s="3" customFormat="1" ht="17.25" customHeight="1">
      <c r="C130" s="3">
        <v>49</v>
      </c>
      <c r="D130" s="35">
        <f t="shared" si="51"/>
        <v>27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5.0276871354661115</v>
      </c>
      <c r="I130" s="375"/>
      <c r="J130" s="13">
        <f t="shared" si="52"/>
        <v>0.16846528724052057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1"/>
        <v>27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4.864683688197994</v>
      </c>
      <c r="I131" s="375"/>
      <c r="J131" s="13">
        <f t="shared" si="52"/>
        <v>0.16300344726811744</v>
      </c>
      <c r="AA131" s="12"/>
      <c r="AB131" s="257"/>
    </row>
    <row r="132" spans="1:28" s="3" customFormat="1" ht="17.25" customHeight="1">
      <c r="C132" s="3">
        <v>47</v>
      </c>
      <c r="D132" s="35">
        <f t="shared" si="51"/>
        <v>27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4.7069650017165721</v>
      </c>
      <c r="I132" s="375"/>
      <c r="J132" s="13">
        <f t="shared" si="52"/>
        <v>0.15771868648142195</v>
      </c>
      <c r="AA132" s="12"/>
      <c r="AB132" s="257"/>
    </row>
    <row r="133" spans="1:28" s="3" customFormat="1" ht="17.25" customHeight="1">
      <c r="C133" s="3">
        <v>46</v>
      </c>
      <c r="D133" s="35">
        <f t="shared" si="51"/>
        <v>27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4.5543597379486931</v>
      </c>
      <c r="I133" s="375"/>
      <c r="J133" s="13">
        <f t="shared" si="52"/>
        <v>0.15260526376787897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1"/>
        <v>27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4.4067021138002209</v>
      </c>
      <c r="I134" s="375"/>
      <c r="J134" s="13">
        <f t="shared" si="52"/>
        <v>0.14765762414847217</v>
      </c>
      <c r="AA134" s="12"/>
      <c r="AB134" s="257"/>
    </row>
    <row r="135" spans="1:28" s="3" customFormat="1" ht="17.25" customHeight="1">
      <c r="C135" s="3">
        <v>44</v>
      </c>
      <c r="D135" s="35">
        <f t="shared" si="51"/>
        <v>27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4.2638317210571888</v>
      </c>
      <c r="I135" s="375"/>
      <c r="J135" s="13">
        <f t="shared" si="52"/>
        <v>0.14287039274303215</v>
      </c>
      <c r="AA135" s="12"/>
      <c r="AB135" s="257"/>
    </row>
    <row r="136" spans="1:28" s="3" customFormat="1" ht="17.25" customHeight="1">
      <c r="C136" s="3">
        <v>43</v>
      </c>
      <c r="D136" s="35">
        <f t="shared" si="51"/>
        <v>27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4.1255933521259358</v>
      </c>
      <c r="I136" s="375"/>
      <c r="J136" s="13">
        <f t="shared" si="52"/>
        <v>0.13823836893125296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1"/>
        <v>27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3.9918368314229804</v>
      </c>
      <c r="I137" s="375"/>
      <c r="J137" s="13">
        <f t="shared" si="52"/>
        <v>0.13375652070295541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1"/>
        <v>27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3.616028693839564</v>
      </c>
      <c r="I138" s="375"/>
      <c r="J138" s="13">
        <f t="shared" si="52"/>
        <v>0.37580813758341636</v>
      </c>
      <c r="AA138" s="12"/>
      <c r="AB138" s="257"/>
    </row>
    <row r="139" spans="1:28" s="3" customFormat="1" ht="17.25" hidden="1" customHeight="1">
      <c r="C139" s="3">
        <f t="shared" ref="C139:C146" si="54">C138-A$138</f>
        <v>36</v>
      </c>
      <c r="D139" s="35">
        <f t="shared" si="51"/>
        <v>27</v>
      </c>
      <c r="E139" s="15">
        <f t="shared" si="50"/>
        <v>0.36</v>
      </c>
      <c r="F139" s="54"/>
      <c r="G139" s="3">
        <v>150</v>
      </c>
      <c r="H139" s="246">
        <f t="shared" si="48"/>
        <v>3.2756006988416773</v>
      </c>
      <c r="I139" s="374"/>
      <c r="J139" s="13">
        <f t="shared" si="52"/>
        <v>0.34042799499788678</v>
      </c>
      <c r="AA139" s="12"/>
      <c r="AB139" s="257"/>
    </row>
    <row r="140" spans="1:28" s="3" customFormat="1" ht="17.25" customHeight="1">
      <c r="C140" s="3">
        <v>38</v>
      </c>
      <c r="D140" s="35">
        <f t="shared" si="51"/>
        <v>27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3.4987928502727712</v>
      </c>
      <c r="I140" s="375"/>
      <c r="J140" s="13">
        <f t="shared" si="52"/>
        <v>-0.22319215143109394</v>
      </c>
      <c r="AA140" s="12"/>
      <c r="AB140" s="257"/>
    </row>
    <row r="141" spans="1:28" s="3" customFormat="1" ht="17.25" hidden="1" customHeight="1">
      <c r="C141" s="3">
        <f t="shared" si="54"/>
        <v>35</v>
      </c>
      <c r="D141" s="35">
        <f t="shared" si="51"/>
        <v>27</v>
      </c>
      <c r="E141" s="15">
        <f t="shared" si="50"/>
        <v>0.35</v>
      </c>
      <c r="F141" s="54"/>
      <c r="G141" s="3">
        <v>210</v>
      </c>
      <c r="H141" s="246">
        <f t="shared" si="48"/>
        <v>3.1694019256486134</v>
      </c>
      <c r="I141" s="374"/>
      <c r="J141" s="13">
        <f t="shared" si="52"/>
        <v>0.32939092462415775</v>
      </c>
      <c r="AA141" s="12"/>
      <c r="AB141" s="257"/>
    </row>
    <row r="142" spans="1:28" s="3" customFormat="1" ht="17.25" customHeight="1">
      <c r="C142" s="3">
        <f t="shared" si="54"/>
        <v>32</v>
      </c>
      <c r="D142" s="35">
        <f t="shared" si="51"/>
        <v>27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2.8710212339441612</v>
      </c>
      <c r="I142" s="375"/>
      <c r="J142" s="13">
        <f t="shared" si="52"/>
        <v>0.29838069170445225</v>
      </c>
      <c r="AA142" s="12"/>
      <c r="AB142" s="257"/>
    </row>
    <row r="143" spans="1:28" s="3" customFormat="1" ht="17.25" hidden="1" customHeight="1">
      <c r="C143" s="3">
        <f t="shared" si="54"/>
        <v>29</v>
      </c>
      <c r="D143" s="35">
        <f t="shared" si="51"/>
        <v>27</v>
      </c>
      <c r="E143" s="15">
        <f>C143/100</f>
        <v>0.28999999999999998</v>
      </c>
      <c r="F143" s="54"/>
      <c r="G143" s="3">
        <v>270</v>
      </c>
      <c r="H143" s="246">
        <f t="shared" si="48"/>
        <v>2.6007313427347598</v>
      </c>
      <c r="I143" s="374"/>
      <c r="J143" s="13">
        <f t="shared" si="52"/>
        <v>0.27028989120940139</v>
      </c>
      <c r="AA143" s="12"/>
      <c r="AB143" s="257"/>
    </row>
    <row r="144" spans="1:28" s="3" customFormat="1" ht="17.25" customHeight="1">
      <c r="C144" s="3">
        <f t="shared" si="54"/>
        <v>26</v>
      </c>
      <c r="D144" s="35">
        <f t="shared" si="51"/>
        <v>27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2.3558876671179987</v>
      </c>
      <c r="I144" s="375"/>
      <c r="J144" s="13">
        <f t="shared" si="52"/>
        <v>0.24484367561676113</v>
      </c>
      <c r="AA144" s="12"/>
      <c r="AB144" s="257"/>
    </row>
    <row r="145" spans="3:28" s="3" customFormat="1" ht="17.25" hidden="1" customHeight="1">
      <c r="C145" s="3">
        <f t="shared" si="54"/>
        <v>23</v>
      </c>
      <c r="D145" s="35">
        <f t="shared" si="51"/>
        <v>27</v>
      </c>
      <c r="E145" s="15">
        <f>C145/100</f>
        <v>0.23</v>
      </c>
      <c r="F145" s="54"/>
      <c r="G145" s="3">
        <v>330</v>
      </c>
      <c r="H145" s="246">
        <f t="shared" si="48"/>
        <v>2.1340945944237553</v>
      </c>
      <c r="I145" s="374"/>
      <c r="J145" s="13">
        <f t="shared" si="52"/>
        <v>0.22179307269424342</v>
      </c>
      <c r="AA145" s="12"/>
      <c r="AB145" s="257"/>
    </row>
    <row r="146" spans="3:28" s="3" customFormat="1" ht="17.25" customHeight="1">
      <c r="C146" s="3">
        <f t="shared" si="54"/>
        <v>20</v>
      </c>
      <c r="D146" s="35">
        <f t="shared" si="51"/>
        <v>27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1.9331820449317627</v>
      </c>
      <c r="I146" s="375"/>
      <c r="J146" s="13">
        <f t="shared" si="52"/>
        <v>0.20091254949199255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7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495300</xdr:colOff>
                <xdr:row>37</xdr:row>
                <xdr:rowOff>247650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Input!M51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Input!I48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Input!C26</f>
        <v>150</v>
      </c>
      <c r="F8" t="s">
        <v>79</v>
      </c>
    </row>
    <row r="9" spans="1:17" ht="27" customHeight="1">
      <c r="A9" s="69" t="s">
        <v>93</v>
      </c>
      <c r="B9">
        <f>INT((B5*B3*B6/100)/B2*10)/10</f>
        <v>157.69999999999999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Input!M49+6</f>
        <v>36.6</v>
      </c>
      <c r="F10" t="s">
        <v>85</v>
      </c>
    </row>
    <row r="11" spans="1:17" ht="27" customHeight="1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1.8169999999999999</v>
      </c>
      <c r="F14" t="s">
        <v>88</v>
      </c>
    </row>
    <row r="15" spans="1:17" ht="27" customHeight="1">
      <c r="D15" s="69" t="s">
        <v>93</v>
      </c>
      <c r="E15">
        <f>INT((E11*E9*E12/100)/E8*10)/10</f>
        <v>100.6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7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2" tint="-9.9978637043366805E-2"/>
  </sheetPr>
  <dimension ref="A1:C135"/>
  <sheetViews>
    <sheetView workbookViewId="0">
      <selection activeCell="L29" sqref="L29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Input!M46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2">
      <c r="A17" s="413">
        <v>0</v>
      </c>
      <c r="B17" s="413"/>
    </row>
    <row r="18" spans="1:2">
      <c r="A18" s="413">
        <f>Input!N45/2/1000</f>
        <v>0.125</v>
      </c>
      <c r="B18" s="413"/>
    </row>
    <row r="19" spans="1:2">
      <c r="A19" s="413">
        <f>Input!M44/2/1000</f>
        <v>0.125</v>
      </c>
      <c r="B19" s="413"/>
    </row>
    <row r="20" spans="1:2">
      <c r="A20" s="413">
        <v>0</v>
      </c>
      <c r="B20" s="413"/>
    </row>
    <row r="21" spans="1:2">
      <c r="A21" s="413">
        <v>0</v>
      </c>
      <c r="B21" s="413"/>
    </row>
    <row r="22" spans="1:2">
      <c r="A22" s="413">
        <v>1</v>
      </c>
      <c r="B22" s="413"/>
    </row>
    <row r="23" spans="1:2">
      <c r="A23" s="413">
        <v>5</v>
      </c>
      <c r="B23" s="413"/>
    </row>
    <row r="24" spans="1:2">
      <c r="A24" s="415">
        <v>0</v>
      </c>
      <c r="B24" s="415">
        <f>Input!D3</f>
        <v>94</v>
      </c>
    </row>
    <row r="25" spans="1:2">
      <c r="A25" s="415">
        <f>StepTest!D31</f>
        <v>120</v>
      </c>
      <c r="B25" s="415">
        <f>Input!D4</f>
        <v>120</v>
      </c>
    </row>
    <row r="26" spans="1:2">
      <c r="A26" s="415">
        <f>StepTest!D36</f>
        <v>240</v>
      </c>
      <c r="B26" s="415">
        <f>Input!D5</f>
        <v>146.19999999999999</v>
      </c>
    </row>
    <row r="27" spans="1:2">
      <c r="A27" s="415">
        <f>StepTest!D41</f>
        <v>360</v>
      </c>
      <c r="B27" s="415">
        <f>Input!D6</f>
        <v>172</v>
      </c>
    </row>
    <row r="28" spans="1:2">
      <c r="A28" s="415">
        <f>StepTest!D46</f>
        <v>480</v>
      </c>
      <c r="B28" s="415">
        <f>Input!D7</f>
        <v>197.79999999999998</v>
      </c>
    </row>
    <row r="29" spans="1:2">
      <c r="A29" s="413" t="s">
        <v>104</v>
      </c>
      <c r="B29" s="413"/>
    </row>
    <row r="30" spans="1:2">
      <c r="A30" s="413" t="str">
        <f>A15</f>
        <v>W-1</v>
      </c>
      <c r="B30" s="413"/>
    </row>
    <row r="31" spans="1:2">
      <c r="A31" s="416">
        <f>A19</f>
        <v>0.125</v>
      </c>
      <c r="B31" s="413"/>
    </row>
    <row r="32" spans="1:2">
      <c r="A32" s="413">
        <v>0</v>
      </c>
      <c r="B32" s="413"/>
    </row>
    <row r="33" spans="1:3">
      <c r="A33" s="413">
        <v>0</v>
      </c>
      <c r="B33" s="413"/>
    </row>
    <row r="34" spans="1:3">
      <c r="A34" s="415">
        <f>SUM(C35:C134)</f>
        <v>100</v>
      </c>
      <c r="B34" s="413"/>
    </row>
    <row r="35" spans="1:3">
      <c r="A35" s="413">
        <f>Sheet1!A1</f>
        <v>1</v>
      </c>
      <c r="B35" s="414">
        <f>Sheet1!B1</f>
        <v>1.46</v>
      </c>
      <c r="C35" s="415">
        <v>1</v>
      </c>
    </row>
    <row r="36" spans="1:3">
      <c r="A36" s="413">
        <f>Sheet1!A2</f>
        <v>2</v>
      </c>
      <c r="B36" s="414">
        <f>Sheet1!B2</f>
        <v>2.4900000000000002</v>
      </c>
      <c r="C36" s="415">
        <v>1</v>
      </c>
    </row>
    <row r="37" spans="1:3">
      <c r="A37" s="413">
        <f>Sheet1!A3</f>
        <v>3</v>
      </c>
      <c r="B37" s="414">
        <f>Sheet1!B3</f>
        <v>3.36</v>
      </c>
      <c r="C37" s="415">
        <v>1</v>
      </c>
    </row>
    <row r="38" spans="1:3">
      <c r="A38" s="413">
        <f>Sheet1!A4</f>
        <v>4</v>
      </c>
      <c r="B38" s="414">
        <f>Sheet1!B4</f>
        <v>3.98</v>
      </c>
      <c r="C38" s="415">
        <v>1</v>
      </c>
    </row>
    <row r="39" spans="1:3">
      <c r="A39" s="413">
        <f>Sheet1!A5</f>
        <v>5</v>
      </c>
      <c r="B39" s="414">
        <f>Sheet1!B5</f>
        <v>4.46</v>
      </c>
      <c r="C39" s="415">
        <v>1</v>
      </c>
    </row>
    <row r="40" spans="1:3">
      <c r="A40" s="413">
        <f>Sheet1!A6</f>
        <v>10</v>
      </c>
      <c r="B40" s="414">
        <f>Sheet1!B6</f>
        <v>5.95</v>
      </c>
      <c r="C40" s="415">
        <v>1</v>
      </c>
    </row>
    <row r="41" spans="1:3">
      <c r="A41" s="413">
        <f>Sheet1!A7</f>
        <v>15</v>
      </c>
      <c r="B41" s="414">
        <f>Sheet1!B7</f>
        <v>6.82</v>
      </c>
      <c r="C41" s="415">
        <v>1</v>
      </c>
    </row>
    <row r="42" spans="1:3">
      <c r="A42" s="413">
        <f>Sheet1!A8</f>
        <v>20</v>
      </c>
      <c r="B42" s="414">
        <f>Sheet1!B8</f>
        <v>7.44</v>
      </c>
      <c r="C42" s="415">
        <v>1</v>
      </c>
    </row>
    <row r="43" spans="1:3">
      <c r="A43" s="413">
        <f>Sheet1!A9</f>
        <v>25</v>
      </c>
      <c r="B43" s="414">
        <f>Sheet1!B9</f>
        <v>7.92</v>
      </c>
      <c r="C43" s="415">
        <v>1</v>
      </c>
    </row>
    <row r="44" spans="1:3">
      <c r="A44" s="413">
        <f>Sheet1!A10</f>
        <v>30</v>
      </c>
      <c r="B44" s="414">
        <f>Sheet1!B10</f>
        <v>8.31</v>
      </c>
      <c r="C44" s="415">
        <v>1</v>
      </c>
    </row>
    <row r="45" spans="1:3">
      <c r="A45" s="413">
        <f>Sheet1!A11</f>
        <v>35</v>
      </c>
      <c r="B45" s="414">
        <f>Sheet1!B11</f>
        <v>8.64</v>
      </c>
      <c r="C45" s="415">
        <v>1</v>
      </c>
    </row>
    <row r="46" spans="1:3">
      <c r="A46" s="413">
        <f>Sheet1!A12</f>
        <v>40</v>
      </c>
      <c r="B46" s="414">
        <f>Sheet1!B12</f>
        <v>8.93</v>
      </c>
      <c r="C46" s="415">
        <v>1</v>
      </c>
    </row>
    <row r="47" spans="1:3">
      <c r="A47" s="413">
        <f>Sheet1!A13</f>
        <v>45</v>
      </c>
      <c r="B47" s="414">
        <f>Sheet1!B13</f>
        <v>9.18</v>
      </c>
      <c r="C47" s="415">
        <v>1</v>
      </c>
    </row>
    <row r="48" spans="1:3">
      <c r="A48" s="413">
        <f>Sheet1!A14</f>
        <v>50</v>
      </c>
      <c r="B48" s="414">
        <f>Sheet1!B14</f>
        <v>9.41</v>
      </c>
      <c r="C48" s="415">
        <v>1</v>
      </c>
    </row>
    <row r="49" spans="1:3">
      <c r="A49" s="413">
        <f>Sheet1!A15</f>
        <v>55</v>
      </c>
      <c r="B49" s="414">
        <f>Sheet1!B15</f>
        <v>9.6199999999999992</v>
      </c>
      <c r="C49" s="415">
        <v>1</v>
      </c>
    </row>
    <row r="50" spans="1:3">
      <c r="A50" s="413">
        <f>Sheet1!A16</f>
        <v>60</v>
      </c>
      <c r="B50" s="414">
        <f>Sheet1!B16</f>
        <v>9.8000000000000007</v>
      </c>
      <c r="C50" s="415">
        <v>1</v>
      </c>
    </row>
    <row r="51" spans="1:3">
      <c r="A51" s="413">
        <f>Sheet1!A17</f>
        <v>75</v>
      </c>
      <c r="B51" s="414">
        <f>Sheet1!B17</f>
        <v>10.28</v>
      </c>
      <c r="C51" s="415">
        <v>1</v>
      </c>
    </row>
    <row r="52" spans="1:3">
      <c r="A52" s="413">
        <f>Sheet1!A18</f>
        <v>90</v>
      </c>
      <c r="B52" s="414">
        <f>Sheet1!B18</f>
        <v>10.68</v>
      </c>
      <c r="C52" s="415">
        <v>1</v>
      </c>
    </row>
    <row r="53" spans="1:3">
      <c r="A53" s="413">
        <f>Sheet1!A19</f>
        <v>105</v>
      </c>
      <c r="B53" s="414">
        <f>Sheet1!B19</f>
        <v>11.01</v>
      </c>
      <c r="C53" s="415">
        <v>1</v>
      </c>
    </row>
    <row r="54" spans="1:3">
      <c r="A54" s="413">
        <f>Sheet1!A20</f>
        <v>120</v>
      </c>
      <c r="B54" s="414">
        <f>Sheet1!B20</f>
        <v>11.3</v>
      </c>
      <c r="C54" s="415">
        <v>1</v>
      </c>
    </row>
    <row r="55" spans="1:3">
      <c r="A55" s="413">
        <f>Sheet1!A21</f>
        <v>121</v>
      </c>
      <c r="B55" s="414">
        <f>Sheet1!B21</f>
        <v>11.46</v>
      </c>
      <c r="C55" s="415">
        <v>1</v>
      </c>
    </row>
    <row r="56" spans="1:3">
      <c r="A56" s="413">
        <f>Sheet1!A22</f>
        <v>122</v>
      </c>
      <c r="B56" s="414">
        <f>Sheet1!B22</f>
        <v>11.610000000000001</v>
      </c>
      <c r="C56" s="415">
        <v>1</v>
      </c>
    </row>
    <row r="57" spans="1:3">
      <c r="A57" s="413">
        <f>Sheet1!A23</f>
        <v>123</v>
      </c>
      <c r="B57" s="414">
        <f>Sheet1!B23</f>
        <v>11.750000000000002</v>
      </c>
      <c r="C57" s="415">
        <v>1</v>
      </c>
    </row>
    <row r="58" spans="1:3">
      <c r="A58" s="413">
        <f>Sheet1!A24</f>
        <v>124</v>
      </c>
      <c r="B58" s="414">
        <f>Sheet1!B24</f>
        <v>11.880000000000003</v>
      </c>
      <c r="C58" s="415">
        <v>1</v>
      </c>
    </row>
    <row r="59" spans="1:3">
      <c r="A59" s="413">
        <f>Sheet1!A25</f>
        <v>125</v>
      </c>
      <c r="B59" s="414">
        <f>Sheet1!B25</f>
        <v>12.010000000000003</v>
      </c>
      <c r="C59" s="415">
        <v>1</v>
      </c>
    </row>
    <row r="60" spans="1:3">
      <c r="A60" s="413">
        <f>Sheet1!A26</f>
        <v>130</v>
      </c>
      <c r="B60" s="414">
        <f>Sheet1!B26</f>
        <v>13.56</v>
      </c>
      <c r="C60" s="415">
        <v>1</v>
      </c>
    </row>
    <row r="61" spans="1:3">
      <c r="A61" s="413">
        <f>Sheet1!A27</f>
        <v>135</v>
      </c>
      <c r="B61" s="414">
        <f>Sheet1!B27</f>
        <v>13.67</v>
      </c>
      <c r="C61" s="415">
        <v>1</v>
      </c>
    </row>
    <row r="62" spans="1:3">
      <c r="A62" s="413">
        <f>Sheet1!A28</f>
        <v>140</v>
      </c>
      <c r="B62" s="414">
        <f>Sheet1!B28</f>
        <v>13.93</v>
      </c>
      <c r="C62" s="415">
        <v>1</v>
      </c>
    </row>
    <row r="63" spans="1:3">
      <c r="A63" s="413">
        <f>Sheet1!A29</f>
        <v>145</v>
      </c>
      <c r="B63" s="414">
        <f>Sheet1!B29</f>
        <v>14.03</v>
      </c>
      <c r="C63" s="415">
        <v>1</v>
      </c>
    </row>
    <row r="64" spans="1:3">
      <c r="A64" s="413">
        <f>Sheet1!A30</f>
        <v>150</v>
      </c>
      <c r="B64" s="414">
        <f>Sheet1!B30</f>
        <v>14.31</v>
      </c>
      <c r="C64" s="415">
        <v>1</v>
      </c>
    </row>
    <row r="65" spans="1:3">
      <c r="A65" s="413">
        <f>Sheet1!A31</f>
        <v>155</v>
      </c>
      <c r="B65" s="414">
        <f>Sheet1!B31</f>
        <v>14.370000000000001</v>
      </c>
      <c r="C65" s="415">
        <v>1</v>
      </c>
    </row>
    <row r="66" spans="1:3">
      <c r="A66" s="413">
        <f>Sheet1!A32</f>
        <v>160</v>
      </c>
      <c r="B66" s="414">
        <f>Sheet1!B32</f>
        <v>14.420000000000002</v>
      </c>
      <c r="C66" s="415">
        <v>1</v>
      </c>
    </row>
    <row r="67" spans="1:3">
      <c r="A67" s="413">
        <f>Sheet1!A33</f>
        <v>165</v>
      </c>
      <c r="B67" s="414">
        <f>Sheet1!B33</f>
        <v>14.46</v>
      </c>
      <c r="C67" s="415">
        <v>1</v>
      </c>
    </row>
    <row r="68" spans="1:3">
      <c r="A68" s="413">
        <f>Sheet1!A34</f>
        <v>170</v>
      </c>
      <c r="B68" s="414">
        <f>Sheet1!B34</f>
        <v>14.49</v>
      </c>
      <c r="C68" s="415">
        <v>1</v>
      </c>
    </row>
    <row r="69" spans="1:3">
      <c r="A69" s="413">
        <f>Sheet1!A35</f>
        <v>175</v>
      </c>
      <c r="B69" s="414">
        <f>Sheet1!B35</f>
        <v>14.51</v>
      </c>
      <c r="C69" s="415">
        <v>1</v>
      </c>
    </row>
    <row r="70" spans="1:3">
      <c r="A70" s="413">
        <f>Sheet1!A36</f>
        <v>180</v>
      </c>
      <c r="B70" s="414">
        <f>Sheet1!B36</f>
        <v>14.69</v>
      </c>
      <c r="C70" s="415">
        <v>1</v>
      </c>
    </row>
    <row r="71" spans="1:3">
      <c r="A71" s="413">
        <f>Sheet1!A37</f>
        <v>195</v>
      </c>
      <c r="B71" s="414">
        <f>Sheet1!B37</f>
        <v>14.76</v>
      </c>
      <c r="C71" s="415">
        <v>1</v>
      </c>
    </row>
    <row r="72" spans="1:3">
      <c r="A72" s="413">
        <f>Sheet1!A38</f>
        <v>210</v>
      </c>
      <c r="B72" s="414">
        <f>Sheet1!B38</f>
        <v>14.82</v>
      </c>
      <c r="C72" s="415">
        <v>1</v>
      </c>
    </row>
    <row r="73" spans="1:3">
      <c r="A73" s="413">
        <f>Sheet1!A39</f>
        <v>225</v>
      </c>
      <c r="B73" s="414">
        <f>Sheet1!B39</f>
        <v>14.870000000000001</v>
      </c>
      <c r="C73" s="415">
        <v>1</v>
      </c>
    </row>
    <row r="74" spans="1:3">
      <c r="A74" s="413">
        <f>Sheet1!A40</f>
        <v>240</v>
      </c>
      <c r="B74" s="414">
        <f>Sheet1!B40</f>
        <v>15.07</v>
      </c>
      <c r="C74" s="415">
        <v>1</v>
      </c>
    </row>
    <row r="75" spans="1:3">
      <c r="A75" s="413">
        <f>Sheet1!A41</f>
        <v>241</v>
      </c>
      <c r="B75" s="414">
        <f>Sheet1!B41</f>
        <v>15.25</v>
      </c>
      <c r="C75" s="415">
        <v>1</v>
      </c>
    </row>
    <row r="76" spans="1:3">
      <c r="A76" s="413">
        <f>Sheet1!A42</f>
        <v>242</v>
      </c>
      <c r="B76" s="414">
        <f>Sheet1!B42</f>
        <v>15.41</v>
      </c>
      <c r="C76" s="415">
        <v>1</v>
      </c>
    </row>
    <row r="77" spans="1:3">
      <c r="A77" s="413">
        <f>Sheet1!A43</f>
        <v>243</v>
      </c>
      <c r="B77" s="414">
        <f>Sheet1!B43</f>
        <v>15.56</v>
      </c>
      <c r="C77" s="415">
        <v>1</v>
      </c>
    </row>
    <row r="78" spans="1:3">
      <c r="A78" s="413">
        <f>Sheet1!A44</f>
        <v>244</v>
      </c>
      <c r="B78" s="414">
        <f>Sheet1!B44</f>
        <v>15.700000000000001</v>
      </c>
      <c r="C78" s="415">
        <v>1</v>
      </c>
    </row>
    <row r="79" spans="1:3">
      <c r="A79" s="413">
        <f>Sheet1!A45</f>
        <v>245</v>
      </c>
      <c r="B79" s="414">
        <f>Sheet1!B45</f>
        <v>15.830000000000002</v>
      </c>
      <c r="C79" s="415">
        <v>1</v>
      </c>
    </row>
    <row r="80" spans="1:3">
      <c r="A80" s="413">
        <f>Sheet1!A46</f>
        <v>250</v>
      </c>
      <c r="B80" s="414">
        <f>Sheet1!B46</f>
        <v>17.61</v>
      </c>
      <c r="C80" s="415">
        <v>1</v>
      </c>
    </row>
    <row r="81" spans="1:3">
      <c r="A81" s="413">
        <f>Sheet1!A47</f>
        <v>255</v>
      </c>
      <c r="B81" s="414">
        <f>Sheet1!B47</f>
        <v>17.72</v>
      </c>
      <c r="C81" s="415">
        <v>1</v>
      </c>
    </row>
    <row r="82" spans="1:3">
      <c r="A82" s="413">
        <f>Sheet1!A48</f>
        <v>260</v>
      </c>
      <c r="B82" s="414">
        <f>Sheet1!B48</f>
        <v>18.03</v>
      </c>
      <c r="C82" s="415">
        <v>1</v>
      </c>
    </row>
    <row r="83" spans="1:3">
      <c r="A83" s="413">
        <f>Sheet1!A49</f>
        <v>265</v>
      </c>
      <c r="B83" s="414">
        <f>Sheet1!B49</f>
        <v>18.14</v>
      </c>
      <c r="C83" s="415">
        <v>1</v>
      </c>
    </row>
    <row r="84" spans="1:3">
      <c r="A84" s="413">
        <f>Sheet1!A50</f>
        <v>270</v>
      </c>
      <c r="B84" s="414">
        <f>Sheet1!B50</f>
        <v>18.46</v>
      </c>
      <c r="C84" s="415">
        <v>1</v>
      </c>
    </row>
    <row r="85" spans="1:3">
      <c r="A85" s="413">
        <f>Sheet1!A51</f>
        <v>275</v>
      </c>
      <c r="B85" s="414">
        <f>Sheet1!B51</f>
        <v>18.53</v>
      </c>
      <c r="C85" s="415">
        <v>1</v>
      </c>
    </row>
    <row r="86" spans="1:3">
      <c r="A86" s="413">
        <f>Sheet1!A52</f>
        <v>280</v>
      </c>
      <c r="B86" s="414">
        <f>Sheet1!B52</f>
        <v>18.580000000000002</v>
      </c>
      <c r="C86" s="415">
        <v>1</v>
      </c>
    </row>
    <row r="87" spans="1:3">
      <c r="A87" s="413">
        <f>Sheet1!A53</f>
        <v>285</v>
      </c>
      <c r="B87" s="414">
        <f>Sheet1!B53</f>
        <v>18.62</v>
      </c>
      <c r="C87" s="415">
        <v>1</v>
      </c>
    </row>
    <row r="88" spans="1:3">
      <c r="A88" s="413">
        <f>Sheet1!A54</f>
        <v>290</v>
      </c>
      <c r="B88" s="414">
        <f>Sheet1!B54</f>
        <v>18.650000000000002</v>
      </c>
      <c r="C88" s="415">
        <v>1</v>
      </c>
    </row>
    <row r="89" spans="1:3">
      <c r="A89" s="413">
        <f>Sheet1!A55</f>
        <v>295</v>
      </c>
      <c r="B89" s="414">
        <f>Sheet1!B55</f>
        <v>18.670000000000002</v>
      </c>
      <c r="C89" s="415">
        <v>1</v>
      </c>
    </row>
    <row r="90" spans="1:3">
      <c r="A90" s="413">
        <f>Sheet1!A56</f>
        <v>300</v>
      </c>
      <c r="B90" s="414">
        <f>Sheet1!B56</f>
        <v>18.88</v>
      </c>
      <c r="C90" s="415">
        <v>1</v>
      </c>
    </row>
    <row r="91" spans="1:3">
      <c r="A91" s="413">
        <f>Sheet1!A57</f>
        <v>315</v>
      </c>
      <c r="B91" s="414">
        <f>Sheet1!B57</f>
        <v>18.959999999999997</v>
      </c>
      <c r="C91" s="415">
        <v>1</v>
      </c>
    </row>
    <row r="92" spans="1:3">
      <c r="A92" s="413">
        <f>Sheet1!A58</f>
        <v>330</v>
      </c>
      <c r="B92" s="414">
        <f>Sheet1!B58</f>
        <v>19.019999999999996</v>
      </c>
      <c r="C92" s="415">
        <v>1</v>
      </c>
    </row>
    <row r="93" spans="1:3">
      <c r="A93" s="413">
        <f>Sheet1!A59</f>
        <v>345</v>
      </c>
      <c r="B93" s="414">
        <f>Sheet1!B59</f>
        <v>19.069999999999997</v>
      </c>
      <c r="C93" s="415">
        <v>1</v>
      </c>
    </row>
    <row r="94" spans="1:3">
      <c r="A94" s="413">
        <f>Sheet1!A60</f>
        <v>360</v>
      </c>
      <c r="B94" s="414">
        <f>Sheet1!B60</f>
        <v>19.309999999999999</v>
      </c>
      <c r="C94" s="415">
        <v>1</v>
      </c>
    </row>
    <row r="95" spans="1:3">
      <c r="A95" s="413">
        <f>Sheet1!A61</f>
        <v>361</v>
      </c>
      <c r="B95" s="414">
        <f>Sheet1!B61</f>
        <v>19.5</v>
      </c>
      <c r="C95" s="415">
        <v>1</v>
      </c>
    </row>
    <row r="96" spans="1:3">
      <c r="A96" s="413">
        <f>Sheet1!A62</f>
        <v>362</v>
      </c>
      <c r="B96" s="414">
        <f>Sheet1!B62</f>
        <v>19.670000000000002</v>
      </c>
      <c r="C96" s="415">
        <v>1</v>
      </c>
    </row>
    <row r="97" spans="1:3">
      <c r="A97" s="413">
        <f>Sheet1!A63</f>
        <v>363</v>
      </c>
      <c r="B97" s="414">
        <f>Sheet1!B63</f>
        <v>19.830000000000002</v>
      </c>
      <c r="C97" s="415">
        <v>1</v>
      </c>
    </row>
    <row r="98" spans="1:3">
      <c r="A98" s="413">
        <f>Sheet1!A64</f>
        <v>364</v>
      </c>
      <c r="B98" s="414">
        <f>Sheet1!B64</f>
        <v>19.98</v>
      </c>
      <c r="C98" s="415">
        <v>1</v>
      </c>
    </row>
    <row r="99" spans="1:3">
      <c r="A99" s="413">
        <f>Sheet1!A65</f>
        <v>365</v>
      </c>
      <c r="B99" s="414">
        <f>Sheet1!B65</f>
        <v>20.12</v>
      </c>
      <c r="C99" s="415">
        <v>1</v>
      </c>
    </row>
    <row r="100" spans="1:3">
      <c r="A100" s="413">
        <f>Sheet1!A66</f>
        <v>370</v>
      </c>
      <c r="B100" s="414">
        <f>Sheet1!B66</f>
        <v>22.14</v>
      </c>
      <c r="C100" s="415">
        <v>1</v>
      </c>
    </row>
    <row r="101" spans="1:3">
      <c r="A101" s="413">
        <f>Sheet1!A67</f>
        <v>375</v>
      </c>
      <c r="B101" s="414">
        <f>Sheet1!B67</f>
        <v>22.26</v>
      </c>
      <c r="C101" s="415">
        <v>1</v>
      </c>
    </row>
    <row r="102" spans="1:3">
      <c r="A102" s="413">
        <f>Sheet1!A68</f>
        <v>380</v>
      </c>
      <c r="B102" s="414">
        <f>Sheet1!B68</f>
        <v>22.61</v>
      </c>
      <c r="C102" s="415">
        <v>1</v>
      </c>
    </row>
    <row r="103" spans="1:3">
      <c r="A103" s="413">
        <f>Sheet1!A69</f>
        <v>385</v>
      </c>
      <c r="B103" s="414">
        <f>Sheet1!B69</f>
        <v>22.73</v>
      </c>
      <c r="C103" s="415">
        <v>1</v>
      </c>
    </row>
    <row r="104" spans="1:3">
      <c r="A104" s="413">
        <f>Sheet1!A70</f>
        <v>390</v>
      </c>
      <c r="B104" s="414">
        <f>Sheet1!B70</f>
        <v>23.08</v>
      </c>
      <c r="C104" s="415">
        <v>1</v>
      </c>
    </row>
    <row r="105" spans="1:3">
      <c r="A105" s="413">
        <f>Sheet1!A71</f>
        <v>395</v>
      </c>
      <c r="B105" s="414">
        <f>Sheet1!B71</f>
        <v>23.15</v>
      </c>
      <c r="C105" s="415">
        <v>1</v>
      </c>
    </row>
    <row r="106" spans="1:3">
      <c r="A106" s="413">
        <f>Sheet1!A72</f>
        <v>400</v>
      </c>
      <c r="B106" s="414">
        <f>Sheet1!B72</f>
        <v>23.2</v>
      </c>
      <c r="C106" s="415">
        <v>1</v>
      </c>
    </row>
    <row r="107" spans="1:3">
      <c r="A107" s="413">
        <f>Sheet1!A73</f>
        <v>405</v>
      </c>
      <c r="B107" s="414">
        <f>Sheet1!B73</f>
        <v>23.24</v>
      </c>
      <c r="C107" s="415">
        <v>1</v>
      </c>
    </row>
    <row r="108" spans="1:3">
      <c r="A108" s="413">
        <f>Sheet1!A74</f>
        <v>410</v>
      </c>
      <c r="B108" s="414">
        <f>Sheet1!B74</f>
        <v>23.27</v>
      </c>
      <c r="C108" s="415">
        <v>1</v>
      </c>
    </row>
    <row r="109" spans="1:3">
      <c r="A109" s="413">
        <f>Sheet1!A75</f>
        <v>415</v>
      </c>
      <c r="B109" s="414">
        <f>Sheet1!B75</f>
        <v>23.3</v>
      </c>
      <c r="C109" s="415">
        <v>1</v>
      </c>
    </row>
    <row r="110" spans="1:3">
      <c r="A110" s="413">
        <f>Sheet1!A76</f>
        <v>420</v>
      </c>
      <c r="B110" s="414">
        <f>Sheet1!B76</f>
        <v>23.55</v>
      </c>
      <c r="C110" s="415">
        <v>1</v>
      </c>
    </row>
    <row r="111" spans="1:3">
      <c r="A111" s="413">
        <f>Sheet1!A77</f>
        <v>435</v>
      </c>
      <c r="B111" s="414">
        <f>Sheet1!B77</f>
        <v>23.64</v>
      </c>
      <c r="C111" s="415">
        <v>1</v>
      </c>
    </row>
    <row r="112" spans="1:3">
      <c r="A112" s="413">
        <f>Sheet1!A78</f>
        <v>450</v>
      </c>
      <c r="B112" s="414">
        <f>Sheet1!B78</f>
        <v>23.71</v>
      </c>
      <c r="C112" s="415">
        <v>1</v>
      </c>
    </row>
    <row r="113" spans="1:3">
      <c r="A113" s="413">
        <f>Sheet1!A79</f>
        <v>465</v>
      </c>
      <c r="B113" s="414">
        <f>Sheet1!B79</f>
        <v>23.76</v>
      </c>
      <c r="C113" s="415">
        <v>1</v>
      </c>
    </row>
    <row r="114" spans="1:3">
      <c r="A114" s="413">
        <f>Sheet1!A80</f>
        <v>480</v>
      </c>
      <c r="B114" s="414">
        <f>Sheet1!B80</f>
        <v>24.03</v>
      </c>
      <c r="C114" s="415">
        <v>1</v>
      </c>
    </row>
    <row r="115" spans="1:3">
      <c r="A115" s="413">
        <f>Sheet1!A81</f>
        <v>481</v>
      </c>
      <c r="B115" s="414">
        <f>Sheet1!B81</f>
        <v>24.240000000000002</v>
      </c>
      <c r="C115" s="415">
        <v>1</v>
      </c>
    </row>
    <row r="116" spans="1:3">
      <c r="A116" s="413">
        <f>Sheet1!A82</f>
        <v>482</v>
      </c>
      <c r="B116" s="414">
        <f>Sheet1!B82</f>
        <v>24.430000000000003</v>
      </c>
      <c r="C116" s="415">
        <v>1</v>
      </c>
    </row>
    <row r="117" spans="1:3">
      <c r="A117" s="413">
        <f>Sheet1!A83</f>
        <v>483</v>
      </c>
      <c r="B117" s="414">
        <f>Sheet1!B83</f>
        <v>24.600000000000005</v>
      </c>
      <c r="C117" s="415">
        <v>1</v>
      </c>
    </row>
    <row r="118" spans="1:3">
      <c r="A118" s="413">
        <f>Sheet1!A84</f>
        <v>484</v>
      </c>
      <c r="B118" s="414">
        <f>Sheet1!B84</f>
        <v>24.760000000000005</v>
      </c>
      <c r="C118" s="415">
        <v>1</v>
      </c>
    </row>
    <row r="119" spans="1:3">
      <c r="A119" s="413">
        <f>Sheet1!A85</f>
        <v>485</v>
      </c>
      <c r="B119" s="414">
        <f>Sheet1!B85</f>
        <v>24.900000000000006</v>
      </c>
      <c r="C119" s="415">
        <v>1</v>
      </c>
    </row>
    <row r="120" spans="1:3">
      <c r="A120" s="413">
        <f>Sheet1!A86</f>
        <v>490</v>
      </c>
      <c r="B120" s="414">
        <f>Sheet1!B86</f>
        <v>26.91</v>
      </c>
      <c r="C120" s="415">
        <v>1</v>
      </c>
    </row>
    <row r="121" spans="1:3">
      <c r="A121" s="413">
        <f>Sheet1!A87</f>
        <v>495</v>
      </c>
      <c r="B121" s="414">
        <f>Sheet1!B87</f>
        <v>27.22</v>
      </c>
      <c r="C121" s="415">
        <v>1</v>
      </c>
    </row>
    <row r="122" spans="1:3">
      <c r="A122" s="413">
        <f>Sheet1!A88</f>
        <v>500</v>
      </c>
      <c r="B122" s="414">
        <f>Sheet1!B88</f>
        <v>27.99</v>
      </c>
      <c r="C122" s="415">
        <v>1</v>
      </c>
    </row>
    <row r="123" spans="1:3">
      <c r="A123" s="413">
        <f>Sheet1!A89</f>
        <v>505</v>
      </c>
      <c r="B123" s="414">
        <f>Sheet1!B89</f>
        <v>28.29</v>
      </c>
      <c r="C123" s="415">
        <v>1</v>
      </c>
    </row>
    <row r="124" spans="1:3">
      <c r="A124" s="413">
        <f>Sheet1!A90</f>
        <v>510</v>
      </c>
      <c r="B124" s="414">
        <f>Sheet1!B90</f>
        <v>29.07</v>
      </c>
      <c r="C124" s="415">
        <v>1</v>
      </c>
    </row>
    <row r="125" spans="1:3">
      <c r="A125" s="413">
        <f>Sheet1!A91</f>
        <v>515</v>
      </c>
      <c r="B125" s="414">
        <f>Sheet1!B91</f>
        <v>29.22</v>
      </c>
      <c r="C125" s="415">
        <v>1</v>
      </c>
    </row>
    <row r="126" spans="1:3">
      <c r="A126" s="413">
        <f>Sheet1!A92</f>
        <v>520</v>
      </c>
      <c r="B126" s="414">
        <f>Sheet1!B92</f>
        <v>29.349999999999998</v>
      </c>
      <c r="C126" s="415">
        <v>1</v>
      </c>
    </row>
    <row r="127" spans="1:3">
      <c r="A127" s="413">
        <f>Sheet1!A93</f>
        <v>525</v>
      </c>
      <c r="B127" s="414">
        <f>Sheet1!B93</f>
        <v>29.459999999999997</v>
      </c>
      <c r="C127" s="415">
        <v>1</v>
      </c>
    </row>
    <row r="128" spans="1:3">
      <c r="A128" s="413">
        <f>Sheet1!A94</f>
        <v>530</v>
      </c>
      <c r="B128" s="414">
        <f>Sheet1!B94</f>
        <v>29.539999999999996</v>
      </c>
      <c r="C128" s="415">
        <v>1</v>
      </c>
    </row>
    <row r="129" spans="1:3">
      <c r="A129" s="413">
        <f>Sheet1!A95</f>
        <v>535</v>
      </c>
      <c r="B129" s="414">
        <f>Sheet1!B95</f>
        <v>29.609999999999996</v>
      </c>
      <c r="C129" s="415">
        <v>1</v>
      </c>
    </row>
    <row r="130" spans="1:3">
      <c r="A130" s="413">
        <f>Sheet1!A96</f>
        <v>540</v>
      </c>
      <c r="B130" s="414">
        <f>Sheet1!B96</f>
        <v>30.15</v>
      </c>
      <c r="C130" s="415">
        <v>1</v>
      </c>
    </row>
    <row r="131" spans="1:3">
      <c r="A131" s="413">
        <f>Sheet1!A97</f>
        <v>555</v>
      </c>
      <c r="B131" s="414">
        <f>Sheet1!B97</f>
        <v>30.34</v>
      </c>
      <c r="C131" s="415">
        <v>1</v>
      </c>
    </row>
    <row r="132" spans="1:3">
      <c r="A132" s="413">
        <f>Sheet1!A98</f>
        <v>570</v>
      </c>
      <c r="B132" s="414">
        <f>Sheet1!B98</f>
        <v>30.5</v>
      </c>
      <c r="C132" s="415">
        <v>1</v>
      </c>
    </row>
    <row r="133" spans="1:3">
      <c r="A133" s="413">
        <f>Sheet1!A99</f>
        <v>585</v>
      </c>
      <c r="B133" s="414">
        <f>Sheet1!B99</f>
        <v>30.64</v>
      </c>
      <c r="C133" s="415">
        <v>1</v>
      </c>
    </row>
    <row r="134" spans="1:3">
      <c r="A134" s="413">
        <f>Sheet1!A100</f>
        <v>600</v>
      </c>
      <c r="B134" s="414">
        <f>Sheet1!B100</f>
        <v>31.23</v>
      </c>
      <c r="C134" s="415">
        <v>1</v>
      </c>
    </row>
    <row r="135" spans="1:3">
      <c r="A135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3" tint="0.79998168889431442"/>
  </sheetPr>
  <dimension ref="A1:C99"/>
  <sheetViews>
    <sheetView tabSelected="1" workbookViewId="0">
      <selection activeCell="O17" sqref="O17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'01_g_step_01'!A7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'01_g_step_01'!A18</f>
        <v>0.125</v>
      </c>
      <c r="B18" s="413"/>
    </row>
    <row r="19" spans="1:3">
      <c r="A19" s="413">
        <f>'01_g_step_01'!A19</f>
        <v>0.125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1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3" t="s">
        <v>104</v>
      </c>
      <c r="B25" s="413"/>
    </row>
    <row r="26" spans="1:3">
      <c r="A26" s="413" t="str">
        <f>A15</f>
        <v>W-1</v>
      </c>
      <c r="B26" s="413"/>
    </row>
    <row r="27" spans="1:3">
      <c r="A27" s="416">
        <f>SkinFactor!G10</f>
        <v>1.8556999999999999</v>
      </c>
      <c r="B27" s="413"/>
    </row>
    <row r="28" spans="1:3">
      <c r="A28" s="413">
        <v>0</v>
      </c>
      <c r="B28" s="413"/>
    </row>
    <row r="29" spans="1:3">
      <c r="A29" s="413">
        <v>0</v>
      </c>
      <c r="B29" s="413"/>
    </row>
    <row r="30" spans="1:3">
      <c r="A30" s="415">
        <f>SUM(C31:C98)</f>
        <v>68</v>
      </c>
      <c r="B30" s="413"/>
    </row>
    <row r="31" spans="1:3">
      <c r="A31" s="413">
        <f>LongTest!D10</f>
        <v>1</v>
      </c>
      <c r="B31" s="417">
        <f>LongTest!G10</f>
        <v>2.4310769115568367</v>
      </c>
      <c r="C31" s="415">
        <v>1</v>
      </c>
    </row>
    <row r="32" spans="1:3">
      <c r="A32" s="413">
        <f>LongTest!D11</f>
        <v>2</v>
      </c>
      <c r="B32" s="417">
        <f>LongTest!G11</f>
        <v>4.6621538231136732</v>
      </c>
      <c r="C32" s="415">
        <v>1</v>
      </c>
    </row>
    <row r="33" spans="1:3">
      <c r="A33" s="413">
        <f>LongTest!D12</f>
        <v>3</v>
      </c>
      <c r="B33" s="417">
        <f>LongTest!G12</f>
        <v>6.1446960007408009</v>
      </c>
      <c r="C33" s="415">
        <v>1</v>
      </c>
    </row>
    <row r="34" spans="1:3">
      <c r="A34" s="413">
        <f>LongTest!D13</f>
        <v>4</v>
      </c>
      <c r="B34" s="417">
        <f>LongTest!G13</f>
        <v>7.1965764156720233</v>
      </c>
      <c r="C34" s="415">
        <v>1</v>
      </c>
    </row>
    <row r="35" spans="1:3">
      <c r="A35" s="413">
        <f>LongTest!D14</f>
        <v>5</v>
      </c>
      <c r="B35" s="417">
        <f>LongTest!G14</f>
        <v>8.0124782525338247</v>
      </c>
      <c r="C35" s="415">
        <v>1</v>
      </c>
    </row>
    <row r="36" spans="1:3">
      <c r="A36" s="413">
        <f>LongTest!D15</f>
        <v>10</v>
      </c>
      <c r="B36" s="417">
        <f>LongTest!G15</f>
        <v>10.546900845092178</v>
      </c>
      <c r="C36" s="415">
        <v>1</v>
      </c>
    </row>
    <row r="37" spans="1:3">
      <c r="A37" s="413">
        <f>LongTest!D16</f>
        <v>15</v>
      </c>
      <c r="B37" s="417">
        <f>LongTest!G16</f>
        <v>12.029443022719306</v>
      </c>
      <c r="C37" s="415">
        <v>1</v>
      </c>
    </row>
    <row r="38" spans="1:3">
      <c r="A38" s="413">
        <f>LongTest!D17</f>
        <v>20</v>
      </c>
      <c r="B38" s="417">
        <f>LongTest!G17</f>
        <v>13.081323437650525</v>
      </c>
      <c r="C38" s="415">
        <v>1</v>
      </c>
    </row>
    <row r="39" spans="1:3">
      <c r="A39" s="413">
        <f>LongTest!D18</f>
        <v>25</v>
      </c>
      <c r="B39" s="417">
        <f>LongTest!G18</f>
        <v>13.89722527451233</v>
      </c>
      <c r="C39" s="415">
        <v>1</v>
      </c>
    </row>
    <row r="40" spans="1:3">
      <c r="A40" s="413">
        <f>LongTest!D19</f>
        <v>30</v>
      </c>
      <c r="B40" s="417">
        <f>LongTest!G19</f>
        <v>14.563865615277656</v>
      </c>
      <c r="C40" s="415">
        <v>1</v>
      </c>
    </row>
    <row r="41" spans="1:3">
      <c r="A41" s="413">
        <f>LongTest!D20</f>
        <v>35</v>
      </c>
      <c r="B41" s="417">
        <f>LongTest!G20</f>
        <v>15.127501992326508</v>
      </c>
      <c r="C41" s="415">
        <v>1</v>
      </c>
    </row>
    <row r="42" spans="1:3">
      <c r="A42" s="413">
        <f>LongTest!D21</f>
        <v>40</v>
      </c>
      <c r="B42" s="417">
        <f>LongTest!G21</f>
        <v>15.615746030208882</v>
      </c>
      <c r="C42" s="415">
        <v>1</v>
      </c>
    </row>
    <row r="43" spans="1:3">
      <c r="A43" s="413">
        <f>LongTest!D22</f>
        <v>45</v>
      </c>
      <c r="B43" s="417">
        <f>LongTest!G22</f>
        <v>16.046407792904787</v>
      </c>
      <c r="C43" s="415">
        <v>1</v>
      </c>
    </row>
    <row r="44" spans="1:3">
      <c r="A44" s="413">
        <f>LongTest!D23</f>
        <v>50</v>
      </c>
      <c r="B44" s="417">
        <f>LongTest!G23</f>
        <v>16.43164786707068</v>
      </c>
      <c r="C44" s="415">
        <v>1</v>
      </c>
    </row>
    <row r="45" spans="1:3">
      <c r="A45" s="413">
        <f>LongTest!D24</f>
        <v>55</v>
      </c>
      <c r="B45" s="417">
        <f>LongTest!G24</f>
        <v>16.731059904218899</v>
      </c>
      <c r="C45" s="415">
        <v>1</v>
      </c>
    </row>
    <row r="46" spans="1:3">
      <c r="A46" s="413">
        <f>LongTest!D25</f>
        <v>60</v>
      </c>
      <c r="B46" s="417">
        <f>LongTest!G25</f>
        <v>17.098288207836013</v>
      </c>
      <c r="C46" s="415">
        <v>1</v>
      </c>
    </row>
    <row r="47" spans="1:3">
      <c r="A47" s="413">
        <f>LongTest!D26</f>
        <v>75</v>
      </c>
      <c r="B47" s="417">
        <f>LongTest!G26</f>
        <v>17.914190044697811</v>
      </c>
      <c r="C47" s="415">
        <v>1</v>
      </c>
    </row>
    <row r="48" spans="1:3">
      <c r="A48" s="413">
        <f>LongTest!D27</f>
        <v>90</v>
      </c>
      <c r="B48" s="417">
        <f>LongTest!G27</f>
        <v>18.580830385463145</v>
      </c>
      <c r="C48" s="415">
        <v>1</v>
      </c>
    </row>
    <row r="49" spans="1:3">
      <c r="A49" s="413">
        <f>LongTest!D28</f>
        <v>105</v>
      </c>
      <c r="B49" s="417">
        <f>LongTest!G28</f>
        <v>19.144466762511989</v>
      </c>
      <c r="C49" s="415">
        <v>1</v>
      </c>
    </row>
    <row r="50" spans="1:3">
      <c r="A50" s="413">
        <f>LongTest!D29</f>
        <v>120</v>
      </c>
      <c r="B50" s="417">
        <f>LongTest!G29</f>
        <v>19.632710800394364</v>
      </c>
      <c r="C50" s="415">
        <v>1</v>
      </c>
    </row>
    <row r="51" spans="1:3">
      <c r="A51" s="413">
        <f>LongTest!D30</f>
        <v>140</v>
      </c>
      <c r="B51" s="417">
        <f>LongTest!G30</f>
        <v>20.196347177443215</v>
      </c>
      <c r="C51" s="415">
        <v>1</v>
      </c>
    </row>
    <row r="52" spans="1:3">
      <c r="A52" s="413">
        <f>LongTest!D31</f>
        <v>160</v>
      </c>
      <c r="B52" s="417">
        <f>LongTest!G31</f>
        <v>20.68459121532559</v>
      </c>
      <c r="C52" s="415">
        <v>1</v>
      </c>
    </row>
    <row r="53" spans="1:3">
      <c r="A53" s="413">
        <f>LongTest!D32</f>
        <v>180</v>
      </c>
      <c r="B53" s="417">
        <f>LongTest!G32</f>
        <v>21.115252978021495</v>
      </c>
      <c r="C53" s="415">
        <v>1</v>
      </c>
    </row>
    <row r="54" spans="1:3">
      <c r="A54" s="413">
        <f>LongTest!D33</f>
        <v>240</v>
      </c>
      <c r="B54" s="417">
        <f>LongTest!G33</f>
        <v>22.167133392952721</v>
      </c>
      <c r="C54" s="415">
        <v>1</v>
      </c>
    </row>
    <row r="55" spans="1:3">
      <c r="A55" s="413">
        <f>LongTest!D34</f>
        <v>300</v>
      </c>
      <c r="B55" s="417">
        <f>LongTest!G34</f>
        <v>22.983035229814519</v>
      </c>
      <c r="C55" s="415">
        <v>1</v>
      </c>
    </row>
    <row r="56" spans="1:3">
      <c r="A56" s="413">
        <f>LongTest!D35</f>
        <v>360</v>
      </c>
      <c r="B56" s="417">
        <f>LongTest!G35</f>
        <v>23.649675570579852</v>
      </c>
      <c r="C56" s="415">
        <v>1</v>
      </c>
    </row>
    <row r="57" spans="1:3">
      <c r="A57" s="413">
        <f>LongTest!D36</f>
        <v>420</v>
      </c>
      <c r="B57" s="417">
        <f>LongTest!G36</f>
        <v>24.213311947628696</v>
      </c>
      <c r="C57" s="415">
        <v>1</v>
      </c>
    </row>
    <row r="58" spans="1:3">
      <c r="A58" s="413">
        <f>LongTest!D37</f>
        <v>480</v>
      </c>
      <c r="B58" s="417">
        <f>LongTest!G37</f>
        <v>24.701555985511071</v>
      </c>
      <c r="C58" s="415">
        <v>1</v>
      </c>
    </row>
    <row r="59" spans="1:3">
      <c r="A59" s="413">
        <f>LongTest!D38</f>
        <v>540</v>
      </c>
      <c r="B59" s="417">
        <f>LongTest!G38</f>
        <v>25.132217748206983</v>
      </c>
      <c r="C59" s="415">
        <v>1</v>
      </c>
    </row>
    <row r="60" spans="1:3">
      <c r="A60" s="413">
        <f>LongTest!D39</f>
        <v>600</v>
      </c>
      <c r="B60" s="417">
        <f>LongTest!G39</f>
        <v>25.517457822372869</v>
      </c>
      <c r="C60" s="415">
        <v>1</v>
      </c>
    </row>
    <row r="61" spans="1:3">
      <c r="A61" s="413">
        <f>LongTest!D40</f>
        <v>660</v>
      </c>
      <c r="B61" s="417">
        <f>LongTest!G40</f>
        <v>25.865949859521095</v>
      </c>
      <c r="C61" s="415">
        <v>1</v>
      </c>
    </row>
    <row r="62" spans="1:3">
      <c r="A62" s="413">
        <f>LongTest!D41</f>
        <v>720</v>
      </c>
      <c r="B62" s="417">
        <f>LongTest!G41</f>
        <v>26.184098163138202</v>
      </c>
      <c r="C62" s="415">
        <v>1</v>
      </c>
    </row>
    <row r="63" spans="1:3">
      <c r="A63" s="413">
        <f>LongTest!D42</f>
        <v>780</v>
      </c>
      <c r="B63" s="417">
        <f>LongTest!G42</f>
        <v>26.476766231893059</v>
      </c>
      <c r="C63" s="415">
        <v>1</v>
      </c>
    </row>
    <row r="64" spans="1:3">
      <c r="A64" s="413">
        <f>LongTest!D43</f>
        <v>840</v>
      </c>
      <c r="B64" s="417">
        <f>LongTest!G43</f>
        <v>26.747734540187054</v>
      </c>
      <c r="C64" s="415">
        <v>1</v>
      </c>
    </row>
    <row r="65" spans="1:3">
      <c r="A65" s="413">
        <f>LongTest!D44</f>
        <v>900</v>
      </c>
      <c r="B65" s="417">
        <f>LongTest!G44</f>
        <v>27</v>
      </c>
      <c r="C65" s="415">
        <v>1</v>
      </c>
    </row>
    <row r="66" spans="1:3">
      <c r="A66" s="413">
        <f>LongTest!D45</f>
        <v>960</v>
      </c>
      <c r="B66" s="417">
        <f>LongTest!G45</f>
        <v>27</v>
      </c>
      <c r="C66" s="415">
        <v>1</v>
      </c>
    </row>
    <row r="67" spans="1:3">
      <c r="A67" s="413">
        <f>LongTest!D46</f>
        <v>1020</v>
      </c>
      <c r="B67" s="417">
        <f>LongTest!G46</f>
        <v>27</v>
      </c>
      <c r="C67" s="415">
        <v>1</v>
      </c>
    </row>
    <row r="68" spans="1:3">
      <c r="A68" s="413">
        <f>LongTest!D47</f>
        <v>1080</v>
      </c>
      <c r="B68" s="417">
        <f>LongTest!G47</f>
        <v>27</v>
      </c>
      <c r="C68" s="415">
        <v>1</v>
      </c>
    </row>
    <row r="69" spans="1:3">
      <c r="A69" s="413">
        <f>LongTest!D48</f>
        <v>1140</v>
      </c>
      <c r="B69" s="417">
        <f>LongTest!G48</f>
        <v>27</v>
      </c>
      <c r="C69" s="415">
        <v>1</v>
      </c>
    </row>
    <row r="70" spans="1:3">
      <c r="A70" s="413">
        <f>LongTest!D49</f>
        <v>1200</v>
      </c>
      <c r="B70" s="417">
        <f>LongTest!G49</f>
        <v>27</v>
      </c>
      <c r="C70" s="415">
        <v>1</v>
      </c>
    </row>
    <row r="71" spans="1:3">
      <c r="A71" s="413">
        <f>LongTest!D50</f>
        <v>1260</v>
      </c>
      <c r="B71" s="417">
        <f>LongTest!G50</f>
        <v>27</v>
      </c>
      <c r="C71" s="415">
        <v>1</v>
      </c>
    </row>
    <row r="72" spans="1:3">
      <c r="A72" s="413">
        <f>LongTest!D51</f>
        <v>1320</v>
      </c>
      <c r="B72" s="417">
        <f>LongTest!G51</f>
        <v>27</v>
      </c>
      <c r="C72" s="415">
        <v>1</v>
      </c>
    </row>
    <row r="73" spans="1:3">
      <c r="A73" s="413">
        <f>LongTest!D52</f>
        <v>1380</v>
      </c>
      <c r="B73" s="417">
        <f>LongTest!G52</f>
        <v>27</v>
      </c>
      <c r="C73" s="415">
        <v>1</v>
      </c>
    </row>
    <row r="74" spans="1:3">
      <c r="A74" s="413">
        <f>LongTest!D53</f>
        <v>1440</v>
      </c>
      <c r="B74" s="417">
        <f>LongTest!G53</f>
        <v>27</v>
      </c>
      <c r="C74" s="415">
        <v>1</v>
      </c>
    </row>
    <row r="75" spans="1:3">
      <c r="A75" s="413">
        <f>LongTest!D54</f>
        <v>1500</v>
      </c>
      <c r="B75" s="417">
        <f>LongTest!G54</f>
        <v>27</v>
      </c>
      <c r="C75" s="415">
        <v>1</v>
      </c>
    </row>
    <row r="76" spans="1:3">
      <c r="A76" s="413">
        <f>LongTest!D55</f>
        <v>1560</v>
      </c>
      <c r="B76" s="417">
        <f>LongTest!G55</f>
        <v>27</v>
      </c>
      <c r="C76" s="415">
        <v>1</v>
      </c>
    </row>
    <row r="77" spans="1:3">
      <c r="A77" s="413">
        <f>LongTest!D56</f>
        <v>1620</v>
      </c>
      <c r="B77" s="417">
        <f>LongTest!G56</f>
        <v>27</v>
      </c>
      <c r="C77" s="415">
        <v>1</v>
      </c>
    </row>
    <row r="78" spans="1:3">
      <c r="A78" s="413">
        <f>LongTest!D57</f>
        <v>1680</v>
      </c>
      <c r="B78" s="417">
        <f>LongTest!G57</f>
        <v>27</v>
      </c>
      <c r="C78" s="415">
        <v>1</v>
      </c>
    </row>
    <row r="79" spans="1:3">
      <c r="A79" s="413">
        <f>LongTest!D58</f>
        <v>1740</v>
      </c>
      <c r="B79" s="417">
        <f>LongTest!G58</f>
        <v>27</v>
      </c>
      <c r="C79" s="415">
        <v>1</v>
      </c>
    </row>
    <row r="80" spans="1:3">
      <c r="A80" s="413">
        <f>LongTest!D59</f>
        <v>1800</v>
      </c>
      <c r="B80" s="417">
        <f>LongTest!G59</f>
        <v>27</v>
      </c>
      <c r="C80" s="415">
        <v>1</v>
      </c>
    </row>
    <row r="81" spans="1:3">
      <c r="A81" s="413">
        <f>LongTest!D60</f>
        <v>1860</v>
      </c>
      <c r="B81" s="417">
        <f>LongTest!G60</f>
        <v>27</v>
      </c>
      <c r="C81" s="415">
        <v>1</v>
      </c>
    </row>
    <row r="82" spans="1:3">
      <c r="A82" s="413">
        <f>LongTest!D61</f>
        <v>1920</v>
      </c>
      <c r="B82" s="417">
        <f>LongTest!G61</f>
        <v>27</v>
      </c>
      <c r="C82" s="415">
        <v>1</v>
      </c>
    </row>
    <row r="83" spans="1:3">
      <c r="A83" s="413">
        <f>LongTest!D62</f>
        <v>1980</v>
      </c>
      <c r="B83" s="417">
        <f>LongTest!G62</f>
        <v>27</v>
      </c>
      <c r="C83" s="415">
        <v>1</v>
      </c>
    </row>
    <row r="84" spans="1:3">
      <c r="A84" s="413">
        <f>LongTest!D63</f>
        <v>2040</v>
      </c>
      <c r="B84" s="417">
        <f>LongTest!G63</f>
        <v>27</v>
      </c>
      <c r="C84" s="415">
        <v>1</v>
      </c>
    </row>
    <row r="85" spans="1:3">
      <c r="A85" s="413">
        <f>LongTest!D64</f>
        <v>2100</v>
      </c>
      <c r="B85" s="417">
        <f>LongTest!G64</f>
        <v>27</v>
      </c>
      <c r="C85" s="415">
        <v>1</v>
      </c>
    </row>
    <row r="86" spans="1:3">
      <c r="A86" s="413">
        <f>LongTest!D65</f>
        <v>2160</v>
      </c>
      <c r="B86" s="417">
        <f>LongTest!G65</f>
        <v>27</v>
      </c>
      <c r="C86" s="415">
        <v>1</v>
      </c>
    </row>
    <row r="87" spans="1:3">
      <c r="A87" s="413">
        <f>LongTest!D66</f>
        <v>2220</v>
      </c>
      <c r="B87" s="417">
        <f>LongTest!G66</f>
        <v>27</v>
      </c>
      <c r="C87" s="415">
        <v>1</v>
      </c>
    </row>
    <row r="88" spans="1:3">
      <c r="A88" s="413">
        <f>LongTest!D67</f>
        <v>2280</v>
      </c>
      <c r="B88" s="417">
        <f>LongTest!G67</f>
        <v>27</v>
      </c>
      <c r="C88" s="415">
        <v>1</v>
      </c>
    </row>
    <row r="89" spans="1:3">
      <c r="A89" s="413">
        <f>LongTest!D68</f>
        <v>2340</v>
      </c>
      <c r="B89" s="417">
        <f>LongTest!G68</f>
        <v>27</v>
      </c>
      <c r="C89" s="415">
        <v>1</v>
      </c>
    </row>
    <row r="90" spans="1:3">
      <c r="A90" s="413">
        <f>LongTest!D69</f>
        <v>2400</v>
      </c>
      <c r="B90" s="417">
        <f>LongTest!G69</f>
        <v>27</v>
      </c>
      <c r="C90" s="415">
        <v>1</v>
      </c>
    </row>
    <row r="91" spans="1:3">
      <c r="A91" s="413">
        <f>LongTest!D70</f>
        <v>2460</v>
      </c>
      <c r="B91" s="417">
        <f>LongTest!G70</f>
        <v>27</v>
      </c>
      <c r="C91" s="415">
        <v>1</v>
      </c>
    </row>
    <row r="92" spans="1:3">
      <c r="A92" s="413">
        <f>LongTest!D71</f>
        <v>2520</v>
      </c>
      <c r="B92" s="417">
        <f>LongTest!G71</f>
        <v>27</v>
      </c>
      <c r="C92" s="415">
        <v>1</v>
      </c>
    </row>
    <row r="93" spans="1:3">
      <c r="A93" s="413">
        <f>LongTest!D72</f>
        <v>2580</v>
      </c>
      <c r="B93" s="417">
        <f>LongTest!G72</f>
        <v>27</v>
      </c>
      <c r="C93" s="415">
        <v>1</v>
      </c>
    </row>
    <row r="94" spans="1:3">
      <c r="A94" s="413">
        <f>LongTest!D73</f>
        <v>2640</v>
      </c>
      <c r="B94" s="417">
        <f>LongTest!G73</f>
        <v>27</v>
      </c>
      <c r="C94" s="415">
        <v>1</v>
      </c>
    </row>
    <row r="95" spans="1:3">
      <c r="A95" s="413">
        <f>LongTest!D74</f>
        <v>2700</v>
      </c>
      <c r="B95" s="417">
        <f>LongTest!G74</f>
        <v>27</v>
      </c>
      <c r="C95" s="415">
        <v>1</v>
      </c>
    </row>
    <row r="96" spans="1:3">
      <c r="A96" s="413">
        <f>LongTest!D75</f>
        <v>2760</v>
      </c>
      <c r="B96" s="417">
        <f>LongTest!G75</f>
        <v>27</v>
      </c>
      <c r="C96" s="415">
        <v>1</v>
      </c>
    </row>
    <row r="97" spans="1:3">
      <c r="A97" s="413">
        <f>LongTest!D76</f>
        <v>2820</v>
      </c>
      <c r="B97" s="417">
        <f>LongTest!G76</f>
        <v>27</v>
      </c>
      <c r="C97" s="415">
        <v>1</v>
      </c>
    </row>
    <row r="98" spans="1:3">
      <c r="A98" s="413">
        <f>LongTest!D77</f>
        <v>2880</v>
      </c>
      <c r="B98" s="417">
        <f>LongTest!G77</f>
        <v>27</v>
      </c>
      <c r="C98" s="415">
        <v>1</v>
      </c>
    </row>
    <row r="99" spans="1:3">
      <c r="A99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>
    <tabColor theme="2" tint="-9.9978637043366805E-2"/>
  </sheetPr>
  <dimension ref="A1:C57"/>
  <sheetViews>
    <sheetView workbookViewId="0">
      <selection activeCell="J23" sqref="J23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'01_g_step_01'!A7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'01_g_step_01'!A18</f>
        <v>0.125</v>
      </c>
      <c r="B18" s="413"/>
    </row>
    <row r="19" spans="1:3">
      <c r="A19" s="413">
        <f>'01_g_step_01'!A19</f>
        <v>0.125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2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5">
        <v>2880</v>
      </c>
      <c r="B25" s="415">
        <v>0</v>
      </c>
    </row>
    <row r="26" spans="1:3">
      <c r="A26" s="413" t="s">
        <v>104</v>
      </c>
      <c r="B26" s="413"/>
    </row>
    <row r="27" spans="1:3">
      <c r="A27" s="413" t="str">
        <f>A15</f>
        <v>W-1</v>
      </c>
      <c r="B27" s="413"/>
    </row>
    <row r="28" spans="1:3">
      <c r="A28" s="416">
        <f>SkinFactor!G10</f>
        <v>1.8556999999999999</v>
      </c>
      <c r="B28" s="413"/>
    </row>
    <row r="29" spans="1:3">
      <c r="A29" s="413">
        <v>0</v>
      </c>
      <c r="B29" s="413"/>
    </row>
    <row r="30" spans="1:3">
      <c r="A30" s="413">
        <v>0</v>
      </c>
      <c r="B30" s="413"/>
    </row>
    <row r="31" spans="1:3">
      <c r="A31" s="415">
        <f>SUM(C32:C56)</f>
        <v>25</v>
      </c>
      <c r="B31" s="413"/>
    </row>
    <row r="32" spans="1:3">
      <c r="A32" s="413">
        <f>LongTest!D77</f>
        <v>2880</v>
      </c>
      <c r="B32" s="414">
        <f>LongTest!G77</f>
        <v>27</v>
      </c>
      <c r="C32" s="415">
        <v>1</v>
      </c>
    </row>
    <row r="33" spans="1:3">
      <c r="A33" s="413">
        <f>$A$32+LongTest!D78</f>
        <v>2881</v>
      </c>
      <c r="B33" s="414">
        <f>LongTest!G78</f>
        <v>17.020520507105719</v>
      </c>
      <c r="C33" s="415">
        <v>1</v>
      </c>
    </row>
    <row r="34" spans="1:3">
      <c r="A34" s="413">
        <f>$A$32+LongTest!D79</f>
        <v>2882</v>
      </c>
      <c r="B34" s="414">
        <f>LongTest!G79</f>
        <v>15.418137849046119</v>
      </c>
      <c r="C34" s="415">
        <v>1</v>
      </c>
    </row>
    <row r="35" spans="1:3">
      <c r="A35" s="413">
        <f>$A$32+LongTest!D80</f>
        <v>2883</v>
      </c>
      <c r="B35" s="414">
        <f>LongTest!G80</f>
        <v>13.966610165238238</v>
      </c>
      <c r="C35" s="415">
        <v>1</v>
      </c>
    </row>
    <row r="36" spans="1:3">
      <c r="A36" s="413">
        <f>$A$32+LongTest!D81</f>
        <v>2884</v>
      </c>
      <c r="B36" s="414">
        <f>LongTest!G81</f>
        <v>12.651735340387058</v>
      </c>
      <c r="C36" s="415">
        <v>1</v>
      </c>
    </row>
    <row r="37" spans="1:3">
      <c r="A37" s="413">
        <f>$A$32+LongTest!D82</f>
        <v>2885</v>
      </c>
      <c r="B37" s="414">
        <f>LongTest!G82</f>
        <v>11.460648305455756</v>
      </c>
      <c r="C37" s="415">
        <v>1</v>
      </c>
    </row>
    <row r="38" spans="1:3">
      <c r="A38" s="413">
        <f>$A$32+LongTest!D83</f>
        <v>2890</v>
      </c>
      <c r="B38" s="414">
        <f>LongTest!G83</f>
        <v>8.5189574037614335</v>
      </c>
      <c r="C38" s="415">
        <v>1</v>
      </c>
    </row>
    <row r="39" spans="1:3">
      <c r="A39" s="413">
        <f>$A$32+LongTest!D84</f>
        <v>2895</v>
      </c>
      <c r="B39" s="414">
        <f>LongTest!G84</f>
        <v>7.9755229930197045</v>
      </c>
      <c r="C39" s="415">
        <v>1</v>
      </c>
    </row>
    <row r="40" spans="1:3">
      <c r="A40" s="413">
        <f>$A$32+LongTest!D85</f>
        <v>2900</v>
      </c>
      <c r="B40" s="414">
        <f>LongTest!G85</f>
        <v>6.5445131634427272</v>
      </c>
      <c r="C40" s="415">
        <v>1</v>
      </c>
    </row>
    <row r="41" spans="1:3">
      <c r="A41" s="413">
        <f>$A$32+LongTest!D86</f>
        <v>2905</v>
      </c>
      <c r="B41" s="414">
        <f>LongTest!G86</f>
        <v>5.9283854490073606</v>
      </c>
      <c r="C41" s="415">
        <v>1</v>
      </c>
    </row>
    <row r="42" spans="1:3">
      <c r="A42" s="413">
        <f>$A$32+LongTest!D87</f>
        <v>2910</v>
      </c>
      <c r="B42" s="414">
        <f>LongTest!G87</f>
        <v>5.3702625625882066</v>
      </c>
      <c r="C42" s="415">
        <v>1</v>
      </c>
    </row>
    <row r="43" spans="1:3">
      <c r="A43" s="413">
        <f>$A$32+LongTest!D88</f>
        <v>2915</v>
      </c>
      <c r="B43" s="414">
        <f>LongTest!G88</f>
        <v>5.196152422706632</v>
      </c>
      <c r="C43" s="415">
        <v>1</v>
      </c>
    </row>
    <row r="44" spans="1:3">
      <c r="A44" s="413">
        <f>$A$32+LongTest!D89</f>
        <v>2920</v>
      </c>
      <c r="B44" s="414">
        <f>LongTest!G89</f>
        <v>5.0276871354661115</v>
      </c>
      <c r="C44" s="415">
        <v>1</v>
      </c>
    </row>
    <row r="45" spans="1:3">
      <c r="A45" s="413">
        <f>$A$32+LongTest!D90</f>
        <v>2925</v>
      </c>
      <c r="B45" s="414">
        <f>LongTest!G90</f>
        <v>4.864683688197994</v>
      </c>
      <c r="C45" s="415">
        <v>1</v>
      </c>
    </row>
    <row r="46" spans="1:3">
      <c r="A46" s="413">
        <f>$A$32+LongTest!D91</f>
        <v>2930</v>
      </c>
      <c r="B46" s="414">
        <f>LongTest!G91</f>
        <v>4.7069650017165721</v>
      </c>
      <c r="C46" s="415">
        <v>1</v>
      </c>
    </row>
    <row r="47" spans="1:3">
      <c r="A47" s="413">
        <f>$A$32+LongTest!D92</f>
        <v>2935</v>
      </c>
      <c r="B47" s="414">
        <f>LongTest!G92</f>
        <v>4.5543597379486931</v>
      </c>
      <c r="C47" s="415">
        <v>1</v>
      </c>
    </row>
    <row r="48" spans="1:3">
      <c r="A48" s="413">
        <f>$A$32+LongTest!D93</f>
        <v>2940</v>
      </c>
      <c r="B48" s="414">
        <f>LongTest!G93</f>
        <v>4.4067021138002209</v>
      </c>
      <c r="C48" s="415">
        <v>1</v>
      </c>
    </row>
    <row r="49" spans="1:3">
      <c r="A49" s="413">
        <f>$A$32+LongTest!D94</f>
        <v>2955</v>
      </c>
      <c r="B49" s="414">
        <f>LongTest!G94</f>
        <v>4.2638317210571888</v>
      </c>
      <c r="C49" s="415">
        <v>1</v>
      </c>
    </row>
    <row r="50" spans="1:3">
      <c r="A50" s="413">
        <f>$A$32+LongTest!D95</f>
        <v>2970</v>
      </c>
      <c r="B50" s="414">
        <f>LongTest!G95</f>
        <v>4.1255933521259358</v>
      </c>
      <c r="C50" s="415">
        <v>1</v>
      </c>
    </row>
    <row r="51" spans="1:3">
      <c r="A51" s="413">
        <f>$A$32+LongTest!D96</f>
        <v>2985</v>
      </c>
      <c r="B51" s="414">
        <f>LongTest!G96</f>
        <v>3.9918368314229804</v>
      </c>
      <c r="C51" s="415">
        <v>1</v>
      </c>
    </row>
    <row r="52" spans="1:3">
      <c r="A52" s="413">
        <f>$A$32+LongTest!D97</f>
        <v>3000</v>
      </c>
      <c r="B52" s="414">
        <f>LongTest!G97</f>
        <v>3.616028693839564</v>
      </c>
      <c r="C52" s="415">
        <v>1</v>
      </c>
    </row>
    <row r="53" spans="1:3">
      <c r="A53" s="413">
        <f>$A$32+LongTest!D98</f>
        <v>3060</v>
      </c>
      <c r="B53" s="414">
        <f>LongTest!G98</f>
        <v>3.4987928502727712</v>
      </c>
      <c r="C53" s="415">
        <v>1</v>
      </c>
    </row>
    <row r="54" spans="1:3">
      <c r="A54" s="413">
        <f>$A$32+LongTest!D99</f>
        <v>3120</v>
      </c>
      <c r="B54" s="414">
        <f>LongTest!G99</f>
        <v>2.8710212339441612</v>
      </c>
      <c r="C54" s="415">
        <v>1</v>
      </c>
    </row>
    <row r="55" spans="1:3">
      <c r="A55" s="413">
        <f>$A$32+LongTest!D100</f>
        <v>3180</v>
      </c>
      <c r="B55" s="414">
        <f>LongTest!G100</f>
        <v>2.3558876671179987</v>
      </c>
      <c r="C55" s="415">
        <v>1</v>
      </c>
    </row>
    <row r="56" spans="1:3">
      <c r="A56" s="413">
        <f>$A$32+LongTest!D101</f>
        <v>3240</v>
      </c>
      <c r="B56" s="414">
        <f>LongTest!G101</f>
        <v>1.9331820449317627</v>
      </c>
      <c r="C56" s="415">
        <v>1</v>
      </c>
    </row>
    <row r="57" spans="1:3">
      <c r="A57" s="413" t="s">
        <v>179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>
    <tabColor rgb="FF993300"/>
  </sheetPr>
  <dimension ref="B1:P44"/>
  <sheetViews>
    <sheetView workbookViewId="0">
      <selection activeCell="G9" sqref="G9"/>
    </sheetView>
  </sheetViews>
  <sheetFormatPr defaultColWidth="8.88671875" defaultRowHeight="16.5"/>
  <cols>
    <col min="1" max="1" width="8.88671875" style="340"/>
    <col min="2" max="2" width="16.6640625" style="340" customWidth="1"/>
    <col min="3" max="4" width="14.6640625" style="340" customWidth="1"/>
    <col min="5" max="5" width="12" style="412" customWidth="1"/>
    <col min="6" max="6" width="12.33203125" style="412" customWidth="1"/>
    <col min="7" max="7" width="8.88671875" style="340"/>
    <col min="8" max="8" width="10.33203125" style="340" customWidth="1"/>
    <col min="9" max="9" width="9.44140625" style="340" customWidth="1"/>
    <col min="10" max="10" width="10.21875" style="340" customWidth="1"/>
    <col min="11" max="11" width="8.88671875" style="340"/>
    <col min="12" max="12" width="10" style="340" customWidth="1"/>
    <col min="13" max="15" width="8.88671875" style="340"/>
    <col min="16" max="16" width="10" style="340" customWidth="1"/>
    <col min="17" max="16384" width="8.88671875" style="340"/>
  </cols>
  <sheetData>
    <row r="1" spans="2:16" s="380" customFormat="1" ht="18" customHeight="1">
      <c r="E1" s="381"/>
      <c r="F1" s="381"/>
    </row>
    <row r="2" spans="2:16" s="380" customFormat="1" ht="18" customHeight="1">
      <c r="B2" s="380" t="s">
        <v>252</v>
      </c>
      <c r="E2" s="381"/>
      <c r="F2" s="381"/>
    </row>
    <row r="3" spans="2:16" s="380" customFormat="1" ht="18" customHeight="1">
      <c r="E3" s="381"/>
      <c r="F3" s="381"/>
    </row>
    <row r="4" spans="2:16" s="384" customFormat="1" ht="26.25" customHeight="1">
      <c r="B4" s="382" t="s">
        <v>305</v>
      </c>
      <c r="C4" s="383" t="s">
        <v>237</v>
      </c>
      <c r="E4" s="383"/>
      <c r="F4" s="383"/>
    </row>
    <row r="5" spans="2:16" s="380" customFormat="1" ht="18" customHeight="1" thickBot="1">
      <c r="E5" s="381"/>
      <c r="F5" s="381"/>
    </row>
    <row r="6" spans="2:16" s="380" customFormat="1" ht="26.1" customHeight="1" thickBot="1">
      <c r="B6" s="385" t="s">
        <v>253</v>
      </c>
      <c r="C6" s="386">
        <f>LongTest!C10</f>
        <v>44375.388888888891</v>
      </c>
      <c r="D6" s="387"/>
      <c r="E6" s="381"/>
      <c r="F6" s="381"/>
    </row>
    <row r="7" spans="2:16" s="380" customFormat="1" ht="26.1" customHeight="1" thickBot="1">
      <c r="B7" s="385" t="s">
        <v>254</v>
      </c>
      <c r="C7" s="388">
        <v>14.7</v>
      </c>
      <c r="D7" s="387"/>
      <c r="E7" s="381"/>
      <c r="F7" s="381"/>
    </row>
    <row r="8" spans="2:16" s="380" customFormat="1" ht="26.1" customHeight="1">
      <c r="B8" s="389" t="s">
        <v>255</v>
      </c>
      <c r="C8" s="390">
        <v>223</v>
      </c>
      <c r="D8" s="387"/>
      <c r="E8" s="381"/>
      <c r="F8" s="381"/>
    </row>
    <row r="9" spans="2:16" s="380" customFormat="1" ht="26.1" customHeight="1">
      <c r="B9" s="389" t="s">
        <v>256</v>
      </c>
      <c r="C9" s="391">
        <v>7.2</v>
      </c>
      <c r="D9" s="387"/>
      <c r="E9" s="381"/>
      <c r="F9" s="381"/>
    </row>
    <row r="10" spans="2:16" s="380" customFormat="1" ht="26.1" customHeight="1">
      <c r="B10" s="389"/>
      <c r="C10" s="390"/>
      <c r="D10" s="387"/>
      <c r="E10" s="381"/>
      <c r="F10" s="381"/>
    </row>
    <row r="11" spans="2:16" s="380" customFormat="1" ht="18" customHeight="1" thickBot="1">
      <c r="E11" s="381"/>
      <c r="F11" s="381"/>
      <c r="L11"/>
      <c r="M11"/>
      <c r="N11"/>
      <c r="O11"/>
      <c r="P11"/>
    </row>
    <row r="12" spans="2:16" s="381" customFormat="1" ht="26.1" customHeight="1">
      <c r="B12" s="557" t="s">
        <v>257</v>
      </c>
      <c r="C12" s="558"/>
      <c r="D12" s="559" t="s">
        <v>237</v>
      </c>
      <c r="E12" s="560"/>
      <c r="F12" s="558"/>
      <c r="H12" s="557" t="s">
        <v>237</v>
      </c>
      <c r="I12" s="560"/>
      <c r="J12" s="558"/>
      <c r="L12" s="552" t="s">
        <v>237</v>
      </c>
      <c r="M12" s="553"/>
      <c r="N12" s="554"/>
      <c r="O12"/>
      <c r="P12"/>
    </row>
    <row r="13" spans="2:16" s="381" customFormat="1" ht="26.1" customHeight="1">
      <c r="B13" s="392" t="s">
        <v>253</v>
      </c>
      <c r="C13" s="393" t="s">
        <v>258</v>
      </c>
      <c r="D13" s="394" t="s">
        <v>259</v>
      </c>
      <c r="E13" s="395" t="s">
        <v>260</v>
      </c>
      <c r="F13" s="393" t="s">
        <v>261</v>
      </c>
      <c r="H13" s="450" t="s">
        <v>259</v>
      </c>
      <c r="I13" s="395" t="s">
        <v>260</v>
      </c>
      <c r="J13" s="451" t="s">
        <v>261</v>
      </c>
      <c r="L13" s="453" t="s">
        <v>259</v>
      </c>
      <c r="M13" s="454" t="s">
        <v>260</v>
      </c>
      <c r="N13" s="455" t="s">
        <v>261</v>
      </c>
      <c r="O13"/>
      <c r="P13"/>
    </row>
    <row r="14" spans="2:16" s="381" customFormat="1" ht="26.1" customHeight="1">
      <c r="B14" s="396">
        <f>$C$6+C14/1440</f>
        <v>44375.392361111109</v>
      </c>
      <c r="C14" s="397">
        <v>5</v>
      </c>
      <c r="D14" s="480">
        <f t="shared" ref="D14:D23" si="0">baseTemp+H14</f>
        <v>14.7</v>
      </c>
      <c r="E14" s="398">
        <f>$C$8+I14</f>
        <v>220</v>
      </c>
      <c r="F14" s="399">
        <f>$C$9+J14</f>
        <v>7.08</v>
      </c>
      <c r="H14" s="400">
        <v>0</v>
      </c>
      <c r="I14" s="401">
        <v>-3</v>
      </c>
      <c r="J14" s="402">
        <v>-0.12</v>
      </c>
      <c r="L14" s="453" t="e">
        <f>ROUND(myRandBetween(0,1,10), 1)</f>
        <v>#VALUE!</v>
      </c>
      <c r="M14" s="454" t="e">
        <f>myRandBetween(1,3,1)</f>
        <v>#VALUE!</v>
      </c>
      <c r="N14" s="455" t="e">
        <f>ROUND(myRandBetween(7,12,100), 2)</f>
        <v>#VALUE!</v>
      </c>
      <c r="O14"/>
      <c r="P14"/>
    </row>
    <row r="15" spans="2:16" s="381" customFormat="1" ht="26.1" customHeight="1">
      <c r="B15" s="403">
        <f t="shared" ref="B15:B23" si="1">$C$6+C15/1440</f>
        <v>44375.409722222226</v>
      </c>
      <c r="C15" s="402">
        <v>30</v>
      </c>
      <c r="D15" s="406">
        <f t="shared" si="0"/>
        <v>14.799999999999999</v>
      </c>
      <c r="E15" s="404">
        <f t="shared" ref="E15:E23" si="2">$C$8+I15</f>
        <v>220</v>
      </c>
      <c r="F15" s="405">
        <f t="shared" ref="F15:F23" si="3">$C$9+J15</f>
        <v>7.2700000000000005</v>
      </c>
      <c r="H15" s="400">
        <v>0.1</v>
      </c>
      <c r="I15" s="401">
        <v>-3</v>
      </c>
      <c r="J15" s="402">
        <v>7.0000000000000007E-2</v>
      </c>
      <c r="L15" s="453" t="e">
        <f t="shared" ref="L15:L23" si="4">ROUND(myRandBetween(0,1,10), 1)</f>
        <v>#VALUE!</v>
      </c>
      <c r="M15" s="454" t="e">
        <f t="shared" ref="M15:M23" si="5">myRandBetween(1,3,1)</f>
        <v>#VALUE!</v>
      </c>
      <c r="N15" s="455" t="e">
        <f t="shared" ref="N15:N23" si="6">ROUND(myRandBetween(7,12,100), 2)</f>
        <v>#VALUE!</v>
      </c>
      <c r="O15"/>
      <c r="P15"/>
    </row>
    <row r="16" spans="2:16" s="381" customFormat="1" ht="26.1" customHeight="1">
      <c r="B16" s="403">
        <f t="shared" si="1"/>
        <v>44375.430555555555</v>
      </c>
      <c r="C16" s="402">
        <v>60</v>
      </c>
      <c r="D16" s="406">
        <f t="shared" si="0"/>
        <v>14.7</v>
      </c>
      <c r="E16" s="404">
        <f t="shared" si="2"/>
        <v>226</v>
      </c>
      <c r="F16" s="405">
        <f t="shared" si="3"/>
        <v>7.12</v>
      </c>
      <c r="H16" s="400">
        <v>0</v>
      </c>
      <c r="I16" s="401">
        <v>3</v>
      </c>
      <c r="J16" s="402">
        <v>-0.08</v>
      </c>
      <c r="L16" s="453" t="e">
        <f t="shared" si="4"/>
        <v>#VALUE!</v>
      </c>
      <c r="M16" s="454" t="e">
        <f t="shared" si="5"/>
        <v>#VALUE!</v>
      </c>
      <c r="N16" s="455" t="e">
        <f t="shared" si="6"/>
        <v>#VALUE!</v>
      </c>
      <c r="O16"/>
      <c r="P16"/>
    </row>
    <row r="17" spans="2:16" s="381" customFormat="1" ht="26.1" customHeight="1">
      <c r="B17" s="403">
        <f t="shared" si="1"/>
        <v>44375.472222222226</v>
      </c>
      <c r="C17" s="402">
        <v>120</v>
      </c>
      <c r="D17" s="406">
        <f t="shared" si="0"/>
        <v>14.799999999999999</v>
      </c>
      <c r="E17" s="404">
        <f t="shared" si="2"/>
        <v>224</v>
      </c>
      <c r="F17" s="405">
        <f t="shared" si="3"/>
        <v>7.3</v>
      </c>
      <c r="H17" s="400">
        <v>0.1</v>
      </c>
      <c r="I17" s="401">
        <v>1</v>
      </c>
      <c r="J17" s="402">
        <v>0.1</v>
      </c>
      <c r="L17" s="453" t="e">
        <f t="shared" si="4"/>
        <v>#VALUE!</v>
      </c>
      <c r="M17" s="454" t="e">
        <f t="shared" si="5"/>
        <v>#VALUE!</v>
      </c>
      <c r="N17" s="455" t="e">
        <f t="shared" si="6"/>
        <v>#VALUE!</v>
      </c>
      <c r="O17"/>
      <c r="P17"/>
    </row>
    <row r="18" spans="2:16" s="381" customFormat="1" ht="26.1" customHeight="1">
      <c r="B18" s="403">
        <f t="shared" si="1"/>
        <v>44375.555555555555</v>
      </c>
      <c r="C18" s="402">
        <v>240</v>
      </c>
      <c r="D18" s="406">
        <f t="shared" si="0"/>
        <v>14.7</v>
      </c>
      <c r="E18" s="404">
        <f t="shared" si="2"/>
        <v>222</v>
      </c>
      <c r="F18" s="405">
        <f t="shared" si="3"/>
        <v>7.12</v>
      </c>
      <c r="H18" s="400">
        <v>0</v>
      </c>
      <c r="I18" s="401">
        <v>-1</v>
      </c>
      <c r="J18" s="402">
        <v>-0.08</v>
      </c>
      <c r="L18" s="453" t="e">
        <f t="shared" si="4"/>
        <v>#VALUE!</v>
      </c>
      <c r="M18" s="454" t="e">
        <f t="shared" si="5"/>
        <v>#VALUE!</v>
      </c>
      <c r="N18" s="455" t="e">
        <f t="shared" si="6"/>
        <v>#VALUE!</v>
      </c>
      <c r="O18"/>
      <c r="P18"/>
    </row>
    <row r="19" spans="2:16" s="381" customFormat="1" ht="26.1" customHeight="1">
      <c r="B19" s="403">
        <f t="shared" si="1"/>
        <v>44375.722222222226</v>
      </c>
      <c r="C19" s="402">
        <v>480</v>
      </c>
      <c r="D19" s="406">
        <f t="shared" si="0"/>
        <v>14.7</v>
      </c>
      <c r="E19" s="404">
        <f t="shared" si="2"/>
        <v>226</v>
      </c>
      <c r="F19" s="405">
        <f t="shared" si="3"/>
        <v>7.08</v>
      </c>
      <c r="H19" s="400">
        <v>0</v>
      </c>
      <c r="I19" s="401">
        <v>3</v>
      </c>
      <c r="J19" s="402">
        <v>-0.12</v>
      </c>
      <c r="L19" s="453" t="e">
        <f t="shared" si="4"/>
        <v>#VALUE!</v>
      </c>
      <c r="M19" s="454" t="e">
        <f t="shared" si="5"/>
        <v>#VALUE!</v>
      </c>
      <c r="N19" s="455" t="e">
        <f t="shared" si="6"/>
        <v>#VALUE!</v>
      </c>
      <c r="O19"/>
      <c r="P19"/>
    </row>
    <row r="20" spans="2:16" s="380" customFormat="1" ht="26.1" customHeight="1">
      <c r="B20" s="403">
        <f t="shared" si="1"/>
        <v>44376.388888888891</v>
      </c>
      <c r="C20" s="402">
        <v>1440</v>
      </c>
      <c r="D20" s="406">
        <f t="shared" si="0"/>
        <v>14.799999999999999</v>
      </c>
      <c r="E20" s="404">
        <f t="shared" si="2"/>
        <v>225</v>
      </c>
      <c r="F20" s="405">
        <f t="shared" si="3"/>
        <v>7.08</v>
      </c>
      <c r="H20" s="400">
        <v>0.1</v>
      </c>
      <c r="I20" s="401">
        <v>2</v>
      </c>
      <c r="J20" s="402">
        <v>-0.12</v>
      </c>
      <c r="L20" s="453" t="e">
        <f t="shared" si="4"/>
        <v>#VALUE!</v>
      </c>
      <c r="M20" s="454" t="e">
        <f t="shared" si="5"/>
        <v>#VALUE!</v>
      </c>
      <c r="N20" s="455" t="e">
        <f t="shared" si="6"/>
        <v>#VALUE!</v>
      </c>
      <c r="O20"/>
      <c r="P20"/>
    </row>
    <row r="21" spans="2:16" s="380" customFormat="1" ht="26.1" customHeight="1">
      <c r="B21" s="403">
        <f t="shared" si="1"/>
        <v>44376.555555555555</v>
      </c>
      <c r="C21" s="402">
        <v>1680</v>
      </c>
      <c r="D21" s="406">
        <f t="shared" si="0"/>
        <v>14.7</v>
      </c>
      <c r="E21" s="404">
        <f t="shared" si="2"/>
        <v>221</v>
      </c>
      <c r="F21" s="405">
        <f t="shared" si="3"/>
        <v>7.2700000000000005</v>
      </c>
      <c r="H21" s="400">
        <v>0</v>
      </c>
      <c r="I21" s="401">
        <v>-2</v>
      </c>
      <c r="J21" s="402">
        <v>7.0000000000000007E-2</v>
      </c>
      <c r="L21" s="453" t="e">
        <f t="shared" si="4"/>
        <v>#VALUE!</v>
      </c>
      <c r="M21" s="454" t="e">
        <f t="shared" si="5"/>
        <v>#VALUE!</v>
      </c>
      <c r="N21" s="455" t="e">
        <f t="shared" si="6"/>
        <v>#VALUE!</v>
      </c>
      <c r="O21"/>
      <c r="P21"/>
    </row>
    <row r="22" spans="2:16" s="380" customFormat="1" ht="26.1" customHeight="1">
      <c r="B22" s="403">
        <f t="shared" si="1"/>
        <v>44376.722222222226</v>
      </c>
      <c r="C22" s="402">
        <v>1920</v>
      </c>
      <c r="D22" s="406">
        <f t="shared" si="0"/>
        <v>14.7</v>
      </c>
      <c r="E22" s="404">
        <f t="shared" si="2"/>
        <v>224</v>
      </c>
      <c r="F22" s="405">
        <f t="shared" si="3"/>
        <v>7.29</v>
      </c>
      <c r="H22" s="400">
        <v>0</v>
      </c>
      <c r="I22" s="401">
        <v>1</v>
      </c>
      <c r="J22" s="402">
        <v>0.09</v>
      </c>
      <c r="L22" s="453" t="e">
        <f t="shared" si="4"/>
        <v>#VALUE!</v>
      </c>
      <c r="M22" s="454" t="e">
        <f t="shared" si="5"/>
        <v>#VALUE!</v>
      </c>
      <c r="N22" s="455" t="e">
        <f t="shared" si="6"/>
        <v>#VALUE!</v>
      </c>
      <c r="O22"/>
      <c r="P22"/>
    </row>
    <row r="23" spans="2:16" s="380" customFormat="1" ht="26.1" customHeight="1" thickBot="1">
      <c r="B23" s="403">
        <f t="shared" si="1"/>
        <v>44377.388888888891</v>
      </c>
      <c r="C23" s="402">
        <v>2880</v>
      </c>
      <c r="D23" s="406">
        <f t="shared" si="0"/>
        <v>14.7</v>
      </c>
      <c r="E23" s="404">
        <f t="shared" si="2"/>
        <v>226</v>
      </c>
      <c r="F23" s="405">
        <f t="shared" si="3"/>
        <v>7.08</v>
      </c>
      <c r="H23" s="407">
        <v>0</v>
      </c>
      <c r="I23" s="452">
        <v>3</v>
      </c>
      <c r="J23" s="408">
        <v>-0.12</v>
      </c>
      <c r="L23" s="453" t="e">
        <f t="shared" si="4"/>
        <v>#VALUE!</v>
      </c>
      <c r="M23" s="456" t="e">
        <f t="shared" si="5"/>
        <v>#VALUE!</v>
      </c>
      <c r="N23" s="457" t="e">
        <f t="shared" si="6"/>
        <v>#VALUE!</v>
      </c>
      <c r="O23"/>
      <c r="P23"/>
    </row>
    <row r="24" spans="2:16" s="380" customFormat="1" ht="26.1" customHeight="1">
      <c r="B24" s="561" t="s">
        <v>178</v>
      </c>
      <c r="C24" s="562"/>
      <c r="D24" s="394">
        <f>MAX(D14:D23)</f>
        <v>14.799999999999999</v>
      </c>
      <c r="E24" s="395">
        <f t="shared" ref="E24:F24" si="7">MAX(E14:E23)</f>
        <v>226</v>
      </c>
      <c r="F24" s="393">
        <f t="shared" si="7"/>
        <v>7.3</v>
      </c>
      <c r="H24" s="381"/>
      <c r="I24" s="381"/>
      <c r="J24" s="381"/>
      <c r="L24"/>
      <c r="M24"/>
      <c r="N24"/>
      <c r="O24"/>
      <c r="P24"/>
    </row>
    <row r="25" spans="2:16" s="380" customFormat="1" ht="26.1" customHeight="1">
      <c r="B25" s="561" t="s">
        <v>262</v>
      </c>
      <c r="C25" s="562"/>
      <c r="D25" s="394">
        <f>MIN(D14:D23)</f>
        <v>14.7</v>
      </c>
      <c r="E25" s="395">
        <f t="shared" ref="E25:F25" si="8">MIN(E14:E23)</f>
        <v>220</v>
      </c>
      <c r="F25" s="393">
        <f t="shared" si="8"/>
        <v>7.08</v>
      </c>
      <c r="H25" s="381"/>
      <c r="I25" s="381"/>
      <c r="J25" s="381"/>
      <c r="L25"/>
      <c r="M25"/>
      <c r="N25"/>
      <c r="O25"/>
      <c r="P25"/>
    </row>
    <row r="26" spans="2:16" s="380" customFormat="1" ht="26.1" customHeight="1" thickBot="1">
      <c r="B26" s="555" t="s">
        <v>263</v>
      </c>
      <c r="C26" s="556"/>
      <c r="D26" s="409">
        <f>D24-D25</f>
        <v>9.9999999999999645E-2</v>
      </c>
      <c r="E26" s="410">
        <f t="shared" ref="E26:F26" si="9">E24-E25</f>
        <v>6</v>
      </c>
      <c r="F26" s="411">
        <f t="shared" si="9"/>
        <v>0.21999999999999975</v>
      </c>
      <c r="H26" s="381"/>
      <c r="I26" s="381"/>
      <c r="J26" s="381"/>
      <c r="L26"/>
      <c r="M26"/>
      <c r="N26"/>
      <c r="O26"/>
      <c r="P26"/>
    </row>
    <row r="27" spans="2:16" s="380" customFormat="1" ht="18" customHeight="1">
      <c r="E27" s="381"/>
      <c r="F27" s="381"/>
      <c r="L27"/>
      <c r="M27"/>
      <c r="N27"/>
      <c r="O27"/>
      <c r="P27"/>
    </row>
    <row r="28" spans="2:16" s="380" customFormat="1" ht="18" customHeight="1">
      <c r="E28" s="381"/>
      <c r="F28" s="381"/>
      <c r="L28"/>
      <c r="M28"/>
      <c r="N28"/>
      <c r="O28"/>
      <c r="P28"/>
    </row>
    <row r="29" spans="2:16" s="380" customFormat="1" ht="18" customHeight="1">
      <c r="E29" s="381"/>
      <c r="F29" s="381"/>
    </row>
    <row r="30" spans="2:16" s="380" customFormat="1" ht="18" customHeight="1">
      <c r="E30" s="381"/>
      <c r="F30" s="381"/>
    </row>
    <row r="31" spans="2:16" s="380" customFormat="1" ht="18" customHeight="1">
      <c r="E31" s="381"/>
      <c r="F31" s="381"/>
    </row>
    <row r="32" spans="2:16" s="380" customFormat="1" ht="18" customHeight="1">
      <c r="E32" s="381"/>
      <c r="F32" s="381"/>
    </row>
    <row r="33" spans="5:6" s="380" customFormat="1" ht="18" customHeight="1">
      <c r="E33" s="381"/>
      <c r="F33" s="381"/>
    </row>
    <row r="34" spans="5:6" s="380" customFormat="1" ht="18" customHeight="1">
      <c r="E34" s="381"/>
      <c r="F34" s="381"/>
    </row>
    <row r="35" spans="5:6" s="380" customFormat="1" ht="18" customHeight="1">
      <c r="E35" s="381"/>
      <c r="F35" s="381"/>
    </row>
    <row r="36" spans="5:6" s="380" customFormat="1" ht="18" customHeight="1">
      <c r="E36" s="381"/>
      <c r="F36" s="381"/>
    </row>
    <row r="37" spans="5:6" s="380" customFormat="1" ht="18" customHeight="1">
      <c r="E37" s="381"/>
      <c r="F37" s="38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  <mc:AlternateContent xmlns:mc="http://schemas.openxmlformats.org/markup-compatibility/2006">
      <mc:Choice Requires="x14">
        <control shapeId="30724" r:id="rId8" name="CommandButton3">
          <controlPr defaultSize="0" autoLine="0" r:id="rId9">
            <anchor moveWithCells="1">
              <from>
                <xdr:col>3</xdr:col>
                <xdr:colOff>342900</xdr:colOff>
                <xdr:row>8</xdr:row>
                <xdr:rowOff>9525</xdr:rowOff>
              </from>
              <to>
                <xdr:col>4</xdr:col>
                <xdr:colOff>514350</xdr:colOff>
                <xdr:row>9</xdr:row>
                <xdr:rowOff>57150</xdr:rowOff>
              </to>
            </anchor>
          </controlPr>
        </control>
      </mc:Choice>
      <mc:Fallback>
        <control shapeId="30724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63" t="s">
        <v>152</v>
      </c>
      <c r="B1" s="563"/>
      <c r="C1" s="563"/>
      <c r="D1" s="563"/>
      <c r="E1" s="563"/>
      <c r="F1" s="563"/>
      <c r="G1" s="563"/>
      <c r="H1" s="563"/>
      <c r="I1" s="563"/>
      <c r="J1" s="563"/>
      <c r="K1" s="563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9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14</vt:i4>
      </vt:variant>
    </vt:vector>
  </HeadingPairs>
  <TitlesOfParts>
    <vt:vector size="27" baseType="lpstr">
      <vt:lpstr>Sheet1</vt:lpstr>
      <vt:lpstr>Input</vt:lpstr>
      <vt:lpstr>REF</vt:lpstr>
      <vt:lpstr>SkinFactor</vt:lpstr>
      <vt:lpstr>SafeYield</vt:lpstr>
      <vt:lpstr>StepTest</vt:lpstr>
      <vt:lpstr>LongTest</vt:lpstr>
      <vt:lpstr>펌프마력</vt:lpstr>
      <vt:lpstr>01_g_step_01</vt:lpstr>
      <vt:lpstr>01_g_janggi_02</vt:lpstr>
      <vt:lpstr>01_g_recover_01</vt:lpstr>
      <vt:lpstr>w1</vt:lpstr>
      <vt:lpstr>시추주상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2021-07-01T09:53:02Z</cp:lastPrinted>
  <dcterms:created xsi:type="dcterms:W3CDTF">1998-04-14T02:17:03Z</dcterms:created>
  <dcterms:modified xsi:type="dcterms:W3CDTF">2021-07-03T02:00:26Z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