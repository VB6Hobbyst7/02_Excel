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3B91F22A-0748-48C2-9AD0-6D62652D13B2}" xr6:coauthVersionLast="47" xr6:coauthVersionMax="47" xr10:uidLastSave="{00000000-0000-0000-0000-000000000000}"/>
  <bookViews>
    <workbookView xWindow="-120" yWindow="-120" windowWidth="29040" windowHeight="15840" tabRatio="619" firstSheet="2" activeTab="2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81029"/>
</workbook>
</file>

<file path=xl/calcChain.xml><?xml version="1.0" encoding="utf-8"?>
<calcChain xmlns="http://schemas.openxmlformats.org/spreadsheetml/2006/main">
  <c r="C6" i="33" l="1"/>
  <c r="A28" i="22"/>
  <c r="D4" i="27"/>
  <c r="B15" i="19"/>
  <c r="C7" i="27" l="1"/>
  <c r="L16" i="33"/>
  <c r="L19" i="33"/>
  <c r="L17" i="33"/>
  <c r="L15" i="33"/>
  <c r="L14" i="33"/>
  <c r="L20" i="33"/>
  <c r="L22" i="33"/>
  <c r="L18" i="33"/>
  <c r="L21" i="33"/>
  <c r="L23" i="33"/>
  <c r="M47" i="1" l="1"/>
  <c r="F13" i="27" l="1"/>
  <c r="H60" i="1"/>
  <c r="H16" i="27"/>
  <c r="M22" i="33"/>
  <c r="N23" i="33"/>
  <c r="M15" i="33"/>
  <c r="M23" i="33"/>
  <c r="N21" i="33"/>
  <c r="N14" i="33"/>
  <c r="M20" i="33"/>
  <c r="N19" i="33"/>
  <c r="M14" i="33"/>
  <c r="M21" i="33"/>
  <c r="N22" i="33"/>
  <c r="N15" i="33"/>
  <c r="N17" i="33"/>
  <c r="N16" i="33"/>
  <c r="N20" i="33"/>
  <c r="M19" i="33"/>
  <c r="N18" i="33"/>
  <c r="M18" i="33"/>
  <c r="M17" i="33"/>
  <c r="M16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6" i="27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AC37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<sst xmlns="http://schemas.openxmlformats.org/spreadsheetml/2006/main" count="1158" uniqueCount="307">
  <si>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</si>
  <si>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</si>
  <si>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</si>
  <si>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</si>
  <si>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</si>
  <si>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</si>
  <si>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</si>
  <si>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</si>
  <si>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</si>
  <si>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</si>
  <si>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</si>
  <si>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</si>
  <si>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</si>
  <si>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</si>
  <si>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</si>
  <si>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</si>
  <si>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</si>
  <si>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</si>
  <si>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</si>
  <si>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</si>
  <si>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</si>
  <si>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</si>
  <si>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</si>
  <si>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</si>
  <si>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</si>
  <si>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</si>
  <si>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</si>
  <si>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</si>
  <si>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</si>
  <si>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</si>
  <si>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</si>
  <si>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</si>
  <si>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</si>
  <si>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</si>
  <si>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</si>
  <si>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</si>
  <si>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</si>
  <si>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</si>
  <si>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</si>
  <si>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</si>
  <si>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</si>
  <si>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</si>
  <si>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</si>
  <si>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</si>
  <si>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</si>
  <si>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</si>
  <si>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</si>
  <si>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</si>
  <si>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</si>
  <si>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</si>
  <si>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</si>
  <si>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</si>
  <si>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</si>
  <si>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</si>
  <si>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</si>
  <si>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</si>
  <si>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</si>
  <si>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</si>
  <si>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</si>
  <si>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</si>
  <si>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</si>
  <si>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</si>
  <si>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</si>
  <si>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</si>
  <si>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</si>
  <si>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</si>
  <si>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</si>
  <si>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</si>
  <si>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</si>
  <si>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</si>
  <si>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</si>
  <si>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</si>
  <si>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</si>
  <si>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</si>
  <si>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</si>
  <si>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</si>
  <si>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</si>
  <si>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</si>
  <si>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</si>
  <si>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</si>
  <si>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</si>
  <si>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</si>
  <si>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</si>
  <si>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</si>
  <si>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</si>
  <si>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</si>
  <si>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</si>
  <si>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</si>
  <si>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</si>
  <si>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</si>
  <si>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</si>
  <si>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</si>
  <si>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</si>
  <si>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</si>
  <si>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</si>
  <si>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</si>
  <si>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</si>
  <si>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</si>
  <si>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</si>
  <si>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</si>
  <si>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</si>
  <si>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</si>
  <si>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</si>
  <si>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</si>
  <si>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</si>
  <si>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</si>
  <si>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</si>
  <si>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</si>
  <si>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</si>
  <si>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</si>
  <si>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</si>
  <si>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</si>
  <si>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</si>
  <si>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</si>
  <si>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</si>
  <si>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</si>
  <si>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</si>
  <si>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</si>
  <si>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</si>
  <si>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</si>
  <si>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</si>
  <si>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</si>
  <si>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</si>
  <si>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</si>
  <si>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</si>
  <si>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</si>
  <si>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</si>
  <si>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</si>
  <si>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</si>
  <si>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</si>
  <si>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</si>
  <si>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</si>
  <si>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</si>
  <si>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</si>
  <si>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</si>
  <si>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</si>
  <si>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</si>
  <si>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</si>
  <si>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</si>
  <si>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</si>
  <si>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</si>
  <si>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</si>
  <si>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</si>
  <si>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</si>
  <si>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</si>
  <si>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</si>
  <si>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</si>
  <si>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</si>
  <si>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</si>
  <si>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</si>
  <si>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</si>
  <si>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</si>
  <si>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</si>
  <si>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</si>
  <si>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</si>
  <si>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</si>
  <si>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</si>
  <si>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</si>
  <si>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</si>
  <si>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</si>
  <si>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</si>
  <si>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</si>
  <si>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</si>
  <si>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</si>
  <si>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</si>
  <si>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</si>
  <si>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</si>
  <si>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</si>
  <si>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</si>
  <si>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</si>
  <si>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</si>
  <si>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</si>
  <si>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</si>
  <si>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</si>
  <si>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</si>
  <si>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</si>
  <si>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</si>
  <si>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</si>
  <si>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</si>
  <si>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</si>
  <si>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</si>
  <si>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</si>
  <si>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</si>
  <si>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</si>
  <si>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</si>
  <si>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</si>
  <si>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</si>
  <si>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</si>
  <si>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</si>
  <si>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</si>
  <si>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</si>
  <si>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</si>
  <si>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</si>
  <si>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</si>
  <si>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</si>
  <si>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</si>
  <si>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</si>
  <si>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</si>
  <si>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</si>
  <si>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</si>
  <si>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</si>
  <si>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</si>
  <si>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</si>
  <si>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</si>
  <si>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</si>
  <si>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</si>
  <si>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</si>
  <si>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</si>
  <si>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</si>
  <si>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</si>
  <si>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</si>
  <si>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</si>
  <si>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</si>
  <si>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</si>
  <si>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</si>
  <si>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</si>
  <si>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</si>
  <si>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</si>
  <si>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</si>
  <si>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</si>
  <si>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</si>
  <si>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</si>
  <si>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</si>
  <si>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</si>
  <si>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</si>
  <si>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</si>
  <si>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</si>
  <si>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</si>
  <si>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</si>
  <si>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</si>
  <si>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</si>
  <si>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</si>
  <si>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</si>
  <si>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</si>
  <si>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</si>
  <si>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</si>
  <si>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</si>
  <si>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</si>
  <si>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</si>
  <si>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</si>
  <si>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</si>
  <si>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</si>
  <si>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</si>
  <si>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</si>
  <si>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</si>
  <si>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</si>
  <si>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</si>
  <si>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</si>
  <si>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</si>
  <si>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</si>
  <si>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</si>
  <si>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</si>
  <si>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</si>
  <si>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수질 1번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</si>
  <si>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</si>
  <si>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</si>
  <si>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</si>
  <si>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</si>
  <si>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</si>
  <si>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</si>
  <si>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</si>
  <si>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</si>
  <si>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</si>
  <si>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</si>
  <si>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</si>
  <si>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</si>
  <si>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</si>
  <si>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</si>
  <si>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</si>
  <si>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</si>
  <si>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</si>
  <si>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</si>
  <si>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</si>
  <si>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</si>
  <si>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</si>
  <si>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</si>
  <si>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</si>
  <si>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</si>
  <si>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</si>
  <si>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</si>
  <si>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</si>
  <si>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</si>
  <si>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</si>
  <si>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</si>
  <si>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공  번 : W - 1</t>
  </si>
  <si>
    <t>경험식Re3</t>
    <phoneticPr fontId="7" type="noConversion"/>
  </si>
  <si>
    <t xml:space="preserve"> 주식회사 한일지하수</t>
    <phoneticPr fontId="7" type="noConversion"/>
  </si>
  <si>
    <t xml:space="preserve"> 무거동 1027-5</t>
    <phoneticPr fontId="7" type="noConversion"/>
  </si>
  <si>
    <t xml:space="preserve"> 울산 제2실내종합체육관 건립공사중 지열수축열공사</t>
    <phoneticPr fontId="7" type="noConversion"/>
  </si>
  <si>
    <t xml:space="preserve"> 울산광역시 남구 무거동 1027-5번지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</si>
  <si>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</si>
  <si>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</si>
  <si>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</si>
  <si>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</si>
  <si>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</si>
  <si>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</si>
  <si>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</si>
  <si>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</si>
  <si>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t>경험식 2번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</si>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</sst>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20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0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7" fontId="4" fillId="0" borderId="0" xfId="0" applyNumberFormat="1" applyFont="1" applyAlignment="1">
      <alignment vertical="center"/>
    </xf>
    <xf numFmtId="184" fontId="4" fillId="0" borderId="0" xfId="0" applyNumberFormat="1" applyFont="1" applyAlignment="1">
      <alignment vertical="center"/>
    </xf>
    <xf numFmtId="184" fontId="0" fillId="0" borderId="0" xfId="0" applyNumberFormat="1"/>
    <xf numFmtId="181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3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3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8" fontId="8" fillId="0" borderId="0" xfId="0" applyNumberFormat="1" applyFont="1"/>
    <xf numFmtId="0" fontId="8" fillId="0" borderId="0" xfId="0" applyFont="1" applyAlignment="1">
      <alignment horizontal="center"/>
    </xf>
    <xf numFmtId="177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2" fontId="4" fillId="0" borderId="0" xfId="0" applyNumberFormat="1" applyFont="1" applyAlignment="1">
      <alignment horizontal="center" vertical="center"/>
    </xf>
    <xf numFmtId="192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7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6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4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9" fontId="4" fillId="0" borderId="0" xfId="0" applyNumberFormat="1" applyFont="1" applyAlignment="1">
      <alignment vertical="center"/>
    </xf>
    <xf numFmtId="192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9" fontId="4" fillId="0" borderId="0" xfId="0" applyNumberFormat="1" applyFont="1" applyAlignment="1">
      <alignment horizontal="right"/>
    </xf>
    <xf numFmtId="202" fontId="4" fillId="0" borderId="0" xfId="0" applyNumberFormat="1" applyFont="1" applyAlignment="1">
      <alignment vertical="center"/>
    </xf>
    <xf numFmtId="203" fontId="4" fillId="0" borderId="0" xfId="0" applyNumberFormat="1" applyFont="1" applyAlignment="1">
      <alignment vertical="center"/>
    </xf>
    <xf numFmtId="189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8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8" fontId="0" fillId="0" borderId="0" xfId="0" applyNumberFormat="1"/>
    <xf numFmtId="194" fontId="4" fillId="2" borderId="0" xfId="0" applyNumberFormat="1" applyFont="1" applyFill="1" applyAlignment="1">
      <alignment vertical="center"/>
    </xf>
    <xf numFmtId="194" fontId="4" fillId="0" borderId="0" xfId="0" applyNumberFormat="1" applyFont="1"/>
    <xf numFmtId="194" fontId="4" fillId="2" borderId="0" xfId="0" applyNumberFormat="1" applyFont="1" applyFill="1"/>
    <xf numFmtId="194" fontId="4" fillId="0" borderId="0" xfId="0" applyNumberFormat="1" applyFont="1" applyAlignment="1">
      <alignment horizontal="center" vertical="center"/>
    </xf>
    <xf numFmtId="194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176" fontId="9" fillId="0" borderId="8" xfId="9" applyFont="1" applyBorder="1"/>
    <xf numFmtId="176" fontId="9" fillId="0" borderId="9" xfId="9" applyFont="1" applyBorder="1"/>
    <xf numFmtId="0" fontId="9" fillId="0" borderId="7" xfId="0" applyFont="1" applyBorder="1" applyAlignment="1">
      <alignment horizontal="right"/>
    </xf>
    <xf numFmtId="176" fontId="9" fillId="0" borderId="8" xfId="0" applyNumberFormat="1" applyFont="1" applyBorder="1"/>
    <xf numFmtId="206" fontId="9" fillId="0" borderId="8" xfId="0" applyNumberFormat="1" applyFont="1" applyBorder="1"/>
    <xf numFmtId="176" fontId="9" fillId="0" borderId="9" xfId="0" applyNumberFormat="1" applyFont="1" applyBorder="1"/>
    <xf numFmtId="0" fontId="9" fillId="2" borderId="10" xfId="0" applyFont="1" applyFill="1" applyBorder="1"/>
    <xf numFmtId="176" fontId="9" fillId="0" borderId="11" xfId="0" applyNumberFormat="1" applyFont="1" applyBorder="1"/>
    <xf numFmtId="207" fontId="9" fillId="0" borderId="11" xfId="0" applyNumberFormat="1" applyFont="1" applyBorder="1"/>
    <xf numFmtId="176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7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7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7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7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7" fontId="9" fillId="12" borderId="22" xfId="14" applyNumberFormat="1" applyFont="1" applyFill="1" applyBorder="1"/>
    <xf numFmtId="177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7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4" fontId="16" fillId="0" borderId="0" xfId="0" applyNumberFormat="1" applyFont="1" applyAlignment="1">
      <alignment horizontal="right"/>
    </xf>
    <xf numFmtId="188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9" fontId="4" fillId="0" borderId="4" xfId="0" applyNumberFormat="1" applyFont="1" applyBorder="1" applyAlignment="1">
      <alignment horizontal="right" vertical="center"/>
    </xf>
    <xf numFmtId="192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7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5" fontId="22" fillId="0" borderId="3" xfId="0" applyNumberFormat="1" applyFont="1" applyBorder="1" applyAlignment="1">
      <alignment horizontal="center" vertical="center"/>
    </xf>
    <xf numFmtId="179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6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4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1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4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7" fontId="25" fillId="0" borderId="2" xfId="0" applyNumberFormat="1" applyFont="1" applyBorder="1" applyAlignment="1">
      <alignment horizontal="centerContinuous" vertical="center"/>
    </xf>
    <xf numFmtId="184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4" fontId="25" fillId="0" borderId="36" xfId="0" applyNumberFormat="1" applyFont="1" applyBorder="1" applyAlignment="1">
      <alignment horizontal="centerContinuous"/>
    </xf>
    <xf numFmtId="186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90" fontId="24" fillId="0" borderId="3" xfId="0" applyNumberFormat="1" applyFont="1" applyBorder="1" applyAlignment="1">
      <alignment horizontal="center" vertical="center"/>
    </xf>
    <xf numFmtId="194" fontId="8" fillId="3" borderId="3" xfId="0" applyNumberFormat="1" applyFont="1" applyFill="1" applyBorder="1" applyAlignment="1">
      <alignment horizontal="right"/>
    </xf>
    <xf numFmtId="190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9" fontId="9" fillId="0" borderId="3" xfId="0" applyNumberFormat="1" applyFont="1" applyBorder="1" applyAlignment="1">
      <alignment horizontal="right"/>
    </xf>
    <xf numFmtId="177" fontId="9" fillId="2" borderId="3" xfId="0" applyNumberFormat="1" applyFont="1" applyFill="1" applyBorder="1"/>
    <xf numFmtId="191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4" fillId="16" borderId="3" xfId="0" applyNumberFormat="1" applyFont="1" applyFill="1" applyBorder="1" applyAlignment="1">
      <alignment horizontal="center" vertical="center"/>
    </xf>
    <xf numFmtId="183" fontId="30" fillId="0" borderId="0" xfId="0" applyNumberFormat="1" applyFont="1" applyAlignment="1">
      <alignment vertical="center"/>
    </xf>
    <xf numFmtId="192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80" fontId="22" fillId="0" borderId="3" xfId="0" applyNumberFormat="1" applyFont="1" applyBorder="1" applyAlignment="1">
      <alignment horizontal="right" vertical="center"/>
    </xf>
    <xf numFmtId="178" fontId="8" fillId="3" borderId="0" xfId="0" applyNumberFormat="1" applyFont="1" applyFill="1"/>
    <xf numFmtId="0" fontId="31" fillId="2" borderId="0" xfId="0" applyFont="1" applyFill="1"/>
    <xf numFmtId="209" fontId="9" fillId="0" borderId="3" xfId="0" applyNumberFormat="1" applyFont="1" applyBorder="1"/>
    <xf numFmtId="212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8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4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7" fontId="33" fillId="0" borderId="0" xfId="0" applyNumberFormat="1" applyFont="1"/>
    <xf numFmtId="188" fontId="4" fillId="17" borderId="0" xfId="0" applyNumberFormat="1" applyFont="1" applyFill="1" applyAlignment="1">
      <alignment vertical="center"/>
    </xf>
    <xf numFmtId="20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2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2" fontId="4" fillId="19" borderId="3" xfId="0" applyNumberFormat="1" applyFont="1" applyFill="1" applyBorder="1" applyAlignment="1">
      <alignment vertical="center"/>
    </xf>
    <xf numFmtId="189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4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9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3" fontId="44" fillId="22" borderId="0" xfId="16" applyNumberFormat="1">
      <alignment vertical="center"/>
    </xf>
    <xf numFmtId="188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8" fontId="9" fillId="0" borderId="0" xfId="0" applyNumberFormat="1" applyFont="1"/>
    <xf numFmtId="205" fontId="0" fillId="0" borderId="0" xfId="0" applyNumberFormat="1"/>
    <xf numFmtId="0" fontId="46" fillId="0" borderId="0" xfId="0" applyFont="1" applyAlignment="1">
      <alignment horizontal="center" vertical="center" readingOrder="1"/>
    </xf>
    <xf numFmtId="192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7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7" fontId="37" fillId="0" borderId="0" xfId="15" applyNumberFormat="1" applyFont="1" applyFill="1">
      <alignment vertical="center"/>
    </xf>
    <xf numFmtId="218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7" fontId="37" fillId="0" borderId="0" xfId="15" applyNumberFormat="1" applyFont="1" applyFill="1" applyBorder="1">
      <alignment vertical="center"/>
    </xf>
    <xf numFmtId="195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3" fontId="37" fillId="2" borderId="3" xfId="0" applyNumberFormat="1" applyFont="1" applyFill="1" applyBorder="1"/>
    <xf numFmtId="184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4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8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3" fontId="4" fillId="19" borderId="0" xfId="0" applyNumberFormat="1" applyFont="1" applyFill="1" applyAlignment="1">
      <alignment vertical="center"/>
    </xf>
    <xf numFmtId="188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8" fontId="4" fillId="17" borderId="0" xfId="0" applyNumberFormat="1" applyFont="1" applyFill="1" applyAlignment="1">
      <alignment vertical="center"/>
    </xf>
    <xf numFmtId="178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9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223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3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4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1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4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1" fontId="37" fillId="0" borderId="69" xfId="0" applyNumberFormat="1" applyFont="1" applyBorder="1" applyAlignment="1">
      <alignment horizontal="center" vertical="center"/>
    </xf>
    <xf numFmtId="177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4" fontId="37" fillId="0" borderId="0" xfId="0" applyNumberFormat="1" applyFont="1" applyAlignment="1">
      <alignment horizontal="left"/>
    </xf>
    <xf numFmtId="195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4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4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5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5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4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9" fontId="58" fillId="33" borderId="86" xfId="15" applyNumberFormat="1" applyFont="1" applyFill="1" applyBorder="1" applyAlignment="1">
      <alignment horizontal="center" vertical="center"/>
    </xf>
    <xf numFmtId="209" fontId="58" fillId="33" borderId="90" xfId="15" applyNumberFormat="1" applyFont="1" applyFill="1" applyBorder="1" applyAlignment="1">
      <alignment horizontal="center" vertical="center"/>
    </xf>
    <xf numFmtId="215" fontId="58" fillId="33" borderId="90" xfId="15" applyNumberFormat="1" applyFont="1" applyFill="1" applyBorder="1" applyAlignment="1">
      <alignment horizontal="center" vertical="center"/>
    </xf>
    <xf numFmtId="205" fontId="58" fillId="34" borderId="87" xfId="15" applyNumberFormat="1" applyFont="1" applyFill="1" applyBorder="1" applyAlignment="1">
      <alignment horizontal="center" vertical="center"/>
    </xf>
    <xf numFmtId="209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9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20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5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5" fontId="68" fillId="34" borderId="0" xfId="0" applyNumberFormat="1" applyFont="1" applyFill="1" applyAlignment="1">
      <alignment vertical="center"/>
    </xf>
    <xf numFmtId="177" fontId="37" fillId="0" borderId="59" xfId="0" applyNumberFormat="1" applyFont="1" applyBorder="1" applyAlignment="1">
      <alignment horizontal="center" vertical="center"/>
    </xf>
    <xf numFmtId="195" fontId="58" fillId="33" borderId="92" xfId="15" applyNumberFormat="1" applyFont="1" applyFill="1" applyBorder="1" applyAlignment="1">
      <alignment horizontal="center" vertical="center"/>
    </xf>
    <xf numFmtId="216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9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5" fontId="39" fillId="38" borderId="25" xfId="15" applyNumberFormat="1" applyFont="1" applyFill="1" applyBorder="1" applyAlignment="1">
      <alignment horizontal="center" vertical="center"/>
    </xf>
    <xf numFmtId="201" fontId="39" fillId="38" borderId="25" xfId="15" applyNumberFormat="1" applyFont="1" applyFill="1" applyBorder="1" applyAlignment="1">
      <alignment horizontal="center" vertical="center"/>
    </xf>
    <xf numFmtId="209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5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7" fontId="51" fillId="4" borderId="4" xfId="0" applyNumberFormat="1" applyFont="1" applyFill="1" applyBorder="1" applyAlignment="1">
      <alignment horizontal="right" vertical="center"/>
    </xf>
    <xf numFmtId="187" fontId="51" fillId="4" borderId="2" xfId="0" applyNumberFormat="1" applyFont="1" applyFill="1" applyBorder="1" applyAlignment="1">
      <alignment horizontal="right" vertical="center"/>
    </xf>
    <xf numFmtId="187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7" fontId="48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5" fontId="8" fillId="3" borderId="3" xfId="0" applyNumberFormat="1" applyFont="1" applyFill="1" applyBorder="1" applyAlignment="1">
      <alignment horizontal="center"/>
    </xf>
    <xf numFmtId="205" fontId="8" fillId="0" borderId="37" xfId="0" applyNumberFormat="1" applyFont="1" applyBorder="1" applyAlignment="1">
      <alignment horizontal="center" vertical="center"/>
    </xf>
    <xf numFmtId="205" fontId="8" fillId="0" borderId="5" xfId="0" applyNumberFormat="1" applyFont="1" applyBorder="1" applyAlignment="1">
      <alignment horizontal="center" vertical="center"/>
    </xf>
    <xf numFmtId="205" fontId="8" fillId="0" borderId="30" xfId="0" applyNumberFormat="1" applyFont="1" applyBorder="1" applyAlignment="1">
      <alignment horizontal="center" vertical="center"/>
    </xf>
    <xf numFmtId="205" fontId="8" fillId="0" borderId="14" xfId="0" applyNumberFormat="1" applyFont="1" applyBorder="1" applyAlignment="1">
      <alignment horizontal="center" vertical="center"/>
    </xf>
    <xf numFmtId="194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1" fontId="8" fillId="2" borderId="4" xfId="0" applyNumberFormat="1" applyFont="1" applyFill="1" applyBorder="1" applyAlignment="1">
      <alignment horizontal="center"/>
    </xf>
    <xf numFmtId="211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1" fontId="24" fillId="0" borderId="3" xfId="0" applyNumberFormat="1" applyFont="1" applyBorder="1" applyAlignment="1">
      <alignment horizontal="center" vertical="center"/>
    </xf>
    <xf numFmtId="190" fontId="24" fillId="0" borderId="3" xfId="0" applyNumberFormat="1" applyFont="1" applyBorder="1" applyAlignment="1">
      <alignment horizontal="center" vertical="center"/>
    </xf>
    <xf numFmtId="180" fontId="24" fillId="0" borderId="3" xfId="0" applyNumberFormat="1" applyFont="1" applyBorder="1" applyAlignment="1">
      <alignment horizontal="center" vertical="center"/>
    </xf>
    <xf numFmtId="182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1" fontId="24" fillId="0" borderId="4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186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center" vertical="center"/>
    </xf>
    <xf numFmtId="200" fontId="24" fillId="0" borderId="2" xfId="0" applyNumberFormat="1" applyFont="1" applyBorder="1" applyAlignment="1">
      <alignment horizontal="center" vertical="center"/>
    </xf>
    <xf numFmtId="200" fontId="24" fillId="0" borderId="36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213" fontId="4" fillId="0" borderId="3" xfId="0" applyNumberFormat="1" applyFont="1" applyBorder="1" applyAlignment="1">
      <alignment horizontal="left" vertical="center"/>
    </xf>
    <xf numFmtId="213" fontId="4" fillId="0" borderId="4" xfId="0" applyNumberFormat="1" applyFont="1" applyBorder="1" applyAlignment="1">
      <alignment horizontal="left" vertical="center"/>
    </xf>
    <xf numFmtId="219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4.2999999999999997E-2</c:v>
                </c:pt>
                <c:pt idx="1">
                  <c:v>4.4999999999999998E-2</c:v>
                </c:pt>
                <c:pt idx="2">
                  <c:v>4.7E-2</c:v>
                </c:pt>
                <c:pt idx="3">
                  <c:v>0.05</c:v>
                </c:pt>
                <c:pt idx="4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6.1666666666666668E-2"/>
          <c:min val="3.8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833333333333334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80.325525965778525</c:v>
                </c:pt>
                <c:pt idx="2">
                  <c:v>76.179909887654702</c:v>
                </c:pt>
                <c:pt idx="3">
                  <c:v>72.413867626895552</c:v>
                </c:pt>
                <c:pt idx="4">
                  <c:v>69.052304094957847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4.3617021276595738E-2</c:v>
                </c:pt>
                <c:pt idx="2">
                  <c:v>4.5499999999999999E-2</c:v>
                </c:pt>
                <c:pt idx="3">
                  <c:v>4.7879616963064302E-2</c:v>
                </c:pt>
                <c:pt idx="4">
                  <c:v>5.0697674418604656E-2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6.1666666666666668E-2"/>
          <c:min val="3.8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833333333333334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1.0032703830969414</c:v>
                </c:pt>
                <c:pt idx="1">
                  <c:v>1.4516240342857989</c:v>
                </c:pt>
                <c:pt idx="2">
                  <c:v>1.7138941072926928</c:v>
                </c:pt>
                <c:pt idx="3">
                  <c:v>1.8999776854746555</c:v>
                </c:pt>
                <c:pt idx="4">
                  <c:v>2.0443153222376766</c:v>
                </c:pt>
                <c:pt idx="5">
                  <c:v>2.4926689734265342</c:v>
                </c:pt>
                <c:pt idx="6">
                  <c:v>2.7549390464334289</c:v>
                </c:pt>
                <c:pt idx="7">
                  <c:v>2.9410226246153908</c:v>
                </c:pt>
                <c:pt idx="8">
                  <c:v>3.0853602613784137</c:v>
                </c:pt>
                <c:pt idx="9">
                  <c:v>3.2032926976222855</c:v>
                </c:pt>
                <c:pt idx="10">
                  <c:v>3.3030031517252132</c:v>
                </c:pt>
                <c:pt idx="11">
                  <c:v>3.3893762758042483</c:v>
                </c:pt>
                <c:pt idx="12">
                  <c:v>3.4655627706291812</c:v>
                </c:pt>
                <c:pt idx="13">
                  <c:v>3.5337139125672712</c:v>
                </c:pt>
                <c:pt idx="14">
                  <c:v>3.5953641194918866</c:v>
                </c:pt>
                <c:pt idx="15">
                  <c:v>3.651646348811143</c:v>
                </c:pt>
                <c:pt idx="16">
                  <c:v>3.7959839855741642</c:v>
                </c:pt>
                <c:pt idx="17">
                  <c:v>3.9139164218180387</c:v>
                </c:pt>
                <c:pt idx="18">
                  <c:v>4.0136268759209646</c:v>
                </c:pt>
                <c:pt idx="19">
                  <c:v>4.0999999999999996</c:v>
                </c:pt>
                <c:pt idx="20">
                  <c:v>4.9537289117495744</c:v>
                </c:pt>
                <c:pt idx="21">
                  <c:v>5.0149235781881734</c:v>
                </c:pt>
                <c:pt idx="22">
                  <c:v>5.0718944496691458</c:v>
                </c:pt>
                <c:pt idx="23">
                  <c:v>5.2224464959379207</c:v>
                </c:pt>
                <c:pt idx="24">
                  <c:v>5.46</c:v>
                </c:pt>
                <c:pt idx="25">
                  <c:v>6.633154847258421</c:v>
                </c:pt>
                <c:pt idx="26">
                  <c:v>6.6726124099305313</c:v>
                </c:pt>
                <c:pt idx="27">
                  <c:v>6.7105806475510335</c:v>
                </c:pt>
                <c:pt idx="28">
                  <c:v>6.8165774236292087</c:v>
                </c:pt>
                <c:pt idx="29">
                  <c:v>7</c:v>
                </c:pt>
                <c:pt idx="30">
                  <c:v>8.4119353895210818</c:v>
                </c:pt>
                <c:pt idx="31">
                  <c:v>8.4434992644108764</c:v>
                </c:pt>
                <c:pt idx="32">
                  <c:v>8.4742432049671503</c:v>
                </c:pt>
                <c:pt idx="33">
                  <c:v>8.5619555601958073</c:v>
                </c:pt>
                <c:pt idx="34">
                  <c:v>8.7200000000000006</c:v>
                </c:pt>
                <c:pt idx="35">
                  <c:v>11.054341907734043</c:v>
                </c:pt>
                <c:pt idx="36">
                  <c:v>11.081840043733637</c:v>
                </c:pt>
                <c:pt idx="37">
                  <c:v>11.108793626240244</c:v>
                </c:pt>
                <c:pt idx="38">
                  <c:v>11.186592597070701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7.9892357823750118</c:v>
                </c:pt>
                <c:pt idx="1">
                  <c:v>9.3862319730882557</c:v>
                </c:pt>
                <c:pt idx="2">
                  <c:v>10.203422358305801</c:v>
                </c:pt>
                <c:pt idx="3">
                  <c:v>10.7832281638015</c:v>
                </c:pt>
                <c:pt idx="4">
                  <c:v>11.232960486042714</c:v>
                </c:pt>
                <c:pt idx="5">
                  <c:v>12.62995667675596</c:v>
                </c:pt>
                <c:pt idx="6">
                  <c:v>13.447147061973507</c:v>
                </c:pt>
                <c:pt idx="7">
                  <c:v>14.026952867469202</c:v>
                </c:pt>
                <c:pt idx="8">
                  <c:v>14.47668518971042</c:v>
                </c:pt>
                <c:pt idx="9">
                  <c:v>14.844143252686752</c:v>
                </c:pt>
                <c:pt idx="10">
                  <c:v>15.154824618137262</c:v>
                </c:pt>
                <c:pt idx="11">
                  <c:v>15.423949058182448</c:v>
                </c:pt>
                <c:pt idx="12">
                  <c:v>15.661333637904296</c:v>
                </c:pt>
                <c:pt idx="13">
                  <c:v>15.873681380423662</c:v>
                </c:pt>
                <c:pt idx="14">
                  <c:v>16.034363279311972</c:v>
                </c:pt>
                <c:pt idx="15">
                  <c:v>16.241139443399991</c:v>
                </c:pt>
                <c:pt idx="16">
                  <c:v>16.690871765641212</c:v>
                </c:pt>
                <c:pt idx="17">
                  <c:v>17.058329828617541</c:v>
                </c:pt>
                <c:pt idx="18">
                  <c:v>17.369011194068054</c:v>
                </c:pt>
                <c:pt idx="19">
                  <c:v>17.638135634113237</c:v>
                </c:pt>
                <c:pt idx="20">
                  <c:v>17.94881699956375</c:v>
                </c:pt>
                <c:pt idx="21">
                  <c:v>18.217941439608936</c:v>
                </c:pt>
                <c:pt idx="22">
                  <c:v>18.455326019330784</c:v>
                </c:pt>
                <c:pt idx="23">
                  <c:v>19.035131824826479</c:v>
                </c:pt>
                <c:pt idx="24">
                  <c:v>19.4848641470677</c:v>
                </c:pt>
                <c:pt idx="25">
                  <c:v>19.852322210044029</c:v>
                </c:pt>
                <c:pt idx="26">
                  <c:v>20.163003575494542</c:v>
                </c:pt>
                <c:pt idx="27">
                  <c:v>20.432128015539725</c:v>
                </c:pt>
                <c:pt idx="28">
                  <c:v>20.669512595261576</c:v>
                </c:pt>
                <c:pt idx="29">
                  <c:v>20.881860337780942</c:v>
                </c:pt>
                <c:pt idx="30">
                  <c:v>21.07395223666925</c:v>
                </c:pt>
                <c:pt idx="31">
                  <c:v>21.249318400757272</c:v>
                </c:pt>
                <c:pt idx="32">
                  <c:v>21.410639633607087</c:v>
                </c:pt>
                <c:pt idx="33">
                  <c:v>21.559999766207785</c:v>
                </c:pt>
                <c:pt idx="34">
                  <c:v>21.559999766207785</c:v>
                </c:pt>
                <c:pt idx="35">
                  <c:v>21.559999766207785</c:v>
                </c:pt>
                <c:pt idx="36">
                  <c:v>21.559999766207785</c:v>
                </c:pt>
                <c:pt idx="37">
                  <c:v>21.559999766207785</c:v>
                </c:pt>
                <c:pt idx="38">
                  <c:v>21.559999766207785</c:v>
                </c:pt>
                <c:pt idx="39">
                  <c:v>21.559999766207785</c:v>
                </c:pt>
                <c:pt idx="40">
                  <c:v>21.559999766207785</c:v>
                </c:pt>
                <c:pt idx="41">
                  <c:v>21.559999766207785</c:v>
                </c:pt>
                <c:pt idx="42">
                  <c:v>21.559999766207785</c:v>
                </c:pt>
                <c:pt idx="43">
                  <c:v>21.559999766207785</c:v>
                </c:pt>
                <c:pt idx="44">
                  <c:v>21.559999766207785</c:v>
                </c:pt>
                <c:pt idx="45">
                  <c:v>21.559999766207785</c:v>
                </c:pt>
                <c:pt idx="46">
                  <c:v>21.559999766207785</c:v>
                </c:pt>
                <c:pt idx="47">
                  <c:v>21.559999766207785</c:v>
                </c:pt>
                <c:pt idx="48">
                  <c:v>21.559999766207785</c:v>
                </c:pt>
                <c:pt idx="49">
                  <c:v>21.559999766207785</c:v>
                </c:pt>
                <c:pt idx="50">
                  <c:v>21.559999766207785</c:v>
                </c:pt>
                <c:pt idx="51">
                  <c:v>21.559999766207785</c:v>
                </c:pt>
                <c:pt idx="52">
                  <c:v>21.559999766207785</c:v>
                </c:pt>
                <c:pt idx="53">
                  <c:v>21.559999766207785</c:v>
                </c:pt>
                <c:pt idx="54">
                  <c:v>21.559999766207785</c:v>
                </c:pt>
                <c:pt idx="55">
                  <c:v>21.559999766207785</c:v>
                </c:pt>
                <c:pt idx="56">
                  <c:v>21.559999766207785</c:v>
                </c:pt>
                <c:pt idx="57">
                  <c:v>21.559999766207785</c:v>
                </c:pt>
                <c:pt idx="58">
                  <c:v>21.559999766207785</c:v>
                </c:pt>
                <c:pt idx="59">
                  <c:v>21.559999766207785</c:v>
                </c:pt>
                <c:pt idx="60">
                  <c:v>21.559999766207785</c:v>
                </c:pt>
                <c:pt idx="61">
                  <c:v>21.559999766207785</c:v>
                </c:pt>
                <c:pt idx="62">
                  <c:v>21.559999766207785</c:v>
                </c:pt>
                <c:pt idx="63">
                  <c:v>21.559999766207785</c:v>
                </c:pt>
                <c:pt idx="64">
                  <c:v>21.559999766207785</c:v>
                </c:pt>
                <c:pt idx="65">
                  <c:v>21.559999766207785</c:v>
                </c:pt>
                <c:pt idx="66">
                  <c:v>21.559999766207785</c:v>
                </c:pt>
                <c:pt idx="67">
                  <c:v>21.559999766207785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7.9892357823750118</c:v>
                </c:pt>
                <c:pt idx="1">
                  <c:v>9.3862319730882557</c:v>
                </c:pt>
                <c:pt idx="2">
                  <c:v>10.203422358305801</c:v>
                </c:pt>
                <c:pt idx="3">
                  <c:v>10.7832281638015</c:v>
                </c:pt>
                <c:pt idx="4">
                  <c:v>11.232960486042714</c:v>
                </c:pt>
                <c:pt idx="5">
                  <c:v>12.62995667675596</c:v>
                </c:pt>
                <c:pt idx="6">
                  <c:v>13.447147061973507</c:v>
                </c:pt>
                <c:pt idx="7">
                  <c:v>14.026952867469202</c:v>
                </c:pt>
                <c:pt idx="8">
                  <c:v>14.47668518971042</c:v>
                </c:pt>
                <c:pt idx="9">
                  <c:v>14.844143252686752</c:v>
                </c:pt>
                <c:pt idx="10">
                  <c:v>15.154824618137262</c:v>
                </c:pt>
                <c:pt idx="11">
                  <c:v>15.423949058182448</c:v>
                </c:pt>
                <c:pt idx="12">
                  <c:v>15.661333637904296</c:v>
                </c:pt>
                <c:pt idx="13">
                  <c:v>15.873681380423662</c:v>
                </c:pt>
                <c:pt idx="14">
                  <c:v>16.034363279311972</c:v>
                </c:pt>
                <c:pt idx="15">
                  <c:v>16.241139443399991</c:v>
                </c:pt>
                <c:pt idx="16">
                  <c:v>16.690871765641212</c:v>
                </c:pt>
                <c:pt idx="17">
                  <c:v>17.058329828617541</c:v>
                </c:pt>
                <c:pt idx="18">
                  <c:v>17.369011194068054</c:v>
                </c:pt>
                <c:pt idx="19">
                  <c:v>17.638135634113237</c:v>
                </c:pt>
                <c:pt idx="20">
                  <c:v>17.94881699956375</c:v>
                </c:pt>
                <c:pt idx="21">
                  <c:v>18.217941439608936</c:v>
                </c:pt>
                <c:pt idx="22">
                  <c:v>18.455326019330784</c:v>
                </c:pt>
                <c:pt idx="23">
                  <c:v>19.035131824826479</c:v>
                </c:pt>
                <c:pt idx="24">
                  <c:v>19.4848641470677</c:v>
                </c:pt>
                <c:pt idx="25">
                  <c:v>19.852322210044029</c:v>
                </c:pt>
                <c:pt idx="26">
                  <c:v>20.163003575494542</c:v>
                </c:pt>
                <c:pt idx="27">
                  <c:v>20.432128015539725</c:v>
                </c:pt>
                <c:pt idx="28">
                  <c:v>20.669512595261576</c:v>
                </c:pt>
                <c:pt idx="29">
                  <c:v>20.881860337780942</c:v>
                </c:pt>
                <c:pt idx="30">
                  <c:v>21.07395223666925</c:v>
                </c:pt>
                <c:pt idx="31">
                  <c:v>21.249318400757272</c:v>
                </c:pt>
                <c:pt idx="32">
                  <c:v>21.410639633607087</c:v>
                </c:pt>
                <c:pt idx="33">
                  <c:v>21.559999766207785</c:v>
                </c:pt>
                <c:pt idx="34">
                  <c:v>21.559999766207785</c:v>
                </c:pt>
                <c:pt idx="35">
                  <c:v>21.559999766207785</c:v>
                </c:pt>
                <c:pt idx="36">
                  <c:v>21.559999766207785</c:v>
                </c:pt>
                <c:pt idx="37">
                  <c:v>21.559999766207785</c:v>
                </c:pt>
                <c:pt idx="38">
                  <c:v>21.559999766207785</c:v>
                </c:pt>
                <c:pt idx="39">
                  <c:v>21.559999766207785</c:v>
                </c:pt>
                <c:pt idx="40">
                  <c:v>21.559999766207785</c:v>
                </c:pt>
                <c:pt idx="41">
                  <c:v>21.559999766207785</c:v>
                </c:pt>
                <c:pt idx="42">
                  <c:v>21.559999766207785</c:v>
                </c:pt>
                <c:pt idx="43">
                  <c:v>21.559999766207785</c:v>
                </c:pt>
                <c:pt idx="44">
                  <c:v>21.559999766207785</c:v>
                </c:pt>
                <c:pt idx="45">
                  <c:v>21.559999766207785</c:v>
                </c:pt>
                <c:pt idx="46">
                  <c:v>21.559999766207785</c:v>
                </c:pt>
                <c:pt idx="47">
                  <c:v>21.559999766207785</c:v>
                </c:pt>
                <c:pt idx="48">
                  <c:v>21.559999766207785</c:v>
                </c:pt>
                <c:pt idx="49">
                  <c:v>21.559999766207785</c:v>
                </c:pt>
                <c:pt idx="50">
                  <c:v>21.559999766207785</c:v>
                </c:pt>
                <c:pt idx="51">
                  <c:v>21.559999766207785</c:v>
                </c:pt>
                <c:pt idx="52">
                  <c:v>21.559999766207785</c:v>
                </c:pt>
                <c:pt idx="53">
                  <c:v>21.559999766207785</c:v>
                </c:pt>
                <c:pt idx="54">
                  <c:v>21.559999766207785</c:v>
                </c:pt>
                <c:pt idx="55">
                  <c:v>21.559999766207785</c:v>
                </c:pt>
                <c:pt idx="56">
                  <c:v>21.559999766207785</c:v>
                </c:pt>
                <c:pt idx="57">
                  <c:v>21.559999766207785</c:v>
                </c:pt>
                <c:pt idx="58">
                  <c:v>21.559999766207785</c:v>
                </c:pt>
                <c:pt idx="59">
                  <c:v>21.559999766207785</c:v>
                </c:pt>
                <c:pt idx="60">
                  <c:v>21.559999766207785</c:v>
                </c:pt>
                <c:pt idx="61">
                  <c:v>21.559999766207785</c:v>
                </c:pt>
                <c:pt idx="62">
                  <c:v>21.559999766207785</c:v>
                </c:pt>
                <c:pt idx="63">
                  <c:v>21.559999766207785</c:v>
                </c:pt>
                <c:pt idx="64">
                  <c:v>21.559999766207785</c:v>
                </c:pt>
                <c:pt idx="65">
                  <c:v>21.559999766207785</c:v>
                </c:pt>
                <c:pt idx="66">
                  <c:v>21.559999766207785</c:v>
                </c:pt>
                <c:pt idx="67">
                  <c:v>21.559999766207785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14.026132155764452</c:v>
                </c:pt>
                <c:pt idx="1">
                  <c:v>12.791705847272407</c:v>
                </c:pt>
                <c:pt idx="2">
                  <c:v>11.665920202804845</c:v>
                </c:pt>
                <c:pt idx="3">
                  <c:v>10.639213862725709</c:v>
                </c:pt>
                <c:pt idx="4">
                  <c:v>9.7028669534015766</c:v>
                </c:pt>
                <c:pt idx="5">
                  <c:v>7.3598961889424013</c:v>
                </c:pt>
                <c:pt idx="6">
                  <c:v>6.9214759411047888</c:v>
                </c:pt>
                <c:pt idx="7">
                  <c:v>5.7567820634983304</c:v>
                </c:pt>
                <c:pt idx="8">
                  <c:v>5.250133248805902</c:v>
                </c:pt>
                <c:pt idx="9">
                  <c:v>4.7880741056691889</c:v>
                </c:pt>
                <c:pt idx="10">
                  <c:v>4.6432746813222003</c:v>
                </c:pt>
                <c:pt idx="11">
                  <c:v>4.5028542354180043</c:v>
                </c:pt>
                <c:pt idx="12">
                  <c:v>4.3666803402740397</c:v>
                </c:pt>
                <c:pt idx="13">
                  <c:v>4.2346245730438827</c:v>
                </c:pt>
                <c:pt idx="14">
                  <c:v>4.1065623946042553</c:v>
                </c:pt>
                <c:pt idx="15">
                  <c:v>3.9823730321047002</c:v>
                </c:pt>
                <c:pt idx="16">
                  <c:v>3.8619393650691434</c:v>
                </c:pt>
                <c:pt idx="17">
                  <c:v>3.7451478149419484</c:v>
                </c:pt>
                <c:pt idx="18">
                  <c:v>3.6318882379742727</c:v>
                </c:pt>
                <c:pt idx="19">
                  <c:v>3.3122492711750251</c:v>
                </c:pt>
                <c:pt idx="20">
                  <c:v>3.2120812751968497</c:v>
                </c:pt>
                <c:pt idx="21">
                  <c:v>2.6715764135995177</c:v>
                </c:pt>
                <c:pt idx="22">
                  <c:v>2.2220236420586388</c:v>
                </c:pt>
                <c:pt idx="23">
                  <c:v>1.8481182274008787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428625</xdr:colOff>
          <xdr:row>37</xdr:row>
          <xdr:rowOff>19050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StepTest!G12</f>
        <v>1</v>
      </c>
    </row>
    <row r="2" spans="1:6">
      <c r="A2" s="228">
        <v>2</v>
      </c>
      <c r="B2">
        <f t="shared" ref="B2:B20" si="0">F2</f>
        <v>1.45</v>
      </c>
      <c r="E2">
        <v>2</v>
      </c>
      <c r="F2">
        <f>StepTest!G13</f>
        <v>1.45</v>
      </c>
    </row>
    <row r="3" spans="1:6">
      <c r="A3" s="228">
        <v>3</v>
      </c>
      <c r="B3">
        <f t="shared" si="0"/>
        <v>1.71</v>
      </c>
      <c r="E3">
        <v>3</v>
      </c>
      <c r="F3">
        <f>StepTest!G14</f>
        <v>1.71</v>
      </c>
    </row>
    <row r="4" spans="1:6">
      <c r="A4" s="228">
        <v>4</v>
      </c>
      <c r="B4">
        <f t="shared" si="0"/>
        <v>1.89</v>
      </c>
      <c r="E4">
        <v>4</v>
      </c>
      <c r="F4">
        <f>StepTest!G15</f>
        <v>1.89</v>
      </c>
    </row>
    <row r="5" spans="1:6">
      <c r="A5" s="228">
        <v>5</v>
      </c>
      <c r="B5">
        <f t="shared" si="0"/>
        <v>2.04</v>
      </c>
      <c r="E5">
        <v>5</v>
      </c>
      <c r="F5">
        <f>StepTest!G16</f>
        <v>2.04</v>
      </c>
    </row>
    <row r="6" spans="1:6">
      <c r="A6" s="228">
        <v>10</v>
      </c>
      <c r="B6">
        <f t="shared" si="0"/>
        <v>2.4900000000000002</v>
      </c>
      <c r="E6">
        <v>10</v>
      </c>
      <c r="F6">
        <f>StepTest!G17</f>
        <v>2.4900000000000002</v>
      </c>
    </row>
    <row r="7" spans="1:6">
      <c r="A7" s="228">
        <v>15</v>
      </c>
      <c r="B7">
        <f t="shared" si="0"/>
        <v>2.75</v>
      </c>
      <c r="E7">
        <v>15</v>
      </c>
      <c r="F7">
        <f>StepTest!G18</f>
        <v>2.75</v>
      </c>
    </row>
    <row r="8" spans="1:6">
      <c r="A8" s="228">
        <v>20</v>
      </c>
      <c r="B8">
        <f t="shared" si="0"/>
        <v>2.94</v>
      </c>
      <c r="E8">
        <v>20</v>
      </c>
      <c r="F8">
        <f>StepTest!G19</f>
        <v>2.94</v>
      </c>
    </row>
    <row r="9" spans="1:6">
      <c r="A9" s="228">
        <v>25</v>
      </c>
      <c r="B9">
        <f t="shared" si="0"/>
        <v>3.08</v>
      </c>
      <c r="E9">
        <v>25</v>
      </c>
      <c r="F9">
        <f>StepTest!G20</f>
        <v>3.08</v>
      </c>
    </row>
    <row r="10" spans="1:6">
      <c r="A10" s="228">
        <v>30</v>
      </c>
      <c r="B10">
        <f t="shared" si="0"/>
        <v>3.2</v>
      </c>
      <c r="E10">
        <v>30</v>
      </c>
      <c r="F10">
        <f>StepTest!G21</f>
        <v>3.2</v>
      </c>
    </row>
    <row r="11" spans="1:6">
      <c r="A11" s="228">
        <v>35</v>
      </c>
      <c r="B11">
        <f t="shared" si="0"/>
        <v>3.3</v>
      </c>
      <c r="E11">
        <v>35</v>
      </c>
      <c r="F11">
        <f>StepTest!G22</f>
        <v>3.3</v>
      </c>
    </row>
    <row r="12" spans="1:6">
      <c r="A12" s="228">
        <v>40</v>
      </c>
      <c r="B12">
        <f t="shared" si="0"/>
        <v>3.38</v>
      </c>
      <c r="E12">
        <v>40</v>
      </c>
      <c r="F12">
        <f>StepTest!G23</f>
        <v>3.38</v>
      </c>
    </row>
    <row r="13" spans="1:6">
      <c r="A13" s="228">
        <v>45</v>
      </c>
      <c r="B13">
        <f t="shared" si="0"/>
        <v>3.46</v>
      </c>
      <c r="E13">
        <v>45</v>
      </c>
      <c r="F13">
        <f>StepTest!G24</f>
        <v>3.46</v>
      </c>
    </row>
    <row r="14" spans="1:6">
      <c r="A14" s="228">
        <v>50</v>
      </c>
      <c r="B14">
        <f t="shared" si="0"/>
        <v>3.53</v>
      </c>
      <c r="E14">
        <v>50</v>
      </c>
      <c r="F14">
        <f>StepTest!G25</f>
        <v>3.53</v>
      </c>
    </row>
    <row r="15" spans="1:6">
      <c r="A15" s="228">
        <v>55</v>
      </c>
      <c r="B15">
        <f t="shared" si="0"/>
        <v>3.59</v>
      </c>
      <c r="E15">
        <v>55</v>
      </c>
      <c r="F15">
        <f>StepTest!G26</f>
        <v>3.59</v>
      </c>
    </row>
    <row r="16" spans="1:6">
      <c r="A16" s="228">
        <v>60</v>
      </c>
      <c r="B16">
        <f t="shared" si="0"/>
        <v>3.65</v>
      </c>
      <c r="E16">
        <v>60</v>
      </c>
      <c r="F16">
        <f>StepTest!G27</f>
        <v>3.65</v>
      </c>
    </row>
    <row r="17" spans="1:6">
      <c r="A17" s="228">
        <v>75</v>
      </c>
      <c r="B17">
        <f t="shared" si="0"/>
        <v>3.79</v>
      </c>
      <c r="E17">
        <v>75</v>
      </c>
      <c r="F17">
        <f>StepTest!G28</f>
        <v>3.79</v>
      </c>
    </row>
    <row r="18" spans="1:6">
      <c r="A18" s="228">
        <v>90</v>
      </c>
      <c r="B18">
        <f t="shared" si="0"/>
        <v>3.91</v>
      </c>
      <c r="E18">
        <v>90</v>
      </c>
      <c r="F18">
        <f>StepTest!G29</f>
        <v>3.91</v>
      </c>
    </row>
    <row r="19" spans="1:6">
      <c r="A19" s="228">
        <v>105</v>
      </c>
      <c r="B19">
        <f t="shared" si="0"/>
        <v>4.01</v>
      </c>
      <c r="E19">
        <v>105</v>
      </c>
      <c r="F19">
        <f>StepTest!G30</f>
        <v>4.01</v>
      </c>
    </row>
    <row r="20" spans="1:6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StepTest!G31</f>
        <v>4.0999999999999996</v>
      </c>
    </row>
    <row r="21" spans="1:6">
      <c r="A21" s="228">
        <v>121</v>
      </c>
      <c r="B21" s="235">
        <f>B20+D21</f>
        <v>4.26</v>
      </c>
      <c r="D21">
        <v>0.16</v>
      </c>
      <c r="E21">
        <v>130</v>
      </c>
      <c r="F21">
        <f>StepTest!G32</f>
        <v>4.91</v>
      </c>
    </row>
    <row r="22" spans="1:6">
      <c r="A22" s="228">
        <v>122</v>
      </c>
      <c r="B22" s="235">
        <f>B21+D22</f>
        <v>4.41</v>
      </c>
      <c r="D22">
        <v>0.15</v>
      </c>
      <c r="E22">
        <v>140</v>
      </c>
      <c r="F22">
        <f>StepTest!G33</f>
        <v>5.05</v>
      </c>
    </row>
    <row r="23" spans="1:6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StepTest!G34</f>
        <v>5.18</v>
      </c>
    </row>
    <row r="24" spans="1:6">
      <c r="A24" s="228">
        <v>124</v>
      </c>
      <c r="B24" s="235">
        <f>B23+D24</f>
        <v>4.68</v>
      </c>
      <c r="D24">
        <v>0.13</v>
      </c>
      <c r="E24">
        <v>180</v>
      </c>
      <c r="F24">
        <f>StepTest!G35</f>
        <v>5.32</v>
      </c>
    </row>
    <row r="25" spans="1:6">
      <c r="A25" s="228">
        <v>125</v>
      </c>
      <c r="B25" s="235">
        <f>B24+D25</f>
        <v>4.8099999999999996</v>
      </c>
      <c r="D25">
        <v>0.13</v>
      </c>
      <c r="E25">
        <v>240</v>
      </c>
      <c r="F25">
        <f>StepTest!G36</f>
        <v>5.46</v>
      </c>
    </row>
    <row r="26" spans="1:6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StepTest!G37</f>
        <v>6.38</v>
      </c>
    </row>
    <row r="27" spans="1:6">
      <c r="A27" s="228">
        <v>135</v>
      </c>
      <c r="B27" s="235">
        <f>B26+D27</f>
        <v>5.0200000000000005</v>
      </c>
      <c r="D27">
        <v>0.11</v>
      </c>
      <c r="E27">
        <v>260</v>
      </c>
      <c r="F27">
        <f>StepTest!G38</f>
        <v>6.53</v>
      </c>
    </row>
    <row r="28" spans="1:6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StepTest!G39</f>
        <v>6.69</v>
      </c>
    </row>
    <row r="29" spans="1:6">
      <c r="A29" s="228">
        <v>145</v>
      </c>
      <c r="B29" s="235">
        <f>B28+D29</f>
        <v>5.1499999999999995</v>
      </c>
      <c r="D29">
        <v>0.1</v>
      </c>
      <c r="E29">
        <v>300</v>
      </c>
      <c r="F29">
        <f>StepTest!G40</f>
        <v>6.84</v>
      </c>
    </row>
    <row r="30" spans="1:6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StepTest!G41</f>
        <v>7</v>
      </c>
    </row>
    <row r="31" spans="1:6">
      <c r="A31" s="228">
        <v>155</v>
      </c>
      <c r="B31" s="235">
        <f>B30+D31</f>
        <v>5.2399999999999993</v>
      </c>
      <c r="D31">
        <v>0.06</v>
      </c>
    </row>
    <row r="32" spans="1:6">
      <c r="A32" s="228">
        <v>160</v>
      </c>
      <c r="B32" s="235">
        <f t="shared" ref="B32:B39" si="1">B31+D32</f>
        <v>5.2899999999999991</v>
      </c>
      <c r="D32">
        <v>0.05</v>
      </c>
    </row>
    <row r="33" spans="1:4">
      <c r="A33" s="228">
        <v>165</v>
      </c>
      <c r="B33" s="235">
        <f t="shared" si="1"/>
        <v>5.3299999999999992</v>
      </c>
      <c r="D33">
        <v>0.04</v>
      </c>
    </row>
    <row r="34" spans="1:4">
      <c r="A34" s="228">
        <v>170</v>
      </c>
      <c r="B34" s="235">
        <f t="shared" si="1"/>
        <v>5.3599999999999994</v>
      </c>
      <c r="D34">
        <v>0.03</v>
      </c>
    </row>
    <row r="35" spans="1:4">
      <c r="A35" s="228">
        <v>175</v>
      </c>
      <c r="B35" s="235">
        <f t="shared" si="1"/>
        <v>5.379999999999999</v>
      </c>
      <c r="D35">
        <v>0.02</v>
      </c>
    </row>
    <row r="36" spans="1:4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>
      <c r="A37" s="228">
        <v>195</v>
      </c>
      <c r="B37" s="235">
        <f t="shared" si="1"/>
        <v>5.3900000000000006</v>
      </c>
      <c r="D37">
        <v>7.0000000000000007E-2</v>
      </c>
    </row>
    <row r="38" spans="1:4">
      <c r="A38" s="228">
        <v>210</v>
      </c>
      <c r="B38" s="235">
        <f t="shared" si="1"/>
        <v>5.45</v>
      </c>
      <c r="D38">
        <v>0.06</v>
      </c>
    </row>
    <row r="39" spans="1:4">
      <c r="A39" s="228">
        <v>225</v>
      </c>
      <c r="B39" s="235">
        <f t="shared" si="1"/>
        <v>5.5</v>
      </c>
      <c r="D39">
        <v>0.05</v>
      </c>
    </row>
    <row r="40" spans="1:4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>
      <c r="A41" s="228">
        <v>241</v>
      </c>
      <c r="B41" s="235">
        <f>B40+D41</f>
        <v>5.64</v>
      </c>
      <c r="D41">
        <v>0.18</v>
      </c>
    </row>
    <row r="42" spans="1:4">
      <c r="A42" s="228">
        <v>242</v>
      </c>
      <c r="B42" s="235">
        <f>B41+D42</f>
        <v>5.8</v>
      </c>
      <c r="D42">
        <v>0.16</v>
      </c>
    </row>
    <row r="43" spans="1:4">
      <c r="A43" s="228">
        <v>243</v>
      </c>
      <c r="B43" s="235">
        <f>B42+D43</f>
        <v>5.95</v>
      </c>
      <c r="D43">
        <v>0.15</v>
      </c>
    </row>
    <row r="44" spans="1:4">
      <c r="A44" s="228">
        <v>244</v>
      </c>
      <c r="B44" s="235">
        <f>B43+D44</f>
        <v>6.09</v>
      </c>
      <c r="D44">
        <v>0.14000000000000001</v>
      </c>
    </row>
    <row r="45" spans="1:4">
      <c r="A45" s="228">
        <v>245</v>
      </c>
      <c r="B45" s="235">
        <f>B44+D45</f>
        <v>6.22</v>
      </c>
      <c r="D45">
        <v>0.13</v>
      </c>
    </row>
    <row r="46" spans="1:4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>
      <c r="A47" s="228">
        <v>255</v>
      </c>
      <c r="B47" s="235">
        <f>B46+D47</f>
        <v>6.49</v>
      </c>
      <c r="D47">
        <v>0.11</v>
      </c>
    </row>
    <row r="48" spans="1:4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>
      <c r="A49" s="228">
        <v>265</v>
      </c>
      <c r="B49" s="235">
        <f>B48+D49</f>
        <v>6.6400000000000006</v>
      </c>
      <c r="D49">
        <v>0.11</v>
      </c>
    </row>
    <row r="50" spans="1:6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>
      <c r="A51" s="228">
        <v>275</v>
      </c>
      <c r="B51" s="235">
        <f>B50+D51</f>
        <v>6.7600000000000007</v>
      </c>
      <c r="D51">
        <v>7.0000000000000007E-2</v>
      </c>
    </row>
    <row r="52" spans="1:6">
      <c r="A52" s="228">
        <v>280</v>
      </c>
      <c r="B52" s="235">
        <f>B51+D52</f>
        <v>6.8100000000000005</v>
      </c>
      <c r="D52">
        <v>0.05</v>
      </c>
    </row>
    <row r="53" spans="1:6">
      <c r="A53" s="228">
        <v>285</v>
      </c>
      <c r="B53" s="235">
        <f>B52+D53</f>
        <v>6.8500000000000005</v>
      </c>
      <c r="D53">
        <v>0.04</v>
      </c>
    </row>
    <row r="54" spans="1:6">
      <c r="A54" s="228">
        <v>290</v>
      </c>
      <c r="B54" s="235">
        <f>B53+D54</f>
        <v>6.8800000000000008</v>
      </c>
      <c r="D54">
        <v>0.03</v>
      </c>
    </row>
    <row r="55" spans="1:6">
      <c r="A55" s="228">
        <v>295</v>
      </c>
      <c r="B55" s="235">
        <f>B54+D55</f>
        <v>6.9</v>
      </c>
      <c r="D55">
        <v>0.02</v>
      </c>
    </row>
    <row r="56" spans="1:6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>
      <c r="A57" s="228">
        <v>315</v>
      </c>
      <c r="B57" s="235">
        <f>B56+D57</f>
        <v>6.92</v>
      </c>
      <c r="D57">
        <v>0.08</v>
      </c>
    </row>
    <row r="58" spans="1:6">
      <c r="A58" s="228">
        <v>330</v>
      </c>
      <c r="B58" s="235">
        <f>B57+D58</f>
        <v>6.9799999999999995</v>
      </c>
      <c r="D58">
        <v>0.06</v>
      </c>
    </row>
    <row r="59" spans="1:6">
      <c r="A59" s="228">
        <v>345</v>
      </c>
      <c r="B59" s="235">
        <f>B58+D59</f>
        <v>7.0299999999999994</v>
      </c>
      <c r="D59">
        <v>0.05</v>
      </c>
    </row>
    <row r="60" spans="1:6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>
      <c r="A61" s="228">
        <v>361</v>
      </c>
      <c r="B61" s="235">
        <f>B60+D61</f>
        <v>7.19</v>
      </c>
      <c r="D61">
        <v>0.19</v>
      </c>
    </row>
    <row r="62" spans="1:6">
      <c r="A62" s="228">
        <v>362</v>
      </c>
      <c r="B62" s="235">
        <f>B61+D62</f>
        <v>7.36</v>
      </c>
      <c r="D62">
        <v>0.17</v>
      </c>
    </row>
    <row r="63" spans="1:6">
      <c r="A63" s="228">
        <v>363</v>
      </c>
      <c r="B63" s="235">
        <f>B62+D63</f>
        <v>7.5200000000000005</v>
      </c>
      <c r="D63">
        <v>0.16</v>
      </c>
      <c r="E63">
        <v>370</v>
      </c>
      <c r="F63">
        <f>StepTest!G42</f>
        <v>8.0299999999999994</v>
      </c>
    </row>
    <row r="64" spans="1:6">
      <c r="A64" s="228">
        <v>364</v>
      </c>
      <c r="B64" s="235">
        <f>B63+D64</f>
        <v>7.6700000000000008</v>
      </c>
      <c r="D64">
        <v>0.15</v>
      </c>
      <c r="E64">
        <v>380</v>
      </c>
      <c r="F64">
        <f>StepTest!G43</f>
        <v>8.1999999999999993</v>
      </c>
    </row>
    <row r="65" spans="1:6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StepTest!G44</f>
        <v>8.3699999999999992</v>
      </c>
    </row>
    <row r="66" spans="1:6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StepTest!G45</f>
        <v>8.5399999999999991</v>
      </c>
    </row>
    <row r="67" spans="1:6">
      <c r="A67" s="228">
        <v>375</v>
      </c>
      <c r="B67" s="235">
        <f>B66+D67</f>
        <v>8.1499999999999986</v>
      </c>
      <c r="D67">
        <v>0.12</v>
      </c>
      <c r="E67">
        <v>480</v>
      </c>
      <c r="F67">
        <f>StepTest!G46</f>
        <v>8.7200000000000006</v>
      </c>
    </row>
    <row r="68" spans="1:6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StepTest!G47</f>
        <v>9.76</v>
      </c>
    </row>
    <row r="69" spans="1:6">
      <c r="A69" s="228">
        <v>385</v>
      </c>
      <c r="B69" s="235">
        <f>B68+D69</f>
        <v>8.3199999999999985</v>
      </c>
      <c r="D69">
        <v>0.12</v>
      </c>
      <c r="E69">
        <v>500</v>
      </c>
      <c r="F69">
        <f>StepTest!G48</f>
        <v>10.15</v>
      </c>
    </row>
    <row r="70" spans="1:6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StepTest!G49</f>
        <v>10.54</v>
      </c>
    </row>
    <row r="71" spans="1:6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StepTest!G50</f>
        <v>10.93</v>
      </c>
    </row>
    <row r="72" spans="1:6">
      <c r="A72" s="228">
        <v>400</v>
      </c>
      <c r="B72" s="235">
        <f>B71+D72</f>
        <v>8.49</v>
      </c>
      <c r="D72">
        <v>0.05</v>
      </c>
      <c r="E72">
        <v>600</v>
      </c>
      <c r="F72">
        <f>StepTest!G51</f>
        <v>11.33</v>
      </c>
    </row>
    <row r="73" spans="1:6">
      <c r="A73" s="228">
        <v>405</v>
      </c>
      <c r="B73" s="235">
        <f>B72+D73</f>
        <v>8.5299999999999994</v>
      </c>
      <c r="D73">
        <v>0.04</v>
      </c>
    </row>
    <row r="74" spans="1:6">
      <c r="A74" s="228">
        <v>410</v>
      </c>
      <c r="B74" s="235">
        <f>B73+D74</f>
        <v>8.5599999999999987</v>
      </c>
      <c r="D74">
        <v>0.03</v>
      </c>
    </row>
    <row r="75" spans="1:6">
      <c r="A75" s="228">
        <v>415</v>
      </c>
      <c r="B75" s="235">
        <f>B74+D75</f>
        <v>8.5899999999999981</v>
      </c>
      <c r="D75">
        <v>0.03</v>
      </c>
    </row>
    <row r="76" spans="1:6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>
      <c r="A77" s="228">
        <v>435</v>
      </c>
      <c r="B77" s="235">
        <f>B76+D77</f>
        <v>8.629999999999999</v>
      </c>
      <c r="D77">
        <v>0.09</v>
      </c>
    </row>
    <row r="78" spans="1:6">
      <c r="A78" s="228">
        <v>450</v>
      </c>
      <c r="B78" s="235">
        <f>B77+D78</f>
        <v>8.6999999999999993</v>
      </c>
      <c r="D78">
        <v>7.0000000000000007E-2</v>
      </c>
    </row>
    <row r="79" spans="1:6">
      <c r="A79" s="228">
        <v>465</v>
      </c>
      <c r="B79" s="235">
        <f>B78+D79</f>
        <v>8.75</v>
      </c>
      <c r="D79">
        <v>0.05</v>
      </c>
    </row>
    <row r="80" spans="1:6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>
      <c r="A81" s="228">
        <v>481</v>
      </c>
      <c r="B81" s="235">
        <f>B80+D81</f>
        <v>8.9300000000000015</v>
      </c>
      <c r="D81">
        <v>0.21</v>
      </c>
    </row>
    <row r="82" spans="1:4">
      <c r="A82" s="228">
        <v>482</v>
      </c>
      <c r="B82" s="235">
        <f>B81+D82</f>
        <v>9.120000000000001</v>
      </c>
      <c r="D82">
        <v>0.19</v>
      </c>
    </row>
    <row r="83" spans="1:4">
      <c r="A83" s="228">
        <v>483</v>
      </c>
      <c r="B83" s="235">
        <f>B82+D83</f>
        <v>9.2900000000000009</v>
      </c>
      <c r="D83">
        <v>0.17</v>
      </c>
    </row>
    <row r="84" spans="1:4">
      <c r="A84" s="228">
        <v>484</v>
      </c>
      <c r="B84" s="235">
        <f>B83+D84</f>
        <v>9.4500000000000011</v>
      </c>
      <c r="D84">
        <v>0.16</v>
      </c>
    </row>
    <row r="85" spans="1:4">
      <c r="A85" s="228">
        <v>485</v>
      </c>
      <c r="B85" s="235">
        <f>B84+D85</f>
        <v>9.5900000000000016</v>
      </c>
      <c r="D85">
        <v>0.14000000000000001</v>
      </c>
    </row>
    <row r="86" spans="1:4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>
      <c r="A87" s="228">
        <v>495</v>
      </c>
      <c r="B87" s="235">
        <f>B86+D87</f>
        <v>10.07</v>
      </c>
      <c r="D87">
        <v>0.31</v>
      </c>
    </row>
    <row r="88" spans="1:4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>
      <c r="A89" s="228">
        <v>505</v>
      </c>
      <c r="B89" s="235">
        <f>B88+D89</f>
        <v>10.450000000000001</v>
      </c>
      <c r="D89">
        <v>0.3</v>
      </c>
    </row>
    <row r="90" spans="1:4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>
      <c r="A91" s="228">
        <v>515</v>
      </c>
      <c r="B91" s="235">
        <f>B90+D91</f>
        <v>10.69</v>
      </c>
      <c r="D91">
        <v>0.15</v>
      </c>
    </row>
    <row r="92" spans="1:4">
      <c r="A92" s="228">
        <v>520</v>
      </c>
      <c r="B92" s="235">
        <f>B91+D92</f>
        <v>10.82</v>
      </c>
      <c r="D92">
        <v>0.13</v>
      </c>
    </row>
    <row r="93" spans="1:4">
      <c r="A93" s="228">
        <v>525</v>
      </c>
      <c r="B93" s="235">
        <f>B92+D93</f>
        <v>10.93</v>
      </c>
      <c r="D93">
        <v>0.11</v>
      </c>
    </row>
    <row r="94" spans="1:4">
      <c r="A94" s="228">
        <v>530</v>
      </c>
      <c r="B94" s="235">
        <f>B93+D94</f>
        <v>11.01</v>
      </c>
      <c r="D94">
        <v>0.08</v>
      </c>
    </row>
    <row r="95" spans="1:4">
      <c r="A95" s="228">
        <v>535</v>
      </c>
      <c r="B95" s="235">
        <f>B94+D95</f>
        <v>11.08</v>
      </c>
      <c r="D95">
        <v>7.0000000000000007E-2</v>
      </c>
    </row>
    <row r="96" spans="1:4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>
      <c r="A97" s="228">
        <v>555</v>
      </c>
      <c r="B97" s="235">
        <f>B96+D97</f>
        <v>11.12</v>
      </c>
      <c r="D97">
        <v>0.19</v>
      </c>
    </row>
    <row r="98" spans="1:4">
      <c r="A98" s="228">
        <v>570</v>
      </c>
      <c r="B98" s="235">
        <f>B97+D98</f>
        <v>11.28</v>
      </c>
      <c r="D98">
        <v>0.16</v>
      </c>
    </row>
    <row r="99" spans="1:4">
      <c r="A99" s="228">
        <v>585</v>
      </c>
      <c r="B99" s="235">
        <f>B98+D99</f>
        <v>11.42</v>
      </c>
      <c r="D99">
        <v>0.14000000000000001</v>
      </c>
    </row>
    <row r="100" spans="1:4">
      <c r="A100" s="230">
        <v>600</v>
      </c>
      <c r="B100" s="203">
        <f>F72</f>
        <v>11.33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tabSelected="1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4.2999999999999997E-2</v>
      </c>
      <c r="G3" s="21">
        <f>1/F3</f>
        <v>23.255813953488374</v>
      </c>
    </row>
    <row r="4" spans="1:19">
      <c r="A4" s="179">
        <f>B4+$M$48</f>
        <v>37.159999999999997</v>
      </c>
      <c r="B4" s="19">
        <f>B21</f>
        <v>5.46</v>
      </c>
      <c r="C4" s="19"/>
      <c r="D4" s="20">
        <f t="shared" si="0"/>
        <v>120</v>
      </c>
      <c r="E4" s="17">
        <f>D4/12</f>
        <v>10</v>
      </c>
      <c r="F4" s="21">
        <f>INT(B4/D4*1000)/1000</f>
        <v>4.4999999999999998E-2</v>
      </c>
      <c r="G4" s="21">
        <f t="shared" ref="G4:G7" si="1">1/F4</f>
        <v>22.222222222222221</v>
      </c>
    </row>
    <row r="5" spans="1:19">
      <c r="A5" s="179">
        <f>B5+$M$48</f>
        <v>38.700000000000003</v>
      </c>
      <c r="B5" s="19">
        <f>B22</f>
        <v>7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4.7E-2</v>
      </c>
      <c r="G5" s="21">
        <f t="shared" si="1"/>
        <v>21.276595744680851</v>
      </c>
    </row>
    <row r="6" spans="1:19">
      <c r="A6" s="179">
        <f>B6+$M$48</f>
        <v>40.42</v>
      </c>
      <c r="B6" s="276">
        <f>B23</f>
        <v>8.7200000000000006</v>
      </c>
      <c r="C6" s="19"/>
      <c r="D6" s="20">
        <f>D23</f>
        <v>172</v>
      </c>
      <c r="E6" s="17">
        <f>D6/12</f>
        <v>14.333333333333334</v>
      </c>
      <c r="F6" s="21">
        <f>INT(B6/D6*1000)/1000</f>
        <v>0.05</v>
      </c>
      <c r="G6" s="21">
        <f t="shared" si="1"/>
        <v>20</v>
      </c>
    </row>
    <row r="7" spans="1:19">
      <c r="A7" s="179">
        <f>B7+$M$48</f>
        <v>43.03</v>
      </c>
      <c r="B7" s="19">
        <f>B24</f>
        <v>11.33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5.7000000000000002E-2</v>
      </c>
      <c r="G7" s="21">
        <f t="shared" si="1"/>
        <v>17.543859649122805</v>
      </c>
    </row>
    <row r="8" spans="1:19">
      <c r="B8" s="17" t="s">
        <v>0</v>
      </c>
      <c r="E8" s="532" t="s">
        <v>124</v>
      </c>
      <c r="F8" s="532"/>
      <c r="G8" s="532"/>
    </row>
    <row r="9" spans="1:19">
      <c r="A9" s="272" t="s">
        <v>194</v>
      </c>
      <c r="B9" s="272" t="s">
        <v>195</v>
      </c>
      <c r="E9" s="86">
        <v>0.98</v>
      </c>
      <c r="F9" s="533" t="s">
        <v>114</v>
      </c>
      <c r="G9" s="533"/>
    </row>
    <row r="10" spans="1:19">
      <c r="A10" s="271">
        <f>D20/B20</f>
        <v>22.926829268292686</v>
      </c>
      <c r="B10" s="271">
        <f>B20/D20</f>
        <v>4.3617021276595738E-2</v>
      </c>
      <c r="E10" s="86">
        <v>0.98</v>
      </c>
      <c r="F10" s="533" t="s">
        <v>115</v>
      </c>
      <c r="G10" s="533"/>
    </row>
    <row r="11" spans="1:19">
      <c r="A11" s="271">
        <f t="shared" ref="A11:A14" si="2">D21/B21</f>
        <v>21.978021978021978</v>
      </c>
      <c r="B11" s="271">
        <f t="shared" ref="B11:B14" si="3">B21/D21</f>
        <v>4.5499999999999999E-2</v>
      </c>
      <c r="D11" s="17" t="s">
        <v>0</v>
      </c>
      <c r="E11" s="86">
        <v>0.98</v>
      </c>
      <c r="F11" s="533" t="s">
        <v>116</v>
      </c>
      <c r="G11" s="533"/>
    </row>
    <row r="12" spans="1:19">
      <c r="A12" s="271">
        <f t="shared" si="2"/>
        <v>20.885714285714283</v>
      </c>
      <c r="B12" s="271">
        <f t="shared" si="3"/>
        <v>4.7879616963064302E-2</v>
      </c>
      <c r="E12" s="86">
        <v>1</v>
      </c>
      <c r="F12" s="533" t="s">
        <v>117</v>
      </c>
      <c r="G12" s="533"/>
    </row>
    <row r="13" spans="1:19">
      <c r="A13" s="271">
        <f t="shared" si="2"/>
        <v>19.724770642201833</v>
      </c>
      <c r="B13" s="271">
        <f t="shared" si="3"/>
        <v>5.0697674418604656E-2</v>
      </c>
      <c r="D13" s="17" t="s">
        <v>0</v>
      </c>
      <c r="E13" s="532" t="s">
        <v>123</v>
      </c>
      <c r="F13" s="532"/>
      <c r="G13" s="532"/>
    </row>
    <row r="14" spans="1:19">
      <c r="A14" s="271">
        <f t="shared" si="2"/>
        <v>17.458075904677845</v>
      </c>
      <c r="B14" s="271">
        <f t="shared" si="3"/>
        <v>5.7280080889787671E-2</v>
      </c>
      <c r="E14" s="87">
        <v>1</v>
      </c>
      <c r="F14" s="533" t="s">
        <v>114</v>
      </c>
      <c r="G14" s="533"/>
    </row>
    <row r="15" spans="1:19">
      <c r="E15" s="87">
        <v>1</v>
      </c>
      <c r="F15" s="533" t="s">
        <v>115</v>
      </c>
      <c r="G15" s="533"/>
    </row>
    <row r="16" spans="1:19">
      <c r="B16" s="38" t="s">
        <v>121</v>
      </c>
      <c r="D16" s="77" t="s">
        <v>122</v>
      </c>
      <c r="E16" s="87">
        <v>1</v>
      </c>
      <c r="F16" s="533" t="s">
        <v>116</v>
      </c>
      <c r="G16" s="533"/>
      <c r="R16" s="18">
        <v>0.128</v>
      </c>
      <c r="S16" s="18">
        <f>ROUNDDOWN(R16,1)</f>
        <v>0.1</v>
      </c>
    </row>
    <row r="17" spans="1:21">
      <c r="B17" s="82">
        <f>M52</f>
        <v>8.7200000000000006</v>
      </c>
      <c r="D17" s="85">
        <f>M47</f>
        <v>172</v>
      </c>
      <c r="E17" s="87">
        <v>1</v>
      </c>
      <c r="F17" s="533" t="s">
        <v>117</v>
      </c>
      <c r="G17" s="533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4.0999999999999996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4.3617021276595738E-2</v>
      </c>
      <c r="G20" s="17">
        <f>F20-F19</f>
        <v>4.3617021276595738E-2</v>
      </c>
    </row>
    <row r="21" spans="1:21">
      <c r="A21" s="19">
        <f>B21-B20</f>
        <v>1.3600000000000003</v>
      </c>
      <c r="B21" s="369">
        <f>INT(B$17*C21*100)/100</f>
        <v>5.46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4.5499999999999999E-2</v>
      </c>
      <c r="G21" s="17">
        <f>F21-F20</f>
        <v>1.8829787234042605E-3</v>
      </c>
      <c r="N21" s="108" t="s">
        <v>135</v>
      </c>
      <c r="O21" s="507" t="s">
        <v>126</v>
      </c>
      <c r="P21" s="507"/>
      <c r="Q21" s="507" t="s">
        <v>129</v>
      </c>
      <c r="R21" s="507"/>
      <c r="S21" s="507" t="s">
        <v>131</v>
      </c>
      <c r="T21" s="507"/>
      <c r="U21" s="94" t="s">
        <v>132</v>
      </c>
    </row>
    <row r="22" spans="1:21">
      <c r="A22" s="19">
        <f>B22-B21</f>
        <v>1.54</v>
      </c>
      <c r="B22" s="369">
        <f>INT(B$17*C22*100)/100</f>
        <v>7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4.7879616963064302E-2</v>
      </c>
      <c r="G22" s="17">
        <f>F22-F21</f>
        <v>2.379616963064303E-3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1.7200000000000006</v>
      </c>
      <c r="B23" s="369">
        <f>INT(B$17*C23*100)/100</f>
        <v>8.7200000000000006</v>
      </c>
      <c r="C23" s="17">
        <v>1</v>
      </c>
      <c r="D23" s="370">
        <f>D$17*E23</f>
        <v>172</v>
      </c>
      <c r="E23" s="368">
        <v>1</v>
      </c>
      <c r="F23" s="21">
        <f>B23/D23</f>
        <v>5.0697674418604656E-2</v>
      </c>
      <c r="G23" s="17">
        <f>F23-F22</f>
        <v>2.8180574555403543E-3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2.6099999999999994</v>
      </c>
      <c r="B24" s="369">
        <f>INT(B$17*C24*100)/100</f>
        <v>11.33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5.7280080889787671E-2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05" t="s">
        <v>118</v>
      </c>
      <c r="B26" s="505"/>
      <c r="C26" s="79">
        <f>INT(M51*1)</f>
        <v>150</v>
      </c>
      <c r="F26" s="178">
        <f>M50/M51</f>
        <v>6.533333333333334E-2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05" t="s">
        <v>119</v>
      </c>
      <c r="B27" s="505"/>
      <c r="C27" s="80">
        <f>SafeYield!B7</f>
        <v>155.45914413416969</v>
      </c>
      <c r="D27" s="19">
        <f>(C27/D6)*100</f>
        <v>90.383223333819586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9.0799999999999998E-5</v>
      </c>
      <c r="B31" s="32">
        <v>3.48469E-2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9.0799999999999998E-5</v>
      </c>
      <c r="B32" s="17">
        <f t="shared" si="5"/>
        <v>3.48469E-2</v>
      </c>
      <c r="D32" s="20">
        <f t="shared" si="4"/>
        <v>94</v>
      </c>
      <c r="F32" s="23">
        <f>B32*D32/(B32*D32+A32*D32*D32)*100</f>
        <v>80.325525965778525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9.0799999999999998E-5</v>
      </c>
      <c r="B33" s="17">
        <f t="shared" si="5"/>
        <v>3.48469E-2</v>
      </c>
      <c r="D33" s="20">
        <f t="shared" si="4"/>
        <v>120</v>
      </c>
      <c r="F33" s="23">
        <f>B33*D33/(B33*D33+A33*D33*D33)*100</f>
        <v>76.179909887654702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9.0799999999999998E-5</v>
      </c>
      <c r="B34" s="17">
        <f t="shared" si="5"/>
        <v>3.48469E-2</v>
      </c>
      <c r="D34" s="20">
        <f t="shared" si="4"/>
        <v>146.19999999999999</v>
      </c>
      <c r="F34" s="23">
        <f>B34*D34/(B34*D34+A34*D34*D34)*100</f>
        <v>72.413867626895552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9.0799999999999998E-5</v>
      </c>
      <c r="B35" s="17">
        <f>B34</f>
        <v>3.48469E-2</v>
      </c>
      <c r="D35" s="20">
        <f t="shared" si="4"/>
        <v>172</v>
      </c>
      <c r="F35" s="23">
        <f>B35*D35/(B35*D35+A35*D35*D35)*100</f>
        <v>69.052304094957847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74.492901893821653</v>
      </c>
      <c r="P37" s="18">
        <v>9.0799999999999998E-5</v>
      </c>
      <c r="Q37" s="18">
        <v>0.14399999999999999</v>
      </c>
    </row>
    <row r="38" spans="1:21">
      <c r="A38" s="46">
        <v>72.113</v>
      </c>
      <c r="B38" s="47">
        <v>0.14399999999999999</v>
      </c>
      <c r="C38" s="47">
        <v>93.712999999999994</v>
      </c>
      <c r="E38" s="17" t="s">
        <v>33</v>
      </c>
      <c r="P38" s="18">
        <v>3.48469E-2</v>
      </c>
      <c r="Q38" s="18">
        <v>93.712999999999994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72.113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1.7999999999999999E-2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18" t="s">
        <v>288</v>
      </c>
      <c r="J44" s="519"/>
      <c r="K44" s="520"/>
      <c r="L44" s="335" t="s">
        <v>59</v>
      </c>
      <c r="M44" s="336">
        <v>200</v>
      </c>
      <c r="N44" s="335" t="s">
        <v>185</v>
      </c>
      <c r="Q44" s="326">
        <v>94</v>
      </c>
      <c r="R44" s="358">
        <v>35.799999999999997</v>
      </c>
      <c r="S44" s="358">
        <v>4.0999999999999996</v>
      </c>
      <c r="T44" s="320">
        <v>23.255813953488374</v>
      </c>
      <c r="U44" s="18">
        <v>4.2999999999999997E-2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287</v>
      </c>
      <c r="J45" s="338"/>
      <c r="K45" s="336"/>
      <c r="L45" s="335" t="s">
        <v>60</v>
      </c>
      <c r="M45" s="472">
        <v>470</v>
      </c>
      <c r="N45" s="472">
        <f>M44</f>
        <v>200</v>
      </c>
      <c r="Q45" s="326">
        <v>120</v>
      </c>
      <c r="R45" s="358">
        <v>37.159999999999997</v>
      </c>
      <c r="S45" s="358">
        <v>5.46</v>
      </c>
      <c r="T45" s="320">
        <v>22.222222222222221</v>
      </c>
      <c r="U45" s="18">
        <v>4.4999999999999998E-2</v>
      </c>
    </row>
    <row r="46" spans="1:21" ht="16.5">
      <c r="A46" s="17">
        <f>B34</f>
        <v>3.48469E-2</v>
      </c>
      <c r="B46" s="22" t="s">
        <v>36</v>
      </c>
      <c r="C46" s="514" t="s">
        <v>29</v>
      </c>
      <c r="D46" s="514"/>
      <c r="H46" s="372" t="s">
        <v>55</v>
      </c>
      <c r="I46" s="336" t="s">
        <v>289</v>
      </c>
      <c r="J46" s="338"/>
      <c r="K46" s="336"/>
      <c r="L46" s="335" t="s">
        <v>61</v>
      </c>
      <c r="M46" s="339">
        <f>IF(I52&gt;M48, M45-I52,M45-M48)</f>
        <v>434</v>
      </c>
      <c r="N46" s="340"/>
      <c r="Q46" s="326">
        <v>146</v>
      </c>
      <c r="R46" s="358">
        <v>38.700000000000003</v>
      </c>
      <c r="S46" s="358">
        <v>7</v>
      </c>
      <c r="T46" s="320">
        <v>21.276595744680851</v>
      </c>
      <c r="U46" s="18">
        <v>4.7E-2</v>
      </c>
    </row>
    <row r="47" spans="1:21" ht="16.5">
      <c r="A47" s="17">
        <f>120/1440</f>
        <v>8.3333333333333329E-2</v>
      </c>
      <c r="B47" s="22" t="s">
        <v>24</v>
      </c>
      <c r="C47" s="514" t="s">
        <v>28</v>
      </c>
      <c r="D47" s="514"/>
      <c r="H47" s="372" t="s">
        <v>56</v>
      </c>
      <c r="I47" s="336" t="s">
        <v>286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40.42</v>
      </c>
      <c r="S47" s="358">
        <v>8.7200000000000006</v>
      </c>
      <c r="T47" s="320">
        <v>20</v>
      </c>
      <c r="U47" s="18">
        <v>0.05</v>
      </c>
    </row>
    <row r="48" spans="1:21" ht="16.5">
      <c r="B48" s="22"/>
      <c r="H48" s="372" t="s">
        <v>57</v>
      </c>
      <c r="I48" s="473">
        <v>5</v>
      </c>
      <c r="J48" s="517" t="s">
        <v>284</v>
      </c>
      <c r="K48" s="517"/>
      <c r="L48" s="342" t="s">
        <v>63</v>
      </c>
      <c r="M48" s="474">
        <v>31.7</v>
      </c>
      <c r="N48" s="340"/>
      <c r="Q48" s="326">
        <v>198</v>
      </c>
      <c r="R48" s="358">
        <v>43.03</v>
      </c>
      <c r="S48" s="358">
        <v>11.33</v>
      </c>
      <c r="T48" s="320">
        <v>17.543859649122805</v>
      </c>
      <c r="U48" s="18">
        <v>5.7000000000000002E-2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8" t="s">
        <v>58</v>
      </c>
      <c r="I49" s="516" t="str">
        <f>I45</f>
        <v xml:space="preserve"> 무거동 1027-5</v>
      </c>
      <c r="J49" s="516"/>
      <c r="K49" s="516"/>
      <c r="L49" s="335" t="s">
        <v>64</v>
      </c>
      <c r="M49" s="474">
        <v>41.5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9"/>
      <c r="I50" s="516"/>
      <c r="J50" s="516"/>
      <c r="K50" s="516"/>
      <c r="L50" s="335" t="s">
        <v>65</v>
      </c>
      <c r="M50" s="343">
        <f>M49-M48</f>
        <v>9.8000000000000007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0"/>
      <c r="I51" s="511" t="s">
        <v>113</v>
      </c>
      <c r="J51" s="512"/>
      <c r="K51" s="513"/>
      <c r="L51" s="344" t="s">
        <v>106</v>
      </c>
      <c r="M51" s="491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44668359.215000004</v>
      </c>
      <c r="C52" s="17">
        <f>INT(B52*B51*1000)/1000</f>
        <v>22334.179</v>
      </c>
      <c r="H52" s="345" t="s">
        <v>96</v>
      </c>
      <c r="I52" s="473">
        <v>36</v>
      </c>
      <c r="J52" s="345" t="s">
        <v>97</v>
      </c>
      <c r="K52" s="346">
        <v>0</v>
      </c>
      <c r="L52" s="347" t="s">
        <v>66</v>
      </c>
      <c r="M52" s="339">
        <f>INT(M50*0.89*100)/100</f>
        <v>8.7200000000000006</v>
      </c>
      <c r="N52" s="348"/>
      <c r="Q52" s="18">
        <v>120</v>
      </c>
    </row>
    <row r="53" spans="1:17" ht="16.5">
      <c r="H53" s="340"/>
      <c r="I53" s="506" t="s">
        <v>120</v>
      </c>
      <c r="J53" s="506"/>
      <c r="K53" s="506"/>
      <c r="L53" s="506"/>
      <c r="M53" s="463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75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27" t="s">
        <v>76</v>
      </c>
      <c r="E57" s="527"/>
      <c r="F57" s="527" t="s">
        <v>53</v>
      </c>
      <c r="G57" s="529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15" t="s">
        <v>73</v>
      </c>
      <c r="M57" s="515"/>
      <c r="Q57" s="18">
        <v>35.799999999999997</v>
      </c>
    </row>
    <row r="58" spans="1:17">
      <c r="A58" s="38" t="s">
        <v>47</v>
      </c>
      <c r="B58" s="39">
        <v>40.21</v>
      </c>
      <c r="C58" s="38"/>
      <c r="D58" s="527">
        <v>0.22439999999999999</v>
      </c>
      <c r="E58" s="527"/>
      <c r="F58" s="527"/>
      <c r="G58" s="529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>
      <c r="A59" s="38" t="s">
        <v>48</v>
      </c>
      <c r="B59" s="39">
        <v>59.61</v>
      </c>
      <c r="C59" s="526">
        <f>B59</f>
        <v>59.61</v>
      </c>
      <c r="D59" s="530">
        <v>0.15190000000000001</v>
      </c>
      <c r="E59" s="531"/>
      <c r="F59" s="522">
        <f>INT((D59+D60)/1*10000000)/10000000</f>
        <v>0.15190000000000001</v>
      </c>
      <c r="G59" s="52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>
      <c r="A60" s="38" t="s">
        <v>49</v>
      </c>
      <c r="B60" s="39"/>
      <c r="C60" s="526"/>
      <c r="D60" s="530"/>
      <c r="E60" s="531"/>
      <c r="F60" s="524"/>
      <c r="G60" s="525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>
      <c r="A61" s="38" t="s">
        <v>50</v>
      </c>
      <c r="B61" s="39">
        <v>31.23</v>
      </c>
      <c r="C61" s="38">
        <f>B61</f>
        <v>31.23</v>
      </c>
      <c r="D61" s="527"/>
      <c r="E61" s="527"/>
      <c r="F61" s="527"/>
      <c r="G61" s="529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>
      <c r="A62" s="40" t="s">
        <v>51</v>
      </c>
      <c r="B62" s="40"/>
      <c r="C62" s="229">
        <f>INT((C58+C59+C61)*1000/2)/1000</f>
        <v>45.42</v>
      </c>
      <c r="D62" s="528"/>
      <c r="E62" s="528"/>
      <c r="F62" s="521">
        <f>F59</f>
        <v>0.15190000000000001</v>
      </c>
      <c r="G62" s="521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>
      <c r="Q63" s="18">
        <v>4.0999999999999996</v>
      </c>
    </row>
    <row r="64" spans="1:17">
      <c r="Q64" s="18">
        <v>5.46</v>
      </c>
    </row>
    <row r="65" spans="17:17">
      <c r="Q65" s="18">
        <v>7</v>
      </c>
    </row>
    <row r="66" spans="17:17">
      <c r="Q66" s="18">
        <v>8.7200000000000006</v>
      </c>
    </row>
    <row r="67" spans="17:17">
      <c r="Q67" s="18">
        <v>11.33</v>
      </c>
    </row>
    <row r="69" spans="17:17">
      <c r="Q69" s="320">
        <v>23.255813953488374</v>
      </c>
    </row>
    <row r="70" spans="17:17">
      <c r="Q70" s="320">
        <v>22.222222222222221</v>
      </c>
    </row>
    <row r="71" spans="17:17">
      <c r="Q71" s="320">
        <v>21.276595744680851</v>
      </c>
    </row>
    <row r="72" spans="17:17">
      <c r="Q72" s="320">
        <v>20</v>
      </c>
    </row>
    <row r="73" spans="17:17">
      <c r="Q73" s="320">
        <v>17.543859649122805</v>
      </c>
    </row>
    <row r="75" spans="17:17">
      <c r="Q75" s="18">
        <v>4.2999999999999997E-2</v>
      </c>
    </row>
    <row r="76" spans="17:17">
      <c r="Q76" s="18">
        <v>4.4999999999999998E-2</v>
      </c>
    </row>
    <row r="77" spans="17:17">
      <c r="Q77" s="18">
        <v>4.7E-2</v>
      </c>
    </row>
    <row r="78" spans="17:17">
      <c r="Q78" s="18">
        <v>0.05</v>
      </c>
    </row>
    <row r="79" spans="17:17">
      <c r="Q79" s="18">
        <v>5.7000000000000002E-2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272</v>
      </c>
      <c r="H3" s="381" t="s">
        <v>293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297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295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6" t="s">
        <v>296</v>
      </c>
    </row>
    <row r="7" spans="3:8" ht="18" customHeight="1">
      <c r="C7" s="355">
        <v>5</v>
      </c>
      <c r="D7" s="355" t="s">
        <v>241</v>
      </c>
      <c r="E7" s="355" t="s">
        <v>246</v>
      </c>
      <c r="H7" s="486" t="s">
        <v>294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275</v>
      </c>
      <c r="E10" s="355" t="s">
        <v>273</v>
      </c>
      <c r="H10" s="357"/>
    </row>
    <row r="11" spans="3:8" ht="18" customHeight="1">
      <c r="C11" s="355">
        <v>20</v>
      </c>
      <c r="D11" s="355" t="s">
        <v>276</v>
      </c>
      <c r="E11" s="355" t="s">
        <v>274</v>
      </c>
      <c r="H11" s="357"/>
    </row>
    <row r="12" spans="3:8" ht="18" customHeight="1">
      <c r="C12" s="355">
        <v>25</v>
      </c>
      <c r="D12" s="357" t="s">
        <v>277</v>
      </c>
      <c r="E12" s="355" t="s">
        <v>280</v>
      </c>
      <c r="H12" s="357"/>
    </row>
    <row r="13" spans="3:8" ht="18" customHeight="1">
      <c r="C13" s="355">
        <v>30</v>
      </c>
      <c r="D13" s="357" t="s">
        <v>278</v>
      </c>
      <c r="E13" s="355" t="s">
        <v>281</v>
      </c>
      <c r="H13" s="357"/>
    </row>
    <row r="14" spans="3:8" ht="18" customHeight="1">
      <c r="D14" s="357" t="s">
        <v>279</v>
      </c>
      <c r="E14" s="355" t="s">
        <v>282</v>
      </c>
      <c r="H14" s="357"/>
    </row>
    <row r="15" spans="3:8" ht="18" customHeight="1">
      <c r="D15" s="357" t="s">
        <v>299</v>
      </c>
      <c r="E15" s="355" t="s">
        <v>303</v>
      </c>
    </row>
    <row r="16" spans="3:8" ht="18" customHeight="1">
      <c r="D16" s="357" t="s">
        <v>300</v>
      </c>
      <c r="E16" s="355" t="s">
        <v>304</v>
      </c>
    </row>
    <row r="17" spans="4:5" ht="18" customHeight="1">
      <c r="D17" s="357" t="s">
        <v>301</v>
      </c>
      <c r="E17" s="355" t="s">
        <v>305</v>
      </c>
    </row>
    <row r="18" spans="4:5" ht="18" customHeight="1">
      <c r="D18" s="357" t="s">
        <v>302</v>
      </c>
      <c r="E18" s="355" t="s">
        <v>306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무거동 1027-5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울산광역시 남구 무거동 1027-5번지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7.9892357823750118</v>
      </c>
      <c r="C4" s="476">
        <f>LongTest!B10</f>
        <v>150</v>
      </c>
      <c r="D4" s="494">
        <f>StepTest!T4</f>
        <v>11.551407030959139</v>
      </c>
      <c r="E4" s="449">
        <f>Input!M44/2000</f>
        <v>0.1</v>
      </c>
      <c r="F4" s="447">
        <v>5.0000000000000001E-4</v>
      </c>
      <c r="G4" s="447">
        <f>PI()</f>
        <v>3.1415926535897931</v>
      </c>
      <c r="H4" s="443">
        <f>Input!$A$46</f>
        <v>3.48469E-2</v>
      </c>
      <c r="I4" s="492">
        <f>Input!M48</f>
        <v>31.7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70">
        <v>6.9960000000000004</v>
      </c>
      <c r="E5" s="436" t="s">
        <v>267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461">
        <f>(2*G4*B4*D5)/(C4)</f>
        <v>2.3412276719223395</v>
      </c>
      <c r="D6" s="469"/>
      <c r="E6" s="461">
        <f>1.15*LOG((2.25*D5*(1/1440))/(F4*E4^2))</f>
        <v>3.8406547958597423</v>
      </c>
      <c r="F6" s="462" t="s">
        <v>197</v>
      </c>
      <c r="G6" s="464">
        <f>C6-E6</f>
        <v>-1.4994271239374029</v>
      </c>
      <c r="H6" s="421"/>
      <c r="I6" s="492">
        <f>Input!M49</f>
        <v>41.5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265</v>
      </c>
      <c r="C7" s="431">
        <f>2.25*D4*(120/1440)</f>
        <v>2.1658888183048384</v>
      </c>
      <c r="D7" s="282"/>
      <c r="E7" s="433" t="s">
        <v>266</v>
      </c>
      <c r="F7" s="427">
        <f>F4*10^(5.46*D4*H4)</f>
        <v>7.8847470710604967E-2</v>
      </c>
      <c r="G7" s="428" t="s">
        <v>269</v>
      </c>
      <c r="H7" s="421">
        <f>F4*EXP(4*G4*D4*H4)</f>
        <v>7.8665375401899607E-2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271</v>
      </c>
      <c r="C8" s="488">
        <f>ROUND(E4*EXP(-1*G6),3)</f>
        <v>0.44800000000000001</v>
      </c>
      <c r="D8" s="483" t="s">
        <v>292</v>
      </c>
      <c r="E8" s="489">
        <f>ROUND(SQRT(C7/F7),3)</f>
        <v>5.2409999999999997</v>
      </c>
      <c r="F8" s="432" t="s">
        <v>268</v>
      </c>
      <c r="G8" s="484" t="s">
        <v>270</v>
      </c>
      <c r="H8" s="490">
        <f>ROUND(SQRT(C7/H7),3)</f>
        <v>5.2469999999999999</v>
      </c>
      <c r="I8" s="493">
        <f>Input!M45</f>
        <v>470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33.548118227400877</v>
      </c>
      <c r="D10" s="485" t="s">
        <v>283</v>
      </c>
      <c r="E10" s="471">
        <v>8.3960000000000007E-2</v>
      </c>
      <c r="F10" s="485" t="s">
        <v>285</v>
      </c>
      <c r="G10" s="489">
        <f>ROUND(E4*SQRT(E10/F4),4)</f>
        <v>1.2958000000000001</v>
      </c>
      <c r="H10" s="487" t="s">
        <v>298</v>
      </c>
      <c r="I10" s="493">
        <f>Input!I52</f>
        <v>36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7.9518817725991227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38.700000000000003</v>
      </c>
      <c r="D13" s="444"/>
      <c r="E13" s="289" t="s">
        <v>203</v>
      </c>
      <c r="F13" s="424">
        <f>D5</f>
        <v>6.9960000000000004</v>
      </c>
      <c r="G13" s="289" t="s">
        <v>204</v>
      </c>
      <c r="H13" s="468">
        <v>3.2989999999999999</v>
      </c>
      <c r="I13" s="482">
        <v>68.09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1">
        <f>I6-I4</f>
        <v>9.8000000000000007</v>
      </c>
      <c r="C16" s="466">
        <f>I8-IF(I4&gt;I10,I4,I10)</f>
        <v>434</v>
      </c>
      <c r="D16" s="465">
        <f>(F13+H13)/2</f>
        <v>5.1475</v>
      </c>
      <c r="E16" s="292">
        <f>INT(D16/C16*100000)/100000</f>
        <v>1.1860000000000001E-2</v>
      </c>
      <c r="F16" s="293">
        <v>1440</v>
      </c>
      <c r="G16" s="419">
        <v>840</v>
      </c>
      <c r="H16" s="458">
        <f>INT(G16/F16*10000)/10000</f>
        <v>0.58330000000000004</v>
      </c>
      <c r="I16" s="467">
        <v>2.72E-4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47.4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9.8000000000000007</v>
      </c>
      <c r="C21" s="319">
        <f t="shared" si="0"/>
        <v>434</v>
      </c>
      <c r="D21" s="304">
        <f t="shared" si="0"/>
        <v>5.1475</v>
      </c>
      <c r="E21" s="465">
        <f t="shared" si="0"/>
        <v>1.1860000000000001E-2</v>
      </c>
      <c r="F21" s="304">
        <f t="shared" si="0"/>
        <v>1440</v>
      </c>
      <c r="G21" s="304">
        <f>G16</f>
        <v>840</v>
      </c>
      <c r="H21" s="319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157.6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9.8000000000000007</v>
      </c>
      <c r="C26" s="293">
        <f t="shared" si="1"/>
        <v>434</v>
      </c>
      <c r="D26" s="418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65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5.1475</v>
      </c>
      <c r="D27" s="315">
        <f>(C27/C16)*(100/86400)</f>
        <v>1.3727545229561358E-5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81.233333333333334</v>
      </c>
      <c r="D29" s="279"/>
      <c r="E29" s="479">
        <f>(C13+C18)/2</f>
        <v>43.05</v>
      </c>
      <c r="F29" s="477">
        <f>MAX(C13,C18)</f>
        <v>47.4</v>
      </c>
      <c r="G29" s="478">
        <f>ROUND(C4/(G4*F29^2*I16),3)</f>
        <v>78.13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/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95">
        <f>StepTest!B12</f>
        <v>94</v>
      </c>
    </row>
    <row r="3" spans="1:2" ht="20.100000000000001" customHeight="1">
      <c r="A3" s="313" t="s">
        <v>108</v>
      </c>
      <c r="B3" s="496">
        <f>StepTest!G31</f>
        <v>4.0999999999999996</v>
      </c>
    </row>
    <row r="4" spans="1:2" ht="20.100000000000001" customHeight="1">
      <c r="A4" s="313" t="s">
        <v>109</v>
      </c>
      <c r="B4" s="497">
        <f>StepTest!G46</f>
        <v>8.7200000000000006</v>
      </c>
    </row>
    <row r="5" spans="1:2" ht="20.100000000000001" customHeight="1">
      <c r="A5" s="314" t="s">
        <v>110</v>
      </c>
      <c r="B5" s="497">
        <f>2/3</f>
        <v>0.66666666666666663</v>
      </c>
    </row>
    <row r="6" spans="1:2" ht="20.100000000000001" customHeight="1">
      <c r="A6" s="313"/>
      <c r="B6" s="497"/>
    </row>
    <row r="7" spans="1:2" ht="20.100000000000001" customHeight="1">
      <c r="A7" s="313" t="s">
        <v>111</v>
      </c>
      <c r="B7" s="497">
        <f>B2*(B4/B3)^(2/3)</f>
        <v>155.45914413416969</v>
      </c>
    </row>
    <row r="8" spans="1:2" ht="20.100000000000001" customHeight="1">
      <c r="A8" s="313" t="s">
        <v>112</v>
      </c>
      <c r="B8" s="497">
        <f>INT(B7)</f>
        <v>155</v>
      </c>
    </row>
    <row r="9" spans="1:2" ht="24.75" customHeight="1">
      <c r="B9" s="497"/>
    </row>
    <row r="10" spans="1:2" ht="24.75" customHeight="1">
      <c r="B10" s="497"/>
    </row>
    <row r="11" spans="1:2">
      <c r="B11" s="498">
        <f>B8/Input!$D$23</f>
        <v>0.90116279069767447</v>
      </c>
    </row>
    <row r="12" spans="1:2" ht="17.25" thickBot="1"/>
    <row r="13" spans="1:2" ht="24.95" customHeight="1">
      <c r="A13" s="499" t="s">
        <v>290</v>
      </c>
      <c r="B13" s="500">
        <f>Input!$D$6</f>
        <v>172</v>
      </c>
    </row>
    <row r="14" spans="1:2" ht="24.95" customHeight="1">
      <c r="A14" s="501" t="s">
        <v>106</v>
      </c>
      <c r="B14" s="502">
        <f>B8</f>
        <v>155</v>
      </c>
    </row>
    <row r="15" spans="1:2" ht="24.95" customHeight="1" thickBot="1">
      <c r="A15" s="503" t="s">
        <v>291</v>
      </c>
      <c r="B15" s="504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42" t="s">
        <v>192</v>
      </c>
      <c r="B4" s="542"/>
      <c r="C4" s="205" t="str">
        <f>Input!I44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94</v>
      </c>
      <c r="S4" s="3">
        <f>$R$4</f>
        <v>94</v>
      </c>
      <c r="T4" s="334">
        <v>11.551407030959139</v>
      </c>
      <c r="U4" s="89">
        <f>Input!M44/2/1000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5.2985130083067364</v>
      </c>
      <c r="Z4" s="13">
        <f>Z22</f>
        <v>4.2952426252097951</v>
      </c>
      <c r="AA4" s="10">
        <f>$Z$4</f>
        <v>4.2952426252097951</v>
      </c>
      <c r="AB4" s="10">
        <f>X4</f>
        <v>1</v>
      </c>
      <c r="AC4" s="10">
        <f>Y4-AA4</f>
        <v>1.0032703830969414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42" t="s">
        <v>45</v>
      </c>
      <c r="B5" s="542"/>
      <c r="C5" s="209" t="str">
        <f>Input!I45</f>
        <v xml:space="preserve"> 무거동 1027-5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11.551407030959139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5.7468666594955939</v>
      </c>
      <c r="AA5" s="10">
        <f t="shared" ref="AA5:AA23" si="5">$Z$4</f>
        <v>4.2952426252097951</v>
      </c>
      <c r="AB5" s="10">
        <f t="shared" ref="AB5:AB43" si="6">X5</f>
        <v>2</v>
      </c>
      <c r="AC5" s="10">
        <f t="shared" ref="AC5:AC43" si="7">Y5-AA5</f>
        <v>1.4516240342857989</v>
      </c>
      <c r="AD5" s="78">
        <f t="shared" ref="AD5:AD16" si="8">INT((AC5-AE5)*100)/100</f>
        <v>1.45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42" t="s">
        <v>46</v>
      </c>
      <c r="B6" s="542"/>
      <c r="C6" s="213" t="str">
        <f>Input!I46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11.551407030959139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6.0091367325024878</v>
      </c>
      <c r="AA6" s="10">
        <f t="shared" si="5"/>
        <v>4.2952426252097951</v>
      </c>
      <c r="AB6" s="10">
        <f t="shared" si="6"/>
        <v>3</v>
      </c>
      <c r="AC6" s="10">
        <f t="shared" si="7"/>
        <v>1.7138941072926928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42" t="s">
        <v>165</v>
      </c>
      <c r="B7" s="542"/>
      <c r="C7" s="214" t="str">
        <f>Input!I47</f>
        <v xml:space="preserve"> 주식회사 한일지하수</v>
      </c>
      <c r="D7" s="215"/>
      <c r="E7" s="206"/>
      <c r="F7" s="216"/>
      <c r="G7" s="217" t="str">
        <f>Input!I49</f>
        <v xml:space="preserve"> 무거동 1027-5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11.551407030959139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6.1952203106844506</v>
      </c>
      <c r="AA7" s="10">
        <f t="shared" si="5"/>
        <v>4.2952426252097951</v>
      </c>
      <c r="AB7" s="10">
        <f t="shared" si="6"/>
        <v>4</v>
      </c>
      <c r="AC7" s="10">
        <f t="shared" si="7"/>
        <v>1.8999776854746555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43">
        <f>Input!I48</f>
        <v>5</v>
      </c>
      <c r="D8" s="544"/>
      <c r="E8" s="545"/>
      <c r="F8" s="221" t="s">
        <v>6</v>
      </c>
      <c r="G8" s="217" t="str">
        <f>G7</f>
        <v xml:space="preserve"> 무거동 1027-5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11.551407030959139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6.3395579474474717</v>
      </c>
      <c r="AA8" s="10">
        <f t="shared" si="5"/>
        <v>4.2952426252097951</v>
      </c>
      <c r="AB8" s="10">
        <f t="shared" si="6"/>
        <v>5</v>
      </c>
      <c r="AC8" s="10">
        <f t="shared" si="7"/>
        <v>2.0443153222376766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6">
        <f>Input!M44</f>
        <v>200</v>
      </c>
      <c r="E9" s="546"/>
      <c r="F9" s="204" t="s">
        <v>8</v>
      </c>
      <c r="G9" s="536">
        <f>Input!M45</f>
        <v>470</v>
      </c>
      <c r="H9" s="536"/>
      <c r="I9" s="204"/>
      <c r="P9" s="3">
        <v>10</v>
      </c>
      <c r="Q9" s="64"/>
      <c r="S9" s="3">
        <f t="shared" si="3"/>
        <v>94</v>
      </c>
      <c r="T9" s="3">
        <f t="shared" si="10"/>
        <v>11.551407030959139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6.7879115986363292</v>
      </c>
      <c r="AA9" s="10">
        <f t="shared" si="5"/>
        <v>4.2952426252097951</v>
      </c>
      <c r="AB9" s="10">
        <f t="shared" si="6"/>
        <v>10</v>
      </c>
      <c r="AC9" s="10">
        <f t="shared" si="7"/>
        <v>2.4926689734265342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9">
        <f>Input!M48</f>
        <v>31.7</v>
      </c>
      <c r="E10" s="540"/>
      <c r="F10" s="224" t="s">
        <v>0</v>
      </c>
      <c r="G10" s="537" t="s">
        <v>0</v>
      </c>
      <c r="H10" s="537"/>
      <c r="I10" s="212"/>
      <c r="P10" s="3">
        <v>15</v>
      </c>
      <c r="Q10" s="64"/>
      <c r="S10" s="3">
        <f t="shared" si="3"/>
        <v>94</v>
      </c>
      <c r="T10" s="3">
        <f t="shared" si="10"/>
        <v>11.551407030959139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7.050181671643224</v>
      </c>
      <c r="AA10" s="10">
        <f t="shared" si="5"/>
        <v>4.2952426252097951</v>
      </c>
      <c r="AB10" s="10">
        <f t="shared" si="6"/>
        <v>15</v>
      </c>
      <c r="AC10" s="10">
        <f t="shared" si="7"/>
        <v>2.7549390464334289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41" t="s">
        <v>172</v>
      </c>
      <c r="E11" s="541"/>
      <c r="F11" s="225" t="s">
        <v>173</v>
      </c>
      <c r="G11" s="538" t="s">
        <v>174</v>
      </c>
      <c r="H11" s="538"/>
      <c r="I11" s="204" t="s">
        <v>164</v>
      </c>
      <c r="J11" s="364">
        <f>G12-J13</f>
        <v>0.55000000000000004</v>
      </c>
      <c r="P11" s="3">
        <v>20</v>
      </c>
      <c r="Q11" s="64"/>
      <c r="S11" s="3">
        <f t="shared" si="3"/>
        <v>94</v>
      </c>
      <c r="T11" s="3">
        <f t="shared" si="10"/>
        <v>11.551407030959139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7.2362652498251858</v>
      </c>
      <c r="AA11" s="10">
        <f t="shared" si="5"/>
        <v>4.2952426252097951</v>
      </c>
      <c r="AB11" s="10">
        <f t="shared" si="6"/>
        <v>20</v>
      </c>
      <c r="AC11" s="10">
        <f t="shared" si="7"/>
        <v>2.9410226246153908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35">
        <v>1</v>
      </c>
      <c r="E12" s="535"/>
      <c r="F12" s="202">
        <f>G12+$D$10</f>
        <v>32.700000000000003</v>
      </c>
      <c r="G12" s="534">
        <f>AD4</f>
        <v>1</v>
      </c>
      <c r="H12" s="534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11.551407030959139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7.3806028865882087</v>
      </c>
      <c r="AA12" s="10">
        <f t="shared" si="5"/>
        <v>4.2952426252097951</v>
      </c>
      <c r="AB12" s="10">
        <f t="shared" si="6"/>
        <v>25</v>
      </c>
      <c r="AC12" s="10">
        <f t="shared" si="7"/>
        <v>3.0853602613784137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35">
        <v>2</v>
      </c>
      <c r="E13" s="535"/>
      <c r="F13" s="202">
        <f t="shared" ref="F13:F28" si="13">G13+$D$10</f>
        <v>33.15</v>
      </c>
      <c r="G13" s="534">
        <f t="shared" ref="G13:G51" si="14">AD5</f>
        <v>1.45</v>
      </c>
      <c r="H13" s="534"/>
      <c r="I13" s="203"/>
      <c r="J13" s="8">
        <f>G13-G12</f>
        <v>0.44999999999999996</v>
      </c>
      <c r="P13" s="3">
        <v>30</v>
      </c>
      <c r="Q13" s="64"/>
      <c r="S13" s="3">
        <f t="shared" si="3"/>
        <v>94</v>
      </c>
      <c r="T13" s="3">
        <f t="shared" si="10"/>
        <v>11.551407030959139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7.4985353228320806</v>
      </c>
      <c r="AA13" s="10">
        <f t="shared" si="5"/>
        <v>4.2952426252097951</v>
      </c>
      <c r="AB13" s="10">
        <f t="shared" si="6"/>
        <v>30</v>
      </c>
      <c r="AC13" s="10">
        <f t="shared" si="7"/>
        <v>3.2032926976222855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35">
        <v>3</v>
      </c>
      <c r="E14" s="535"/>
      <c r="F14" s="202">
        <f t="shared" si="13"/>
        <v>33.409999999999997</v>
      </c>
      <c r="G14" s="534">
        <f t="shared" si="14"/>
        <v>1.71</v>
      </c>
      <c r="H14" s="534"/>
      <c r="I14" s="203"/>
      <c r="J14" s="8">
        <f t="shared" ref="J14:J51" si="15">G14-G13</f>
        <v>0.26</v>
      </c>
      <c r="Q14" s="64"/>
      <c r="S14" s="3">
        <f t="shared" si="3"/>
        <v>94</v>
      </c>
      <c r="T14" s="3">
        <f t="shared" si="10"/>
        <v>11.551407030959139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7.5982457769350082</v>
      </c>
      <c r="AA14" s="10">
        <f t="shared" si="5"/>
        <v>4.2952426252097951</v>
      </c>
      <c r="AB14" s="10">
        <f t="shared" si="6"/>
        <v>35</v>
      </c>
      <c r="AC14" s="10">
        <f t="shared" si="7"/>
        <v>3.3030031517252132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35">
        <v>4</v>
      </c>
      <c r="E15" s="535"/>
      <c r="F15" s="202">
        <f t="shared" si="13"/>
        <v>33.589999999999996</v>
      </c>
      <c r="G15" s="534">
        <f t="shared" si="14"/>
        <v>1.89</v>
      </c>
      <c r="H15" s="534"/>
      <c r="I15" s="203"/>
      <c r="J15" s="8">
        <f t="shared" si="15"/>
        <v>0.17999999999999994</v>
      </c>
      <c r="Q15" s="64"/>
      <c r="S15" s="3">
        <f t="shared" si="3"/>
        <v>94</v>
      </c>
      <c r="T15" s="3">
        <f t="shared" si="10"/>
        <v>11.551407030959139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7.6846189010140433</v>
      </c>
      <c r="AA15" s="10">
        <f t="shared" si="5"/>
        <v>4.2952426252097951</v>
      </c>
      <c r="AB15" s="10">
        <f t="shared" si="6"/>
        <v>40</v>
      </c>
      <c r="AC15" s="10">
        <f t="shared" si="7"/>
        <v>3.3893762758042483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35">
        <v>5</v>
      </c>
      <c r="E16" s="535"/>
      <c r="F16" s="202">
        <f t="shared" si="13"/>
        <v>33.74</v>
      </c>
      <c r="G16" s="534">
        <f t="shared" si="14"/>
        <v>2.04</v>
      </c>
      <c r="H16" s="534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11.551407030959139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7.7608053958389762</v>
      </c>
      <c r="AA16" s="10">
        <f t="shared" si="5"/>
        <v>4.2952426252097951</v>
      </c>
      <c r="AB16" s="10">
        <f t="shared" si="6"/>
        <v>45</v>
      </c>
      <c r="AC16" s="10">
        <f t="shared" si="7"/>
        <v>3.4655627706291812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35">
        <v>10</v>
      </c>
      <c r="E17" s="535"/>
      <c r="F17" s="202">
        <f t="shared" si="13"/>
        <v>34.19</v>
      </c>
      <c r="G17" s="534">
        <f t="shared" si="14"/>
        <v>2.4900000000000002</v>
      </c>
      <c r="H17" s="534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-1.01</v>
      </c>
      <c r="S17" s="3">
        <f t="shared" si="3"/>
        <v>94</v>
      </c>
      <c r="T17" s="3">
        <f t="shared" si="10"/>
        <v>11.551407030959139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7.8289565377770662</v>
      </c>
      <c r="AA17" s="10">
        <f t="shared" si="5"/>
        <v>4.2952426252097951</v>
      </c>
      <c r="AB17" s="10">
        <f t="shared" si="6"/>
        <v>50</v>
      </c>
      <c r="AC17" s="10">
        <f t="shared" si="7"/>
        <v>3.5337139125672712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35">
        <v>15</v>
      </c>
      <c r="E18" s="535"/>
      <c r="F18" s="202">
        <f t="shared" si="13"/>
        <v>34.450000000000003</v>
      </c>
      <c r="G18" s="534">
        <f t="shared" si="14"/>
        <v>2.75</v>
      </c>
      <c r="H18" s="534"/>
      <c r="I18" s="203"/>
      <c r="J18" s="8">
        <f t="shared" si="15"/>
        <v>0.25999999999999979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-2.52</v>
      </c>
      <c r="S18" s="3">
        <f t="shared" si="3"/>
        <v>94</v>
      </c>
      <c r="T18" s="3">
        <f t="shared" si="10"/>
        <v>11.551407030959139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7.8906067447016817</v>
      </c>
      <c r="AA18" s="10">
        <f t="shared" si="5"/>
        <v>4.2952426252097951</v>
      </c>
      <c r="AB18" s="10">
        <f t="shared" si="6"/>
        <v>55</v>
      </c>
      <c r="AC18" s="10">
        <f t="shared" si="7"/>
        <v>3.5953641194918866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35">
        <v>20</v>
      </c>
      <c r="E19" s="535"/>
      <c r="F19" s="202">
        <f t="shared" si="13"/>
        <v>34.64</v>
      </c>
      <c r="G19" s="534">
        <f t="shared" si="14"/>
        <v>2.94</v>
      </c>
      <c r="H19" s="534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-4.1100000000000003</v>
      </c>
      <c r="S19" s="3">
        <f t="shared" si="3"/>
        <v>94</v>
      </c>
      <c r="T19" s="3">
        <f t="shared" si="10"/>
        <v>11.551407030959139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7.9468889740209381</v>
      </c>
      <c r="AA19" s="10">
        <f t="shared" si="5"/>
        <v>4.2952426252097951</v>
      </c>
      <c r="AB19" s="10">
        <f t="shared" si="6"/>
        <v>60</v>
      </c>
      <c r="AC19" s="10">
        <f t="shared" si="7"/>
        <v>3.651646348811143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35">
        <v>25</v>
      </c>
      <c r="E20" s="535"/>
      <c r="F20" s="202">
        <f t="shared" si="13"/>
        <v>34.78</v>
      </c>
      <c r="G20" s="534">
        <f t="shared" si="14"/>
        <v>3.08</v>
      </c>
      <c r="H20" s="534"/>
      <c r="I20" s="203"/>
      <c r="J20" s="8">
        <f t="shared" si="15"/>
        <v>0.14000000000000012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-5.6</v>
      </c>
      <c r="S20" s="3">
        <f t="shared" si="3"/>
        <v>94</v>
      </c>
      <c r="T20" s="3">
        <f t="shared" si="10"/>
        <v>11.551407030959139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8.0912266107839592</v>
      </c>
      <c r="AA20" s="10">
        <f t="shared" si="5"/>
        <v>4.2952426252097951</v>
      </c>
      <c r="AB20" s="10">
        <f t="shared" si="6"/>
        <v>75</v>
      </c>
      <c r="AC20" s="10">
        <f t="shared" si="7"/>
        <v>3.7959839855741642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35">
        <v>30</v>
      </c>
      <c r="E21" s="535"/>
      <c r="F21" s="202">
        <f t="shared" si="13"/>
        <v>34.9</v>
      </c>
      <c r="G21" s="534">
        <f t="shared" si="14"/>
        <v>3.2</v>
      </c>
      <c r="H21" s="534"/>
      <c r="I21" s="203"/>
      <c r="J21" s="8">
        <f t="shared" si="15"/>
        <v>0.12000000000000011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-6.89</v>
      </c>
      <c r="S21" s="3">
        <f t="shared" si="3"/>
        <v>94</v>
      </c>
      <c r="T21" s="3">
        <f t="shared" si="10"/>
        <v>11.551407030959139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8.2091590470278337</v>
      </c>
      <c r="AA21" s="10">
        <f t="shared" si="5"/>
        <v>4.2952426252097951</v>
      </c>
      <c r="AB21" s="10">
        <f t="shared" si="6"/>
        <v>90</v>
      </c>
      <c r="AC21" s="10">
        <f t="shared" si="7"/>
        <v>3.9139164218180387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35">
        <v>35</v>
      </c>
      <c r="E22" s="535"/>
      <c r="F22" s="202">
        <f t="shared" si="13"/>
        <v>35</v>
      </c>
      <c r="G22" s="534">
        <f t="shared" si="14"/>
        <v>3.3</v>
      </c>
      <c r="H22" s="534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-14.1</v>
      </c>
      <c r="S22" s="3">
        <f t="shared" si="3"/>
        <v>94</v>
      </c>
      <c r="T22" s="3">
        <f t="shared" si="10"/>
        <v>11.551407030959139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8.3088695011307596</v>
      </c>
      <c r="Z22" s="10">
        <f>Y23-Z23</f>
        <v>4.2952426252097951</v>
      </c>
      <c r="AA22" s="10">
        <f t="shared" si="5"/>
        <v>4.2952426252097951</v>
      </c>
      <c r="AB22" s="10">
        <f t="shared" si="6"/>
        <v>105</v>
      </c>
      <c r="AC22" s="10">
        <f t="shared" si="7"/>
        <v>4.0136268759209646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35">
        <v>40</v>
      </c>
      <c r="E23" s="535"/>
      <c r="F23" s="202">
        <f t="shared" si="13"/>
        <v>35.08</v>
      </c>
      <c r="G23" s="534">
        <f t="shared" si="14"/>
        <v>3.38</v>
      </c>
      <c r="H23" s="534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-27.41</v>
      </c>
      <c r="S23" s="3">
        <f t="shared" si="3"/>
        <v>94</v>
      </c>
      <c r="T23" s="3">
        <f t="shared" si="10"/>
        <v>11.551407030959139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8.3952426252097947</v>
      </c>
      <c r="Z23" s="10">
        <f>Input!B20</f>
        <v>4.0999999999999996</v>
      </c>
      <c r="AA23" s="10">
        <f t="shared" si="5"/>
        <v>4.2952426252097951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35">
        <v>45</v>
      </c>
      <c r="E24" s="535"/>
      <c r="F24" s="202">
        <f t="shared" si="13"/>
        <v>35.159999999999997</v>
      </c>
      <c r="G24" s="534">
        <f t="shared" si="14"/>
        <v>3.46</v>
      </c>
      <c r="H24" s="534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-37.28</v>
      </c>
      <c r="R24" s="14">
        <f>B32</f>
        <v>120</v>
      </c>
      <c r="S24" s="3">
        <f>$R$24</f>
        <v>120</v>
      </c>
      <c r="T24" s="3">
        <f t="shared" si="10"/>
        <v>11.551407030959139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10.783426285875514</v>
      </c>
      <c r="Z24" s="10">
        <f>Z27</f>
        <v>5.8296973741259395</v>
      </c>
      <c r="AA24" s="10">
        <f>$Z$24</f>
        <v>5.8296973741259395</v>
      </c>
      <c r="AB24" s="10">
        <f t="shared" si="6"/>
        <v>130</v>
      </c>
      <c r="AC24" s="10">
        <f t="shared" si="7"/>
        <v>4.9537289117495744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35">
        <v>50</v>
      </c>
      <c r="E25" s="535"/>
      <c r="F25" s="202">
        <f t="shared" si="13"/>
        <v>35.229999999999997</v>
      </c>
      <c r="G25" s="534">
        <f t="shared" si="14"/>
        <v>3.53</v>
      </c>
      <c r="H25" s="534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-47.19</v>
      </c>
      <c r="S25" s="3">
        <f>$R$24</f>
        <v>120</v>
      </c>
      <c r="T25" s="3">
        <f t="shared" si="10"/>
        <v>11.551407030959139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10.844620952314113</v>
      </c>
      <c r="AA25" s="10">
        <f>$Z$24</f>
        <v>5.8296973741259395</v>
      </c>
      <c r="AB25" s="10">
        <f t="shared" si="6"/>
        <v>140</v>
      </c>
      <c r="AC25" s="10">
        <f t="shared" si="7"/>
        <v>5.0149235781881734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35">
        <v>55</v>
      </c>
      <c r="E26" s="535"/>
      <c r="F26" s="202">
        <f t="shared" si="13"/>
        <v>35.29</v>
      </c>
      <c r="G26" s="534">
        <f t="shared" si="14"/>
        <v>3.59</v>
      </c>
      <c r="H26" s="534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-57.13</v>
      </c>
      <c r="S26" s="3">
        <f>$R$24</f>
        <v>120</v>
      </c>
      <c r="T26" s="3">
        <f t="shared" si="10"/>
        <v>11.551407030959139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10.901591823795085</v>
      </c>
      <c r="AA26" s="10">
        <f>$Z$24</f>
        <v>5.8296973741259395</v>
      </c>
      <c r="AB26" s="10">
        <f t="shared" si="6"/>
        <v>150</v>
      </c>
      <c r="AC26" s="10">
        <f t="shared" si="7"/>
        <v>5.0718944496691458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35">
        <v>60</v>
      </c>
      <c r="E27" s="535"/>
      <c r="F27" s="202">
        <f t="shared" si="13"/>
        <v>35.35</v>
      </c>
      <c r="G27" s="534">
        <f t="shared" si="14"/>
        <v>3.65</v>
      </c>
      <c r="H27" s="534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-67.08</v>
      </c>
      <c r="S27" s="3">
        <f>$R$24</f>
        <v>120</v>
      </c>
      <c r="T27" s="3">
        <f t="shared" si="10"/>
        <v>11.551407030959139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11.05214387006386</v>
      </c>
      <c r="Z27" s="10">
        <f>Y28-Z28</f>
        <v>5.8296973741259395</v>
      </c>
      <c r="AA27" s="10">
        <f>$Z$24</f>
        <v>5.8296973741259395</v>
      </c>
      <c r="AB27" s="10">
        <f t="shared" si="6"/>
        <v>180</v>
      </c>
      <c r="AC27" s="10">
        <f t="shared" si="7"/>
        <v>5.2224464959379207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35">
        <v>75</v>
      </c>
      <c r="E28" s="535"/>
      <c r="F28" s="202">
        <f t="shared" si="13"/>
        <v>35.49</v>
      </c>
      <c r="G28" s="534">
        <f t="shared" si="14"/>
        <v>3.79</v>
      </c>
      <c r="H28" s="534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-77.06</v>
      </c>
      <c r="S28" s="3">
        <f>$R$24</f>
        <v>120</v>
      </c>
      <c r="T28" s="3">
        <f t="shared" si="10"/>
        <v>11.551407030959139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11.289697374125939</v>
      </c>
      <c r="Z28" s="10">
        <f>Input!B21</f>
        <v>5.46</v>
      </c>
      <c r="AA28" s="10">
        <f>$Z$24</f>
        <v>5.8296973741259395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35">
        <v>90</v>
      </c>
      <c r="E29" s="535"/>
      <c r="F29" s="202">
        <f t="shared" ref="F29:F44" si="24">G29+$D$10</f>
        <v>35.61</v>
      </c>
      <c r="G29" s="534">
        <f t="shared" si="14"/>
        <v>3.91</v>
      </c>
      <c r="H29" s="534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-87.03</v>
      </c>
      <c r="R29" s="14">
        <f>B37</f>
        <v>146.19999999999999</v>
      </c>
      <c r="S29" s="3">
        <f>$R$29</f>
        <v>146.19999999999999</v>
      </c>
      <c r="T29" s="3">
        <f t="shared" si="10"/>
        <v>11.551407030959139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13.795683148142365</v>
      </c>
      <c r="Z29" s="10">
        <f>Z32</f>
        <v>7.1625283008839435</v>
      </c>
      <c r="AA29" s="10">
        <f>$Z$29</f>
        <v>7.1625283008839435</v>
      </c>
      <c r="AB29" s="10">
        <f t="shared" si="6"/>
        <v>250</v>
      </c>
      <c r="AC29" s="10">
        <f t="shared" si="7"/>
        <v>6.633154847258421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35">
        <v>105</v>
      </c>
      <c r="E30" s="535"/>
      <c r="F30" s="202">
        <f t="shared" si="24"/>
        <v>35.71</v>
      </c>
      <c r="G30" s="534">
        <f t="shared" si="14"/>
        <v>4.01</v>
      </c>
      <c r="H30" s="534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-97.02</v>
      </c>
      <c r="R30" s="3" t="s">
        <v>23</v>
      </c>
      <c r="S30" s="3">
        <f>$R$29</f>
        <v>146.19999999999999</v>
      </c>
      <c r="T30" s="3">
        <f t="shared" si="10"/>
        <v>11.551407030959139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13.835140710814475</v>
      </c>
      <c r="AA30" s="10">
        <f>$Z$29</f>
        <v>7.1625283008839435</v>
      </c>
      <c r="AB30" s="10">
        <f t="shared" si="6"/>
        <v>260</v>
      </c>
      <c r="AC30" s="10">
        <f t="shared" si="7"/>
        <v>6.6726124099305313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35">
        <v>120</v>
      </c>
      <c r="E31" s="535"/>
      <c r="F31" s="202">
        <f t="shared" si="24"/>
        <v>35.799999999999997</v>
      </c>
      <c r="G31" s="534">
        <f t="shared" si="14"/>
        <v>4.0999999999999996</v>
      </c>
      <c r="H31" s="534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-107.02</v>
      </c>
      <c r="S31" s="3">
        <f>$R$29</f>
        <v>146.19999999999999</v>
      </c>
      <c r="T31" s="3">
        <f t="shared" si="10"/>
        <v>11.551407030959139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13.873108948434977</v>
      </c>
      <c r="AA31" s="10">
        <f>$Z$29</f>
        <v>7.1625283008839435</v>
      </c>
      <c r="AB31" s="10">
        <f t="shared" si="6"/>
        <v>270</v>
      </c>
      <c r="AC31" s="10">
        <f t="shared" si="7"/>
        <v>6.7105806475510335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35">
        <v>130</v>
      </c>
      <c r="E32" s="535"/>
      <c r="F32" s="202">
        <f t="shared" si="24"/>
        <v>36.61</v>
      </c>
      <c r="G32" s="534">
        <f t="shared" si="14"/>
        <v>4.91</v>
      </c>
      <c r="H32" s="534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-117.01</v>
      </c>
      <c r="S32" s="3">
        <f>$R$29</f>
        <v>146.19999999999999</v>
      </c>
      <c r="T32" s="3">
        <f t="shared" si="10"/>
        <v>11.551407030959139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13.979105724513152</v>
      </c>
      <c r="Z32" s="10">
        <f>Y33-Z33</f>
        <v>7.1625283008839435</v>
      </c>
      <c r="AA32" s="10">
        <f>$Z$29</f>
        <v>7.1625283008839435</v>
      </c>
      <c r="AB32" s="10">
        <f t="shared" si="6"/>
        <v>300</v>
      </c>
      <c r="AC32" s="10">
        <f t="shared" si="7"/>
        <v>6.8165774236292087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35">
        <v>140</v>
      </c>
      <c r="E33" s="535"/>
      <c r="F33" s="202">
        <f t="shared" si="24"/>
        <v>36.75</v>
      </c>
      <c r="G33" s="534">
        <f t="shared" si="14"/>
        <v>5.05</v>
      </c>
      <c r="H33" s="534"/>
      <c r="I33" s="204"/>
      <c r="J33" s="8">
        <f t="shared" si="15"/>
        <v>0.13999999999999968</v>
      </c>
      <c r="L33" s="7" t="s">
        <v>23</v>
      </c>
      <c r="P33" s="13"/>
      <c r="S33" s="3">
        <f>$R$29</f>
        <v>146.19999999999999</v>
      </c>
      <c r="T33" s="3">
        <f t="shared" si="10"/>
        <v>11.551407030959139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14.162528300883944</v>
      </c>
      <c r="Z33" s="10">
        <f>Input!B22</f>
        <v>7</v>
      </c>
      <c r="AA33" s="10">
        <f>$Z$29</f>
        <v>7.1625283008839435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35">
        <v>150</v>
      </c>
      <c r="E34" s="535"/>
      <c r="F34" s="202">
        <f t="shared" si="24"/>
        <v>36.879999999999995</v>
      </c>
      <c r="G34" s="534">
        <f t="shared" si="14"/>
        <v>5.18</v>
      </c>
      <c r="H34" s="534"/>
      <c r="I34" s="204"/>
      <c r="J34" s="8">
        <f t="shared" si="15"/>
        <v>0.12999999999999989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11.551407030959139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16.694226746383332</v>
      </c>
      <c r="Z34" s="10">
        <f>Z37</f>
        <v>8.2822913568622507</v>
      </c>
      <c r="AA34" s="10">
        <f>$Z$34</f>
        <v>8.2822913568622507</v>
      </c>
      <c r="AB34" s="10">
        <f t="shared" si="6"/>
        <v>370</v>
      </c>
      <c r="AC34" s="10">
        <f t="shared" si="7"/>
        <v>8.4119353895210818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35">
        <v>180</v>
      </c>
      <c r="E35" s="535"/>
      <c r="F35" s="202">
        <f t="shared" si="24"/>
        <v>37.019999999999996</v>
      </c>
      <c r="G35" s="534">
        <f t="shared" si="14"/>
        <v>5.32</v>
      </c>
      <c r="H35" s="534"/>
      <c r="I35" s="204"/>
      <c r="J35" s="8">
        <f t="shared" si="15"/>
        <v>0.14000000000000057</v>
      </c>
      <c r="L35" s="7" t="s">
        <v>23</v>
      </c>
      <c r="S35" s="3">
        <f>$R$34</f>
        <v>172</v>
      </c>
      <c r="T35" s="3">
        <f t="shared" si="10"/>
        <v>11.551407030959139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16.725790621273127</v>
      </c>
      <c r="AA35" s="10">
        <f>$Z$34</f>
        <v>8.2822913568622507</v>
      </c>
      <c r="AB35" s="10">
        <f t="shared" si="6"/>
        <v>380</v>
      </c>
      <c r="AC35" s="10">
        <f t="shared" si="7"/>
        <v>8.4434992644108764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35">
        <v>240</v>
      </c>
      <c r="E36" s="535"/>
      <c r="F36" s="202">
        <f t="shared" si="24"/>
        <v>37.159999999999997</v>
      </c>
      <c r="G36" s="534">
        <f t="shared" si="14"/>
        <v>5.46</v>
      </c>
      <c r="H36" s="534"/>
      <c r="I36" s="204"/>
      <c r="J36" s="8">
        <f t="shared" si="15"/>
        <v>0.13999999999999968</v>
      </c>
      <c r="L36" s="7" t="s">
        <v>23</v>
      </c>
      <c r="S36" s="3">
        <f>$R$34</f>
        <v>172</v>
      </c>
      <c r="T36" s="3">
        <f t="shared" si="10"/>
        <v>11.551407030959139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16.756534561829401</v>
      </c>
      <c r="AA36" s="10">
        <f>$Z$34</f>
        <v>8.2822913568622507</v>
      </c>
      <c r="AB36" s="10">
        <f t="shared" si="6"/>
        <v>390</v>
      </c>
      <c r="AC36" s="10">
        <f t="shared" si="7"/>
        <v>8.4742432049671503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35">
        <v>250</v>
      </c>
      <c r="E37" s="535"/>
      <c r="F37" s="202">
        <f t="shared" si="24"/>
        <v>38.08</v>
      </c>
      <c r="G37" s="534">
        <f t="shared" si="14"/>
        <v>6.38</v>
      </c>
      <c r="H37" s="534"/>
      <c r="I37" s="204"/>
      <c r="J37" s="8">
        <f t="shared" si="15"/>
        <v>0.91999999999999993</v>
      </c>
      <c r="L37" s="7" t="s">
        <v>23</v>
      </c>
      <c r="S37" s="3">
        <f>$R$34</f>
        <v>172</v>
      </c>
      <c r="T37" s="3">
        <f t="shared" si="10"/>
        <v>11.551407030959139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16.844246917058058</v>
      </c>
      <c r="Z37" s="10">
        <f>Y38-Z38</f>
        <v>8.2822913568622507</v>
      </c>
      <c r="AA37" s="10">
        <f>$Z$34</f>
        <v>8.2822913568622507</v>
      </c>
      <c r="AB37" s="10">
        <f t="shared" si="6"/>
        <v>420</v>
      </c>
      <c r="AC37" s="10">
        <f t="shared" si="7"/>
        <v>8.5619555601958073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35">
        <v>260</v>
      </c>
      <c r="E38" s="535"/>
      <c r="F38" s="202">
        <f t="shared" si="24"/>
        <v>38.229999999999997</v>
      </c>
      <c r="G38" s="534">
        <f t="shared" si="14"/>
        <v>6.53</v>
      </c>
      <c r="H38" s="534"/>
      <c r="I38" s="204"/>
      <c r="J38" s="8">
        <f t="shared" si="15"/>
        <v>0.15000000000000036</v>
      </c>
      <c r="L38" s="7" t="s">
        <v>23</v>
      </c>
      <c r="S38" s="3">
        <f>$R$34</f>
        <v>172</v>
      </c>
      <c r="T38" s="3">
        <f t="shared" si="10"/>
        <v>11.551407030959139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17.002291356862251</v>
      </c>
      <c r="Z38" s="10">
        <f>Input!B23</f>
        <v>8.7200000000000006</v>
      </c>
      <c r="AA38" s="10">
        <f>$Z$34</f>
        <v>8.2822913568622507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35">
        <v>270</v>
      </c>
      <c r="E39" s="535"/>
      <c r="F39" s="202">
        <f t="shared" si="24"/>
        <v>38.39</v>
      </c>
      <c r="G39" s="534">
        <f t="shared" si="14"/>
        <v>6.69</v>
      </c>
      <c r="H39" s="534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11.551407030959139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19.580700208037605</v>
      </c>
      <c r="Z39" s="10">
        <f>Z42</f>
        <v>8.5263583003035617</v>
      </c>
      <c r="AA39" s="10">
        <f>$Z$39</f>
        <v>8.5263583003035617</v>
      </c>
      <c r="AB39" s="10">
        <f t="shared" si="6"/>
        <v>490</v>
      </c>
      <c r="AC39" s="10">
        <f t="shared" si="7"/>
        <v>11.054341907734043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35">
        <v>300</v>
      </c>
      <c r="E40" s="535"/>
      <c r="F40" s="202">
        <f t="shared" si="24"/>
        <v>38.54</v>
      </c>
      <c r="G40" s="534">
        <f t="shared" si="14"/>
        <v>6.84</v>
      </c>
      <c r="H40" s="534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11.551407030959139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19.608198344037199</v>
      </c>
      <c r="AA40" s="10">
        <f>$Z$39</f>
        <v>8.5263583003035617</v>
      </c>
      <c r="AB40" s="10">
        <f t="shared" si="6"/>
        <v>500</v>
      </c>
      <c r="AC40" s="10">
        <f t="shared" si="7"/>
        <v>11.081840043733637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35">
        <v>360</v>
      </c>
      <c r="E41" s="535"/>
      <c r="F41" s="202">
        <f t="shared" si="24"/>
        <v>38.700000000000003</v>
      </c>
      <c r="G41" s="534">
        <f t="shared" si="14"/>
        <v>7</v>
      </c>
      <c r="H41" s="534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11.551407030959139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19.635151926543806</v>
      </c>
      <c r="AA41" s="10">
        <f>$Z$39</f>
        <v>8.5263583003035617</v>
      </c>
      <c r="AB41" s="10">
        <f t="shared" si="6"/>
        <v>510</v>
      </c>
      <c r="AC41" s="10">
        <f t="shared" si="7"/>
        <v>11.108793626240244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35">
        <v>370</v>
      </c>
      <c r="E42" s="535"/>
      <c r="F42" s="202">
        <f t="shared" si="24"/>
        <v>39.729999999999997</v>
      </c>
      <c r="G42" s="534">
        <f t="shared" si="14"/>
        <v>8.0299999999999994</v>
      </c>
      <c r="H42" s="534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11.551407030959139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19.712950897374263</v>
      </c>
      <c r="Z42" s="10">
        <f>Y43-Z43</f>
        <v>8.5263583003035617</v>
      </c>
      <c r="AA42" s="10">
        <f>$Z$39</f>
        <v>8.5263583003035617</v>
      </c>
      <c r="AB42" s="10">
        <f t="shared" si="6"/>
        <v>540</v>
      </c>
      <c r="AC42" s="10">
        <f t="shared" si="7"/>
        <v>11.186592597070701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35">
        <v>380</v>
      </c>
      <c r="E43" s="535"/>
      <c r="F43" s="202">
        <f t="shared" si="24"/>
        <v>39.9</v>
      </c>
      <c r="G43" s="534">
        <f t="shared" si="14"/>
        <v>8.1999999999999993</v>
      </c>
      <c r="H43" s="534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11.551407030959139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19.856358300303562</v>
      </c>
      <c r="Z43" s="10">
        <f>Input!B24</f>
        <v>11.33</v>
      </c>
      <c r="AA43" s="10">
        <f>$Z$39</f>
        <v>8.5263583003035617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35">
        <v>390</v>
      </c>
      <c r="E44" s="535"/>
      <c r="F44" s="202">
        <f t="shared" si="24"/>
        <v>40.07</v>
      </c>
      <c r="G44" s="534">
        <f t="shared" si="14"/>
        <v>8.3699999999999992</v>
      </c>
      <c r="H44" s="534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35">
        <v>420</v>
      </c>
      <c r="E45" s="535"/>
      <c r="F45" s="202">
        <f t="shared" ref="F45:F51" si="25">G45+$D$10</f>
        <v>40.239999999999995</v>
      </c>
      <c r="G45" s="534">
        <f t="shared" si="14"/>
        <v>8.5399999999999991</v>
      </c>
      <c r="H45" s="534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35">
        <v>480</v>
      </c>
      <c r="E46" s="535"/>
      <c r="F46" s="202">
        <f t="shared" si="25"/>
        <v>40.42</v>
      </c>
      <c r="G46" s="534">
        <f t="shared" si="14"/>
        <v>8.7200000000000006</v>
      </c>
      <c r="H46" s="534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35">
        <v>490</v>
      </c>
      <c r="E47" s="535"/>
      <c r="F47" s="202">
        <f t="shared" si="25"/>
        <v>41.46</v>
      </c>
      <c r="G47" s="534">
        <f t="shared" si="14"/>
        <v>9.76</v>
      </c>
      <c r="H47" s="534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35">
        <v>500</v>
      </c>
      <c r="E48" s="535"/>
      <c r="F48" s="202">
        <f t="shared" si="25"/>
        <v>41.85</v>
      </c>
      <c r="G48" s="534">
        <f t="shared" si="14"/>
        <v>10.15</v>
      </c>
      <c r="H48" s="534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35">
        <v>510</v>
      </c>
      <c r="E49" s="535"/>
      <c r="F49" s="202">
        <f t="shared" si="25"/>
        <v>42.239999999999995</v>
      </c>
      <c r="G49" s="534">
        <f t="shared" si="14"/>
        <v>10.54</v>
      </c>
      <c r="H49" s="534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35">
        <v>540</v>
      </c>
      <c r="E50" s="535"/>
      <c r="F50" s="202">
        <f t="shared" si="25"/>
        <v>42.629999999999995</v>
      </c>
      <c r="G50" s="534">
        <f t="shared" si="14"/>
        <v>10.93</v>
      </c>
      <c r="H50" s="534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35">
        <v>600</v>
      </c>
      <c r="E51" s="535"/>
      <c r="F51" s="202">
        <f t="shared" si="25"/>
        <v>43.03</v>
      </c>
      <c r="G51" s="534">
        <f t="shared" si="14"/>
        <v>11.33</v>
      </c>
      <c r="H51" s="534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-12.852322210044029</v>
      </c>
      <c r="N1" s="551" t="s">
        <v>136</v>
      </c>
      <c r="O1" s="551"/>
      <c r="P1" s="265">
        <f>StepTest!G41</f>
        <v>7</v>
      </c>
      <c r="Q1" s="425" t="s">
        <v>125</v>
      </c>
      <c r="R1" s="266">
        <f>G35</f>
        <v>19.852322210044029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53.259999766207784</v>
      </c>
      <c r="T2" s="3">
        <v>0</v>
      </c>
      <c r="U2" s="14">
        <f>B10</f>
        <v>150</v>
      </c>
      <c r="V2" s="14">
        <f>U2</f>
        <v>150</v>
      </c>
      <c r="W2" s="3">
        <f>T1</f>
        <v>4.1154367189270733</v>
      </c>
      <c r="X2" s="3">
        <f>StepTest!U4</f>
        <v>0.1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14.429235459519113</v>
      </c>
      <c r="AC2" s="10">
        <f>1.6*V2/(4*PI()*W2)*LOG10((2.25*W2*Z2)/(X2*X2*Y2))</f>
        <v>14.429235459519113</v>
      </c>
      <c r="AD2" s="15">
        <v>0</v>
      </c>
      <c r="AE2" s="12">
        <f>AA2</f>
        <v>1</v>
      </c>
      <c r="AF2" s="10">
        <f>AC2-$P$3-O3</f>
        <v>7.9892357823750118</v>
      </c>
      <c r="AG2" s="10">
        <f>AC2</f>
        <v>14.429235459519113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무거동 1027-5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4.67</v>
      </c>
      <c r="N3" s="62"/>
      <c r="O3" s="360"/>
      <c r="P3" s="359">
        <v>6.439999677144101</v>
      </c>
      <c r="V3" s="14">
        <f>V2</f>
        <v>150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15.826231650232357</v>
      </c>
      <c r="AC3" s="10">
        <f t="shared" ref="AC3:AC35" si="4">1.6*V3/(4*PI()*W3)*LOG10((2.25*W3*Z3)/(X3*X3*Y3))</f>
        <v>15.826231650232357</v>
      </c>
      <c r="AD3" s="10">
        <f>AB69</f>
        <v>27.999999443351886</v>
      </c>
      <c r="AE3" s="12">
        <f t="shared" ref="AE3:AE66" si="5">AA3</f>
        <v>2</v>
      </c>
      <c r="AF3" s="10">
        <f t="shared" ref="AF3:AF16" si="6">AC3-$P$3-O4</f>
        <v>9.3862319730882557</v>
      </c>
      <c r="AG3" s="10">
        <f t="shared" ref="AG3:AG16" si="7">AC3</f>
        <v>15.826231650232357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2.76</v>
      </c>
      <c r="N4" s="62"/>
      <c r="O4" s="29"/>
      <c r="P4" s="29"/>
      <c r="V4" s="14">
        <f t="shared" ref="V4:V67" si="8">V3</f>
        <v>150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16.643422035449902</v>
      </c>
      <c r="AC4" s="10">
        <f t="shared" si="4"/>
        <v>16.643422035449902</v>
      </c>
      <c r="AD4" s="10">
        <f>AC69</f>
        <v>27.999999443351886</v>
      </c>
      <c r="AE4" s="12">
        <f t="shared" si="5"/>
        <v>3</v>
      </c>
      <c r="AF4" s="10">
        <f t="shared" si="6"/>
        <v>10.203422358305801</v>
      </c>
      <c r="AG4" s="10">
        <f t="shared" si="7"/>
        <v>16.643422035449902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주식회사 한일지하수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0.26</v>
      </c>
      <c r="N5" s="62"/>
      <c r="O5" s="29"/>
      <c r="P5" s="29"/>
      <c r="V5" s="14">
        <f t="shared" si="8"/>
        <v>150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17.223227840945601</v>
      </c>
      <c r="AC5" s="10">
        <f t="shared" si="4"/>
        <v>17.223227840945601</v>
      </c>
      <c r="AD5" s="10">
        <f>AF69</f>
        <v>21.559999766207785</v>
      </c>
      <c r="AE5" s="12">
        <f t="shared" si="5"/>
        <v>4</v>
      </c>
      <c r="AF5" s="10">
        <f t="shared" si="6"/>
        <v>10.7832281638015</v>
      </c>
      <c r="AG5" s="10">
        <f t="shared" si="7"/>
        <v>17.223227840945601</v>
      </c>
    </row>
    <row r="6" spans="1:38" s="3" customFormat="1" ht="21.6" customHeight="1">
      <c r="A6" s="53" t="str">
        <f>StepTest!A8</f>
        <v>수중모타</v>
      </c>
      <c r="B6" s="183"/>
      <c r="C6" s="547">
        <f>StepTest!C8</f>
        <v>5</v>
      </c>
      <c r="D6" s="547"/>
      <c r="E6" s="548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-2.4700000000000002</v>
      </c>
      <c r="N6" s="62"/>
      <c r="O6" s="29"/>
      <c r="P6" s="29"/>
      <c r="V6" s="14">
        <f t="shared" si="8"/>
        <v>150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17.672960163186815</v>
      </c>
      <c r="AC6" s="10">
        <f t="shared" si="4"/>
        <v>17.672960163186815</v>
      </c>
      <c r="AE6" s="12">
        <f t="shared" si="5"/>
        <v>5</v>
      </c>
      <c r="AF6" s="10">
        <f t="shared" si="6"/>
        <v>11.232960486042714</v>
      </c>
      <c r="AG6" s="10">
        <f t="shared" si="7"/>
        <v>17.672960163186815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200</v>
      </c>
      <c r="E7" s="194"/>
      <c r="F7" s="195" t="s">
        <v>8</v>
      </c>
      <c r="G7" s="250">
        <f>StepTest!G9</f>
        <v>470</v>
      </c>
      <c r="H7" s="184"/>
      <c r="I7" s="184"/>
      <c r="J7" s="185"/>
      <c r="M7" s="13">
        <f t="shared" si="1"/>
        <v>-5.34</v>
      </c>
      <c r="N7" s="62"/>
      <c r="O7" s="29"/>
      <c r="P7" s="29"/>
      <c r="V7" s="14">
        <f t="shared" si="8"/>
        <v>150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19.069956353900061</v>
      </c>
      <c r="AC7" s="10">
        <f t="shared" si="4"/>
        <v>19.069956353900061</v>
      </c>
      <c r="AE7" s="12">
        <f t="shared" si="5"/>
        <v>10</v>
      </c>
      <c r="AF7" s="10">
        <f t="shared" si="6"/>
        <v>12.62995667675596</v>
      </c>
      <c r="AG7" s="10">
        <f t="shared" si="7"/>
        <v>19.069956353900061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31.7</v>
      </c>
      <c r="E8" s="194"/>
      <c r="F8" s="195" t="s">
        <v>14</v>
      </c>
      <c r="G8" s="198">
        <f>F77</f>
        <v>53.259999766207784</v>
      </c>
      <c r="H8" s="191">
        <f>Input!C40</f>
        <v>150</v>
      </c>
      <c r="I8" s="191"/>
      <c r="J8" s="183"/>
      <c r="K8" s="379">
        <f>Input!M50</f>
        <v>9.8000000000000007</v>
      </c>
      <c r="L8" s="363">
        <f>G10-K11</f>
        <v>6.5922395916617678</v>
      </c>
      <c r="M8" s="13">
        <f t="shared" si="1"/>
        <v>-20.52</v>
      </c>
      <c r="N8" s="62"/>
      <c r="O8" s="29"/>
      <c r="P8" s="29"/>
      <c r="V8" s="14">
        <f t="shared" si="8"/>
        <v>150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19.887146739117608</v>
      </c>
      <c r="AC8" s="10">
        <f t="shared" si="4"/>
        <v>19.887146739117608</v>
      </c>
      <c r="AE8" s="12">
        <f t="shared" si="5"/>
        <v>15</v>
      </c>
      <c r="AF8" s="10">
        <f t="shared" si="6"/>
        <v>13.447147061973507</v>
      </c>
      <c r="AG8" s="10">
        <f t="shared" si="7"/>
        <v>19.887146739117608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0" t="s">
        <v>161</v>
      </c>
      <c r="E9" s="550"/>
      <c r="F9" s="180" t="s">
        <v>162</v>
      </c>
      <c r="G9" s="180" t="s">
        <v>163</v>
      </c>
      <c r="H9" s="378"/>
      <c r="I9" s="378"/>
      <c r="J9" s="378"/>
      <c r="K9" s="9">
        <f>G8-D8</f>
        <v>21.559999766207785</v>
      </c>
      <c r="M9" s="13">
        <f t="shared" si="1"/>
        <v>-36.270000000000003</v>
      </c>
      <c r="N9" s="62"/>
      <c r="O9" s="29"/>
      <c r="P9" s="29"/>
      <c r="V9" s="14">
        <f t="shared" si="8"/>
        <v>150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20.466952544613303</v>
      </c>
      <c r="AC9" s="10">
        <f t="shared" si="4"/>
        <v>20.466952544613303</v>
      </c>
      <c r="AE9" s="12">
        <f t="shared" si="5"/>
        <v>20</v>
      </c>
      <c r="AF9" s="10">
        <f t="shared" si="6"/>
        <v>14.026952867469202</v>
      </c>
      <c r="AG9" s="10">
        <f t="shared" si="7"/>
        <v>20.466952544613303</v>
      </c>
    </row>
    <row r="10" spans="1:38" s="3" customFormat="1" ht="21" customHeight="1">
      <c r="A10" s="54">
        <v>1</v>
      </c>
      <c r="B10" s="61">
        <f>Input!C26</f>
        <v>150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39.689235782375007</v>
      </c>
      <c r="G10" s="277">
        <f>AF2</f>
        <v>7.9892357823750118</v>
      </c>
      <c r="H10" s="377"/>
      <c r="I10" s="377"/>
      <c r="J10" s="377"/>
      <c r="K10" s="263">
        <f>K8-K9</f>
        <v>-11.759999766207784</v>
      </c>
      <c r="L10" s="9">
        <f>K10+Q17</f>
        <v>-7.089999766207784</v>
      </c>
      <c r="M10" s="13">
        <f t="shared" si="1"/>
        <v>-52.26</v>
      </c>
      <c r="N10" s="62"/>
      <c r="O10" s="29"/>
      <c r="P10" s="29"/>
      <c r="V10" s="14">
        <f t="shared" si="8"/>
        <v>150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20.916684866854521</v>
      </c>
      <c r="AC10" s="10">
        <f t="shared" si="4"/>
        <v>20.916684866854521</v>
      </c>
      <c r="AE10" s="12">
        <f t="shared" si="5"/>
        <v>25</v>
      </c>
      <c r="AF10" s="10">
        <f t="shared" si="6"/>
        <v>14.47668518971042</v>
      </c>
      <c r="AG10" s="10">
        <f t="shared" si="7"/>
        <v>20.916684866854521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41.086231973088253</v>
      </c>
      <c r="G11" s="182">
        <f>AF3</f>
        <v>9.3862319730882557</v>
      </c>
      <c r="H11" s="377"/>
      <c r="I11" s="377"/>
      <c r="J11" s="377"/>
      <c r="K11" s="63">
        <f>G11-G10</f>
        <v>1.396996190713244</v>
      </c>
      <c r="L11" s="9" t="s">
        <v>18</v>
      </c>
      <c r="N11" s="62"/>
      <c r="O11" s="29"/>
      <c r="V11" s="14">
        <f t="shared" si="8"/>
        <v>150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21.284142929830853</v>
      </c>
      <c r="AC11" s="10">
        <f t="shared" si="4"/>
        <v>21.284142929830853</v>
      </c>
      <c r="AE11" s="12">
        <f t="shared" si="5"/>
        <v>30</v>
      </c>
      <c r="AF11" s="10">
        <f t="shared" si="6"/>
        <v>14.844143252686752</v>
      </c>
      <c r="AG11" s="10">
        <f t="shared" si="7"/>
        <v>21.284142929830853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41.903422358305804</v>
      </c>
      <c r="G12" s="182">
        <f t="shared" ref="G12:G74" si="15">AF4</f>
        <v>10.203422358305801</v>
      </c>
      <c r="H12" s="377"/>
      <c r="I12" s="377"/>
      <c r="J12" s="377"/>
      <c r="K12" s="63">
        <f t="shared" ref="K12:K47" si="16">G12-G11</f>
        <v>0.81719038521754506</v>
      </c>
      <c r="L12" s="9" t="s">
        <v>18</v>
      </c>
      <c r="N12" s="62"/>
      <c r="O12" s="29"/>
      <c r="V12" s="14">
        <f t="shared" si="8"/>
        <v>150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21.594824295281363</v>
      </c>
      <c r="AC12" s="10">
        <f t="shared" si="4"/>
        <v>21.594824295281363</v>
      </c>
      <c r="AE12" s="12">
        <f t="shared" si="5"/>
        <v>35</v>
      </c>
      <c r="AF12" s="10">
        <f t="shared" si="6"/>
        <v>15.154824618137262</v>
      </c>
      <c r="AG12" s="10">
        <f t="shared" si="7"/>
        <v>21.594824295281363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42.483228163801499</v>
      </c>
      <c r="G13" s="182">
        <f t="shared" si="15"/>
        <v>10.7832281638015</v>
      </c>
      <c r="H13" s="377"/>
      <c r="I13" s="377"/>
      <c r="J13" s="377"/>
      <c r="K13" s="63">
        <f t="shared" si="16"/>
        <v>0.57980580549569893</v>
      </c>
      <c r="L13" s="9" t="s">
        <v>18</v>
      </c>
      <c r="N13" s="62"/>
      <c r="O13" s="29"/>
      <c r="V13" s="14">
        <f t="shared" si="8"/>
        <v>150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21.863948735326549</v>
      </c>
      <c r="AC13" s="10">
        <f t="shared" si="4"/>
        <v>21.863948735326549</v>
      </c>
      <c r="AE13" s="12">
        <f t="shared" si="5"/>
        <v>40</v>
      </c>
      <c r="AF13" s="10">
        <f t="shared" si="6"/>
        <v>15.423949058182448</v>
      </c>
      <c r="AG13" s="10">
        <f t="shared" si="7"/>
        <v>21.863948735326549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42.932960486042717</v>
      </c>
      <c r="G14" s="182">
        <f t="shared" si="15"/>
        <v>11.232960486042714</v>
      </c>
      <c r="H14" s="377"/>
      <c r="I14" s="377"/>
      <c r="J14" s="377"/>
      <c r="K14" s="63">
        <f t="shared" si="16"/>
        <v>0.44973232224121418</v>
      </c>
      <c r="L14" s="9" t="s">
        <v>18</v>
      </c>
      <c r="N14" s="62"/>
      <c r="O14" s="29"/>
      <c r="V14" s="14">
        <f t="shared" si="8"/>
        <v>150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22.101333315048397</v>
      </c>
      <c r="AC14" s="10">
        <f t="shared" si="4"/>
        <v>22.101333315048397</v>
      </c>
      <c r="AE14" s="12">
        <f t="shared" si="5"/>
        <v>45</v>
      </c>
      <c r="AF14" s="10">
        <f t="shared" si="6"/>
        <v>15.661333637904296</v>
      </c>
      <c r="AG14" s="10">
        <f t="shared" si="7"/>
        <v>22.101333315048397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44.329956676755955</v>
      </c>
      <c r="G15" s="182">
        <f t="shared" si="15"/>
        <v>12.62995667675596</v>
      </c>
      <c r="H15" s="377"/>
      <c r="I15" s="377"/>
      <c r="J15" s="377"/>
      <c r="K15" s="63">
        <f t="shared" si="16"/>
        <v>1.3969961907132458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22.313681057567763</v>
      </c>
      <c r="AC15" s="10">
        <f t="shared" si="4"/>
        <v>22.313681057567763</v>
      </c>
      <c r="AE15" s="12">
        <f t="shared" si="5"/>
        <v>50</v>
      </c>
      <c r="AF15" s="10">
        <f t="shared" si="6"/>
        <v>15.873681380423662</v>
      </c>
      <c r="AG15" s="10">
        <f t="shared" si="7"/>
        <v>22.313681057567763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45.147147061973506</v>
      </c>
      <c r="G16" s="182">
        <f t="shared" si="15"/>
        <v>13.447147061973507</v>
      </c>
      <c r="H16" s="377"/>
      <c r="I16" s="377"/>
      <c r="J16" s="377"/>
      <c r="K16" s="63">
        <f t="shared" si="16"/>
        <v>0.81719038521754683</v>
      </c>
      <c r="L16" s="65"/>
      <c r="N16" s="66"/>
      <c r="O16" s="15"/>
      <c r="Q16" s="13"/>
      <c r="V16" s="14">
        <f t="shared" si="8"/>
        <v>150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22.505772956456074</v>
      </c>
      <c r="AC16" s="10">
        <f t="shared" si="4"/>
        <v>22.505772956456074</v>
      </c>
      <c r="AE16" s="12">
        <f t="shared" si="5"/>
        <v>55</v>
      </c>
      <c r="AF16" s="10">
        <f t="shared" si="6"/>
        <v>16.034363279311972</v>
      </c>
      <c r="AG16" s="10">
        <f t="shared" si="7"/>
        <v>22.505772956456074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45.726952867469201</v>
      </c>
      <c r="G17" s="182">
        <f t="shared" si="15"/>
        <v>14.026952867469202</v>
      </c>
      <c r="H17" s="377"/>
      <c r="I17" s="377"/>
      <c r="J17" s="377"/>
      <c r="K17" s="63">
        <f t="shared" si="16"/>
        <v>0.57980580549569538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3.141E-2</v>
      </c>
      <c r="P17" s="3">
        <f>INT(N17/O17*100)/100</f>
        <v>3.31</v>
      </c>
      <c r="Q17" s="13">
        <f>INT((G10-P17)*100)/100</f>
        <v>4.67</v>
      </c>
      <c r="V17" s="14">
        <f t="shared" si="8"/>
        <v>150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22.681139120544092</v>
      </c>
      <c r="AC17" s="10">
        <f t="shared" si="4"/>
        <v>22.681139120544092</v>
      </c>
      <c r="AE17" s="12">
        <f t="shared" si="5"/>
        <v>60</v>
      </c>
      <c r="AF17" s="10">
        <f t="shared" ref="AF17:AF48" si="17">AC17-$P$3</f>
        <v>16.241139443399991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46.176685189710419</v>
      </c>
      <c r="G18" s="182">
        <f t="shared" si="15"/>
        <v>14.47668518971042</v>
      </c>
      <c r="H18" s="377"/>
      <c r="I18" s="377"/>
      <c r="J18" s="377"/>
      <c r="K18" s="63">
        <f t="shared" si="16"/>
        <v>0.44973232224121773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3.141E-2</v>
      </c>
      <c r="P18" s="3">
        <f>INT(N18/O18*100)/100</f>
        <v>6.62</v>
      </c>
      <c r="Q18" s="13">
        <f t="shared" ref="Q18:Q27" si="20">INT((G11-P18)*100)/100</f>
        <v>2.76</v>
      </c>
      <c r="V18" s="14">
        <f t="shared" si="8"/>
        <v>150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23.130871442785313</v>
      </c>
      <c r="AC18" s="10">
        <f t="shared" si="4"/>
        <v>23.130871442785313</v>
      </c>
      <c r="AE18" s="12">
        <f t="shared" si="5"/>
        <v>75</v>
      </c>
      <c r="AF18" s="10">
        <f t="shared" si="17"/>
        <v>16.690871765641212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46.544143252686752</v>
      </c>
      <c r="G19" s="182">
        <f t="shared" si="15"/>
        <v>14.844143252686752</v>
      </c>
      <c r="H19" s="377"/>
      <c r="I19" s="377"/>
      <c r="J19" s="377"/>
      <c r="K19" s="63">
        <f t="shared" si="16"/>
        <v>0.36745806297633266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3.141E-2</v>
      </c>
      <c r="P19" s="3">
        <f>INT(N19/O19*100)/100</f>
        <v>9.94</v>
      </c>
      <c r="Q19" s="13">
        <f t="shared" si="20"/>
        <v>0.26</v>
      </c>
      <c r="V19" s="14">
        <f t="shared" si="8"/>
        <v>150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23.498329505761642</v>
      </c>
      <c r="AC19" s="10">
        <f t="shared" si="4"/>
        <v>23.498329505761642</v>
      </c>
      <c r="AE19" s="12">
        <f t="shared" si="5"/>
        <v>90</v>
      </c>
      <c r="AF19" s="10">
        <f t="shared" si="17"/>
        <v>17.058329828617541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46.854824618137258</v>
      </c>
      <c r="G20" s="182">
        <f t="shared" si="15"/>
        <v>15.154824618137262</v>
      </c>
      <c r="H20" s="377"/>
      <c r="I20" s="377"/>
      <c r="J20" s="377"/>
      <c r="K20" s="63">
        <f t="shared" si="16"/>
        <v>0.31068136545050962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3.141E-2</v>
      </c>
      <c r="P20" s="3">
        <f>INT(N20/O20*100)/100</f>
        <v>13.25</v>
      </c>
      <c r="Q20" s="13">
        <f t="shared" si="20"/>
        <v>-2.4700000000000002</v>
      </c>
      <c r="V20" s="14">
        <f t="shared" si="8"/>
        <v>150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23.809010871212156</v>
      </c>
      <c r="AC20" s="10">
        <f t="shared" si="4"/>
        <v>23.809010871212156</v>
      </c>
      <c r="AE20" s="12">
        <f t="shared" si="5"/>
        <v>105</v>
      </c>
      <c r="AF20" s="10">
        <f t="shared" si="17"/>
        <v>17.369011194068054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47.123949058182447</v>
      </c>
      <c r="G21" s="182">
        <f t="shared" si="15"/>
        <v>15.423949058182448</v>
      </c>
      <c r="H21" s="377"/>
      <c r="I21" s="377"/>
      <c r="J21" s="377"/>
      <c r="K21" s="63">
        <f t="shared" si="16"/>
        <v>0.26912444004518576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3.141E-2</v>
      </c>
      <c r="P21" s="3">
        <f>INT(N21/O21*100)/100</f>
        <v>16.57</v>
      </c>
      <c r="Q21" s="13">
        <f t="shared" si="20"/>
        <v>-5.34</v>
      </c>
      <c r="V21" s="14">
        <f t="shared" si="8"/>
        <v>150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24.078135311257338</v>
      </c>
      <c r="AC21" s="10">
        <f t="shared" si="4"/>
        <v>24.078135311257338</v>
      </c>
      <c r="AE21" s="12">
        <f t="shared" si="5"/>
        <v>120</v>
      </c>
      <c r="AF21" s="10">
        <f t="shared" si="17"/>
        <v>17.638135634113237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47.361333637904295</v>
      </c>
      <c r="G22" s="182">
        <f t="shared" si="15"/>
        <v>15.661333637904296</v>
      </c>
      <c r="H22" s="377"/>
      <c r="I22" s="377"/>
      <c r="J22" s="377"/>
      <c r="K22" s="63">
        <f t="shared" si="16"/>
        <v>0.2373845797218479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3.141E-2</v>
      </c>
      <c r="P22" s="3">
        <f t="shared" ref="P22:P27" si="23">INT(N22/O22*100)/100</f>
        <v>33.14</v>
      </c>
      <c r="Q22" s="13">
        <f t="shared" si="20"/>
        <v>-20.52</v>
      </c>
      <c r="V22" s="14">
        <f t="shared" si="8"/>
        <v>150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24.388816676707851</v>
      </c>
      <c r="AC22" s="10">
        <f t="shared" si="4"/>
        <v>24.388816676707851</v>
      </c>
      <c r="AE22" s="12">
        <f t="shared" si="5"/>
        <v>140</v>
      </c>
      <c r="AF22" s="10">
        <f t="shared" si="17"/>
        <v>17.94881699956375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47.573681380423665</v>
      </c>
      <c r="G23" s="182">
        <f t="shared" si="15"/>
        <v>15.873681380423662</v>
      </c>
      <c r="H23" s="377"/>
      <c r="I23" s="377"/>
      <c r="J23" s="377"/>
      <c r="K23" s="63">
        <f t="shared" si="16"/>
        <v>0.21234774251936628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3.141E-2</v>
      </c>
      <c r="P23" s="3">
        <f t="shared" si="23"/>
        <v>49.71</v>
      </c>
      <c r="Q23" s="13">
        <f t="shared" si="20"/>
        <v>-36.270000000000003</v>
      </c>
      <c r="V23" s="14">
        <f t="shared" si="8"/>
        <v>150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24.657941116753037</v>
      </c>
      <c r="AC23" s="10">
        <f t="shared" si="4"/>
        <v>24.657941116753037</v>
      </c>
      <c r="AE23" s="12">
        <f t="shared" si="5"/>
        <v>160</v>
      </c>
      <c r="AF23" s="10">
        <f t="shared" si="17"/>
        <v>18.217941439608936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47.734363279311971</v>
      </c>
      <c r="G24" s="182">
        <f t="shared" si="15"/>
        <v>16.034363279311972</v>
      </c>
      <c r="H24" s="377"/>
      <c r="I24" s="377"/>
      <c r="J24" s="377"/>
      <c r="K24" s="63">
        <f t="shared" si="16"/>
        <v>0.16068189888830986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3.141E-2</v>
      </c>
      <c r="P24" s="3">
        <f t="shared" si="23"/>
        <v>66.28</v>
      </c>
      <c r="Q24" s="13">
        <f t="shared" si="20"/>
        <v>-52.26</v>
      </c>
      <c r="V24" s="14">
        <f t="shared" si="8"/>
        <v>150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24.895325696474885</v>
      </c>
      <c r="AC24" s="10">
        <f t="shared" si="4"/>
        <v>24.895325696474885</v>
      </c>
      <c r="AE24" s="12">
        <f t="shared" si="5"/>
        <v>180</v>
      </c>
      <c r="AF24" s="10">
        <f t="shared" si="17"/>
        <v>18.455326019330784</v>
      </c>
    </row>
    <row r="25" spans="1:32" s="3" customFormat="1" ht="21" customHeight="1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47.94113944339999</v>
      </c>
      <c r="G25" s="182">
        <f t="shared" si="15"/>
        <v>16.241139443399991</v>
      </c>
      <c r="H25" s="377"/>
      <c r="I25" s="377"/>
      <c r="J25" s="377"/>
      <c r="K25" s="63">
        <f t="shared" si="16"/>
        <v>0.20677616408801924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3.141E-2</v>
      </c>
      <c r="P25" s="3">
        <f t="shared" si="23"/>
        <v>82.85</v>
      </c>
      <c r="Q25" s="13">
        <f t="shared" si="20"/>
        <v>-68.38</v>
      </c>
      <c r="V25" s="14">
        <f t="shared" si="8"/>
        <v>150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25.47513150197058</v>
      </c>
      <c r="AC25" s="10">
        <f t="shared" si="4"/>
        <v>25.47513150197058</v>
      </c>
      <c r="AE25" s="12">
        <f t="shared" si="5"/>
        <v>240</v>
      </c>
      <c r="AF25" s="10">
        <f t="shared" si="17"/>
        <v>19.035131824826479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48.390871765641208</v>
      </c>
      <c r="G26" s="182">
        <f t="shared" si="15"/>
        <v>16.690871765641212</v>
      </c>
      <c r="H26" s="377"/>
      <c r="I26" s="377"/>
      <c r="J26" s="377"/>
      <c r="K26" s="63">
        <f t="shared" si="16"/>
        <v>0.44973232224122128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3.141E-2</v>
      </c>
      <c r="P26" s="3">
        <f t="shared" si="23"/>
        <v>99.42</v>
      </c>
      <c r="Q26" s="13">
        <f t="shared" si="20"/>
        <v>-84.58</v>
      </c>
      <c r="V26" s="14">
        <f t="shared" si="8"/>
        <v>150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25.924863824211801</v>
      </c>
      <c r="AC26" s="10">
        <f t="shared" si="4"/>
        <v>25.924863824211801</v>
      </c>
      <c r="AE26" s="12">
        <f t="shared" si="5"/>
        <v>300</v>
      </c>
      <c r="AF26" s="10">
        <f t="shared" si="17"/>
        <v>19.4848641470677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48.758329828617541</v>
      </c>
      <c r="G27" s="182">
        <f t="shared" si="15"/>
        <v>17.058329828617541</v>
      </c>
      <c r="H27" s="377"/>
      <c r="I27" s="377"/>
      <c r="J27" s="377"/>
      <c r="K27" s="63">
        <f t="shared" si="16"/>
        <v>0.3674580629763291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3.141E-2</v>
      </c>
      <c r="P27" s="3">
        <f t="shared" si="23"/>
        <v>115.99</v>
      </c>
      <c r="Q27" s="13">
        <f t="shared" si="20"/>
        <v>-100.84</v>
      </c>
      <c r="V27" s="14">
        <f t="shared" si="8"/>
        <v>150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26.29232188718813</v>
      </c>
      <c r="AC27" s="10">
        <f t="shared" si="4"/>
        <v>26.29232188718813</v>
      </c>
      <c r="AE27" s="12">
        <f t="shared" si="5"/>
        <v>360</v>
      </c>
      <c r="AF27" s="10">
        <f t="shared" si="17"/>
        <v>19.852322210044029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49.069011194068054</v>
      </c>
      <c r="G28" s="182">
        <f t="shared" si="15"/>
        <v>17.369011194068054</v>
      </c>
      <c r="H28" s="377"/>
      <c r="I28" s="377"/>
      <c r="J28" s="377"/>
      <c r="K28" s="63">
        <f t="shared" si="16"/>
        <v>0.31068136545051317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3.141E-2</v>
      </c>
      <c r="P28" s="3">
        <f>INT(N28/O28*100)/100</f>
        <v>132.56</v>
      </c>
      <c r="Q28" s="13">
        <f>INT((G21-P28)*100)/100</f>
        <v>-117.14</v>
      </c>
      <c r="V28" s="14">
        <f t="shared" si="8"/>
        <v>150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26.603003252638644</v>
      </c>
      <c r="AC28" s="10">
        <f t="shared" si="4"/>
        <v>26.603003252638644</v>
      </c>
      <c r="AE28" s="12">
        <f t="shared" si="5"/>
        <v>420</v>
      </c>
      <c r="AF28" s="10">
        <f t="shared" si="17"/>
        <v>20.163003575494542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49.338135634113236</v>
      </c>
      <c r="G29" s="182">
        <f t="shared" si="15"/>
        <v>17.638135634113237</v>
      </c>
      <c r="H29" s="377"/>
      <c r="I29" s="377"/>
      <c r="J29" s="377"/>
      <c r="K29" s="63">
        <f t="shared" si="16"/>
        <v>0.26912444004518221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3.141E-2</v>
      </c>
      <c r="P29" s="3">
        <f>INT(N29/O29*100)/100</f>
        <v>149.13999999999999</v>
      </c>
      <c r="Q29" s="13">
        <f>INT((G22-P29)*100)/100</f>
        <v>-133.47999999999999</v>
      </c>
      <c r="V29" s="14">
        <f t="shared" si="8"/>
        <v>150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26.872127692683826</v>
      </c>
      <c r="AC29" s="10">
        <f t="shared" si="4"/>
        <v>26.872127692683826</v>
      </c>
      <c r="AE29" s="12">
        <f t="shared" si="5"/>
        <v>480</v>
      </c>
      <c r="AF29" s="10">
        <f t="shared" si="17"/>
        <v>20.432128015539725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49.648816999563749</v>
      </c>
      <c r="G30" s="182">
        <f t="shared" si="15"/>
        <v>17.94881699956375</v>
      </c>
      <c r="H30" s="377"/>
      <c r="I30" s="377"/>
      <c r="J30" s="377"/>
      <c r="K30" s="63">
        <f t="shared" si="16"/>
        <v>0.31068136545051317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3.141E-2</v>
      </c>
      <c r="P30" s="3">
        <f>INT(N30/O30*100)/100</f>
        <v>165.71</v>
      </c>
      <c r="Q30" s="13">
        <f>INT((G23-P30)*100)/100</f>
        <v>-149.84</v>
      </c>
      <c r="V30" s="14">
        <f t="shared" si="8"/>
        <v>150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27.109512272405677</v>
      </c>
      <c r="AC30" s="10">
        <f t="shared" si="4"/>
        <v>27.109512272405677</v>
      </c>
      <c r="AE30" s="12">
        <f t="shared" si="5"/>
        <v>540</v>
      </c>
      <c r="AF30" s="10">
        <f t="shared" si="17"/>
        <v>20.669512595261576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49.917941439608938</v>
      </c>
      <c r="G31" s="182">
        <f t="shared" si="15"/>
        <v>18.217941439608936</v>
      </c>
      <c r="H31" s="377"/>
      <c r="I31" s="377"/>
      <c r="J31" s="377"/>
      <c r="K31" s="63">
        <f t="shared" si="16"/>
        <v>0.26912444004518576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3.141E-2</v>
      </c>
      <c r="P31" s="3">
        <f>INT(N31/O31*100)/100</f>
        <v>182.28</v>
      </c>
      <c r="Q31" s="13">
        <f>INT((G24-P31)*100)/100</f>
        <v>-166.25</v>
      </c>
      <c r="V31" s="14">
        <f t="shared" si="8"/>
        <v>150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27.321860014925043</v>
      </c>
      <c r="AC31" s="10">
        <f t="shared" si="4"/>
        <v>27.321860014925043</v>
      </c>
      <c r="AE31" s="12">
        <f t="shared" si="5"/>
        <v>600</v>
      </c>
      <c r="AF31" s="10">
        <f t="shared" si="17"/>
        <v>20.881860337780942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50.155326019330786</v>
      </c>
      <c r="G32" s="182">
        <f t="shared" si="15"/>
        <v>18.455326019330784</v>
      </c>
      <c r="H32" s="377"/>
      <c r="I32" s="377"/>
      <c r="J32" s="377"/>
      <c r="K32" s="63">
        <f t="shared" si="16"/>
        <v>0.2373845797218479</v>
      </c>
      <c r="L32" s="65" t="s">
        <v>18</v>
      </c>
      <c r="O32" s="67"/>
      <c r="V32" s="14">
        <f t="shared" si="8"/>
        <v>150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27.513951913813351</v>
      </c>
      <c r="AC32" s="10">
        <f t="shared" si="4"/>
        <v>27.513951913813351</v>
      </c>
      <c r="AE32" s="12">
        <f t="shared" si="5"/>
        <v>660</v>
      </c>
      <c r="AF32" s="10">
        <f t="shared" si="17"/>
        <v>21.07395223666925</v>
      </c>
    </row>
    <row r="33" spans="1:32" s="3" customFormat="1" ht="21" customHeight="1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50.735131824826482</v>
      </c>
      <c r="G33" s="182">
        <f t="shared" si="15"/>
        <v>19.035131824826479</v>
      </c>
      <c r="H33" s="377"/>
      <c r="I33" s="377"/>
      <c r="J33" s="377"/>
      <c r="K33" s="63">
        <f t="shared" si="16"/>
        <v>0.57980580549569538</v>
      </c>
      <c r="L33" s="9" t="s">
        <v>18</v>
      </c>
      <c r="O33" s="67"/>
      <c r="V33" s="14">
        <f t="shared" si="8"/>
        <v>150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27.689318077901373</v>
      </c>
      <c r="AC33" s="10">
        <f t="shared" si="4"/>
        <v>27.689318077901373</v>
      </c>
      <c r="AE33" s="12">
        <f t="shared" si="5"/>
        <v>720</v>
      </c>
      <c r="AF33" s="10">
        <f t="shared" si="17"/>
        <v>21.249318400757272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51.184864147067699</v>
      </c>
      <c r="G34" s="182">
        <f t="shared" si="15"/>
        <v>19.4848641470677</v>
      </c>
      <c r="H34" s="377"/>
      <c r="I34" s="377"/>
      <c r="J34" s="377"/>
      <c r="K34" s="63">
        <f t="shared" si="16"/>
        <v>0.44973232224122128</v>
      </c>
      <c r="L34" s="9" t="s">
        <v>18</v>
      </c>
      <c r="P34" s="67"/>
      <c r="V34" s="14">
        <f t="shared" si="8"/>
        <v>150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27.850639310751188</v>
      </c>
      <c r="AC34" s="10">
        <f t="shared" si="4"/>
        <v>27.850639310751188</v>
      </c>
      <c r="AE34" s="12">
        <f t="shared" si="5"/>
        <v>780</v>
      </c>
      <c r="AF34" s="10">
        <f t="shared" si="17"/>
        <v>21.410639633607087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51.552322210044025</v>
      </c>
      <c r="G35" s="182">
        <f t="shared" si="15"/>
        <v>19.852322210044029</v>
      </c>
      <c r="H35" s="377"/>
      <c r="I35" s="377"/>
      <c r="J35" s="377"/>
      <c r="K35" s="63">
        <f t="shared" si="16"/>
        <v>0.3674580629763291</v>
      </c>
      <c r="L35" s="9" t="s">
        <v>18</v>
      </c>
      <c r="O35" s="67"/>
      <c r="V35" s="14">
        <f t="shared" si="8"/>
        <v>150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27.999999443351886</v>
      </c>
      <c r="AC35" s="10">
        <f t="shared" si="4"/>
        <v>27.999999443351886</v>
      </c>
      <c r="AE35" s="12">
        <f t="shared" si="5"/>
        <v>840</v>
      </c>
      <c r="AF35" s="10">
        <f t="shared" si="17"/>
        <v>21.559999766207785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51.863003575494545</v>
      </c>
      <c r="G36" s="182">
        <f t="shared" si="15"/>
        <v>20.163003575494542</v>
      </c>
      <c r="H36" s="377"/>
      <c r="I36" s="377"/>
      <c r="J36" s="377"/>
      <c r="K36" s="63">
        <f t="shared" si="16"/>
        <v>0.31068136545051317</v>
      </c>
      <c r="L36" s="9" t="s">
        <v>18</v>
      </c>
      <c r="V36" s="14">
        <f t="shared" si="8"/>
        <v>150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27.999999443351886</v>
      </c>
      <c r="AC36" s="10">
        <f t="shared" ref="AC36:AC38" si="27">AC35</f>
        <v>27.999999443351886</v>
      </c>
      <c r="AE36" s="12">
        <f t="shared" si="5"/>
        <v>900</v>
      </c>
      <c r="AF36" s="10">
        <f t="shared" si="17"/>
        <v>21.559999766207785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52.13212801553972</v>
      </c>
      <c r="G37" s="182">
        <f t="shared" si="15"/>
        <v>20.432128015539725</v>
      </c>
      <c r="H37" s="377"/>
      <c r="I37" s="377"/>
      <c r="J37" s="377"/>
      <c r="K37" s="63">
        <f t="shared" si="16"/>
        <v>0.26912444004518221</v>
      </c>
      <c r="L37" s="9" t="s">
        <v>18</v>
      </c>
      <c r="V37" s="14">
        <f t="shared" si="8"/>
        <v>150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27.999999443351886</v>
      </c>
      <c r="AC37" s="10">
        <f t="shared" si="27"/>
        <v>27.999999443351886</v>
      </c>
      <c r="AD37" s="3">
        <v>37</v>
      </c>
      <c r="AE37" s="12">
        <f t="shared" si="5"/>
        <v>960</v>
      </c>
      <c r="AF37" s="10">
        <f t="shared" si="17"/>
        <v>21.559999766207785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52.369512595261575</v>
      </c>
      <c r="G38" s="182">
        <f t="shared" si="15"/>
        <v>20.669512595261576</v>
      </c>
      <c r="H38" s="377"/>
      <c r="I38" s="377"/>
      <c r="J38" s="377"/>
      <c r="K38" s="63">
        <f t="shared" si="16"/>
        <v>0.23738457972185145</v>
      </c>
      <c r="L38" s="9" t="s">
        <v>18</v>
      </c>
      <c r="V38" s="14">
        <f t="shared" si="8"/>
        <v>150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27.999999443351886</v>
      </c>
      <c r="AC38" s="10">
        <f t="shared" si="27"/>
        <v>27.999999443351886</v>
      </c>
      <c r="AD38" s="29" t="s">
        <v>28</v>
      </c>
      <c r="AE38" s="12">
        <f t="shared" si="5"/>
        <v>1020</v>
      </c>
      <c r="AF38" s="10">
        <f t="shared" si="17"/>
        <v>21.559999766207785</v>
      </c>
    </row>
    <row r="39" spans="1:32" s="3" customFormat="1" ht="21" customHeight="1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52.581860337780938</v>
      </c>
      <c r="G39" s="182">
        <f t="shared" si="15"/>
        <v>20.881860337780942</v>
      </c>
      <c r="H39" s="377"/>
      <c r="I39" s="377"/>
      <c r="J39" s="377"/>
      <c r="K39" s="63">
        <f t="shared" si="16"/>
        <v>0.21234774251936628</v>
      </c>
      <c r="L39" s="9" t="s">
        <v>18</v>
      </c>
      <c r="V39" s="14">
        <f t="shared" si="8"/>
        <v>150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27.999999443351886</v>
      </c>
      <c r="AC39" s="10">
        <f t="shared" ref="AC39:AC41" si="28">AC38</f>
        <v>27.999999443351886</v>
      </c>
      <c r="AD39" s="353">
        <v>39</v>
      </c>
      <c r="AE39" s="12">
        <f t="shared" si="5"/>
        <v>1080</v>
      </c>
      <c r="AF39" s="10">
        <f t="shared" si="17"/>
        <v>21.559999766207785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52.773952236669246</v>
      </c>
      <c r="G40" s="182">
        <f t="shared" si="15"/>
        <v>21.07395223666925</v>
      </c>
      <c r="H40" s="377"/>
      <c r="I40" s="377"/>
      <c r="J40" s="377"/>
      <c r="K40" s="63">
        <f t="shared" si="16"/>
        <v>0.19209189888830736</v>
      </c>
      <c r="L40" s="9" t="s">
        <v>18</v>
      </c>
      <c r="V40" s="14">
        <f t="shared" si="8"/>
        <v>150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27.999999443351886</v>
      </c>
      <c r="AC40" s="10">
        <f t="shared" si="28"/>
        <v>27.999999443351886</v>
      </c>
      <c r="AD40" s="353">
        <v>40</v>
      </c>
      <c r="AE40" s="12">
        <f t="shared" si="5"/>
        <v>1140</v>
      </c>
      <c r="AF40" s="10">
        <f t="shared" si="17"/>
        <v>21.559999766207785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52.949318400757271</v>
      </c>
      <c r="G41" s="182">
        <f t="shared" si="15"/>
        <v>21.249318400757272</v>
      </c>
      <c r="H41" s="377"/>
      <c r="I41" s="377"/>
      <c r="J41" s="377"/>
      <c r="K41" s="63">
        <f t="shared" si="16"/>
        <v>0.17536616408802175</v>
      </c>
      <c r="L41" s="9" t="s">
        <v>18</v>
      </c>
      <c r="V41" s="350">
        <f t="shared" si="8"/>
        <v>150</v>
      </c>
      <c r="W41" s="349">
        <f t="shared" si="9"/>
        <v>4.1154367189270733</v>
      </c>
      <c r="X41" s="349">
        <f t="shared" si="10"/>
        <v>0.1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27.999999443351886</v>
      </c>
      <c r="AC41" s="10">
        <f t="shared" si="28"/>
        <v>27.999999443351886</v>
      </c>
      <c r="AD41" s="354">
        <v>41</v>
      </c>
      <c r="AE41" s="12">
        <f t="shared" si="5"/>
        <v>1200</v>
      </c>
      <c r="AF41" s="10">
        <f t="shared" si="17"/>
        <v>21.559999766207785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53.110639633607086</v>
      </c>
      <c r="G42" s="182">
        <f t="shared" si="15"/>
        <v>21.410639633607087</v>
      </c>
      <c r="H42" s="377"/>
      <c r="I42" s="377"/>
      <c r="J42" s="377"/>
      <c r="K42" s="63">
        <f t="shared" si="16"/>
        <v>0.16132123284981503</v>
      </c>
      <c r="L42" s="9" t="s">
        <v>18</v>
      </c>
      <c r="V42" s="14">
        <f t="shared" si="8"/>
        <v>150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27.999999443351886</v>
      </c>
      <c r="AC42" s="10">
        <f t="shared" ref="AC42:AC46" si="30">AC41</f>
        <v>27.999999443351886</v>
      </c>
      <c r="AD42" s="353">
        <v>42</v>
      </c>
      <c r="AE42" s="12">
        <f t="shared" si="5"/>
        <v>1260</v>
      </c>
      <c r="AF42" s="10">
        <f t="shared" si="17"/>
        <v>21.559999766207785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53.259999766207784</v>
      </c>
      <c r="G43" s="182">
        <f t="shared" si="15"/>
        <v>21.559999766207785</v>
      </c>
      <c r="H43" s="377"/>
      <c r="I43" s="377"/>
      <c r="J43" s="377"/>
      <c r="K43" s="63">
        <f t="shared" si="16"/>
        <v>0.14936013260069814</v>
      </c>
      <c r="L43" s="9" t="s">
        <v>18</v>
      </c>
      <c r="V43" s="350">
        <f t="shared" si="8"/>
        <v>150</v>
      </c>
      <c r="W43" s="349">
        <f t="shared" si="9"/>
        <v>4.1154367189270733</v>
      </c>
      <c r="X43" s="349">
        <f t="shared" si="10"/>
        <v>0.1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27.999999443351886</v>
      </c>
      <c r="AC43" s="10">
        <f t="shared" si="30"/>
        <v>27.999999443351886</v>
      </c>
      <c r="AD43" s="354">
        <v>43</v>
      </c>
      <c r="AE43" s="12">
        <f t="shared" si="5"/>
        <v>1320</v>
      </c>
      <c r="AF43" s="10">
        <f t="shared" si="17"/>
        <v>21.559999766207785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53.259999766207784</v>
      </c>
      <c r="G44" s="182">
        <f t="shared" si="15"/>
        <v>21.559999766207785</v>
      </c>
      <c r="H44" s="377"/>
      <c r="I44" s="377"/>
      <c r="J44" s="377"/>
      <c r="K44" s="63">
        <f t="shared" si="16"/>
        <v>0</v>
      </c>
      <c r="L44" s="9" t="s">
        <v>18</v>
      </c>
      <c r="V44" s="14">
        <f t="shared" si="8"/>
        <v>150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27.999999443351886</v>
      </c>
      <c r="AC44" s="10">
        <f t="shared" si="30"/>
        <v>27.999999443351886</v>
      </c>
      <c r="AD44" s="353">
        <v>44</v>
      </c>
      <c r="AE44" s="12">
        <f t="shared" si="5"/>
        <v>1380</v>
      </c>
      <c r="AF44" s="10">
        <f t="shared" si="17"/>
        <v>21.559999766207785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53.259999766207784</v>
      </c>
      <c r="G45" s="182">
        <f t="shared" si="15"/>
        <v>21.559999766207785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4.1154367189270733</v>
      </c>
      <c r="X45" s="349">
        <f t="shared" si="10"/>
        <v>0.1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27.999999443351886</v>
      </c>
      <c r="AC45" s="10">
        <f t="shared" si="30"/>
        <v>27.999999443351886</v>
      </c>
      <c r="AD45" s="354">
        <v>45</v>
      </c>
      <c r="AE45" s="12">
        <f t="shared" si="5"/>
        <v>1440</v>
      </c>
      <c r="AF45" s="10">
        <f t="shared" si="17"/>
        <v>21.559999766207785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53.259999766207784</v>
      </c>
      <c r="G46" s="182">
        <f t="shared" si="15"/>
        <v>21.559999766207785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27.999999443351886</v>
      </c>
      <c r="AC46" s="10">
        <f t="shared" si="30"/>
        <v>27.999999443351886</v>
      </c>
      <c r="AD46" s="353">
        <v>46</v>
      </c>
      <c r="AE46" s="316">
        <f t="shared" si="5"/>
        <v>1500</v>
      </c>
      <c r="AF46" s="318">
        <f t="shared" si="17"/>
        <v>21.559999766207785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53.259999766207784</v>
      </c>
      <c r="G47" s="182">
        <f t="shared" si="15"/>
        <v>21.559999766207785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27.999999443351886</v>
      </c>
      <c r="AC47" s="10">
        <f t="shared" ref="AC47" si="33">AC46</f>
        <v>27.999999443351886</v>
      </c>
      <c r="AE47" s="12">
        <f t="shared" si="5"/>
        <v>1560</v>
      </c>
      <c r="AF47" s="10">
        <f t="shared" si="17"/>
        <v>21.559999766207785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53.259999766207784</v>
      </c>
      <c r="G48" s="182">
        <f t="shared" si="15"/>
        <v>21.559999766207785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27.999999443351886</v>
      </c>
      <c r="AC48" s="10">
        <f t="shared" ref="AC48:AC52" si="34">AC47</f>
        <v>27.999999443351886</v>
      </c>
      <c r="AE48" s="12">
        <f t="shared" si="5"/>
        <v>1620</v>
      </c>
      <c r="AF48" s="10">
        <f t="shared" si="17"/>
        <v>21.559999766207785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53.259999766207784</v>
      </c>
      <c r="G49" s="182">
        <f t="shared" si="15"/>
        <v>21.559999766207785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27.999999443351886</v>
      </c>
      <c r="AC49" s="10">
        <f t="shared" si="34"/>
        <v>27.999999443351886</v>
      </c>
      <c r="AE49" s="12">
        <f t="shared" si="5"/>
        <v>1680</v>
      </c>
      <c r="AF49" s="10">
        <f t="shared" ref="AF49:AF69" si="35">AC49-$P$3</f>
        <v>21.559999766207785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53.259999766207784</v>
      </c>
      <c r="G50" s="182">
        <f t="shared" si="15"/>
        <v>21.559999766207785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27.999999443351886</v>
      </c>
      <c r="AC50" s="10">
        <f t="shared" si="34"/>
        <v>27.999999443351886</v>
      </c>
      <c r="AE50" s="12">
        <f t="shared" si="5"/>
        <v>1740</v>
      </c>
      <c r="AF50" s="10">
        <f t="shared" si="35"/>
        <v>21.559999766207785</v>
      </c>
    </row>
    <row r="51" spans="1:32" s="3" customFormat="1" ht="21" customHeight="1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53.259999766207784</v>
      </c>
      <c r="G51" s="182">
        <f t="shared" si="15"/>
        <v>21.559999766207785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27.999999443351886</v>
      </c>
      <c r="AC51" s="10">
        <f t="shared" si="34"/>
        <v>27.999999443351886</v>
      </c>
      <c r="AE51" s="12">
        <f t="shared" si="5"/>
        <v>1800</v>
      </c>
      <c r="AF51" s="10">
        <f t="shared" si="35"/>
        <v>21.559999766207785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53.259999766207784</v>
      </c>
      <c r="G52" s="182">
        <f t="shared" si="15"/>
        <v>21.559999766207785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27.999999443351886</v>
      </c>
      <c r="AC52" s="10">
        <f t="shared" si="34"/>
        <v>27.999999443351886</v>
      </c>
      <c r="AE52" s="12">
        <f t="shared" si="5"/>
        <v>1860</v>
      </c>
      <c r="AF52" s="10">
        <f t="shared" si="35"/>
        <v>21.559999766207785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53.259999766207784</v>
      </c>
      <c r="G53" s="182">
        <f t="shared" si="15"/>
        <v>21.559999766207785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27.999999443351886</v>
      </c>
      <c r="AC53" s="10">
        <f t="shared" ref="AC53:AC69" si="36">AC52</f>
        <v>27.999999443351886</v>
      </c>
      <c r="AE53" s="12">
        <f t="shared" si="5"/>
        <v>1920</v>
      </c>
      <c r="AF53" s="10">
        <f t="shared" si="35"/>
        <v>21.559999766207785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53.259999766207784</v>
      </c>
      <c r="G54" s="182">
        <f t="shared" si="15"/>
        <v>21.559999766207785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27.999999443351886</v>
      </c>
      <c r="AC54" s="10">
        <f t="shared" si="36"/>
        <v>27.999999443351886</v>
      </c>
      <c r="AE54" s="12">
        <f t="shared" si="5"/>
        <v>1980</v>
      </c>
      <c r="AF54" s="10">
        <f t="shared" si="35"/>
        <v>21.559999766207785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53.259999766207784</v>
      </c>
      <c r="G55" s="182">
        <f t="shared" si="15"/>
        <v>21.559999766207785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27.999999443351886</v>
      </c>
      <c r="AC55" s="10">
        <f t="shared" si="36"/>
        <v>27.999999443351886</v>
      </c>
      <c r="AE55" s="12">
        <f t="shared" si="5"/>
        <v>2040</v>
      </c>
      <c r="AF55" s="10">
        <f t="shared" si="35"/>
        <v>21.559999766207785</v>
      </c>
    </row>
    <row r="56" spans="1:32" s="3" customFormat="1" ht="21.6" customHeight="1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53.259999766207784</v>
      </c>
      <c r="G56" s="182">
        <f t="shared" si="15"/>
        <v>21.559999766207785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27.999999443351886</v>
      </c>
      <c r="AC56" s="10">
        <f t="shared" si="36"/>
        <v>27.999999443351886</v>
      </c>
      <c r="AE56" s="12">
        <f t="shared" si="5"/>
        <v>2100</v>
      </c>
      <c r="AF56" s="10">
        <f t="shared" si="35"/>
        <v>21.559999766207785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53.259999766207784</v>
      </c>
      <c r="G57" s="182">
        <f t="shared" si="15"/>
        <v>21.559999766207785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27.999999443351886</v>
      </c>
      <c r="AC57" s="10">
        <f t="shared" si="36"/>
        <v>27.999999443351886</v>
      </c>
      <c r="AE57" s="12">
        <f t="shared" si="5"/>
        <v>2160</v>
      </c>
      <c r="AF57" s="10">
        <f t="shared" si="35"/>
        <v>21.559999766207785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53.259999766207784</v>
      </c>
      <c r="G58" s="182">
        <f t="shared" si="15"/>
        <v>21.559999766207785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27.999999443351886</v>
      </c>
      <c r="AC58" s="10">
        <f t="shared" si="36"/>
        <v>27.999999443351886</v>
      </c>
      <c r="AE58" s="12">
        <f t="shared" si="5"/>
        <v>2220</v>
      </c>
      <c r="AF58" s="10">
        <f t="shared" si="35"/>
        <v>21.559999766207785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53.259999766207784</v>
      </c>
      <c r="G59" s="182">
        <f t="shared" si="15"/>
        <v>21.559999766207785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27.999999443351886</v>
      </c>
      <c r="AC59" s="10">
        <f t="shared" si="36"/>
        <v>27.999999443351886</v>
      </c>
      <c r="AE59" s="12">
        <f t="shared" si="5"/>
        <v>2280</v>
      </c>
      <c r="AF59" s="10">
        <f t="shared" si="35"/>
        <v>21.559999766207785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53.259999766207784</v>
      </c>
      <c r="G60" s="182">
        <f t="shared" si="15"/>
        <v>21.559999766207785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27.999999443351886</v>
      </c>
      <c r="AC60" s="10">
        <f t="shared" si="36"/>
        <v>27.999999443351886</v>
      </c>
      <c r="AE60" s="12">
        <f t="shared" si="5"/>
        <v>2340</v>
      </c>
      <c r="AF60" s="10">
        <f t="shared" si="35"/>
        <v>21.559999766207785</v>
      </c>
    </row>
    <row r="61" spans="1:32" s="3" customFormat="1" ht="21.6" customHeight="1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53.259999766207784</v>
      </c>
      <c r="G61" s="182">
        <f t="shared" si="15"/>
        <v>21.559999766207785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27.999999443351886</v>
      </c>
      <c r="AC61" s="10">
        <f t="shared" si="36"/>
        <v>27.999999443351886</v>
      </c>
      <c r="AE61" s="12">
        <f t="shared" si="5"/>
        <v>2400</v>
      </c>
      <c r="AF61" s="10">
        <f t="shared" si="35"/>
        <v>21.559999766207785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53.259999766207784</v>
      </c>
      <c r="G62" s="182">
        <f t="shared" si="15"/>
        <v>21.559999766207785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27.999999443351886</v>
      </c>
      <c r="AC62" s="10">
        <f t="shared" si="36"/>
        <v>27.999999443351886</v>
      </c>
      <c r="AE62" s="12">
        <f t="shared" si="5"/>
        <v>2460</v>
      </c>
      <c r="AF62" s="10">
        <f t="shared" si="35"/>
        <v>21.559999766207785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53.259999766207784</v>
      </c>
      <c r="G63" s="182">
        <f t="shared" si="15"/>
        <v>21.559999766207785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27.999999443351886</v>
      </c>
      <c r="AC63" s="10">
        <f t="shared" si="36"/>
        <v>27.999999443351886</v>
      </c>
      <c r="AE63" s="12">
        <f t="shared" si="5"/>
        <v>2520</v>
      </c>
      <c r="AF63" s="10">
        <f t="shared" si="35"/>
        <v>21.559999766207785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53.259999766207784</v>
      </c>
      <c r="G64" s="182">
        <f t="shared" si="15"/>
        <v>21.559999766207785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27.999999443351886</v>
      </c>
      <c r="AC64" s="10">
        <f t="shared" si="36"/>
        <v>27.999999443351886</v>
      </c>
      <c r="AE64" s="12">
        <f t="shared" si="5"/>
        <v>2580</v>
      </c>
      <c r="AF64" s="10">
        <f t="shared" si="35"/>
        <v>21.559999766207785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53.259999766207784</v>
      </c>
      <c r="G65" s="182">
        <f t="shared" si="15"/>
        <v>21.559999766207785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27.999999443351886</v>
      </c>
      <c r="AC65" s="10">
        <f t="shared" si="36"/>
        <v>27.999999443351886</v>
      </c>
      <c r="AE65" s="12">
        <f t="shared" si="5"/>
        <v>2640</v>
      </c>
      <c r="AF65" s="10">
        <f t="shared" si="35"/>
        <v>21.559999766207785</v>
      </c>
    </row>
    <row r="66" spans="1:32" s="3" customFormat="1" ht="21.6" customHeight="1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53.259999766207784</v>
      </c>
      <c r="G66" s="182">
        <f t="shared" si="15"/>
        <v>21.559999766207785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27.999999443351886</v>
      </c>
      <c r="AC66" s="10">
        <f t="shared" si="36"/>
        <v>27.999999443351886</v>
      </c>
      <c r="AE66" s="12">
        <f t="shared" si="5"/>
        <v>2700</v>
      </c>
      <c r="AF66" s="10">
        <f t="shared" si="35"/>
        <v>21.559999766207785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53.259999766207784</v>
      </c>
      <c r="G67" s="182">
        <f t="shared" si="15"/>
        <v>21.559999766207785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27.999999443351886</v>
      </c>
      <c r="AC67" s="10">
        <f t="shared" si="36"/>
        <v>27.999999443351886</v>
      </c>
      <c r="AE67" s="12">
        <f>AA67</f>
        <v>2760</v>
      </c>
      <c r="AF67" s="10">
        <f t="shared" si="35"/>
        <v>21.559999766207785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53.259999766207784</v>
      </c>
      <c r="G68" s="182">
        <f t="shared" si="15"/>
        <v>21.559999766207785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27.999999443351886</v>
      </c>
      <c r="AC68" s="10">
        <f t="shared" si="36"/>
        <v>27.999999443351886</v>
      </c>
      <c r="AE68" s="12">
        <f>AA68</f>
        <v>2820</v>
      </c>
      <c r="AF68" s="10">
        <f t="shared" si="35"/>
        <v>21.559999766207785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53.259999766207784</v>
      </c>
      <c r="G69" s="182">
        <f t="shared" si="15"/>
        <v>21.559999766207785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27.999999443351886</v>
      </c>
      <c r="AC69" s="10">
        <f t="shared" si="36"/>
        <v>27.999999443351886</v>
      </c>
      <c r="AE69" s="12">
        <f>AA69</f>
        <v>2880</v>
      </c>
      <c r="AF69" s="10">
        <f t="shared" si="35"/>
        <v>21.559999766207785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53.259999766207784</v>
      </c>
      <c r="G70" s="182">
        <f t="shared" si="15"/>
        <v>21.559999766207785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53.259999766207784</v>
      </c>
      <c r="G71" s="182">
        <f t="shared" si="15"/>
        <v>21.559999766207785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53.259999766207784</v>
      </c>
      <c r="G72" s="182">
        <f t="shared" si="15"/>
        <v>21.559999766207785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53.259999766207784</v>
      </c>
      <c r="G73" s="182">
        <f t="shared" si="15"/>
        <v>21.559999766207785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53.259999766207784</v>
      </c>
      <c r="G74" s="182">
        <f t="shared" si="15"/>
        <v>21.559999766207785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53.259999766207784</v>
      </c>
      <c r="G75" s="182">
        <f>AF67</f>
        <v>21.559999766207785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53.259999766207784</v>
      </c>
      <c r="G76" s="182">
        <f>AF68</f>
        <v>21.559999766207785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53.259999766207784</v>
      </c>
      <c r="G77" s="182">
        <f>AF69</f>
        <v>21.559999766207785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45.726132155764454</v>
      </c>
      <c r="G78" s="182">
        <f>H114</f>
        <v>14.026132155764452</v>
      </c>
      <c r="H78" s="549" t="s">
        <v>248</v>
      </c>
      <c r="I78" s="549"/>
      <c r="J78" s="549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44.491705847272407</v>
      </c>
      <c r="G79" s="182">
        <f>H115</f>
        <v>12.791705847272407</v>
      </c>
      <c r="H79" s="549"/>
      <c r="I79" s="549"/>
      <c r="J79" s="549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43.365920202804844</v>
      </c>
      <c r="G80" s="182">
        <f>H116</f>
        <v>11.665920202804845</v>
      </c>
      <c r="H80" s="549"/>
      <c r="I80" s="549"/>
      <c r="J80" s="549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42.339213862725707</v>
      </c>
      <c r="G81" s="182">
        <f>H117</f>
        <v>10.639213862725709</v>
      </c>
      <c r="H81" s="549"/>
      <c r="I81" s="549"/>
      <c r="J81" s="549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41.402866953401578</v>
      </c>
      <c r="G82" s="182">
        <f>H118</f>
        <v>9.7028669534015766</v>
      </c>
      <c r="H82" s="549"/>
      <c r="I82" s="549"/>
      <c r="J82" s="549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39.059896188942403</v>
      </c>
      <c r="G83" s="182">
        <f>H121</f>
        <v>7.3598961889424013</v>
      </c>
      <c r="H83" s="549"/>
      <c r="I83" s="549"/>
      <c r="J83" s="549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38.621475941104791</v>
      </c>
      <c r="G84" s="182">
        <f>H124</f>
        <v>6.9214759411047888</v>
      </c>
      <c r="H84" s="549"/>
      <c r="I84" s="549"/>
      <c r="J84" s="54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37.456782063498331</v>
      </c>
      <c r="G85" s="182">
        <f>H126</f>
        <v>5.7567820634983304</v>
      </c>
      <c r="H85" s="549"/>
      <c r="I85" s="549"/>
      <c r="J85" s="54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36.950133248805898</v>
      </c>
      <c r="G86" s="182">
        <f t="shared" ref="G86:G92" si="46">H127</f>
        <v>5.250133248805902</v>
      </c>
      <c r="H86" s="549"/>
      <c r="I86" s="549"/>
      <c r="J86" s="54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36.488074105669185</v>
      </c>
      <c r="G87" s="182">
        <f t="shared" si="46"/>
        <v>4.7880741056691889</v>
      </c>
      <c r="H87" s="549"/>
      <c r="I87" s="549"/>
      <c r="J87" s="54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36.3432746813222</v>
      </c>
      <c r="G88" s="182">
        <f t="shared" si="46"/>
        <v>4.6432746813222003</v>
      </c>
      <c r="H88" s="549"/>
      <c r="I88" s="549"/>
      <c r="J88" s="549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36.202854235418002</v>
      </c>
      <c r="G89" s="182">
        <f t="shared" si="46"/>
        <v>4.5028542354180043</v>
      </c>
      <c r="H89" s="549"/>
      <c r="I89" s="549"/>
      <c r="J89" s="549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36.06668034027404</v>
      </c>
      <c r="G90" s="182">
        <f t="shared" si="46"/>
        <v>4.3666803402740397</v>
      </c>
      <c r="H90" s="549"/>
      <c r="I90" s="549"/>
      <c r="J90" s="54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35.934624573043884</v>
      </c>
      <c r="G91" s="182">
        <f t="shared" si="46"/>
        <v>4.2346245730438827</v>
      </c>
      <c r="H91" s="549"/>
      <c r="I91" s="549"/>
      <c r="J91" s="549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35.806562394604256</v>
      </c>
      <c r="G92" s="182">
        <f t="shared" si="46"/>
        <v>4.1065623946042553</v>
      </c>
      <c r="H92" s="549"/>
      <c r="I92" s="549"/>
      <c r="J92" s="549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35.682373032104699</v>
      </c>
      <c r="G93" s="182">
        <f>H134</f>
        <v>3.9823730321047002</v>
      </c>
      <c r="H93" s="549"/>
      <c r="I93" s="549"/>
      <c r="J93" s="54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35.561939365069144</v>
      </c>
      <c r="G94" s="182">
        <f>H135</f>
        <v>3.8619393650691434</v>
      </c>
      <c r="H94" s="549"/>
      <c r="I94" s="549"/>
      <c r="J94" s="549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35.445147814941947</v>
      </c>
      <c r="G95" s="182">
        <f>H136</f>
        <v>3.7451478149419484</v>
      </c>
      <c r="H95" s="549"/>
      <c r="I95" s="549"/>
      <c r="J95" s="549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35.331888237974269</v>
      </c>
      <c r="G96" s="182">
        <f>H137</f>
        <v>3.6318882379742727</v>
      </c>
      <c r="H96" s="549"/>
      <c r="I96" s="549"/>
      <c r="J96" s="549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35.012249271175023</v>
      </c>
      <c r="G97" s="182">
        <f>H138</f>
        <v>3.3122492711750251</v>
      </c>
      <c r="H97" s="549"/>
      <c r="I97" s="549"/>
      <c r="J97" s="54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34.912081275196847</v>
      </c>
      <c r="G98" s="182">
        <f>H140</f>
        <v>3.2120812751968497</v>
      </c>
      <c r="H98" s="549"/>
      <c r="I98" s="549"/>
      <c r="J98" s="54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34.37157641359952</v>
      </c>
      <c r="G99" s="182">
        <f>H142</f>
        <v>2.6715764135995177</v>
      </c>
      <c r="H99" s="549"/>
      <c r="I99" s="549"/>
      <c r="J99" s="54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33.92202364205864</v>
      </c>
      <c r="G100" s="182">
        <f>H144</f>
        <v>2.2220236420586388</v>
      </c>
      <c r="H100" s="549"/>
      <c r="I100" s="549"/>
      <c r="J100" s="54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33.548118227400877</v>
      </c>
      <c r="G101" s="242">
        <f>H146</f>
        <v>1.8481182274008787</v>
      </c>
      <c r="H101" s="549"/>
      <c r="I101" s="549"/>
      <c r="J101" s="54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21.559999766207785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21.559999766207785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18.491251871552066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21.559999766207785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16.863854700777839</v>
      </c>
      <c r="I112" s="374"/>
      <c r="J112" s="13">
        <f>H111-H112</f>
        <v>1.627397170774227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21.559999766207785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15.379683179074904</v>
      </c>
      <c r="I113" s="374"/>
      <c r="J113" s="13">
        <f t="shared" ref="J113:J146" si="52">H112-H113</f>
        <v>1.484171521702935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21.559999766207785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14.026132155764452</v>
      </c>
      <c r="I114" s="375"/>
      <c r="J114" s="13">
        <f t="shared" si="52"/>
        <v>1.3535510233104517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21.559999766207785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12.791705847272407</v>
      </c>
      <c r="I115" s="375"/>
      <c r="J115" s="13">
        <f t="shared" si="52"/>
        <v>1.2344263084920453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21.559999766207785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11.665920202804845</v>
      </c>
      <c r="I116" s="375"/>
      <c r="J116" s="13">
        <f t="shared" si="52"/>
        <v>1.1257856444675625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21.559999766207785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10.639213862725709</v>
      </c>
      <c r="I117" s="375"/>
      <c r="J117" s="13">
        <f t="shared" si="52"/>
        <v>1.0267063400791354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21.559999766207785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9.7028669534015766</v>
      </c>
      <c r="I118" s="375"/>
      <c r="J118" s="13">
        <f t="shared" si="52"/>
        <v>0.93634690932413278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21.559999766207785</v>
      </c>
      <c r="E119" s="15">
        <f t="shared" si="50"/>
        <v>0.71</v>
      </c>
      <c r="F119" s="54"/>
      <c r="G119" s="3">
        <v>9</v>
      </c>
      <c r="H119" s="248">
        <f t="shared" si="48"/>
        <v>8.848927028833387</v>
      </c>
      <c r="I119" s="376"/>
      <c r="J119" s="13">
        <f t="shared" si="52"/>
        <v>0.85393992456818957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21.559999766207785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8.070141530093526</v>
      </c>
      <c r="I120" s="374"/>
      <c r="J120" s="13">
        <f t="shared" si="52"/>
        <v>0.77878549873986103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21.559999766207785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7.3598961889424013</v>
      </c>
      <c r="I121" s="375"/>
      <c r="J121" s="13">
        <f t="shared" si="52"/>
        <v>0.7102453411511247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21.559999766207785</v>
      </c>
      <c r="E122" s="15">
        <f t="shared" si="50"/>
        <v>0.62</v>
      </c>
      <c r="F122" s="54"/>
      <c r="G122" s="3">
        <v>14</v>
      </c>
      <c r="H122" s="246">
        <f t="shared" si="48"/>
        <v>6.7121588524831122</v>
      </c>
      <c r="I122" s="374"/>
      <c r="J122" s="13">
        <f t="shared" si="52"/>
        <v>0.6477373364592891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21.559999766207785</v>
      </c>
      <c r="E123" s="15">
        <f t="shared" si="50"/>
        <v>0.37</v>
      </c>
      <c r="F123" s="54"/>
      <c r="G123" s="3">
        <v>15</v>
      </c>
      <c r="H123" s="246">
        <f t="shared" si="48"/>
        <v>3.1149425281057073</v>
      </c>
      <c r="I123" s="374"/>
      <c r="J123" s="13">
        <f t="shared" si="52"/>
        <v>3.5972163243774049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21.559999766207785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6.9214759411047888</v>
      </c>
      <c r="I124" s="375"/>
      <c r="J124" s="13">
        <f t="shared" si="52"/>
        <v>-3.8065334129990815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21.559999766207785</v>
      </c>
      <c r="E125" s="15">
        <f t="shared" si="50"/>
        <v>0.6</v>
      </c>
      <c r="F125" s="54"/>
      <c r="G125" s="3">
        <v>18</v>
      </c>
      <c r="H125" s="246">
        <f t="shared" si="48"/>
        <v>6.3123235461030722</v>
      </c>
      <c r="I125" s="374"/>
      <c r="J125" s="13">
        <f t="shared" si="52"/>
        <v>0.60915239500171658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21.559999766207785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5.7567820634983304</v>
      </c>
      <c r="I126" s="375"/>
      <c r="J126" s="13">
        <f t="shared" si="52"/>
        <v>0.55554148260474179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21.559999766207785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5.250133248805902</v>
      </c>
      <c r="I127" s="375"/>
      <c r="J127" s="13">
        <f t="shared" si="52"/>
        <v>0.5066488146924284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21.559999766207785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4.7880741056691889</v>
      </c>
      <c r="I128" s="375"/>
      <c r="J128" s="13">
        <f t="shared" si="52"/>
        <v>0.46205914313671315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21.559999766207785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4.6432746813222003</v>
      </c>
      <c r="I129" s="375"/>
      <c r="J129" s="13">
        <f t="shared" si="52"/>
        <v>0.14479942434698856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21.559999766207785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4.5028542354180043</v>
      </c>
      <c r="I130" s="375"/>
      <c r="J130" s="13">
        <f t="shared" si="52"/>
        <v>0.140420445904196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21.559999766207785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4.3666803402740397</v>
      </c>
      <c r="I131" s="375"/>
      <c r="J131" s="13">
        <f t="shared" si="52"/>
        <v>0.13617389514396461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21.559999766207785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4.2346245730438827</v>
      </c>
      <c r="I132" s="375"/>
      <c r="J132" s="13">
        <f t="shared" si="52"/>
        <v>0.132055767230157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21.559999766207785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4.1065623946042553</v>
      </c>
      <c r="I133" s="375"/>
      <c r="J133" s="13">
        <f t="shared" si="52"/>
        <v>0.12806217843962742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21.559999766207785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3.9823730321047002</v>
      </c>
      <c r="I134" s="375"/>
      <c r="J134" s="13">
        <f t="shared" si="52"/>
        <v>0.12418936249955514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21.559999766207785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3.8619393650691434</v>
      </c>
      <c r="I135" s="375"/>
      <c r="J135" s="13">
        <f t="shared" si="52"/>
        <v>0.1204336670355568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21.559999766207785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3.7451478149419484</v>
      </c>
      <c r="I136" s="375"/>
      <c r="J136" s="13">
        <f t="shared" si="52"/>
        <v>0.116791550127195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21.559999766207785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3.6318882379742727</v>
      </c>
      <c r="I137" s="375"/>
      <c r="J137" s="13">
        <f t="shared" si="52"/>
        <v>0.11325957696767563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21.559999766207785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3.3122492711750251</v>
      </c>
      <c r="I138" s="375"/>
      <c r="J138" s="13">
        <f t="shared" si="52"/>
        <v>0.31963896679924764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21.559999766207785</v>
      </c>
      <c r="E139" s="15">
        <f t="shared" si="50"/>
        <v>0.36</v>
      </c>
      <c r="F139" s="54"/>
      <c r="G139" s="3">
        <v>150</v>
      </c>
      <c r="H139" s="246">
        <f t="shared" si="48"/>
        <v>3.0207414203138261</v>
      </c>
      <c r="I139" s="374"/>
      <c r="J139" s="13">
        <f t="shared" si="52"/>
        <v>0.29150785086119901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21.559999766207785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3.2120812751968497</v>
      </c>
      <c r="I140" s="375"/>
      <c r="J140" s="13">
        <f t="shared" si="52"/>
        <v>-0.19133985488302363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21.559999766207785</v>
      </c>
      <c r="E141" s="15">
        <f t="shared" si="50"/>
        <v>0.35</v>
      </c>
      <c r="F141" s="54"/>
      <c r="G141" s="3">
        <v>210</v>
      </c>
      <c r="H141" s="246">
        <f t="shared" si="48"/>
        <v>2.9293891126616418</v>
      </c>
      <c r="I141" s="374"/>
      <c r="J141" s="13">
        <f t="shared" si="52"/>
        <v>0.2826921625352079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21.559999766207785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2.6715764135995177</v>
      </c>
      <c r="I142" s="375"/>
      <c r="J142" s="13">
        <f t="shared" si="52"/>
        <v>0.25781269906212412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21.559999766207785</v>
      </c>
      <c r="E143" s="15">
        <f>C143/100</f>
        <v>0.28999999999999998</v>
      </c>
      <c r="F143" s="54"/>
      <c r="G143" s="3">
        <v>270</v>
      </c>
      <c r="H143" s="246">
        <f t="shared" si="48"/>
        <v>2.4364535605228257</v>
      </c>
      <c r="I143" s="374"/>
      <c r="J143" s="13">
        <f t="shared" si="52"/>
        <v>0.23512285307669201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21.559999766207785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2.2220236420586388</v>
      </c>
      <c r="I144" s="375"/>
      <c r="J144" s="13">
        <f t="shared" si="52"/>
        <v>0.21442991846418691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21.559999766207785</v>
      </c>
      <c r="E145" s="15">
        <f>C145/100</f>
        <v>0.23</v>
      </c>
      <c r="F145" s="54"/>
      <c r="G145" s="3">
        <v>330</v>
      </c>
      <c r="H145" s="246">
        <f t="shared" si="48"/>
        <v>2.0264654930702015</v>
      </c>
      <c r="I145" s="374"/>
      <c r="J145" s="13">
        <f t="shared" si="52"/>
        <v>0.19555814898843726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21.559999766207785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1.8481182274008787</v>
      </c>
      <c r="I146" s="375"/>
      <c r="J146" s="13">
        <f t="shared" si="52"/>
        <v>0.1783472656693228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428625</xdr:colOff>
                <xdr:row>37</xdr:row>
                <xdr:rowOff>19050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105.1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47.5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2.3580000000000001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</v>
      </c>
      <c r="B18" s="413"/>
    </row>
    <row r="19" spans="1:2">
      <c r="A19" s="413">
        <f>Input!M44/2/1000</f>
        <v>0.1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</v>
      </c>
      <c r="C35" s="415">
        <v>1</v>
      </c>
    </row>
    <row r="36" spans="1:3">
      <c r="A36" s="413">
        <f>Sheet1!A2</f>
        <v>2</v>
      </c>
      <c r="B36" s="414">
        <f>Sheet1!B2</f>
        <v>1.45</v>
      </c>
      <c r="C36" s="415">
        <v>1</v>
      </c>
    </row>
    <row r="37" spans="1:3">
      <c r="A37" s="413">
        <f>Sheet1!A3</f>
        <v>3</v>
      </c>
      <c r="B37" s="414">
        <f>Sheet1!B3</f>
        <v>1.71</v>
      </c>
      <c r="C37" s="415">
        <v>1</v>
      </c>
    </row>
    <row r="38" spans="1:3">
      <c r="A38" s="413">
        <f>Sheet1!A4</f>
        <v>4</v>
      </c>
      <c r="B38" s="414">
        <f>Sheet1!B4</f>
        <v>1.89</v>
      </c>
      <c r="C38" s="415">
        <v>1</v>
      </c>
    </row>
    <row r="39" spans="1:3">
      <c r="A39" s="413">
        <f>Sheet1!A5</f>
        <v>5</v>
      </c>
      <c r="B39" s="414">
        <f>Sheet1!B5</f>
        <v>2.04</v>
      </c>
      <c r="C39" s="415">
        <v>1</v>
      </c>
    </row>
    <row r="40" spans="1:3">
      <c r="A40" s="413">
        <f>Sheet1!A6</f>
        <v>10</v>
      </c>
      <c r="B40" s="414">
        <f>Sheet1!B6</f>
        <v>2.4900000000000002</v>
      </c>
      <c r="C40" s="415">
        <v>1</v>
      </c>
    </row>
    <row r="41" spans="1:3">
      <c r="A41" s="413">
        <f>Sheet1!A7</f>
        <v>15</v>
      </c>
      <c r="B41" s="414">
        <f>Sheet1!B7</f>
        <v>2.75</v>
      </c>
      <c r="C41" s="415">
        <v>1</v>
      </c>
    </row>
    <row r="42" spans="1:3">
      <c r="A42" s="413">
        <f>Sheet1!A8</f>
        <v>20</v>
      </c>
      <c r="B42" s="414">
        <f>Sheet1!B8</f>
        <v>2.94</v>
      </c>
      <c r="C42" s="415">
        <v>1</v>
      </c>
    </row>
    <row r="43" spans="1:3">
      <c r="A43" s="413">
        <f>Sheet1!A9</f>
        <v>25</v>
      </c>
      <c r="B43" s="414">
        <f>Sheet1!B9</f>
        <v>3.08</v>
      </c>
      <c r="C43" s="415">
        <v>1</v>
      </c>
    </row>
    <row r="44" spans="1:3">
      <c r="A44" s="413">
        <f>Sheet1!A10</f>
        <v>30</v>
      </c>
      <c r="B44" s="414">
        <f>Sheet1!B10</f>
        <v>3.2</v>
      </c>
      <c r="C44" s="415">
        <v>1</v>
      </c>
    </row>
    <row r="45" spans="1:3">
      <c r="A45" s="413">
        <f>Sheet1!A11</f>
        <v>35</v>
      </c>
      <c r="B45" s="414">
        <f>Sheet1!B11</f>
        <v>3.3</v>
      </c>
      <c r="C45" s="415">
        <v>1</v>
      </c>
    </row>
    <row r="46" spans="1:3">
      <c r="A46" s="413">
        <f>Sheet1!A12</f>
        <v>40</v>
      </c>
      <c r="B46" s="414">
        <f>Sheet1!B12</f>
        <v>3.38</v>
      </c>
      <c r="C46" s="415">
        <v>1</v>
      </c>
    </row>
    <row r="47" spans="1:3">
      <c r="A47" s="413">
        <f>Sheet1!A13</f>
        <v>45</v>
      </c>
      <c r="B47" s="414">
        <f>Sheet1!B13</f>
        <v>3.46</v>
      </c>
      <c r="C47" s="415">
        <v>1</v>
      </c>
    </row>
    <row r="48" spans="1:3">
      <c r="A48" s="413">
        <f>Sheet1!A14</f>
        <v>50</v>
      </c>
      <c r="B48" s="414">
        <f>Sheet1!B14</f>
        <v>3.53</v>
      </c>
      <c r="C48" s="415">
        <v>1</v>
      </c>
    </row>
    <row r="49" spans="1:3">
      <c r="A49" s="413">
        <f>Sheet1!A15</f>
        <v>55</v>
      </c>
      <c r="B49" s="414">
        <f>Sheet1!B15</f>
        <v>3.59</v>
      </c>
      <c r="C49" s="415">
        <v>1</v>
      </c>
    </row>
    <row r="50" spans="1:3">
      <c r="A50" s="413">
        <f>Sheet1!A16</f>
        <v>60</v>
      </c>
      <c r="B50" s="414">
        <f>Sheet1!B16</f>
        <v>3.65</v>
      </c>
      <c r="C50" s="415">
        <v>1</v>
      </c>
    </row>
    <row r="51" spans="1:3">
      <c r="A51" s="413">
        <f>Sheet1!A17</f>
        <v>75</v>
      </c>
      <c r="B51" s="414">
        <f>Sheet1!B17</f>
        <v>3.79</v>
      </c>
      <c r="C51" s="415">
        <v>1</v>
      </c>
    </row>
    <row r="52" spans="1:3">
      <c r="A52" s="413">
        <f>Sheet1!A18</f>
        <v>90</v>
      </c>
      <c r="B52" s="414">
        <f>Sheet1!B18</f>
        <v>3.91</v>
      </c>
      <c r="C52" s="415">
        <v>1</v>
      </c>
    </row>
    <row r="53" spans="1:3">
      <c r="A53" s="413">
        <f>Sheet1!A19</f>
        <v>105</v>
      </c>
      <c r="B53" s="414">
        <f>Sheet1!B19</f>
        <v>4.01</v>
      </c>
      <c r="C53" s="415">
        <v>1</v>
      </c>
    </row>
    <row r="54" spans="1:3">
      <c r="A54" s="413">
        <f>Sheet1!A20</f>
        <v>120</v>
      </c>
      <c r="B54" s="414">
        <f>Sheet1!B20</f>
        <v>4.0999999999999996</v>
      </c>
      <c r="C54" s="415">
        <v>1</v>
      </c>
    </row>
    <row r="55" spans="1:3">
      <c r="A55" s="413">
        <f>Sheet1!A21</f>
        <v>121</v>
      </c>
      <c r="B55" s="414">
        <f>Sheet1!B21</f>
        <v>4.26</v>
      </c>
      <c r="C55" s="415">
        <v>1</v>
      </c>
    </row>
    <row r="56" spans="1:3">
      <c r="A56" s="413">
        <f>Sheet1!A22</f>
        <v>122</v>
      </c>
      <c r="B56" s="414">
        <f>Sheet1!B22</f>
        <v>4.41</v>
      </c>
      <c r="C56" s="415">
        <v>1</v>
      </c>
    </row>
    <row r="57" spans="1:3">
      <c r="A57" s="413">
        <f>Sheet1!A23</f>
        <v>123</v>
      </c>
      <c r="B57" s="414">
        <f>Sheet1!B23</f>
        <v>4.55</v>
      </c>
      <c r="C57" s="415">
        <v>1</v>
      </c>
    </row>
    <row r="58" spans="1:3">
      <c r="A58" s="413">
        <f>Sheet1!A24</f>
        <v>124</v>
      </c>
      <c r="B58" s="414">
        <f>Sheet1!B24</f>
        <v>4.68</v>
      </c>
      <c r="C58" s="415">
        <v>1</v>
      </c>
    </row>
    <row r="59" spans="1:3">
      <c r="A59" s="413">
        <f>Sheet1!A25</f>
        <v>125</v>
      </c>
      <c r="B59" s="414">
        <f>Sheet1!B25</f>
        <v>4.8099999999999996</v>
      </c>
      <c r="C59" s="415">
        <v>1</v>
      </c>
    </row>
    <row r="60" spans="1:3">
      <c r="A60" s="413">
        <f>Sheet1!A26</f>
        <v>130</v>
      </c>
      <c r="B60" s="414">
        <f>Sheet1!B26</f>
        <v>4.91</v>
      </c>
      <c r="C60" s="415">
        <v>1</v>
      </c>
    </row>
    <row r="61" spans="1:3">
      <c r="A61" s="413">
        <f>Sheet1!A27</f>
        <v>135</v>
      </c>
      <c r="B61" s="414">
        <f>Sheet1!B27</f>
        <v>5.0200000000000005</v>
      </c>
      <c r="C61" s="415">
        <v>1</v>
      </c>
    </row>
    <row r="62" spans="1:3">
      <c r="A62" s="413">
        <f>Sheet1!A28</f>
        <v>140</v>
      </c>
      <c r="B62" s="414">
        <f>Sheet1!B28</f>
        <v>5.05</v>
      </c>
      <c r="C62" s="415">
        <v>1</v>
      </c>
    </row>
    <row r="63" spans="1:3">
      <c r="A63" s="413">
        <f>Sheet1!A29</f>
        <v>145</v>
      </c>
      <c r="B63" s="414">
        <f>Sheet1!B29</f>
        <v>5.1499999999999995</v>
      </c>
      <c r="C63" s="415">
        <v>1</v>
      </c>
    </row>
    <row r="64" spans="1:3">
      <c r="A64" s="413">
        <f>Sheet1!A30</f>
        <v>150</v>
      </c>
      <c r="B64" s="414">
        <f>Sheet1!B30</f>
        <v>5.18</v>
      </c>
      <c r="C64" s="415">
        <v>1</v>
      </c>
    </row>
    <row r="65" spans="1:3">
      <c r="A65" s="413">
        <f>Sheet1!A31</f>
        <v>155</v>
      </c>
      <c r="B65" s="414">
        <f>Sheet1!B31</f>
        <v>5.2399999999999993</v>
      </c>
      <c r="C65" s="415">
        <v>1</v>
      </c>
    </row>
    <row r="66" spans="1:3">
      <c r="A66" s="413">
        <f>Sheet1!A32</f>
        <v>160</v>
      </c>
      <c r="B66" s="414">
        <f>Sheet1!B32</f>
        <v>5.2899999999999991</v>
      </c>
      <c r="C66" s="415">
        <v>1</v>
      </c>
    </row>
    <row r="67" spans="1:3">
      <c r="A67" s="413">
        <f>Sheet1!A33</f>
        <v>165</v>
      </c>
      <c r="B67" s="414">
        <f>Sheet1!B33</f>
        <v>5.3299999999999992</v>
      </c>
      <c r="C67" s="415">
        <v>1</v>
      </c>
    </row>
    <row r="68" spans="1:3">
      <c r="A68" s="413">
        <f>Sheet1!A34</f>
        <v>170</v>
      </c>
      <c r="B68" s="414">
        <f>Sheet1!B34</f>
        <v>5.3599999999999994</v>
      </c>
      <c r="C68" s="415">
        <v>1</v>
      </c>
    </row>
    <row r="69" spans="1:3">
      <c r="A69" s="413">
        <f>Sheet1!A35</f>
        <v>175</v>
      </c>
      <c r="B69" s="414">
        <f>Sheet1!B35</f>
        <v>5.379999999999999</v>
      </c>
      <c r="C69" s="415">
        <v>1</v>
      </c>
    </row>
    <row r="70" spans="1:3">
      <c r="A70" s="413">
        <f>Sheet1!A36</f>
        <v>180</v>
      </c>
      <c r="B70" s="414">
        <f>Sheet1!B36</f>
        <v>5.32</v>
      </c>
      <c r="C70" s="415">
        <v>1</v>
      </c>
    </row>
    <row r="71" spans="1:3">
      <c r="A71" s="413">
        <f>Sheet1!A37</f>
        <v>195</v>
      </c>
      <c r="B71" s="414">
        <f>Sheet1!B37</f>
        <v>5.3900000000000006</v>
      </c>
      <c r="C71" s="415">
        <v>1</v>
      </c>
    </row>
    <row r="72" spans="1:3">
      <c r="A72" s="413">
        <f>Sheet1!A38</f>
        <v>210</v>
      </c>
      <c r="B72" s="414">
        <f>Sheet1!B38</f>
        <v>5.45</v>
      </c>
      <c r="C72" s="415">
        <v>1</v>
      </c>
    </row>
    <row r="73" spans="1:3">
      <c r="A73" s="413">
        <f>Sheet1!A39</f>
        <v>225</v>
      </c>
      <c r="B73" s="414">
        <f>Sheet1!B39</f>
        <v>5.5</v>
      </c>
      <c r="C73" s="415">
        <v>1</v>
      </c>
    </row>
    <row r="74" spans="1:3">
      <c r="A74" s="413">
        <f>Sheet1!A40</f>
        <v>240</v>
      </c>
      <c r="B74" s="414">
        <f>Sheet1!B40</f>
        <v>5.46</v>
      </c>
      <c r="C74" s="415">
        <v>1</v>
      </c>
    </row>
    <row r="75" spans="1:3">
      <c r="A75" s="413">
        <f>Sheet1!A41</f>
        <v>241</v>
      </c>
      <c r="B75" s="414">
        <f>Sheet1!B41</f>
        <v>5.64</v>
      </c>
      <c r="C75" s="415">
        <v>1</v>
      </c>
    </row>
    <row r="76" spans="1:3">
      <c r="A76" s="413">
        <f>Sheet1!A42</f>
        <v>242</v>
      </c>
      <c r="B76" s="414">
        <f>Sheet1!B42</f>
        <v>5.8</v>
      </c>
      <c r="C76" s="415">
        <v>1</v>
      </c>
    </row>
    <row r="77" spans="1:3">
      <c r="A77" s="413">
        <f>Sheet1!A43</f>
        <v>243</v>
      </c>
      <c r="B77" s="414">
        <f>Sheet1!B43</f>
        <v>5.95</v>
      </c>
      <c r="C77" s="415">
        <v>1</v>
      </c>
    </row>
    <row r="78" spans="1:3">
      <c r="A78" s="413">
        <f>Sheet1!A44</f>
        <v>244</v>
      </c>
      <c r="B78" s="414">
        <f>Sheet1!B44</f>
        <v>6.09</v>
      </c>
      <c r="C78" s="415">
        <v>1</v>
      </c>
    </row>
    <row r="79" spans="1:3">
      <c r="A79" s="413">
        <f>Sheet1!A45</f>
        <v>245</v>
      </c>
      <c r="B79" s="414">
        <f>Sheet1!B45</f>
        <v>6.22</v>
      </c>
      <c r="C79" s="415">
        <v>1</v>
      </c>
    </row>
    <row r="80" spans="1:3">
      <c r="A80" s="413">
        <f>Sheet1!A46</f>
        <v>250</v>
      </c>
      <c r="B80" s="414">
        <f>Sheet1!B46</f>
        <v>6.38</v>
      </c>
      <c r="C80" s="415">
        <v>1</v>
      </c>
    </row>
    <row r="81" spans="1:3">
      <c r="A81" s="413">
        <f>Sheet1!A47</f>
        <v>255</v>
      </c>
      <c r="B81" s="414">
        <f>Sheet1!B47</f>
        <v>6.49</v>
      </c>
      <c r="C81" s="415">
        <v>1</v>
      </c>
    </row>
    <row r="82" spans="1:3">
      <c r="A82" s="413">
        <f>Sheet1!A48</f>
        <v>260</v>
      </c>
      <c r="B82" s="414">
        <f>Sheet1!B48</f>
        <v>6.53</v>
      </c>
      <c r="C82" s="415">
        <v>1</v>
      </c>
    </row>
    <row r="83" spans="1:3">
      <c r="A83" s="413">
        <f>Sheet1!A49</f>
        <v>265</v>
      </c>
      <c r="B83" s="414">
        <f>Sheet1!B49</f>
        <v>6.6400000000000006</v>
      </c>
      <c r="C83" s="415">
        <v>1</v>
      </c>
    </row>
    <row r="84" spans="1:3">
      <c r="A84" s="413">
        <f>Sheet1!A50</f>
        <v>270</v>
      </c>
      <c r="B84" s="414">
        <f>Sheet1!B50</f>
        <v>6.69</v>
      </c>
      <c r="C84" s="415">
        <v>1</v>
      </c>
    </row>
    <row r="85" spans="1:3">
      <c r="A85" s="413">
        <f>Sheet1!A51</f>
        <v>275</v>
      </c>
      <c r="B85" s="414">
        <f>Sheet1!B51</f>
        <v>6.7600000000000007</v>
      </c>
      <c r="C85" s="415">
        <v>1</v>
      </c>
    </row>
    <row r="86" spans="1:3">
      <c r="A86" s="413">
        <f>Sheet1!A52</f>
        <v>280</v>
      </c>
      <c r="B86" s="414">
        <f>Sheet1!B52</f>
        <v>6.8100000000000005</v>
      </c>
      <c r="C86" s="415">
        <v>1</v>
      </c>
    </row>
    <row r="87" spans="1:3">
      <c r="A87" s="413">
        <f>Sheet1!A53</f>
        <v>285</v>
      </c>
      <c r="B87" s="414">
        <f>Sheet1!B53</f>
        <v>6.8500000000000005</v>
      </c>
      <c r="C87" s="415">
        <v>1</v>
      </c>
    </row>
    <row r="88" spans="1:3">
      <c r="A88" s="413">
        <f>Sheet1!A54</f>
        <v>290</v>
      </c>
      <c r="B88" s="414">
        <f>Sheet1!B54</f>
        <v>6.8800000000000008</v>
      </c>
      <c r="C88" s="415">
        <v>1</v>
      </c>
    </row>
    <row r="89" spans="1:3">
      <c r="A89" s="413">
        <f>Sheet1!A55</f>
        <v>295</v>
      </c>
      <c r="B89" s="414">
        <f>Sheet1!B55</f>
        <v>6.9</v>
      </c>
      <c r="C89" s="415">
        <v>1</v>
      </c>
    </row>
    <row r="90" spans="1:3">
      <c r="A90" s="413">
        <f>Sheet1!A56</f>
        <v>300</v>
      </c>
      <c r="B90" s="414">
        <f>Sheet1!B56</f>
        <v>6.84</v>
      </c>
      <c r="C90" s="415">
        <v>1</v>
      </c>
    </row>
    <row r="91" spans="1:3">
      <c r="A91" s="413">
        <f>Sheet1!A57</f>
        <v>315</v>
      </c>
      <c r="B91" s="414">
        <f>Sheet1!B57</f>
        <v>6.92</v>
      </c>
      <c r="C91" s="415">
        <v>1</v>
      </c>
    </row>
    <row r="92" spans="1:3">
      <c r="A92" s="413">
        <f>Sheet1!A58</f>
        <v>330</v>
      </c>
      <c r="B92" s="414">
        <f>Sheet1!B58</f>
        <v>6.9799999999999995</v>
      </c>
      <c r="C92" s="415">
        <v>1</v>
      </c>
    </row>
    <row r="93" spans="1:3">
      <c r="A93" s="413">
        <f>Sheet1!A59</f>
        <v>345</v>
      </c>
      <c r="B93" s="414">
        <f>Sheet1!B59</f>
        <v>7.0299999999999994</v>
      </c>
      <c r="C93" s="415">
        <v>1</v>
      </c>
    </row>
    <row r="94" spans="1:3">
      <c r="A94" s="413">
        <f>Sheet1!A60</f>
        <v>360</v>
      </c>
      <c r="B94" s="414">
        <f>Sheet1!B60</f>
        <v>7</v>
      </c>
      <c r="C94" s="415">
        <v>1</v>
      </c>
    </row>
    <row r="95" spans="1:3">
      <c r="A95" s="413">
        <f>Sheet1!A61</f>
        <v>361</v>
      </c>
      <c r="B95" s="414">
        <f>Sheet1!B61</f>
        <v>7.19</v>
      </c>
      <c r="C95" s="415">
        <v>1</v>
      </c>
    </row>
    <row r="96" spans="1:3">
      <c r="A96" s="413">
        <f>Sheet1!A62</f>
        <v>362</v>
      </c>
      <c r="B96" s="414">
        <f>Sheet1!B62</f>
        <v>7.36</v>
      </c>
      <c r="C96" s="415">
        <v>1</v>
      </c>
    </row>
    <row r="97" spans="1:3">
      <c r="A97" s="413">
        <f>Sheet1!A63</f>
        <v>363</v>
      </c>
      <c r="B97" s="414">
        <f>Sheet1!B63</f>
        <v>7.5200000000000005</v>
      </c>
      <c r="C97" s="415">
        <v>1</v>
      </c>
    </row>
    <row r="98" spans="1:3">
      <c r="A98" s="413">
        <f>Sheet1!A64</f>
        <v>364</v>
      </c>
      <c r="B98" s="414">
        <f>Sheet1!B64</f>
        <v>7.6700000000000008</v>
      </c>
      <c r="C98" s="415">
        <v>1</v>
      </c>
    </row>
    <row r="99" spans="1:3">
      <c r="A99" s="413">
        <f>Sheet1!A65</f>
        <v>365</v>
      </c>
      <c r="B99" s="414">
        <f>Sheet1!B65</f>
        <v>7.8100000000000005</v>
      </c>
      <c r="C99" s="415">
        <v>1</v>
      </c>
    </row>
    <row r="100" spans="1:3">
      <c r="A100" s="413">
        <f>Sheet1!A66</f>
        <v>370</v>
      </c>
      <c r="B100" s="414">
        <f>Sheet1!B66</f>
        <v>8.0299999999999994</v>
      </c>
      <c r="C100" s="415">
        <v>1</v>
      </c>
    </row>
    <row r="101" spans="1:3">
      <c r="A101" s="413">
        <f>Sheet1!A67</f>
        <v>375</v>
      </c>
      <c r="B101" s="414">
        <f>Sheet1!B67</f>
        <v>8.1499999999999986</v>
      </c>
      <c r="C101" s="415">
        <v>1</v>
      </c>
    </row>
    <row r="102" spans="1:3">
      <c r="A102" s="413">
        <f>Sheet1!A68</f>
        <v>380</v>
      </c>
      <c r="B102" s="414">
        <f>Sheet1!B68</f>
        <v>8.1999999999999993</v>
      </c>
      <c r="C102" s="415">
        <v>1</v>
      </c>
    </row>
    <row r="103" spans="1:3">
      <c r="A103" s="413">
        <f>Sheet1!A69</f>
        <v>385</v>
      </c>
      <c r="B103" s="414">
        <f>Sheet1!B69</f>
        <v>8.3199999999999985</v>
      </c>
      <c r="C103" s="415">
        <v>1</v>
      </c>
    </row>
    <row r="104" spans="1:3">
      <c r="A104" s="413">
        <f>Sheet1!A70</f>
        <v>390</v>
      </c>
      <c r="B104" s="414">
        <f>Sheet1!B70</f>
        <v>8.3699999999999992</v>
      </c>
      <c r="C104" s="415">
        <v>1</v>
      </c>
    </row>
    <row r="105" spans="1:3">
      <c r="A105" s="413">
        <f>Sheet1!A71</f>
        <v>395</v>
      </c>
      <c r="B105" s="414">
        <f>Sheet1!B71</f>
        <v>8.44</v>
      </c>
      <c r="C105" s="415">
        <v>1</v>
      </c>
    </row>
    <row r="106" spans="1:3">
      <c r="A106" s="413">
        <f>Sheet1!A72</f>
        <v>400</v>
      </c>
      <c r="B106" s="414">
        <f>Sheet1!B72</f>
        <v>8.49</v>
      </c>
      <c r="C106" s="415">
        <v>1</v>
      </c>
    </row>
    <row r="107" spans="1:3">
      <c r="A107" s="413">
        <f>Sheet1!A73</f>
        <v>405</v>
      </c>
      <c r="B107" s="414">
        <f>Sheet1!B73</f>
        <v>8.5299999999999994</v>
      </c>
      <c r="C107" s="415">
        <v>1</v>
      </c>
    </row>
    <row r="108" spans="1:3">
      <c r="A108" s="413">
        <f>Sheet1!A74</f>
        <v>410</v>
      </c>
      <c r="B108" s="414">
        <f>Sheet1!B74</f>
        <v>8.5599999999999987</v>
      </c>
      <c r="C108" s="415">
        <v>1</v>
      </c>
    </row>
    <row r="109" spans="1:3">
      <c r="A109" s="413">
        <f>Sheet1!A75</f>
        <v>415</v>
      </c>
      <c r="B109" s="414">
        <f>Sheet1!B75</f>
        <v>8.5899999999999981</v>
      </c>
      <c r="C109" s="415">
        <v>1</v>
      </c>
    </row>
    <row r="110" spans="1:3">
      <c r="A110" s="413">
        <f>Sheet1!A76</f>
        <v>420</v>
      </c>
      <c r="B110" s="414">
        <f>Sheet1!B76</f>
        <v>8.5399999999999991</v>
      </c>
      <c r="C110" s="415">
        <v>1</v>
      </c>
    </row>
    <row r="111" spans="1:3">
      <c r="A111" s="413">
        <f>Sheet1!A77</f>
        <v>435</v>
      </c>
      <c r="B111" s="414">
        <f>Sheet1!B77</f>
        <v>8.629999999999999</v>
      </c>
      <c r="C111" s="415">
        <v>1</v>
      </c>
    </row>
    <row r="112" spans="1:3">
      <c r="A112" s="413">
        <f>Sheet1!A78</f>
        <v>450</v>
      </c>
      <c r="B112" s="414">
        <f>Sheet1!B78</f>
        <v>8.6999999999999993</v>
      </c>
      <c r="C112" s="415">
        <v>1</v>
      </c>
    </row>
    <row r="113" spans="1:3">
      <c r="A113" s="413">
        <f>Sheet1!A79</f>
        <v>465</v>
      </c>
      <c r="B113" s="414">
        <f>Sheet1!B79</f>
        <v>8.75</v>
      </c>
      <c r="C113" s="415">
        <v>1</v>
      </c>
    </row>
    <row r="114" spans="1:3">
      <c r="A114" s="413">
        <f>Sheet1!A80</f>
        <v>480</v>
      </c>
      <c r="B114" s="414">
        <f>Sheet1!B80</f>
        <v>8.7200000000000006</v>
      </c>
      <c r="C114" s="415">
        <v>1</v>
      </c>
    </row>
    <row r="115" spans="1:3">
      <c r="A115" s="413">
        <f>Sheet1!A81</f>
        <v>481</v>
      </c>
      <c r="B115" s="414">
        <f>Sheet1!B81</f>
        <v>8.9300000000000015</v>
      </c>
      <c r="C115" s="415">
        <v>1</v>
      </c>
    </row>
    <row r="116" spans="1:3">
      <c r="A116" s="413">
        <f>Sheet1!A82</f>
        <v>482</v>
      </c>
      <c r="B116" s="414">
        <f>Sheet1!B82</f>
        <v>9.120000000000001</v>
      </c>
      <c r="C116" s="415">
        <v>1</v>
      </c>
    </row>
    <row r="117" spans="1:3">
      <c r="A117" s="413">
        <f>Sheet1!A83</f>
        <v>483</v>
      </c>
      <c r="B117" s="414">
        <f>Sheet1!B83</f>
        <v>9.2900000000000009</v>
      </c>
      <c r="C117" s="415">
        <v>1</v>
      </c>
    </row>
    <row r="118" spans="1:3">
      <c r="A118" s="413">
        <f>Sheet1!A84</f>
        <v>484</v>
      </c>
      <c r="B118" s="414">
        <f>Sheet1!B84</f>
        <v>9.4500000000000011</v>
      </c>
      <c r="C118" s="415">
        <v>1</v>
      </c>
    </row>
    <row r="119" spans="1:3">
      <c r="A119" s="413">
        <f>Sheet1!A85</f>
        <v>485</v>
      </c>
      <c r="B119" s="414">
        <f>Sheet1!B85</f>
        <v>9.5900000000000016</v>
      </c>
      <c r="C119" s="415">
        <v>1</v>
      </c>
    </row>
    <row r="120" spans="1:3">
      <c r="A120" s="413">
        <f>Sheet1!A86</f>
        <v>490</v>
      </c>
      <c r="B120" s="414">
        <f>Sheet1!B86</f>
        <v>9.76</v>
      </c>
      <c r="C120" s="415">
        <v>1</v>
      </c>
    </row>
    <row r="121" spans="1:3">
      <c r="A121" s="413">
        <f>Sheet1!A87</f>
        <v>495</v>
      </c>
      <c r="B121" s="414">
        <f>Sheet1!B87</f>
        <v>10.07</v>
      </c>
      <c r="C121" s="415">
        <v>1</v>
      </c>
    </row>
    <row r="122" spans="1:3">
      <c r="A122" s="413">
        <f>Sheet1!A88</f>
        <v>500</v>
      </c>
      <c r="B122" s="414">
        <f>Sheet1!B88</f>
        <v>10.15</v>
      </c>
      <c r="C122" s="415">
        <v>1</v>
      </c>
    </row>
    <row r="123" spans="1:3">
      <c r="A123" s="413">
        <f>Sheet1!A89</f>
        <v>505</v>
      </c>
      <c r="B123" s="414">
        <f>Sheet1!B89</f>
        <v>10.450000000000001</v>
      </c>
      <c r="C123" s="415">
        <v>1</v>
      </c>
    </row>
    <row r="124" spans="1:3">
      <c r="A124" s="413">
        <f>Sheet1!A90</f>
        <v>510</v>
      </c>
      <c r="B124" s="414">
        <f>Sheet1!B90</f>
        <v>10.54</v>
      </c>
      <c r="C124" s="415">
        <v>1</v>
      </c>
    </row>
    <row r="125" spans="1:3">
      <c r="A125" s="413">
        <f>Sheet1!A91</f>
        <v>515</v>
      </c>
      <c r="B125" s="414">
        <f>Sheet1!B91</f>
        <v>10.69</v>
      </c>
      <c r="C125" s="415">
        <v>1</v>
      </c>
    </row>
    <row r="126" spans="1:3">
      <c r="A126" s="413">
        <f>Sheet1!A92</f>
        <v>520</v>
      </c>
      <c r="B126" s="414">
        <f>Sheet1!B92</f>
        <v>10.82</v>
      </c>
      <c r="C126" s="415">
        <v>1</v>
      </c>
    </row>
    <row r="127" spans="1:3">
      <c r="A127" s="413">
        <f>Sheet1!A93</f>
        <v>525</v>
      </c>
      <c r="B127" s="414">
        <f>Sheet1!B93</f>
        <v>10.93</v>
      </c>
      <c r="C127" s="415">
        <v>1</v>
      </c>
    </row>
    <row r="128" spans="1:3">
      <c r="A128" s="413">
        <f>Sheet1!A94</f>
        <v>530</v>
      </c>
      <c r="B128" s="414">
        <f>Sheet1!B94</f>
        <v>11.01</v>
      </c>
      <c r="C128" s="415">
        <v>1</v>
      </c>
    </row>
    <row r="129" spans="1:3">
      <c r="A129" s="413">
        <f>Sheet1!A95</f>
        <v>535</v>
      </c>
      <c r="B129" s="414">
        <f>Sheet1!B95</f>
        <v>11.08</v>
      </c>
      <c r="C129" s="415">
        <v>1</v>
      </c>
    </row>
    <row r="130" spans="1:3">
      <c r="A130" s="413">
        <f>Sheet1!A96</f>
        <v>540</v>
      </c>
      <c r="B130" s="414">
        <f>Sheet1!B96</f>
        <v>10.93</v>
      </c>
      <c r="C130" s="415">
        <v>1</v>
      </c>
    </row>
    <row r="131" spans="1:3">
      <c r="A131" s="413">
        <f>Sheet1!A97</f>
        <v>555</v>
      </c>
      <c r="B131" s="414">
        <f>Sheet1!B97</f>
        <v>11.12</v>
      </c>
      <c r="C131" s="415">
        <v>1</v>
      </c>
    </row>
    <row r="132" spans="1:3">
      <c r="A132" s="413">
        <f>Sheet1!A98</f>
        <v>570</v>
      </c>
      <c r="B132" s="414">
        <f>Sheet1!B98</f>
        <v>11.28</v>
      </c>
      <c r="C132" s="415">
        <v>1</v>
      </c>
    </row>
    <row r="133" spans="1:3">
      <c r="A133" s="413">
        <f>Sheet1!A99</f>
        <v>585</v>
      </c>
      <c r="B133" s="414">
        <f>Sheet1!B99</f>
        <v>11.42</v>
      </c>
      <c r="C133" s="415">
        <v>1</v>
      </c>
    </row>
    <row r="134" spans="1:3">
      <c r="A134" s="413">
        <f>Sheet1!A100</f>
        <v>600</v>
      </c>
      <c r="B134" s="414">
        <f>Sheet1!B100</f>
        <v>11.33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</v>
      </c>
      <c r="B18" s="413"/>
    </row>
    <row r="19" spans="1:3">
      <c r="A19" s="413">
        <f>Step.Select!A19</f>
        <v>0.1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SkinFactor!H8</f>
        <v>5.2469999999999999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7.9892357823750118</v>
      </c>
      <c r="C31" s="415">
        <v>1</v>
      </c>
    </row>
    <row r="32" spans="1:3">
      <c r="A32" s="413">
        <f>LongTest!D11</f>
        <v>2</v>
      </c>
      <c r="B32" s="417">
        <f>LongTest!G11</f>
        <v>9.3862319730882557</v>
      </c>
      <c r="C32" s="415">
        <v>1</v>
      </c>
    </row>
    <row r="33" spans="1:3">
      <c r="A33" s="413">
        <f>LongTest!D12</f>
        <v>3</v>
      </c>
      <c r="B33" s="417">
        <f>LongTest!G12</f>
        <v>10.203422358305801</v>
      </c>
      <c r="C33" s="415">
        <v>1</v>
      </c>
    </row>
    <row r="34" spans="1:3">
      <c r="A34" s="413">
        <f>LongTest!D13</f>
        <v>4</v>
      </c>
      <c r="B34" s="417">
        <f>LongTest!G13</f>
        <v>10.7832281638015</v>
      </c>
      <c r="C34" s="415">
        <v>1</v>
      </c>
    </row>
    <row r="35" spans="1:3">
      <c r="A35" s="413">
        <f>LongTest!D14</f>
        <v>5</v>
      </c>
      <c r="B35" s="417">
        <f>LongTest!G14</f>
        <v>11.232960486042714</v>
      </c>
      <c r="C35" s="415">
        <v>1</v>
      </c>
    </row>
    <row r="36" spans="1:3">
      <c r="A36" s="413">
        <f>LongTest!D15</f>
        <v>10</v>
      </c>
      <c r="B36" s="417">
        <f>LongTest!G15</f>
        <v>12.62995667675596</v>
      </c>
      <c r="C36" s="415">
        <v>1</v>
      </c>
    </row>
    <row r="37" spans="1:3">
      <c r="A37" s="413">
        <f>LongTest!D16</f>
        <v>15</v>
      </c>
      <c r="B37" s="417">
        <f>LongTest!G16</f>
        <v>13.447147061973507</v>
      </c>
      <c r="C37" s="415">
        <v>1</v>
      </c>
    </row>
    <row r="38" spans="1:3">
      <c r="A38" s="413">
        <f>LongTest!D17</f>
        <v>20</v>
      </c>
      <c r="B38" s="417">
        <f>LongTest!G17</f>
        <v>14.026952867469202</v>
      </c>
      <c r="C38" s="415">
        <v>1</v>
      </c>
    </row>
    <row r="39" spans="1:3">
      <c r="A39" s="413">
        <f>LongTest!D18</f>
        <v>25</v>
      </c>
      <c r="B39" s="417">
        <f>LongTest!G18</f>
        <v>14.47668518971042</v>
      </c>
      <c r="C39" s="415">
        <v>1</v>
      </c>
    </row>
    <row r="40" spans="1:3">
      <c r="A40" s="413">
        <f>LongTest!D19</f>
        <v>30</v>
      </c>
      <c r="B40" s="417">
        <f>LongTest!G19</f>
        <v>14.844143252686752</v>
      </c>
      <c r="C40" s="415">
        <v>1</v>
      </c>
    </row>
    <row r="41" spans="1:3">
      <c r="A41" s="413">
        <f>LongTest!D20</f>
        <v>35</v>
      </c>
      <c r="B41" s="417">
        <f>LongTest!G20</f>
        <v>15.154824618137262</v>
      </c>
      <c r="C41" s="415">
        <v>1</v>
      </c>
    </row>
    <row r="42" spans="1:3">
      <c r="A42" s="413">
        <f>LongTest!D21</f>
        <v>40</v>
      </c>
      <c r="B42" s="417">
        <f>LongTest!G21</f>
        <v>15.423949058182448</v>
      </c>
      <c r="C42" s="415">
        <v>1</v>
      </c>
    </row>
    <row r="43" spans="1:3">
      <c r="A43" s="413">
        <f>LongTest!D22</f>
        <v>45</v>
      </c>
      <c r="B43" s="417">
        <f>LongTest!G22</f>
        <v>15.661333637904296</v>
      </c>
      <c r="C43" s="415">
        <v>1</v>
      </c>
    </row>
    <row r="44" spans="1:3">
      <c r="A44" s="413">
        <f>LongTest!D23</f>
        <v>50</v>
      </c>
      <c r="B44" s="417">
        <f>LongTest!G23</f>
        <v>15.873681380423662</v>
      </c>
      <c r="C44" s="415">
        <v>1</v>
      </c>
    </row>
    <row r="45" spans="1:3">
      <c r="A45" s="413">
        <f>LongTest!D24</f>
        <v>55</v>
      </c>
      <c r="B45" s="417">
        <f>LongTest!G24</f>
        <v>16.034363279311972</v>
      </c>
      <c r="C45" s="415">
        <v>1</v>
      </c>
    </row>
    <row r="46" spans="1:3">
      <c r="A46" s="413">
        <f>LongTest!D25</f>
        <v>60</v>
      </c>
      <c r="B46" s="417">
        <f>LongTest!G25</f>
        <v>16.241139443399991</v>
      </c>
      <c r="C46" s="415">
        <v>1</v>
      </c>
    </row>
    <row r="47" spans="1:3">
      <c r="A47" s="413">
        <f>LongTest!D26</f>
        <v>75</v>
      </c>
      <c r="B47" s="417">
        <f>LongTest!G26</f>
        <v>16.690871765641212</v>
      </c>
      <c r="C47" s="415">
        <v>1</v>
      </c>
    </row>
    <row r="48" spans="1:3">
      <c r="A48" s="413">
        <f>LongTest!D27</f>
        <v>90</v>
      </c>
      <c r="B48" s="417">
        <f>LongTest!G27</f>
        <v>17.058329828617541</v>
      </c>
      <c r="C48" s="415">
        <v>1</v>
      </c>
    </row>
    <row r="49" spans="1:3">
      <c r="A49" s="413">
        <f>LongTest!D28</f>
        <v>105</v>
      </c>
      <c r="B49" s="417">
        <f>LongTest!G28</f>
        <v>17.369011194068054</v>
      </c>
      <c r="C49" s="415">
        <v>1</v>
      </c>
    </row>
    <row r="50" spans="1:3">
      <c r="A50" s="413">
        <f>LongTest!D29</f>
        <v>120</v>
      </c>
      <c r="B50" s="417">
        <f>LongTest!G29</f>
        <v>17.638135634113237</v>
      </c>
      <c r="C50" s="415">
        <v>1</v>
      </c>
    </row>
    <row r="51" spans="1:3">
      <c r="A51" s="413">
        <f>LongTest!D30</f>
        <v>140</v>
      </c>
      <c r="B51" s="417">
        <f>LongTest!G30</f>
        <v>17.94881699956375</v>
      </c>
      <c r="C51" s="415">
        <v>1</v>
      </c>
    </row>
    <row r="52" spans="1:3">
      <c r="A52" s="413">
        <f>LongTest!D31</f>
        <v>160</v>
      </c>
      <c r="B52" s="417">
        <f>LongTest!G31</f>
        <v>18.217941439608936</v>
      </c>
      <c r="C52" s="415">
        <v>1</v>
      </c>
    </row>
    <row r="53" spans="1:3">
      <c r="A53" s="413">
        <f>LongTest!D32</f>
        <v>180</v>
      </c>
      <c r="B53" s="417">
        <f>LongTest!G32</f>
        <v>18.455326019330784</v>
      </c>
      <c r="C53" s="415">
        <v>1</v>
      </c>
    </row>
    <row r="54" spans="1:3">
      <c r="A54" s="413">
        <f>LongTest!D33</f>
        <v>240</v>
      </c>
      <c r="B54" s="417">
        <f>LongTest!G33</f>
        <v>19.035131824826479</v>
      </c>
      <c r="C54" s="415">
        <v>1</v>
      </c>
    </row>
    <row r="55" spans="1:3">
      <c r="A55" s="413">
        <f>LongTest!D34</f>
        <v>300</v>
      </c>
      <c r="B55" s="417">
        <f>LongTest!G34</f>
        <v>19.4848641470677</v>
      </c>
      <c r="C55" s="415">
        <v>1</v>
      </c>
    </row>
    <row r="56" spans="1:3">
      <c r="A56" s="413">
        <f>LongTest!D35</f>
        <v>360</v>
      </c>
      <c r="B56" s="417">
        <f>LongTest!G35</f>
        <v>19.852322210044029</v>
      </c>
      <c r="C56" s="415">
        <v>1</v>
      </c>
    </row>
    <row r="57" spans="1:3">
      <c r="A57" s="413">
        <f>LongTest!D36</f>
        <v>420</v>
      </c>
      <c r="B57" s="417">
        <f>LongTest!G36</f>
        <v>20.163003575494542</v>
      </c>
      <c r="C57" s="415">
        <v>1</v>
      </c>
    </row>
    <row r="58" spans="1:3">
      <c r="A58" s="413">
        <f>LongTest!D37</f>
        <v>480</v>
      </c>
      <c r="B58" s="417">
        <f>LongTest!G37</f>
        <v>20.432128015539725</v>
      </c>
      <c r="C58" s="415">
        <v>1</v>
      </c>
    </row>
    <row r="59" spans="1:3">
      <c r="A59" s="413">
        <f>LongTest!D38</f>
        <v>540</v>
      </c>
      <c r="B59" s="417">
        <f>LongTest!G38</f>
        <v>20.669512595261576</v>
      </c>
      <c r="C59" s="415">
        <v>1</v>
      </c>
    </row>
    <row r="60" spans="1:3">
      <c r="A60" s="413">
        <f>LongTest!D39</f>
        <v>600</v>
      </c>
      <c r="B60" s="417">
        <f>LongTest!G39</f>
        <v>20.881860337780942</v>
      </c>
      <c r="C60" s="415">
        <v>1</v>
      </c>
    </row>
    <row r="61" spans="1:3">
      <c r="A61" s="413">
        <f>LongTest!D40</f>
        <v>660</v>
      </c>
      <c r="B61" s="417">
        <f>LongTest!G40</f>
        <v>21.07395223666925</v>
      </c>
      <c r="C61" s="415">
        <v>1</v>
      </c>
    </row>
    <row r="62" spans="1:3">
      <c r="A62" s="413">
        <f>LongTest!D41</f>
        <v>720</v>
      </c>
      <c r="B62" s="417">
        <f>LongTest!G41</f>
        <v>21.249318400757272</v>
      </c>
      <c r="C62" s="415">
        <v>1</v>
      </c>
    </row>
    <row r="63" spans="1:3">
      <c r="A63" s="413">
        <f>LongTest!D42</f>
        <v>780</v>
      </c>
      <c r="B63" s="417">
        <f>LongTest!G42</f>
        <v>21.410639633607087</v>
      </c>
      <c r="C63" s="415">
        <v>1</v>
      </c>
    </row>
    <row r="64" spans="1:3">
      <c r="A64" s="413">
        <f>LongTest!D43</f>
        <v>840</v>
      </c>
      <c r="B64" s="417">
        <f>LongTest!G43</f>
        <v>21.559999766207785</v>
      </c>
      <c r="C64" s="415">
        <v>1</v>
      </c>
    </row>
    <row r="65" spans="1:3">
      <c r="A65" s="413">
        <f>LongTest!D44</f>
        <v>900</v>
      </c>
      <c r="B65" s="417">
        <f>LongTest!G44</f>
        <v>21.559999766207785</v>
      </c>
      <c r="C65" s="415">
        <v>1</v>
      </c>
    </row>
    <row r="66" spans="1:3">
      <c r="A66" s="413">
        <f>LongTest!D45</f>
        <v>960</v>
      </c>
      <c r="B66" s="417">
        <f>LongTest!G45</f>
        <v>21.559999766207785</v>
      </c>
      <c r="C66" s="415">
        <v>1</v>
      </c>
    </row>
    <row r="67" spans="1:3">
      <c r="A67" s="413">
        <f>LongTest!D46</f>
        <v>1020</v>
      </c>
      <c r="B67" s="417">
        <f>LongTest!G46</f>
        <v>21.559999766207785</v>
      </c>
      <c r="C67" s="415">
        <v>1</v>
      </c>
    </row>
    <row r="68" spans="1:3">
      <c r="A68" s="413">
        <f>LongTest!D47</f>
        <v>1080</v>
      </c>
      <c r="B68" s="417">
        <f>LongTest!G47</f>
        <v>21.559999766207785</v>
      </c>
      <c r="C68" s="415">
        <v>1</v>
      </c>
    </row>
    <row r="69" spans="1:3">
      <c r="A69" s="413">
        <f>LongTest!D48</f>
        <v>1140</v>
      </c>
      <c r="B69" s="417">
        <f>LongTest!G48</f>
        <v>21.559999766207785</v>
      </c>
      <c r="C69" s="415">
        <v>1</v>
      </c>
    </row>
    <row r="70" spans="1:3">
      <c r="A70" s="413">
        <f>LongTest!D49</f>
        <v>1200</v>
      </c>
      <c r="B70" s="417">
        <f>LongTest!G49</f>
        <v>21.559999766207785</v>
      </c>
      <c r="C70" s="415">
        <v>1</v>
      </c>
    </row>
    <row r="71" spans="1:3">
      <c r="A71" s="413">
        <f>LongTest!D50</f>
        <v>1260</v>
      </c>
      <c r="B71" s="417">
        <f>LongTest!G50</f>
        <v>21.559999766207785</v>
      </c>
      <c r="C71" s="415">
        <v>1</v>
      </c>
    </row>
    <row r="72" spans="1:3">
      <c r="A72" s="413">
        <f>LongTest!D51</f>
        <v>1320</v>
      </c>
      <c r="B72" s="417">
        <f>LongTest!G51</f>
        <v>21.559999766207785</v>
      </c>
      <c r="C72" s="415">
        <v>1</v>
      </c>
    </row>
    <row r="73" spans="1:3">
      <c r="A73" s="413">
        <f>LongTest!D52</f>
        <v>1380</v>
      </c>
      <c r="B73" s="417">
        <f>LongTest!G52</f>
        <v>21.559999766207785</v>
      </c>
      <c r="C73" s="415">
        <v>1</v>
      </c>
    </row>
    <row r="74" spans="1:3">
      <c r="A74" s="413">
        <f>LongTest!D53</f>
        <v>1440</v>
      </c>
      <c r="B74" s="417">
        <f>LongTest!G53</f>
        <v>21.559999766207785</v>
      </c>
      <c r="C74" s="415">
        <v>1</v>
      </c>
    </row>
    <row r="75" spans="1:3">
      <c r="A75" s="413">
        <f>LongTest!D54</f>
        <v>1500</v>
      </c>
      <c r="B75" s="417">
        <f>LongTest!G54</f>
        <v>21.559999766207785</v>
      </c>
      <c r="C75" s="415">
        <v>1</v>
      </c>
    </row>
    <row r="76" spans="1:3">
      <c r="A76" s="413">
        <f>LongTest!D55</f>
        <v>1560</v>
      </c>
      <c r="B76" s="417">
        <f>LongTest!G55</f>
        <v>21.559999766207785</v>
      </c>
      <c r="C76" s="415">
        <v>1</v>
      </c>
    </row>
    <row r="77" spans="1:3">
      <c r="A77" s="413">
        <f>LongTest!D56</f>
        <v>1620</v>
      </c>
      <c r="B77" s="417">
        <f>LongTest!G56</f>
        <v>21.559999766207785</v>
      </c>
      <c r="C77" s="415">
        <v>1</v>
      </c>
    </row>
    <row r="78" spans="1:3">
      <c r="A78" s="413">
        <f>LongTest!D57</f>
        <v>1680</v>
      </c>
      <c r="B78" s="417">
        <f>LongTest!G57</f>
        <v>21.559999766207785</v>
      </c>
      <c r="C78" s="415">
        <v>1</v>
      </c>
    </row>
    <row r="79" spans="1:3">
      <c r="A79" s="413">
        <f>LongTest!D58</f>
        <v>1740</v>
      </c>
      <c r="B79" s="417">
        <f>LongTest!G58</f>
        <v>21.559999766207785</v>
      </c>
      <c r="C79" s="415">
        <v>1</v>
      </c>
    </row>
    <row r="80" spans="1:3">
      <c r="A80" s="413">
        <f>LongTest!D59</f>
        <v>1800</v>
      </c>
      <c r="B80" s="417">
        <f>LongTest!G59</f>
        <v>21.559999766207785</v>
      </c>
      <c r="C80" s="415">
        <v>1</v>
      </c>
    </row>
    <row r="81" spans="1:3">
      <c r="A81" s="413">
        <f>LongTest!D60</f>
        <v>1860</v>
      </c>
      <c r="B81" s="417">
        <f>LongTest!G60</f>
        <v>21.559999766207785</v>
      </c>
      <c r="C81" s="415">
        <v>1</v>
      </c>
    </row>
    <row r="82" spans="1:3">
      <c r="A82" s="413">
        <f>LongTest!D61</f>
        <v>1920</v>
      </c>
      <c r="B82" s="417">
        <f>LongTest!G61</f>
        <v>21.559999766207785</v>
      </c>
      <c r="C82" s="415">
        <v>1</v>
      </c>
    </row>
    <row r="83" spans="1:3">
      <c r="A83" s="413">
        <f>LongTest!D62</f>
        <v>1980</v>
      </c>
      <c r="B83" s="417">
        <f>LongTest!G62</f>
        <v>21.559999766207785</v>
      </c>
      <c r="C83" s="415">
        <v>1</v>
      </c>
    </row>
    <row r="84" spans="1:3">
      <c r="A84" s="413">
        <f>LongTest!D63</f>
        <v>2040</v>
      </c>
      <c r="B84" s="417">
        <f>LongTest!G63</f>
        <v>21.559999766207785</v>
      </c>
      <c r="C84" s="415">
        <v>1</v>
      </c>
    </row>
    <row r="85" spans="1:3">
      <c r="A85" s="413">
        <f>LongTest!D64</f>
        <v>2100</v>
      </c>
      <c r="B85" s="417">
        <f>LongTest!G64</f>
        <v>21.559999766207785</v>
      </c>
      <c r="C85" s="415">
        <v>1</v>
      </c>
    </row>
    <row r="86" spans="1:3">
      <c r="A86" s="413">
        <f>LongTest!D65</f>
        <v>2160</v>
      </c>
      <c r="B86" s="417">
        <f>LongTest!G65</f>
        <v>21.559999766207785</v>
      </c>
      <c r="C86" s="415">
        <v>1</v>
      </c>
    </row>
    <row r="87" spans="1:3">
      <c r="A87" s="413">
        <f>LongTest!D66</f>
        <v>2220</v>
      </c>
      <c r="B87" s="417">
        <f>LongTest!G66</f>
        <v>21.559999766207785</v>
      </c>
      <c r="C87" s="415">
        <v>1</v>
      </c>
    </row>
    <row r="88" spans="1:3">
      <c r="A88" s="413">
        <f>LongTest!D67</f>
        <v>2280</v>
      </c>
      <c r="B88" s="417">
        <f>LongTest!G67</f>
        <v>21.559999766207785</v>
      </c>
      <c r="C88" s="415">
        <v>1</v>
      </c>
    </row>
    <row r="89" spans="1:3">
      <c r="A89" s="413">
        <f>LongTest!D68</f>
        <v>2340</v>
      </c>
      <c r="B89" s="417">
        <f>LongTest!G68</f>
        <v>21.559999766207785</v>
      </c>
      <c r="C89" s="415">
        <v>1</v>
      </c>
    </row>
    <row r="90" spans="1:3">
      <c r="A90" s="413">
        <f>LongTest!D69</f>
        <v>2400</v>
      </c>
      <c r="B90" s="417">
        <f>LongTest!G69</f>
        <v>21.559999766207785</v>
      </c>
      <c r="C90" s="415">
        <v>1</v>
      </c>
    </row>
    <row r="91" spans="1:3">
      <c r="A91" s="413">
        <f>LongTest!D70</f>
        <v>2460</v>
      </c>
      <c r="B91" s="417">
        <f>LongTest!G70</f>
        <v>21.559999766207785</v>
      </c>
      <c r="C91" s="415">
        <v>1</v>
      </c>
    </row>
    <row r="92" spans="1:3">
      <c r="A92" s="413">
        <f>LongTest!D71</f>
        <v>2520</v>
      </c>
      <c r="B92" s="417">
        <f>LongTest!G71</f>
        <v>21.559999766207785</v>
      </c>
      <c r="C92" s="415">
        <v>1</v>
      </c>
    </row>
    <row r="93" spans="1:3">
      <c r="A93" s="413">
        <f>LongTest!D72</f>
        <v>2580</v>
      </c>
      <c r="B93" s="417">
        <f>LongTest!G72</f>
        <v>21.559999766207785</v>
      </c>
      <c r="C93" s="415">
        <v>1</v>
      </c>
    </row>
    <row r="94" spans="1:3">
      <c r="A94" s="413">
        <f>LongTest!D73</f>
        <v>2640</v>
      </c>
      <c r="B94" s="417">
        <f>LongTest!G73</f>
        <v>21.559999766207785</v>
      </c>
      <c r="C94" s="415">
        <v>1</v>
      </c>
    </row>
    <row r="95" spans="1:3">
      <c r="A95" s="413">
        <f>LongTest!D74</f>
        <v>2700</v>
      </c>
      <c r="B95" s="417">
        <f>LongTest!G74</f>
        <v>21.559999766207785</v>
      </c>
      <c r="C95" s="415">
        <v>1</v>
      </c>
    </row>
    <row r="96" spans="1:3">
      <c r="A96" s="413">
        <f>LongTest!D75</f>
        <v>2760</v>
      </c>
      <c r="B96" s="417">
        <f>LongTest!G75</f>
        <v>21.559999766207785</v>
      </c>
      <c r="C96" s="415">
        <v>1</v>
      </c>
    </row>
    <row r="97" spans="1:3">
      <c r="A97" s="413">
        <f>LongTest!D76</f>
        <v>2820</v>
      </c>
      <c r="B97" s="417">
        <f>LongTest!G76</f>
        <v>21.559999766207785</v>
      </c>
      <c r="C97" s="415">
        <v>1</v>
      </c>
    </row>
    <row r="98" spans="1:3">
      <c r="A98" s="413">
        <f>LongTest!D77</f>
        <v>2880</v>
      </c>
      <c r="B98" s="417">
        <f>LongTest!G77</f>
        <v>21.559999766207785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/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Step.Select!A7</f>
        <v>434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Step.Select!A18</f>
        <v>0.1</v>
      </c>
      <c r="B18" s="413"/>
    </row>
    <row r="19" spans="1:3">
      <c r="A19" s="413">
        <f>Step.Select!A19</f>
        <v>0.1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SkinFactor!H8</f>
        <v>5.2469999999999999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21.559999766207785</v>
      </c>
      <c r="C32" s="415">
        <v>1</v>
      </c>
    </row>
    <row r="33" spans="1:3">
      <c r="A33" s="413">
        <f>$A$32+LongTest!D78</f>
        <v>2881</v>
      </c>
      <c r="B33" s="414">
        <f>LongTest!G78</f>
        <v>14.026132155764452</v>
      </c>
      <c r="C33" s="415">
        <v>1</v>
      </c>
    </row>
    <row r="34" spans="1:3">
      <c r="A34" s="413">
        <f>$A$32+LongTest!D79</f>
        <v>2882</v>
      </c>
      <c r="B34" s="414">
        <f>LongTest!G79</f>
        <v>12.791705847272407</v>
      </c>
      <c r="C34" s="415">
        <v>1</v>
      </c>
    </row>
    <row r="35" spans="1:3">
      <c r="A35" s="413">
        <f>$A$32+LongTest!D80</f>
        <v>2883</v>
      </c>
      <c r="B35" s="414">
        <f>LongTest!G80</f>
        <v>11.665920202804845</v>
      </c>
      <c r="C35" s="415">
        <v>1</v>
      </c>
    </row>
    <row r="36" spans="1:3">
      <c r="A36" s="413">
        <f>$A$32+LongTest!D81</f>
        <v>2884</v>
      </c>
      <c r="B36" s="414">
        <f>LongTest!G81</f>
        <v>10.639213862725709</v>
      </c>
      <c r="C36" s="415">
        <v>1</v>
      </c>
    </row>
    <row r="37" spans="1:3">
      <c r="A37" s="413">
        <f>$A$32+LongTest!D82</f>
        <v>2885</v>
      </c>
      <c r="B37" s="414">
        <f>LongTest!G82</f>
        <v>9.7028669534015766</v>
      </c>
      <c r="C37" s="415">
        <v>1</v>
      </c>
    </row>
    <row r="38" spans="1:3">
      <c r="A38" s="413">
        <f>$A$32+LongTest!D83</f>
        <v>2890</v>
      </c>
      <c r="B38" s="414">
        <f>LongTest!G83</f>
        <v>7.3598961889424013</v>
      </c>
      <c r="C38" s="415">
        <v>1</v>
      </c>
    </row>
    <row r="39" spans="1:3">
      <c r="A39" s="413">
        <f>$A$32+LongTest!D84</f>
        <v>2895</v>
      </c>
      <c r="B39" s="414">
        <f>LongTest!G84</f>
        <v>6.9214759411047888</v>
      </c>
      <c r="C39" s="415">
        <v>1</v>
      </c>
    </row>
    <row r="40" spans="1:3">
      <c r="A40" s="413">
        <f>$A$32+LongTest!D85</f>
        <v>2900</v>
      </c>
      <c r="B40" s="414">
        <f>LongTest!G85</f>
        <v>5.7567820634983304</v>
      </c>
      <c r="C40" s="415">
        <v>1</v>
      </c>
    </row>
    <row r="41" spans="1:3">
      <c r="A41" s="413">
        <f>$A$32+LongTest!D86</f>
        <v>2905</v>
      </c>
      <c r="B41" s="414">
        <f>LongTest!G86</f>
        <v>5.250133248805902</v>
      </c>
      <c r="C41" s="415">
        <v>1</v>
      </c>
    </row>
    <row r="42" spans="1:3">
      <c r="A42" s="413">
        <f>$A$32+LongTest!D87</f>
        <v>2910</v>
      </c>
      <c r="B42" s="414">
        <f>LongTest!G87</f>
        <v>4.7880741056691889</v>
      </c>
      <c r="C42" s="415">
        <v>1</v>
      </c>
    </row>
    <row r="43" spans="1:3">
      <c r="A43" s="413">
        <f>$A$32+LongTest!D88</f>
        <v>2915</v>
      </c>
      <c r="B43" s="414">
        <f>LongTest!G88</f>
        <v>4.6432746813222003</v>
      </c>
      <c r="C43" s="415">
        <v>1</v>
      </c>
    </row>
    <row r="44" spans="1:3">
      <c r="A44" s="413">
        <f>$A$32+LongTest!D89</f>
        <v>2920</v>
      </c>
      <c r="B44" s="414">
        <f>LongTest!G89</f>
        <v>4.5028542354180043</v>
      </c>
      <c r="C44" s="415">
        <v>1</v>
      </c>
    </row>
    <row r="45" spans="1:3">
      <c r="A45" s="413">
        <f>$A$32+LongTest!D90</f>
        <v>2925</v>
      </c>
      <c r="B45" s="414">
        <f>LongTest!G90</f>
        <v>4.3666803402740397</v>
      </c>
      <c r="C45" s="415">
        <v>1</v>
      </c>
    </row>
    <row r="46" spans="1:3">
      <c r="A46" s="413">
        <f>$A$32+LongTest!D91</f>
        <v>2930</v>
      </c>
      <c r="B46" s="414">
        <f>LongTest!G91</f>
        <v>4.2346245730438827</v>
      </c>
      <c r="C46" s="415">
        <v>1</v>
      </c>
    </row>
    <row r="47" spans="1:3">
      <c r="A47" s="413">
        <f>$A$32+LongTest!D92</f>
        <v>2935</v>
      </c>
      <c r="B47" s="414">
        <f>LongTest!G92</f>
        <v>4.1065623946042553</v>
      </c>
      <c r="C47" s="415">
        <v>1</v>
      </c>
    </row>
    <row r="48" spans="1:3">
      <c r="A48" s="413">
        <f>$A$32+LongTest!D93</f>
        <v>2940</v>
      </c>
      <c r="B48" s="414">
        <f>LongTest!G93</f>
        <v>3.9823730321047002</v>
      </c>
      <c r="C48" s="415">
        <v>1</v>
      </c>
    </row>
    <row r="49" spans="1:3">
      <c r="A49" s="413">
        <f>$A$32+LongTest!D94</f>
        <v>2955</v>
      </c>
      <c r="B49" s="414">
        <f>LongTest!G94</f>
        <v>3.8619393650691434</v>
      </c>
      <c r="C49" s="415">
        <v>1</v>
      </c>
    </row>
    <row r="50" spans="1:3">
      <c r="A50" s="413">
        <f>$A$32+LongTest!D95</f>
        <v>2970</v>
      </c>
      <c r="B50" s="414">
        <f>LongTest!G95</f>
        <v>3.7451478149419484</v>
      </c>
      <c r="C50" s="415">
        <v>1</v>
      </c>
    </row>
    <row r="51" spans="1:3">
      <c r="A51" s="413">
        <f>$A$32+LongTest!D96</f>
        <v>2985</v>
      </c>
      <c r="B51" s="414">
        <f>LongTest!G96</f>
        <v>3.6318882379742727</v>
      </c>
      <c r="C51" s="415">
        <v>1</v>
      </c>
    </row>
    <row r="52" spans="1:3">
      <c r="A52" s="413">
        <f>$A$32+LongTest!D97</f>
        <v>3000</v>
      </c>
      <c r="B52" s="414">
        <f>LongTest!G97</f>
        <v>3.3122492711750251</v>
      </c>
      <c r="C52" s="415">
        <v>1</v>
      </c>
    </row>
    <row r="53" spans="1:3">
      <c r="A53" s="413">
        <f>$A$32+LongTest!D98</f>
        <v>3060</v>
      </c>
      <c r="B53" s="414">
        <f>LongTest!G98</f>
        <v>3.2120812751968497</v>
      </c>
      <c r="C53" s="415">
        <v>1</v>
      </c>
    </row>
    <row r="54" spans="1:3">
      <c r="A54" s="413">
        <f>$A$32+LongTest!D99</f>
        <v>3120</v>
      </c>
      <c r="B54" s="414">
        <f>LongTest!G99</f>
        <v>2.6715764135995177</v>
      </c>
      <c r="C54" s="415">
        <v>1</v>
      </c>
    </row>
    <row r="55" spans="1:3">
      <c r="A55" s="413">
        <f>$A$32+LongTest!D100</f>
        <v>3180</v>
      </c>
      <c r="B55" s="414">
        <f>LongTest!G100</f>
        <v>2.2220236420586388</v>
      </c>
      <c r="C55" s="415">
        <v>1</v>
      </c>
    </row>
    <row r="56" spans="1:3">
      <c r="A56" s="413">
        <f>$A$32+LongTest!D101</f>
        <v>3240</v>
      </c>
      <c r="B56" s="414">
        <f>LongTest!G101</f>
        <v>1.8481182274008787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/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253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254</v>
      </c>
      <c r="C6" s="386">
        <f>LongTest!C10</f>
        <v>44347.444444444445</v>
      </c>
      <c r="D6" s="387"/>
      <c r="E6" s="381"/>
      <c r="F6" s="381"/>
    </row>
    <row r="7" spans="2:16" s="380" customFormat="1" ht="26.1" customHeight="1" thickBot="1">
      <c r="B7" s="385" t="s">
        <v>255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256</v>
      </c>
      <c r="C8" s="390">
        <v>226</v>
      </c>
      <c r="D8" s="387"/>
      <c r="E8" s="381"/>
      <c r="F8" s="381"/>
    </row>
    <row r="9" spans="2:16" s="380" customFormat="1" ht="26.1" customHeight="1">
      <c r="B9" s="389" t="s">
        <v>257</v>
      </c>
      <c r="C9" s="391">
        <v>6.7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57" t="s">
        <v>258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1" customFormat="1" ht="26.1" customHeight="1">
      <c r="B13" s="392" t="s">
        <v>254</v>
      </c>
      <c r="C13" s="393" t="s">
        <v>259</v>
      </c>
      <c r="D13" s="394" t="s">
        <v>260</v>
      </c>
      <c r="E13" s="395" t="s">
        <v>261</v>
      </c>
      <c r="F13" s="393" t="s">
        <v>262</v>
      </c>
      <c r="H13" s="450" t="s">
        <v>260</v>
      </c>
      <c r="I13" s="395" t="s">
        <v>261</v>
      </c>
      <c r="J13" s="451" t="s">
        <v>262</v>
      </c>
      <c r="L13" s="453" t="s">
        <v>260</v>
      </c>
      <c r="M13" s="454" t="s">
        <v>261</v>
      </c>
      <c r="N13" s="455" t="s">
        <v>262</v>
      </c>
      <c r="O13"/>
      <c r="P13"/>
    </row>
    <row r="14" spans="2:16" s="381" customFormat="1" ht="26.1" customHeight="1">
      <c r="B14" s="396">
        <f>$C$6+C14/1440</f>
        <v>44347.447916666664</v>
      </c>
      <c r="C14" s="397">
        <v>5</v>
      </c>
      <c r="D14" s="480">
        <f t="shared" ref="D14:D23" si="0">baseTemp+H14</f>
        <v>14.799999999999999</v>
      </c>
      <c r="E14" s="398">
        <f>$C$8+I14</f>
        <v>228</v>
      </c>
      <c r="F14" s="399">
        <f>$C$9+J14</f>
        <v>6.63</v>
      </c>
      <c r="H14" s="400">
        <v>0.1</v>
      </c>
      <c r="I14" s="401">
        <v>2</v>
      </c>
      <c r="J14" s="402">
        <v>-7.0000000000000007E-2</v>
      </c>
      <c r="L14" s="453">
        <f ca="1">ROUND(myRandBetween(0,1,10), 1)</f>
        <v>0.1</v>
      </c>
      <c r="M14" s="454">
        <f ca="1">myRandBetween(1,3,1)</f>
        <v>3</v>
      </c>
      <c r="N14" s="455">
        <f ca="1">ROUND(myRandBetween(7,12,100), 2)</f>
        <v>0.12</v>
      </c>
      <c r="O14"/>
      <c r="P14"/>
    </row>
    <row r="15" spans="2:16" s="381" customFormat="1" ht="26.1" customHeight="1">
      <c r="B15" s="403">
        <f t="shared" ref="B15:B23" si="1">$C$6+C15/1440</f>
        <v>44347.465277777781</v>
      </c>
      <c r="C15" s="402">
        <v>30</v>
      </c>
      <c r="D15" s="406">
        <f t="shared" si="0"/>
        <v>14.6</v>
      </c>
      <c r="E15" s="404">
        <f t="shared" ref="E15:E23" si="2">$C$8+I15</f>
        <v>227</v>
      </c>
      <c r="F15" s="405">
        <f t="shared" ref="F15:F23" si="3">$C$9+J15</f>
        <v>6.79</v>
      </c>
      <c r="H15" s="400">
        <v>-0.1</v>
      </c>
      <c r="I15" s="401">
        <v>1</v>
      </c>
      <c r="J15" s="402">
        <v>0.09</v>
      </c>
      <c r="L15" s="453">
        <f t="shared" ref="L15:L23" ca="1" si="4">ROUND(myRandBetween(0,1,10), 1)</f>
        <v>0.1</v>
      </c>
      <c r="M15" s="454">
        <f t="shared" ref="M15:M23" ca="1" si="5">myRandBetween(1,3,1)</f>
        <v>-3</v>
      </c>
      <c r="N15" s="455">
        <f t="shared" ref="N15:N23" ca="1" si="6">ROUND(myRandBetween(7,12,100), 2)</f>
        <v>-0.08</v>
      </c>
      <c r="O15"/>
      <c r="P15"/>
    </row>
    <row r="16" spans="2:16" s="381" customFormat="1" ht="26.1" customHeight="1">
      <c r="B16" s="403">
        <f t="shared" si="1"/>
        <v>44347.486111111109</v>
      </c>
      <c r="C16" s="402">
        <v>60</v>
      </c>
      <c r="D16" s="406">
        <f t="shared" si="0"/>
        <v>14.7</v>
      </c>
      <c r="E16" s="404">
        <f t="shared" si="2"/>
        <v>229</v>
      </c>
      <c r="F16" s="405">
        <f t="shared" si="3"/>
        <v>6.62</v>
      </c>
      <c r="H16" s="400">
        <v>0</v>
      </c>
      <c r="I16" s="401">
        <v>3</v>
      </c>
      <c r="J16" s="402">
        <v>-0.08</v>
      </c>
      <c r="L16" s="453">
        <f t="shared" ca="1" si="4"/>
        <v>-0.1</v>
      </c>
      <c r="M16" s="454">
        <f t="shared" ca="1" si="5"/>
        <v>-2</v>
      </c>
      <c r="N16" s="455">
        <f t="shared" ca="1" si="6"/>
        <v>-0.11</v>
      </c>
      <c r="O16"/>
      <c r="P16"/>
    </row>
    <row r="17" spans="2:16" s="381" customFormat="1" ht="26.1" customHeight="1">
      <c r="B17" s="403">
        <f t="shared" si="1"/>
        <v>44347.527777777781</v>
      </c>
      <c r="C17" s="402">
        <v>120</v>
      </c>
      <c r="D17" s="406">
        <f t="shared" si="0"/>
        <v>14.7</v>
      </c>
      <c r="E17" s="404">
        <f t="shared" si="2"/>
        <v>229</v>
      </c>
      <c r="F17" s="405">
        <f t="shared" si="3"/>
        <v>6.6000000000000005</v>
      </c>
      <c r="H17" s="400">
        <v>0</v>
      </c>
      <c r="I17" s="401">
        <v>3</v>
      </c>
      <c r="J17" s="402">
        <v>-0.1</v>
      </c>
      <c r="L17" s="453">
        <f t="shared" ca="1" si="4"/>
        <v>-0.1</v>
      </c>
      <c r="M17" s="454">
        <f t="shared" ca="1" si="5"/>
        <v>3</v>
      </c>
      <c r="N17" s="455">
        <f t="shared" ca="1" si="6"/>
        <v>-0.08</v>
      </c>
      <c r="O17"/>
      <c r="P17"/>
    </row>
    <row r="18" spans="2:16" s="381" customFormat="1" ht="26.1" customHeight="1">
      <c r="B18" s="403">
        <f t="shared" si="1"/>
        <v>44347.611111111109</v>
      </c>
      <c r="C18" s="402">
        <v>240</v>
      </c>
      <c r="D18" s="406">
        <f t="shared" si="0"/>
        <v>14.7</v>
      </c>
      <c r="E18" s="404">
        <f t="shared" si="2"/>
        <v>227</v>
      </c>
      <c r="F18" s="405">
        <f t="shared" si="3"/>
        <v>6.58</v>
      </c>
      <c r="H18" s="400">
        <v>0</v>
      </c>
      <c r="I18" s="401">
        <v>1</v>
      </c>
      <c r="J18" s="402">
        <v>-0.12</v>
      </c>
      <c r="L18" s="453">
        <f t="shared" ca="1" si="4"/>
        <v>-0.1</v>
      </c>
      <c r="M18" s="454">
        <f t="shared" ca="1" si="5"/>
        <v>1</v>
      </c>
      <c r="N18" s="455">
        <f t="shared" ca="1" si="6"/>
        <v>0.08</v>
      </c>
      <c r="O18"/>
      <c r="P18"/>
    </row>
    <row r="19" spans="2:16" s="381" customFormat="1" ht="26.1" customHeight="1">
      <c r="B19" s="403">
        <f t="shared" si="1"/>
        <v>44347.777777777781</v>
      </c>
      <c r="C19" s="402">
        <v>480</v>
      </c>
      <c r="D19" s="406">
        <f t="shared" si="0"/>
        <v>14.7</v>
      </c>
      <c r="E19" s="404">
        <f t="shared" si="2"/>
        <v>228</v>
      </c>
      <c r="F19" s="405">
        <f t="shared" si="3"/>
        <v>6.62</v>
      </c>
      <c r="H19" s="400">
        <v>0</v>
      </c>
      <c r="I19" s="401">
        <v>2</v>
      </c>
      <c r="J19" s="402">
        <v>-0.08</v>
      </c>
      <c r="L19" s="453">
        <f t="shared" ca="1" si="4"/>
        <v>0</v>
      </c>
      <c r="M19" s="454">
        <f t="shared" ca="1" si="5"/>
        <v>-2</v>
      </c>
      <c r="N19" s="455">
        <f t="shared" ca="1" si="6"/>
        <v>0.12</v>
      </c>
      <c r="O19"/>
      <c r="P19"/>
    </row>
    <row r="20" spans="2:16" s="380" customFormat="1" ht="26.1" customHeight="1">
      <c r="B20" s="403">
        <f t="shared" si="1"/>
        <v>44348.444444444445</v>
      </c>
      <c r="C20" s="402">
        <v>1440</v>
      </c>
      <c r="D20" s="406">
        <f t="shared" si="0"/>
        <v>14.799999999999999</v>
      </c>
      <c r="E20" s="404">
        <f t="shared" si="2"/>
        <v>229</v>
      </c>
      <c r="F20" s="405">
        <f t="shared" si="3"/>
        <v>6.7700000000000005</v>
      </c>
      <c r="H20" s="400">
        <v>0.1</v>
      </c>
      <c r="I20" s="401">
        <v>3</v>
      </c>
      <c r="J20" s="402">
        <v>7.0000000000000007E-2</v>
      </c>
      <c r="L20" s="453">
        <f t="shared" ca="1" si="4"/>
        <v>0</v>
      </c>
      <c r="M20" s="454">
        <f t="shared" ca="1" si="5"/>
        <v>3</v>
      </c>
      <c r="N20" s="455">
        <f t="shared" ca="1" si="6"/>
        <v>-0.1</v>
      </c>
      <c r="O20"/>
      <c r="P20"/>
    </row>
    <row r="21" spans="2:16" s="380" customFormat="1" ht="26.1" customHeight="1">
      <c r="B21" s="403">
        <f t="shared" si="1"/>
        <v>44348.611111111109</v>
      </c>
      <c r="C21" s="402">
        <v>1680</v>
      </c>
      <c r="D21" s="406">
        <f t="shared" si="0"/>
        <v>14.6</v>
      </c>
      <c r="E21" s="404">
        <f t="shared" si="2"/>
        <v>228</v>
      </c>
      <c r="F21" s="405">
        <f t="shared" si="3"/>
        <v>6.82</v>
      </c>
      <c r="H21" s="400">
        <v>-0.1</v>
      </c>
      <c r="I21" s="401">
        <v>2</v>
      </c>
      <c r="J21" s="402">
        <v>0.12</v>
      </c>
      <c r="L21" s="453">
        <f t="shared" ca="1" si="4"/>
        <v>-0.1</v>
      </c>
      <c r="M21" s="454">
        <f t="shared" ca="1" si="5"/>
        <v>-1</v>
      </c>
      <c r="N21" s="455">
        <f t="shared" ca="1" si="6"/>
        <v>0.08</v>
      </c>
      <c r="O21"/>
      <c r="P21"/>
    </row>
    <row r="22" spans="2:16" s="380" customFormat="1" ht="26.1" customHeight="1">
      <c r="B22" s="403">
        <f t="shared" si="1"/>
        <v>44348.777777777781</v>
      </c>
      <c r="C22" s="402">
        <v>1920</v>
      </c>
      <c r="D22" s="406">
        <f t="shared" si="0"/>
        <v>14.799999999999999</v>
      </c>
      <c r="E22" s="404">
        <f t="shared" si="2"/>
        <v>225</v>
      </c>
      <c r="F22" s="405">
        <f t="shared" si="3"/>
        <v>6.62</v>
      </c>
      <c r="H22" s="400">
        <v>0.1</v>
      </c>
      <c r="I22" s="401">
        <v>-1</v>
      </c>
      <c r="J22" s="402">
        <v>-0.08</v>
      </c>
      <c r="L22" s="453">
        <f t="shared" ca="1" si="4"/>
        <v>0</v>
      </c>
      <c r="M22" s="454">
        <f t="shared" ca="1" si="5"/>
        <v>-2</v>
      </c>
      <c r="N22" s="455">
        <f t="shared" ca="1" si="6"/>
        <v>-0.11</v>
      </c>
      <c r="O22"/>
      <c r="P22"/>
    </row>
    <row r="23" spans="2:16" s="380" customFormat="1" ht="26.1" customHeight="1" thickBot="1">
      <c r="B23" s="403">
        <f t="shared" si="1"/>
        <v>44349.444444444445</v>
      </c>
      <c r="C23" s="402">
        <v>2880</v>
      </c>
      <c r="D23" s="406">
        <f t="shared" si="0"/>
        <v>14.7</v>
      </c>
      <c r="E23" s="404">
        <f t="shared" si="2"/>
        <v>228</v>
      </c>
      <c r="F23" s="405">
        <f t="shared" si="3"/>
        <v>6.7700000000000005</v>
      </c>
      <c r="H23" s="407">
        <v>0</v>
      </c>
      <c r="I23" s="452">
        <v>2</v>
      </c>
      <c r="J23" s="408">
        <v>7.0000000000000007E-2</v>
      </c>
      <c r="L23" s="453">
        <f t="shared" ca="1" si="4"/>
        <v>0</v>
      </c>
      <c r="M23" s="456">
        <f t="shared" ca="1" si="5"/>
        <v>2</v>
      </c>
      <c r="N23" s="457">
        <f t="shared" ca="1" si="6"/>
        <v>-0.11</v>
      </c>
      <c r="O23"/>
      <c r="P23"/>
    </row>
    <row r="24" spans="2:16" s="380" customFormat="1" ht="26.1" customHeight="1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229</v>
      </c>
      <c r="F24" s="393">
        <f t="shared" si="7"/>
        <v>6.82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61" t="s">
        <v>263</v>
      </c>
      <c r="C25" s="562"/>
      <c r="D25" s="394">
        <f>MIN(D14:D23)</f>
        <v>14.6</v>
      </c>
      <c r="E25" s="395">
        <f t="shared" ref="E25:F25" si="8">MIN(E14:E23)</f>
        <v>225</v>
      </c>
      <c r="F25" s="393">
        <f t="shared" si="8"/>
        <v>6.58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55" t="s">
        <v>264</v>
      </c>
      <c r="C26" s="556"/>
      <c r="D26" s="409">
        <f>D24-D25</f>
        <v>0.19999999999999929</v>
      </c>
      <c r="E26" s="410">
        <f t="shared" ref="E26:F26" si="9">E24-E25</f>
        <v>4</v>
      </c>
      <c r="F26" s="411">
        <f t="shared" si="9"/>
        <v>0.24000000000000021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2021-06-26T12:08:51Z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