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F70678F7-F5E7-4A27-8271-DF3F3B270918}" xr6:coauthVersionLast="47" xr6:coauthVersionMax="47" xr10:uidLastSave="{00000000-0000-0000-0000-000000000000}"/>
  <bookViews>
    <workbookView xWindow="-120" yWindow="-120" windowWidth="29040" windowHeight="15720" tabRatio="619" firstSheet="2" activeTab="2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Step.Select" sheetId="20" r:id="rId10"/>
    <sheet name="01_janggi_02" sheetId="21" r:id="rId11"/>
    <sheet name="01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C6" i="33" l="1"/>
  <c r="A28" i="22"/>
  <c r="D4" i="27"/>
  <c r="B15" i="19"/>
  <c r="C7" i="27" l="1"/>
  <c r="L22" i="33"/>
  <c r="L17" i="33"/>
  <c r="L16" i="33"/>
  <c r="L19" i="33"/>
  <c r="L18" i="33"/>
  <c r="L20" i="33"/>
  <c r="L23" i="33"/>
  <c r="L15" i="33"/>
  <c r="L14" i="33"/>
  <c r="L21" i="33"/>
  <c r="M47" i="1" l="1"/>
  <c r="F13" i="27" l="1"/>
  <c r="H16" i="27"/>
  <c r="M17" i="33"/>
  <c r="M16" i="33"/>
  <c r="M19" i="33"/>
  <c r="M18" i="33"/>
  <c r="N16" i="33"/>
  <c r="N20" i="33"/>
  <c r="N18" i="33"/>
  <c r="M22" i="33"/>
  <c r="N17" i="33"/>
  <c r="N23" i="33"/>
  <c r="M21" i="33"/>
  <c r="M15" i="33"/>
  <c r="M23" i="33"/>
  <c r="M20" i="33"/>
  <c r="M14" i="33"/>
  <c r="N14" i="33"/>
  <c r="N21" i="33"/>
  <c r="N19" i="33"/>
  <c r="N15" i="33"/>
  <c r="N22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<sst xmlns="http://schemas.openxmlformats.org/spreadsheetml/2006/main" count="1158" uniqueCount="306">
  <si>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</si>
  <si>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</si>
  <si>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</si>
  <si>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</si>
  <si>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</si>
  <si>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</si>
  <si>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</si>
  <si>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</si>
  <si>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</si>
  <si>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</si>
  <si>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</si>
  <si>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</si>
  <si>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</si>
  <si>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</si>
  <si>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</si>
  <si>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</si>
  <si>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</si>
  <si>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</si>
  <si>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</si>
  <si>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</si>
  <si>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</si>
  <si>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</si>
  <si>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</si>
  <si>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</si>
  <si>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</si>
  <si>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</si>
  <si>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</si>
  <si>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</si>
  <si>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</si>
  <si>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</si>
  <si>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</si>
  <si>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</si>
  <si>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</si>
  <si>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</si>
  <si>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</si>
  <si>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</si>
  <si>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</si>
  <si>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</si>
  <si>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</si>
  <si>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</si>
  <si>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</si>
  <si>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</si>
  <si>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</si>
  <si>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</si>
  <si>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</si>
  <si>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</si>
  <si>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</si>
  <si>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</si>
  <si>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</si>
  <si>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</si>
  <si>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</si>
  <si>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</si>
  <si>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</si>
  <si>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</si>
  <si>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</si>
  <si>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</si>
  <si>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</si>
  <si>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</si>
  <si>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</si>
  <si>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</si>
  <si>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</si>
  <si>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</si>
  <si>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</si>
  <si>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</si>
  <si>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</si>
  <si>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</si>
  <si>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</si>
  <si>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</si>
  <si>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</si>
  <si>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</si>
  <si>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</si>
  <si>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</si>
  <si>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</si>
  <si>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</si>
  <si>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</si>
  <si>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</si>
  <si>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</si>
  <si>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</si>
  <si>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</si>
  <si>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</si>
  <si>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</si>
  <si>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</si>
  <si>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</si>
  <si>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</si>
  <si>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</si>
  <si>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</si>
  <si>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</si>
  <si>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</si>
  <si>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</si>
  <si>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</si>
  <si>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</si>
  <si>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</si>
  <si>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</si>
  <si>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</si>
  <si>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</si>
  <si>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</si>
  <si>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</si>
  <si>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</si>
  <si>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</si>
  <si>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</si>
  <si>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</si>
  <si>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</si>
  <si>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</si>
  <si>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</si>
  <si>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</si>
  <si>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</si>
  <si>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</si>
  <si>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</si>
  <si>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</si>
  <si>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</si>
  <si>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</si>
  <si>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</si>
  <si>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</si>
  <si>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</si>
  <si>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</si>
  <si>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</si>
  <si>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</si>
  <si>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</si>
  <si>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</si>
  <si>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</si>
  <si>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</si>
  <si>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</si>
  <si>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</si>
  <si>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</si>
  <si>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</si>
  <si>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</si>
  <si>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</si>
  <si>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</si>
  <si>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</si>
  <si>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</si>
  <si>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</si>
  <si>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</si>
  <si>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</si>
  <si>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</si>
  <si>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</si>
  <si>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</si>
  <si>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</si>
  <si>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</si>
  <si>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</si>
  <si>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</si>
  <si>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</si>
  <si>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</si>
  <si>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</si>
  <si>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</si>
  <si>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</si>
  <si>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</si>
  <si>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</si>
  <si>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</si>
  <si>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</si>
  <si>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</si>
  <si>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</si>
  <si>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</si>
  <si>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</si>
  <si>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</si>
  <si>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</si>
  <si>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</si>
  <si>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</si>
  <si>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</si>
  <si>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</si>
  <si>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</si>
  <si>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</si>
  <si>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</si>
  <si>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</si>
  <si>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</si>
  <si>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</si>
  <si>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</si>
  <si>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</si>
  <si>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</si>
  <si>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</si>
  <si>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</si>
  <si>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</si>
  <si>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</si>
  <si>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</si>
  <si>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</si>
  <si>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</si>
  <si>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</si>
  <si>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</si>
  <si>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</si>
  <si>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</si>
  <si>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</si>
  <si>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</si>
  <si>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</si>
  <si>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</si>
  <si>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</si>
  <si>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</si>
  <si>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</si>
  <si>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</si>
  <si>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</si>
  <si>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</si>
  <si>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</si>
  <si>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</si>
  <si>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</si>
  <si>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</si>
  <si>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</si>
  <si>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</si>
  <si>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</si>
  <si>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</si>
  <si>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</si>
  <si>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</si>
  <si>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</si>
  <si>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</si>
  <si>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</si>
  <si>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</si>
  <si>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</si>
  <si>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</si>
  <si>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</si>
  <si>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</si>
  <si>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</si>
  <si>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</si>
  <si>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</si>
  <si>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</si>
  <si>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</si>
  <si>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</si>
  <si>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</si>
  <si>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</si>
  <si>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</si>
  <si>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</si>
  <si>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</si>
  <si>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</si>
  <si>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</si>
  <si>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</si>
  <si>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</si>
  <si>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</si>
  <si>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</si>
  <si>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</si>
  <si>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</si>
  <si>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</si>
  <si>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</si>
  <si>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</si>
  <si>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</si>
  <si>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</si>
  <si>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</si>
  <si>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</si>
  <si>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</si>
  <si>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</si>
  <si>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</si>
  <si>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</si>
  <si>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</si>
  <si>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</si>
  <si>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</si>
  <si>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</si>
  <si>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</si>
  <si>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</si>
  <si>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</si>
  <si>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</si>
  <si>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</si>
  <si>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</si>
  <si>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</si>
  <si>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</si>
  <si>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</si>
  <si>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</si>
  <si>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</si>
  <si>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</si>
  <si>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</si>
  <si>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</si>
  <si>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</si>
  <si>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</si>
  <si>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</si>
  <si>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</si>
  <si>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</si>
  <si>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</si>
  <si>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</si>
  <si>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</si>
  <si>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</si>
  <si>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</si>
  <si>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</si>
  <si>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</si>
  <si>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</si>
  <si>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</si>
  <si>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</si>
  <si>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</si>
  <si>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</si>
  <si>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</si>
  <si>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</si>
  <si>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</si>
  <si>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</si>
  <si>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</si>
  <si>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</si>
  <si>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</si>
  <si>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</si>
  <si>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</si>
  <si>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</si>
  <si>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</si>
  <si>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경험식Re3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</si>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</sst>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3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1" fontId="37" fillId="23" borderId="63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3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0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3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0" fontId="37" fillId="0" borderId="69" xfId="0" applyNumberFormat="1" applyFont="1" applyBorder="1" applyAlignment="1">
      <alignment horizontal="center" vertical="center"/>
    </xf>
    <xf numFmtId="176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3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4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3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86" xfId="15" applyNumberFormat="1" applyFont="1" applyFill="1" applyBorder="1" applyAlignment="1">
      <alignment horizontal="center" vertical="center"/>
    </xf>
    <xf numFmtId="208" fontId="58" fillId="33" borderId="90" xfId="15" applyNumberFormat="1" applyFont="1" applyFill="1" applyBorder="1" applyAlignment="1">
      <alignment horizontal="center" vertical="center"/>
    </xf>
    <xf numFmtId="214" fontId="58" fillId="33" borderId="90" xfId="15" applyNumberFormat="1" applyFont="1" applyFill="1" applyBorder="1" applyAlignment="1">
      <alignment horizontal="center" vertical="center"/>
    </xf>
    <xf numFmtId="204" fontId="58" fillId="34" borderId="87" xfId="15" applyNumberFormat="1" applyFont="1" applyFill="1" applyBorder="1" applyAlignment="1">
      <alignment horizontal="center" vertical="center"/>
    </xf>
    <xf numFmtId="208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8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9" xfId="0" applyNumberFormat="1" applyFont="1" applyBorder="1" applyAlignment="1">
      <alignment horizontal="center" vertical="center"/>
    </xf>
    <xf numFmtId="194" fontId="58" fillId="33" borderId="92" xfId="15" applyNumberFormat="1" applyFont="1" applyFill="1" applyBorder="1" applyAlignment="1">
      <alignment horizontal="center" vertical="center"/>
    </xf>
    <xf numFmtId="215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8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4" fontId="39" fillId="38" borderId="25" xfId="15" applyNumberFormat="1" applyFont="1" applyFill="1" applyBorder="1" applyAlignment="1">
      <alignment horizontal="center" vertical="center"/>
    </xf>
    <xf numFmtId="200" fontId="39" fillId="38" borderId="25" xfId="15" applyNumberFormat="1" applyFont="1" applyFill="1" applyBorder="1" applyAlignment="1">
      <alignment horizontal="center" vertical="center"/>
    </xf>
    <xf numFmtId="208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4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90" fontId="24" fillId="0" borderId="3" xfId="0" applyNumberFormat="1" applyFont="1" applyBorder="1" applyAlignment="1">
      <alignment horizontal="center" vertical="center"/>
    </xf>
    <xf numFmtId="0" fontId="17" fillId="4" borderId="0" xfId="0" applyFont="1" applyFill="1" applyAlignment="1">
      <alignment horizontal="right" vertical="center" wrapText="1"/>
    </xf>
    <xf numFmtId="218" fontId="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D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tabSelected="1" zoomScaleNormal="100" workbookViewId="0">
      <selection activeCell="O17" sqref="O17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05" t="s">
        <v>124</v>
      </c>
      <c r="F8" s="505"/>
      <c r="G8" s="505"/>
    </row>
    <row r="9" spans="1:19">
      <c r="A9" s="272" t="s">
        <v>194</v>
      </c>
      <c r="B9" s="272" t="s">
        <v>195</v>
      </c>
      <c r="E9" s="86">
        <v>0.98</v>
      </c>
      <c r="F9" s="506" t="s">
        <v>114</v>
      </c>
      <c r="G9" s="506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06" t="s">
        <v>115</v>
      </c>
      <c r="G10" s="506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06" t="s">
        <v>116</v>
      </c>
      <c r="G11" s="506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06" t="s">
        <v>117</v>
      </c>
      <c r="G12" s="506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05" t="s">
        <v>123</v>
      </c>
      <c r="F13" s="505"/>
      <c r="G13" s="505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06" t="s">
        <v>114</v>
      </c>
      <c r="G14" s="506"/>
    </row>
    <row r="15" spans="1:19">
      <c r="E15" s="87">
        <v>1</v>
      </c>
      <c r="F15" s="506" t="s">
        <v>115</v>
      </c>
      <c r="G15" s="506"/>
    </row>
    <row r="16" spans="1:19">
      <c r="B16" s="38" t="s">
        <v>121</v>
      </c>
      <c r="D16" s="77" t="s">
        <v>122</v>
      </c>
      <c r="E16" s="87">
        <v>1</v>
      </c>
      <c r="F16" s="506" t="s">
        <v>116</v>
      </c>
      <c r="G16" s="506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06" t="s">
        <v>117</v>
      </c>
      <c r="G17" s="506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11.3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9">
        <f>INT(B$17*C21*100)/100</f>
        <v>15.07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520" t="s">
        <v>126</v>
      </c>
      <c r="P21" s="520"/>
      <c r="Q21" s="520" t="s">
        <v>129</v>
      </c>
      <c r="R21" s="520"/>
      <c r="S21" s="520" t="s">
        <v>131</v>
      </c>
      <c r="T21" s="520"/>
      <c r="U21" s="94" t="s">
        <v>132</v>
      </c>
    </row>
    <row r="22" spans="1:21">
      <c r="A22" s="19">
        <f>B22-B21</f>
        <v>4.2399999999999984</v>
      </c>
      <c r="B22" s="369">
        <f>INT(B$17*C22*100)/100</f>
        <v>19.309999999999999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9">
        <f>INT(B$17*C23*100)/100</f>
        <v>24.03</v>
      </c>
      <c r="C23" s="17">
        <v>1</v>
      </c>
      <c r="D23" s="370">
        <f>D$17*E23</f>
        <v>172</v>
      </c>
      <c r="E23" s="368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9">
        <f>INT(B$17*C24*100)/100</f>
        <v>31.23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26" t="s">
        <v>118</v>
      </c>
      <c r="B26" s="526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26" t="s">
        <v>119</v>
      </c>
      <c r="B27" s="526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23" t="s">
        <v>300</v>
      </c>
      <c r="J44" s="524"/>
      <c r="K44" s="525"/>
      <c r="L44" s="335" t="s">
        <v>59</v>
      </c>
      <c r="M44" s="336">
        <v>250</v>
      </c>
      <c r="N44" s="335" t="s">
        <v>185</v>
      </c>
      <c r="Q44" s="326">
        <v>94</v>
      </c>
      <c r="R44" s="358">
        <v>14.9</v>
      </c>
      <c r="S44" s="358">
        <v>11.3</v>
      </c>
      <c r="T44" s="320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303</v>
      </c>
      <c r="J45" s="338"/>
      <c r="K45" s="336"/>
      <c r="L45" s="335" t="s">
        <v>60</v>
      </c>
      <c r="M45" s="472">
        <v>50</v>
      </c>
      <c r="N45" s="472">
        <f>M44</f>
        <v>250</v>
      </c>
      <c r="Q45" s="326">
        <v>120</v>
      </c>
      <c r="R45" s="358">
        <v>18.670000000000002</v>
      </c>
      <c r="S45" s="358">
        <v>15.07</v>
      </c>
      <c r="T45" s="320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511" t="s">
        <v>29</v>
      </c>
      <c r="D46" s="511"/>
      <c r="H46" s="372" t="s">
        <v>55</v>
      </c>
      <c r="I46" s="336" t="s">
        <v>304</v>
      </c>
      <c r="J46" s="338"/>
      <c r="K46" s="336"/>
      <c r="L46" s="335" t="s">
        <v>61</v>
      </c>
      <c r="M46" s="339">
        <f>IF(I52&gt;M48, M45-I52,M45-M48)</f>
        <v>38</v>
      </c>
      <c r="N46" s="340"/>
      <c r="Q46" s="326">
        <v>146</v>
      </c>
      <c r="R46" s="358">
        <v>22.91</v>
      </c>
      <c r="S46" s="358">
        <v>19.309999999999999</v>
      </c>
      <c r="T46" s="320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511" t="s">
        <v>28</v>
      </c>
      <c r="D47" s="511"/>
      <c r="H47" s="372" t="s">
        <v>56</v>
      </c>
      <c r="I47" s="336" t="s">
        <v>301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27.630000000000003</v>
      </c>
      <c r="S47" s="358">
        <v>24.03</v>
      </c>
      <c r="T47" s="320">
        <v>7.1942446043165464</v>
      </c>
      <c r="U47" s="18">
        <v>0.13900000000000001</v>
      </c>
    </row>
    <row r="48" spans="1:21" ht="16.5">
      <c r="B48" s="22"/>
      <c r="H48" s="372" t="s">
        <v>57</v>
      </c>
      <c r="I48" s="473">
        <v>7.5</v>
      </c>
      <c r="J48" s="522" t="s">
        <v>302</v>
      </c>
      <c r="K48" s="522"/>
      <c r="L48" s="342" t="s">
        <v>63</v>
      </c>
      <c r="M48" s="474">
        <v>3.6</v>
      </c>
      <c r="N48" s="340"/>
      <c r="Q48" s="326">
        <v>198</v>
      </c>
      <c r="R48" s="358">
        <v>34.83</v>
      </c>
      <c r="S48" s="358">
        <v>31.23</v>
      </c>
      <c r="T48" s="320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28" t="s">
        <v>58</v>
      </c>
      <c r="I49" s="521" t="str">
        <f>I45</f>
        <v xml:space="preserve"> 고등리 382</v>
      </c>
      <c r="J49" s="521"/>
      <c r="K49" s="521"/>
      <c r="L49" s="335" t="s">
        <v>64</v>
      </c>
      <c r="M49" s="474">
        <v>30.6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29"/>
      <c r="I50" s="521"/>
      <c r="J50" s="521"/>
      <c r="K50" s="521"/>
      <c r="L50" s="335" t="s">
        <v>65</v>
      </c>
      <c r="M50" s="343">
        <f>M49-M48</f>
        <v>27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30"/>
      <c r="I51" s="531" t="s">
        <v>113</v>
      </c>
      <c r="J51" s="532"/>
      <c r="K51" s="533"/>
      <c r="L51" s="344" t="s">
        <v>106</v>
      </c>
      <c r="M51" s="491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5" t="s">
        <v>96</v>
      </c>
      <c r="I52" s="473">
        <v>12</v>
      </c>
      <c r="J52" s="345" t="s">
        <v>97</v>
      </c>
      <c r="K52" s="346">
        <v>0</v>
      </c>
      <c r="L52" s="347" t="s">
        <v>66</v>
      </c>
      <c r="M52" s="339">
        <f>INT(M50*0.89*100)/100</f>
        <v>24.03</v>
      </c>
      <c r="N52" s="348"/>
      <c r="Q52" s="18">
        <v>120</v>
      </c>
    </row>
    <row r="53" spans="1:17" ht="16.5">
      <c r="H53" s="340"/>
      <c r="I53" s="527" t="s">
        <v>120</v>
      </c>
      <c r="J53" s="527"/>
      <c r="K53" s="527"/>
      <c r="L53" s="527"/>
      <c r="M53" s="463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75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09" t="s">
        <v>76</v>
      </c>
      <c r="E57" s="509"/>
      <c r="F57" s="509" t="s">
        <v>53</v>
      </c>
      <c r="G57" s="510"/>
      <c r="H57" s="48" t="s">
        <v>176</v>
      </c>
      <c r="I57" s="232">
        <f>M50</f>
        <v>27</v>
      </c>
      <c r="J57" s="43" t="s">
        <v>67</v>
      </c>
      <c r="K57" s="48" t="s">
        <v>68</v>
      </c>
      <c r="L57" s="519" t="s">
        <v>73</v>
      </c>
      <c r="M57" s="519"/>
      <c r="Q57" s="18">
        <v>14.9</v>
      </c>
    </row>
    <row r="58" spans="1:17">
      <c r="A58" s="38" t="s">
        <v>47</v>
      </c>
      <c r="B58" s="39">
        <v>40.21</v>
      </c>
      <c r="C58" s="38"/>
      <c r="D58" s="509">
        <v>0.22439999999999999</v>
      </c>
      <c r="E58" s="509"/>
      <c r="F58" s="509"/>
      <c r="G58" s="510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17">
        <f>B59</f>
        <v>59.61</v>
      </c>
      <c r="D59" s="507">
        <v>0.15190000000000001</v>
      </c>
      <c r="E59" s="508"/>
      <c r="F59" s="513">
        <f>INT((D59+D60)/1*10000000)/10000000</f>
        <v>0.15190000000000001</v>
      </c>
      <c r="G59" s="514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17"/>
      <c r="D60" s="507"/>
      <c r="E60" s="508"/>
      <c r="F60" s="515"/>
      <c r="G60" s="516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09"/>
      <c r="E61" s="509"/>
      <c r="F61" s="509"/>
      <c r="G61" s="510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18"/>
      <c r="E62" s="518"/>
      <c r="F62" s="512">
        <f>F59</f>
        <v>0.15190000000000001</v>
      </c>
      <c r="G62" s="512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20">
        <v>8.3333333333333339</v>
      </c>
    </row>
    <row r="70" spans="17:17">
      <c r="Q70" s="320">
        <v>8</v>
      </c>
    </row>
    <row r="71" spans="17:17">
      <c r="Q71" s="320">
        <v>7.5757575757575752</v>
      </c>
    </row>
    <row r="72" spans="17:17">
      <c r="Q72" s="320">
        <v>7.1942446043165464</v>
      </c>
    </row>
    <row r="73" spans="17:17">
      <c r="Q73" s="320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287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291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289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6" t="s">
        <v>290</v>
      </c>
    </row>
    <row r="7" spans="3:8" ht="18" customHeight="1">
      <c r="C7" s="355">
        <v>5</v>
      </c>
      <c r="D7" s="355" t="s">
        <v>241</v>
      </c>
      <c r="E7" s="355" t="s">
        <v>246</v>
      </c>
      <c r="H7" s="486" t="s">
        <v>288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274</v>
      </c>
      <c r="E10" s="355" t="s">
        <v>272</v>
      </c>
      <c r="H10" s="357"/>
    </row>
    <row r="11" spans="3:8" ht="18" customHeight="1">
      <c r="C11" s="355">
        <v>20</v>
      </c>
      <c r="D11" s="355" t="s">
        <v>275</v>
      </c>
      <c r="E11" s="355" t="s">
        <v>273</v>
      </c>
      <c r="H11" s="357"/>
    </row>
    <row r="12" spans="3:8" ht="18" customHeight="1">
      <c r="C12" s="355">
        <v>25</v>
      </c>
      <c r="D12" s="357" t="s">
        <v>276</v>
      </c>
      <c r="E12" s="355" t="s">
        <v>279</v>
      </c>
      <c r="H12" s="357"/>
    </row>
    <row r="13" spans="3:8" ht="18" customHeight="1">
      <c r="C13" s="355">
        <v>30</v>
      </c>
      <c r="D13" s="357" t="s">
        <v>277</v>
      </c>
      <c r="E13" s="355" t="s">
        <v>280</v>
      </c>
      <c r="H13" s="357"/>
    </row>
    <row r="14" spans="3:8" ht="18" customHeight="1">
      <c r="D14" s="357" t="s">
        <v>278</v>
      </c>
      <c r="E14" s="355" t="s">
        <v>281</v>
      </c>
      <c r="H14" s="357"/>
    </row>
    <row r="15" spans="3:8" ht="18" customHeight="1">
      <c r="D15" s="357" t="s">
        <v>292</v>
      </c>
      <c r="E15" s="355" t="s">
        <v>296</v>
      </c>
    </row>
    <row r="16" spans="3:8" ht="18" customHeight="1">
      <c r="D16" s="357" t="s">
        <v>293</v>
      </c>
      <c r="E16" s="355" t="s">
        <v>297</v>
      </c>
    </row>
    <row r="17" spans="4:5" ht="18" customHeight="1">
      <c r="D17" s="357" t="s">
        <v>294</v>
      </c>
      <c r="E17" s="355" t="s">
        <v>298</v>
      </c>
    </row>
    <row r="18" spans="4:5" ht="18" customHeight="1">
      <c r="D18" s="357" t="s">
        <v>295</v>
      </c>
      <c r="E18" s="355" t="s">
        <v>299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H14" sqref="H14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2.4310769115568367</v>
      </c>
      <c r="C4" s="476">
        <f>LongTest!B10</f>
        <v>150</v>
      </c>
      <c r="D4" s="494">
        <f>StepTest!T4</f>
        <v>3.4731863622877492</v>
      </c>
      <c r="E4" s="449">
        <f>Input!M44/2000</f>
        <v>0.125</v>
      </c>
      <c r="F4" s="447">
        <v>5.0000000000000001E-4</v>
      </c>
      <c r="G4" s="447">
        <f>PI()</f>
        <v>3.1415926535897931</v>
      </c>
      <c r="H4" s="443">
        <f>Input!$A$46</f>
        <v>9.6171300000000001E-2</v>
      </c>
      <c r="I4" s="492">
        <f>Input!M48</f>
        <v>3.6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70">
        <v>3.8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461">
        <f>(2*G4*B4*D5)/(C4)</f>
        <v>0.38696430386004188</v>
      </c>
      <c r="D6" s="469"/>
      <c r="E6" s="461">
        <f>1.15*LOG((2.25*D5*(1/1440))/(F4*E4^2))</f>
        <v>3.3129356311229099</v>
      </c>
      <c r="F6" s="462" t="s">
        <v>197</v>
      </c>
      <c r="G6" s="464">
        <f>C6-E6</f>
        <v>-2.925971327262868</v>
      </c>
      <c r="H6" s="421"/>
      <c r="I6" s="492">
        <f>Input!M49</f>
        <v>30.6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264</v>
      </c>
      <c r="C7" s="431">
        <f>2.25*D4*(120/1440)</f>
        <v>0.65122244292895293</v>
      </c>
      <c r="D7" s="282"/>
      <c r="E7" s="433" t="s">
        <v>265</v>
      </c>
      <c r="F7" s="427">
        <f>F4*10^(5.46*D4*H4)</f>
        <v>3.3321445439268856E-2</v>
      </c>
      <c r="G7" s="428" t="s">
        <v>268</v>
      </c>
      <c r="H7" s="421">
        <f>F4*EXP(4*G4*D4*H4)</f>
        <v>3.3257575753085022E-2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270</v>
      </c>
      <c r="C8" s="488">
        <f>ROUND(E4*EXP(-1*G6),3)</f>
        <v>2.3319999999999999</v>
      </c>
      <c r="D8" s="483" t="s">
        <v>286</v>
      </c>
      <c r="E8" s="489">
        <f>ROUND(SQRT(C7/F7),3)</f>
        <v>4.4210000000000003</v>
      </c>
      <c r="F8" s="432" t="s">
        <v>267</v>
      </c>
      <c r="G8" s="484" t="s">
        <v>269</v>
      </c>
      <c r="H8" s="490">
        <f>ROUND(SQRT(C7/H7),3)</f>
        <v>4.4249999999999998</v>
      </c>
      <c r="I8" s="493">
        <f>Input!M45</f>
        <v>50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5.5331820449317632</v>
      </c>
      <c r="D10" s="485" t="s">
        <v>282</v>
      </c>
      <c r="E10" s="471">
        <v>0.11020000000000001</v>
      </c>
      <c r="F10" s="485" t="s">
        <v>283</v>
      </c>
      <c r="G10" s="489">
        <f>ROUND(E4*SQRT(E10/F4),4)</f>
        <v>1.8556999999999999</v>
      </c>
      <c r="H10" s="487" t="s">
        <v>288</v>
      </c>
      <c r="I10" s="493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25.066817955068238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139.69999999999999</v>
      </c>
      <c r="D13" s="444"/>
      <c r="E13" s="289" t="s">
        <v>203</v>
      </c>
      <c r="F13" s="424">
        <f>D5</f>
        <v>3.8</v>
      </c>
      <c r="G13" s="289" t="s">
        <v>204</v>
      </c>
      <c r="H13" s="468">
        <v>3.5219999999999998</v>
      </c>
      <c r="I13" s="482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1">
        <f>I6-I4</f>
        <v>27</v>
      </c>
      <c r="C16" s="466">
        <f>I8-IF(I4&gt;I10,I4,I10)</f>
        <v>38</v>
      </c>
      <c r="D16" s="465">
        <f>(F13+H13)/2</f>
        <v>3.6609999999999996</v>
      </c>
      <c r="E16" s="292">
        <f>INT(D16/C16*100000)/100000</f>
        <v>9.6339999999999995E-2</v>
      </c>
      <c r="F16" s="293">
        <v>1440</v>
      </c>
      <c r="G16" s="419">
        <v>900</v>
      </c>
      <c r="H16" s="458">
        <f>INT(G16/F16*10000)/10000</f>
        <v>0.625</v>
      </c>
      <c r="I16" s="467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171.1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27</v>
      </c>
      <c r="C21" s="319">
        <f t="shared" si="0"/>
        <v>38</v>
      </c>
      <c r="D21" s="304">
        <f t="shared" si="0"/>
        <v>3.6609999999999996</v>
      </c>
      <c r="E21" s="465">
        <f t="shared" si="0"/>
        <v>9.6339999999999995E-2</v>
      </c>
      <c r="F21" s="304">
        <f t="shared" si="0"/>
        <v>1440</v>
      </c>
      <c r="G21" s="304">
        <f>G16</f>
        <v>900</v>
      </c>
      <c r="H21" s="319">
        <f t="shared" si="0"/>
        <v>0.625</v>
      </c>
      <c r="I21" s="305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101.5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27</v>
      </c>
      <c r="C26" s="293">
        <f t="shared" si="1"/>
        <v>38</v>
      </c>
      <c r="D26" s="418">
        <f t="shared" si="1"/>
        <v>3.6609999999999996</v>
      </c>
      <c r="E26" s="292">
        <f t="shared" si="1"/>
        <v>9.6339999999999995E-2</v>
      </c>
      <c r="F26" s="293">
        <f t="shared" si="1"/>
        <v>1440</v>
      </c>
      <c r="G26" s="293">
        <f t="shared" si="1"/>
        <v>900</v>
      </c>
      <c r="H26" s="465">
        <f>INT(G16/F16*10000)/10000</f>
        <v>0.625</v>
      </c>
      <c r="I26" s="308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3.6609999999999996</v>
      </c>
      <c r="D27" s="315">
        <f>(C27/C16)*(100/86400)</f>
        <v>1.115070662768031E-4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137.43333333333331</v>
      </c>
      <c r="D29" s="279"/>
      <c r="E29" s="479">
        <f>(C13+C18)/2</f>
        <v>155.39999999999998</v>
      </c>
      <c r="F29" s="477">
        <f>MAX(C13,C18)</f>
        <v>171.1</v>
      </c>
      <c r="G29" s="478">
        <f>ROUND(C4/(G4*F29^2*I16),3)</f>
        <v>3.2629999999999999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95">
        <f>StepTest!B12</f>
        <v>94</v>
      </c>
    </row>
    <row r="3" spans="1:2" ht="20.100000000000001" customHeight="1">
      <c r="A3" s="313" t="s">
        <v>108</v>
      </c>
      <c r="B3" s="496">
        <f>StepTest!G31</f>
        <v>11.3</v>
      </c>
    </row>
    <row r="4" spans="1:2" ht="20.100000000000001" customHeight="1">
      <c r="A4" s="313" t="s">
        <v>109</v>
      </c>
      <c r="B4" s="497">
        <f>StepTest!G46</f>
        <v>24.03</v>
      </c>
    </row>
    <row r="5" spans="1:2" ht="20.100000000000001" customHeight="1">
      <c r="A5" s="314" t="s">
        <v>110</v>
      </c>
      <c r="B5" s="497">
        <f>2/3</f>
        <v>0.66666666666666663</v>
      </c>
    </row>
    <row r="6" spans="1:2" ht="20.100000000000001" customHeight="1">
      <c r="A6" s="313"/>
      <c r="B6" s="497"/>
    </row>
    <row r="7" spans="1:2" ht="20.100000000000001" customHeight="1">
      <c r="A7" s="313" t="s">
        <v>111</v>
      </c>
      <c r="B7" s="497">
        <f>B2*(B4/B3)^(2/3)</f>
        <v>155.44547053051494</v>
      </c>
    </row>
    <row r="8" spans="1:2" ht="20.100000000000001" customHeight="1">
      <c r="A8" s="313" t="s">
        <v>112</v>
      </c>
      <c r="B8" s="497">
        <f>INT(B7)</f>
        <v>155</v>
      </c>
    </row>
    <row r="9" spans="1:2" ht="24.75" customHeight="1">
      <c r="B9" s="497"/>
    </row>
    <row r="10" spans="1:2" ht="24.75" customHeight="1">
      <c r="B10" s="497"/>
    </row>
    <row r="11" spans="1:2">
      <c r="B11" s="498">
        <f>B8/Input!$D$23</f>
        <v>0.90116279069767447</v>
      </c>
    </row>
    <row r="12" spans="1:2" ht="17.25" thickBot="1"/>
    <row r="13" spans="1:2" ht="24.95" customHeight="1">
      <c r="A13" s="499" t="s">
        <v>284</v>
      </c>
      <c r="B13" s="500">
        <f>Input!$D$6</f>
        <v>172</v>
      </c>
    </row>
    <row r="14" spans="1:2" ht="24.95" customHeight="1">
      <c r="A14" s="501" t="s">
        <v>106</v>
      </c>
      <c r="B14" s="502">
        <f>B8</f>
        <v>155</v>
      </c>
    </row>
    <row r="15" spans="1:2" ht="24.95" customHeight="1" thickBot="1">
      <c r="A15" s="503" t="s">
        <v>285</v>
      </c>
      <c r="B15" s="504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7" t="s">
        <v>192</v>
      </c>
      <c r="B4" s="537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4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7" t="s">
        <v>45</v>
      </c>
      <c r="B5" s="537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7" t="s">
        <v>46</v>
      </c>
      <c r="B6" s="537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7" t="s">
        <v>165</v>
      </c>
      <c r="B7" s="537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8">
        <f>Input!I48</f>
        <v>7.5</v>
      </c>
      <c r="D8" s="539"/>
      <c r="E8" s="540"/>
      <c r="F8" s="221" t="s">
        <v>6</v>
      </c>
      <c r="G8" s="217" t="str">
        <f>G7</f>
        <v xml:space="preserve"> 고등리 382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1">
        <f>Input!M44</f>
        <v>250</v>
      </c>
      <c r="E9" s="541"/>
      <c r="F9" s="204" t="s">
        <v>8</v>
      </c>
      <c r="G9" s="543">
        <f>Input!M45</f>
        <v>50</v>
      </c>
      <c r="H9" s="543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4">
        <f>Input!M48</f>
        <v>3.6</v>
      </c>
      <c r="E10" s="535"/>
      <c r="F10" s="224" t="s">
        <v>0</v>
      </c>
      <c r="G10" s="544" t="s">
        <v>0</v>
      </c>
      <c r="H10" s="544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6" t="s">
        <v>172</v>
      </c>
      <c r="E11" s="536"/>
      <c r="F11" s="225" t="s">
        <v>173</v>
      </c>
      <c r="G11" s="545" t="s">
        <v>174</v>
      </c>
      <c r="H11" s="545"/>
      <c r="I11" s="204" t="s">
        <v>164</v>
      </c>
      <c r="J11" s="364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42">
        <v>1</v>
      </c>
      <c r="E12" s="542"/>
      <c r="F12" s="202">
        <f>G12+$D$10</f>
        <v>5.0600000000000005</v>
      </c>
      <c r="G12" s="546">
        <f>AD4</f>
        <v>1.46</v>
      </c>
      <c r="H12" s="546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42">
        <v>2</v>
      </c>
      <c r="E13" s="542"/>
      <c r="F13" s="202">
        <f t="shared" ref="F13:F28" si="13">G13+$D$10</f>
        <v>6.09</v>
      </c>
      <c r="G13" s="546">
        <f t="shared" ref="G13:G51" si="14">AD5</f>
        <v>2.4900000000000002</v>
      </c>
      <c r="H13" s="546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42">
        <v>3</v>
      </c>
      <c r="E14" s="542"/>
      <c r="F14" s="202">
        <f t="shared" si="13"/>
        <v>6.96</v>
      </c>
      <c r="G14" s="546">
        <f t="shared" si="14"/>
        <v>3.36</v>
      </c>
      <c r="H14" s="546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42">
        <v>4</v>
      </c>
      <c r="E15" s="542"/>
      <c r="F15" s="202">
        <f t="shared" si="13"/>
        <v>7.58</v>
      </c>
      <c r="G15" s="546">
        <f t="shared" si="14"/>
        <v>3.98</v>
      </c>
      <c r="H15" s="546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42">
        <v>5</v>
      </c>
      <c r="E16" s="542"/>
      <c r="F16" s="202">
        <f t="shared" si="13"/>
        <v>8.06</v>
      </c>
      <c r="G16" s="546">
        <f t="shared" si="14"/>
        <v>4.46</v>
      </c>
      <c r="H16" s="546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42">
        <v>10</v>
      </c>
      <c r="E17" s="542"/>
      <c r="F17" s="202">
        <f t="shared" si="13"/>
        <v>9.5500000000000007</v>
      </c>
      <c r="G17" s="546">
        <f t="shared" si="14"/>
        <v>5.95</v>
      </c>
      <c r="H17" s="546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42">
        <v>15</v>
      </c>
      <c r="E18" s="542"/>
      <c r="F18" s="202">
        <f t="shared" si="13"/>
        <v>10.42</v>
      </c>
      <c r="G18" s="546">
        <f t="shared" si="14"/>
        <v>6.82</v>
      </c>
      <c r="H18" s="546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42">
        <v>20</v>
      </c>
      <c r="E19" s="542"/>
      <c r="F19" s="202">
        <f t="shared" si="13"/>
        <v>11.040000000000001</v>
      </c>
      <c r="G19" s="546">
        <f t="shared" si="14"/>
        <v>7.44</v>
      </c>
      <c r="H19" s="546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42">
        <v>25</v>
      </c>
      <c r="E20" s="542"/>
      <c r="F20" s="202">
        <f t="shared" si="13"/>
        <v>11.52</v>
      </c>
      <c r="G20" s="546">
        <f t="shared" si="14"/>
        <v>7.92</v>
      </c>
      <c r="H20" s="546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42">
        <v>30</v>
      </c>
      <c r="E21" s="542"/>
      <c r="F21" s="202">
        <f t="shared" si="13"/>
        <v>11.91</v>
      </c>
      <c r="G21" s="546">
        <f t="shared" si="14"/>
        <v>8.31</v>
      </c>
      <c r="H21" s="546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42">
        <v>35</v>
      </c>
      <c r="E22" s="542"/>
      <c r="F22" s="202">
        <f t="shared" si="13"/>
        <v>12.24</v>
      </c>
      <c r="G22" s="546">
        <f t="shared" si="14"/>
        <v>8.64</v>
      </c>
      <c r="H22" s="546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42">
        <v>40</v>
      </c>
      <c r="E23" s="542"/>
      <c r="F23" s="202">
        <f t="shared" si="13"/>
        <v>12.53</v>
      </c>
      <c r="G23" s="546">
        <f t="shared" si="14"/>
        <v>8.93</v>
      </c>
      <c r="H23" s="546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42">
        <v>45</v>
      </c>
      <c r="E24" s="542"/>
      <c r="F24" s="202">
        <f t="shared" si="13"/>
        <v>12.78</v>
      </c>
      <c r="G24" s="546">
        <f t="shared" si="14"/>
        <v>9.18</v>
      </c>
      <c r="H24" s="546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42">
        <v>50</v>
      </c>
      <c r="E25" s="542"/>
      <c r="F25" s="202">
        <f t="shared" si="13"/>
        <v>13.01</v>
      </c>
      <c r="G25" s="546">
        <f t="shared" si="14"/>
        <v>9.41</v>
      </c>
      <c r="H25" s="546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42">
        <v>55</v>
      </c>
      <c r="E26" s="542"/>
      <c r="F26" s="202">
        <f t="shared" si="13"/>
        <v>13.219999999999999</v>
      </c>
      <c r="G26" s="546">
        <f t="shared" si="14"/>
        <v>9.6199999999999992</v>
      </c>
      <c r="H26" s="546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42">
        <v>60</v>
      </c>
      <c r="E27" s="542"/>
      <c r="F27" s="202">
        <f t="shared" si="13"/>
        <v>13.4</v>
      </c>
      <c r="G27" s="546">
        <f t="shared" si="14"/>
        <v>9.8000000000000007</v>
      </c>
      <c r="H27" s="546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42">
        <v>75</v>
      </c>
      <c r="E28" s="542"/>
      <c r="F28" s="202">
        <f t="shared" si="13"/>
        <v>13.879999999999999</v>
      </c>
      <c r="G28" s="546">
        <f t="shared" si="14"/>
        <v>10.28</v>
      </c>
      <c r="H28" s="546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42">
        <v>90</v>
      </c>
      <c r="E29" s="542"/>
      <c r="F29" s="202">
        <f t="shared" ref="F29:F44" si="24">G29+$D$10</f>
        <v>14.28</v>
      </c>
      <c r="G29" s="546">
        <f t="shared" si="14"/>
        <v>10.68</v>
      </c>
      <c r="H29" s="546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42">
        <v>105</v>
      </c>
      <c r="E30" s="542"/>
      <c r="F30" s="202">
        <f t="shared" si="24"/>
        <v>14.61</v>
      </c>
      <c r="G30" s="546">
        <f t="shared" si="14"/>
        <v>11.01</v>
      </c>
      <c r="H30" s="546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42">
        <v>120</v>
      </c>
      <c r="E31" s="542"/>
      <c r="F31" s="202">
        <f t="shared" si="24"/>
        <v>14.9</v>
      </c>
      <c r="G31" s="546">
        <f t="shared" si="14"/>
        <v>11.3</v>
      </c>
      <c r="H31" s="546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42">
        <v>130</v>
      </c>
      <c r="E32" s="542"/>
      <c r="F32" s="202">
        <f t="shared" si="24"/>
        <v>17.16</v>
      </c>
      <c r="G32" s="546">
        <f t="shared" si="14"/>
        <v>13.56</v>
      </c>
      <c r="H32" s="546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42">
        <v>140</v>
      </c>
      <c r="E33" s="542"/>
      <c r="F33" s="202">
        <f t="shared" si="24"/>
        <v>17.53</v>
      </c>
      <c r="G33" s="546">
        <f t="shared" si="14"/>
        <v>13.93</v>
      </c>
      <c r="H33" s="546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42">
        <v>150</v>
      </c>
      <c r="E34" s="542"/>
      <c r="F34" s="202">
        <f t="shared" si="24"/>
        <v>17.91</v>
      </c>
      <c r="G34" s="546">
        <f t="shared" si="14"/>
        <v>14.31</v>
      </c>
      <c r="H34" s="546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42">
        <v>180</v>
      </c>
      <c r="E35" s="542"/>
      <c r="F35" s="202">
        <f t="shared" si="24"/>
        <v>18.29</v>
      </c>
      <c r="G35" s="546">
        <f t="shared" si="14"/>
        <v>14.69</v>
      </c>
      <c r="H35" s="546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42">
        <v>240</v>
      </c>
      <c r="E36" s="542"/>
      <c r="F36" s="202">
        <f t="shared" si="24"/>
        <v>18.670000000000002</v>
      </c>
      <c r="G36" s="546">
        <f t="shared" si="14"/>
        <v>15.07</v>
      </c>
      <c r="H36" s="546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42">
        <v>250</v>
      </c>
      <c r="E37" s="542"/>
      <c r="F37" s="202">
        <f t="shared" si="24"/>
        <v>21.21</v>
      </c>
      <c r="G37" s="546">
        <f t="shared" si="14"/>
        <v>17.61</v>
      </c>
      <c r="H37" s="546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42">
        <v>260</v>
      </c>
      <c r="E38" s="542"/>
      <c r="F38" s="202">
        <f t="shared" si="24"/>
        <v>21.630000000000003</v>
      </c>
      <c r="G38" s="546">
        <f t="shared" si="14"/>
        <v>18.03</v>
      </c>
      <c r="H38" s="546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42">
        <v>270</v>
      </c>
      <c r="E39" s="542"/>
      <c r="F39" s="202">
        <f t="shared" si="24"/>
        <v>22.060000000000002</v>
      </c>
      <c r="G39" s="546">
        <f t="shared" si="14"/>
        <v>18.46</v>
      </c>
      <c r="H39" s="546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42">
        <v>300</v>
      </c>
      <c r="E40" s="542"/>
      <c r="F40" s="202">
        <f t="shared" si="24"/>
        <v>22.48</v>
      </c>
      <c r="G40" s="546">
        <f t="shared" si="14"/>
        <v>18.88</v>
      </c>
      <c r="H40" s="546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42">
        <v>360</v>
      </c>
      <c r="E41" s="542"/>
      <c r="F41" s="202">
        <f t="shared" si="24"/>
        <v>22.91</v>
      </c>
      <c r="G41" s="546">
        <f t="shared" si="14"/>
        <v>19.309999999999999</v>
      </c>
      <c r="H41" s="546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42">
        <v>370</v>
      </c>
      <c r="E42" s="542"/>
      <c r="F42" s="202">
        <f t="shared" si="24"/>
        <v>25.740000000000002</v>
      </c>
      <c r="G42" s="546">
        <f t="shared" si="14"/>
        <v>22.14</v>
      </c>
      <c r="H42" s="546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42">
        <v>380</v>
      </c>
      <c r="E43" s="542"/>
      <c r="F43" s="202">
        <f t="shared" si="24"/>
        <v>26.21</v>
      </c>
      <c r="G43" s="546">
        <f t="shared" si="14"/>
        <v>22.61</v>
      </c>
      <c r="H43" s="546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42">
        <v>390</v>
      </c>
      <c r="E44" s="542"/>
      <c r="F44" s="202">
        <f t="shared" si="24"/>
        <v>26.68</v>
      </c>
      <c r="G44" s="546">
        <f t="shared" si="14"/>
        <v>23.08</v>
      </c>
      <c r="H44" s="546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42">
        <v>420</v>
      </c>
      <c r="E45" s="542"/>
      <c r="F45" s="202">
        <f t="shared" ref="F45:F51" si="25">G45+$D$10</f>
        <v>27.150000000000002</v>
      </c>
      <c r="G45" s="546">
        <f t="shared" si="14"/>
        <v>23.55</v>
      </c>
      <c r="H45" s="546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42">
        <v>480</v>
      </c>
      <c r="E46" s="542"/>
      <c r="F46" s="202">
        <f t="shared" si="25"/>
        <v>27.630000000000003</v>
      </c>
      <c r="G46" s="546">
        <f t="shared" si="14"/>
        <v>24.03</v>
      </c>
      <c r="H46" s="546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42">
        <v>490</v>
      </c>
      <c r="E47" s="542"/>
      <c r="F47" s="202">
        <f t="shared" si="25"/>
        <v>30.51</v>
      </c>
      <c r="G47" s="546">
        <f t="shared" si="14"/>
        <v>26.91</v>
      </c>
      <c r="H47" s="546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42">
        <v>500</v>
      </c>
      <c r="E48" s="542"/>
      <c r="F48" s="202">
        <f t="shared" si="25"/>
        <v>31.59</v>
      </c>
      <c r="G48" s="546">
        <f t="shared" si="14"/>
        <v>27.99</v>
      </c>
      <c r="H48" s="546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42">
        <v>510</v>
      </c>
      <c r="E49" s="542"/>
      <c r="F49" s="202">
        <f t="shared" si="25"/>
        <v>32.67</v>
      </c>
      <c r="G49" s="546">
        <f t="shared" si="14"/>
        <v>29.07</v>
      </c>
      <c r="H49" s="546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42">
        <v>540</v>
      </c>
      <c r="E50" s="542"/>
      <c r="F50" s="202">
        <f t="shared" si="25"/>
        <v>33.75</v>
      </c>
      <c r="G50" s="546">
        <f t="shared" si="14"/>
        <v>30.15</v>
      </c>
      <c r="H50" s="546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42">
        <v>600</v>
      </c>
      <c r="E51" s="542"/>
      <c r="F51" s="202">
        <f t="shared" si="25"/>
        <v>34.83</v>
      </c>
      <c r="G51" s="546">
        <f t="shared" si="14"/>
        <v>31.23</v>
      </c>
      <c r="H51" s="546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>
      <selection activeCell="P15" sqref="P15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-4.3396755705798533</v>
      </c>
      <c r="N1" s="547" t="s">
        <v>136</v>
      </c>
      <c r="O1" s="547"/>
      <c r="P1" s="265">
        <f>StepTest!G41</f>
        <v>19.309999999999999</v>
      </c>
      <c r="Q1" s="425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0.31</v>
      </c>
      <c r="N3" s="62"/>
      <c r="O3" s="360">
        <v>-0.30334568100151704</v>
      </c>
      <c r="P3" s="359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49">
        <f>StepTest!C8</f>
        <v>7.5</v>
      </c>
      <c r="D6" s="549"/>
      <c r="E6" s="550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9">
        <f>Input!M50</f>
        <v>27</v>
      </c>
      <c r="L8" s="363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1" t="s">
        <v>161</v>
      </c>
      <c r="E9" s="551"/>
      <c r="F9" s="180" t="s">
        <v>162</v>
      </c>
      <c r="G9" s="180" t="s">
        <v>163</v>
      </c>
      <c r="H9" s="378"/>
      <c r="I9" s="378"/>
      <c r="J9" s="378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7"/>
      <c r="I10" s="377"/>
      <c r="J10" s="377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7"/>
      <c r="I11" s="377"/>
      <c r="J11" s="377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7"/>
      <c r="I12" s="377"/>
      <c r="J12" s="377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7"/>
      <c r="I13" s="377"/>
      <c r="J13" s="377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7"/>
      <c r="I14" s="377"/>
      <c r="J14" s="377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7"/>
      <c r="I15" s="377"/>
      <c r="J15" s="377"/>
      <c r="K15" s="63">
        <f t="shared" si="16"/>
        <v>2.5344225925583537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7"/>
      <c r="I16" s="377"/>
      <c r="J16" s="377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7"/>
      <c r="I17" s="377"/>
      <c r="J17" s="377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7"/>
      <c r="I18" s="377"/>
      <c r="J18" s="377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7"/>
      <c r="I19" s="377"/>
      <c r="J19" s="377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7"/>
      <c r="I20" s="377"/>
      <c r="J20" s="377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7"/>
      <c r="I21" s="377"/>
      <c r="J21" s="377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7"/>
      <c r="I22" s="377"/>
      <c r="J22" s="377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7"/>
      <c r="I23" s="377"/>
      <c r="J23" s="377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7"/>
      <c r="I24" s="377"/>
      <c r="J24" s="377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7"/>
      <c r="I25" s="377"/>
      <c r="J25" s="377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7"/>
      <c r="I26" s="377"/>
      <c r="J26" s="377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7"/>
      <c r="I27" s="377"/>
      <c r="J27" s="377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7"/>
      <c r="I28" s="377"/>
      <c r="J28" s="377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7"/>
      <c r="I29" s="377"/>
      <c r="J29" s="377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7"/>
      <c r="I30" s="377"/>
      <c r="J30" s="377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7"/>
      <c r="I31" s="377"/>
      <c r="J31" s="377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7"/>
      <c r="I32" s="377"/>
      <c r="J32" s="377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7"/>
      <c r="I33" s="377"/>
      <c r="J33" s="377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7"/>
      <c r="I34" s="377"/>
      <c r="J34" s="377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7"/>
      <c r="I35" s="377"/>
      <c r="J35" s="377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7"/>
      <c r="I36" s="377"/>
      <c r="J36" s="377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7"/>
      <c r="I37" s="377"/>
      <c r="J37" s="377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7"/>
      <c r="I38" s="377"/>
      <c r="J38" s="377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7"/>
      <c r="I39" s="377"/>
      <c r="J39" s="377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3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7"/>
      <c r="I40" s="377"/>
      <c r="J40" s="377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3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7"/>
      <c r="I41" s="377"/>
      <c r="J41" s="377"/>
      <c r="K41" s="63">
        <f t="shared" si="16"/>
        <v>0.31814830361710733</v>
      </c>
      <c r="L41" s="9" t="s">
        <v>18</v>
      </c>
      <c r="V41" s="350">
        <f t="shared" si="8"/>
        <v>150</v>
      </c>
      <c r="W41" s="349">
        <f t="shared" si="9"/>
        <v>2.2684651866439514</v>
      </c>
      <c r="X41" s="349">
        <f t="shared" si="10"/>
        <v>0.125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47.239999635623775</v>
      </c>
      <c r="AC41" s="10">
        <f t="shared" si="28"/>
        <v>47.239999635623775</v>
      </c>
      <c r="AD41" s="354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7"/>
      <c r="I42" s="377"/>
      <c r="J42" s="377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3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7"/>
      <c r="I43" s="377"/>
      <c r="J43" s="377"/>
      <c r="K43" s="63">
        <f t="shared" si="16"/>
        <v>0.27096830829399465</v>
      </c>
      <c r="L43" s="9" t="s">
        <v>18</v>
      </c>
      <c r="V43" s="350">
        <f t="shared" si="8"/>
        <v>150</v>
      </c>
      <c r="W43" s="349">
        <f t="shared" si="9"/>
        <v>2.2684651866439514</v>
      </c>
      <c r="X43" s="349">
        <f t="shared" si="10"/>
        <v>0.125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47.239999635623775</v>
      </c>
      <c r="AC43" s="10">
        <f t="shared" si="30"/>
        <v>47.239999635623775</v>
      </c>
      <c r="AD43" s="354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7"/>
      <c r="I44" s="377"/>
      <c r="J44" s="377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3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2.2684651866439514</v>
      </c>
      <c r="X45" s="349">
        <f t="shared" si="10"/>
        <v>0.125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47.239999635623775</v>
      </c>
      <c r="AC45" s="10">
        <f t="shared" si="30"/>
        <v>47.239999635623775</v>
      </c>
      <c r="AD45" s="354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47.239999635623775</v>
      </c>
      <c r="AC46" s="10">
        <f t="shared" si="30"/>
        <v>47.239999635623775</v>
      </c>
      <c r="AD46" s="353">
        <v>46</v>
      </c>
      <c r="AE46" s="316">
        <f t="shared" si="5"/>
        <v>1500</v>
      </c>
      <c r="AF46" s="318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48" t="s">
        <v>248</v>
      </c>
      <c r="I78" s="548"/>
      <c r="J78" s="548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48"/>
      <c r="I79" s="548"/>
      <c r="J79" s="548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48"/>
      <c r="I80" s="548"/>
      <c r="J80" s="548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48"/>
      <c r="I81" s="548"/>
      <c r="J81" s="548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48"/>
      <c r="I82" s="548"/>
      <c r="J82" s="548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48"/>
      <c r="I83" s="548"/>
      <c r="J83" s="548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48"/>
      <c r="I84" s="548"/>
      <c r="J84" s="548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48"/>
      <c r="I85" s="548"/>
      <c r="J85" s="548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48"/>
      <c r="I86" s="548"/>
      <c r="J86" s="548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48"/>
      <c r="I87" s="548"/>
      <c r="J87" s="548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48"/>
      <c r="I88" s="548"/>
      <c r="J88" s="548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48"/>
      <c r="I89" s="548"/>
      <c r="J89" s="548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48"/>
      <c r="I90" s="548"/>
      <c r="J90" s="548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48"/>
      <c r="I91" s="548"/>
      <c r="J91" s="548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48"/>
      <c r="I92" s="548"/>
      <c r="J92" s="548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48"/>
      <c r="I93" s="548"/>
      <c r="J93" s="548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48"/>
      <c r="I94" s="548"/>
      <c r="J94" s="548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48"/>
      <c r="I95" s="548"/>
      <c r="J95" s="548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48"/>
      <c r="I96" s="548"/>
      <c r="J96" s="548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48"/>
      <c r="I97" s="548"/>
      <c r="J97" s="548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48"/>
      <c r="I98" s="548"/>
      <c r="J98" s="548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48"/>
      <c r="I99" s="548"/>
      <c r="J99" s="548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48"/>
      <c r="I100" s="548"/>
      <c r="J100" s="548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48"/>
      <c r="I101" s="548"/>
      <c r="J101" s="548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4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4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5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5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5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5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5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6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4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5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4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4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5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4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5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5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5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5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5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5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5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5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5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5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5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5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5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4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5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4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5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4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5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4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5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autoPict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0.125</v>
      </c>
      <c r="B18" s="413"/>
    </row>
    <row r="19" spans="1:2">
      <c r="A19" s="413">
        <f>Input!M44/2/1000</f>
        <v>0.125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0.125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1.46</v>
      </c>
      <c r="C35" s="415">
        <v>1</v>
      </c>
    </row>
    <row r="36" spans="1:3">
      <c r="A36" s="413">
        <f>Sheet1!A2</f>
        <v>2</v>
      </c>
      <c r="B36" s="414">
        <f>Sheet1!B2</f>
        <v>2.4900000000000002</v>
      </c>
      <c r="C36" s="415">
        <v>1</v>
      </c>
    </row>
    <row r="37" spans="1:3">
      <c r="A37" s="413">
        <f>Sheet1!A3</f>
        <v>3</v>
      </c>
      <c r="B37" s="414">
        <f>Sheet1!B3</f>
        <v>3.36</v>
      </c>
      <c r="C37" s="415">
        <v>1</v>
      </c>
    </row>
    <row r="38" spans="1:3">
      <c r="A38" s="413">
        <f>Sheet1!A4</f>
        <v>4</v>
      </c>
      <c r="B38" s="414">
        <f>Sheet1!B4</f>
        <v>3.98</v>
      </c>
      <c r="C38" s="415">
        <v>1</v>
      </c>
    </row>
    <row r="39" spans="1:3">
      <c r="A39" s="413">
        <f>Sheet1!A5</f>
        <v>5</v>
      </c>
      <c r="B39" s="414">
        <f>Sheet1!B5</f>
        <v>4.46</v>
      </c>
      <c r="C39" s="415">
        <v>1</v>
      </c>
    </row>
    <row r="40" spans="1:3">
      <c r="A40" s="413">
        <f>Sheet1!A6</f>
        <v>10</v>
      </c>
      <c r="B40" s="414">
        <f>Sheet1!B6</f>
        <v>5.95</v>
      </c>
      <c r="C40" s="415">
        <v>1</v>
      </c>
    </row>
    <row r="41" spans="1:3">
      <c r="A41" s="413">
        <f>Sheet1!A7</f>
        <v>15</v>
      </c>
      <c r="B41" s="414">
        <f>Sheet1!B7</f>
        <v>6.82</v>
      </c>
      <c r="C41" s="415">
        <v>1</v>
      </c>
    </row>
    <row r="42" spans="1:3">
      <c r="A42" s="413">
        <f>Sheet1!A8</f>
        <v>20</v>
      </c>
      <c r="B42" s="414">
        <f>Sheet1!B8</f>
        <v>7.44</v>
      </c>
      <c r="C42" s="415">
        <v>1</v>
      </c>
    </row>
    <row r="43" spans="1:3">
      <c r="A43" s="413">
        <f>Sheet1!A9</f>
        <v>25</v>
      </c>
      <c r="B43" s="414">
        <f>Sheet1!B9</f>
        <v>7.92</v>
      </c>
      <c r="C43" s="415">
        <v>1</v>
      </c>
    </row>
    <row r="44" spans="1:3">
      <c r="A44" s="413">
        <f>Sheet1!A10</f>
        <v>30</v>
      </c>
      <c r="B44" s="414">
        <f>Sheet1!B10</f>
        <v>8.31</v>
      </c>
      <c r="C44" s="415">
        <v>1</v>
      </c>
    </row>
    <row r="45" spans="1:3">
      <c r="A45" s="413">
        <f>Sheet1!A11</f>
        <v>35</v>
      </c>
      <c r="B45" s="414">
        <f>Sheet1!B11</f>
        <v>8.64</v>
      </c>
      <c r="C45" s="415">
        <v>1</v>
      </c>
    </row>
    <row r="46" spans="1:3">
      <c r="A46" s="413">
        <f>Sheet1!A12</f>
        <v>40</v>
      </c>
      <c r="B46" s="414">
        <f>Sheet1!B12</f>
        <v>8.93</v>
      </c>
      <c r="C46" s="415">
        <v>1</v>
      </c>
    </row>
    <row r="47" spans="1:3">
      <c r="A47" s="413">
        <f>Sheet1!A13</f>
        <v>45</v>
      </c>
      <c r="B47" s="414">
        <f>Sheet1!B13</f>
        <v>9.18</v>
      </c>
      <c r="C47" s="415">
        <v>1</v>
      </c>
    </row>
    <row r="48" spans="1:3">
      <c r="A48" s="413">
        <f>Sheet1!A14</f>
        <v>50</v>
      </c>
      <c r="B48" s="414">
        <f>Sheet1!B14</f>
        <v>9.41</v>
      </c>
      <c r="C48" s="415">
        <v>1</v>
      </c>
    </row>
    <row r="49" spans="1:3">
      <c r="A49" s="413">
        <f>Sheet1!A15</f>
        <v>55</v>
      </c>
      <c r="B49" s="414">
        <f>Sheet1!B15</f>
        <v>9.6199999999999992</v>
      </c>
      <c r="C49" s="415">
        <v>1</v>
      </c>
    </row>
    <row r="50" spans="1:3">
      <c r="A50" s="413">
        <f>Sheet1!A16</f>
        <v>60</v>
      </c>
      <c r="B50" s="414">
        <f>Sheet1!B16</f>
        <v>9.8000000000000007</v>
      </c>
      <c r="C50" s="415">
        <v>1</v>
      </c>
    </row>
    <row r="51" spans="1:3">
      <c r="A51" s="413">
        <f>Sheet1!A17</f>
        <v>75</v>
      </c>
      <c r="B51" s="414">
        <f>Sheet1!B17</f>
        <v>10.28</v>
      </c>
      <c r="C51" s="415">
        <v>1</v>
      </c>
    </row>
    <row r="52" spans="1:3">
      <c r="A52" s="413">
        <f>Sheet1!A18</f>
        <v>90</v>
      </c>
      <c r="B52" s="414">
        <f>Sheet1!B18</f>
        <v>10.68</v>
      </c>
      <c r="C52" s="415">
        <v>1</v>
      </c>
    </row>
    <row r="53" spans="1:3">
      <c r="A53" s="413">
        <f>Sheet1!A19</f>
        <v>105</v>
      </c>
      <c r="B53" s="414">
        <f>Sheet1!B19</f>
        <v>11.01</v>
      </c>
      <c r="C53" s="415">
        <v>1</v>
      </c>
    </row>
    <row r="54" spans="1:3">
      <c r="A54" s="413">
        <f>Sheet1!A20</f>
        <v>120</v>
      </c>
      <c r="B54" s="414">
        <f>Sheet1!B20</f>
        <v>11.3</v>
      </c>
      <c r="C54" s="415">
        <v>1</v>
      </c>
    </row>
    <row r="55" spans="1:3">
      <c r="A55" s="413">
        <f>Sheet1!A21</f>
        <v>121</v>
      </c>
      <c r="B55" s="414">
        <f>Sheet1!B21</f>
        <v>11.46</v>
      </c>
      <c r="C55" s="415">
        <v>1</v>
      </c>
    </row>
    <row r="56" spans="1:3">
      <c r="A56" s="413">
        <f>Sheet1!A22</f>
        <v>122</v>
      </c>
      <c r="B56" s="414">
        <f>Sheet1!B22</f>
        <v>11.610000000000001</v>
      </c>
      <c r="C56" s="415">
        <v>1</v>
      </c>
    </row>
    <row r="57" spans="1:3">
      <c r="A57" s="413">
        <f>Sheet1!A23</f>
        <v>123</v>
      </c>
      <c r="B57" s="414">
        <f>Sheet1!B23</f>
        <v>11.750000000000002</v>
      </c>
      <c r="C57" s="415">
        <v>1</v>
      </c>
    </row>
    <row r="58" spans="1:3">
      <c r="A58" s="413">
        <f>Sheet1!A24</f>
        <v>124</v>
      </c>
      <c r="B58" s="414">
        <f>Sheet1!B24</f>
        <v>11.880000000000003</v>
      </c>
      <c r="C58" s="415">
        <v>1</v>
      </c>
    </row>
    <row r="59" spans="1:3">
      <c r="A59" s="413">
        <f>Sheet1!A25</f>
        <v>125</v>
      </c>
      <c r="B59" s="414">
        <f>Sheet1!B25</f>
        <v>12.010000000000003</v>
      </c>
      <c r="C59" s="415">
        <v>1</v>
      </c>
    </row>
    <row r="60" spans="1:3">
      <c r="A60" s="413">
        <f>Sheet1!A26</f>
        <v>130</v>
      </c>
      <c r="B60" s="414">
        <f>Sheet1!B26</f>
        <v>13.56</v>
      </c>
      <c r="C60" s="415">
        <v>1</v>
      </c>
    </row>
    <row r="61" spans="1:3">
      <c r="A61" s="413">
        <f>Sheet1!A27</f>
        <v>135</v>
      </c>
      <c r="B61" s="414">
        <f>Sheet1!B27</f>
        <v>13.67</v>
      </c>
      <c r="C61" s="415">
        <v>1</v>
      </c>
    </row>
    <row r="62" spans="1:3">
      <c r="A62" s="413">
        <f>Sheet1!A28</f>
        <v>140</v>
      </c>
      <c r="B62" s="414">
        <f>Sheet1!B28</f>
        <v>13.93</v>
      </c>
      <c r="C62" s="415">
        <v>1</v>
      </c>
    </row>
    <row r="63" spans="1:3">
      <c r="A63" s="413">
        <f>Sheet1!A29</f>
        <v>145</v>
      </c>
      <c r="B63" s="414">
        <f>Sheet1!B29</f>
        <v>14.03</v>
      </c>
      <c r="C63" s="415">
        <v>1</v>
      </c>
    </row>
    <row r="64" spans="1:3">
      <c r="A64" s="413">
        <f>Sheet1!A30</f>
        <v>150</v>
      </c>
      <c r="B64" s="414">
        <f>Sheet1!B30</f>
        <v>14.31</v>
      </c>
      <c r="C64" s="415">
        <v>1</v>
      </c>
    </row>
    <row r="65" spans="1:3">
      <c r="A65" s="413">
        <f>Sheet1!A31</f>
        <v>155</v>
      </c>
      <c r="B65" s="414">
        <f>Sheet1!B31</f>
        <v>14.370000000000001</v>
      </c>
      <c r="C65" s="415">
        <v>1</v>
      </c>
    </row>
    <row r="66" spans="1:3">
      <c r="A66" s="413">
        <f>Sheet1!A32</f>
        <v>160</v>
      </c>
      <c r="B66" s="414">
        <f>Sheet1!B32</f>
        <v>14.420000000000002</v>
      </c>
      <c r="C66" s="415">
        <v>1</v>
      </c>
    </row>
    <row r="67" spans="1:3">
      <c r="A67" s="413">
        <f>Sheet1!A33</f>
        <v>165</v>
      </c>
      <c r="B67" s="414">
        <f>Sheet1!B33</f>
        <v>14.46</v>
      </c>
      <c r="C67" s="415">
        <v>1</v>
      </c>
    </row>
    <row r="68" spans="1:3">
      <c r="A68" s="413">
        <f>Sheet1!A34</f>
        <v>170</v>
      </c>
      <c r="B68" s="414">
        <f>Sheet1!B34</f>
        <v>14.49</v>
      </c>
      <c r="C68" s="415">
        <v>1</v>
      </c>
    </row>
    <row r="69" spans="1:3">
      <c r="A69" s="413">
        <f>Sheet1!A35</f>
        <v>175</v>
      </c>
      <c r="B69" s="414">
        <f>Sheet1!B35</f>
        <v>14.51</v>
      </c>
      <c r="C69" s="415">
        <v>1</v>
      </c>
    </row>
    <row r="70" spans="1:3">
      <c r="A70" s="413">
        <f>Sheet1!A36</f>
        <v>180</v>
      </c>
      <c r="B70" s="414">
        <f>Sheet1!B36</f>
        <v>14.69</v>
      </c>
      <c r="C70" s="415">
        <v>1</v>
      </c>
    </row>
    <row r="71" spans="1:3">
      <c r="A71" s="413">
        <f>Sheet1!A37</f>
        <v>195</v>
      </c>
      <c r="B71" s="414">
        <f>Sheet1!B37</f>
        <v>14.76</v>
      </c>
      <c r="C71" s="415">
        <v>1</v>
      </c>
    </row>
    <row r="72" spans="1:3">
      <c r="A72" s="413">
        <f>Sheet1!A38</f>
        <v>210</v>
      </c>
      <c r="B72" s="414">
        <f>Sheet1!B38</f>
        <v>14.82</v>
      </c>
      <c r="C72" s="415">
        <v>1</v>
      </c>
    </row>
    <row r="73" spans="1:3">
      <c r="A73" s="413">
        <f>Sheet1!A39</f>
        <v>225</v>
      </c>
      <c r="B73" s="414">
        <f>Sheet1!B39</f>
        <v>14.870000000000001</v>
      </c>
      <c r="C73" s="415">
        <v>1</v>
      </c>
    </row>
    <row r="74" spans="1:3">
      <c r="A74" s="413">
        <f>Sheet1!A40</f>
        <v>240</v>
      </c>
      <c r="B74" s="414">
        <f>Sheet1!B40</f>
        <v>15.07</v>
      </c>
      <c r="C74" s="415">
        <v>1</v>
      </c>
    </row>
    <row r="75" spans="1:3">
      <c r="A75" s="413">
        <f>Sheet1!A41</f>
        <v>241</v>
      </c>
      <c r="B75" s="414">
        <f>Sheet1!B41</f>
        <v>15.25</v>
      </c>
      <c r="C75" s="415">
        <v>1</v>
      </c>
    </row>
    <row r="76" spans="1:3">
      <c r="A76" s="413">
        <f>Sheet1!A42</f>
        <v>242</v>
      </c>
      <c r="B76" s="414">
        <f>Sheet1!B42</f>
        <v>15.41</v>
      </c>
      <c r="C76" s="415">
        <v>1</v>
      </c>
    </row>
    <row r="77" spans="1:3">
      <c r="A77" s="413">
        <f>Sheet1!A43</f>
        <v>243</v>
      </c>
      <c r="B77" s="414">
        <f>Sheet1!B43</f>
        <v>15.56</v>
      </c>
      <c r="C77" s="415">
        <v>1</v>
      </c>
    </row>
    <row r="78" spans="1:3">
      <c r="A78" s="413">
        <f>Sheet1!A44</f>
        <v>244</v>
      </c>
      <c r="B78" s="414">
        <f>Sheet1!B44</f>
        <v>15.700000000000001</v>
      </c>
      <c r="C78" s="415">
        <v>1</v>
      </c>
    </row>
    <row r="79" spans="1:3">
      <c r="A79" s="413">
        <f>Sheet1!A45</f>
        <v>245</v>
      </c>
      <c r="B79" s="414">
        <f>Sheet1!B45</f>
        <v>15.830000000000002</v>
      </c>
      <c r="C79" s="415">
        <v>1</v>
      </c>
    </row>
    <row r="80" spans="1:3">
      <c r="A80" s="413">
        <f>Sheet1!A46</f>
        <v>250</v>
      </c>
      <c r="B80" s="414">
        <f>Sheet1!B46</f>
        <v>17.61</v>
      </c>
      <c r="C80" s="415">
        <v>1</v>
      </c>
    </row>
    <row r="81" spans="1:3">
      <c r="A81" s="413">
        <f>Sheet1!A47</f>
        <v>255</v>
      </c>
      <c r="B81" s="414">
        <f>Sheet1!B47</f>
        <v>17.72</v>
      </c>
      <c r="C81" s="415">
        <v>1</v>
      </c>
    </row>
    <row r="82" spans="1:3">
      <c r="A82" s="413">
        <f>Sheet1!A48</f>
        <v>260</v>
      </c>
      <c r="B82" s="414">
        <f>Sheet1!B48</f>
        <v>18.03</v>
      </c>
      <c r="C82" s="415">
        <v>1</v>
      </c>
    </row>
    <row r="83" spans="1:3">
      <c r="A83" s="413">
        <f>Sheet1!A49</f>
        <v>265</v>
      </c>
      <c r="B83" s="414">
        <f>Sheet1!B49</f>
        <v>18.14</v>
      </c>
      <c r="C83" s="415">
        <v>1</v>
      </c>
    </row>
    <row r="84" spans="1:3">
      <c r="A84" s="413">
        <f>Sheet1!A50</f>
        <v>270</v>
      </c>
      <c r="B84" s="414">
        <f>Sheet1!B50</f>
        <v>18.46</v>
      </c>
      <c r="C84" s="415">
        <v>1</v>
      </c>
    </row>
    <row r="85" spans="1:3">
      <c r="A85" s="413">
        <f>Sheet1!A51</f>
        <v>275</v>
      </c>
      <c r="B85" s="414">
        <f>Sheet1!B51</f>
        <v>18.53</v>
      </c>
      <c r="C85" s="415">
        <v>1</v>
      </c>
    </row>
    <row r="86" spans="1:3">
      <c r="A86" s="413">
        <f>Sheet1!A52</f>
        <v>280</v>
      </c>
      <c r="B86" s="414">
        <f>Sheet1!B52</f>
        <v>18.580000000000002</v>
      </c>
      <c r="C86" s="415">
        <v>1</v>
      </c>
    </row>
    <row r="87" spans="1:3">
      <c r="A87" s="413">
        <f>Sheet1!A53</f>
        <v>285</v>
      </c>
      <c r="B87" s="414">
        <f>Sheet1!B53</f>
        <v>18.62</v>
      </c>
      <c r="C87" s="415">
        <v>1</v>
      </c>
    </row>
    <row r="88" spans="1:3">
      <c r="A88" s="413">
        <f>Sheet1!A54</f>
        <v>290</v>
      </c>
      <c r="B88" s="414">
        <f>Sheet1!B54</f>
        <v>18.650000000000002</v>
      </c>
      <c r="C88" s="415">
        <v>1</v>
      </c>
    </row>
    <row r="89" spans="1:3">
      <c r="A89" s="413">
        <f>Sheet1!A55</f>
        <v>295</v>
      </c>
      <c r="B89" s="414">
        <f>Sheet1!B55</f>
        <v>18.670000000000002</v>
      </c>
      <c r="C89" s="415">
        <v>1</v>
      </c>
    </row>
    <row r="90" spans="1:3">
      <c r="A90" s="413">
        <f>Sheet1!A56</f>
        <v>300</v>
      </c>
      <c r="B90" s="414">
        <f>Sheet1!B56</f>
        <v>18.88</v>
      </c>
      <c r="C90" s="415">
        <v>1</v>
      </c>
    </row>
    <row r="91" spans="1:3">
      <c r="A91" s="413">
        <f>Sheet1!A57</f>
        <v>315</v>
      </c>
      <c r="B91" s="414">
        <f>Sheet1!B57</f>
        <v>18.959999999999997</v>
      </c>
      <c r="C91" s="415">
        <v>1</v>
      </c>
    </row>
    <row r="92" spans="1:3">
      <c r="A92" s="413">
        <f>Sheet1!A58</f>
        <v>330</v>
      </c>
      <c r="B92" s="414">
        <f>Sheet1!B58</f>
        <v>19.019999999999996</v>
      </c>
      <c r="C92" s="415">
        <v>1</v>
      </c>
    </row>
    <row r="93" spans="1:3">
      <c r="A93" s="413">
        <f>Sheet1!A59</f>
        <v>345</v>
      </c>
      <c r="B93" s="414">
        <f>Sheet1!B59</f>
        <v>19.069999999999997</v>
      </c>
      <c r="C93" s="415">
        <v>1</v>
      </c>
    </row>
    <row r="94" spans="1:3">
      <c r="A94" s="413">
        <f>Sheet1!A60</f>
        <v>360</v>
      </c>
      <c r="B94" s="414">
        <f>Sheet1!B60</f>
        <v>19.309999999999999</v>
      </c>
      <c r="C94" s="415">
        <v>1</v>
      </c>
    </row>
    <row r="95" spans="1:3">
      <c r="A95" s="413">
        <f>Sheet1!A61</f>
        <v>361</v>
      </c>
      <c r="B95" s="414">
        <f>Sheet1!B61</f>
        <v>19.5</v>
      </c>
      <c r="C95" s="415">
        <v>1</v>
      </c>
    </row>
    <row r="96" spans="1:3">
      <c r="A96" s="413">
        <f>Sheet1!A62</f>
        <v>362</v>
      </c>
      <c r="B96" s="414">
        <f>Sheet1!B62</f>
        <v>19.670000000000002</v>
      </c>
      <c r="C96" s="415">
        <v>1</v>
      </c>
    </row>
    <row r="97" spans="1:3">
      <c r="A97" s="413">
        <f>Sheet1!A63</f>
        <v>363</v>
      </c>
      <c r="B97" s="414">
        <f>Sheet1!B63</f>
        <v>19.830000000000002</v>
      </c>
      <c r="C97" s="415">
        <v>1</v>
      </c>
    </row>
    <row r="98" spans="1:3">
      <c r="A98" s="413">
        <f>Sheet1!A64</f>
        <v>364</v>
      </c>
      <c r="B98" s="414">
        <f>Sheet1!B64</f>
        <v>19.98</v>
      </c>
      <c r="C98" s="415">
        <v>1</v>
      </c>
    </row>
    <row r="99" spans="1:3">
      <c r="A99" s="413">
        <f>Sheet1!A65</f>
        <v>365</v>
      </c>
      <c r="B99" s="414">
        <f>Sheet1!B65</f>
        <v>20.12</v>
      </c>
      <c r="C99" s="415">
        <v>1</v>
      </c>
    </row>
    <row r="100" spans="1:3">
      <c r="A100" s="413">
        <f>Sheet1!A66</f>
        <v>370</v>
      </c>
      <c r="B100" s="414">
        <f>Sheet1!B66</f>
        <v>22.14</v>
      </c>
      <c r="C100" s="415">
        <v>1</v>
      </c>
    </row>
    <row r="101" spans="1:3">
      <c r="A101" s="413">
        <f>Sheet1!A67</f>
        <v>375</v>
      </c>
      <c r="B101" s="414">
        <f>Sheet1!B67</f>
        <v>22.26</v>
      </c>
      <c r="C101" s="415">
        <v>1</v>
      </c>
    </row>
    <row r="102" spans="1:3">
      <c r="A102" s="413">
        <f>Sheet1!A68</f>
        <v>380</v>
      </c>
      <c r="B102" s="414">
        <f>Sheet1!B68</f>
        <v>22.61</v>
      </c>
      <c r="C102" s="415">
        <v>1</v>
      </c>
    </row>
    <row r="103" spans="1:3">
      <c r="A103" s="413">
        <f>Sheet1!A69</f>
        <v>385</v>
      </c>
      <c r="B103" s="414">
        <f>Sheet1!B69</f>
        <v>22.73</v>
      </c>
      <c r="C103" s="415">
        <v>1</v>
      </c>
    </row>
    <row r="104" spans="1:3">
      <c r="A104" s="413">
        <f>Sheet1!A70</f>
        <v>390</v>
      </c>
      <c r="B104" s="414">
        <f>Sheet1!B70</f>
        <v>23.08</v>
      </c>
      <c r="C104" s="415">
        <v>1</v>
      </c>
    </row>
    <row r="105" spans="1:3">
      <c r="A105" s="413">
        <f>Sheet1!A71</f>
        <v>395</v>
      </c>
      <c r="B105" s="414">
        <f>Sheet1!B71</f>
        <v>23.15</v>
      </c>
      <c r="C105" s="415">
        <v>1</v>
      </c>
    </row>
    <row r="106" spans="1:3">
      <c r="A106" s="413">
        <f>Sheet1!A72</f>
        <v>400</v>
      </c>
      <c r="B106" s="414">
        <f>Sheet1!B72</f>
        <v>23.2</v>
      </c>
      <c r="C106" s="415">
        <v>1</v>
      </c>
    </row>
    <row r="107" spans="1:3">
      <c r="A107" s="413">
        <f>Sheet1!A73</f>
        <v>405</v>
      </c>
      <c r="B107" s="414">
        <f>Sheet1!B73</f>
        <v>23.24</v>
      </c>
      <c r="C107" s="415">
        <v>1</v>
      </c>
    </row>
    <row r="108" spans="1:3">
      <c r="A108" s="413">
        <f>Sheet1!A74</f>
        <v>410</v>
      </c>
      <c r="B108" s="414">
        <f>Sheet1!B74</f>
        <v>23.27</v>
      </c>
      <c r="C108" s="415">
        <v>1</v>
      </c>
    </row>
    <row r="109" spans="1:3">
      <c r="A109" s="413">
        <f>Sheet1!A75</f>
        <v>415</v>
      </c>
      <c r="B109" s="414">
        <f>Sheet1!B75</f>
        <v>23.3</v>
      </c>
      <c r="C109" s="415">
        <v>1</v>
      </c>
    </row>
    <row r="110" spans="1:3">
      <c r="A110" s="413">
        <f>Sheet1!A76</f>
        <v>420</v>
      </c>
      <c r="B110" s="414">
        <f>Sheet1!B76</f>
        <v>23.55</v>
      </c>
      <c r="C110" s="415">
        <v>1</v>
      </c>
    </row>
    <row r="111" spans="1:3">
      <c r="A111" s="413">
        <f>Sheet1!A77</f>
        <v>435</v>
      </c>
      <c r="B111" s="414">
        <f>Sheet1!B77</f>
        <v>23.64</v>
      </c>
      <c r="C111" s="415">
        <v>1</v>
      </c>
    </row>
    <row r="112" spans="1:3">
      <c r="A112" s="413">
        <f>Sheet1!A78</f>
        <v>450</v>
      </c>
      <c r="B112" s="414">
        <f>Sheet1!B78</f>
        <v>23.71</v>
      </c>
      <c r="C112" s="415">
        <v>1</v>
      </c>
    </row>
    <row r="113" spans="1:3">
      <c r="A113" s="413">
        <f>Sheet1!A79</f>
        <v>465</v>
      </c>
      <c r="B113" s="414">
        <f>Sheet1!B79</f>
        <v>23.76</v>
      </c>
      <c r="C113" s="415">
        <v>1</v>
      </c>
    </row>
    <row r="114" spans="1:3">
      <c r="A114" s="413">
        <f>Sheet1!A80</f>
        <v>480</v>
      </c>
      <c r="B114" s="414">
        <f>Sheet1!B80</f>
        <v>24.03</v>
      </c>
      <c r="C114" s="415">
        <v>1</v>
      </c>
    </row>
    <row r="115" spans="1:3">
      <c r="A115" s="413">
        <f>Sheet1!A81</f>
        <v>481</v>
      </c>
      <c r="B115" s="414">
        <f>Sheet1!B81</f>
        <v>24.240000000000002</v>
      </c>
      <c r="C115" s="415">
        <v>1</v>
      </c>
    </row>
    <row r="116" spans="1:3">
      <c r="A116" s="413">
        <f>Sheet1!A82</f>
        <v>482</v>
      </c>
      <c r="B116" s="414">
        <f>Sheet1!B82</f>
        <v>24.430000000000003</v>
      </c>
      <c r="C116" s="415">
        <v>1</v>
      </c>
    </row>
    <row r="117" spans="1:3">
      <c r="A117" s="413">
        <f>Sheet1!A83</f>
        <v>483</v>
      </c>
      <c r="B117" s="414">
        <f>Sheet1!B83</f>
        <v>24.600000000000005</v>
      </c>
      <c r="C117" s="415">
        <v>1</v>
      </c>
    </row>
    <row r="118" spans="1:3">
      <c r="A118" s="413">
        <f>Sheet1!A84</f>
        <v>484</v>
      </c>
      <c r="B118" s="414">
        <f>Sheet1!B84</f>
        <v>24.760000000000005</v>
      </c>
      <c r="C118" s="415">
        <v>1</v>
      </c>
    </row>
    <row r="119" spans="1:3">
      <c r="A119" s="413">
        <f>Sheet1!A85</f>
        <v>485</v>
      </c>
      <c r="B119" s="414">
        <f>Sheet1!B85</f>
        <v>24.900000000000006</v>
      </c>
      <c r="C119" s="415">
        <v>1</v>
      </c>
    </row>
    <row r="120" spans="1:3">
      <c r="A120" s="413">
        <f>Sheet1!A86</f>
        <v>490</v>
      </c>
      <c r="B120" s="414">
        <f>Sheet1!B86</f>
        <v>26.91</v>
      </c>
      <c r="C120" s="415">
        <v>1</v>
      </c>
    </row>
    <row r="121" spans="1:3">
      <c r="A121" s="413">
        <f>Sheet1!A87</f>
        <v>495</v>
      </c>
      <c r="B121" s="414">
        <f>Sheet1!B87</f>
        <v>27.22</v>
      </c>
      <c r="C121" s="415">
        <v>1</v>
      </c>
    </row>
    <row r="122" spans="1:3">
      <c r="A122" s="413">
        <f>Sheet1!A88</f>
        <v>500</v>
      </c>
      <c r="B122" s="414">
        <f>Sheet1!B88</f>
        <v>27.99</v>
      </c>
      <c r="C122" s="415">
        <v>1</v>
      </c>
    </row>
    <row r="123" spans="1:3">
      <c r="A123" s="413">
        <f>Sheet1!A89</f>
        <v>505</v>
      </c>
      <c r="B123" s="414">
        <f>Sheet1!B89</f>
        <v>28.29</v>
      </c>
      <c r="C123" s="415">
        <v>1</v>
      </c>
    </row>
    <row r="124" spans="1:3">
      <c r="A124" s="413">
        <f>Sheet1!A90</f>
        <v>510</v>
      </c>
      <c r="B124" s="414">
        <f>Sheet1!B90</f>
        <v>29.07</v>
      </c>
      <c r="C124" s="415">
        <v>1</v>
      </c>
    </row>
    <row r="125" spans="1:3">
      <c r="A125" s="413">
        <f>Sheet1!A91</f>
        <v>515</v>
      </c>
      <c r="B125" s="414">
        <f>Sheet1!B91</f>
        <v>29.22</v>
      </c>
      <c r="C125" s="415">
        <v>1</v>
      </c>
    </row>
    <row r="126" spans="1:3">
      <c r="A126" s="413">
        <f>Sheet1!A92</f>
        <v>520</v>
      </c>
      <c r="B126" s="414">
        <f>Sheet1!B92</f>
        <v>29.349999999999998</v>
      </c>
      <c r="C126" s="415">
        <v>1</v>
      </c>
    </row>
    <row r="127" spans="1:3">
      <c r="A127" s="413">
        <f>Sheet1!A93</f>
        <v>525</v>
      </c>
      <c r="B127" s="414">
        <f>Sheet1!B93</f>
        <v>29.459999999999997</v>
      </c>
      <c r="C127" s="415">
        <v>1</v>
      </c>
    </row>
    <row r="128" spans="1:3">
      <c r="A128" s="413">
        <f>Sheet1!A94</f>
        <v>530</v>
      </c>
      <c r="B128" s="414">
        <f>Sheet1!B94</f>
        <v>29.539999999999996</v>
      </c>
      <c r="C128" s="415">
        <v>1</v>
      </c>
    </row>
    <row r="129" spans="1:3">
      <c r="A129" s="413">
        <f>Sheet1!A95</f>
        <v>535</v>
      </c>
      <c r="B129" s="414">
        <f>Sheet1!B95</f>
        <v>29.609999999999996</v>
      </c>
      <c r="C129" s="415">
        <v>1</v>
      </c>
    </row>
    <row r="130" spans="1:3">
      <c r="A130" s="413">
        <f>Sheet1!A96</f>
        <v>540</v>
      </c>
      <c r="B130" s="414">
        <f>Sheet1!B96</f>
        <v>30.15</v>
      </c>
      <c r="C130" s="415">
        <v>1</v>
      </c>
    </row>
    <row r="131" spans="1:3">
      <c r="A131" s="413">
        <f>Sheet1!A97</f>
        <v>555</v>
      </c>
      <c r="B131" s="414">
        <f>Sheet1!B97</f>
        <v>30.34</v>
      </c>
      <c r="C131" s="415">
        <v>1</v>
      </c>
    </row>
    <row r="132" spans="1:3">
      <c r="A132" s="413">
        <f>Sheet1!A98</f>
        <v>570</v>
      </c>
      <c r="B132" s="414">
        <f>Sheet1!B98</f>
        <v>30.5</v>
      </c>
      <c r="C132" s="415">
        <v>1</v>
      </c>
    </row>
    <row r="133" spans="1:3">
      <c r="A133" s="413">
        <f>Sheet1!A99</f>
        <v>585</v>
      </c>
      <c r="B133" s="414">
        <f>Sheet1!B99</f>
        <v>30.64</v>
      </c>
      <c r="C133" s="415">
        <v>1</v>
      </c>
    </row>
    <row r="134" spans="1:3">
      <c r="A134" s="413">
        <f>Sheet1!A100</f>
        <v>600</v>
      </c>
      <c r="B134" s="414">
        <f>Sheet1!B100</f>
        <v>31.23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>
      <selection activeCell="M19" sqref="M19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0.125</v>
      </c>
      <c r="B18" s="413"/>
    </row>
    <row r="19" spans="1:3">
      <c r="A19" s="413">
        <f>Step.Select!A19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SkinFactor!G10</f>
        <v>1.8556999999999999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2.4310769115568367</v>
      </c>
      <c r="C31" s="415">
        <v>1</v>
      </c>
    </row>
    <row r="32" spans="1:3">
      <c r="A32" s="413">
        <f>LongTest!D11</f>
        <v>2</v>
      </c>
      <c r="B32" s="417">
        <f>LongTest!G11</f>
        <v>4.6621538231136732</v>
      </c>
      <c r="C32" s="415">
        <v>1</v>
      </c>
    </row>
    <row r="33" spans="1:3">
      <c r="A33" s="413">
        <f>LongTest!D12</f>
        <v>3</v>
      </c>
      <c r="B33" s="417">
        <f>LongTest!G12</f>
        <v>6.1446960007408009</v>
      </c>
      <c r="C33" s="415">
        <v>1</v>
      </c>
    </row>
    <row r="34" spans="1:3">
      <c r="A34" s="413">
        <f>LongTest!D13</f>
        <v>4</v>
      </c>
      <c r="B34" s="417">
        <f>LongTest!G13</f>
        <v>7.1965764156720233</v>
      </c>
      <c r="C34" s="415">
        <v>1</v>
      </c>
    </row>
    <row r="35" spans="1:3">
      <c r="A35" s="413">
        <f>LongTest!D14</f>
        <v>5</v>
      </c>
      <c r="B35" s="417">
        <f>LongTest!G14</f>
        <v>8.0124782525338247</v>
      </c>
      <c r="C35" s="415">
        <v>1</v>
      </c>
    </row>
    <row r="36" spans="1:3">
      <c r="A36" s="413">
        <f>LongTest!D15</f>
        <v>10</v>
      </c>
      <c r="B36" s="417">
        <f>LongTest!G15</f>
        <v>10.546900845092178</v>
      </c>
      <c r="C36" s="415">
        <v>1</v>
      </c>
    </row>
    <row r="37" spans="1:3">
      <c r="A37" s="413">
        <f>LongTest!D16</f>
        <v>15</v>
      </c>
      <c r="B37" s="417">
        <f>LongTest!G16</f>
        <v>12.029443022719306</v>
      </c>
      <c r="C37" s="415">
        <v>1</v>
      </c>
    </row>
    <row r="38" spans="1:3">
      <c r="A38" s="413">
        <f>LongTest!D17</f>
        <v>20</v>
      </c>
      <c r="B38" s="417">
        <f>LongTest!G17</f>
        <v>13.081323437650525</v>
      </c>
      <c r="C38" s="415">
        <v>1</v>
      </c>
    </row>
    <row r="39" spans="1:3">
      <c r="A39" s="413">
        <f>LongTest!D18</f>
        <v>25</v>
      </c>
      <c r="B39" s="417">
        <f>LongTest!G18</f>
        <v>13.89722527451233</v>
      </c>
      <c r="C39" s="415">
        <v>1</v>
      </c>
    </row>
    <row r="40" spans="1:3">
      <c r="A40" s="413">
        <f>LongTest!D19</f>
        <v>30</v>
      </c>
      <c r="B40" s="417">
        <f>LongTest!G19</f>
        <v>14.563865615277656</v>
      </c>
      <c r="C40" s="415">
        <v>1</v>
      </c>
    </row>
    <row r="41" spans="1:3">
      <c r="A41" s="413">
        <f>LongTest!D20</f>
        <v>35</v>
      </c>
      <c r="B41" s="417">
        <f>LongTest!G20</f>
        <v>15.127501992326508</v>
      </c>
      <c r="C41" s="415">
        <v>1</v>
      </c>
    </row>
    <row r="42" spans="1:3">
      <c r="A42" s="413">
        <f>LongTest!D21</f>
        <v>40</v>
      </c>
      <c r="B42" s="417">
        <f>LongTest!G21</f>
        <v>15.615746030208882</v>
      </c>
      <c r="C42" s="415">
        <v>1</v>
      </c>
    </row>
    <row r="43" spans="1:3">
      <c r="A43" s="413">
        <f>LongTest!D22</f>
        <v>45</v>
      </c>
      <c r="B43" s="417">
        <f>LongTest!G22</f>
        <v>16.046407792904787</v>
      </c>
      <c r="C43" s="415">
        <v>1</v>
      </c>
    </row>
    <row r="44" spans="1:3">
      <c r="A44" s="413">
        <f>LongTest!D23</f>
        <v>50</v>
      </c>
      <c r="B44" s="417">
        <f>LongTest!G23</f>
        <v>16.43164786707068</v>
      </c>
      <c r="C44" s="415">
        <v>1</v>
      </c>
    </row>
    <row r="45" spans="1:3">
      <c r="A45" s="413">
        <f>LongTest!D24</f>
        <v>55</v>
      </c>
      <c r="B45" s="417">
        <f>LongTest!G24</f>
        <v>16.731059904218899</v>
      </c>
      <c r="C45" s="415">
        <v>1</v>
      </c>
    </row>
    <row r="46" spans="1:3">
      <c r="A46" s="413">
        <f>LongTest!D25</f>
        <v>60</v>
      </c>
      <c r="B46" s="417">
        <f>LongTest!G25</f>
        <v>17.098288207836013</v>
      </c>
      <c r="C46" s="415">
        <v>1</v>
      </c>
    </row>
    <row r="47" spans="1:3">
      <c r="A47" s="413">
        <f>LongTest!D26</f>
        <v>75</v>
      </c>
      <c r="B47" s="417">
        <f>LongTest!G26</f>
        <v>17.914190044697811</v>
      </c>
      <c r="C47" s="415">
        <v>1</v>
      </c>
    </row>
    <row r="48" spans="1:3">
      <c r="A48" s="413">
        <f>LongTest!D27</f>
        <v>90</v>
      </c>
      <c r="B48" s="417">
        <f>LongTest!G27</f>
        <v>18.580830385463145</v>
      </c>
      <c r="C48" s="415">
        <v>1</v>
      </c>
    </row>
    <row r="49" spans="1:3">
      <c r="A49" s="413">
        <f>LongTest!D28</f>
        <v>105</v>
      </c>
      <c r="B49" s="417">
        <f>LongTest!G28</f>
        <v>19.144466762511989</v>
      </c>
      <c r="C49" s="415">
        <v>1</v>
      </c>
    </row>
    <row r="50" spans="1:3">
      <c r="A50" s="413">
        <f>LongTest!D29</f>
        <v>120</v>
      </c>
      <c r="B50" s="417">
        <f>LongTest!G29</f>
        <v>19.632710800394364</v>
      </c>
      <c r="C50" s="415">
        <v>1</v>
      </c>
    </row>
    <row r="51" spans="1:3">
      <c r="A51" s="413">
        <f>LongTest!D30</f>
        <v>140</v>
      </c>
      <c r="B51" s="417">
        <f>LongTest!G30</f>
        <v>20.196347177443215</v>
      </c>
      <c r="C51" s="415">
        <v>1</v>
      </c>
    </row>
    <row r="52" spans="1:3">
      <c r="A52" s="413">
        <f>LongTest!D31</f>
        <v>160</v>
      </c>
      <c r="B52" s="417">
        <f>LongTest!G31</f>
        <v>20.68459121532559</v>
      </c>
      <c r="C52" s="415">
        <v>1</v>
      </c>
    </row>
    <row r="53" spans="1:3">
      <c r="A53" s="413">
        <f>LongTest!D32</f>
        <v>180</v>
      </c>
      <c r="B53" s="417">
        <f>LongTest!G32</f>
        <v>21.115252978021495</v>
      </c>
      <c r="C53" s="415">
        <v>1</v>
      </c>
    </row>
    <row r="54" spans="1:3">
      <c r="A54" s="413">
        <f>LongTest!D33</f>
        <v>240</v>
      </c>
      <c r="B54" s="417">
        <f>LongTest!G33</f>
        <v>22.167133392952721</v>
      </c>
      <c r="C54" s="415">
        <v>1</v>
      </c>
    </row>
    <row r="55" spans="1:3">
      <c r="A55" s="413">
        <f>LongTest!D34</f>
        <v>300</v>
      </c>
      <c r="B55" s="417">
        <f>LongTest!G34</f>
        <v>22.983035229814519</v>
      </c>
      <c r="C55" s="415">
        <v>1</v>
      </c>
    </row>
    <row r="56" spans="1:3">
      <c r="A56" s="413">
        <f>LongTest!D35</f>
        <v>360</v>
      </c>
      <c r="B56" s="417">
        <f>LongTest!G35</f>
        <v>23.649675570579852</v>
      </c>
      <c r="C56" s="415">
        <v>1</v>
      </c>
    </row>
    <row r="57" spans="1:3">
      <c r="A57" s="413">
        <f>LongTest!D36</f>
        <v>420</v>
      </c>
      <c r="B57" s="417">
        <f>LongTest!G36</f>
        <v>24.213311947628696</v>
      </c>
      <c r="C57" s="415">
        <v>1</v>
      </c>
    </row>
    <row r="58" spans="1:3">
      <c r="A58" s="413">
        <f>LongTest!D37</f>
        <v>480</v>
      </c>
      <c r="B58" s="417">
        <f>LongTest!G37</f>
        <v>24.701555985511071</v>
      </c>
      <c r="C58" s="415">
        <v>1</v>
      </c>
    </row>
    <row r="59" spans="1:3">
      <c r="A59" s="413">
        <f>LongTest!D38</f>
        <v>540</v>
      </c>
      <c r="B59" s="417">
        <f>LongTest!G38</f>
        <v>25.132217748206983</v>
      </c>
      <c r="C59" s="415">
        <v>1</v>
      </c>
    </row>
    <row r="60" spans="1:3">
      <c r="A60" s="413">
        <f>LongTest!D39</f>
        <v>600</v>
      </c>
      <c r="B60" s="417">
        <f>LongTest!G39</f>
        <v>25.517457822372869</v>
      </c>
      <c r="C60" s="415">
        <v>1</v>
      </c>
    </row>
    <row r="61" spans="1:3">
      <c r="A61" s="413">
        <f>LongTest!D40</f>
        <v>660</v>
      </c>
      <c r="B61" s="417">
        <f>LongTest!G40</f>
        <v>25.865949859521095</v>
      </c>
      <c r="C61" s="415">
        <v>1</v>
      </c>
    </row>
    <row r="62" spans="1:3">
      <c r="A62" s="413">
        <f>LongTest!D41</f>
        <v>720</v>
      </c>
      <c r="B62" s="417">
        <f>LongTest!G41</f>
        <v>26.184098163138202</v>
      </c>
      <c r="C62" s="415">
        <v>1</v>
      </c>
    </row>
    <row r="63" spans="1:3">
      <c r="A63" s="413">
        <f>LongTest!D42</f>
        <v>780</v>
      </c>
      <c r="B63" s="417">
        <f>LongTest!G42</f>
        <v>26.476766231893059</v>
      </c>
      <c r="C63" s="415">
        <v>1</v>
      </c>
    </row>
    <row r="64" spans="1:3">
      <c r="A64" s="413">
        <f>LongTest!D43</f>
        <v>840</v>
      </c>
      <c r="B64" s="417">
        <f>LongTest!G43</f>
        <v>26.747734540187054</v>
      </c>
      <c r="C64" s="415">
        <v>1</v>
      </c>
    </row>
    <row r="65" spans="1:3">
      <c r="A65" s="413">
        <f>LongTest!D44</f>
        <v>900</v>
      </c>
      <c r="B65" s="417">
        <f>LongTest!G44</f>
        <v>27</v>
      </c>
      <c r="C65" s="415">
        <v>1</v>
      </c>
    </row>
    <row r="66" spans="1:3">
      <c r="A66" s="413">
        <f>LongTest!D45</f>
        <v>960</v>
      </c>
      <c r="B66" s="417">
        <f>LongTest!G45</f>
        <v>27</v>
      </c>
      <c r="C66" s="415">
        <v>1</v>
      </c>
    </row>
    <row r="67" spans="1:3">
      <c r="A67" s="413">
        <f>LongTest!D46</f>
        <v>1020</v>
      </c>
      <c r="B67" s="417">
        <f>LongTest!G46</f>
        <v>27</v>
      </c>
      <c r="C67" s="415">
        <v>1</v>
      </c>
    </row>
    <row r="68" spans="1:3">
      <c r="A68" s="413">
        <f>LongTest!D47</f>
        <v>1080</v>
      </c>
      <c r="B68" s="417">
        <f>LongTest!G47</f>
        <v>27</v>
      </c>
      <c r="C68" s="415">
        <v>1</v>
      </c>
    </row>
    <row r="69" spans="1:3">
      <c r="A69" s="413">
        <f>LongTest!D48</f>
        <v>1140</v>
      </c>
      <c r="B69" s="417">
        <f>LongTest!G48</f>
        <v>27</v>
      </c>
      <c r="C69" s="415">
        <v>1</v>
      </c>
    </row>
    <row r="70" spans="1:3">
      <c r="A70" s="413">
        <f>LongTest!D49</f>
        <v>1200</v>
      </c>
      <c r="B70" s="417">
        <f>LongTest!G49</f>
        <v>27</v>
      </c>
      <c r="C70" s="415">
        <v>1</v>
      </c>
    </row>
    <row r="71" spans="1:3">
      <c r="A71" s="413">
        <f>LongTest!D50</f>
        <v>1260</v>
      </c>
      <c r="B71" s="417">
        <f>LongTest!G50</f>
        <v>27</v>
      </c>
      <c r="C71" s="415">
        <v>1</v>
      </c>
    </row>
    <row r="72" spans="1:3">
      <c r="A72" s="413">
        <f>LongTest!D51</f>
        <v>1320</v>
      </c>
      <c r="B72" s="417">
        <f>LongTest!G51</f>
        <v>27</v>
      </c>
      <c r="C72" s="415">
        <v>1</v>
      </c>
    </row>
    <row r="73" spans="1:3">
      <c r="A73" s="413">
        <f>LongTest!D52</f>
        <v>1380</v>
      </c>
      <c r="B73" s="417">
        <f>LongTest!G52</f>
        <v>27</v>
      </c>
      <c r="C73" s="415">
        <v>1</v>
      </c>
    </row>
    <row r="74" spans="1:3">
      <c r="A74" s="413">
        <f>LongTest!D53</f>
        <v>1440</v>
      </c>
      <c r="B74" s="417">
        <f>LongTest!G53</f>
        <v>27</v>
      </c>
      <c r="C74" s="415">
        <v>1</v>
      </c>
    </row>
    <row r="75" spans="1:3">
      <c r="A75" s="413">
        <f>LongTest!D54</f>
        <v>1500</v>
      </c>
      <c r="B75" s="417">
        <f>LongTest!G54</f>
        <v>27</v>
      </c>
      <c r="C75" s="415">
        <v>1</v>
      </c>
    </row>
    <row r="76" spans="1:3">
      <c r="A76" s="413">
        <f>LongTest!D55</f>
        <v>1560</v>
      </c>
      <c r="B76" s="417">
        <f>LongTest!G55</f>
        <v>27</v>
      </c>
      <c r="C76" s="415">
        <v>1</v>
      </c>
    </row>
    <row r="77" spans="1:3">
      <c r="A77" s="413">
        <f>LongTest!D56</f>
        <v>1620</v>
      </c>
      <c r="B77" s="417">
        <f>LongTest!G56</f>
        <v>27</v>
      </c>
      <c r="C77" s="415">
        <v>1</v>
      </c>
    </row>
    <row r="78" spans="1:3">
      <c r="A78" s="413">
        <f>LongTest!D57</f>
        <v>1680</v>
      </c>
      <c r="B78" s="417">
        <f>LongTest!G57</f>
        <v>27</v>
      </c>
      <c r="C78" s="415">
        <v>1</v>
      </c>
    </row>
    <row r="79" spans="1:3">
      <c r="A79" s="413">
        <f>LongTest!D58</f>
        <v>1740</v>
      </c>
      <c r="B79" s="417">
        <f>LongTest!G58</f>
        <v>27</v>
      </c>
      <c r="C79" s="415">
        <v>1</v>
      </c>
    </row>
    <row r="80" spans="1:3">
      <c r="A80" s="413">
        <f>LongTest!D59</f>
        <v>1800</v>
      </c>
      <c r="B80" s="417">
        <f>LongTest!G59</f>
        <v>27</v>
      </c>
      <c r="C80" s="415">
        <v>1</v>
      </c>
    </row>
    <row r="81" spans="1:3">
      <c r="A81" s="413">
        <f>LongTest!D60</f>
        <v>1860</v>
      </c>
      <c r="B81" s="417">
        <f>LongTest!G60</f>
        <v>27</v>
      </c>
      <c r="C81" s="415">
        <v>1</v>
      </c>
    </row>
    <row r="82" spans="1:3">
      <c r="A82" s="413">
        <f>LongTest!D61</f>
        <v>1920</v>
      </c>
      <c r="B82" s="417">
        <f>LongTest!G61</f>
        <v>27</v>
      </c>
      <c r="C82" s="415">
        <v>1</v>
      </c>
    </row>
    <row r="83" spans="1:3">
      <c r="A83" s="413">
        <f>LongTest!D62</f>
        <v>1980</v>
      </c>
      <c r="B83" s="417">
        <f>LongTest!G62</f>
        <v>27</v>
      </c>
      <c r="C83" s="415">
        <v>1</v>
      </c>
    </row>
    <row r="84" spans="1:3">
      <c r="A84" s="413">
        <f>LongTest!D63</f>
        <v>2040</v>
      </c>
      <c r="B84" s="417">
        <f>LongTest!G63</f>
        <v>27</v>
      </c>
      <c r="C84" s="415">
        <v>1</v>
      </c>
    </row>
    <row r="85" spans="1:3">
      <c r="A85" s="413">
        <f>LongTest!D64</f>
        <v>2100</v>
      </c>
      <c r="B85" s="417">
        <f>LongTest!G64</f>
        <v>27</v>
      </c>
      <c r="C85" s="415">
        <v>1</v>
      </c>
    </row>
    <row r="86" spans="1:3">
      <c r="A86" s="413">
        <f>LongTest!D65</f>
        <v>2160</v>
      </c>
      <c r="B86" s="417">
        <f>LongTest!G65</f>
        <v>27</v>
      </c>
      <c r="C86" s="415">
        <v>1</v>
      </c>
    </row>
    <row r="87" spans="1:3">
      <c r="A87" s="413">
        <f>LongTest!D66</f>
        <v>2220</v>
      </c>
      <c r="B87" s="417">
        <f>LongTest!G66</f>
        <v>27</v>
      </c>
      <c r="C87" s="415">
        <v>1</v>
      </c>
    </row>
    <row r="88" spans="1:3">
      <c r="A88" s="413">
        <f>LongTest!D67</f>
        <v>2280</v>
      </c>
      <c r="B88" s="417">
        <f>LongTest!G67</f>
        <v>27</v>
      </c>
      <c r="C88" s="415">
        <v>1</v>
      </c>
    </row>
    <row r="89" spans="1:3">
      <c r="A89" s="413">
        <f>LongTest!D68</f>
        <v>2340</v>
      </c>
      <c r="B89" s="417">
        <f>LongTest!G68</f>
        <v>27</v>
      </c>
      <c r="C89" s="415">
        <v>1</v>
      </c>
    </row>
    <row r="90" spans="1:3">
      <c r="A90" s="413">
        <f>LongTest!D69</f>
        <v>2400</v>
      </c>
      <c r="B90" s="417">
        <f>LongTest!G69</f>
        <v>27</v>
      </c>
      <c r="C90" s="415">
        <v>1</v>
      </c>
    </row>
    <row r="91" spans="1:3">
      <c r="A91" s="413">
        <f>LongTest!D70</f>
        <v>2460</v>
      </c>
      <c r="B91" s="417">
        <f>LongTest!G70</f>
        <v>27</v>
      </c>
      <c r="C91" s="415">
        <v>1</v>
      </c>
    </row>
    <row r="92" spans="1:3">
      <c r="A92" s="413">
        <f>LongTest!D71</f>
        <v>2520</v>
      </c>
      <c r="B92" s="417">
        <f>LongTest!G71</f>
        <v>27</v>
      </c>
      <c r="C92" s="415">
        <v>1</v>
      </c>
    </row>
    <row r="93" spans="1:3">
      <c r="A93" s="413">
        <f>LongTest!D72</f>
        <v>2580</v>
      </c>
      <c r="B93" s="417">
        <f>LongTest!G72</f>
        <v>27</v>
      </c>
      <c r="C93" s="415">
        <v>1</v>
      </c>
    </row>
    <row r="94" spans="1:3">
      <c r="A94" s="413">
        <f>LongTest!D73</f>
        <v>2640</v>
      </c>
      <c r="B94" s="417">
        <f>LongTest!G73</f>
        <v>27</v>
      </c>
      <c r="C94" s="415">
        <v>1</v>
      </c>
    </row>
    <row r="95" spans="1:3">
      <c r="A95" s="413">
        <f>LongTest!D74</f>
        <v>2700</v>
      </c>
      <c r="B95" s="417">
        <f>LongTest!G74</f>
        <v>27</v>
      </c>
      <c r="C95" s="415">
        <v>1</v>
      </c>
    </row>
    <row r="96" spans="1:3">
      <c r="A96" s="413">
        <f>LongTest!D75</f>
        <v>2760</v>
      </c>
      <c r="B96" s="417">
        <f>LongTest!G75</f>
        <v>27</v>
      </c>
      <c r="C96" s="415">
        <v>1</v>
      </c>
    </row>
    <row r="97" spans="1:3">
      <c r="A97" s="413">
        <f>LongTest!D76</f>
        <v>2820</v>
      </c>
      <c r="B97" s="417">
        <f>LongTest!G76</f>
        <v>27</v>
      </c>
      <c r="C97" s="415">
        <v>1</v>
      </c>
    </row>
    <row r="98" spans="1:3">
      <c r="A98" s="413">
        <f>LongTest!D77</f>
        <v>2880</v>
      </c>
      <c r="B98" s="417">
        <f>LongTest!G77</f>
        <v>27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L17" sqref="L17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0.125</v>
      </c>
      <c r="B18" s="413"/>
    </row>
    <row r="19" spans="1:3">
      <c r="A19" s="413">
        <f>Step.Select!A19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SkinFactor!G10</f>
        <v>1.8556999999999999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27</v>
      </c>
      <c r="C32" s="415">
        <v>1</v>
      </c>
    </row>
    <row r="33" spans="1:3">
      <c r="A33" s="413">
        <f>$A$32+LongTest!D78</f>
        <v>2881</v>
      </c>
      <c r="B33" s="414">
        <f>LongTest!G78</f>
        <v>17.020520507105719</v>
      </c>
      <c r="C33" s="415">
        <v>1</v>
      </c>
    </row>
    <row r="34" spans="1:3">
      <c r="A34" s="413">
        <f>$A$32+LongTest!D79</f>
        <v>2882</v>
      </c>
      <c r="B34" s="414">
        <f>LongTest!G79</f>
        <v>15.418137849046119</v>
      </c>
      <c r="C34" s="415">
        <v>1</v>
      </c>
    </row>
    <row r="35" spans="1:3">
      <c r="A35" s="413">
        <f>$A$32+LongTest!D80</f>
        <v>2883</v>
      </c>
      <c r="B35" s="414">
        <f>LongTest!G80</f>
        <v>13.966610165238238</v>
      </c>
      <c r="C35" s="415">
        <v>1</v>
      </c>
    </row>
    <row r="36" spans="1:3">
      <c r="A36" s="413">
        <f>$A$32+LongTest!D81</f>
        <v>2884</v>
      </c>
      <c r="B36" s="414">
        <f>LongTest!G81</f>
        <v>12.651735340387058</v>
      </c>
      <c r="C36" s="415">
        <v>1</v>
      </c>
    </row>
    <row r="37" spans="1:3">
      <c r="A37" s="413">
        <f>$A$32+LongTest!D82</f>
        <v>2885</v>
      </c>
      <c r="B37" s="414">
        <f>LongTest!G82</f>
        <v>11.460648305455756</v>
      </c>
      <c r="C37" s="415">
        <v>1</v>
      </c>
    </row>
    <row r="38" spans="1:3">
      <c r="A38" s="413">
        <f>$A$32+LongTest!D83</f>
        <v>2890</v>
      </c>
      <c r="B38" s="414">
        <f>LongTest!G83</f>
        <v>8.5189574037614335</v>
      </c>
      <c r="C38" s="415">
        <v>1</v>
      </c>
    </row>
    <row r="39" spans="1:3">
      <c r="A39" s="413">
        <f>$A$32+LongTest!D84</f>
        <v>2895</v>
      </c>
      <c r="B39" s="414">
        <f>LongTest!G84</f>
        <v>7.9755229930197045</v>
      </c>
      <c r="C39" s="415">
        <v>1</v>
      </c>
    </row>
    <row r="40" spans="1:3">
      <c r="A40" s="413">
        <f>$A$32+LongTest!D85</f>
        <v>2900</v>
      </c>
      <c r="B40" s="414">
        <f>LongTest!G85</f>
        <v>6.5445131634427272</v>
      </c>
      <c r="C40" s="415">
        <v>1</v>
      </c>
    </row>
    <row r="41" spans="1:3">
      <c r="A41" s="413">
        <f>$A$32+LongTest!D86</f>
        <v>2905</v>
      </c>
      <c r="B41" s="414">
        <f>LongTest!G86</f>
        <v>5.9283854490073606</v>
      </c>
      <c r="C41" s="415">
        <v>1</v>
      </c>
    </row>
    <row r="42" spans="1:3">
      <c r="A42" s="413">
        <f>$A$32+LongTest!D87</f>
        <v>2910</v>
      </c>
      <c r="B42" s="414">
        <f>LongTest!G87</f>
        <v>5.3702625625882066</v>
      </c>
      <c r="C42" s="415">
        <v>1</v>
      </c>
    </row>
    <row r="43" spans="1:3">
      <c r="A43" s="413">
        <f>$A$32+LongTest!D88</f>
        <v>2915</v>
      </c>
      <c r="B43" s="414">
        <f>LongTest!G88</f>
        <v>5.196152422706632</v>
      </c>
      <c r="C43" s="415">
        <v>1</v>
      </c>
    </row>
    <row r="44" spans="1:3">
      <c r="A44" s="413">
        <f>$A$32+LongTest!D89</f>
        <v>2920</v>
      </c>
      <c r="B44" s="414">
        <f>LongTest!G89</f>
        <v>5.0276871354661115</v>
      </c>
      <c r="C44" s="415">
        <v>1</v>
      </c>
    </row>
    <row r="45" spans="1:3">
      <c r="A45" s="413">
        <f>$A$32+LongTest!D90</f>
        <v>2925</v>
      </c>
      <c r="B45" s="414">
        <f>LongTest!G90</f>
        <v>4.864683688197994</v>
      </c>
      <c r="C45" s="415">
        <v>1</v>
      </c>
    </row>
    <row r="46" spans="1:3">
      <c r="A46" s="413">
        <f>$A$32+LongTest!D91</f>
        <v>2930</v>
      </c>
      <c r="B46" s="414">
        <f>LongTest!G91</f>
        <v>4.7069650017165721</v>
      </c>
      <c r="C46" s="415">
        <v>1</v>
      </c>
    </row>
    <row r="47" spans="1:3">
      <c r="A47" s="413">
        <f>$A$32+LongTest!D92</f>
        <v>2935</v>
      </c>
      <c r="B47" s="414">
        <f>LongTest!G92</f>
        <v>4.5543597379486931</v>
      </c>
      <c r="C47" s="415">
        <v>1</v>
      </c>
    </row>
    <row r="48" spans="1:3">
      <c r="A48" s="413">
        <f>$A$32+LongTest!D93</f>
        <v>2940</v>
      </c>
      <c r="B48" s="414">
        <f>LongTest!G93</f>
        <v>4.4067021138002209</v>
      </c>
      <c r="C48" s="415">
        <v>1</v>
      </c>
    </row>
    <row r="49" spans="1:3">
      <c r="A49" s="413">
        <f>$A$32+LongTest!D94</f>
        <v>2955</v>
      </c>
      <c r="B49" s="414">
        <f>LongTest!G94</f>
        <v>4.2638317210571888</v>
      </c>
      <c r="C49" s="415">
        <v>1</v>
      </c>
    </row>
    <row r="50" spans="1:3">
      <c r="A50" s="413">
        <f>$A$32+LongTest!D95</f>
        <v>2970</v>
      </c>
      <c r="B50" s="414">
        <f>LongTest!G95</f>
        <v>4.1255933521259358</v>
      </c>
      <c r="C50" s="415">
        <v>1</v>
      </c>
    </row>
    <row r="51" spans="1:3">
      <c r="A51" s="413">
        <f>$A$32+LongTest!D96</f>
        <v>2985</v>
      </c>
      <c r="B51" s="414">
        <f>LongTest!G96</f>
        <v>3.9918368314229804</v>
      </c>
      <c r="C51" s="415">
        <v>1</v>
      </c>
    </row>
    <row r="52" spans="1:3">
      <c r="A52" s="413">
        <f>$A$32+LongTest!D97</f>
        <v>3000</v>
      </c>
      <c r="B52" s="414">
        <f>LongTest!G97</f>
        <v>3.616028693839564</v>
      </c>
      <c r="C52" s="415">
        <v>1</v>
      </c>
    </row>
    <row r="53" spans="1:3">
      <c r="A53" s="413">
        <f>$A$32+LongTest!D98</f>
        <v>3060</v>
      </c>
      <c r="B53" s="414">
        <f>LongTest!G98</f>
        <v>3.4987928502727712</v>
      </c>
      <c r="C53" s="415">
        <v>1</v>
      </c>
    </row>
    <row r="54" spans="1:3">
      <c r="A54" s="413">
        <f>$A$32+LongTest!D99</f>
        <v>3120</v>
      </c>
      <c r="B54" s="414">
        <f>LongTest!G99</f>
        <v>2.8710212339441612</v>
      </c>
      <c r="C54" s="415">
        <v>1</v>
      </c>
    </row>
    <row r="55" spans="1:3">
      <c r="A55" s="413">
        <f>$A$32+LongTest!D100</f>
        <v>3180</v>
      </c>
      <c r="B55" s="414">
        <f>LongTest!G100</f>
        <v>2.3558876671179987</v>
      </c>
      <c r="C55" s="415">
        <v>1</v>
      </c>
    </row>
    <row r="56" spans="1:3">
      <c r="A56" s="413">
        <f>$A$32+LongTest!D101</f>
        <v>3240</v>
      </c>
      <c r="B56" s="414">
        <f>LongTest!G101</f>
        <v>1.9331820449317627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G9" sqref="G9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305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253</v>
      </c>
      <c r="C6" s="386">
        <f>LongTest!C10</f>
        <v>44375.388888888891</v>
      </c>
      <c r="D6" s="387"/>
      <c r="E6" s="381"/>
      <c r="F6" s="381"/>
    </row>
    <row r="7" spans="2:16" s="380" customFormat="1" ht="26.1" customHeight="1" thickBot="1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255</v>
      </c>
      <c r="C8" s="390">
        <v>223</v>
      </c>
      <c r="D8" s="387"/>
      <c r="E8" s="381"/>
      <c r="F8" s="381"/>
    </row>
    <row r="9" spans="2:16" s="380" customFormat="1" ht="26.1" customHeight="1">
      <c r="B9" s="389" t="s">
        <v>256</v>
      </c>
      <c r="C9" s="391">
        <v>7.2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57" t="s">
        <v>257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1" customFormat="1" ht="26.1" customHeight="1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>
      <c r="B14" s="396">
        <f>$C$6+C14/1440</f>
        <v>44375.392361111109</v>
      </c>
      <c r="C14" s="397">
        <v>5</v>
      </c>
      <c r="D14" s="480">
        <f t="shared" ref="D14:D23" si="0">baseTemp+H14</f>
        <v>14.7</v>
      </c>
      <c r="E14" s="398">
        <f>$C$8+I14</f>
        <v>220</v>
      </c>
      <c r="F14" s="399">
        <f>$C$9+J14</f>
        <v>7.08</v>
      </c>
      <c r="H14" s="400">
        <v>0</v>
      </c>
      <c r="I14" s="401">
        <v>-3</v>
      </c>
      <c r="J14" s="402">
        <v>-0.12</v>
      </c>
      <c r="L14" s="453">
        <f ca="1">ROUND(myRandBetween(0,1,10), 1)</f>
        <v>0</v>
      </c>
      <c r="M14" s="454">
        <f ca="1">myRandBetween(1,3,1)</f>
        <v>-1</v>
      </c>
      <c r="N14" s="455">
        <f ca="1">ROUND(myRandBetween(7,12,100), 2)</f>
        <v>-7.0000000000000007E-2</v>
      </c>
      <c r="O14"/>
      <c r="P14"/>
    </row>
    <row r="15" spans="2:16" s="381" customFormat="1" ht="26.1" customHeight="1">
      <c r="B15" s="403">
        <f t="shared" ref="B15:B23" si="1">$C$6+C15/1440</f>
        <v>44375.409722222226</v>
      </c>
      <c r="C15" s="402">
        <v>30</v>
      </c>
      <c r="D15" s="406">
        <f t="shared" si="0"/>
        <v>14.799999999999999</v>
      </c>
      <c r="E15" s="404">
        <f t="shared" ref="E15:E23" si="2">$C$8+I15</f>
        <v>220</v>
      </c>
      <c r="F15" s="405">
        <f t="shared" ref="F15:F23" si="3">$C$9+J15</f>
        <v>7.2700000000000005</v>
      </c>
      <c r="H15" s="400">
        <v>0.1</v>
      </c>
      <c r="I15" s="401">
        <v>-3</v>
      </c>
      <c r="J15" s="402">
        <v>7.0000000000000007E-2</v>
      </c>
      <c r="L15" s="453">
        <f t="shared" ref="L15:L23" ca="1" si="4">ROUND(myRandBetween(0,1,10), 1)</f>
        <v>0.1</v>
      </c>
      <c r="M15" s="454">
        <f t="shared" ref="M15:M23" ca="1" si="5">myRandBetween(1,3,1)</f>
        <v>1</v>
      </c>
      <c r="N15" s="455">
        <f t="shared" ref="N15:N23" ca="1" si="6">ROUND(myRandBetween(7,12,100), 2)</f>
        <v>7.0000000000000007E-2</v>
      </c>
      <c r="O15"/>
      <c r="P15"/>
    </row>
    <row r="16" spans="2:16" s="381" customFormat="1" ht="26.1" customHeight="1">
      <c r="B16" s="403">
        <f t="shared" si="1"/>
        <v>44375.430555555555</v>
      </c>
      <c r="C16" s="402">
        <v>60</v>
      </c>
      <c r="D16" s="406">
        <f t="shared" si="0"/>
        <v>14.7</v>
      </c>
      <c r="E16" s="404">
        <f t="shared" si="2"/>
        <v>226</v>
      </c>
      <c r="F16" s="405">
        <f t="shared" si="3"/>
        <v>7.12</v>
      </c>
      <c r="H16" s="400">
        <v>0</v>
      </c>
      <c r="I16" s="401">
        <v>3</v>
      </c>
      <c r="J16" s="402">
        <v>-0.08</v>
      </c>
      <c r="L16" s="453">
        <f t="shared" ca="1" si="4"/>
        <v>0.1</v>
      </c>
      <c r="M16" s="454">
        <f t="shared" ca="1" si="5"/>
        <v>-3</v>
      </c>
      <c r="N16" s="455">
        <f t="shared" ca="1" si="6"/>
        <v>-0.09</v>
      </c>
      <c r="O16"/>
      <c r="P16"/>
    </row>
    <row r="17" spans="2:16" s="381" customFormat="1" ht="26.1" customHeight="1">
      <c r="B17" s="403">
        <f t="shared" si="1"/>
        <v>44375.472222222226</v>
      </c>
      <c r="C17" s="402">
        <v>120</v>
      </c>
      <c r="D17" s="406">
        <f t="shared" si="0"/>
        <v>14.799999999999999</v>
      </c>
      <c r="E17" s="404">
        <f t="shared" si="2"/>
        <v>224</v>
      </c>
      <c r="F17" s="405">
        <f t="shared" si="3"/>
        <v>7.3</v>
      </c>
      <c r="H17" s="400">
        <v>0.1</v>
      </c>
      <c r="I17" s="401">
        <v>1</v>
      </c>
      <c r="J17" s="402">
        <v>0.1</v>
      </c>
      <c r="L17" s="453">
        <f t="shared" ca="1" si="4"/>
        <v>0</v>
      </c>
      <c r="M17" s="454">
        <f t="shared" ca="1" si="5"/>
        <v>-3</v>
      </c>
      <c r="N17" s="455">
        <f t="shared" ca="1" si="6"/>
        <v>-0.11</v>
      </c>
      <c r="O17"/>
      <c r="P17"/>
    </row>
    <row r="18" spans="2:16" s="381" customFormat="1" ht="26.1" customHeight="1">
      <c r="B18" s="403">
        <f t="shared" si="1"/>
        <v>44375.555555555555</v>
      </c>
      <c r="C18" s="402">
        <v>240</v>
      </c>
      <c r="D18" s="406">
        <f t="shared" si="0"/>
        <v>14.7</v>
      </c>
      <c r="E18" s="404">
        <f t="shared" si="2"/>
        <v>222</v>
      </c>
      <c r="F18" s="405">
        <f t="shared" si="3"/>
        <v>7.12</v>
      </c>
      <c r="H18" s="400">
        <v>0</v>
      </c>
      <c r="I18" s="401">
        <v>-1</v>
      </c>
      <c r="J18" s="402">
        <v>-0.08</v>
      </c>
      <c r="L18" s="453">
        <f t="shared" ca="1" si="4"/>
        <v>0</v>
      </c>
      <c r="M18" s="454">
        <f t="shared" ca="1" si="5"/>
        <v>2</v>
      </c>
      <c r="N18" s="455">
        <f t="shared" ca="1" si="6"/>
        <v>7.0000000000000007E-2</v>
      </c>
      <c r="O18"/>
      <c r="P18"/>
    </row>
    <row r="19" spans="2:16" s="381" customFormat="1" ht="26.1" customHeight="1">
      <c r="B19" s="403">
        <f t="shared" si="1"/>
        <v>44375.722222222226</v>
      </c>
      <c r="C19" s="402">
        <v>480</v>
      </c>
      <c r="D19" s="406">
        <f t="shared" si="0"/>
        <v>14.7</v>
      </c>
      <c r="E19" s="404">
        <f t="shared" si="2"/>
        <v>226</v>
      </c>
      <c r="F19" s="405">
        <f t="shared" si="3"/>
        <v>7.08</v>
      </c>
      <c r="H19" s="400">
        <v>0</v>
      </c>
      <c r="I19" s="401">
        <v>3</v>
      </c>
      <c r="J19" s="402">
        <v>-0.12</v>
      </c>
      <c r="L19" s="453">
        <f t="shared" ca="1" si="4"/>
        <v>0.1</v>
      </c>
      <c r="M19" s="454">
        <f t="shared" ca="1" si="5"/>
        <v>3</v>
      </c>
      <c r="N19" s="455">
        <f t="shared" ca="1" si="6"/>
        <v>-0.11</v>
      </c>
      <c r="O19"/>
      <c r="P19"/>
    </row>
    <row r="20" spans="2:16" s="380" customFormat="1" ht="26.1" customHeight="1">
      <c r="B20" s="403">
        <f t="shared" si="1"/>
        <v>44376.388888888891</v>
      </c>
      <c r="C20" s="402">
        <v>1440</v>
      </c>
      <c r="D20" s="406">
        <f t="shared" si="0"/>
        <v>14.799999999999999</v>
      </c>
      <c r="E20" s="404">
        <f t="shared" si="2"/>
        <v>225</v>
      </c>
      <c r="F20" s="405">
        <f t="shared" si="3"/>
        <v>7.08</v>
      </c>
      <c r="H20" s="400">
        <v>0.1</v>
      </c>
      <c r="I20" s="401">
        <v>2</v>
      </c>
      <c r="J20" s="402">
        <v>-0.12</v>
      </c>
      <c r="L20" s="453">
        <f t="shared" ca="1" si="4"/>
        <v>0.1</v>
      </c>
      <c r="M20" s="454">
        <f t="shared" ca="1" si="5"/>
        <v>-3</v>
      </c>
      <c r="N20" s="455">
        <f t="shared" ca="1" si="6"/>
        <v>0.08</v>
      </c>
      <c r="O20"/>
      <c r="P20"/>
    </row>
    <row r="21" spans="2:16" s="380" customFormat="1" ht="26.1" customHeight="1">
      <c r="B21" s="403">
        <f t="shared" si="1"/>
        <v>44376.555555555555</v>
      </c>
      <c r="C21" s="402">
        <v>1680</v>
      </c>
      <c r="D21" s="406">
        <f t="shared" si="0"/>
        <v>14.7</v>
      </c>
      <c r="E21" s="404">
        <f t="shared" si="2"/>
        <v>221</v>
      </c>
      <c r="F21" s="405">
        <f t="shared" si="3"/>
        <v>7.2700000000000005</v>
      </c>
      <c r="H21" s="400">
        <v>0</v>
      </c>
      <c r="I21" s="401">
        <v>-2</v>
      </c>
      <c r="J21" s="402">
        <v>7.0000000000000007E-2</v>
      </c>
      <c r="L21" s="453">
        <f t="shared" ca="1" si="4"/>
        <v>0.1</v>
      </c>
      <c r="M21" s="454">
        <f t="shared" ca="1" si="5"/>
        <v>-3</v>
      </c>
      <c r="N21" s="455">
        <f t="shared" ca="1" si="6"/>
        <v>-0.08</v>
      </c>
      <c r="O21"/>
      <c r="P21"/>
    </row>
    <row r="22" spans="2:16" s="380" customFormat="1" ht="26.1" customHeight="1">
      <c r="B22" s="403">
        <f t="shared" si="1"/>
        <v>44376.722222222226</v>
      </c>
      <c r="C22" s="402">
        <v>1920</v>
      </c>
      <c r="D22" s="406">
        <f t="shared" si="0"/>
        <v>14.7</v>
      </c>
      <c r="E22" s="404">
        <f t="shared" si="2"/>
        <v>224</v>
      </c>
      <c r="F22" s="405">
        <f t="shared" si="3"/>
        <v>7.29</v>
      </c>
      <c r="H22" s="400">
        <v>0</v>
      </c>
      <c r="I22" s="401">
        <v>1</v>
      </c>
      <c r="J22" s="402">
        <v>0.09</v>
      </c>
      <c r="L22" s="453">
        <f t="shared" ca="1" si="4"/>
        <v>-0.1</v>
      </c>
      <c r="M22" s="454">
        <f t="shared" ca="1" si="5"/>
        <v>-2</v>
      </c>
      <c r="N22" s="455">
        <f t="shared" ca="1" si="6"/>
        <v>0.12</v>
      </c>
      <c r="O22"/>
      <c r="P22"/>
    </row>
    <row r="23" spans="2:16" s="380" customFormat="1" ht="26.1" customHeight="1" thickBot="1">
      <c r="B23" s="403">
        <f t="shared" si="1"/>
        <v>44377.388888888891</v>
      </c>
      <c r="C23" s="402">
        <v>2880</v>
      </c>
      <c r="D23" s="406">
        <f t="shared" si="0"/>
        <v>14.7</v>
      </c>
      <c r="E23" s="404">
        <f t="shared" si="2"/>
        <v>226</v>
      </c>
      <c r="F23" s="405">
        <f t="shared" si="3"/>
        <v>7.08</v>
      </c>
      <c r="H23" s="407">
        <v>0</v>
      </c>
      <c r="I23" s="452">
        <v>3</v>
      </c>
      <c r="J23" s="408">
        <v>-0.12</v>
      </c>
      <c r="L23" s="453">
        <f t="shared" ca="1" si="4"/>
        <v>0</v>
      </c>
      <c r="M23" s="456">
        <f t="shared" ca="1" si="5"/>
        <v>3</v>
      </c>
      <c r="N23" s="457">
        <f t="shared" ca="1" si="6"/>
        <v>0.12</v>
      </c>
      <c r="O23"/>
      <c r="P23"/>
    </row>
    <row r="24" spans="2:16" s="380" customFormat="1" ht="26.1" customHeight="1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226</v>
      </c>
      <c r="F24" s="393">
        <f t="shared" si="7"/>
        <v>7.3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61" t="s">
        <v>262</v>
      </c>
      <c r="C25" s="562"/>
      <c r="D25" s="394">
        <f>MIN(D14:D23)</f>
        <v>14.7</v>
      </c>
      <c r="E25" s="395">
        <f t="shared" ref="E25:F25" si="8">MIN(E14:E23)</f>
        <v>220</v>
      </c>
      <c r="F25" s="393">
        <f t="shared" si="8"/>
        <v>7.08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55" t="s">
        <v>263</v>
      </c>
      <c r="C26" s="556"/>
      <c r="D26" s="409">
        <f>D24-D25</f>
        <v>9.9999999999999645E-2</v>
      </c>
      <c r="E26" s="410">
        <f t="shared" ref="E26:F26" si="9">E24-E25</f>
        <v>6</v>
      </c>
      <c r="F26" s="411">
        <f t="shared" si="9"/>
        <v>0.21999999999999975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4" r:id="rId4" name="CommandButton3">
          <controlPr defaultSize="0" autoLine="0" r:id="rId5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4" name="CommandButton3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2" r:id="rId8" name="CommandButton2">
          <controlPr defaultSize="0" autoLine="0" autoPict="0" r:id="rId9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Step.Select</vt:lpstr>
      <vt:lpstr>01_janggi_02</vt:lpstr>
      <vt:lpstr>01_recover_01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2021-07-01T11:03:05Z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