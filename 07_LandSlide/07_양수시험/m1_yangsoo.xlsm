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6_예산군 9개공 연장하가 - 현윤이앤씨\08_응봉면 신리 194\04_양수시험\"/>
    </mc:Choice>
  </mc:AlternateContent>
  <xr:revisionPtr revIDLastSave="0" documentId="13_ncr:1_{97898B83-0AB4-492C-9D9D-B5661DA41933}" xr6:coauthVersionLast="46" xr6:coauthVersionMax="46" xr10:uidLastSave="{00000000-0000-0000-0000-000000000000}"/>
  <bookViews>
    <workbookView xWindow="1665" yWindow="1110" windowWidth="26565" windowHeight="17520" tabRatio="619" firstSheet="2" activeTab="1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out" sheetId="34" r:id="rId13"/>
    <sheet name="w1" sheetId="33" r:id="rId14"/>
    <sheet name="시추주상" sheetId="23" state="hidden" r:id="rId15"/>
  </sheets>
  <functionGroups builtInGroupCount="19"/>
  <externalReferences>
    <externalReference r:id="rId16"/>
    <externalReference r:id="rId17"/>
  </externalReferences>
  <definedNames>
    <definedName name="allow_ratio">[1]Recharge!$C$27</definedName>
    <definedName name="baseTemp" localSheetId="13">'w1'!$C$7</definedName>
    <definedName name="baseTemp">#REF!</definedName>
    <definedName name="gongbun">REF!$D$4:$D$14</definedName>
    <definedName name="gongbun2">REF!$E$4:$E$14</definedName>
    <definedName name="max" localSheetId="13">[2]지하수함양량!$C$30</definedName>
    <definedName name="max">[1]Recharge!$C$26</definedName>
    <definedName name="min" localSheetId="13">[2]지하수함양량!$C$29</definedName>
    <definedName name="_xlnm.Print_Area" localSheetId="12">out!$A$1:$I$101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12">out!$1:$9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3">[2]지하수함양량!$C$32</definedName>
    <definedName name="rf_1">[1]Recharge!$C$29</definedName>
    <definedName name="rf_2" localSheetId="13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 localSheetId="12">out!$A$1:$I$101</definedName>
    <definedName name="장기양수">장기양수시험!$A$1:$J$101</definedName>
    <definedName name="적정채수량산정">입력표!$A$1:$M$54</definedName>
  </definedNames>
  <calcPr calcId="181029"/>
</workbook>
</file>

<file path=xl/calcChain.xml><?xml version="1.0" encoding="utf-8"?>
<calcChain xmlns="http://schemas.openxmlformats.org/spreadsheetml/2006/main">
  <c r="I77" i="34" l="1"/>
  <c r="H77" i="34"/>
  <c r="G77" i="34"/>
  <c r="I61" i="34"/>
  <c r="H61" i="34"/>
  <c r="G61" i="34"/>
  <c r="I57" i="34"/>
  <c r="H57" i="34"/>
  <c r="G57" i="34"/>
  <c r="I53" i="34"/>
  <c r="H53" i="34"/>
  <c r="G53" i="34"/>
  <c r="I37" i="34"/>
  <c r="H37" i="34"/>
  <c r="G37" i="34"/>
  <c r="I33" i="34"/>
  <c r="H33" i="34"/>
  <c r="G33" i="34"/>
  <c r="I29" i="34"/>
  <c r="H29" i="34"/>
  <c r="G29" i="34"/>
  <c r="I25" i="34"/>
  <c r="H25" i="34"/>
  <c r="G25" i="34"/>
  <c r="I19" i="34"/>
  <c r="H19" i="34"/>
  <c r="G19" i="34"/>
  <c r="I14" i="34"/>
  <c r="H14" i="34"/>
  <c r="G14" i="34"/>
  <c r="I9" i="34"/>
  <c r="H9" i="34"/>
  <c r="G9" i="34"/>
  <c r="C6" i="33"/>
  <c r="A27" i="21"/>
  <c r="F13" i="27" l="1"/>
  <c r="C7" i="27"/>
  <c r="H60" i="1"/>
  <c r="H16" i="27"/>
  <c r="M15" i="33"/>
  <c r="N16" i="33"/>
  <c r="N22" i="33"/>
  <c r="N23" i="33"/>
  <c r="N21" i="33"/>
  <c r="L22" i="33"/>
  <c r="M22" i="33"/>
  <c r="L16" i="33"/>
  <c r="N15" i="33"/>
  <c r="L18" i="33"/>
  <c r="L19" i="33"/>
  <c r="N20" i="33"/>
  <c r="L17" i="33"/>
  <c r="L23" i="33"/>
  <c r="N14" i="33"/>
  <c r="L14" i="33"/>
  <c r="M17" i="33"/>
  <c r="M18" i="33"/>
  <c r="N17" i="33"/>
  <c r="M23" i="33"/>
  <c r="L21" i="33"/>
  <c r="M14" i="33"/>
  <c r="M16" i="33"/>
  <c r="L20" i="33"/>
  <c r="N19" i="33"/>
  <c r="L15" i="33"/>
  <c r="M20" i="33"/>
  <c r="M19" i="33"/>
  <c r="M21" i="33"/>
  <c r="N18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E26" i="27" l="1"/>
  <c r="C29" i="27"/>
  <c r="A44" i="1"/>
  <c r="D39" i="1"/>
  <c r="L28" i="3" l="1"/>
  <c r="L29" i="3"/>
  <c r="L30" i="3"/>
  <c r="L31" i="3"/>
  <c r="B5" i="18"/>
  <c r="B3" i="18"/>
  <c r="I49" i="1"/>
  <c r="W2" i="3"/>
  <c r="W38" i="3" s="1"/>
  <c r="AC38" i="3" s="1"/>
  <c r="B32" i="1"/>
  <c r="B33" i="1" s="1"/>
  <c r="C26" i="1"/>
  <c r="B10" i="3" s="1"/>
  <c r="C4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O17" i="3" l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4" i="27" s="1"/>
  <c r="B35" i="1"/>
  <c r="F7" i="27" l="1"/>
  <c r="E8" i="27" s="1"/>
  <c r="H7" i="27"/>
  <c r="H8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AC36" i="3" s="1"/>
  <c r="F41" i="3"/>
  <c r="K41" i="3"/>
  <c r="B62" i="21"/>
  <c r="V37" i="3" l="1"/>
  <c r="AC37" i="3" s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9" i="3" s="1"/>
  <c r="AC40" i="3" s="1"/>
  <c r="AC41" i="3" s="1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10" authorId="0" shapeId="0" xr:uid="{AB8FA3F6-7DA8-4EFD-ACCE-A496C60BA7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C46" authorId="0" shapeId="0" xr:uid="{E7A9C56C-10C6-48A2-B048-72E306D6DC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<sst xmlns="http://schemas.openxmlformats.org/spreadsheetml/2006/main" count="1187" uniqueCount="300">
  <si>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</si>
  <si>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</si>
  <si>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</si>
  <si>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</si>
  <si>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</si>
  <si>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</si>
  <si>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</si>
  <si>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</si>
  <si>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</si>
  <si>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</si>
  <si>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</si>
  <si>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</si>
  <si>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</si>
  <si>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</si>
  <si>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</si>
  <si>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6" type="noConversion"/>
  </si>
  <si>
    <t>T</t>
    <phoneticPr fontId="6" type="noConversion"/>
  </si>
  <si>
    <t>Re</t>
    <phoneticPr fontId="6" type="noConversion"/>
  </si>
  <si>
    <t xml:space="preserve"> </t>
    <phoneticPr fontId="6" type="noConversion"/>
  </si>
  <si>
    <t>S</t>
    <phoneticPr fontId="6" type="noConversion"/>
  </si>
  <si>
    <t>t</t>
    <phoneticPr fontId="6" type="noConversion"/>
  </si>
  <si>
    <t>Day</t>
    <phoneticPr fontId="6" type="noConversion"/>
  </si>
  <si>
    <t>Sw</t>
    <phoneticPr fontId="6" type="noConversion"/>
  </si>
  <si>
    <t xml:space="preserve"> </t>
    <phoneticPr fontId="6" type="noConversion"/>
  </si>
  <si>
    <t>t</t>
    <phoneticPr fontId="6" type="noConversion"/>
  </si>
  <si>
    <t>반경  =</t>
    <phoneticPr fontId="6" type="noConversion"/>
  </si>
  <si>
    <t>유효우물</t>
    <phoneticPr fontId="6" type="noConversion"/>
  </si>
  <si>
    <t>2.25xTxt =</t>
    <phoneticPr fontId="6" type="noConversion"/>
  </si>
  <si>
    <t>고정</t>
    <phoneticPr fontId="6" type="noConversion"/>
  </si>
  <si>
    <t>대수층손실</t>
    <phoneticPr fontId="6" type="noConversion"/>
  </si>
  <si>
    <t>우물효율</t>
    <phoneticPr fontId="6" type="noConversion"/>
  </si>
  <si>
    <t>기울기</t>
    <phoneticPr fontId="6" type="noConversion"/>
  </si>
  <si>
    <t>Y절편</t>
    <phoneticPr fontId="6" type="noConversion"/>
  </si>
  <si>
    <t xml:space="preserve"> </t>
    <phoneticPr fontId="6" type="noConversion"/>
  </si>
  <si>
    <t>Q=</t>
    <phoneticPr fontId="6" type="noConversion"/>
  </si>
  <si>
    <t>장기양수량</t>
    <phoneticPr fontId="6" type="noConversion"/>
  </si>
  <si>
    <t>B</t>
    <phoneticPr fontId="6" type="noConversion"/>
  </si>
  <si>
    <t>Re =</t>
    <phoneticPr fontId="6" type="noConversion"/>
  </si>
  <si>
    <t>A</t>
    <phoneticPr fontId="6" type="noConversion"/>
  </si>
  <si>
    <t>S =</t>
    <phoneticPr fontId="6" type="noConversion"/>
  </si>
  <si>
    <t>A/B =</t>
    <phoneticPr fontId="6" type="noConversion"/>
  </si>
  <si>
    <t>10^(5.46xTxB)=</t>
    <phoneticPr fontId="6" type="noConversion"/>
  </si>
  <si>
    <t>그래프조정</t>
    <phoneticPr fontId="6" type="noConversion"/>
  </si>
  <si>
    <t>초기치</t>
    <phoneticPr fontId="6" type="noConversion"/>
  </si>
  <si>
    <t>수위강하량 초기치조정</t>
    <phoneticPr fontId="6" type="noConversion"/>
  </si>
  <si>
    <t>지 구 명</t>
    <phoneticPr fontId="6" type="noConversion"/>
  </si>
  <si>
    <t>위    치</t>
    <phoneticPr fontId="6" type="noConversion"/>
  </si>
  <si>
    <t>단계양수시험</t>
    <phoneticPr fontId="6" type="noConversion"/>
  </si>
  <si>
    <t>장기디스시험</t>
    <phoneticPr fontId="6" type="noConversion"/>
  </si>
  <si>
    <t>장기c-j시험</t>
    <phoneticPr fontId="6" type="noConversion"/>
  </si>
  <si>
    <t>회복수위시험</t>
    <phoneticPr fontId="6" type="noConversion"/>
  </si>
  <si>
    <t>선택치</t>
    <phoneticPr fontId="6" type="noConversion"/>
  </si>
  <si>
    <t>T값</t>
    <phoneticPr fontId="6" type="noConversion"/>
  </si>
  <si>
    <t>선택치</t>
    <phoneticPr fontId="6" type="noConversion"/>
  </si>
  <si>
    <t>지구명</t>
    <phoneticPr fontId="6" type="noConversion"/>
  </si>
  <si>
    <t>위  치</t>
    <phoneticPr fontId="6" type="noConversion"/>
  </si>
  <si>
    <t>조사자</t>
    <phoneticPr fontId="6" type="noConversion"/>
  </si>
  <si>
    <t>수중모터</t>
    <phoneticPr fontId="6" type="noConversion"/>
  </si>
  <si>
    <t>양수시험일</t>
    <phoneticPr fontId="6" type="noConversion"/>
  </si>
  <si>
    <t>우물직경</t>
    <phoneticPr fontId="6" type="noConversion"/>
  </si>
  <si>
    <t>관정심도</t>
    <phoneticPr fontId="6" type="noConversion"/>
  </si>
  <si>
    <t>대수층두께</t>
    <phoneticPr fontId="6" type="noConversion"/>
  </si>
  <si>
    <t>적정양수량</t>
    <phoneticPr fontId="6" type="noConversion"/>
  </si>
  <si>
    <t>자연수위</t>
    <phoneticPr fontId="6" type="noConversion"/>
  </si>
  <si>
    <t>안정수위</t>
    <phoneticPr fontId="6" type="noConversion"/>
  </si>
  <si>
    <t>수위강하량</t>
    <phoneticPr fontId="6" type="noConversion"/>
  </si>
  <si>
    <t>단계수위강하</t>
    <phoneticPr fontId="6" type="noConversion"/>
  </si>
  <si>
    <t>영향반경</t>
    <phoneticPr fontId="6" type="noConversion"/>
  </si>
  <si>
    <t>R</t>
    <phoneticPr fontId="6" type="noConversion"/>
  </si>
  <si>
    <t>Shultze:</t>
    <phoneticPr fontId="6" type="noConversion"/>
  </si>
  <si>
    <t>Weber:</t>
    <phoneticPr fontId="6" type="noConversion"/>
  </si>
  <si>
    <t>Jacob:</t>
    <phoneticPr fontId="6" type="noConversion"/>
  </si>
  <si>
    <t>평균</t>
    <phoneticPr fontId="6" type="noConversion"/>
  </si>
  <si>
    <t>포획구간</t>
    <phoneticPr fontId="6" type="noConversion"/>
  </si>
  <si>
    <t>상류</t>
    <phoneticPr fontId="6" type="noConversion"/>
  </si>
  <si>
    <t>하류</t>
    <phoneticPr fontId="6" type="noConversion"/>
  </si>
  <si>
    <t>S값</t>
    <phoneticPr fontId="6" type="noConversion"/>
  </si>
  <si>
    <t>s'=</t>
    <phoneticPr fontId="6" type="noConversion"/>
  </si>
  <si>
    <t>Q양수량 =</t>
    <phoneticPr fontId="6" type="noConversion"/>
  </si>
  <si>
    <t>㎥/일</t>
    <phoneticPr fontId="6" type="noConversion"/>
  </si>
  <si>
    <t>양수량(㎥/일)</t>
    <phoneticPr fontId="6" type="noConversion"/>
  </si>
  <si>
    <t>1일상수 =</t>
    <phoneticPr fontId="6" type="noConversion"/>
  </si>
  <si>
    <t>일</t>
    <phoneticPr fontId="6" type="noConversion"/>
  </si>
  <si>
    <t>A효율</t>
    <phoneticPr fontId="6" type="noConversion"/>
  </si>
  <si>
    <t>H 양정 =</t>
    <phoneticPr fontId="6" type="noConversion"/>
  </si>
  <si>
    <t>m</t>
    <phoneticPr fontId="6" type="noConversion"/>
  </si>
  <si>
    <t>B효율</t>
    <phoneticPr fontId="6" type="noConversion"/>
  </si>
  <si>
    <t>hp 마력 =</t>
    <phoneticPr fontId="6" type="noConversion"/>
  </si>
  <si>
    <t>hp</t>
    <phoneticPr fontId="6" type="noConversion"/>
  </si>
  <si>
    <t>평균효율</t>
    <phoneticPr fontId="6" type="noConversion"/>
  </si>
  <si>
    <t>η 효율 =</t>
    <phoneticPr fontId="6" type="noConversion"/>
  </si>
  <si>
    <t>%</t>
    <phoneticPr fontId="6" type="noConversion"/>
  </si>
  <si>
    <t>마력산정 =</t>
    <phoneticPr fontId="6" type="noConversion"/>
  </si>
  <si>
    <t>양정산정 =</t>
    <phoneticPr fontId="6" type="noConversion"/>
  </si>
  <si>
    <t>1분양수량</t>
    <phoneticPr fontId="6" type="noConversion"/>
  </si>
  <si>
    <t>시경수량</t>
    <phoneticPr fontId="6" type="noConversion"/>
  </si>
  <si>
    <t>케이싱</t>
    <phoneticPr fontId="6" type="noConversion"/>
  </si>
  <si>
    <t>우물자재</t>
    <phoneticPr fontId="6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</si>
  <si>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</si>
  <si>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</si>
  <si>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</si>
  <si>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</si>
  <si>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</si>
  <si>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</si>
  <si>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</si>
  <si>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</si>
  <si>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6" type="noConversion"/>
  </si>
  <si>
    <t>1단계양수량(Q1)</t>
    <phoneticPr fontId="6" type="noConversion"/>
  </si>
  <si>
    <t>1단계수위강하량(S1)</t>
    <phoneticPr fontId="6" type="noConversion"/>
  </si>
  <si>
    <t>4단계수위강하량(S2)</t>
    <phoneticPr fontId="6" type="noConversion"/>
  </si>
  <si>
    <t>2/3</t>
    <phoneticPr fontId="6" type="noConversion"/>
  </si>
  <si>
    <t>가채수량(Q)</t>
    <phoneticPr fontId="6" type="noConversion"/>
  </si>
  <si>
    <t>적용가채수량(Q)</t>
    <phoneticPr fontId="6" type="noConversion"/>
  </si>
  <si>
    <t>개발시 적정채수량으로 적용 =</t>
    <phoneticPr fontId="6" type="noConversion"/>
  </si>
  <si>
    <t>1단계조정</t>
    <phoneticPr fontId="6" type="noConversion"/>
  </si>
  <si>
    <t>2단계조정</t>
    <phoneticPr fontId="6" type="noConversion"/>
  </si>
  <si>
    <t>3단계조정</t>
    <phoneticPr fontId="6" type="noConversion"/>
  </si>
  <si>
    <t>5단계조정</t>
    <phoneticPr fontId="6" type="noConversion"/>
  </si>
  <si>
    <t>정해진 목표 가채수량</t>
    <phoneticPr fontId="6" type="noConversion"/>
  </si>
  <si>
    <t>계산상 가재수량</t>
    <phoneticPr fontId="6" type="noConversion"/>
  </si>
  <si>
    <t>시추조사시 수량의 대소에 따라 차등적용</t>
    <phoneticPr fontId="6" type="noConversion"/>
  </si>
  <si>
    <t>Sw</t>
    <phoneticPr fontId="6" type="noConversion"/>
  </si>
  <si>
    <t>Q</t>
    <phoneticPr fontId="6" type="noConversion"/>
  </si>
  <si>
    <t>그래프양수량조정</t>
    <phoneticPr fontId="6" type="noConversion"/>
  </si>
  <si>
    <t>그래프기울기저정</t>
    <phoneticPr fontId="6" type="noConversion"/>
  </si>
  <si>
    <t>360분수
위강하량</t>
    <phoneticPr fontId="6" type="noConversion"/>
  </si>
  <si>
    <t>1층</t>
    <phoneticPr fontId="6" type="noConversion"/>
  </si>
  <si>
    <t>저항</t>
    <phoneticPr fontId="6" type="noConversion"/>
  </si>
  <si>
    <t>심도</t>
    <phoneticPr fontId="6" type="noConversion"/>
  </si>
  <si>
    <t>2층</t>
    <phoneticPr fontId="6" type="noConversion"/>
  </si>
  <si>
    <t>심도</t>
    <phoneticPr fontId="6" type="noConversion"/>
  </si>
  <si>
    <t>3층</t>
    <phoneticPr fontId="6" type="noConversion"/>
  </si>
  <si>
    <t>4층</t>
    <phoneticPr fontId="6" type="noConversion"/>
  </si>
  <si>
    <t>저항</t>
    <phoneticPr fontId="6" type="noConversion"/>
  </si>
  <si>
    <t>측점수</t>
    <phoneticPr fontId="6" type="noConversion"/>
  </si>
  <si>
    <t>전기탐사</t>
    <phoneticPr fontId="6" type="noConversion"/>
  </si>
  <si>
    <t>단계양수 3단계
수위강하량</t>
    <phoneticPr fontId="6" type="noConversion"/>
  </si>
  <si>
    <t>확인
적색으로</t>
    <phoneticPr fontId="6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</si>
  <si>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</si>
  <si>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</si>
  <si>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</si>
  <si>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</si>
  <si>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</si>
  <si>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</si>
  <si>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</si>
  <si>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</si>
  <si>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</si>
  <si>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</si>
  <si>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</si>
  <si>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</si>
  <si>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</si>
  <si>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</si>
  <si>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8" type="noConversion"/>
  </si>
  <si>
    <t xml:space="preserve">  2006.    .    .</t>
    <phoneticPr fontId="18" type="noConversion"/>
  </si>
  <si>
    <t>지  질</t>
    <phoneticPr fontId="18" type="noConversion"/>
  </si>
  <si>
    <t>지질명</t>
    <phoneticPr fontId="18" type="noConversion"/>
  </si>
  <si>
    <t>주    상    도</t>
    <phoneticPr fontId="18" type="noConversion"/>
  </si>
  <si>
    <t>토 사 층</t>
    <phoneticPr fontId="18" type="noConversion"/>
  </si>
  <si>
    <t>오염방지그라우팅</t>
    <phoneticPr fontId="18" type="noConversion"/>
  </si>
  <si>
    <t>250m/m</t>
    <phoneticPr fontId="18" type="noConversion"/>
  </si>
  <si>
    <t>양수량(㎥/day)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</si>
  <si>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</si>
  <si>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</si>
  <si>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</si>
  <si>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비  고</t>
  </si>
  <si>
    <t>조 사 자</t>
    <phoneticPr fontId="6" type="noConversion"/>
  </si>
  <si>
    <t xml:space="preserve">  충청남도 공주시 쌍신동 산6-1</t>
    <phoneticPr fontId="18" type="noConversion"/>
  </si>
  <si>
    <t>12m 설치</t>
    <phoneticPr fontId="18" type="noConversion"/>
  </si>
  <si>
    <t>직     경</t>
    <phoneticPr fontId="6" type="noConversion"/>
  </si>
  <si>
    <t>자연 수위</t>
    <phoneticPr fontId="6" type="noConversion"/>
  </si>
  <si>
    <t>양수량(㎥/day)</t>
    <phoneticPr fontId="6" type="noConversion"/>
  </si>
  <si>
    <t>관측 시간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</si>
  <si>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</si>
  <si>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</si>
  <si>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</si>
  <si>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&lt;부록 : 4&gt; 양수시험일보</t>
    <phoneticPr fontId="6" type="noConversion"/>
  </si>
  <si>
    <t>△h</t>
    <phoneticPr fontId="6" type="noConversion"/>
  </si>
  <si>
    <t>K</t>
    <phoneticPr fontId="6" type="noConversion"/>
  </si>
  <si>
    <t>최대</t>
    <phoneticPr fontId="6" type="noConversion"/>
  </si>
  <si>
    <t>&lt;END&gt;</t>
    <phoneticPr fontId="3" type="noConversion"/>
  </si>
  <si>
    <t>적용시간</t>
    <phoneticPr fontId="6" type="noConversion"/>
  </si>
  <si>
    <t>적용수위</t>
    <phoneticPr fontId="6" type="noConversion"/>
  </si>
  <si>
    <t>안정수위</t>
    <phoneticPr fontId="6" type="noConversion"/>
  </si>
  <si>
    <t>도달시간</t>
    <phoneticPr fontId="6" type="noConversion"/>
  </si>
  <si>
    <t>확    인</t>
    <phoneticPr fontId="6" type="noConversion"/>
  </si>
  <si>
    <t>케이싱직경</t>
    <phoneticPr fontId="6" type="noConversion"/>
  </si>
  <si>
    <t>지하수위</t>
    <phoneticPr fontId="6" type="noConversion"/>
  </si>
  <si>
    <t>강하수위</t>
    <phoneticPr fontId="6" type="noConversion"/>
  </si>
  <si>
    <t>단계별수위강하량</t>
    <phoneticPr fontId="6" type="noConversion"/>
  </si>
  <si>
    <t>Sw/Q</t>
    <phoneticPr fontId="6" type="noConversion"/>
  </si>
  <si>
    <t>장기양수 및 회복수위시험 일보</t>
    <phoneticPr fontId="6" type="noConversion"/>
  </si>
  <si>
    <t>조사명</t>
    <phoneticPr fontId="6" type="noConversion"/>
  </si>
  <si>
    <t>조 사 명</t>
    <phoneticPr fontId="6" type="noConversion"/>
  </si>
  <si>
    <t>양수능력 =</t>
    <phoneticPr fontId="6" type="noConversion"/>
  </si>
  <si>
    <t>비양수량(Q/Sw)</t>
    <phoneticPr fontId="6" type="noConversion"/>
  </si>
  <si>
    <t>Sw/Q</t>
    <phoneticPr fontId="6" type="noConversion"/>
  </si>
  <si>
    <t>π</t>
    <phoneticPr fontId="6" type="noConversion"/>
  </si>
  <si>
    <t>=</t>
    <phoneticPr fontId="6" type="noConversion"/>
  </si>
  <si>
    <t>△s</t>
    <phoneticPr fontId="6" type="noConversion"/>
  </si>
  <si>
    <t>Q</t>
    <phoneticPr fontId="6" type="noConversion"/>
  </si>
  <si>
    <t>σ =</t>
    <phoneticPr fontId="6" type="noConversion"/>
  </si>
  <si>
    <t>케이싱심도</t>
    <phoneticPr fontId="6" type="noConversion"/>
  </si>
  <si>
    <t>Shultze   R =</t>
    <phoneticPr fontId="6" type="noConversion"/>
  </si>
  <si>
    <t>장기 T =</t>
    <phoneticPr fontId="6" type="noConversion"/>
  </si>
  <si>
    <t>회복 T =</t>
    <phoneticPr fontId="6" type="noConversion"/>
  </si>
  <si>
    <t>△h(수위강하량)</t>
    <phoneticPr fontId="6" type="noConversion"/>
  </si>
  <si>
    <t>T(투수량계수)</t>
    <phoneticPr fontId="6" type="noConversion"/>
  </si>
  <si>
    <t>1일</t>
    <phoneticPr fontId="6" type="noConversion"/>
  </si>
  <si>
    <t>안정도달</t>
    <phoneticPr fontId="6" type="noConversion"/>
  </si>
  <si>
    <t>Weber   R =</t>
    <phoneticPr fontId="6" type="noConversion"/>
  </si>
  <si>
    <t>K</t>
    <phoneticPr fontId="6" type="noConversion"/>
  </si>
  <si>
    <t>Jacop   R =</t>
    <phoneticPr fontId="6" type="noConversion"/>
  </si>
  <si>
    <t>대수층두께</t>
    <phoneticPr fontId="6" type="noConversion"/>
  </si>
  <si>
    <t>T(투수량계수)</t>
    <phoneticPr fontId="6" type="noConversion"/>
  </si>
  <si>
    <t>안정도달</t>
    <phoneticPr fontId="6" type="noConversion"/>
  </si>
  <si>
    <t>S</t>
    <phoneticPr fontId="6" type="noConversion"/>
  </si>
  <si>
    <t>T 값 평균=</t>
    <phoneticPr fontId="6" type="noConversion"/>
  </si>
  <si>
    <t>k값</t>
    <phoneticPr fontId="6" type="noConversion"/>
  </si>
  <si>
    <t>S 값 적용=</t>
    <phoneticPr fontId="6" type="noConversion"/>
  </si>
  <si>
    <t>영향반경 평균=</t>
    <phoneticPr fontId="6" type="noConversion"/>
  </si>
  <si>
    <t>Q/Sw</t>
    <phoneticPr fontId="6" type="noConversion"/>
  </si>
  <si>
    <t>공심도(굴착깊이)</t>
    <phoneticPr fontId="6" type="noConversion"/>
  </si>
  <si>
    <t>t(일)</t>
    <phoneticPr fontId="6" type="noConversion"/>
  </si>
  <si>
    <t>안정도달(분)</t>
    <phoneticPr fontId="6" type="noConversion"/>
  </si>
  <si>
    <t>Rw</t>
    <phoneticPr fontId="6" type="noConversion"/>
  </si>
  <si>
    <t>자연수위(단위 m)</t>
    <phoneticPr fontId="6" type="noConversion"/>
  </si>
  <si>
    <t>△h(수위강하량) m</t>
    <phoneticPr fontId="6" type="noConversion"/>
  </si>
  <si>
    <t xml:space="preserve">대수층두께(m) </t>
    <phoneticPr fontId="6" type="noConversion"/>
  </si>
  <si>
    <t>T(투수량계수, ㎡/일)</t>
    <phoneticPr fontId="6" type="noConversion"/>
  </si>
  <si>
    <t xml:space="preserve"> </t>
    <phoneticPr fontId="6" type="noConversion"/>
  </si>
  <si>
    <t xml:space="preserve"> </t>
    <phoneticPr fontId="6" type="noConversion"/>
  </si>
  <si>
    <t>회복수위</t>
    <phoneticPr fontId="6" type="noConversion"/>
  </si>
  <si>
    <t>수위회복량(Sw)</t>
    <phoneticPr fontId="6" type="noConversion"/>
  </si>
  <si>
    <t>양수량</t>
    <phoneticPr fontId="6" type="noConversion"/>
  </si>
  <si>
    <t>지하수위</t>
    <phoneticPr fontId="6" type="noConversion"/>
  </si>
  <si>
    <t>강하수위</t>
    <phoneticPr fontId="6" type="noConversion"/>
  </si>
  <si>
    <t>공번</t>
    <phoneticPr fontId="6" type="noConversion"/>
  </si>
  <si>
    <t>W-1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</si>
  <si>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</si>
  <si>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</si>
  <si>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</si>
  <si>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</si>
  <si>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</si>
  <si>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6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</si>
  <si>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</si>
  <si>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</si>
  <si>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</si>
  <si>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</si>
  <si>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</si>
  <si>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</si>
  <si>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6" type="noConversion"/>
  </si>
  <si>
    <t>W-6</t>
    <phoneticPr fontId="6" type="noConversion"/>
  </si>
  <si>
    <t>양수정의 수질 변화기록</t>
    <phoneticPr fontId="6" type="noConversion"/>
  </si>
  <si>
    <t>수질 1번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</si>
  <si>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</si>
  <si>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</si>
  <si>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</si>
  <si>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</si>
  <si>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</si>
  <si>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</si>
  <si>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</si>
  <si>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</si>
  <si>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</si>
  <si>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최소</t>
    <phoneticPr fontId="6" type="noConversion"/>
  </si>
  <si>
    <t>변화량</t>
    <phoneticPr fontId="6" type="noConversion"/>
  </si>
  <si>
    <t>a---&gt;</t>
    <phoneticPr fontId="6" type="noConversion"/>
  </si>
  <si>
    <t>b---&gt;</t>
    <phoneticPr fontId="6" type="noConversion"/>
  </si>
  <si>
    <t>경험식Re=</t>
    <phoneticPr fontId="6" type="noConversion"/>
  </si>
  <si>
    <t>&lt;---장기양수T</t>
    <phoneticPr fontId="6" type="noConversion"/>
  </si>
  <si>
    <t>&lt;--sqrt(a/b)</t>
    <phoneticPr fontId="6" type="noConversion"/>
  </si>
  <si>
    <t>e---&gt;</t>
    <phoneticPr fontId="6" type="noConversion"/>
  </si>
  <si>
    <t>경험식Re2=</t>
    <phoneticPr fontId="6" type="noConversion"/>
  </si>
  <si>
    <t>SkinFactor Re =</t>
    <phoneticPr fontId="6" type="noConversion"/>
  </si>
  <si>
    <t>저류계수</t>
    <phoneticPr fontId="6" type="noConversion"/>
  </si>
  <si>
    <t>W-7</t>
    <phoneticPr fontId="6" type="noConversion"/>
  </si>
  <si>
    <t>W-8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</si>
  <si>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</si>
  <si>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</si>
  <si>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</si>
  <si>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</si>
  <si>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6" type="noConversion"/>
  </si>
  <si>
    <t>W-9</t>
    <phoneticPr fontId="6" type="noConversion"/>
  </si>
  <si>
    <t>W-10</t>
    <phoneticPr fontId="6" type="noConversion"/>
  </si>
  <si>
    <t>W-11</t>
    <phoneticPr fontId="6" type="noConversion"/>
  </si>
  <si>
    <t>S1:</t>
    <phoneticPr fontId="6" type="noConversion"/>
  </si>
  <si>
    <t>2021년 예산군 농업용 지하수영향조사 용역</t>
    <phoneticPr fontId="6" type="noConversion"/>
  </si>
  <si>
    <t>공  번 : W - 1</t>
  </si>
  <si>
    <t>(주) 현윤이앤씨</t>
    <phoneticPr fontId="6" type="noConversion"/>
  </si>
  <si>
    <t>충청남도 예산군 응봉면 신리 194</t>
    <phoneticPr fontId="6" type="noConversion"/>
  </si>
  <si>
    <t>신리지구</t>
    <phoneticPr fontId="6" type="noConversion"/>
  </si>
  <si>
    <t>조 사 명</t>
  </si>
  <si>
    <t>2021년 예산군 농업용 지하수영향조사 용역</t>
  </si>
  <si>
    <t>지 구 명</t>
  </si>
  <si>
    <t>신리지구</t>
  </si>
  <si>
    <t>위    치</t>
  </si>
  <si>
    <t>충청남도 예산군 응봉면 신리 194</t>
  </si>
  <si>
    <t>조 사 자</t>
  </si>
  <si>
    <t>(주) 현윤이앤씨</t>
  </si>
  <si>
    <t>개발시 적정채수량으로 적용 =</t>
  </si>
  <si>
    <t>직     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</si>
</sst>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70" x14ac:knownFonts="1"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</fills>
  <borders count="9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2" fillId="0" borderId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207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17" fillId="0" borderId="0"/>
    <xf numFmtId="0" fontId="2" fillId="0" borderId="0">
      <alignment vertical="center"/>
    </xf>
    <xf numFmtId="0" fontId="43" fillId="22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</cellStyleXfs>
  <cellXfs count="595">
    <xf numFmtId="0" fontId="0" fillId="0" borderId="0" xfId="0"/>
    <xf numFmtId="0" fontId="4" fillId="0" borderId="0" xfId="0" applyFont="1" applyAlignment="1">
      <alignment horizontal="centerContinuous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/>
    </xf>
    <xf numFmtId="177" fontId="3" fillId="0" borderId="0" xfId="0" applyNumberFormat="1" applyFont="1" applyAlignment="1">
      <alignment vertical="center"/>
    </xf>
    <xf numFmtId="184" fontId="3" fillId="0" borderId="0" xfId="0" applyNumberFormat="1" applyFont="1" applyAlignment="1">
      <alignment vertical="center"/>
    </xf>
    <xf numFmtId="184" fontId="0" fillId="0" borderId="0" xfId="0" applyNumberFormat="1"/>
    <xf numFmtId="181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183" fontId="3" fillId="0" borderId="0" xfId="0" applyNumberFormat="1" applyFont="1" applyAlignment="1">
      <alignment vertical="center"/>
    </xf>
    <xf numFmtId="188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183" fontId="3" fillId="0" borderId="0" xfId="0" applyNumberFormat="1" applyFont="1" applyAlignment="1">
      <alignment horizontal="right"/>
    </xf>
    <xf numFmtId="0" fontId="7" fillId="0" borderId="0" xfId="0" applyFont="1"/>
    <xf numFmtId="0" fontId="8" fillId="0" borderId="0" xfId="0" applyFont="1"/>
    <xf numFmtId="2" fontId="7" fillId="0" borderId="0" xfId="0" applyNumberFormat="1" applyFont="1"/>
    <xf numFmtId="1" fontId="7" fillId="0" borderId="0" xfId="0" applyNumberFormat="1" applyFont="1"/>
    <xf numFmtId="178" fontId="7" fillId="0" borderId="0" xfId="0" applyNumberFormat="1" applyFont="1"/>
    <xf numFmtId="0" fontId="7" fillId="0" borderId="0" xfId="0" applyFont="1" applyAlignment="1">
      <alignment horizontal="center"/>
    </xf>
    <xf numFmtId="177" fontId="7" fillId="0" borderId="0" xfId="0" applyNumberFormat="1" applyFont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9" fontId="7" fillId="0" borderId="0" xfId="8" applyFo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7" fillId="2" borderId="0" xfId="0" applyFont="1" applyFill="1"/>
    <xf numFmtId="192" fontId="3" fillId="0" borderId="0" xfId="0" applyNumberFormat="1" applyFont="1" applyAlignment="1">
      <alignment horizontal="center" vertical="center"/>
    </xf>
    <xf numFmtId="192" fontId="3" fillId="2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3" borderId="0" xfId="0" applyFont="1" applyFill="1"/>
    <xf numFmtId="0" fontId="8" fillId="0" borderId="3" xfId="0" applyFont="1" applyBorder="1"/>
    <xf numFmtId="0" fontId="8" fillId="2" borderId="3" xfId="0" applyFont="1" applyFill="1" applyBorder="1"/>
    <xf numFmtId="0" fontId="8" fillId="4" borderId="3" xfId="0" applyFont="1" applyFill="1" applyBorder="1"/>
    <xf numFmtId="2" fontId="7" fillId="2" borderId="0" xfId="0" applyNumberFormat="1" applyFont="1" applyFill="1"/>
    <xf numFmtId="0" fontId="7" fillId="2" borderId="0" xfId="0" applyFont="1" applyFill="1" applyAlignment="1">
      <alignment horizontal="right"/>
    </xf>
    <xf numFmtId="0" fontId="8" fillId="0" borderId="3" xfId="0" applyFont="1" applyBorder="1" applyAlignment="1">
      <alignment horizontal="center"/>
    </xf>
    <xf numFmtId="0" fontId="8" fillId="0" borderId="3" xfId="0" applyFont="1" applyBorder="1" applyAlignment="1">
      <alignment horizontal="right"/>
    </xf>
    <xf numFmtId="177" fontId="8" fillId="0" borderId="3" xfId="0" applyNumberFormat="1" applyFont="1" applyBorder="1"/>
    <xf numFmtId="0" fontId="11" fillId="0" borderId="3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3" fillId="0" borderId="3" xfId="0" applyFont="1" applyBorder="1" applyAlignment="1">
      <alignment horizontal="centerContinuous" vertical="center"/>
    </xf>
    <xf numFmtId="0" fontId="3" fillId="0" borderId="3" xfId="0" applyFont="1" applyBorder="1" applyAlignment="1">
      <alignment vertical="center"/>
    </xf>
    <xf numFmtId="186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Continuous" vertical="center"/>
    </xf>
    <xf numFmtId="0" fontId="3" fillId="0" borderId="4" xfId="0" applyFont="1" applyBorder="1" applyAlignment="1">
      <alignment vertical="center"/>
    </xf>
    <xf numFmtId="184" fontId="3" fillId="0" borderId="0" xfId="0" applyNumberFormat="1" applyFont="1" applyAlignment="1">
      <alignment horizontal="centerContinuous"/>
    </xf>
    <xf numFmtId="1" fontId="3" fillId="0" borderId="3" xfId="0" applyNumberFormat="1" applyFont="1" applyBorder="1" applyAlignment="1">
      <alignment vertical="center"/>
    </xf>
    <xf numFmtId="189" fontId="3" fillId="0" borderId="0" xfId="0" applyNumberFormat="1" applyFont="1" applyAlignment="1">
      <alignment vertical="center"/>
    </xf>
    <xf numFmtId="192" fontId="3" fillId="0" borderId="0" xfId="0" applyNumberFormat="1" applyFont="1" applyAlignment="1">
      <alignment vertical="center"/>
    </xf>
    <xf numFmtId="2" fontId="3" fillId="2" borderId="0" xfId="0" applyNumberFormat="1" applyFont="1" applyFill="1" applyAlignment="1">
      <alignment vertical="center"/>
    </xf>
    <xf numFmtId="189" fontId="3" fillId="0" borderId="0" xfId="0" applyNumberFormat="1" applyFont="1" applyAlignment="1">
      <alignment horizontal="right"/>
    </xf>
    <xf numFmtId="202" fontId="3" fillId="0" borderId="0" xfId="0" applyNumberFormat="1" applyFont="1" applyAlignment="1">
      <alignment vertical="center"/>
    </xf>
    <xf numFmtId="203" fontId="3" fillId="0" borderId="0" xfId="0" applyNumberFormat="1" applyFont="1" applyAlignment="1">
      <alignment vertical="center"/>
    </xf>
    <xf numFmtId="189" fontId="3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4" fillId="0" borderId="0" xfId="0" applyFont="1"/>
    <xf numFmtId="0" fontId="7" fillId="0" borderId="4" xfId="0" applyFont="1" applyBorder="1" applyAlignment="1">
      <alignment horizontal="center"/>
    </xf>
    <xf numFmtId="178" fontId="3" fillId="5" borderId="0" xfId="0" applyNumberFormat="1" applyFont="1" applyFill="1" applyAlignment="1">
      <alignment vertical="center"/>
    </xf>
    <xf numFmtId="0" fontId="15" fillId="0" borderId="0" xfId="0" applyFont="1"/>
    <xf numFmtId="2" fontId="15" fillId="0" borderId="0" xfId="0" applyNumberFormat="1" applyFont="1"/>
    <xf numFmtId="1" fontId="7" fillId="0" borderId="3" xfId="0" applyNumberFormat="1" applyFont="1" applyBorder="1"/>
    <xf numFmtId="2" fontId="15" fillId="0" borderId="3" xfId="0" applyNumberFormat="1" applyFont="1" applyBorder="1"/>
    <xf numFmtId="2" fontId="7" fillId="0" borderId="3" xfId="0" applyNumberFormat="1" applyFont="1" applyBorder="1"/>
    <xf numFmtId="0" fontId="7" fillId="0" borderId="5" xfId="0" applyFont="1" applyBorder="1"/>
    <xf numFmtId="1" fontId="15" fillId="0" borderId="4" xfId="0" applyNumberFormat="1" applyFont="1" applyBorder="1"/>
    <xf numFmtId="0" fontId="7" fillId="6" borderId="3" xfId="0" applyFont="1" applyFill="1" applyBorder="1"/>
    <xf numFmtId="0" fontId="7" fillId="2" borderId="3" xfId="0" applyFont="1" applyFill="1" applyBorder="1"/>
    <xf numFmtId="188" fontId="0" fillId="0" borderId="0" xfId="0" applyNumberFormat="1"/>
    <xf numFmtId="194" fontId="3" fillId="2" borderId="0" xfId="0" applyNumberFormat="1" applyFont="1" applyFill="1" applyAlignment="1">
      <alignment vertical="center"/>
    </xf>
    <xf numFmtId="194" fontId="3" fillId="0" borderId="0" xfId="0" applyNumberFormat="1" applyFont="1"/>
    <xf numFmtId="194" fontId="3" fillId="2" borderId="0" xfId="0" applyNumberFormat="1" applyFont="1" applyFill="1"/>
    <xf numFmtId="194" fontId="3" fillId="0" borderId="0" xfId="0" applyNumberFormat="1" applyFont="1" applyAlignment="1">
      <alignment horizontal="center" vertical="center"/>
    </xf>
    <xf numFmtId="194" fontId="3" fillId="0" borderId="0" xfId="0" applyNumberFormat="1" applyFont="1" applyAlignment="1">
      <alignment vertic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176" fontId="8" fillId="0" borderId="8" xfId="9" applyFont="1" applyBorder="1"/>
    <xf numFmtId="176" fontId="8" fillId="0" borderId="9" xfId="9" applyFont="1" applyBorder="1"/>
    <xf numFmtId="0" fontId="8" fillId="0" borderId="7" xfId="0" applyFont="1" applyBorder="1" applyAlignment="1">
      <alignment horizontal="right"/>
    </xf>
    <xf numFmtId="176" fontId="8" fillId="0" borderId="8" xfId="0" applyNumberFormat="1" applyFont="1" applyBorder="1"/>
    <xf numFmtId="206" fontId="8" fillId="0" borderId="8" xfId="0" applyNumberFormat="1" applyFont="1" applyBorder="1"/>
    <xf numFmtId="176" fontId="8" fillId="0" borderId="9" xfId="0" applyNumberFormat="1" applyFont="1" applyBorder="1"/>
    <xf numFmtId="0" fontId="8" fillId="2" borderId="10" xfId="0" applyFont="1" applyFill="1" applyBorder="1"/>
    <xf numFmtId="176" fontId="8" fillId="0" borderId="11" xfId="0" applyNumberFormat="1" applyFont="1" applyBorder="1"/>
    <xf numFmtId="207" fontId="8" fillId="0" borderId="11" xfId="0" applyNumberFormat="1" applyFont="1" applyBorder="1"/>
    <xf numFmtId="176" fontId="8" fillId="0" borderId="12" xfId="0" applyNumberFormat="1" applyFont="1" applyBorder="1"/>
    <xf numFmtId="0" fontId="8" fillId="0" borderId="13" xfId="0" applyFont="1" applyBorder="1" applyAlignment="1">
      <alignment horizontal="center"/>
    </xf>
    <xf numFmtId="0" fontId="7" fillId="4" borderId="0" xfId="0" applyFont="1" applyFill="1"/>
    <xf numFmtId="0" fontId="20" fillId="0" borderId="0" xfId="14" applyFont="1"/>
    <xf numFmtId="0" fontId="8" fillId="0" borderId="14" xfId="14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Continuous"/>
    </xf>
    <xf numFmtId="0" fontId="8" fillId="0" borderId="14" xfId="14" quotePrefix="1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" vertical="top"/>
    </xf>
    <xf numFmtId="0" fontId="8" fillId="0" borderId="15" xfId="14" applyFont="1" applyBorder="1" applyAlignment="1">
      <alignment horizontal="center" vertical="center"/>
    </xf>
    <xf numFmtId="0" fontId="8" fillId="0" borderId="16" xfId="14" applyFont="1" applyBorder="1" applyAlignment="1">
      <alignment horizontal="left" vertical="center"/>
    </xf>
    <xf numFmtId="0" fontId="8" fillId="0" borderId="17" xfId="14" applyFont="1" applyBorder="1" applyAlignment="1">
      <alignment horizontal="left" vertical="center"/>
    </xf>
    <xf numFmtId="0" fontId="17" fillId="0" borderId="18" xfId="14" applyBorder="1"/>
    <xf numFmtId="0" fontId="8" fillId="0" borderId="19" xfId="14" applyFont="1" applyBorder="1" applyAlignment="1">
      <alignment horizontal="left" vertical="center"/>
    </xf>
    <xf numFmtId="0" fontId="8" fillId="0" borderId="20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Continuous" vertical="center"/>
    </xf>
    <xf numFmtId="0" fontId="8" fillId="0" borderId="4" xfId="14" quotePrefix="1" applyFont="1" applyBorder="1" applyAlignment="1">
      <alignment horizontal="centerContinuous" vertical="center"/>
    </xf>
    <xf numFmtId="0" fontId="8" fillId="0" borderId="4" xfId="14" applyFont="1" applyBorder="1" applyAlignment="1">
      <alignment horizontal="centerContinuous" vertical="center"/>
    </xf>
    <xf numFmtId="0" fontId="8" fillId="0" borderId="21" xfId="14" applyFont="1" applyBorder="1" applyAlignment="1">
      <alignment horizontal="centerContinuous" vertical="center"/>
    </xf>
    <xf numFmtId="0" fontId="8" fillId="0" borderId="22" xfId="14" quotePrefix="1" applyFont="1" applyBorder="1" applyAlignment="1">
      <alignment horizontal="center" vertical="center"/>
    </xf>
    <xf numFmtId="0" fontId="8" fillId="0" borderId="23" xfId="14" quotePrefix="1" applyFont="1" applyBorder="1" applyAlignment="1">
      <alignment horizontal="center" vertical="center"/>
    </xf>
    <xf numFmtId="0" fontId="8" fillId="0" borderId="0" xfId="14" quotePrefix="1" applyFont="1" applyAlignment="1">
      <alignment horizontal="centerContinuous" vertical="center"/>
    </xf>
    <xf numFmtId="0" fontId="8" fillId="0" borderId="24" xfId="14" applyFont="1" applyBorder="1" applyAlignment="1">
      <alignment horizontal="centerContinuous" vertical="center"/>
    </xf>
    <xf numFmtId="0" fontId="8" fillId="0" borderId="25" xfId="14" applyFont="1" applyBorder="1" applyAlignment="1">
      <alignment horizontal="centerContinuous" vertical="center"/>
    </xf>
    <xf numFmtId="0" fontId="8" fillId="0" borderId="22" xfId="14" applyFont="1" applyBorder="1" applyAlignment="1">
      <alignment vertical="center"/>
    </xf>
    <xf numFmtId="0" fontId="8" fillId="0" borderId="23" xfId="14" applyFont="1" applyBorder="1" applyAlignment="1">
      <alignment vertical="center"/>
    </xf>
    <xf numFmtId="0" fontId="8" fillId="0" borderId="0" xfId="14" applyFont="1" applyAlignment="1">
      <alignment vertical="center"/>
    </xf>
    <xf numFmtId="0" fontId="8" fillId="0" borderId="0" xfId="14" quotePrefix="1" applyFont="1" applyAlignment="1">
      <alignment horizontal="center" vertical="top"/>
    </xf>
    <xf numFmtId="0" fontId="8" fillId="8" borderId="24" xfId="14" applyFont="1" applyFill="1" applyBorder="1" applyAlignment="1">
      <alignment vertical="center"/>
    </xf>
    <xf numFmtId="0" fontId="8" fillId="0" borderId="25" xfId="14" applyFont="1" applyBorder="1" applyAlignment="1">
      <alignment vertical="center"/>
    </xf>
    <xf numFmtId="0" fontId="8" fillId="4" borderId="0" xfId="14" applyFont="1" applyFill="1" applyAlignment="1">
      <alignment vertical="center"/>
    </xf>
    <xf numFmtId="0" fontId="8" fillId="0" borderId="0" xfId="14" applyFont="1" applyAlignment="1">
      <alignment horizontal="center" vertical="top"/>
    </xf>
    <xf numFmtId="0" fontId="11" fillId="0" borderId="24" xfId="14" applyFont="1" applyBorder="1" applyAlignment="1">
      <alignment horizontal="left" vertical="center"/>
    </xf>
    <xf numFmtId="0" fontId="8" fillId="0" borderId="25" xfId="14" applyFont="1" applyBorder="1" applyAlignment="1">
      <alignment horizontal="right" vertical="center"/>
    </xf>
    <xf numFmtId="177" fontId="8" fillId="0" borderId="22" xfId="14" applyNumberFormat="1" applyFont="1" applyBorder="1"/>
    <xf numFmtId="0" fontId="8" fillId="0" borderId="26" xfId="14" applyFont="1" applyBorder="1" applyAlignment="1">
      <alignment vertical="center"/>
    </xf>
    <xf numFmtId="0" fontId="8" fillId="4" borderId="26" xfId="14" applyFont="1" applyFill="1" applyBorder="1" applyAlignment="1">
      <alignment horizontal="center" vertical="center"/>
    </xf>
    <xf numFmtId="0" fontId="8" fillId="0" borderId="14" xfId="14" applyFont="1" applyBorder="1" applyAlignment="1">
      <alignment vertical="center"/>
    </xf>
    <xf numFmtId="0" fontId="8" fillId="0" borderId="0" xfId="14" applyFont="1" applyAlignment="1">
      <alignment horizontal="center" vertical="center"/>
    </xf>
    <xf numFmtId="0" fontId="11" fillId="0" borderId="24" xfId="14" applyFont="1" applyBorder="1" applyAlignment="1">
      <alignment horizontal="center" vertical="center"/>
    </xf>
    <xf numFmtId="177" fontId="8" fillId="0" borderId="26" xfId="14" applyNumberFormat="1" applyFont="1" applyBorder="1" applyAlignment="1">
      <alignment horizontal="center" vertical="center"/>
    </xf>
    <xf numFmtId="0" fontId="8" fillId="9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center"/>
    </xf>
    <xf numFmtId="0" fontId="8" fillId="0" borderId="3" xfId="14" applyFont="1" applyBorder="1" applyAlignment="1">
      <alignment vertical="center"/>
    </xf>
    <xf numFmtId="0" fontId="8" fillId="10" borderId="0" xfId="14" applyFont="1" applyFill="1" applyAlignment="1">
      <alignment vertical="center"/>
    </xf>
    <xf numFmtId="0" fontId="11" fillId="0" borderId="24" xfId="14" applyFont="1" applyBorder="1" applyAlignment="1">
      <alignment vertical="center"/>
    </xf>
    <xf numFmtId="177" fontId="8" fillId="0" borderId="27" xfId="14" applyNumberFormat="1" applyFont="1" applyBorder="1" applyAlignment="1">
      <alignment horizontal="center" vertical="justify"/>
    </xf>
    <xf numFmtId="0" fontId="8" fillId="11" borderId="27" xfId="14" applyFont="1" applyFill="1" applyBorder="1" applyAlignment="1">
      <alignment vertical="center"/>
    </xf>
    <xf numFmtId="0" fontId="8" fillId="0" borderId="27" xfId="14" applyFont="1" applyBorder="1" applyAlignment="1">
      <alignment horizontal="center" vertical="center"/>
    </xf>
    <xf numFmtId="0" fontId="8" fillId="0" borderId="27" xfId="14" applyFont="1" applyBorder="1" applyAlignment="1">
      <alignment vertical="center"/>
    </xf>
    <xf numFmtId="0" fontId="8" fillId="0" borderId="24" xfId="14" applyFont="1" applyBorder="1" applyAlignment="1">
      <alignment vertical="center"/>
    </xf>
    <xf numFmtId="177" fontId="8" fillId="0" borderId="26" xfId="14" applyNumberFormat="1" applyFont="1" applyBorder="1" applyAlignment="1">
      <alignment horizontal="center" vertical="justify"/>
    </xf>
    <xf numFmtId="0" fontId="8" fillId="11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top"/>
    </xf>
    <xf numFmtId="0" fontId="8" fillId="10" borderId="14" xfId="14" applyFont="1" applyFill="1" applyBorder="1" applyAlignment="1">
      <alignment vertical="center"/>
    </xf>
    <xf numFmtId="177" fontId="8" fillId="12" borderId="22" xfId="14" applyNumberFormat="1" applyFont="1" applyFill="1" applyBorder="1"/>
    <xf numFmtId="177" fontId="8" fillId="4" borderId="26" xfId="14" applyNumberFormat="1" applyFont="1" applyFill="1" applyBorder="1" applyAlignment="1">
      <alignment horizontal="center" vertical="center"/>
    </xf>
    <xf numFmtId="0" fontId="8" fillId="13" borderId="26" xfId="14" applyFont="1" applyFill="1" applyBorder="1" applyAlignment="1">
      <alignment vertical="center"/>
    </xf>
    <xf numFmtId="0" fontId="5" fillId="14" borderId="26" xfId="14" quotePrefix="1" applyFont="1" applyFill="1" applyBorder="1" applyAlignment="1">
      <alignment horizontal="center" vertical="center"/>
    </xf>
    <xf numFmtId="0" fontId="8" fillId="0" borderId="28" xfId="14" applyFont="1" applyBorder="1" applyAlignment="1">
      <alignment horizontal="center" vertical="center"/>
    </xf>
    <xf numFmtId="0" fontId="8" fillId="0" borderId="0" xfId="14" applyFont="1" applyAlignment="1">
      <alignment horizontal="left" vertical="center"/>
    </xf>
    <xf numFmtId="177" fontId="8" fillId="0" borderId="29" xfId="14" applyNumberFormat="1" applyFont="1" applyBorder="1"/>
    <xf numFmtId="0" fontId="8" fillId="15" borderId="26" xfId="14" applyFont="1" applyFill="1" applyBorder="1" applyAlignment="1">
      <alignment vertical="center"/>
    </xf>
    <xf numFmtId="0" fontId="8" fillId="0" borderId="30" xfId="14" applyFont="1" applyBorder="1" applyAlignment="1">
      <alignment vertical="center"/>
    </xf>
    <xf numFmtId="0" fontId="8" fillId="0" borderId="14" xfId="14" applyFont="1" applyBorder="1" applyAlignment="1">
      <alignment horizontal="center" vertical="center"/>
    </xf>
    <xf numFmtId="0" fontId="8" fillId="0" borderId="31" xfId="14" applyFont="1" applyBorder="1"/>
    <xf numFmtId="0" fontId="8" fillId="0" borderId="32" xfId="14" applyFont="1" applyBorder="1" applyAlignment="1">
      <alignment vertical="center"/>
    </xf>
    <xf numFmtId="0" fontId="8" fillId="0" borderId="33" xfId="14" applyFont="1" applyBorder="1" applyAlignment="1">
      <alignment vertical="center"/>
    </xf>
    <xf numFmtId="0" fontId="8" fillId="0" borderId="34" xfId="14" applyFont="1" applyBorder="1" applyAlignment="1">
      <alignment vertical="center"/>
    </xf>
    <xf numFmtId="0" fontId="8" fillId="0" borderId="35" xfId="14" applyFont="1" applyBorder="1" applyAlignment="1">
      <alignment vertical="center"/>
    </xf>
    <xf numFmtId="0" fontId="17" fillId="0" borderId="0" xfId="14"/>
    <xf numFmtId="194" fontId="15" fillId="0" borderId="0" xfId="0" applyNumberFormat="1" applyFont="1" applyAlignment="1">
      <alignment horizontal="right"/>
    </xf>
    <xf numFmtId="188" fontId="7" fillId="0" borderId="0" xfId="0" applyNumberFormat="1" applyFont="1"/>
    <xf numFmtId="0" fontId="21" fillId="0" borderId="3" xfId="0" applyFont="1" applyBorder="1" applyAlignment="1">
      <alignment horizontal="center" vertical="center" wrapText="1"/>
    </xf>
    <xf numFmtId="189" fontId="3" fillId="0" borderId="4" xfId="0" applyNumberFormat="1" applyFont="1" applyBorder="1" applyAlignment="1">
      <alignment horizontal="right" vertical="center"/>
    </xf>
    <xf numFmtId="192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horizontal="centerContinuous" vertical="center"/>
    </xf>
    <xf numFmtId="0" fontId="21" fillId="0" borderId="2" xfId="0" applyFont="1" applyBorder="1" applyAlignment="1">
      <alignment vertical="center"/>
    </xf>
    <xf numFmtId="0" fontId="21" fillId="0" borderId="36" xfId="0" applyFont="1" applyBorder="1" applyAlignment="1">
      <alignment horizontal="center" vertical="center"/>
    </xf>
    <xf numFmtId="0" fontId="21" fillId="0" borderId="2" xfId="0" applyFont="1" applyBorder="1" applyAlignment="1">
      <alignment horizontal="right" vertical="center"/>
    </xf>
    <xf numFmtId="0" fontId="21" fillId="0" borderId="2" xfId="0" applyFont="1" applyBorder="1" applyAlignment="1">
      <alignment horizontal="centerContinuous" vertical="center"/>
    </xf>
    <xf numFmtId="0" fontId="21" fillId="0" borderId="36" xfId="0" applyFont="1" applyBorder="1" applyAlignment="1">
      <alignment horizontal="centerContinuous" vertical="center"/>
    </xf>
    <xf numFmtId="0" fontId="22" fillId="0" borderId="2" xfId="0" applyFont="1" applyBorder="1" applyAlignment="1">
      <alignment horizontal="center" vertical="center"/>
    </xf>
    <xf numFmtId="187" fontId="22" fillId="0" borderId="36" xfId="0" applyNumberFormat="1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185" fontId="21" fillId="0" borderId="3" xfId="0" applyNumberFormat="1" applyFont="1" applyBorder="1" applyAlignment="1">
      <alignment horizontal="center" vertical="center"/>
    </xf>
    <xf numFmtId="179" fontId="21" fillId="0" borderId="4" xfId="0" applyNumberFormat="1" applyFont="1" applyBorder="1" applyAlignment="1">
      <alignment horizontal="center" vertical="center"/>
    </xf>
    <xf numFmtId="0" fontId="21" fillId="0" borderId="36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186" fontId="21" fillId="0" borderId="3" xfId="0" applyNumberFormat="1" applyFont="1" applyBorder="1" applyAlignment="1">
      <alignment horizontal="center" vertical="center"/>
    </xf>
    <xf numFmtId="181" fontId="21" fillId="0" borderId="4" xfId="0" applyNumberFormat="1" applyFont="1" applyBorder="1" applyAlignment="1">
      <alignment horizontal="center" vertical="center"/>
    </xf>
    <xf numFmtId="181" fontId="21" fillId="0" borderId="3" xfId="0" applyNumberFormat="1" applyFont="1" applyBorder="1" applyAlignment="1">
      <alignment horizontal="right" vertical="center"/>
    </xf>
    <xf numFmtId="0" fontId="23" fillId="0" borderId="3" xfId="0" applyFont="1" applyBorder="1" applyAlignment="1">
      <alignment vertical="center"/>
    </xf>
    <xf numFmtId="1" fontId="23" fillId="0" borderId="3" xfId="0" applyNumberFormat="1" applyFont="1" applyBorder="1" applyAlignment="1">
      <alignment vertical="center"/>
    </xf>
    <xf numFmtId="186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left" vertical="center"/>
    </xf>
    <xf numFmtId="0" fontId="23" fillId="0" borderId="2" xfId="0" applyFont="1" applyBorder="1" applyAlignment="1">
      <alignment vertical="center"/>
    </xf>
    <xf numFmtId="184" fontId="23" fillId="0" borderId="2" xfId="0" applyNumberFormat="1" applyFont="1" applyBorder="1"/>
    <xf numFmtId="0" fontId="23" fillId="0" borderId="36" xfId="0" applyFont="1" applyBorder="1" applyAlignment="1">
      <alignment horizontal="center" vertical="center"/>
    </xf>
    <xf numFmtId="201" fontId="23" fillId="0" borderId="4" xfId="0" applyNumberFormat="1" applyFont="1" applyBorder="1" applyAlignment="1">
      <alignment horizontal="left" vertical="center"/>
    </xf>
    <xf numFmtId="0" fontId="23" fillId="0" borderId="2" xfId="0" applyFont="1" applyBorder="1" applyAlignment="1">
      <alignment horizontal="right" vertical="center"/>
    </xf>
    <xf numFmtId="184" fontId="23" fillId="0" borderId="2" xfId="0" applyNumberFormat="1" applyFont="1" applyBorder="1" applyAlignment="1">
      <alignment horizontal="centerContinuous" vertical="center"/>
    </xf>
    <xf numFmtId="0" fontId="23" fillId="0" borderId="36" xfId="0" applyFont="1" applyBorder="1" applyAlignment="1">
      <alignment horizontal="centerContinuous" vertical="center"/>
    </xf>
    <xf numFmtId="0" fontId="23" fillId="0" borderId="4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2" xfId="0" applyFont="1" applyBorder="1" applyAlignment="1">
      <alignment horizontal="centerContinuous" vertical="center"/>
    </xf>
    <xf numFmtId="187" fontId="24" fillId="0" borderId="2" xfId="0" applyNumberFormat="1" applyFont="1" applyBorder="1" applyAlignment="1">
      <alignment horizontal="centerContinuous" vertical="center"/>
    </xf>
    <xf numFmtId="184" fontId="24" fillId="0" borderId="2" xfId="0" applyNumberFormat="1" applyFont="1" applyBorder="1" applyAlignment="1">
      <alignment horizontal="centerContinuous"/>
    </xf>
    <xf numFmtId="0" fontId="24" fillId="0" borderId="36" xfId="0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0" fontId="24" fillId="0" borderId="4" xfId="0" applyFont="1" applyBorder="1" applyAlignment="1">
      <alignment horizontal="centerContinuous" vertical="center"/>
    </xf>
    <xf numFmtId="184" fontId="24" fillId="0" borderId="36" xfId="0" applyNumberFormat="1" applyFont="1" applyBorder="1" applyAlignment="1">
      <alignment horizontal="centerContinuous"/>
    </xf>
    <xf numFmtId="186" fontId="23" fillId="0" borderId="3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Continuous" vertical="top"/>
    </xf>
    <xf numFmtId="0" fontId="26" fillId="0" borderId="0" xfId="0" applyFont="1"/>
    <xf numFmtId="190" fontId="23" fillId="0" borderId="3" xfId="0" applyNumberFormat="1" applyFont="1" applyBorder="1" applyAlignment="1">
      <alignment horizontal="center" vertical="center"/>
    </xf>
    <xf numFmtId="194" fontId="7" fillId="3" borderId="3" xfId="0" applyNumberFormat="1" applyFont="1" applyFill="1" applyBorder="1" applyAlignment="1">
      <alignment horizontal="right"/>
    </xf>
    <xf numFmtId="190" fontId="23" fillId="2" borderId="3" xfId="0" applyNumberFormat="1" applyFont="1" applyFill="1" applyBorder="1" applyAlignment="1">
      <alignment horizontal="center" vertical="center"/>
    </xf>
    <xf numFmtId="0" fontId="27" fillId="0" borderId="0" xfId="0" applyFont="1"/>
    <xf numFmtId="2" fontId="8" fillId="0" borderId="3" xfId="0" applyNumberFormat="1" applyFont="1" applyBorder="1"/>
    <xf numFmtId="209" fontId="8" fillId="0" borderId="3" xfId="0" applyNumberFormat="1" applyFont="1" applyBorder="1" applyAlignment="1">
      <alignment horizontal="right"/>
    </xf>
    <xf numFmtId="177" fontId="8" fillId="2" borderId="3" xfId="0" applyNumberFormat="1" applyFont="1" applyFill="1" applyBorder="1"/>
    <xf numFmtId="191" fontId="28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3" fillId="16" borderId="3" xfId="0" applyNumberFormat="1" applyFont="1" applyFill="1" applyBorder="1" applyAlignment="1">
      <alignment horizontal="center" vertical="center"/>
    </xf>
    <xf numFmtId="183" fontId="29" fillId="0" borderId="0" xfId="0" applyNumberFormat="1" applyFont="1" applyAlignment="1">
      <alignment vertical="center"/>
    </xf>
    <xf numFmtId="192" fontId="3" fillId="4" borderId="3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vertical="center"/>
    </xf>
    <xf numFmtId="2" fontId="3" fillId="4" borderId="3" xfId="0" applyNumberFormat="1" applyFont="1" applyFill="1" applyBorder="1" applyAlignment="1">
      <alignment vertical="center"/>
    </xf>
    <xf numFmtId="0" fontId="3" fillId="0" borderId="36" xfId="0" applyFont="1" applyBorder="1" applyAlignment="1">
      <alignment vertical="center"/>
    </xf>
    <xf numFmtId="180" fontId="21" fillId="0" borderId="3" xfId="0" applyNumberFormat="1" applyFont="1" applyBorder="1" applyAlignment="1">
      <alignment horizontal="right" vertical="center"/>
    </xf>
    <xf numFmtId="178" fontId="7" fillId="3" borderId="0" xfId="0" applyNumberFormat="1" applyFont="1" applyFill="1"/>
    <xf numFmtId="0" fontId="30" fillId="2" borderId="0" xfId="0" applyFont="1" applyFill="1"/>
    <xf numFmtId="209" fontId="8" fillId="0" borderId="3" xfId="0" applyNumberFormat="1" applyFont="1" applyBorder="1"/>
    <xf numFmtId="212" fontId="8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right" vertical="center" shrinkToFit="1"/>
    </xf>
    <xf numFmtId="188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shrinkToFit="1"/>
    </xf>
    <xf numFmtId="214" fontId="0" fillId="0" borderId="0" xfId="0" applyNumberFormat="1"/>
    <xf numFmtId="0" fontId="32" fillId="0" borderId="0" xfId="0" applyFont="1" applyAlignment="1">
      <alignment horizontal="right"/>
    </xf>
    <xf numFmtId="0" fontId="32" fillId="0" borderId="0" xfId="0" applyFont="1"/>
    <xf numFmtId="177" fontId="32" fillId="0" borderId="0" xfId="0" applyNumberFormat="1" applyFont="1"/>
    <xf numFmtId="188" fontId="3" fillId="17" borderId="0" xfId="0" applyNumberFormat="1" applyFont="1" applyFill="1" applyAlignment="1">
      <alignment vertical="center"/>
    </xf>
    <xf numFmtId="20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92" fontId="3" fillId="4" borderId="0" xfId="0" applyNumberFormat="1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20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" fontId="7" fillId="20" borderId="0" xfId="0" applyNumberFormat="1" applyFont="1" applyFill="1"/>
    <xf numFmtId="2" fontId="7" fillId="20" borderId="0" xfId="0" applyNumberFormat="1" applyFont="1" applyFill="1"/>
    <xf numFmtId="192" fontId="3" fillId="19" borderId="3" xfId="0" applyNumberFormat="1" applyFont="1" applyFill="1" applyBorder="1" applyAlignment="1">
      <alignment vertical="center"/>
    </xf>
    <xf numFmtId="189" fontId="3" fillId="19" borderId="4" xfId="0" applyNumberFormat="1" applyFont="1" applyFill="1" applyBorder="1" applyAlignment="1">
      <alignment horizontal="right" vertical="center"/>
    </xf>
    <xf numFmtId="0" fontId="36" fillId="0" borderId="0" xfId="15" applyFont="1">
      <alignment vertical="center"/>
    </xf>
    <xf numFmtId="0" fontId="37" fillId="0" borderId="0" xfId="15" applyFont="1" applyAlignment="1">
      <alignment horizontal="left" vertical="center"/>
    </xf>
    <xf numFmtId="0" fontId="38" fillId="0" borderId="0" xfId="15" applyFont="1">
      <alignment vertical="center"/>
    </xf>
    <xf numFmtId="0" fontId="36" fillId="0" borderId="47" xfId="15" applyFont="1" applyBorder="1">
      <alignment vertical="center"/>
    </xf>
    <xf numFmtId="0" fontId="36" fillId="0" borderId="41" xfId="15" applyFont="1" applyBorder="1">
      <alignment vertical="center"/>
    </xf>
    <xf numFmtId="0" fontId="36" fillId="0" borderId="8" xfId="15" applyFont="1" applyBorder="1">
      <alignment vertical="center"/>
    </xf>
    <xf numFmtId="0" fontId="36" fillId="0" borderId="42" xfId="15" applyFont="1" applyBorder="1">
      <alignment vertical="center"/>
    </xf>
    <xf numFmtId="0" fontId="36" fillId="0" borderId="39" xfId="15" applyFont="1" applyBorder="1">
      <alignment vertical="center"/>
    </xf>
    <xf numFmtId="0" fontId="36" fillId="0" borderId="8" xfId="15" applyFont="1" applyBorder="1" applyAlignment="1">
      <alignment horizontal="center" vertical="center"/>
    </xf>
    <xf numFmtId="0" fontId="36" fillId="0" borderId="48" xfId="15" applyFont="1" applyBorder="1">
      <alignment vertical="center"/>
    </xf>
    <xf numFmtId="0" fontId="36" fillId="0" borderId="48" xfId="15" applyFont="1" applyBorder="1" applyAlignment="1">
      <alignment horizontal="right" vertical="center"/>
    </xf>
    <xf numFmtId="216" fontId="36" fillId="2" borderId="49" xfId="15" applyNumberFormat="1" applyFont="1" applyFill="1" applyBorder="1" applyAlignment="1">
      <alignment horizontal="center" vertical="center"/>
    </xf>
    <xf numFmtId="0" fontId="39" fillId="0" borderId="41" xfId="15" applyFont="1" applyBorder="1" applyAlignment="1">
      <alignment horizontal="center" vertical="center"/>
    </xf>
    <xf numFmtId="0" fontId="36" fillId="0" borderId="42" xfId="15" applyFont="1" applyBorder="1" applyAlignment="1">
      <alignment horizontal="center" vertical="center"/>
    </xf>
    <xf numFmtId="204" fontId="36" fillId="0" borderId="44" xfId="15" applyNumberFormat="1" applyFont="1" applyBorder="1" applyAlignment="1">
      <alignment horizontal="center" vertical="center"/>
    </xf>
    <xf numFmtId="0" fontId="36" fillId="0" borderId="44" xfId="15" applyFont="1" applyBorder="1" applyAlignment="1">
      <alignment horizontal="center" vertical="center"/>
    </xf>
    <xf numFmtId="0" fontId="40" fillId="0" borderId="50" xfId="15" applyFont="1" applyBorder="1" applyAlignment="1">
      <alignment horizontal="right" vertical="center"/>
    </xf>
    <xf numFmtId="0" fontId="36" fillId="0" borderId="51" xfId="15" applyFont="1" applyBorder="1">
      <alignment vertical="center"/>
    </xf>
    <xf numFmtId="0" fontId="36" fillId="0" borderId="52" xfId="15" applyFont="1" applyBorder="1">
      <alignment vertical="center"/>
    </xf>
    <xf numFmtId="0" fontId="36" fillId="0" borderId="53" xfId="15" applyFont="1" applyBorder="1">
      <alignment vertical="center"/>
    </xf>
    <xf numFmtId="0" fontId="36" fillId="0" borderId="54" xfId="15" applyFont="1" applyBorder="1">
      <alignment vertical="center"/>
    </xf>
    <xf numFmtId="0" fontId="36" fillId="0" borderId="55" xfId="15" applyFont="1" applyBorder="1">
      <alignment vertical="center"/>
    </xf>
    <xf numFmtId="0" fontId="39" fillId="0" borderId="53" xfId="15" applyFont="1" applyBorder="1" applyAlignment="1">
      <alignment horizontal="center" vertical="center"/>
    </xf>
    <xf numFmtId="0" fontId="36" fillId="0" borderId="54" xfId="15" applyFont="1" applyBorder="1" applyAlignment="1">
      <alignment horizontal="center" vertical="center"/>
    </xf>
    <xf numFmtId="0" fontId="36" fillId="0" borderId="55" xfId="15" applyFont="1" applyBorder="1" applyAlignment="1">
      <alignment horizontal="center" vertical="center"/>
    </xf>
    <xf numFmtId="0" fontId="36" fillId="0" borderId="56" xfId="15" applyFont="1" applyBorder="1" applyAlignment="1">
      <alignment horizontal="center" vertical="center"/>
    </xf>
    <xf numFmtId="0" fontId="36" fillId="0" borderId="57" xfId="15" applyFont="1" applyBorder="1" applyAlignment="1">
      <alignment horizontal="center" vertical="center"/>
    </xf>
    <xf numFmtId="0" fontId="36" fillId="0" borderId="58" xfId="15" applyFont="1" applyBorder="1" applyAlignment="1">
      <alignment horizontal="center" vertical="center"/>
    </xf>
    <xf numFmtId="0" fontId="36" fillId="0" borderId="49" xfId="15" applyFont="1" applyBorder="1">
      <alignment vertical="center"/>
    </xf>
    <xf numFmtId="0" fontId="36" fillId="0" borderId="43" xfId="15" applyFont="1" applyBorder="1" applyAlignment="1">
      <alignment horizontal="center" vertical="center"/>
    </xf>
    <xf numFmtId="0" fontId="36" fillId="0" borderId="45" xfId="15" applyFont="1" applyBorder="1" applyAlignment="1">
      <alignment horizontal="center" vertical="center"/>
    </xf>
    <xf numFmtId="0" fontId="36" fillId="0" borderId="0" xfId="15" applyFont="1" applyAlignment="1">
      <alignment horizontal="right" vertical="center"/>
    </xf>
    <xf numFmtId="209" fontId="36" fillId="0" borderId="0" xfId="15" applyNumberFormat="1" applyFont="1">
      <alignment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vertical="center"/>
    </xf>
    <xf numFmtId="1" fontId="41" fillId="0" borderId="0" xfId="0" applyNumberFormat="1" applyFont="1" applyAlignment="1">
      <alignment vertical="center"/>
    </xf>
    <xf numFmtId="0" fontId="41" fillId="0" borderId="0" xfId="0" applyFont="1" applyAlignment="1">
      <alignment horizontal="right" vertical="center" wrapText="1"/>
    </xf>
    <xf numFmtId="2" fontId="41" fillId="0" borderId="0" xfId="0" applyNumberFormat="1" applyFont="1" applyAlignment="1">
      <alignment vertical="center"/>
    </xf>
    <xf numFmtId="0" fontId="41" fillId="0" borderId="0" xfId="0" quotePrefix="1" applyFont="1" applyAlignment="1">
      <alignment horizontal="right" vertical="center" wrapText="1"/>
    </xf>
    <xf numFmtId="0" fontId="36" fillId="19" borderId="0" xfId="15" applyFont="1" applyFill="1">
      <alignment vertical="center"/>
    </xf>
    <xf numFmtId="183" fontId="43" fillId="22" borderId="0" xfId="16" applyNumberFormat="1">
      <alignment vertical="center"/>
    </xf>
    <xf numFmtId="188" fontId="43" fillId="22" borderId="0" xfId="16" applyNumberFormat="1" applyAlignment="1">
      <alignment vertical="center" shrinkToFit="1"/>
    </xf>
    <xf numFmtId="2" fontId="43" fillId="22" borderId="0" xfId="16" applyNumberFormat="1">
      <alignment vertical="center"/>
    </xf>
    <xf numFmtId="0" fontId="38" fillId="0" borderId="57" xfId="15" applyFont="1" applyBorder="1" applyAlignment="1">
      <alignment horizontal="center" vertical="center"/>
    </xf>
    <xf numFmtId="178" fontId="8" fillId="0" borderId="0" xfId="0" applyNumberFormat="1" applyFont="1"/>
    <xf numFmtId="205" fontId="0" fillId="0" borderId="0" xfId="0" applyNumberFormat="1"/>
    <xf numFmtId="0" fontId="45" fillId="0" borderId="0" xfId="0" applyFont="1" applyAlignment="1">
      <alignment horizontal="center" vertical="center" readingOrder="1"/>
    </xf>
    <xf numFmtId="192" fontId="38" fillId="0" borderId="0" xfId="15" applyNumberFormat="1" applyFont="1">
      <alignment vertical="center"/>
    </xf>
    <xf numFmtId="0" fontId="44" fillId="23" borderId="0" xfId="0" applyFont="1" applyFill="1" applyAlignment="1">
      <alignment horizontal="right"/>
    </xf>
    <xf numFmtId="177" fontId="38" fillId="0" borderId="0" xfId="15" applyNumberFormat="1" applyFont="1">
      <alignment vertical="center"/>
    </xf>
    <xf numFmtId="1" fontId="8" fillId="0" borderId="0" xfId="0" applyNumberFormat="1" applyFont="1" applyAlignment="1">
      <alignment horizontal="right" vertical="center"/>
    </xf>
    <xf numFmtId="0" fontId="46" fillId="3" borderId="3" xfId="0" applyFont="1" applyFill="1" applyBorder="1" applyAlignment="1">
      <alignment horizontal="center" vertical="center"/>
    </xf>
    <xf numFmtId="0" fontId="36" fillId="0" borderId="0" xfId="15" applyFont="1" applyFill="1">
      <alignment vertical="center"/>
    </xf>
    <xf numFmtId="217" fontId="36" fillId="0" borderId="0" xfId="15" applyNumberFormat="1" applyFont="1" applyFill="1">
      <alignment vertical="center"/>
    </xf>
    <xf numFmtId="218" fontId="36" fillId="0" borderId="0" xfId="15" applyNumberFormat="1" applyFont="1" applyFill="1">
      <alignment vertical="center"/>
    </xf>
    <xf numFmtId="0" fontId="36" fillId="0" borderId="0" xfId="15" applyFont="1" applyFill="1" applyBorder="1">
      <alignment vertical="center"/>
    </xf>
    <xf numFmtId="217" fontId="36" fillId="0" borderId="0" xfId="15" applyNumberFormat="1" applyFont="1" applyFill="1" applyBorder="1">
      <alignment vertical="center"/>
    </xf>
    <xf numFmtId="195" fontId="36" fillId="0" borderId="0" xfId="15" applyNumberFormat="1" applyFont="1" applyFill="1" applyBorder="1">
      <alignment vertical="center"/>
    </xf>
    <xf numFmtId="0" fontId="3" fillId="24" borderId="0" xfId="0" applyFont="1" applyFill="1" applyAlignment="1">
      <alignment vertical="center"/>
    </xf>
    <xf numFmtId="0" fontId="48" fillId="3" borderId="3" xfId="0" applyFont="1" applyFill="1" applyBorder="1" applyAlignment="1">
      <alignment horizontal="center"/>
    </xf>
    <xf numFmtId="0" fontId="36" fillId="2" borderId="3" xfId="0" applyFont="1" applyFill="1" applyBorder="1"/>
    <xf numFmtId="193" fontId="36" fillId="2" borderId="3" xfId="0" applyNumberFormat="1" applyFont="1" applyFill="1" applyBorder="1"/>
    <xf numFmtId="184" fontId="47" fillId="2" borderId="3" xfId="0" applyNumberFormat="1" applyFont="1" applyFill="1" applyBorder="1" applyAlignment="1">
      <alignment horizontal="centerContinuous"/>
    </xf>
    <xf numFmtId="0" fontId="36" fillId="4" borderId="3" xfId="0" applyFont="1" applyFill="1" applyBorder="1"/>
    <xf numFmtId="0" fontId="36" fillId="0" borderId="0" xfId="0" applyFont="1"/>
    <xf numFmtId="1" fontId="36" fillId="4" borderId="3" xfId="0" applyNumberFormat="1" applyFont="1" applyFill="1" applyBorder="1"/>
    <xf numFmtId="184" fontId="49" fillId="3" borderId="3" xfId="0" applyNumberFormat="1" applyFont="1" applyFill="1" applyBorder="1" applyAlignment="1">
      <alignment horizontal="center"/>
    </xf>
    <xf numFmtId="2" fontId="36" fillId="4" borderId="3" xfId="0" applyNumberFormat="1" applyFont="1" applyFill="1" applyBorder="1"/>
    <xf numFmtId="0" fontId="51" fillId="4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6" fillId="0" borderId="3" xfId="0" applyFont="1" applyBorder="1"/>
    <xf numFmtId="0" fontId="52" fillId="3" borderId="3" xfId="0" applyFont="1" applyFill="1" applyBorder="1"/>
    <xf numFmtId="188" fontId="36" fillId="0" borderId="0" xfId="0" applyNumberFormat="1" applyFont="1"/>
    <xf numFmtId="0" fontId="3" fillId="19" borderId="0" xfId="0" applyFont="1" applyFill="1" applyAlignment="1">
      <alignment vertical="center"/>
    </xf>
    <xf numFmtId="1" fontId="3" fillId="19" borderId="0" xfId="0" applyNumberFormat="1" applyFont="1" applyFill="1" applyAlignment="1">
      <alignment vertical="center"/>
    </xf>
    <xf numFmtId="183" fontId="3" fillId="19" borderId="0" xfId="0" applyNumberFormat="1" applyFont="1" applyFill="1" applyAlignment="1">
      <alignment vertical="center"/>
    </xf>
    <xf numFmtId="188" fontId="3" fillId="19" borderId="0" xfId="0" applyNumberFormat="1" applyFont="1" applyFill="1" applyAlignment="1">
      <alignment vertical="center" shrinkToFit="1"/>
    </xf>
    <xf numFmtId="0" fontId="53" fillId="0" borderId="0" xfId="0" applyFont="1" applyAlignment="1">
      <alignment vertical="center"/>
    </xf>
    <xf numFmtId="0" fontId="53" fillId="19" borderId="0" xfId="0" applyFont="1" applyFill="1" applyAlignment="1">
      <alignment vertical="center"/>
    </xf>
    <xf numFmtId="0" fontId="5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8" fillId="0" borderId="0" xfId="0" applyNumberFormat="1" applyFont="1"/>
    <xf numFmtId="178" fontId="3" fillId="17" borderId="0" xfId="0" applyNumberFormat="1" applyFont="1" applyFill="1" applyAlignment="1">
      <alignment vertical="center"/>
    </xf>
    <xf numFmtId="178" fontId="3" fillId="2" borderId="0" xfId="0" applyNumberFormat="1" applyFont="1" applyFill="1" applyAlignment="1">
      <alignment vertical="center"/>
    </xf>
    <xf numFmtId="0" fontId="57" fillId="26" borderId="3" xfId="0" applyFont="1" applyFill="1" applyBorder="1"/>
    <xf numFmtId="0" fontId="3" fillId="0" borderId="0" xfId="0" applyFont="1" applyBorder="1" applyAlignment="1">
      <alignment horizontal="center" vertical="center"/>
    </xf>
    <xf numFmtId="0" fontId="58" fillId="26" borderId="0" xfId="0" applyFont="1" applyFill="1" applyBorder="1" applyAlignment="1">
      <alignment horizontal="center" vertical="center"/>
    </xf>
    <xf numFmtId="195" fontId="58" fillId="26" borderId="0" xfId="0" applyNumberFormat="1" applyFont="1" applyFill="1" applyBorder="1" applyAlignment="1">
      <alignment horizontal="right" vertical="center"/>
    </xf>
    <xf numFmtId="195" fontId="58" fillId="26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0" fontId="7" fillId="19" borderId="59" xfId="0" applyFont="1" applyFill="1" applyBorder="1"/>
    <xf numFmtId="2" fontId="7" fillId="21" borderId="3" xfId="0" applyNumberFormat="1" applyFont="1" applyFill="1" applyBorder="1"/>
    <xf numFmtId="1" fontId="7" fillId="21" borderId="4" xfId="0" applyNumberFormat="1" applyFont="1" applyFill="1" applyBorder="1"/>
    <xf numFmtId="1" fontId="15" fillId="21" borderId="4" xfId="0" applyNumberFormat="1" applyFont="1" applyFill="1" applyBorder="1"/>
    <xf numFmtId="0" fontId="39" fillId="3" borderId="3" xfId="0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2" fontId="3" fillId="4" borderId="0" xfId="0" applyNumberFormat="1" applyFont="1" applyFill="1" applyBorder="1" applyAlignment="1">
      <alignment vertical="center"/>
    </xf>
    <xf numFmtId="219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181" fontId="58" fillId="26" borderId="0" xfId="0" applyNumberFormat="1" applyFont="1" applyFill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6" fillId="23" borderId="63" xfId="0" applyFont="1" applyFill="1" applyBorder="1" applyAlignment="1">
      <alignment horizontal="center" vertical="center"/>
    </xf>
    <xf numFmtId="222" fontId="36" fillId="23" borderId="64" xfId="0" applyNumberFormat="1" applyFont="1" applyFill="1" applyBorder="1" applyAlignment="1">
      <alignment horizontal="center" vertical="center"/>
    </xf>
    <xf numFmtId="222" fontId="36" fillId="23" borderId="0" xfId="0" applyNumberFormat="1" applyFont="1" applyFill="1" applyAlignment="1">
      <alignment horizontal="center" vertical="center"/>
    </xf>
    <xf numFmtId="223" fontId="36" fillId="23" borderId="64" xfId="0" applyNumberFormat="1" applyFont="1" applyFill="1" applyBorder="1" applyAlignment="1">
      <alignment horizontal="center" vertical="center"/>
    </xf>
    <xf numFmtId="0" fontId="36" fillId="23" borderId="0" xfId="0" applyFont="1" applyFill="1" applyAlignment="1">
      <alignment horizontal="center" vertical="center"/>
    </xf>
    <xf numFmtId="223" fontId="36" fillId="23" borderId="0" xfId="0" applyNumberFormat="1" applyFont="1" applyFill="1" applyAlignment="1">
      <alignment horizontal="center" vertical="center"/>
    </xf>
    <xf numFmtId="40" fontId="36" fillId="23" borderId="0" xfId="0" applyNumberFormat="1" applyFont="1" applyFill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27" borderId="71" xfId="0" applyFont="1" applyFill="1" applyBorder="1" applyAlignment="1">
      <alignment horizontal="center" vertical="center"/>
    </xf>
    <xf numFmtId="0" fontId="36" fillId="27" borderId="59" xfId="0" applyFont="1" applyFill="1" applyBorder="1" applyAlignment="1">
      <alignment horizontal="center" vertical="center"/>
    </xf>
    <xf numFmtId="224" fontId="36" fillId="0" borderId="72" xfId="0" applyNumberFormat="1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36" fillId="0" borderId="60" xfId="0" applyFont="1" applyBorder="1" applyAlignment="1">
      <alignment horizontal="center" vertical="center"/>
    </xf>
    <xf numFmtId="38" fontId="36" fillId="0" borderId="61" xfId="0" applyNumberFormat="1" applyFont="1" applyBorder="1" applyAlignment="1">
      <alignment horizontal="center" vertical="center"/>
    </xf>
    <xf numFmtId="221" fontId="36" fillId="0" borderId="62" xfId="0" applyNumberFormat="1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59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224" fontId="36" fillId="0" borderId="69" xfId="0" applyNumberFormat="1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38" fontId="36" fillId="0" borderId="59" xfId="0" applyNumberFormat="1" applyFont="1" applyBorder="1" applyAlignment="1">
      <alignment horizontal="center" vertical="center"/>
    </xf>
    <xf numFmtId="221" fontId="36" fillId="0" borderId="70" xfId="0" applyNumberFormat="1" applyFont="1" applyBorder="1" applyAlignment="1">
      <alignment horizontal="center" vertical="center"/>
    </xf>
    <xf numFmtId="177" fontId="36" fillId="0" borderId="71" xfId="0" applyNumberFormat="1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74" xfId="0" applyFont="1" applyBorder="1" applyAlignment="1">
      <alignment horizontal="center" vertical="center"/>
    </xf>
    <xf numFmtId="0" fontId="36" fillId="27" borderId="75" xfId="0" applyFont="1" applyFill="1" applyBorder="1" applyAlignment="1">
      <alignment horizontal="center" vertical="center"/>
    </xf>
    <xf numFmtId="0" fontId="36" fillId="27" borderId="76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2" fontId="36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/>
    </xf>
    <xf numFmtId="204" fontId="36" fillId="0" borderId="0" xfId="0" applyNumberFormat="1" applyFont="1" applyAlignment="1">
      <alignment horizontal="left"/>
    </xf>
    <xf numFmtId="195" fontId="36" fillId="0" borderId="0" xfId="0" applyNumberFormat="1" applyFont="1" applyAlignment="1">
      <alignment horizontal="left"/>
    </xf>
    <xf numFmtId="0" fontId="38" fillId="0" borderId="44" xfId="15" applyFont="1" applyBorder="1" applyAlignment="1">
      <alignment horizontal="center" vertical="center"/>
    </xf>
    <xf numFmtId="0" fontId="38" fillId="17" borderId="44" xfId="15" applyFont="1" applyFill="1" applyBorder="1" applyAlignment="1">
      <alignment horizontal="center" vertical="center"/>
    </xf>
    <xf numFmtId="0" fontId="36" fillId="0" borderId="0" xfId="15" applyFont="1" applyAlignment="1">
      <alignment horizontal="center" vertical="center"/>
    </xf>
    <xf numFmtId="0" fontId="36" fillId="0" borderId="25" xfId="15" applyFont="1" applyBorder="1" applyAlignment="1">
      <alignment horizontal="center" vertical="center"/>
    </xf>
    <xf numFmtId="0" fontId="36" fillId="0" borderId="51" xfId="15" applyFont="1" applyBorder="1" applyAlignment="1">
      <alignment horizontal="center" vertical="center"/>
    </xf>
    <xf numFmtId="0" fontId="36" fillId="0" borderId="48" xfId="15" applyFont="1" applyBorder="1" applyAlignment="1">
      <alignment horizontal="center" vertical="center"/>
    </xf>
    <xf numFmtId="194" fontId="38" fillId="4" borderId="48" xfId="15" applyNumberFormat="1" applyFont="1" applyFill="1" applyBorder="1">
      <alignment vertical="center"/>
    </xf>
    <xf numFmtId="0" fontId="3" fillId="4" borderId="0" xfId="0" applyFont="1" applyFill="1" applyAlignment="1">
      <alignment horizontal="right" vertical="center" wrapText="1"/>
    </xf>
    <xf numFmtId="0" fontId="36" fillId="0" borderId="46" xfId="15" applyFont="1" applyBorder="1" applyAlignment="1">
      <alignment horizontal="right" vertical="center"/>
    </xf>
    <xf numFmtId="0" fontId="36" fillId="0" borderId="47" xfId="15" applyFont="1" applyBorder="1" applyAlignment="1">
      <alignment horizontal="center" vertical="center"/>
    </xf>
    <xf numFmtId="0" fontId="36" fillId="0" borderId="47" xfId="15" applyFont="1" applyBorder="1" applyAlignment="1">
      <alignment horizontal="right" vertical="center"/>
    </xf>
    <xf numFmtId="204" fontId="36" fillId="0" borderId="0" xfId="15" applyNumberFormat="1" applyFont="1">
      <alignment vertical="center"/>
    </xf>
    <xf numFmtId="0" fontId="64" fillId="0" borderId="56" xfId="15" applyFont="1" applyBorder="1" applyAlignment="1">
      <alignment horizontal="right" vertical="center"/>
    </xf>
    <xf numFmtId="0" fontId="36" fillId="0" borderId="78" xfId="15" applyFont="1" applyBorder="1" applyAlignment="1">
      <alignment horizontal="center" vertical="center"/>
    </xf>
    <xf numFmtId="0" fontId="39" fillId="0" borderId="57" xfId="15" applyFont="1" applyBorder="1" applyAlignment="1">
      <alignment horizontal="right" vertical="center"/>
    </xf>
    <xf numFmtId="0" fontId="36" fillId="0" borderId="77" xfId="15" applyFont="1" applyBorder="1">
      <alignment vertical="center"/>
    </xf>
    <xf numFmtId="0" fontId="36" fillId="0" borderId="78" xfId="15" applyFont="1" applyBorder="1" applyAlignment="1">
      <alignment horizontal="right" vertical="center"/>
    </xf>
    <xf numFmtId="0" fontId="39" fillId="0" borderId="79" xfId="15" applyFont="1" applyBorder="1" applyAlignment="1">
      <alignment horizontal="right" vertical="center"/>
    </xf>
    <xf numFmtId="0" fontId="36" fillId="0" borderId="80" xfId="15" applyFont="1" applyBorder="1">
      <alignment vertical="center"/>
    </xf>
    <xf numFmtId="0" fontId="36" fillId="0" borderId="81" xfId="15" applyFont="1" applyBorder="1">
      <alignment vertical="center"/>
    </xf>
    <xf numFmtId="0" fontId="39" fillId="0" borderId="82" xfId="15" applyFont="1" applyBorder="1">
      <alignment vertical="center"/>
    </xf>
    <xf numFmtId="0" fontId="36" fillId="0" borderId="78" xfId="15" applyFont="1" applyBorder="1">
      <alignment vertical="center"/>
    </xf>
    <xf numFmtId="0" fontId="36" fillId="0" borderId="19" xfId="15" applyFont="1" applyBorder="1">
      <alignment vertical="center"/>
    </xf>
    <xf numFmtId="0" fontId="36" fillId="0" borderId="25" xfId="15" applyFont="1" applyBorder="1">
      <alignment vertical="center"/>
    </xf>
    <xf numFmtId="0" fontId="38" fillId="29" borderId="83" xfId="15" applyFont="1" applyFill="1" applyBorder="1" applyAlignment="1">
      <alignment horizontal="center" vertical="center"/>
    </xf>
    <xf numFmtId="0" fontId="38" fillId="29" borderId="84" xfId="15" applyFont="1" applyFill="1" applyBorder="1" applyAlignment="1">
      <alignment horizontal="center" vertical="center"/>
    </xf>
    <xf numFmtId="0" fontId="38" fillId="29" borderId="85" xfId="15" applyFont="1" applyFill="1" applyBorder="1" applyAlignment="1">
      <alignment horizontal="center" vertical="center"/>
    </xf>
    <xf numFmtId="0" fontId="36" fillId="0" borderId="86" xfId="15" applyFont="1" applyBorder="1" applyAlignment="1">
      <alignment horizontal="center" vertical="center"/>
    </xf>
    <xf numFmtId="0" fontId="38" fillId="28" borderId="87" xfId="15" applyFont="1" applyFill="1" applyBorder="1" applyAlignment="1">
      <alignment horizontal="center" vertical="center"/>
    </xf>
    <xf numFmtId="0" fontId="38" fillId="28" borderId="88" xfId="15" applyFont="1" applyFill="1" applyBorder="1" applyAlignment="1">
      <alignment horizontal="center" vertical="center"/>
    </xf>
    <xf numFmtId="0" fontId="36" fillId="0" borderId="89" xfId="15" applyFont="1" applyBorder="1">
      <alignment vertical="center"/>
    </xf>
    <xf numFmtId="0" fontId="36" fillId="0" borderId="90" xfId="15" applyFont="1" applyBorder="1">
      <alignment vertical="center"/>
    </xf>
    <xf numFmtId="215" fontId="38" fillId="21" borderId="84" xfId="15" applyNumberFormat="1" applyFont="1" applyFill="1" applyBorder="1">
      <alignment vertical="center"/>
    </xf>
    <xf numFmtId="0" fontId="36" fillId="0" borderId="3" xfId="15" applyFont="1" applyBorder="1" applyAlignment="1">
      <alignment horizontal="center" vertical="center"/>
    </xf>
    <xf numFmtId="195" fontId="38" fillId="2" borderId="20" xfId="15" applyNumberFormat="1" applyFont="1" applyFill="1" applyBorder="1" applyAlignment="1">
      <alignment horizontal="center" vertical="center"/>
    </xf>
    <xf numFmtId="1" fontId="36" fillId="2" borderId="3" xfId="15" applyNumberFormat="1" applyFont="1" applyFill="1" applyBorder="1" applyAlignment="1">
      <alignment horizontal="center" vertical="center"/>
    </xf>
    <xf numFmtId="0" fontId="38" fillId="18" borderId="3" xfId="15" applyFont="1" applyFill="1" applyBorder="1" applyAlignment="1">
      <alignment horizontal="center" vertical="center"/>
    </xf>
    <xf numFmtId="225" fontId="41" fillId="0" borderId="0" xfId="0" applyNumberFormat="1" applyFont="1" applyAlignment="1">
      <alignment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65" fillId="30" borderId="69" xfId="17" applyBorder="1" applyAlignment="1">
      <alignment horizontal="center" vertical="center"/>
    </xf>
    <xf numFmtId="0" fontId="65" fillId="30" borderId="59" xfId="17" applyBorder="1" applyAlignment="1">
      <alignment horizontal="center" vertical="center"/>
    </xf>
    <xf numFmtId="0" fontId="65" fillId="30" borderId="70" xfId="17" applyBorder="1" applyAlignment="1">
      <alignment horizontal="center" vertical="center"/>
    </xf>
    <xf numFmtId="0" fontId="65" fillId="30" borderId="73" xfId="17" applyBorder="1" applyAlignment="1">
      <alignment horizontal="center" vertical="center"/>
    </xf>
    <xf numFmtId="0" fontId="65" fillId="30" borderId="76" xfId="17" applyBorder="1" applyAlignment="1">
      <alignment horizontal="center" vertical="center"/>
    </xf>
    <xf numFmtId="0" fontId="65" fillId="30" borderId="74" xfId="17" applyBorder="1" applyAlignment="1">
      <alignment horizontal="center" vertical="center"/>
    </xf>
    <xf numFmtId="0" fontId="38" fillId="0" borderId="79" xfId="15" applyFont="1" applyBorder="1" applyAlignment="1">
      <alignment horizontal="center" vertical="center"/>
    </xf>
    <xf numFmtId="0" fontId="36" fillId="0" borderId="92" xfId="15" applyFont="1" applyBorder="1" applyAlignment="1">
      <alignment horizontal="center" vertical="center"/>
    </xf>
    <xf numFmtId="0" fontId="36" fillId="31" borderId="20" xfId="15" applyFont="1" applyFill="1" applyBorder="1" applyAlignment="1">
      <alignment horizontal="right" vertical="center"/>
    </xf>
    <xf numFmtId="194" fontId="36" fillId="31" borderId="3" xfId="15" applyNumberFormat="1" applyFont="1" applyFill="1" applyBorder="1" applyAlignment="1">
      <alignment horizontal="center" vertical="center"/>
    </xf>
    <xf numFmtId="0" fontId="36" fillId="31" borderId="3" xfId="15" applyFont="1" applyFill="1" applyBorder="1" applyAlignment="1">
      <alignment horizontal="center" vertical="center"/>
    </xf>
    <xf numFmtId="0" fontId="38" fillId="32" borderId="0" xfId="0" applyFont="1" applyFill="1"/>
    <xf numFmtId="209" fontId="57" fillId="33" borderId="87" xfId="15" applyNumberFormat="1" applyFont="1" applyFill="1" applyBorder="1" applyAlignment="1">
      <alignment horizontal="center" vertical="center"/>
    </xf>
    <xf numFmtId="209" fontId="57" fillId="33" borderId="91" xfId="15" applyNumberFormat="1" applyFont="1" applyFill="1" applyBorder="1" applyAlignment="1">
      <alignment horizontal="center" vertical="center"/>
    </xf>
    <xf numFmtId="215" fontId="57" fillId="33" borderId="91" xfId="15" applyNumberFormat="1" applyFont="1" applyFill="1" applyBorder="1" applyAlignment="1">
      <alignment horizontal="center" vertical="center"/>
    </xf>
    <xf numFmtId="215" fontId="57" fillId="33" borderId="93" xfId="15" applyNumberFormat="1" applyFont="1" applyFill="1" applyBorder="1" applyAlignment="1">
      <alignment horizontal="center" vertical="center"/>
    </xf>
    <xf numFmtId="205" fontId="57" fillId="34" borderId="88" xfId="15" applyNumberFormat="1" applyFont="1" applyFill="1" applyBorder="1" applyAlignment="1">
      <alignment horizontal="center" vertical="center"/>
    </xf>
    <xf numFmtId="209" fontId="57" fillId="34" borderId="91" xfId="15" applyNumberFormat="1" applyFont="1" applyFill="1" applyBorder="1" applyAlignment="1">
      <alignment horizontal="center" vertical="center"/>
    </xf>
    <xf numFmtId="209" fontId="57" fillId="34" borderId="87" xfId="15" applyNumberFormat="1" applyFont="1" applyFill="1" applyBorder="1" applyAlignment="1">
      <alignment horizontal="center" vertical="center"/>
    </xf>
    <xf numFmtId="209" fontId="38" fillId="28" borderId="27" xfId="15" applyNumberFormat="1" applyFont="1" applyFill="1" applyBorder="1" applyAlignment="1">
      <alignment horizontal="center" vertical="center"/>
    </xf>
    <xf numFmtId="0" fontId="36" fillId="31" borderId="26" xfId="15" quotePrefix="1" applyFont="1" applyFill="1" applyBorder="1" applyAlignment="1">
      <alignment horizontal="center" vertical="center"/>
    </xf>
    <xf numFmtId="209" fontId="57" fillId="34" borderId="94" xfId="15" applyNumberFormat="1" applyFont="1" applyFill="1" applyBorder="1" applyAlignment="1">
      <alignment horizontal="center" vertical="center"/>
    </xf>
    <xf numFmtId="0" fontId="57" fillId="35" borderId="3" xfId="15" applyFont="1" applyFill="1" applyBorder="1" applyAlignment="1">
      <alignment horizontal="center" vertical="center"/>
    </xf>
    <xf numFmtId="0" fontId="38" fillId="2" borderId="3" xfId="0" applyFont="1" applyFill="1" applyBorder="1"/>
    <xf numFmtId="0" fontId="38" fillId="28" borderId="3" xfId="0" applyFont="1" applyFill="1" applyBorder="1"/>
    <xf numFmtId="2" fontId="38" fillId="2" borderId="3" xfId="0" applyNumberFormat="1" applyFont="1" applyFill="1" applyBorder="1"/>
    <xf numFmtId="220" fontId="66" fillId="2" borderId="3" xfId="0" applyNumberFormat="1" applyFont="1" applyFill="1" applyBorder="1" applyAlignment="1" applyProtection="1">
      <alignment horizontal="center" vertical="center"/>
    </xf>
    <xf numFmtId="195" fontId="38" fillId="2" borderId="25" xfId="15" applyNumberFormat="1" applyFont="1" applyFill="1" applyBorder="1" applyAlignment="1">
      <alignment horizontal="center" vertical="center"/>
    </xf>
    <xf numFmtId="201" fontId="38" fillId="2" borderId="25" xfId="15" applyNumberFormat="1" applyFont="1" applyFill="1" applyBorder="1" applyAlignment="1">
      <alignment horizontal="center" vertical="center"/>
    </xf>
    <xf numFmtId="0" fontId="38" fillId="2" borderId="40" xfId="15" applyFont="1" applyFill="1" applyBorder="1" applyAlignment="1">
      <alignment horizontal="center" vertical="center"/>
    </xf>
    <xf numFmtId="0" fontId="15" fillId="0" borderId="0" xfId="0" applyFont="1" applyAlignment="1">
      <alignment horizontal="right"/>
    </xf>
    <xf numFmtId="0" fontId="40" fillId="4" borderId="5" xfId="0" applyFont="1" applyFill="1" applyBorder="1" applyAlignment="1">
      <alignment horizontal="right"/>
    </xf>
    <xf numFmtId="0" fontId="8" fillId="0" borderId="38" xfId="0" applyFont="1" applyBorder="1" applyAlignment="1">
      <alignment horizontal="center"/>
    </xf>
    <xf numFmtId="0" fontId="39" fillId="3" borderId="27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39" fillId="3" borderId="26" xfId="0" applyFont="1" applyFill="1" applyBorder="1" applyAlignment="1">
      <alignment horizontal="center" vertical="center"/>
    </xf>
    <xf numFmtId="187" fontId="50" fillId="4" borderId="4" xfId="0" applyNumberFormat="1" applyFont="1" applyFill="1" applyBorder="1" applyAlignment="1">
      <alignment horizontal="right" vertical="center"/>
    </xf>
    <xf numFmtId="187" fontId="50" fillId="4" borderId="2" xfId="0" applyNumberFormat="1" applyFont="1" applyFill="1" applyBorder="1" applyAlignment="1">
      <alignment horizontal="right" vertical="center"/>
    </xf>
    <xf numFmtId="187" fontId="50" fillId="4" borderId="36" xfId="0" applyNumberFormat="1" applyFont="1" applyFill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187" fontId="47" fillId="2" borderId="3" xfId="0" applyNumberFormat="1" applyFont="1" applyFill="1" applyBorder="1" applyAlignment="1">
      <alignment horizontal="center" vertical="center"/>
    </xf>
    <xf numFmtId="184" fontId="56" fillId="25" borderId="3" xfId="0" applyNumberFormat="1" applyFont="1" applyFill="1" applyBorder="1" applyAlignment="1">
      <alignment horizontal="center"/>
    </xf>
    <xf numFmtId="0" fontId="36" fillId="2" borderId="4" xfId="0" applyFont="1" applyFill="1" applyBorder="1" applyAlignment="1">
      <alignment horizontal="left"/>
    </xf>
    <xf numFmtId="0" fontId="36" fillId="2" borderId="2" xfId="0" applyFont="1" applyFill="1" applyBorder="1" applyAlignment="1">
      <alignment horizontal="left"/>
    </xf>
    <xf numFmtId="0" fontId="36" fillId="2" borderId="36" xfId="0" applyFont="1" applyFill="1" applyBorder="1" applyAlignment="1">
      <alignment horizontal="left"/>
    </xf>
    <xf numFmtId="205" fontId="7" fillId="3" borderId="3" xfId="0" applyNumberFormat="1" applyFont="1" applyFill="1" applyBorder="1" applyAlignment="1">
      <alignment horizontal="center"/>
    </xf>
    <xf numFmtId="205" fontId="7" fillId="0" borderId="37" xfId="0" applyNumberFormat="1" applyFont="1" applyBorder="1" applyAlignment="1">
      <alignment horizontal="center" vertical="center"/>
    </xf>
    <xf numFmtId="205" fontId="7" fillId="0" borderId="5" xfId="0" applyNumberFormat="1" applyFont="1" applyBorder="1" applyAlignment="1">
      <alignment horizontal="center" vertical="center"/>
    </xf>
    <xf numFmtId="205" fontId="7" fillId="0" borderId="30" xfId="0" applyNumberFormat="1" applyFont="1" applyBorder="1" applyAlignment="1">
      <alignment horizontal="center" vertical="center"/>
    </xf>
    <xf numFmtId="205" fontId="7" fillId="0" borderId="14" xfId="0" applyNumberFormat="1" applyFont="1" applyBorder="1" applyAlignment="1">
      <alignment horizontal="center" vertical="center"/>
    </xf>
    <xf numFmtId="194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211" fontId="7" fillId="2" borderId="4" xfId="0" applyNumberFormat="1" applyFont="1" applyFill="1" applyBorder="1" applyAlignment="1">
      <alignment horizontal="center"/>
    </xf>
    <xf numFmtId="211" fontId="7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5" fillId="0" borderId="3" xfId="0" applyNumberFormat="1" applyFont="1" applyBorder="1" applyAlignment="1">
      <alignment horizontal="left"/>
    </xf>
    <xf numFmtId="191" fontId="23" fillId="0" borderId="3" xfId="0" applyNumberFormat="1" applyFont="1" applyBorder="1" applyAlignment="1">
      <alignment horizontal="center" vertical="center"/>
    </xf>
    <xf numFmtId="190" fontId="23" fillId="0" borderId="3" xfId="0" applyNumberFormat="1" applyFont="1" applyBorder="1" applyAlignment="1">
      <alignment horizontal="center" vertical="center"/>
    </xf>
    <xf numFmtId="180" fontId="23" fillId="0" borderId="3" xfId="0" applyNumberFormat="1" applyFont="1" applyBorder="1" applyAlignment="1">
      <alignment horizontal="center" vertical="center"/>
    </xf>
    <xf numFmtId="182" fontId="23" fillId="0" borderId="2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181" fontId="23" fillId="0" borderId="4" xfId="0" applyNumberFormat="1" applyFont="1" applyBorder="1" applyAlignment="1">
      <alignment horizontal="center" vertical="center"/>
    </xf>
    <xf numFmtId="181" fontId="23" fillId="0" borderId="2" xfId="0" applyNumberFormat="1" applyFont="1" applyBorder="1" applyAlignment="1">
      <alignment horizontal="center" vertical="center"/>
    </xf>
    <xf numFmtId="186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200" fontId="23" fillId="0" borderId="4" xfId="0" applyNumberFormat="1" applyFont="1" applyBorder="1" applyAlignment="1">
      <alignment horizontal="center" vertical="center"/>
    </xf>
    <xf numFmtId="200" fontId="23" fillId="0" borderId="2" xfId="0" applyNumberFormat="1" applyFont="1" applyBorder="1" applyAlignment="1">
      <alignment horizontal="center" vertical="center"/>
    </xf>
    <xf numFmtId="200" fontId="23" fillId="0" borderId="36" xfId="0" applyNumberFormat="1" applyFont="1" applyBorder="1" applyAlignment="1">
      <alignment horizontal="center" vertical="center"/>
    </xf>
    <xf numFmtId="179" fontId="23" fillId="0" borderId="3" xfId="0" applyNumberFormat="1" applyFont="1" applyBorder="1" applyAlignment="1">
      <alignment horizontal="center" vertical="center"/>
    </xf>
    <xf numFmtId="213" fontId="3" fillId="0" borderId="3" xfId="0" applyNumberFormat="1" applyFont="1" applyBorder="1" applyAlignment="1">
      <alignment horizontal="left" vertical="center"/>
    </xf>
    <xf numFmtId="213" fontId="3" fillId="0" borderId="4" xfId="0" applyNumberFormat="1" applyFont="1" applyBorder="1" applyAlignment="1">
      <alignment horizontal="left" vertical="center"/>
    </xf>
    <xf numFmtId="219" fontId="3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 wrapText="1"/>
    </xf>
    <xf numFmtId="0" fontId="16" fillId="4" borderId="0" xfId="0" applyFont="1" applyFill="1" applyAlignment="1">
      <alignment horizontal="right" vertical="center" wrapText="1"/>
    </xf>
    <xf numFmtId="0" fontId="65" fillId="30" borderId="65" xfId="17" applyBorder="1" applyAlignment="1">
      <alignment horizontal="center" vertical="center"/>
    </xf>
    <xf numFmtId="0" fontId="65" fillId="30" borderId="68" xfId="17" applyBorder="1" applyAlignment="1">
      <alignment horizontal="center" vertical="center"/>
    </xf>
    <xf numFmtId="0" fontId="65" fillId="30" borderId="66" xfId="17" applyBorder="1" applyAlignment="1">
      <alignment horizontal="center" vertical="center"/>
    </xf>
    <xf numFmtId="0" fontId="36" fillId="27" borderId="73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27" borderId="65" xfId="0" applyFont="1" applyFill="1" applyBorder="1" applyAlignment="1">
      <alignment horizontal="center" vertical="center"/>
    </xf>
    <xf numFmtId="0" fontId="36" fillId="27" borderId="66" xfId="0" applyFont="1" applyFill="1" applyBorder="1" applyAlignment="1">
      <alignment horizontal="center" vertical="center"/>
    </xf>
    <xf numFmtId="0" fontId="36" fillId="27" borderId="67" xfId="0" applyFont="1" applyFill="1" applyBorder="1" applyAlignment="1">
      <alignment horizontal="center" vertical="center"/>
    </xf>
    <xf numFmtId="0" fontId="36" fillId="27" borderId="68" xfId="0" applyFont="1" applyFill="1" applyBorder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19" fillId="0" borderId="0" xfId="14" applyFont="1" applyAlignment="1">
      <alignment horizontal="center" vertical="center"/>
    </xf>
    <xf numFmtId="0" fontId="67" fillId="0" borderId="0" xfId="0" applyFont="1" applyFill="1" applyAlignment="1">
      <alignment horizontal="centerContinuous" vertical="center"/>
    </xf>
    <xf numFmtId="0" fontId="68" fillId="0" borderId="0" xfId="0" applyFont="1" applyFill="1" applyAlignment="1">
      <alignment horizontal="centerContinuous" vertical="center"/>
    </xf>
    <xf numFmtId="0" fontId="47" fillId="0" borderId="3" xfId="0" applyFont="1" applyFill="1" applyBorder="1" applyAlignment="1">
      <alignment horizontal="centerContinuous" vertical="center"/>
    </xf>
    <xf numFmtId="0" fontId="47" fillId="0" borderId="4" xfId="0" applyFont="1" applyFill="1" applyBorder="1" applyAlignment="1">
      <alignment horizontal="left" vertical="center"/>
    </xf>
    <xf numFmtId="0" fontId="47" fillId="0" borderId="2" xfId="0" applyFont="1" applyFill="1" applyBorder="1" applyAlignment="1">
      <alignment vertical="center"/>
    </xf>
    <xf numFmtId="0" fontId="47" fillId="0" borderId="2" xfId="0" applyFont="1" applyFill="1" applyBorder="1" applyAlignment="1">
      <alignment horizontal="right" vertical="center"/>
    </xf>
    <xf numFmtId="0" fontId="47" fillId="0" borderId="2" xfId="0" applyFont="1" applyFill="1" applyBorder="1" applyAlignment="1">
      <alignment horizontal="centerContinuous" vertical="center"/>
    </xf>
    <xf numFmtId="0" fontId="47" fillId="0" borderId="4" xfId="0" applyFont="1" applyFill="1" applyBorder="1" applyAlignment="1">
      <alignment vertical="center"/>
    </xf>
    <xf numFmtId="0" fontId="47" fillId="0" borderId="0" xfId="0" applyFont="1" applyFill="1" applyAlignment="1">
      <alignment vertical="center"/>
    </xf>
    <xf numFmtId="0" fontId="69" fillId="0" borderId="2" xfId="0" applyFont="1" applyFill="1" applyBorder="1" applyAlignment="1">
      <alignment horizontal="center" vertical="center"/>
    </xf>
    <xf numFmtId="187" fontId="69" fillId="0" borderId="36" xfId="0" applyNumberFormat="1" applyFont="1" applyFill="1" applyBorder="1" applyAlignment="1">
      <alignment horizontal="centerContinuous" vertical="center"/>
    </xf>
    <xf numFmtId="213" fontId="47" fillId="0" borderId="3" xfId="0" applyNumberFormat="1" applyFont="1" applyFill="1" applyBorder="1" applyAlignment="1">
      <alignment horizontal="left" vertical="center"/>
    </xf>
    <xf numFmtId="213" fontId="47" fillId="0" borderId="4" xfId="0" applyNumberFormat="1" applyFont="1" applyFill="1" applyBorder="1" applyAlignment="1">
      <alignment horizontal="left" vertical="center"/>
    </xf>
    <xf numFmtId="185" fontId="47" fillId="0" borderId="3" xfId="0" applyNumberFormat="1" applyFont="1" applyFill="1" applyBorder="1" applyAlignment="1">
      <alignment horizontal="center" vertical="center"/>
    </xf>
    <xf numFmtId="179" fontId="47" fillId="0" borderId="4" xfId="0" applyNumberFormat="1" applyFont="1" applyFill="1" applyBorder="1" applyAlignment="1">
      <alignment horizontal="center" vertical="center"/>
    </xf>
    <xf numFmtId="0" fontId="47" fillId="0" borderId="36" xfId="0" applyFont="1" applyFill="1" applyBorder="1" applyAlignment="1">
      <alignment vertical="center"/>
    </xf>
    <xf numFmtId="0" fontId="47" fillId="0" borderId="3" xfId="0" applyFont="1" applyFill="1" applyBorder="1" applyAlignment="1">
      <alignment horizontal="center" vertical="center"/>
    </xf>
    <xf numFmtId="180" fontId="47" fillId="0" borderId="3" xfId="0" applyNumberFormat="1" applyFont="1" applyFill="1" applyBorder="1" applyAlignment="1">
      <alignment horizontal="right" vertical="center"/>
    </xf>
    <xf numFmtId="186" fontId="47" fillId="0" borderId="3" xfId="0" applyNumberFormat="1" applyFont="1" applyFill="1" applyBorder="1" applyAlignment="1">
      <alignment horizontal="center" vertical="center"/>
    </xf>
    <xf numFmtId="181" fontId="47" fillId="0" borderId="4" xfId="0" applyNumberFormat="1" applyFont="1" applyFill="1" applyBorder="1" applyAlignment="1">
      <alignment horizontal="center" vertical="center"/>
    </xf>
    <xf numFmtId="181" fontId="47" fillId="0" borderId="3" xfId="0" applyNumberFormat="1" applyFont="1" applyFill="1" applyBorder="1" applyAlignment="1">
      <alignment horizontal="right" vertical="center"/>
    </xf>
    <xf numFmtId="0" fontId="47" fillId="0" borderId="3" xfId="0" applyFont="1" applyFill="1" applyBorder="1" applyAlignment="1">
      <alignment horizontal="center" vertical="center" wrapText="1"/>
    </xf>
    <xf numFmtId="0" fontId="47" fillId="0" borderId="3" xfId="0" applyFont="1" applyFill="1" applyBorder="1" applyAlignment="1">
      <alignment horizontal="center" vertical="center" wrapText="1"/>
    </xf>
    <xf numFmtId="0" fontId="47" fillId="0" borderId="3" xfId="0" applyFont="1" applyFill="1" applyBorder="1" applyAlignment="1">
      <alignment vertical="center"/>
    </xf>
    <xf numFmtId="1" fontId="47" fillId="0" borderId="3" xfId="0" applyNumberFormat="1" applyFont="1" applyFill="1" applyBorder="1" applyAlignment="1">
      <alignment vertical="center"/>
    </xf>
    <xf numFmtId="186" fontId="47" fillId="0" borderId="3" xfId="0" applyNumberFormat="1" applyFont="1" applyFill="1" applyBorder="1" applyAlignment="1">
      <alignment vertical="center"/>
    </xf>
    <xf numFmtId="189" fontId="47" fillId="0" borderId="4" xfId="0" applyNumberFormat="1" applyFont="1" applyFill="1" applyBorder="1" applyAlignment="1">
      <alignment horizontal="right" vertical="center"/>
    </xf>
    <xf numFmtId="192" fontId="47" fillId="0" borderId="3" xfId="0" applyNumberFormat="1" applyFont="1" applyFill="1" applyBorder="1" applyAlignment="1">
      <alignment vertical="center"/>
    </xf>
    <xf numFmtId="0" fontId="68" fillId="0" borderId="0" xfId="0" applyNumberFormat="1" applyFont="1" applyFill="1" applyAlignment="1">
      <alignment horizontal="centerContinuous" vertical="center"/>
    </xf>
    <xf numFmtId="0" fontId="47" fillId="0" borderId="2" xfId="0" applyNumberFormat="1" applyFont="1" applyFill="1" applyBorder="1" applyAlignment="1">
      <alignment vertical="center"/>
    </xf>
    <xf numFmtId="0" fontId="47" fillId="0" borderId="36" xfId="0" applyNumberFormat="1" applyFont="1" applyFill="1" applyBorder="1" applyAlignment="1">
      <alignment horizontal="center" vertical="center"/>
    </xf>
    <xf numFmtId="0" fontId="47" fillId="0" borderId="2" xfId="0" applyNumberFormat="1" applyFont="1" applyFill="1" applyBorder="1" applyAlignment="1">
      <alignment horizontal="centerContinuous" vertical="center"/>
    </xf>
    <xf numFmtId="0" fontId="47" fillId="0" borderId="36" xfId="0" applyNumberFormat="1" applyFont="1" applyFill="1" applyBorder="1" applyAlignment="1">
      <alignment horizontal="centerContinuous" vertical="center"/>
    </xf>
    <xf numFmtId="0" fontId="69" fillId="0" borderId="3" xfId="0" applyNumberFormat="1" applyFont="1" applyFill="1" applyBorder="1" applyAlignment="1">
      <alignment horizontal="centerContinuous" vertical="center"/>
    </xf>
    <xf numFmtId="0" fontId="47" fillId="0" borderId="3" xfId="0" applyNumberFormat="1" applyFont="1" applyFill="1" applyBorder="1" applyAlignment="1">
      <alignment horizontal="centerContinuous" vertical="center"/>
    </xf>
    <xf numFmtId="0" fontId="47" fillId="0" borderId="3" xfId="0" applyNumberFormat="1" applyFont="1" applyFill="1" applyBorder="1" applyAlignment="1">
      <alignment horizontal="center" vertical="center"/>
    </xf>
    <xf numFmtId="0" fontId="47" fillId="0" borderId="3" xfId="0" applyNumberFormat="1" applyFont="1" applyFill="1" applyBorder="1" applyAlignment="1">
      <alignment vertical="center"/>
    </xf>
    <xf numFmtId="0" fontId="47" fillId="0" borderId="3" xfId="0" applyNumberFormat="1" applyFont="1" applyFill="1" applyBorder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/>
    <xf numFmtId="0" fontId="3" fillId="0" borderId="0" xfId="0" applyNumberFormat="1" applyFont="1" applyAlignment="1">
      <alignment horizont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7A983E"/>
      <color rgb="FF647D33"/>
      <color rgb="FF467A75"/>
      <color rgb="FF579791"/>
      <color rgb="FF77B1AB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1.92</c:v>
                </c:pt>
                <c:pt idx="1">
                  <c:v>3.72</c:v>
                </c:pt>
                <c:pt idx="2">
                  <c:v>5.31</c:v>
                </c:pt>
                <c:pt idx="3">
                  <c:v>6.44</c:v>
                </c:pt>
                <c:pt idx="4">
                  <c:v>7.32</c:v>
                </c:pt>
                <c:pt idx="5">
                  <c:v>10.039999999999999</c:v>
                </c:pt>
                <c:pt idx="6">
                  <c:v>11.63</c:v>
                </c:pt>
                <c:pt idx="7">
                  <c:v>12.76</c:v>
                </c:pt>
                <c:pt idx="8">
                  <c:v>13.64</c:v>
                </c:pt>
                <c:pt idx="9">
                  <c:v>14.35</c:v>
                </c:pt>
                <c:pt idx="10">
                  <c:v>14.96</c:v>
                </c:pt>
                <c:pt idx="11">
                  <c:v>15.48</c:v>
                </c:pt>
                <c:pt idx="12">
                  <c:v>15.94</c:v>
                </c:pt>
                <c:pt idx="13">
                  <c:v>16.36</c:v>
                </c:pt>
                <c:pt idx="14">
                  <c:v>16.73</c:v>
                </c:pt>
                <c:pt idx="15">
                  <c:v>17.07</c:v>
                </c:pt>
                <c:pt idx="16">
                  <c:v>17.95</c:v>
                </c:pt>
                <c:pt idx="17">
                  <c:v>18.670000000000002</c:v>
                </c:pt>
                <c:pt idx="18">
                  <c:v>19.27</c:v>
                </c:pt>
                <c:pt idx="19">
                  <c:v>19.8</c:v>
                </c:pt>
                <c:pt idx="20" formatCode="\ 0.00\ ">
                  <c:v>19.96</c:v>
                </c:pt>
                <c:pt idx="21" formatCode="\ 0.00\ ">
                  <c:v>20.11</c:v>
                </c:pt>
                <c:pt idx="22" formatCode="\ 0.00\ ">
                  <c:v>20.25</c:v>
                </c:pt>
                <c:pt idx="23" formatCode="\ 0.00\ ">
                  <c:v>20.38</c:v>
                </c:pt>
                <c:pt idx="24" formatCode="\ 0.00\ ">
                  <c:v>20.509999999999998</c:v>
                </c:pt>
                <c:pt idx="25">
                  <c:v>24.09</c:v>
                </c:pt>
                <c:pt idx="26" formatCode="\ 0.00\ ">
                  <c:v>24.2</c:v>
                </c:pt>
                <c:pt idx="27">
                  <c:v>24.8</c:v>
                </c:pt>
                <c:pt idx="28" formatCode="\ 0.00\ ">
                  <c:v>24.900000000000002</c:v>
                </c:pt>
                <c:pt idx="29">
                  <c:v>25.52</c:v>
                </c:pt>
                <c:pt idx="30" formatCode="\ 0.00\ ">
                  <c:v>25.58</c:v>
                </c:pt>
                <c:pt idx="31" formatCode="\ 0.00\ ">
                  <c:v>25.63</c:v>
                </c:pt>
                <c:pt idx="32" formatCode="\ 0.00\ ">
                  <c:v>25.669999999999998</c:v>
                </c:pt>
                <c:pt idx="33" formatCode="\ 0.00\ ">
                  <c:v>25.7</c:v>
                </c:pt>
                <c:pt idx="34" formatCode="\ 0.00\ ">
                  <c:v>25.72</c:v>
                </c:pt>
                <c:pt idx="35">
                  <c:v>26.23</c:v>
                </c:pt>
                <c:pt idx="36" formatCode="\ 0.00\ ">
                  <c:v>26.3</c:v>
                </c:pt>
                <c:pt idx="37" formatCode="\ 0.00\ ">
                  <c:v>26.36</c:v>
                </c:pt>
                <c:pt idx="38" formatCode="\ 0.00\ ">
                  <c:v>26.41</c:v>
                </c:pt>
                <c:pt idx="39">
                  <c:v>26.95</c:v>
                </c:pt>
                <c:pt idx="40" formatCode="\ 0.00\ ">
                  <c:v>27.13</c:v>
                </c:pt>
                <c:pt idx="41" formatCode="\ 0.00\ ">
                  <c:v>27.29</c:v>
                </c:pt>
                <c:pt idx="42" formatCode="\ 0.00\ ">
                  <c:v>27.439999999999998</c:v>
                </c:pt>
                <c:pt idx="43" formatCode="\ 0.00\ ">
                  <c:v>27.58</c:v>
                </c:pt>
                <c:pt idx="44" formatCode="\ 0.00\ ">
                  <c:v>27.709999999999997</c:v>
                </c:pt>
                <c:pt idx="45">
                  <c:v>31.49</c:v>
                </c:pt>
                <c:pt idx="46" formatCode="\ 0.00\ ">
                  <c:v>31.599999999999998</c:v>
                </c:pt>
                <c:pt idx="47">
                  <c:v>32.25</c:v>
                </c:pt>
                <c:pt idx="48" formatCode="\ 0.00\ ">
                  <c:v>32.36</c:v>
                </c:pt>
                <c:pt idx="49">
                  <c:v>33.01</c:v>
                </c:pt>
                <c:pt idx="50" formatCode="\ 0.00\ ">
                  <c:v>33.08</c:v>
                </c:pt>
                <c:pt idx="51" formatCode="\ 0.00\ ">
                  <c:v>33.129999999999995</c:v>
                </c:pt>
                <c:pt idx="52" formatCode="\ 0.00\ ">
                  <c:v>33.169999999999995</c:v>
                </c:pt>
                <c:pt idx="53" formatCode="\ 0.00\ ">
                  <c:v>33.199999999999996</c:v>
                </c:pt>
                <c:pt idx="54" formatCode="\ 0.00\ ">
                  <c:v>33.22</c:v>
                </c:pt>
                <c:pt idx="55">
                  <c:v>33.770000000000003</c:v>
                </c:pt>
                <c:pt idx="56" formatCode="\ 0.00\ ">
                  <c:v>33.85</c:v>
                </c:pt>
                <c:pt idx="57" formatCode="\ 0.00\ ">
                  <c:v>33.910000000000004</c:v>
                </c:pt>
                <c:pt idx="58" formatCode="\ 0.00\ ">
                  <c:v>33.96</c:v>
                </c:pt>
                <c:pt idx="59">
                  <c:v>34.53</c:v>
                </c:pt>
                <c:pt idx="60" formatCode="\ 0.00\ ">
                  <c:v>34.72</c:v>
                </c:pt>
                <c:pt idx="61" formatCode="\ 0.00\ ">
                  <c:v>34.89</c:v>
                </c:pt>
                <c:pt idx="62" formatCode="\ 0.00\ ">
                  <c:v>35.049999999999997</c:v>
                </c:pt>
                <c:pt idx="63" formatCode="\ 0.00\ ">
                  <c:v>35.199999999999996</c:v>
                </c:pt>
                <c:pt idx="64" formatCode="\ 0.00\ ">
                  <c:v>35.339999999999996</c:v>
                </c:pt>
                <c:pt idx="65">
                  <c:v>39.6</c:v>
                </c:pt>
                <c:pt idx="66" formatCode="\ 0.00\ ">
                  <c:v>39.72</c:v>
                </c:pt>
                <c:pt idx="67" formatCode="\ 0.00\ ">
                  <c:v>40.44</c:v>
                </c:pt>
                <c:pt idx="68" formatCode="\ 0.00\ ">
                  <c:v>40.559999999999995</c:v>
                </c:pt>
                <c:pt idx="69" formatCode="\ 0.00\ ">
                  <c:v>41.29</c:v>
                </c:pt>
                <c:pt idx="70" formatCode="\ 0.00\ ">
                  <c:v>41.36</c:v>
                </c:pt>
                <c:pt idx="71" formatCode="\ 0.00\ ">
                  <c:v>41.41</c:v>
                </c:pt>
                <c:pt idx="72" formatCode="\ 0.00\ ">
                  <c:v>41.449999999999996</c:v>
                </c:pt>
                <c:pt idx="73" formatCode="\ 0.00\ ">
                  <c:v>41.48</c:v>
                </c:pt>
                <c:pt idx="74" formatCode="\ 0.00\ ">
                  <c:v>41.51</c:v>
                </c:pt>
                <c:pt idx="75" formatCode="\ 0.00\ ">
                  <c:v>42.13</c:v>
                </c:pt>
                <c:pt idx="76" formatCode="\ 0.00\ ">
                  <c:v>42.220000000000006</c:v>
                </c:pt>
                <c:pt idx="77" formatCode="\ 0.00\ ">
                  <c:v>42.290000000000006</c:v>
                </c:pt>
                <c:pt idx="78" formatCode="\ 0.00\ ">
                  <c:v>42.34</c:v>
                </c:pt>
                <c:pt idx="79" formatCode="\ 0.00\ ">
                  <c:v>42.98</c:v>
                </c:pt>
                <c:pt idx="80" formatCode="\ 0.00\ ">
                  <c:v>43.19</c:v>
                </c:pt>
                <c:pt idx="81" formatCode="\ 0.00\ ">
                  <c:v>43.379999999999995</c:v>
                </c:pt>
                <c:pt idx="82" formatCode="\ 0.00\ ">
                  <c:v>43.55</c:v>
                </c:pt>
                <c:pt idx="83" formatCode="\ 0.00\ ">
                  <c:v>43.709999999999994</c:v>
                </c:pt>
                <c:pt idx="84" formatCode="\ 0.00\ ">
                  <c:v>43.849999999999994</c:v>
                </c:pt>
                <c:pt idx="85" formatCode="\ 0.00\ ">
                  <c:v>48.13</c:v>
                </c:pt>
                <c:pt idx="86" formatCode="\ 0.00\ ">
                  <c:v>48.440000000000005</c:v>
                </c:pt>
                <c:pt idx="87" formatCode="\ 0.00\ ">
                  <c:v>50.06</c:v>
                </c:pt>
                <c:pt idx="88" formatCode="\ 0.00\ ">
                  <c:v>50.36</c:v>
                </c:pt>
                <c:pt idx="89" formatCode="\ 0.00\ ">
                  <c:v>52</c:v>
                </c:pt>
                <c:pt idx="90" formatCode="\ 0.00\ ">
                  <c:v>52.15</c:v>
                </c:pt>
                <c:pt idx="91" formatCode="\ 0.00\ ">
                  <c:v>52.28</c:v>
                </c:pt>
                <c:pt idx="92" formatCode="\ 0.00\ ">
                  <c:v>52.39</c:v>
                </c:pt>
                <c:pt idx="93" formatCode="\ 0.00\ ">
                  <c:v>52.47</c:v>
                </c:pt>
                <c:pt idx="94" formatCode="\ 0.00\ ">
                  <c:v>52.54</c:v>
                </c:pt>
                <c:pt idx="95" formatCode="\ 0.00\ ">
                  <c:v>53.93</c:v>
                </c:pt>
                <c:pt idx="96" formatCode="\ 0.00\ ">
                  <c:v>54.12</c:v>
                </c:pt>
                <c:pt idx="97" formatCode="\ 0.00\ ">
                  <c:v>54.279999999999994</c:v>
                </c:pt>
                <c:pt idx="98" formatCode="\ 0.00\ ">
                  <c:v>54.419999999999995</c:v>
                </c:pt>
                <c:pt idx="99" formatCode="\ 0.00\ ">
                  <c:v>55.87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130</c:v>
                </c:pt>
                <c:pt idx="1">
                  <c:v>166</c:v>
                </c:pt>
                <c:pt idx="2">
                  <c:v>202.29999999999998</c:v>
                </c:pt>
                <c:pt idx="3" formatCode="General">
                  <c:v>238</c:v>
                </c:pt>
                <c:pt idx="4">
                  <c:v>273.7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0.152</c:v>
                </c:pt>
                <c:pt idx="1">
                  <c:v>0.16200000000000001</c:v>
                </c:pt>
                <c:pt idx="2">
                  <c:v>0.17</c:v>
                </c:pt>
                <c:pt idx="3">
                  <c:v>0.18</c:v>
                </c:pt>
                <c:pt idx="4">
                  <c:v>0.20399999999999999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21.59999999999997"/>
          <c:min val="82.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949999999999996"/>
      </c:valAx>
      <c:valAx>
        <c:axId val="1"/>
        <c:scaling>
          <c:orientation val="minMax"/>
          <c:max val="0.22133333333333333"/>
          <c:min val="0.134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1666666666666667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117</c:v>
                </c:pt>
                <c:pt idx="1">
                  <c:v>130</c:v>
                </c:pt>
                <c:pt idx="2">
                  <c:v>166</c:v>
                </c:pt>
                <c:pt idx="3">
                  <c:v>202.29999999999998</c:v>
                </c:pt>
                <c:pt idx="4">
                  <c:v>238</c:v>
                </c:pt>
                <c:pt idx="5">
                  <c:v>273.7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77.95551102388383</c:v>
                </c:pt>
                <c:pt idx="2">
                  <c:v>73.470415665751815</c:v>
                </c:pt>
                <c:pt idx="3">
                  <c:v>69.44185159734829</c:v>
                </c:pt>
                <c:pt idx="4">
                  <c:v>65.888726621755296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21.59999999999997"/>
          <c:min val="82.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949999999999996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130</c:v>
                </c:pt>
                <c:pt idx="1">
                  <c:v>166</c:v>
                </c:pt>
                <c:pt idx="2">
                  <c:v>202.29999999999998</c:v>
                </c:pt>
                <c:pt idx="3">
                  <c:v>238</c:v>
                </c:pt>
                <c:pt idx="4">
                  <c:v>273.7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19.8</c:v>
                </c:pt>
                <c:pt idx="1">
                  <c:v>26.95</c:v>
                </c:pt>
                <c:pt idx="2">
                  <c:v>34.53</c:v>
                </c:pt>
                <c:pt idx="3">
                  <c:v>42.98</c:v>
                </c:pt>
                <c:pt idx="4">
                  <c:v>55.87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117</c:v>
                </c:pt>
                <c:pt idx="1">
                  <c:v>130</c:v>
                </c:pt>
                <c:pt idx="2">
                  <c:v>166</c:v>
                </c:pt>
                <c:pt idx="3">
                  <c:v>202.29999999999998</c:v>
                </c:pt>
                <c:pt idx="4">
                  <c:v>238</c:v>
                </c:pt>
                <c:pt idx="5">
                  <c:v>273.7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0.15230769230769231</c:v>
                </c:pt>
                <c:pt idx="2">
                  <c:v>0.16234939759036143</c:v>
                </c:pt>
                <c:pt idx="3">
                  <c:v>0.17068709836875928</c:v>
                </c:pt>
                <c:pt idx="4">
                  <c:v>0.18058823529411763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21.59999999999997"/>
          <c:min val="82.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949999999999996"/>
      </c:valAx>
      <c:valAx>
        <c:axId val="1"/>
        <c:scaling>
          <c:orientation val="minMax"/>
          <c:max val="0.22133333333333333"/>
          <c:min val="0.134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1666666666666667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1.92</c:v>
                </c:pt>
                <c:pt idx="1">
                  <c:v>3.72</c:v>
                </c:pt>
                <c:pt idx="2">
                  <c:v>5.31</c:v>
                </c:pt>
                <c:pt idx="3">
                  <c:v>6.44</c:v>
                </c:pt>
                <c:pt idx="4">
                  <c:v>7.32</c:v>
                </c:pt>
                <c:pt idx="5">
                  <c:v>10.039999999999999</c:v>
                </c:pt>
                <c:pt idx="6">
                  <c:v>11.63</c:v>
                </c:pt>
                <c:pt idx="7">
                  <c:v>12.76</c:v>
                </c:pt>
                <c:pt idx="8">
                  <c:v>13.64</c:v>
                </c:pt>
                <c:pt idx="9">
                  <c:v>14.35</c:v>
                </c:pt>
                <c:pt idx="10">
                  <c:v>14.96</c:v>
                </c:pt>
                <c:pt idx="11">
                  <c:v>15.48</c:v>
                </c:pt>
                <c:pt idx="12">
                  <c:v>15.94</c:v>
                </c:pt>
                <c:pt idx="13">
                  <c:v>16.36</c:v>
                </c:pt>
                <c:pt idx="14">
                  <c:v>16.73</c:v>
                </c:pt>
                <c:pt idx="15">
                  <c:v>17.07</c:v>
                </c:pt>
                <c:pt idx="16">
                  <c:v>17.95</c:v>
                </c:pt>
                <c:pt idx="17">
                  <c:v>18.670000000000002</c:v>
                </c:pt>
                <c:pt idx="18">
                  <c:v>19.27</c:v>
                </c:pt>
                <c:pt idx="19">
                  <c:v>19.8</c:v>
                </c:pt>
                <c:pt idx="20">
                  <c:v>24.09</c:v>
                </c:pt>
                <c:pt idx="21">
                  <c:v>24.8</c:v>
                </c:pt>
                <c:pt idx="22">
                  <c:v>25.52</c:v>
                </c:pt>
                <c:pt idx="23">
                  <c:v>26.23</c:v>
                </c:pt>
                <c:pt idx="24">
                  <c:v>26.95</c:v>
                </c:pt>
                <c:pt idx="25">
                  <c:v>31.49</c:v>
                </c:pt>
                <c:pt idx="26">
                  <c:v>32.25</c:v>
                </c:pt>
                <c:pt idx="27">
                  <c:v>33.01</c:v>
                </c:pt>
                <c:pt idx="28">
                  <c:v>33.770000000000003</c:v>
                </c:pt>
                <c:pt idx="29">
                  <c:v>34.53</c:v>
                </c:pt>
                <c:pt idx="30">
                  <c:v>39.6</c:v>
                </c:pt>
                <c:pt idx="31">
                  <c:v>40.44</c:v>
                </c:pt>
                <c:pt idx="32">
                  <c:v>41.29</c:v>
                </c:pt>
                <c:pt idx="33">
                  <c:v>42.13</c:v>
                </c:pt>
                <c:pt idx="34">
                  <c:v>42.98</c:v>
                </c:pt>
                <c:pt idx="35">
                  <c:v>48.13</c:v>
                </c:pt>
                <c:pt idx="36">
                  <c:v>50.06</c:v>
                </c:pt>
                <c:pt idx="37">
                  <c:v>52</c:v>
                </c:pt>
                <c:pt idx="38">
                  <c:v>53.93</c:v>
                </c:pt>
                <c:pt idx="39">
                  <c:v>55.87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1.0042329139505632</c:v>
                </c:pt>
                <c:pt idx="1">
                  <c:v>3.7255395317215196</c:v>
                </c:pt>
                <c:pt idx="2">
                  <c:v>5.317401856081851</c:v>
                </c:pt>
                <c:pt idx="3">
                  <c:v>6.446846149492476</c:v>
                </c:pt>
                <c:pt idx="4">
                  <c:v>7.3229112045558509</c:v>
                </c:pt>
                <c:pt idx="5">
                  <c:v>10.044217822326804</c:v>
                </c:pt>
                <c:pt idx="6">
                  <c:v>11.636080146687139</c:v>
                </c:pt>
                <c:pt idx="7">
                  <c:v>12.76552444009776</c:v>
                </c:pt>
                <c:pt idx="8">
                  <c:v>13.641589495161139</c:v>
                </c:pt>
                <c:pt idx="9">
                  <c:v>14.357386764458088</c:v>
                </c:pt>
                <c:pt idx="10">
                  <c:v>14.962584732383075</c:v>
                </c:pt>
                <c:pt idx="11">
                  <c:v>15.486831057868716</c:v>
                </c:pt>
                <c:pt idx="12">
                  <c:v>15.949249088818423</c:v>
                </c:pt>
                <c:pt idx="13">
                  <c:v>16.362896112932095</c:v>
                </c:pt>
                <c:pt idx="14">
                  <c:v>16.737085362079615</c:v>
                </c:pt>
                <c:pt idx="15">
                  <c:v>17.078693382229044</c:v>
                </c:pt>
                <c:pt idx="16">
                  <c:v>17.954758437292423</c:v>
                </c:pt>
                <c:pt idx="17">
                  <c:v>18.670555706589379</c:v>
                </c:pt>
                <c:pt idx="18">
                  <c:v>19.275753674514359</c:v>
                </c:pt>
                <c:pt idx="19">
                  <c:v>19.8</c:v>
                </c:pt>
                <c:pt idx="20">
                  <c:v>23.876372473080647</c:v>
                </c:pt>
                <c:pt idx="21">
                  <c:v>24.247892031735137</c:v>
                </c:pt>
                <c:pt idx="22">
                  <c:v>24.593768466081084</c:v>
                </c:pt>
                <c:pt idx="23">
                  <c:v>25.507786517644892</c:v>
                </c:pt>
                <c:pt idx="24">
                  <c:v>26.95</c:v>
                </c:pt>
                <c:pt idx="25">
                  <c:v>32.302218652634252</c:v>
                </c:pt>
                <c:pt idx="26">
                  <c:v>32.54183698063045</c:v>
                </c:pt>
                <c:pt idx="27">
                  <c:v>32.772410918792545</c:v>
                </c:pt>
                <c:pt idx="28">
                  <c:v>33.416109326317127</c:v>
                </c:pt>
                <c:pt idx="29">
                  <c:v>34.53</c:v>
                </c:pt>
                <c:pt idx="30">
                  <c:v>41.109181787248836</c:v>
                </c:pt>
                <c:pt idx="31">
                  <c:v>41.300863239776042</c:v>
                </c:pt>
                <c:pt idx="32">
                  <c:v>41.487565385910251</c:v>
                </c:pt>
                <c:pt idx="33">
                  <c:v>42.020225957957045</c:v>
                </c:pt>
                <c:pt idx="34">
                  <c:v>42.98</c:v>
                </c:pt>
                <c:pt idx="35">
                  <c:v>54.195980453575395</c:v>
                </c:pt>
                <c:pt idx="36">
                  <c:v>54.362971441487879</c:v>
                </c:pt>
                <c:pt idx="37">
                  <c:v>54.526655458856375</c:v>
                </c:pt>
                <c:pt idx="38">
                  <c:v>54.999113919231455</c:v>
                </c:pt>
                <c:pt idx="39">
                  <c:v>55.87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1.92</c:v>
                </c:pt>
                <c:pt idx="1">
                  <c:v>3.72</c:v>
                </c:pt>
                <c:pt idx="2">
                  <c:v>5.31</c:v>
                </c:pt>
                <c:pt idx="3">
                  <c:v>6.44</c:v>
                </c:pt>
                <c:pt idx="4">
                  <c:v>7.32</c:v>
                </c:pt>
                <c:pt idx="5">
                  <c:v>10.039999999999999</c:v>
                </c:pt>
                <c:pt idx="6">
                  <c:v>11.63</c:v>
                </c:pt>
                <c:pt idx="7">
                  <c:v>12.76</c:v>
                </c:pt>
                <c:pt idx="8">
                  <c:v>13.64</c:v>
                </c:pt>
                <c:pt idx="9">
                  <c:v>14.35</c:v>
                </c:pt>
                <c:pt idx="10">
                  <c:v>14.96</c:v>
                </c:pt>
                <c:pt idx="11">
                  <c:v>15.48</c:v>
                </c:pt>
                <c:pt idx="12">
                  <c:v>15.94</c:v>
                </c:pt>
                <c:pt idx="13">
                  <c:v>16.36</c:v>
                </c:pt>
                <c:pt idx="14">
                  <c:v>16.73</c:v>
                </c:pt>
                <c:pt idx="15">
                  <c:v>17.07</c:v>
                </c:pt>
                <c:pt idx="16">
                  <c:v>17.95</c:v>
                </c:pt>
                <c:pt idx="17">
                  <c:v>18.670000000000002</c:v>
                </c:pt>
                <c:pt idx="18">
                  <c:v>19.27</c:v>
                </c:pt>
                <c:pt idx="19">
                  <c:v>19.8</c:v>
                </c:pt>
                <c:pt idx="20">
                  <c:v>24.09</c:v>
                </c:pt>
                <c:pt idx="21">
                  <c:v>24.8</c:v>
                </c:pt>
                <c:pt idx="22">
                  <c:v>25.52</c:v>
                </c:pt>
                <c:pt idx="23">
                  <c:v>26.23</c:v>
                </c:pt>
                <c:pt idx="24">
                  <c:v>26.95</c:v>
                </c:pt>
                <c:pt idx="25">
                  <c:v>31.49</c:v>
                </c:pt>
                <c:pt idx="26">
                  <c:v>32.25</c:v>
                </c:pt>
                <c:pt idx="27">
                  <c:v>33.01</c:v>
                </c:pt>
                <c:pt idx="28">
                  <c:v>33.770000000000003</c:v>
                </c:pt>
                <c:pt idx="29">
                  <c:v>34.53</c:v>
                </c:pt>
                <c:pt idx="30">
                  <c:v>39.6</c:v>
                </c:pt>
                <c:pt idx="31">
                  <c:v>40.44</c:v>
                </c:pt>
                <c:pt idx="32">
                  <c:v>41.29</c:v>
                </c:pt>
                <c:pt idx="33">
                  <c:v>42.13</c:v>
                </c:pt>
                <c:pt idx="34">
                  <c:v>42.98</c:v>
                </c:pt>
                <c:pt idx="35">
                  <c:v>48.13</c:v>
                </c:pt>
                <c:pt idx="36">
                  <c:v>50.06</c:v>
                </c:pt>
                <c:pt idx="37">
                  <c:v>52</c:v>
                </c:pt>
                <c:pt idx="38">
                  <c:v>53.93</c:v>
                </c:pt>
                <c:pt idx="39">
                  <c:v>55.87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3.8560672276215606</c:v>
                </c:pt>
                <c:pt idx="1">
                  <c:v>7.5121344552431211</c:v>
                </c:pt>
                <c:pt idx="2">
                  <c:v>10.164840066117115</c:v>
                </c:pt>
                <c:pt idx="3">
                  <c:v>12.046964649663572</c:v>
                </c:pt>
                <c:pt idx="4">
                  <c:v>13.506853894791028</c:v>
                </c:pt>
                <c:pt idx="5">
                  <c:v>18.041684089211479</c:v>
                </c:pt>
                <c:pt idx="6">
                  <c:v>20.694389700085473</c:v>
                </c:pt>
                <c:pt idx="7">
                  <c:v>22.57651428363193</c:v>
                </c:pt>
                <c:pt idx="8">
                  <c:v>24.036403528759394</c:v>
                </c:pt>
                <c:pt idx="9">
                  <c:v>25.229219894505924</c:v>
                </c:pt>
                <c:pt idx="10">
                  <c:v>26.237731761792716</c:v>
                </c:pt>
                <c:pt idx="11">
                  <c:v>27.111344478052374</c:v>
                </c:pt>
                <c:pt idx="12">
                  <c:v>27.881925505379918</c:v>
                </c:pt>
                <c:pt idx="13">
                  <c:v>28.571233723179837</c:v>
                </c:pt>
                <c:pt idx="14">
                  <c:v>29.145708854520262</c:v>
                </c:pt>
                <c:pt idx="15">
                  <c:v>29.764050088926375</c:v>
                </c:pt>
                <c:pt idx="16">
                  <c:v>31.223939334053831</c:v>
                </c:pt>
                <c:pt idx="17">
                  <c:v>32.416755699800369</c:v>
                </c:pt>
                <c:pt idx="18">
                  <c:v>33.425267567087168</c:v>
                </c:pt>
                <c:pt idx="19">
                  <c:v>34.298880283346826</c:v>
                </c:pt>
                <c:pt idx="20">
                  <c:v>35.307392150633611</c:v>
                </c:pt>
                <c:pt idx="21">
                  <c:v>36.181004866893282</c:v>
                </c:pt>
                <c:pt idx="22">
                  <c:v>36.95158589422082</c:v>
                </c:pt>
                <c:pt idx="23">
                  <c:v>38.833710477767276</c:v>
                </c:pt>
                <c:pt idx="24">
                  <c:v>40.293599722894733</c:v>
                </c:pt>
                <c:pt idx="25">
                  <c:v>41.486416088641271</c:v>
                </c:pt>
                <c:pt idx="26">
                  <c:v>42.494927955928055</c:v>
                </c:pt>
                <c:pt idx="27">
                  <c:v>43.368540672187713</c:v>
                </c:pt>
                <c:pt idx="28">
                  <c:v>44.13912169951525</c:v>
                </c:pt>
                <c:pt idx="29">
                  <c:v>44.828429917315184</c:v>
                </c:pt>
                <c:pt idx="30">
                  <c:v>45.451985048655594</c:v>
                </c:pt>
                <c:pt idx="31">
                  <c:v>46.021246283061707</c:v>
                </c:pt>
                <c:pt idx="32">
                  <c:v>46.544915855385291</c:v>
                </c:pt>
                <c:pt idx="33">
                  <c:v>47.029758150348506</c:v>
                </c:pt>
                <c:pt idx="34">
                  <c:v>47.481135528189178</c:v>
                </c:pt>
                <c:pt idx="35">
                  <c:v>47.903370866608164</c:v>
                </c:pt>
                <c:pt idx="36">
                  <c:v>48.300000000000004</c:v>
                </c:pt>
                <c:pt idx="37">
                  <c:v>48.300000000000004</c:v>
                </c:pt>
                <c:pt idx="38">
                  <c:v>48.300000000000004</c:v>
                </c:pt>
                <c:pt idx="39">
                  <c:v>48.300000000000004</c:v>
                </c:pt>
                <c:pt idx="40">
                  <c:v>48.300000000000004</c:v>
                </c:pt>
                <c:pt idx="41">
                  <c:v>48.300000000000004</c:v>
                </c:pt>
                <c:pt idx="42">
                  <c:v>48.300000000000004</c:v>
                </c:pt>
                <c:pt idx="43">
                  <c:v>48.300000000000004</c:v>
                </c:pt>
                <c:pt idx="44">
                  <c:v>48.300000000000004</c:v>
                </c:pt>
                <c:pt idx="45">
                  <c:v>48.300000000000004</c:v>
                </c:pt>
                <c:pt idx="46">
                  <c:v>48.300000000000004</c:v>
                </c:pt>
                <c:pt idx="47">
                  <c:v>48.300000000000004</c:v>
                </c:pt>
                <c:pt idx="48">
                  <c:v>48.300000000000004</c:v>
                </c:pt>
                <c:pt idx="49">
                  <c:v>48.300000000000004</c:v>
                </c:pt>
                <c:pt idx="50">
                  <c:v>48.300000000000004</c:v>
                </c:pt>
                <c:pt idx="51">
                  <c:v>48.300000000000004</c:v>
                </c:pt>
                <c:pt idx="52">
                  <c:v>48.300000000000004</c:v>
                </c:pt>
                <c:pt idx="53">
                  <c:v>48.300000000000004</c:v>
                </c:pt>
                <c:pt idx="54">
                  <c:v>48.300000000000004</c:v>
                </c:pt>
                <c:pt idx="55">
                  <c:v>48.300000000000004</c:v>
                </c:pt>
                <c:pt idx="56">
                  <c:v>48.300000000000004</c:v>
                </c:pt>
                <c:pt idx="57">
                  <c:v>48.300000000000004</c:v>
                </c:pt>
                <c:pt idx="58">
                  <c:v>48.300000000000004</c:v>
                </c:pt>
                <c:pt idx="59">
                  <c:v>48.300000000000004</c:v>
                </c:pt>
                <c:pt idx="60">
                  <c:v>48.300000000000004</c:v>
                </c:pt>
                <c:pt idx="61">
                  <c:v>48.300000000000004</c:v>
                </c:pt>
                <c:pt idx="62">
                  <c:v>48.300000000000004</c:v>
                </c:pt>
                <c:pt idx="63">
                  <c:v>48.300000000000004</c:v>
                </c:pt>
                <c:pt idx="64">
                  <c:v>48.300000000000004</c:v>
                </c:pt>
                <c:pt idx="65">
                  <c:v>48.300000000000004</c:v>
                </c:pt>
                <c:pt idx="66">
                  <c:v>48.300000000000004</c:v>
                </c:pt>
                <c:pt idx="67">
                  <c:v>48.300000000000004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3.8560672276215606</c:v>
                </c:pt>
                <c:pt idx="1">
                  <c:v>7.5121344552431211</c:v>
                </c:pt>
                <c:pt idx="2">
                  <c:v>10.164840066117115</c:v>
                </c:pt>
                <c:pt idx="3">
                  <c:v>12.046964649663572</c:v>
                </c:pt>
                <c:pt idx="4">
                  <c:v>13.506853894791028</c:v>
                </c:pt>
                <c:pt idx="5">
                  <c:v>18.041684089211479</c:v>
                </c:pt>
                <c:pt idx="6">
                  <c:v>20.694389700085473</c:v>
                </c:pt>
                <c:pt idx="7">
                  <c:v>22.57651428363193</c:v>
                </c:pt>
                <c:pt idx="8">
                  <c:v>24.036403528759394</c:v>
                </c:pt>
                <c:pt idx="9">
                  <c:v>25.229219894505924</c:v>
                </c:pt>
                <c:pt idx="10">
                  <c:v>26.237731761792716</c:v>
                </c:pt>
                <c:pt idx="11">
                  <c:v>27.111344478052374</c:v>
                </c:pt>
                <c:pt idx="12">
                  <c:v>27.881925505379918</c:v>
                </c:pt>
                <c:pt idx="13">
                  <c:v>28.571233723179837</c:v>
                </c:pt>
                <c:pt idx="14">
                  <c:v>29.145708854520262</c:v>
                </c:pt>
                <c:pt idx="15">
                  <c:v>29.764050088926375</c:v>
                </c:pt>
                <c:pt idx="16">
                  <c:v>31.223939334053831</c:v>
                </c:pt>
                <c:pt idx="17">
                  <c:v>32.416755699800369</c:v>
                </c:pt>
                <c:pt idx="18">
                  <c:v>33.425267567087168</c:v>
                </c:pt>
                <c:pt idx="19">
                  <c:v>34.298880283346826</c:v>
                </c:pt>
                <c:pt idx="20">
                  <c:v>35.307392150633611</c:v>
                </c:pt>
                <c:pt idx="21">
                  <c:v>36.181004866893282</c:v>
                </c:pt>
                <c:pt idx="22">
                  <c:v>36.95158589422082</c:v>
                </c:pt>
                <c:pt idx="23">
                  <c:v>38.833710477767276</c:v>
                </c:pt>
                <c:pt idx="24">
                  <c:v>40.293599722894733</c:v>
                </c:pt>
                <c:pt idx="25">
                  <c:v>41.486416088641271</c:v>
                </c:pt>
                <c:pt idx="26">
                  <c:v>42.494927955928055</c:v>
                </c:pt>
                <c:pt idx="27">
                  <c:v>43.368540672187713</c:v>
                </c:pt>
                <c:pt idx="28">
                  <c:v>44.13912169951525</c:v>
                </c:pt>
                <c:pt idx="29">
                  <c:v>44.828429917315184</c:v>
                </c:pt>
                <c:pt idx="30">
                  <c:v>45.451985048655594</c:v>
                </c:pt>
                <c:pt idx="31">
                  <c:v>46.021246283061707</c:v>
                </c:pt>
                <c:pt idx="32">
                  <c:v>46.544915855385291</c:v>
                </c:pt>
                <c:pt idx="33">
                  <c:v>47.029758150348506</c:v>
                </c:pt>
                <c:pt idx="34">
                  <c:v>47.481135528189178</c:v>
                </c:pt>
                <c:pt idx="35">
                  <c:v>47.903370866608164</c:v>
                </c:pt>
                <c:pt idx="36">
                  <c:v>48.300000000000004</c:v>
                </c:pt>
                <c:pt idx="37">
                  <c:v>48.300000000000004</c:v>
                </c:pt>
                <c:pt idx="38">
                  <c:v>48.300000000000004</c:v>
                </c:pt>
                <c:pt idx="39">
                  <c:v>48.300000000000004</c:v>
                </c:pt>
                <c:pt idx="40">
                  <c:v>48.300000000000004</c:v>
                </c:pt>
                <c:pt idx="41">
                  <c:v>48.300000000000004</c:v>
                </c:pt>
                <c:pt idx="42">
                  <c:v>48.300000000000004</c:v>
                </c:pt>
                <c:pt idx="43">
                  <c:v>48.300000000000004</c:v>
                </c:pt>
                <c:pt idx="44">
                  <c:v>48.300000000000004</c:v>
                </c:pt>
                <c:pt idx="45">
                  <c:v>48.300000000000004</c:v>
                </c:pt>
                <c:pt idx="46">
                  <c:v>48.300000000000004</c:v>
                </c:pt>
                <c:pt idx="47">
                  <c:v>48.300000000000004</c:v>
                </c:pt>
                <c:pt idx="48">
                  <c:v>48.300000000000004</c:v>
                </c:pt>
                <c:pt idx="49">
                  <c:v>48.300000000000004</c:v>
                </c:pt>
                <c:pt idx="50">
                  <c:v>48.300000000000004</c:v>
                </c:pt>
                <c:pt idx="51">
                  <c:v>48.300000000000004</c:v>
                </c:pt>
                <c:pt idx="52">
                  <c:v>48.300000000000004</c:v>
                </c:pt>
                <c:pt idx="53">
                  <c:v>48.300000000000004</c:v>
                </c:pt>
                <c:pt idx="54">
                  <c:v>48.300000000000004</c:v>
                </c:pt>
                <c:pt idx="55">
                  <c:v>48.300000000000004</c:v>
                </c:pt>
                <c:pt idx="56">
                  <c:v>48.300000000000004</c:v>
                </c:pt>
                <c:pt idx="57">
                  <c:v>48.300000000000004</c:v>
                </c:pt>
                <c:pt idx="58">
                  <c:v>48.300000000000004</c:v>
                </c:pt>
                <c:pt idx="59">
                  <c:v>48.300000000000004</c:v>
                </c:pt>
                <c:pt idx="60">
                  <c:v>48.300000000000004</c:v>
                </c:pt>
                <c:pt idx="61">
                  <c:v>48.300000000000004</c:v>
                </c:pt>
                <c:pt idx="62">
                  <c:v>48.300000000000004</c:v>
                </c:pt>
                <c:pt idx="63">
                  <c:v>48.300000000000004</c:v>
                </c:pt>
                <c:pt idx="64">
                  <c:v>48.300000000000004</c:v>
                </c:pt>
                <c:pt idx="65">
                  <c:v>48.300000000000004</c:v>
                </c:pt>
                <c:pt idx="66">
                  <c:v>48.300000000000004</c:v>
                </c:pt>
                <c:pt idx="67">
                  <c:v>48.300000000000004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28.066905503401149</c:v>
                </c:pt>
                <c:pt idx="1">
                  <c:v>24.984813876195229</c:v>
                </c:pt>
                <c:pt idx="2">
                  <c:v>22.241173839149194</c:v>
                </c:pt>
                <c:pt idx="3">
                  <c:v>19.798819242538389</c:v>
                </c:pt>
                <c:pt idx="4">
                  <c:v>17.624665237259951</c:v>
                </c:pt>
                <c:pt idx="5">
                  <c:v>12.432705173018602</c:v>
                </c:pt>
                <c:pt idx="6">
                  <c:v>11.505001837665526</c:v>
                </c:pt>
                <c:pt idx="7">
                  <c:v>9.1169561197347448</c:v>
                </c:pt>
                <c:pt idx="8">
                  <c:v>8.1158021407600032</c:v>
                </c:pt>
                <c:pt idx="9">
                  <c:v>7.2245871892910909</c:v>
                </c:pt>
                <c:pt idx="10">
                  <c:v>6.9498201415576215</c:v>
                </c:pt>
                <c:pt idx="11">
                  <c:v>6.6855030930479264</c:v>
                </c:pt>
                <c:pt idx="12">
                  <c:v>6.4312386071527827</c:v>
                </c:pt>
                <c:pt idx="13">
                  <c:v>6.1866443626572334</c:v>
                </c:pt>
                <c:pt idx="14">
                  <c:v>5.9513525788686827</c:v>
                </c:pt>
                <c:pt idx="15">
                  <c:v>5.7250094626086145</c:v>
                </c:pt>
                <c:pt idx="16">
                  <c:v>5.5072746762364826</c:v>
                </c:pt>
                <c:pt idx="17">
                  <c:v>5.2978208259057942</c:v>
                </c:pt>
                <c:pt idx="18">
                  <c:v>5.0963329692829635</c:v>
                </c:pt>
                <c:pt idx="19">
                  <c:v>4.5366928916770783</c:v>
                </c:pt>
                <c:pt idx="20">
                  <c:v>4.3641524157081211</c:v>
                </c:pt>
                <c:pt idx="21">
                  <c:v>3.4583033219157344</c:v>
                </c:pt>
                <c:pt idx="22">
                  <c:v>2.7404775835338961</c:v>
                </c:pt>
                <c:pt idx="23">
                  <c:v>2.1716479691814539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out!$D$10:$D$77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5B-493B-B43C-B2D61A9FCC0F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out!$F$10:$F$77</c:f>
              <c:numCache>
                <c:formatCode>\ 0.00</c:formatCode>
                <c:ptCount val="68"/>
                <c:pt idx="0">
                  <c:v>3.8560672276215606</c:v>
                </c:pt>
                <c:pt idx="1">
                  <c:v>7.5121344552431211</c:v>
                </c:pt>
                <c:pt idx="2">
                  <c:v>10.164840066117115</c:v>
                </c:pt>
                <c:pt idx="3">
                  <c:v>12.046964649663572</c:v>
                </c:pt>
                <c:pt idx="4">
                  <c:v>13.506853894791028</c:v>
                </c:pt>
                <c:pt idx="5">
                  <c:v>18.041684089211479</c:v>
                </c:pt>
                <c:pt idx="6">
                  <c:v>20.694389700085473</c:v>
                </c:pt>
                <c:pt idx="7">
                  <c:v>22.57651428363193</c:v>
                </c:pt>
                <c:pt idx="8">
                  <c:v>24.036403528759394</c:v>
                </c:pt>
                <c:pt idx="9">
                  <c:v>25.229219894505924</c:v>
                </c:pt>
                <c:pt idx="10">
                  <c:v>26.237731761792716</c:v>
                </c:pt>
                <c:pt idx="11">
                  <c:v>27.111344478052374</c:v>
                </c:pt>
                <c:pt idx="12">
                  <c:v>27.881925505379918</c:v>
                </c:pt>
                <c:pt idx="13">
                  <c:v>28.571233723179837</c:v>
                </c:pt>
                <c:pt idx="14">
                  <c:v>29.145708854520262</c:v>
                </c:pt>
                <c:pt idx="15">
                  <c:v>29.764050088926375</c:v>
                </c:pt>
                <c:pt idx="16">
                  <c:v>31.223939334053831</c:v>
                </c:pt>
                <c:pt idx="17">
                  <c:v>32.416755699800369</c:v>
                </c:pt>
                <c:pt idx="18">
                  <c:v>33.425267567087168</c:v>
                </c:pt>
                <c:pt idx="19">
                  <c:v>34.298880283346826</c:v>
                </c:pt>
                <c:pt idx="20">
                  <c:v>35.307392150633611</c:v>
                </c:pt>
                <c:pt idx="21">
                  <c:v>36.181004866893282</c:v>
                </c:pt>
                <c:pt idx="22">
                  <c:v>36.95158589422082</c:v>
                </c:pt>
                <c:pt idx="23">
                  <c:v>38.833710477767276</c:v>
                </c:pt>
                <c:pt idx="24">
                  <c:v>40.293599722894733</c:v>
                </c:pt>
                <c:pt idx="25">
                  <c:v>41.486416088641271</c:v>
                </c:pt>
                <c:pt idx="26">
                  <c:v>42.494927955928055</c:v>
                </c:pt>
                <c:pt idx="27">
                  <c:v>43.368540672187713</c:v>
                </c:pt>
                <c:pt idx="28">
                  <c:v>44.13912169951525</c:v>
                </c:pt>
                <c:pt idx="29">
                  <c:v>44.828429917315184</c:v>
                </c:pt>
                <c:pt idx="30">
                  <c:v>45.451985048655594</c:v>
                </c:pt>
                <c:pt idx="31">
                  <c:v>46.021246283061707</c:v>
                </c:pt>
                <c:pt idx="32">
                  <c:v>46.544915855385291</c:v>
                </c:pt>
                <c:pt idx="33">
                  <c:v>47.029758150348506</c:v>
                </c:pt>
                <c:pt idx="34">
                  <c:v>47.481135528189178</c:v>
                </c:pt>
                <c:pt idx="35">
                  <c:v>47.903370866608164</c:v>
                </c:pt>
                <c:pt idx="36">
                  <c:v>48.300000000000004</c:v>
                </c:pt>
                <c:pt idx="37">
                  <c:v>48.300000000000004</c:v>
                </c:pt>
                <c:pt idx="38">
                  <c:v>48.300000000000004</c:v>
                </c:pt>
                <c:pt idx="39">
                  <c:v>48.300000000000004</c:v>
                </c:pt>
                <c:pt idx="40">
                  <c:v>48.300000000000004</c:v>
                </c:pt>
                <c:pt idx="41">
                  <c:v>48.300000000000004</c:v>
                </c:pt>
                <c:pt idx="42">
                  <c:v>48.300000000000004</c:v>
                </c:pt>
                <c:pt idx="43">
                  <c:v>48.300000000000004</c:v>
                </c:pt>
                <c:pt idx="44">
                  <c:v>48.300000000000004</c:v>
                </c:pt>
                <c:pt idx="45">
                  <c:v>48.300000000000004</c:v>
                </c:pt>
                <c:pt idx="46">
                  <c:v>48.300000000000004</c:v>
                </c:pt>
                <c:pt idx="47">
                  <c:v>48.300000000000004</c:v>
                </c:pt>
                <c:pt idx="48">
                  <c:v>48.300000000000004</c:v>
                </c:pt>
                <c:pt idx="49">
                  <c:v>48.300000000000004</c:v>
                </c:pt>
                <c:pt idx="50">
                  <c:v>48.300000000000004</c:v>
                </c:pt>
                <c:pt idx="51">
                  <c:v>48.300000000000004</c:v>
                </c:pt>
                <c:pt idx="52">
                  <c:v>48.300000000000004</c:v>
                </c:pt>
                <c:pt idx="53">
                  <c:v>48.300000000000004</c:v>
                </c:pt>
                <c:pt idx="54">
                  <c:v>48.300000000000004</c:v>
                </c:pt>
                <c:pt idx="55">
                  <c:v>48.300000000000004</c:v>
                </c:pt>
                <c:pt idx="56">
                  <c:v>48.300000000000004</c:v>
                </c:pt>
                <c:pt idx="57">
                  <c:v>48.300000000000004</c:v>
                </c:pt>
                <c:pt idx="58">
                  <c:v>48.300000000000004</c:v>
                </c:pt>
                <c:pt idx="59">
                  <c:v>48.300000000000004</c:v>
                </c:pt>
                <c:pt idx="60">
                  <c:v>48.300000000000004</c:v>
                </c:pt>
                <c:pt idx="61">
                  <c:v>48.300000000000004</c:v>
                </c:pt>
                <c:pt idx="62">
                  <c:v>48.300000000000004</c:v>
                </c:pt>
                <c:pt idx="63">
                  <c:v>48.300000000000004</c:v>
                </c:pt>
                <c:pt idx="64">
                  <c:v>48.300000000000004</c:v>
                </c:pt>
                <c:pt idx="65">
                  <c:v>48.300000000000004</c:v>
                </c:pt>
                <c:pt idx="66">
                  <c:v>48.300000000000004</c:v>
                </c:pt>
                <c:pt idx="67">
                  <c:v>48.300000000000004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5B-493B-B43C-B2D61A9FCC0F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out!$G$10:$G$77</c:f>
              <c:numCache>
                <c:formatCode>General</c:formatCode>
                <c:ptCount val="68"/>
                <c:pt idx="4">
                  <c:v>14.700000000000001</c:v>
                </c:pt>
                <c:pt idx="9">
                  <c:v>14.8</c:v>
                </c:pt>
                <c:pt idx="15">
                  <c:v>15.200000000000001</c:v>
                </c:pt>
                <c:pt idx="19">
                  <c:v>15</c:v>
                </c:pt>
                <c:pt idx="23">
                  <c:v>15.1</c:v>
                </c:pt>
                <c:pt idx="27">
                  <c:v>14.700000000000001</c:v>
                </c:pt>
                <c:pt idx="43">
                  <c:v>14.8</c:v>
                </c:pt>
                <c:pt idx="47">
                  <c:v>15</c:v>
                </c:pt>
                <c:pt idx="51">
                  <c:v>15</c:v>
                </c:pt>
                <c:pt idx="67">
                  <c:v>14.700000000000001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5B-493B-B43C-B2D61A9FC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7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4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647700</xdr:colOff>
      <xdr:row>0</xdr:row>
      <xdr:rowOff>0</xdr:rowOff>
    </xdr:from>
    <xdr:to>
      <xdr:col>61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4145F018-2F47-4AFC-B7AB-F3E7EB5819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1.92</v>
      </c>
      <c r="E1">
        <v>1</v>
      </c>
      <c r="F1">
        <f>단계양수시험!G12</f>
        <v>1.92</v>
      </c>
    </row>
    <row r="2" spans="1:6" x14ac:dyDescent="0.15">
      <c r="A2" s="228">
        <v>2</v>
      </c>
      <c r="B2">
        <f t="shared" ref="B2:B20" si="0">F2</f>
        <v>3.72</v>
      </c>
      <c r="E2">
        <v>2</v>
      </c>
      <c r="F2">
        <f>단계양수시험!G13</f>
        <v>3.72</v>
      </c>
    </row>
    <row r="3" spans="1:6" x14ac:dyDescent="0.15">
      <c r="A3" s="228">
        <v>3</v>
      </c>
      <c r="B3">
        <f t="shared" si="0"/>
        <v>5.31</v>
      </c>
      <c r="E3">
        <v>3</v>
      </c>
      <c r="F3">
        <f>단계양수시험!G14</f>
        <v>5.31</v>
      </c>
    </row>
    <row r="4" spans="1:6" x14ac:dyDescent="0.15">
      <c r="A4" s="228">
        <v>4</v>
      </c>
      <c r="B4">
        <f t="shared" si="0"/>
        <v>6.44</v>
      </c>
      <c r="E4">
        <v>4</v>
      </c>
      <c r="F4">
        <f>단계양수시험!G15</f>
        <v>6.44</v>
      </c>
    </row>
    <row r="5" spans="1:6" x14ac:dyDescent="0.15">
      <c r="A5" s="228">
        <v>5</v>
      </c>
      <c r="B5">
        <f t="shared" si="0"/>
        <v>7.32</v>
      </c>
      <c r="E5">
        <v>5</v>
      </c>
      <c r="F5">
        <f>단계양수시험!G16</f>
        <v>7.32</v>
      </c>
    </row>
    <row r="6" spans="1:6" x14ac:dyDescent="0.15">
      <c r="A6" s="228">
        <v>10</v>
      </c>
      <c r="B6">
        <f t="shared" si="0"/>
        <v>10.039999999999999</v>
      </c>
      <c r="E6">
        <v>10</v>
      </c>
      <c r="F6">
        <f>단계양수시험!G17</f>
        <v>10.039999999999999</v>
      </c>
    </row>
    <row r="7" spans="1:6" x14ac:dyDescent="0.15">
      <c r="A7" s="228">
        <v>15</v>
      </c>
      <c r="B7">
        <f t="shared" si="0"/>
        <v>11.63</v>
      </c>
      <c r="E7">
        <v>15</v>
      </c>
      <c r="F7">
        <f>단계양수시험!G18</f>
        <v>11.63</v>
      </c>
    </row>
    <row r="8" spans="1:6" x14ac:dyDescent="0.15">
      <c r="A8" s="228">
        <v>20</v>
      </c>
      <c r="B8">
        <f t="shared" si="0"/>
        <v>12.76</v>
      </c>
      <c r="E8">
        <v>20</v>
      </c>
      <c r="F8">
        <f>단계양수시험!G19</f>
        <v>12.76</v>
      </c>
    </row>
    <row r="9" spans="1:6" x14ac:dyDescent="0.15">
      <c r="A9" s="228">
        <v>25</v>
      </c>
      <c r="B9">
        <f t="shared" si="0"/>
        <v>13.64</v>
      </c>
      <c r="E9">
        <v>25</v>
      </c>
      <c r="F9">
        <f>단계양수시험!G20</f>
        <v>13.64</v>
      </c>
    </row>
    <row r="10" spans="1:6" x14ac:dyDescent="0.15">
      <c r="A10" s="228">
        <v>30</v>
      </c>
      <c r="B10">
        <f t="shared" si="0"/>
        <v>14.35</v>
      </c>
      <c r="E10">
        <v>30</v>
      </c>
      <c r="F10">
        <f>단계양수시험!G21</f>
        <v>14.35</v>
      </c>
    </row>
    <row r="11" spans="1:6" x14ac:dyDescent="0.15">
      <c r="A11" s="228">
        <v>35</v>
      </c>
      <c r="B11">
        <f t="shared" si="0"/>
        <v>14.96</v>
      </c>
      <c r="E11">
        <v>35</v>
      </c>
      <c r="F11">
        <f>단계양수시험!G22</f>
        <v>14.96</v>
      </c>
    </row>
    <row r="12" spans="1:6" x14ac:dyDescent="0.15">
      <c r="A12" s="228">
        <v>40</v>
      </c>
      <c r="B12">
        <f t="shared" si="0"/>
        <v>15.48</v>
      </c>
      <c r="E12">
        <v>40</v>
      </c>
      <c r="F12">
        <f>단계양수시험!G23</f>
        <v>15.48</v>
      </c>
    </row>
    <row r="13" spans="1:6" x14ac:dyDescent="0.15">
      <c r="A13" s="228">
        <v>45</v>
      </c>
      <c r="B13">
        <f t="shared" si="0"/>
        <v>15.94</v>
      </c>
      <c r="E13">
        <v>45</v>
      </c>
      <c r="F13">
        <f>단계양수시험!G24</f>
        <v>15.94</v>
      </c>
    </row>
    <row r="14" spans="1:6" x14ac:dyDescent="0.15">
      <c r="A14" s="228">
        <v>50</v>
      </c>
      <c r="B14">
        <f t="shared" si="0"/>
        <v>16.36</v>
      </c>
      <c r="E14">
        <v>50</v>
      </c>
      <c r="F14">
        <f>단계양수시험!G25</f>
        <v>16.36</v>
      </c>
    </row>
    <row r="15" spans="1:6" x14ac:dyDescent="0.15">
      <c r="A15" s="228">
        <v>55</v>
      </c>
      <c r="B15">
        <f t="shared" si="0"/>
        <v>16.73</v>
      </c>
      <c r="E15">
        <v>55</v>
      </c>
      <c r="F15">
        <f>단계양수시험!G26</f>
        <v>16.73</v>
      </c>
    </row>
    <row r="16" spans="1:6" x14ac:dyDescent="0.15">
      <c r="A16" s="228">
        <v>60</v>
      </c>
      <c r="B16">
        <f t="shared" si="0"/>
        <v>17.07</v>
      </c>
      <c r="E16">
        <v>60</v>
      </c>
      <c r="F16">
        <f>단계양수시험!G27</f>
        <v>17.07</v>
      </c>
    </row>
    <row r="17" spans="1:6" x14ac:dyDescent="0.15">
      <c r="A17" s="228">
        <v>75</v>
      </c>
      <c r="B17">
        <f t="shared" si="0"/>
        <v>17.95</v>
      </c>
      <c r="E17">
        <v>75</v>
      </c>
      <c r="F17">
        <f>단계양수시험!G28</f>
        <v>17.95</v>
      </c>
    </row>
    <row r="18" spans="1:6" x14ac:dyDescent="0.15">
      <c r="A18" s="228">
        <v>90</v>
      </c>
      <c r="B18">
        <f t="shared" si="0"/>
        <v>18.670000000000002</v>
      </c>
      <c r="E18">
        <v>90</v>
      </c>
      <c r="F18">
        <f>단계양수시험!G29</f>
        <v>18.670000000000002</v>
      </c>
    </row>
    <row r="19" spans="1:6" x14ac:dyDescent="0.15">
      <c r="A19" s="228">
        <v>105</v>
      </c>
      <c r="B19">
        <f t="shared" si="0"/>
        <v>19.27</v>
      </c>
      <c r="E19">
        <v>105</v>
      </c>
      <c r="F19">
        <f>단계양수시험!G30</f>
        <v>19.27</v>
      </c>
    </row>
    <row r="20" spans="1:6" x14ac:dyDescent="0.15">
      <c r="A20" s="230">
        <v>120</v>
      </c>
      <c r="B20" s="236">
        <f t="shared" si="0"/>
        <v>19.8</v>
      </c>
      <c r="C20" s="236">
        <f>B26-B20</f>
        <v>4.2899999999999991</v>
      </c>
      <c r="D20" s="237">
        <f>C20/10</f>
        <v>0.42899999999999994</v>
      </c>
      <c r="E20">
        <v>120</v>
      </c>
      <c r="F20">
        <f>단계양수시험!G31</f>
        <v>19.8</v>
      </c>
    </row>
    <row r="21" spans="1:6" x14ac:dyDescent="0.15">
      <c r="A21" s="228">
        <v>121</v>
      </c>
      <c r="B21" s="235">
        <f>B20+D21</f>
        <v>19.96</v>
      </c>
      <c r="D21">
        <v>0.16</v>
      </c>
      <c r="E21">
        <v>130</v>
      </c>
      <c r="F21">
        <f>단계양수시험!G32</f>
        <v>24.09</v>
      </c>
    </row>
    <row r="22" spans="1:6" x14ac:dyDescent="0.15">
      <c r="A22" s="228">
        <v>122</v>
      </c>
      <c r="B22" s="235">
        <f>B21+D22</f>
        <v>20.11</v>
      </c>
      <c r="D22">
        <v>0.15</v>
      </c>
      <c r="E22">
        <v>140</v>
      </c>
      <c r="F22">
        <f>단계양수시험!G33</f>
        <v>24.8</v>
      </c>
    </row>
    <row r="23" spans="1:6" x14ac:dyDescent="0.15">
      <c r="A23" s="228">
        <v>123</v>
      </c>
      <c r="B23" s="235">
        <f>B22+D23</f>
        <v>20.25</v>
      </c>
      <c r="D23">
        <v>0.14000000000000001</v>
      </c>
      <c r="E23">
        <v>150</v>
      </c>
      <c r="F23">
        <f>단계양수시험!G34</f>
        <v>25.52</v>
      </c>
    </row>
    <row r="24" spans="1:6" x14ac:dyDescent="0.15">
      <c r="A24" s="228">
        <v>124</v>
      </c>
      <c r="B24" s="235">
        <f>B23+D24</f>
        <v>20.38</v>
      </c>
      <c r="D24">
        <v>0.13</v>
      </c>
      <c r="E24">
        <v>180</v>
      </c>
      <c r="F24">
        <f>단계양수시험!G35</f>
        <v>26.23</v>
      </c>
    </row>
    <row r="25" spans="1:6" x14ac:dyDescent="0.15">
      <c r="A25" s="228">
        <v>125</v>
      </c>
      <c r="B25" s="235">
        <f>B24+D25</f>
        <v>20.509999999999998</v>
      </c>
      <c r="D25">
        <v>0.13</v>
      </c>
      <c r="E25">
        <v>240</v>
      </c>
      <c r="F25">
        <f>단계양수시험!G36</f>
        <v>26.95</v>
      </c>
    </row>
    <row r="26" spans="1:6" x14ac:dyDescent="0.15">
      <c r="A26" s="228">
        <v>130</v>
      </c>
      <c r="B26" s="236">
        <f>F21</f>
        <v>24.09</v>
      </c>
      <c r="C26" s="236">
        <f>B28-B26</f>
        <v>0.71000000000000085</v>
      </c>
      <c r="D26" s="236">
        <f>C26/2</f>
        <v>0.35500000000000043</v>
      </c>
      <c r="E26">
        <v>250</v>
      </c>
      <c r="F26">
        <f>단계양수시험!G37</f>
        <v>31.49</v>
      </c>
    </row>
    <row r="27" spans="1:6" x14ac:dyDescent="0.15">
      <c r="A27" s="228">
        <v>135</v>
      </c>
      <c r="B27" s="235">
        <f>B26+D27</f>
        <v>24.2</v>
      </c>
      <c r="D27">
        <v>0.11</v>
      </c>
      <c r="E27">
        <v>260</v>
      </c>
      <c r="F27">
        <f>단계양수시험!G38</f>
        <v>32.25</v>
      </c>
    </row>
    <row r="28" spans="1:6" x14ac:dyDescent="0.15">
      <c r="A28" s="228">
        <v>140</v>
      </c>
      <c r="B28" s="236">
        <f>F22</f>
        <v>24.8</v>
      </c>
      <c r="C28" s="236">
        <f>B30-B28</f>
        <v>0.71999999999999886</v>
      </c>
      <c r="D28" s="236">
        <f>C28/2</f>
        <v>0.35999999999999943</v>
      </c>
      <c r="E28">
        <v>270</v>
      </c>
      <c r="F28">
        <f>단계양수시험!G39</f>
        <v>33.01</v>
      </c>
    </row>
    <row r="29" spans="1:6" x14ac:dyDescent="0.15">
      <c r="A29" s="228">
        <v>145</v>
      </c>
      <c r="B29" s="235">
        <f>B28+D29</f>
        <v>24.900000000000002</v>
      </c>
      <c r="D29">
        <v>0.1</v>
      </c>
      <c r="E29">
        <v>300</v>
      </c>
      <c r="F29">
        <f>단계양수시험!G40</f>
        <v>33.770000000000003</v>
      </c>
    </row>
    <row r="30" spans="1:6" x14ac:dyDescent="0.15">
      <c r="A30" s="228">
        <v>150</v>
      </c>
      <c r="B30" s="236">
        <f>F23</f>
        <v>25.52</v>
      </c>
      <c r="C30" s="236">
        <f>B36-B30</f>
        <v>0.71000000000000085</v>
      </c>
      <c r="D30" s="238">
        <f>C30/6</f>
        <v>0.11833333333333347</v>
      </c>
      <c r="E30">
        <v>360</v>
      </c>
      <c r="F30">
        <f>단계양수시험!G41</f>
        <v>34.53</v>
      </c>
    </row>
    <row r="31" spans="1:6" x14ac:dyDescent="0.15">
      <c r="A31" s="228">
        <v>155</v>
      </c>
      <c r="B31" s="235">
        <f>B30+D31</f>
        <v>25.58</v>
      </c>
      <c r="D31">
        <v>0.06</v>
      </c>
    </row>
    <row r="32" spans="1:6" x14ac:dyDescent="0.15">
      <c r="A32" s="228">
        <v>160</v>
      </c>
      <c r="B32" s="235">
        <f t="shared" ref="B32:B39" si="1">B31+D32</f>
        <v>25.63</v>
      </c>
      <c r="D32">
        <v>0.05</v>
      </c>
    </row>
    <row r="33" spans="1:4" x14ac:dyDescent="0.15">
      <c r="A33" s="228">
        <v>165</v>
      </c>
      <c r="B33" s="235">
        <f t="shared" si="1"/>
        <v>25.669999999999998</v>
      </c>
      <c r="D33">
        <v>0.04</v>
      </c>
    </row>
    <row r="34" spans="1:4" x14ac:dyDescent="0.15">
      <c r="A34" s="228">
        <v>170</v>
      </c>
      <c r="B34" s="235">
        <f t="shared" si="1"/>
        <v>25.7</v>
      </c>
      <c r="D34">
        <v>0.03</v>
      </c>
    </row>
    <row r="35" spans="1:4" x14ac:dyDescent="0.15">
      <c r="A35" s="228">
        <v>175</v>
      </c>
      <c r="B35" s="235">
        <f t="shared" si="1"/>
        <v>25.72</v>
      </c>
      <c r="D35">
        <v>0.02</v>
      </c>
    </row>
    <row r="36" spans="1:4" x14ac:dyDescent="0.15">
      <c r="A36" s="228">
        <v>180</v>
      </c>
      <c r="B36" s="236">
        <f>F24</f>
        <v>26.23</v>
      </c>
      <c r="C36" s="236">
        <f>B40-B36</f>
        <v>0.71999999999999886</v>
      </c>
      <c r="D36" s="236">
        <f>C36/4</f>
        <v>0.17999999999999972</v>
      </c>
    </row>
    <row r="37" spans="1:4" x14ac:dyDescent="0.15">
      <c r="A37" s="228">
        <v>195</v>
      </c>
      <c r="B37" s="235">
        <f t="shared" si="1"/>
        <v>26.3</v>
      </c>
      <c r="D37">
        <v>7.0000000000000007E-2</v>
      </c>
    </row>
    <row r="38" spans="1:4" x14ac:dyDescent="0.15">
      <c r="A38" s="228">
        <v>210</v>
      </c>
      <c r="B38" s="235">
        <f t="shared" si="1"/>
        <v>26.36</v>
      </c>
      <c r="D38">
        <v>0.06</v>
      </c>
    </row>
    <row r="39" spans="1:4" x14ac:dyDescent="0.15">
      <c r="A39" s="228">
        <v>225</v>
      </c>
      <c r="B39" s="235">
        <f t="shared" si="1"/>
        <v>26.41</v>
      </c>
      <c r="D39">
        <v>0.05</v>
      </c>
    </row>
    <row r="40" spans="1:4" x14ac:dyDescent="0.15">
      <c r="A40" s="230">
        <v>240</v>
      </c>
      <c r="B40" s="236">
        <f>F25</f>
        <v>26.95</v>
      </c>
      <c r="C40" s="236">
        <f>B46-B40</f>
        <v>4.5399999999999991</v>
      </c>
      <c r="D40" s="237">
        <f>C40/10</f>
        <v>0.4539999999999999</v>
      </c>
    </row>
    <row r="41" spans="1:4" x14ac:dyDescent="0.15">
      <c r="A41" s="228">
        <v>241</v>
      </c>
      <c r="B41" s="235">
        <f>B40+D41</f>
        <v>27.13</v>
      </c>
      <c r="D41">
        <v>0.18</v>
      </c>
    </row>
    <row r="42" spans="1:4" x14ac:dyDescent="0.15">
      <c r="A42" s="228">
        <v>242</v>
      </c>
      <c r="B42" s="235">
        <f>B41+D42</f>
        <v>27.29</v>
      </c>
      <c r="D42">
        <v>0.16</v>
      </c>
    </row>
    <row r="43" spans="1:4" x14ac:dyDescent="0.15">
      <c r="A43" s="228">
        <v>243</v>
      </c>
      <c r="B43" s="235">
        <f>B42+D43</f>
        <v>27.439999999999998</v>
      </c>
      <c r="D43">
        <v>0.15</v>
      </c>
    </row>
    <row r="44" spans="1:4" x14ac:dyDescent="0.15">
      <c r="A44" s="228">
        <v>244</v>
      </c>
      <c r="B44" s="235">
        <f>B43+D44</f>
        <v>27.58</v>
      </c>
      <c r="D44">
        <v>0.14000000000000001</v>
      </c>
    </row>
    <row r="45" spans="1:4" x14ac:dyDescent="0.15">
      <c r="A45" s="228">
        <v>245</v>
      </c>
      <c r="B45" s="235">
        <f>B44+D45</f>
        <v>27.709999999999997</v>
      </c>
      <c r="D45">
        <v>0.13</v>
      </c>
    </row>
    <row r="46" spans="1:4" x14ac:dyDescent="0.15">
      <c r="A46" s="228">
        <v>250</v>
      </c>
      <c r="B46" s="236">
        <f>F26</f>
        <v>31.49</v>
      </c>
      <c r="C46" s="236">
        <f>B48-B46</f>
        <v>0.76000000000000156</v>
      </c>
      <c r="D46" s="236">
        <f>C46/2</f>
        <v>0.38000000000000078</v>
      </c>
    </row>
    <row r="47" spans="1:4" x14ac:dyDescent="0.15">
      <c r="A47" s="228">
        <v>255</v>
      </c>
      <c r="B47" s="235">
        <f>B46+D47</f>
        <v>31.599999999999998</v>
      </c>
      <c r="D47">
        <v>0.11</v>
      </c>
    </row>
    <row r="48" spans="1:4" x14ac:dyDescent="0.15">
      <c r="A48" s="228">
        <v>260</v>
      </c>
      <c r="B48" s="236">
        <f>F27</f>
        <v>32.25</v>
      </c>
      <c r="C48" s="236">
        <f>B50-B48</f>
        <v>0.75999999999999801</v>
      </c>
      <c r="D48" s="236">
        <f>C48/2</f>
        <v>0.37999999999999901</v>
      </c>
    </row>
    <row r="49" spans="1:6" x14ac:dyDescent="0.15">
      <c r="A49" s="228">
        <v>265</v>
      </c>
      <c r="B49" s="235">
        <f>B48+D49</f>
        <v>32.36</v>
      </c>
      <c r="D49">
        <v>0.11</v>
      </c>
    </row>
    <row r="50" spans="1:6" x14ac:dyDescent="0.15">
      <c r="A50" s="228">
        <v>270</v>
      </c>
      <c r="B50" s="236">
        <f>F28</f>
        <v>33.01</v>
      </c>
      <c r="C50" s="236">
        <f>B56-B50</f>
        <v>0.76000000000000512</v>
      </c>
      <c r="D50" s="238">
        <f>C50/6</f>
        <v>0.12666666666666751</v>
      </c>
    </row>
    <row r="51" spans="1:6" x14ac:dyDescent="0.15">
      <c r="A51" s="228">
        <v>275</v>
      </c>
      <c r="B51" s="235">
        <f>B50+D51</f>
        <v>33.08</v>
      </c>
      <c r="D51">
        <v>7.0000000000000007E-2</v>
      </c>
    </row>
    <row r="52" spans="1:6" x14ac:dyDescent="0.15">
      <c r="A52" s="228">
        <v>280</v>
      </c>
      <c r="B52" s="235">
        <f>B51+D52</f>
        <v>33.129999999999995</v>
      </c>
      <c r="D52">
        <v>0.05</v>
      </c>
    </row>
    <row r="53" spans="1:6" x14ac:dyDescent="0.15">
      <c r="A53" s="228">
        <v>285</v>
      </c>
      <c r="B53" s="235">
        <f>B52+D53</f>
        <v>33.169999999999995</v>
      </c>
      <c r="D53">
        <v>0.04</v>
      </c>
    </row>
    <row r="54" spans="1:6" x14ac:dyDescent="0.15">
      <c r="A54" s="228">
        <v>290</v>
      </c>
      <c r="B54" s="235">
        <f>B53+D54</f>
        <v>33.199999999999996</v>
      </c>
      <c r="D54">
        <v>0.03</v>
      </c>
    </row>
    <row r="55" spans="1:6" x14ac:dyDescent="0.15">
      <c r="A55" s="228">
        <v>295</v>
      </c>
      <c r="B55" s="235">
        <f>B54+D55</f>
        <v>33.22</v>
      </c>
      <c r="D55">
        <v>0.02</v>
      </c>
    </row>
    <row r="56" spans="1:6" x14ac:dyDescent="0.15">
      <c r="A56" s="228">
        <v>300</v>
      </c>
      <c r="B56" s="236">
        <f>F29</f>
        <v>33.770000000000003</v>
      </c>
      <c r="C56" s="236">
        <f>B60-B56</f>
        <v>0.75999999999999801</v>
      </c>
      <c r="D56" s="236">
        <f>C56/4</f>
        <v>0.1899999999999995</v>
      </c>
    </row>
    <row r="57" spans="1:6" x14ac:dyDescent="0.15">
      <c r="A57" s="228">
        <v>315</v>
      </c>
      <c r="B57" s="235">
        <f>B56+D57</f>
        <v>33.85</v>
      </c>
      <c r="D57">
        <v>0.08</v>
      </c>
    </row>
    <row r="58" spans="1:6" x14ac:dyDescent="0.15">
      <c r="A58" s="228">
        <v>330</v>
      </c>
      <c r="B58" s="235">
        <f>B57+D58</f>
        <v>33.910000000000004</v>
      </c>
      <c r="D58">
        <v>0.06</v>
      </c>
    </row>
    <row r="59" spans="1:6" x14ac:dyDescent="0.15">
      <c r="A59" s="228">
        <v>345</v>
      </c>
      <c r="B59" s="235">
        <f>B58+D59</f>
        <v>33.96</v>
      </c>
      <c r="D59">
        <v>0.05</v>
      </c>
    </row>
    <row r="60" spans="1:6" x14ac:dyDescent="0.15">
      <c r="A60" s="230">
        <v>360</v>
      </c>
      <c r="B60" s="236">
        <f>F30</f>
        <v>34.53</v>
      </c>
      <c r="C60" s="236">
        <f>B66-B60</f>
        <v>5.07</v>
      </c>
      <c r="D60" s="237">
        <f>C60/10</f>
        <v>0.50700000000000001</v>
      </c>
    </row>
    <row r="61" spans="1:6" x14ac:dyDescent="0.15">
      <c r="A61" s="228">
        <v>361</v>
      </c>
      <c r="B61" s="235">
        <f>B60+D61</f>
        <v>34.72</v>
      </c>
      <c r="D61">
        <v>0.19</v>
      </c>
    </row>
    <row r="62" spans="1:6" x14ac:dyDescent="0.15">
      <c r="A62" s="228">
        <v>362</v>
      </c>
      <c r="B62" s="235">
        <f>B61+D62</f>
        <v>34.89</v>
      </c>
      <c r="D62">
        <v>0.17</v>
      </c>
    </row>
    <row r="63" spans="1:6" x14ac:dyDescent="0.15">
      <c r="A63" s="228">
        <v>363</v>
      </c>
      <c r="B63" s="235">
        <f>B62+D63</f>
        <v>35.049999999999997</v>
      </c>
      <c r="D63">
        <v>0.16</v>
      </c>
      <c r="E63">
        <v>370</v>
      </c>
      <c r="F63">
        <f>단계양수시험!G42</f>
        <v>39.6</v>
      </c>
    </row>
    <row r="64" spans="1:6" x14ac:dyDescent="0.15">
      <c r="A64" s="228">
        <v>364</v>
      </c>
      <c r="B64" s="235">
        <f>B63+D64</f>
        <v>35.199999999999996</v>
      </c>
      <c r="D64">
        <v>0.15</v>
      </c>
      <c r="E64">
        <v>380</v>
      </c>
      <c r="F64">
        <f>단계양수시험!G43</f>
        <v>40.44</v>
      </c>
    </row>
    <row r="65" spans="1:6" x14ac:dyDescent="0.15">
      <c r="A65" s="228">
        <v>365</v>
      </c>
      <c r="B65" s="235">
        <f>B64+D65</f>
        <v>35.339999999999996</v>
      </c>
      <c r="D65">
        <v>0.14000000000000001</v>
      </c>
      <c r="E65">
        <v>390</v>
      </c>
      <c r="F65">
        <f>단계양수시험!G44</f>
        <v>41.29</v>
      </c>
    </row>
    <row r="66" spans="1:6" x14ac:dyDescent="0.15">
      <c r="A66" s="228">
        <v>370</v>
      </c>
      <c r="B66" s="236">
        <f>F63</f>
        <v>39.6</v>
      </c>
      <c r="C66" s="239">
        <f>B68-B66</f>
        <v>0.83999999999999631</v>
      </c>
      <c r="D66" s="236">
        <f>C66/2</f>
        <v>0.41999999999999815</v>
      </c>
      <c r="E66">
        <v>420</v>
      </c>
      <c r="F66">
        <f>단계양수시험!G45</f>
        <v>42.13</v>
      </c>
    </row>
    <row r="67" spans="1:6" x14ac:dyDescent="0.15">
      <c r="A67" s="228">
        <v>375</v>
      </c>
      <c r="B67" s="235">
        <f>B66+D67</f>
        <v>39.72</v>
      </c>
      <c r="D67">
        <v>0.12</v>
      </c>
      <c r="E67">
        <v>480</v>
      </c>
      <c r="F67">
        <f>단계양수시험!G46</f>
        <v>42.98</v>
      </c>
    </row>
    <row r="68" spans="1:6" x14ac:dyDescent="0.15">
      <c r="A68" s="228">
        <v>380</v>
      </c>
      <c r="B68" s="240">
        <f>F64</f>
        <v>40.44</v>
      </c>
      <c r="C68" s="236">
        <f>B70-B68</f>
        <v>0.85000000000000142</v>
      </c>
      <c r="D68" s="236">
        <f>C68/2</f>
        <v>0.42500000000000071</v>
      </c>
      <c r="E68">
        <v>490</v>
      </c>
      <c r="F68">
        <f>단계양수시험!G47</f>
        <v>48.13</v>
      </c>
    </row>
    <row r="69" spans="1:6" x14ac:dyDescent="0.15">
      <c r="A69" s="228">
        <v>385</v>
      </c>
      <c r="B69" s="235">
        <f>B68+D69</f>
        <v>40.559999999999995</v>
      </c>
      <c r="D69">
        <v>0.12</v>
      </c>
      <c r="E69">
        <v>500</v>
      </c>
      <c r="F69">
        <f>단계양수시험!G48</f>
        <v>50.06</v>
      </c>
    </row>
    <row r="70" spans="1:6" x14ac:dyDescent="0.15">
      <c r="A70" s="228">
        <v>390</v>
      </c>
      <c r="B70" s="240">
        <f>F65</f>
        <v>41.29</v>
      </c>
      <c r="C70" s="236">
        <f>B76-B70</f>
        <v>0.84000000000000341</v>
      </c>
      <c r="D70" s="238">
        <f>C70/6</f>
        <v>0.14000000000000057</v>
      </c>
      <c r="E70">
        <v>510</v>
      </c>
      <c r="F70">
        <f>단계양수시험!G49</f>
        <v>52</v>
      </c>
    </row>
    <row r="71" spans="1:6" x14ac:dyDescent="0.15">
      <c r="A71" s="228">
        <v>395</v>
      </c>
      <c r="B71" s="235">
        <f>B70+D71</f>
        <v>41.36</v>
      </c>
      <c r="D71">
        <v>7.0000000000000007E-2</v>
      </c>
      <c r="E71">
        <v>540</v>
      </c>
      <c r="F71">
        <f>단계양수시험!G50</f>
        <v>53.93</v>
      </c>
    </row>
    <row r="72" spans="1:6" x14ac:dyDescent="0.15">
      <c r="A72" s="228">
        <v>400</v>
      </c>
      <c r="B72" s="235">
        <f>B71+D72</f>
        <v>41.41</v>
      </c>
      <c r="D72">
        <v>0.05</v>
      </c>
      <c r="E72">
        <v>600</v>
      </c>
      <c r="F72">
        <f>단계양수시험!G51</f>
        <v>55.87</v>
      </c>
    </row>
    <row r="73" spans="1:6" x14ac:dyDescent="0.15">
      <c r="A73" s="228">
        <v>405</v>
      </c>
      <c r="B73" s="235">
        <f>B72+D73</f>
        <v>41.449999999999996</v>
      </c>
      <c r="D73">
        <v>0.04</v>
      </c>
    </row>
    <row r="74" spans="1:6" x14ac:dyDescent="0.15">
      <c r="A74" s="228">
        <v>410</v>
      </c>
      <c r="B74" s="235">
        <f>B73+D74</f>
        <v>41.48</v>
      </c>
      <c r="D74">
        <v>0.03</v>
      </c>
    </row>
    <row r="75" spans="1:6" x14ac:dyDescent="0.15">
      <c r="A75" s="228">
        <v>415</v>
      </c>
      <c r="B75" s="235">
        <f>B74+D75</f>
        <v>41.51</v>
      </c>
      <c r="D75">
        <v>0.03</v>
      </c>
    </row>
    <row r="76" spans="1:6" x14ac:dyDescent="0.15">
      <c r="A76" s="228">
        <v>420</v>
      </c>
      <c r="B76" s="240">
        <f>F66</f>
        <v>42.13</v>
      </c>
      <c r="C76" s="236">
        <f>B80-B76</f>
        <v>0.84999999999999432</v>
      </c>
      <c r="D76" s="236">
        <f>C76/4</f>
        <v>0.21249999999999858</v>
      </c>
    </row>
    <row r="77" spans="1:6" x14ac:dyDescent="0.15">
      <c r="A77" s="228">
        <v>435</v>
      </c>
      <c r="B77" s="235">
        <f>B76+D77</f>
        <v>42.220000000000006</v>
      </c>
      <c r="D77">
        <v>0.09</v>
      </c>
    </row>
    <row r="78" spans="1:6" x14ac:dyDescent="0.15">
      <c r="A78" s="228">
        <v>450</v>
      </c>
      <c r="B78" s="235">
        <f>B77+D78</f>
        <v>42.290000000000006</v>
      </c>
      <c r="D78">
        <v>7.0000000000000007E-2</v>
      </c>
    </row>
    <row r="79" spans="1:6" x14ac:dyDescent="0.15">
      <c r="A79" s="228">
        <v>465</v>
      </c>
      <c r="B79" s="235">
        <f>B78+D79</f>
        <v>42.34</v>
      </c>
      <c r="D79">
        <v>0.05</v>
      </c>
    </row>
    <row r="80" spans="1:6" x14ac:dyDescent="0.15">
      <c r="A80" s="230">
        <v>480</v>
      </c>
      <c r="B80" s="240">
        <f>F67</f>
        <v>42.98</v>
      </c>
      <c r="C80" s="236">
        <f>B86-B80</f>
        <v>5.1500000000000057</v>
      </c>
      <c r="D80" s="237">
        <f>C80/10</f>
        <v>0.51500000000000057</v>
      </c>
    </row>
    <row r="81" spans="1:4" x14ac:dyDescent="0.15">
      <c r="A81" s="228">
        <v>481</v>
      </c>
      <c r="B81" s="235">
        <f>B80+D81</f>
        <v>43.19</v>
      </c>
      <c r="D81">
        <v>0.21</v>
      </c>
    </row>
    <row r="82" spans="1:4" x14ac:dyDescent="0.15">
      <c r="A82" s="228">
        <v>482</v>
      </c>
      <c r="B82" s="235">
        <f>B81+D82</f>
        <v>43.379999999999995</v>
      </c>
      <c r="D82">
        <v>0.19</v>
      </c>
    </row>
    <row r="83" spans="1:4" x14ac:dyDescent="0.15">
      <c r="A83" s="228">
        <v>483</v>
      </c>
      <c r="B83" s="235">
        <f>B82+D83</f>
        <v>43.55</v>
      </c>
      <c r="D83">
        <v>0.17</v>
      </c>
    </row>
    <row r="84" spans="1:4" x14ac:dyDescent="0.15">
      <c r="A84" s="228">
        <v>484</v>
      </c>
      <c r="B84" s="235">
        <f>B83+D84</f>
        <v>43.709999999999994</v>
      </c>
      <c r="D84">
        <v>0.16</v>
      </c>
    </row>
    <row r="85" spans="1:4" x14ac:dyDescent="0.15">
      <c r="A85" s="228">
        <v>485</v>
      </c>
      <c r="B85" s="235">
        <f>B84+D85</f>
        <v>43.849999999999994</v>
      </c>
      <c r="D85">
        <v>0.14000000000000001</v>
      </c>
    </row>
    <row r="86" spans="1:4" x14ac:dyDescent="0.15">
      <c r="A86" s="228">
        <v>490</v>
      </c>
      <c r="B86" s="240">
        <f>F68</f>
        <v>48.13</v>
      </c>
      <c r="C86" s="236">
        <f>B88-B86</f>
        <v>1.9299999999999997</v>
      </c>
      <c r="D86" s="236">
        <f>C86/2</f>
        <v>0.96499999999999986</v>
      </c>
    </row>
    <row r="87" spans="1:4" x14ac:dyDescent="0.15">
      <c r="A87" s="228">
        <v>495</v>
      </c>
      <c r="B87" s="235">
        <f>B86+D87</f>
        <v>48.440000000000005</v>
      </c>
      <c r="D87">
        <v>0.31</v>
      </c>
    </row>
    <row r="88" spans="1:4" x14ac:dyDescent="0.15">
      <c r="A88" s="228">
        <v>500</v>
      </c>
      <c r="B88" s="240">
        <f>F69</f>
        <v>50.06</v>
      </c>
      <c r="C88" s="236">
        <f>B90-B88</f>
        <v>1.9399999999999977</v>
      </c>
      <c r="D88" s="236">
        <f>C88/2</f>
        <v>0.96999999999999886</v>
      </c>
    </row>
    <row r="89" spans="1:4" x14ac:dyDescent="0.15">
      <c r="A89" s="228">
        <v>505</v>
      </c>
      <c r="B89" s="235">
        <f>B88+D89</f>
        <v>50.36</v>
      </c>
      <c r="D89">
        <v>0.3</v>
      </c>
    </row>
    <row r="90" spans="1:4" x14ac:dyDescent="0.15">
      <c r="A90" s="228">
        <v>510</v>
      </c>
      <c r="B90" s="240">
        <f>F70</f>
        <v>52</v>
      </c>
      <c r="C90" s="236">
        <f>B96-B90</f>
        <v>1.9299999999999997</v>
      </c>
      <c r="D90" s="238">
        <f>C90/6</f>
        <v>0.3216666666666666</v>
      </c>
    </row>
    <row r="91" spans="1:4" x14ac:dyDescent="0.15">
      <c r="A91" s="228">
        <v>515</v>
      </c>
      <c r="B91" s="235">
        <f>B90+D91</f>
        <v>52.15</v>
      </c>
      <c r="D91">
        <v>0.15</v>
      </c>
    </row>
    <row r="92" spans="1:4" x14ac:dyDescent="0.15">
      <c r="A92" s="228">
        <v>520</v>
      </c>
      <c r="B92" s="235">
        <f>B91+D92</f>
        <v>52.28</v>
      </c>
      <c r="D92">
        <v>0.13</v>
      </c>
    </row>
    <row r="93" spans="1:4" x14ac:dyDescent="0.15">
      <c r="A93" s="228">
        <v>525</v>
      </c>
      <c r="B93" s="235">
        <f>B92+D93</f>
        <v>52.39</v>
      </c>
      <c r="D93">
        <v>0.11</v>
      </c>
    </row>
    <row r="94" spans="1:4" x14ac:dyDescent="0.15">
      <c r="A94" s="228">
        <v>530</v>
      </c>
      <c r="B94" s="235">
        <f>B93+D94</f>
        <v>52.47</v>
      </c>
      <c r="D94">
        <v>0.08</v>
      </c>
    </row>
    <row r="95" spans="1:4" x14ac:dyDescent="0.15">
      <c r="A95" s="228">
        <v>535</v>
      </c>
      <c r="B95" s="235">
        <f>B94+D95</f>
        <v>52.54</v>
      </c>
      <c r="D95">
        <v>7.0000000000000007E-2</v>
      </c>
    </row>
    <row r="96" spans="1:4" x14ac:dyDescent="0.15">
      <c r="A96" s="228">
        <v>540</v>
      </c>
      <c r="B96" s="240">
        <f>F71</f>
        <v>53.93</v>
      </c>
      <c r="C96" s="236">
        <f>B100-B96</f>
        <v>1.9399999999999977</v>
      </c>
      <c r="D96" s="236">
        <f>C96/4</f>
        <v>0.48499999999999943</v>
      </c>
    </row>
    <row r="97" spans="1:4" x14ac:dyDescent="0.15">
      <c r="A97" s="228">
        <v>555</v>
      </c>
      <c r="B97" s="235">
        <f>B96+D97</f>
        <v>54.12</v>
      </c>
      <c r="D97">
        <v>0.19</v>
      </c>
    </row>
    <row r="98" spans="1:4" x14ac:dyDescent="0.15">
      <c r="A98" s="228">
        <v>570</v>
      </c>
      <c r="B98" s="235">
        <f>B97+D98</f>
        <v>54.279999999999994</v>
      </c>
      <c r="D98">
        <v>0.16</v>
      </c>
    </row>
    <row r="99" spans="1:4" x14ac:dyDescent="0.15">
      <c r="A99" s="228">
        <v>585</v>
      </c>
      <c r="B99" s="235">
        <f>B98+D99</f>
        <v>54.419999999999995</v>
      </c>
      <c r="D99">
        <v>0.14000000000000001</v>
      </c>
    </row>
    <row r="100" spans="1:4" x14ac:dyDescent="0.15">
      <c r="A100" s="230">
        <v>600</v>
      </c>
      <c r="B100" s="203">
        <f>F72</f>
        <v>55.87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19"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61.358333333333334</v>
      </c>
      <c r="F1" s="231"/>
      <c r="G1" s="231">
        <f>E1/E2</f>
        <v>0.87654761904761902</v>
      </c>
    </row>
    <row r="2" spans="1:19" x14ac:dyDescent="0.15">
      <c r="A2" s="47" t="s">
        <v>186</v>
      </c>
      <c r="B2" s="47" t="s">
        <v>187</v>
      </c>
      <c r="D2" s="20">
        <f>D19</f>
        <v>117</v>
      </c>
      <c r="E2" s="231">
        <f>M51/3</f>
        <v>70</v>
      </c>
      <c r="F2" s="274" t="s">
        <v>189</v>
      </c>
      <c r="G2" s="273" t="s">
        <v>220</v>
      </c>
    </row>
    <row r="3" spans="1:19" x14ac:dyDescent="0.15">
      <c r="A3" s="179">
        <f>B3+$M$48</f>
        <v>27.1</v>
      </c>
      <c r="B3" s="276">
        <f>B20</f>
        <v>19.8</v>
      </c>
      <c r="C3" s="19"/>
      <c r="D3" s="275">
        <f t="shared" ref="D3:D7" si="0">D20</f>
        <v>130</v>
      </c>
      <c r="E3" s="17">
        <f>D3/12</f>
        <v>10.833333333333334</v>
      </c>
      <c r="F3" s="21">
        <f>INT(B3/D3*1000)/1000</f>
        <v>0.152</v>
      </c>
      <c r="G3" s="21">
        <f>1/F3</f>
        <v>6.5789473684210531</v>
      </c>
    </row>
    <row r="4" spans="1:19" x14ac:dyDescent="0.15">
      <c r="A4" s="179">
        <f>B4+$M$48</f>
        <v>34.25</v>
      </c>
      <c r="B4" s="19">
        <f>B21</f>
        <v>26.95</v>
      </c>
      <c r="C4" s="19"/>
      <c r="D4" s="20">
        <f t="shared" si="0"/>
        <v>166</v>
      </c>
      <c r="E4" s="17">
        <f>D4/12</f>
        <v>13.833333333333334</v>
      </c>
      <c r="F4" s="21">
        <f>INT(B4/D4*1000)/1000</f>
        <v>0.16200000000000001</v>
      </c>
      <c r="G4" s="21">
        <f t="shared" ref="G4:G7" si="1">1/F4</f>
        <v>6.1728395061728394</v>
      </c>
    </row>
    <row r="5" spans="1:19" x14ac:dyDescent="0.15">
      <c r="A5" s="179">
        <f>B5+$M$48</f>
        <v>41.83</v>
      </c>
      <c r="B5" s="19">
        <f>B22</f>
        <v>34.53</v>
      </c>
      <c r="C5" s="19"/>
      <c r="D5" s="20">
        <f t="shared" si="0"/>
        <v>202.29999999999998</v>
      </c>
      <c r="E5" s="17">
        <f>D5/12</f>
        <v>16.858333333333331</v>
      </c>
      <c r="F5" s="21">
        <f>INT(B5/D5*1000)/1000</f>
        <v>0.17</v>
      </c>
      <c r="G5" s="21">
        <f t="shared" si="1"/>
        <v>5.8823529411764701</v>
      </c>
    </row>
    <row r="6" spans="1:19" x14ac:dyDescent="0.15">
      <c r="A6" s="179">
        <f>B6+$M$48</f>
        <v>50.279999999999994</v>
      </c>
      <c r="B6" s="276">
        <f>B23</f>
        <v>42.98</v>
      </c>
      <c r="C6" s="19"/>
      <c r="D6" s="17">
        <f t="shared" si="0"/>
        <v>238</v>
      </c>
      <c r="E6" s="17">
        <f>D6/12</f>
        <v>19.833333333333332</v>
      </c>
      <c r="F6" s="21">
        <f>INT(B6/D6*1000)/1000</f>
        <v>0.18</v>
      </c>
      <c r="G6" s="21">
        <f t="shared" si="1"/>
        <v>5.5555555555555554</v>
      </c>
    </row>
    <row r="7" spans="1:19" x14ac:dyDescent="0.15">
      <c r="A7" s="179">
        <f>B7+$M$48</f>
        <v>63.169999999999995</v>
      </c>
      <c r="B7" s="19">
        <f>B24</f>
        <v>55.87</v>
      </c>
      <c r="C7" s="19"/>
      <c r="D7" s="20">
        <f t="shared" si="0"/>
        <v>273.7</v>
      </c>
      <c r="E7" s="17">
        <f>D7/12</f>
        <v>22.808333333333334</v>
      </c>
      <c r="F7" s="21">
        <f>INT(B7/D7*1000)/1000</f>
        <v>0.20399999999999999</v>
      </c>
      <c r="G7" s="21">
        <f t="shared" si="1"/>
        <v>4.9019607843137258</v>
      </c>
    </row>
    <row r="8" spans="1:19" x14ac:dyDescent="0.15">
      <c r="B8" s="17" t="s">
        <v>0</v>
      </c>
      <c r="E8" s="522" t="s">
        <v>124</v>
      </c>
      <c r="F8" s="522"/>
      <c r="G8" s="522"/>
    </row>
    <row r="9" spans="1:19" x14ac:dyDescent="0.15">
      <c r="A9" s="272" t="s">
        <v>194</v>
      </c>
      <c r="B9" s="272" t="s">
        <v>195</v>
      </c>
      <c r="E9" s="86">
        <v>0.96</v>
      </c>
      <c r="F9" s="523" t="s">
        <v>114</v>
      </c>
      <c r="G9" s="523"/>
    </row>
    <row r="10" spans="1:19" x14ac:dyDescent="0.15">
      <c r="A10" s="271">
        <f>D20/B20</f>
        <v>6.5656565656565657</v>
      </c>
      <c r="B10" s="271">
        <f>B20/D20</f>
        <v>0.15230769230769231</v>
      </c>
      <c r="E10" s="86">
        <v>0.98</v>
      </c>
      <c r="F10" s="523" t="s">
        <v>115</v>
      </c>
      <c r="G10" s="523"/>
    </row>
    <row r="11" spans="1:19" x14ac:dyDescent="0.15">
      <c r="A11" s="271">
        <f t="shared" ref="A11:A14" si="2">D21/B21</f>
        <v>6.1595547309833023</v>
      </c>
      <c r="B11" s="271">
        <f t="shared" ref="B11:B14" si="3">B21/D21</f>
        <v>0.16234939759036143</v>
      </c>
      <c r="D11" s="17" t="s">
        <v>0</v>
      </c>
      <c r="E11" s="86">
        <v>0.98</v>
      </c>
      <c r="F11" s="523" t="s">
        <v>116</v>
      </c>
      <c r="G11" s="523"/>
    </row>
    <row r="12" spans="1:19" x14ac:dyDescent="0.15">
      <c r="A12" s="271">
        <f t="shared" si="2"/>
        <v>5.8586736171445111</v>
      </c>
      <c r="B12" s="271">
        <f t="shared" si="3"/>
        <v>0.17068709836875928</v>
      </c>
      <c r="E12" s="86">
        <v>1</v>
      </c>
      <c r="F12" s="523" t="s">
        <v>117</v>
      </c>
      <c r="G12" s="523"/>
    </row>
    <row r="13" spans="1:19" x14ac:dyDescent="0.15">
      <c r="A13" s="271">
        <f t="shared" si="2"/>
        <v>5.5374592833876228</v>
      </c>
      <c r="B13" s="271">
        <f t="shared" si="3"/>
        <v>0.18058823529411763</v>
      </c>
      <c r="D13" s="17" t="s">
        <v>0</v>
      </c>
      <c r="E13" s="522" t="s">
        <v>123</v>
      </c>
      <c r="F13" s="522"/>
      <c r="G13" s="522"/>
    </row>
    <row r="14" spans="1:19" x14ac:dyDescent="0.15">
      <c r="A14" s="271">
        <f t="shared" si="2"/>
        <v>4.8988723823160907</v>
      </c>
      <c r="B14" s="271">
        <f t="shared" si="3"/>
        <v>0.2041286079649251</v>
      </c>
      <c r="E14" s="87">
        <v>1</v>
      </c>
      <c r="F14" s="523" t="s">
        <v>114</v>
      </c>
      <c r="G14" s="523"/>
    </row>
    <row r="15" spans="1:19" x14ac:dyDescent="0.15">
      <c r="E15" s="87">
        <v>1</v>
      </c>
      <c r="F15" s="523" t="s">
        <v>115</v>
      </c>
      <c r="G15" s="523"/>
    </row>
    <row r="16" spans="1:19" x14ac:dyDescent="0.15">
      <c r="B16" s="38" t="s">
        <v>121</v>
      </c>
      <c r="D16" s="77" t="s">
        <v>122</v>
      </c>
      <c r="E16" s="87">
        <v>1</v>
      </c>
      <c r="F16" s="523" t="s">
        <v>116</v>
      </c>
      <c r="G16" s="523"/>
      <c r="R16" s="18">
        <v>0.128</v>
      </c>
      <c r="S16" s="18">
        <f>ROUNDDOWN(R16,1)</f>
        <v>0.1</v>
      </c>
    </row>
    <row r="17" spans="1:21" x14ac:dyDescent="0.15">
      <c r="B17" s="82">
        <f>M52</f>
        <v>42.98</v>
      </c>
      <c r="D17" s="85">
        <f>M47</f>
        <v>238</v>
      </c>
      <c r="E17" s="87">
        <v>1</v>
      </c>
      <c r="F17" s="523" t="s">
        <v>117</v>
      </c>
      <c r="G17" s="523"/>
      <c r="P17" s="325"/>
      <c r="Q17" s="324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5"/>
    </row>
    <row r="19" spans="1:21" x14ac:dyDescent="0.15">
      <c r="B19" s="83"/>
      <c r="C19" s="19"/>
      <c r="D19" s="81">
        <f>INT(D20*0.9)</f>
        <v>117</v>
      </c>
      <c r="F19" s="19"/>
      <c r="G19" s="19"/>
    </row>
    <row r="20" spans="1:21" x14ac:dyDescent="0.15">
      <c r="A20" s="252" t="s">
        <v>188</v>
      </c>
      <c r="B20" s="373">
        <f>INT(B$17*C20*100)/100</f>
        <v>19.8</v>
      </c>
      <c r="C20" s="17">
        <f>0.48*E9</f>
        <v>0.46079999999999999</v>
      </c>
      <c r="D20" s="374">
        <f>INT(D$17*E20)</f>
        <v>130</v>
      </c>
      <c r="E20" s="372">
        <f>0.55*E14</f>
        <v>0.55000000000000004</v>
      </c>
      <c r="F20" s="21">
        <f>B20/D20</f>
        <v>0.15230769230769231</v>
      </c>
      <c r="G20" s="17">
        <f>F20-F19</f>
        <v>0.15230769230769231</v>
      </c>
    </row>
    <row r="21" spans="1:21" x14ac:dyDescent="0.15">
      <c r="A21" s="19">
        <f>B21-B20</f>
        <v>7.1499999999999986</v>
      </c>
      <c r="B21" s="373">
        <f>INT(B$17*C21*100)/100</f>
        <v>26.95</v>
      </c>
      <c r="C21" s="17">
        <f>0.64*E10</f>
        <v>0.62719999999999998</v>
      </c>
      <c r="D21" s="374">
        <f>INT(D$17*E21)</f>
        <v>166</v>
      </c>
      <c r="E21" s="372">
        <f>0.7*E15</f>
        <v>0.7</v>
      </c>
      <c r="F21" s="21">
        <f>B21/D21</f>
        <v>0.16234939759036143</v>
      </c>
      <c r="G21" s="17">
        <f>F21-F20</f>
        <v>1.0041705282669122E-2</v>
      </c>
      <c r="N21" s="108" t="s">
        <v>135</v>
      </c>
      <c r="O21" s="497" t="s">
        <v>126</v>
      </c>
      <c r="P21" s="497"/>
      <c r="Q21" s="497" t="s">
        <v>129</v>
      </c>
      <c r="R21" s="497"/>
      <c r="S21" s="497" t="s">
        <v>131</v>
      </c>
      <c r="T21" s="497"/>
      <c r="U21" s="94" t="s">
        <v>132</v>
      </c>
    </row>
    <row r="22" spans="1:21" x14ac:dyDescent="0.15">
      <c r="A22" s="19">
        <f>B22-B21</f>
        <v>7.5800000000000018</v>
      </c>
      <c r="B22" s="373">
        <f>INT(B$17*C22*100)/100</f>
        <v>34.53</v>
      </c>
      <c r="C22" s="17">
        <f>0.82*E11</f>
        <v>0.80359999999999998</v>
      </c>
      <c r="D22" s="375">
        <f>(D$17*E22)</f>
        <v>202.29999999999998</v>
      </c>
      <c r="E22" s="372">
        <f>0.85*E16</f>
        <v>0.85</v>
      </c>
      <c r="F22" s="21">
        <f>B22/D22</f>
        <v>0.17068709836875928</v>
      </c>
      <c r="G22" s="17">
        <f>F22-F21</f>
        <v>8.3377007783978496E-3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8.4499999999999957</v>
      </c>
      <c r="B23" s="373">
        <f>INT(B$17*C23*100)/100</f>
        <v>42.98</v>
      </c>
      <c r="C23" s="17">
        <v>1</v>
      </c>
      <c r="D23" s="374">
        <f>D$17*E23</f>
        <v>238</v>
      </c>
      <c r="E23" s="372">
        <v>1</v>
      </c>
      <c r="F23" s="21">
        <f>B23/D23</f>
        <v>0.18058823529411763</v>
      </c>
      <c r="G23" s="17">
        <f>F23-F22</f>
        <v>9.9011369253583503E-3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12.89</v>
      </c>
      <c r="B24" s="373">
        <f>INT(B$17*C24*100)/100</f>
        <v>55.87</v>
      </c>
      <c r="C24" s="17">
        <f>1.3*E12</f>
        <v>1.3</v>
      </c>
      <c r="D24" s="374">
        <f>D$17*E24</f>
        <v>273.7</v>
      </c>
      <c r="E24" s="372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0.2041286079649251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495" t="s">
        <v>118</v>
      </c>
      <c r="B26" s="495"/>
      <c r="C26" s="79">
        <f>INT(M51*1)</f>
        <v>210</v>
      </c>
      <c r="F26" s="178">
        <f>M50/M51</f>
        <v>0.23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495" t="s">
        <v>119</v>
      </c>
      <c r="B27" s="495"/>
      <c r="C27" s="80">
        <f>가채수량!B7</f>
        <v>217.94362304638764</v>
      </c>
      <c r="D27" s="19">
        <f>(C27/D6)*100</f>
        <v>91.572950859826747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2.586E-4</v>
      </c>
      <c r="B31" s="32">
        <v>0.11888269999999999</v>
      </c>
      <c r="D31" s="20">
        <f t="shared" ref="D31:D36" si="4">D19</f>
        <v>117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2.586E-4</v>
      </c>
      <c r="B32" s="17">
        <f t="shared" si="5"/>
        <v>0.11888269999999999</v>
      </c>
      <c r="D32" s="20">
        <f t="shared" si="4"/>
        <v>130</v>
      </c>
      <c r="F32" s="23">
        <f>B32*D32/(B32*D32+A32*D32*D32)*100</f>
        <v>77.95551102388383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2.586E-4</v>
      </c>
      <c r="B33" s="17">
        <f t="shared" si="5"/>
        <v>0.11888269999999999</v>
      </c>
      <c r="D33" s="20">
        <f t="shared" si="4"/>
        <v>166</v>
      </c>
      <c r="F33" s="23">
        <f>B33*D33/(B33*D33+A33*D33*D33)*100</f>
        <v>73.470415665751815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2.586E-4</v>
      </c>
      <c r="B34" s="17">
        <f t="shared" si="5"/>
        <v>0.11888269999999999</v>
      </c>
      <c r="D34" s="20">
        <f t="shared" si="4"/>
        <v>202.29999999999998</v>
      </c>
      <c r="F34" s="23">
        <f>B34*D34/(B34*D34+A34*D34*D34)*100</f>
        <v>69.44185159734829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2.586E-4</v>
      </c>
      <c r="B35" s="17">
        <f>B34</f>
        <v>0.11888269999999999</v>
      </c>
      <c r="D35" s="20">
        <f t="shared" si="4"/>
        <v>238</v>
      </c>
      <c r="F35" s="23">
        <f>B35*D35/(B35*D35+A35*D35*D35)*100</f>
        <v>65.888726621755296</v>
      </c>
      <c r="G35" s="23"/>
    </row>
    <row r="36" spans="1:21" x14ac:dyDescent="0.15">
      <c r="D36" s="20">
        <f t="shared" si="4"/>
        <v>273.7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71.689126227184801</v>
      </c>
      <c r="P37" s="18">
        <v>2.586E-4</v>
      </c>
      <c r="Q37" s="18">
        <v>0.112</v>
      </c>
    </row>
    <row r="38" spans="1:21" x14ac:dyDescent="0.15">
      <c r="A38" s="46">
        <v>68.724000000000004</v>
      </c>
      <c r="B38" s="47">
        <v>0.112</v>
      </c>
      <c r="C38" s="47">
        <v>92.244</v>
      </c>
      <c r="E38" s="17" t="s">
        <v>33</v>
      </c>
      <c r="P38" s="18">
        <v>0.11888269999999999</v>
      </c>
      <c r="Q38" s="18">
        <v>92.244</v>
      </c>
    </row>
    <row r="39" spans="1:21" x14ac:dyDescent="0.15">
      <c r="A39" s="24"/>
      <c r="B39" s="25" t="s">
        <v>34</v>
      </c>
      <c r="C39" s="19">
        <f>(C38-A38)/B38</f>
        <v>209.99999999999997</v>
      </c>
      <c r="D39" s="17">
        <f>C38-B38*M51</f>
        <v>68.724000000000004</v>
      </c>
    </row>
    <row r="40" spans="1:21" x14ac:dyDescent="0.15">
      <c r="A40" s="24" t="s">
        <v>35</v>
      </c>
      <c r="B40" s="25" t="s">
        <v>34</v>
      </c>
      <c r="C40" s="17">
        <f>INT(C39)</f>
        <v>210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7" t="s">
        <v>233</v>
      </c>
      <c r="R43" s="327" t="s">
        <v>234</v>
      </c>
      <c r="S43" s="327" t="s">
        <v>235</v>
      </c>
      <c r="T43" s="327" t="s">
        <v>220</v>
      </c>
      <c r="U43" s="327" t="s">
        <v>189</v>
      </c>
    </row>
    <row r="44" spans="1:21" ht="16.5" x14ac:dyDescent="0.3">
      <c r="A44" s="109">
        <f>B58</f>
        <v>31.27</v>
      </c>
      <c r="B44" s="22" t="s">
        <v>16</v>
      </c>
      <c r="H44" s="376" t="s">
        <v>191</v>
      </c>
      <c r="I44" s="508" t="s">
        <v>285</v>
      </c>
      <c r="J44" s="509"/>
      <c r="K44" s="510"/>
      <c r="L44" s="338" t="s">
        <v>59</v>
      </c>
      <c r="M44" s="339">
        <v>250</v>
      </c>
      <c r="N44" s="338" t="s">
        <v>185</v>
      </c>
      <c r="Q44" s="329">
        <v>130</v>
      </c>
      <c r="R44" s="361">
        <v>27.1</v>
      </c>
      <c r="S44" s="361">
        <v>19.8</v>
      </c>
      <c r="T44" s="323">
        <v>6.5789473684210531</v>
      </c>
      <c r="U44" s="18">
        <v>0.152</v>
      </c>
    </row>
    <row r="45" spans="1:21" ht="16.5" x14ac:dyDescent="0.3">
      <c r="A45" s="87">
        <v>5.0000000000000001E-4</v>
      </c>
      <c r="B45" s="22" t="s">
        <v>19</v>
      </c>
      <c r="H45" s="376" t="s">
        <v>54</v>
      </c>
      <c r="I45" s="340" t="s">
        <v>289</v>
      </c>
      <c r="J45" s="341"/>
      <c r="K45" s="339"/>
      <c r="L45" s="338" t="s">
        <v>60</v>
      </c>
      <c r="M45" s="488">
        <v>140</v>
      </c>
      <c r="N45" s="488">
        <f>M44</f>
        <v>250</v>
      </c>
      <c r="Q45" s="329">
        <v>166</v>
      </c>
      <c r="R45" s="361">
        <v>34.25</v>
      </c>
      <c r="S45" s="361">
        <v>26.95</v>
      </c>
      <c r="T45" s="323">
        <v>6.1728395061728394</v>
      </c>
      <c r="U45" s="18">
        <v>0.16200000000000001</v>
      </c>
    </row>
    <row r="46" spans="1:21" ht="16.5" x14ac:dyDescent="0.3">
      <c r="A46" s="17">
        <f>B34</f>
        <v>0.11888269999999999</v>
      </c>
      <c r="B46" s="22" t="s">
        <v>36</v>
      </c>
      <c r="C46" s="504" t="s">
        <v>29</v>
      </c>
      <c r="D46" s="504"/>
      <c r="H46" s="376" t="s">
        <v>55</v>
      </c>
      <c r="I46" s="339" t="s">
        <v>288</v>
      </c>
      <c r="J46" s="341"/>
      <c r="K46" s="339"/>
      <c r="L46" s="338" t="s">
        <v>61</v>
      </c>
      <c r="M46" s="342">
        <f>IF(I52&gt;M48, M45-I52,M45-M48)</f>
        <v>126</v>
      </c>
      <c r="N46" s="343"/>
      <c r="Q46" s="329">
        <v>202</v>
      </c>
      <c r="R46" s="361">
        <v>41.83</v>
      </c>
      <c r="S46" s="361">
        <v>34.53</v>
      </c>
      <c r="T46" s="323">
        <v>5.8823529411764701</v>
      </c>
      <c r="U46" s="18">
        <v>0.17</v>
      </c>
    </row>
    <row r="47" spans="1:21" ht="16.5" x14ac:dyDescent="0.3">
      <c r="A47" s="17">
        <f>120/1440</f>
        <v>8.3333333333333329E-2</v>
      </c>
      <c r="B47" s="22" t="s">
        <v>24</v>
      </c>
      <c r="C47" s="504" t="s">
        <v>28</v>
      </c>
      <c r="D47" s="504"/>
      <c r="H47" s="376" t="s">
        <v>56</v>
      </c>
      <c r="I47" s="339" t="s">
        <v>287</v>
      </c>
      <c r="J47" s="341"/>
      <c r="K47" s="339"/>
      <c r="L47" s="338" t="s">
        <v>62</v>
      </c>
      <c r="M47" s="344">
        <f>INT((M51*100)/M53)</f>
        <v>238</v>
      </c>
      <c r="N47" s="343"/>
      <c r="Q47" s="329">
        <v>238</v>
      </c>
      <c r="R47" s="361">
        <v>50.279999999999994</v>
      </c>
      <c r="S47" s="361">
        <v>42.98</v>
      </c>
      <c r="T47" s="323">
        <v>5.5555555555555554</v>
      </c>
      <c r="U47" s="18">
        <v>0.18</v>
      </c>
    </row>
    <row r="48" spans="1:21" ht="16.5" x14ac:dyDescent="0.3">
      <c r="B48" s="22"/>
      <c r="H48" s="376" t="s">
        <v>57</v>
      </c>
      <c r="I48" s="489">
        <v>7.5</v>
      </c>
      <c r="J48" s="507" t="s">
        <v>286</v>
      </c>
      <c r="K48" s="507"/>
      <c r="L48" s="345" t="s">
        <v>63</v>
      </c>
      <c r="M48" s="490">
        <v>7.3</v>
      </c>
      <c r="N48" s="343"/>
      <c r="Q48" s="329">
        <v>274</v>
      </c>
      <c r="R48" s="361">
        <v>63.169999999999995</v>
      </c>
      <c r="S48" s="361">
        <v>55.87</v>
      </c>
      <c r="T48" s="323">
        <v>4.9019607843137258</v>
      </c>
      <c r="U48" s="18">
        <v>0.20399999999999999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498" t="s">
        <v>58</v>
      </c>
      <c r="I49" s="506" t="str">
        <f>I45</f>
        <v>신리지구</v>
      </c>
      <c r="J49" s="506"/>
      <c r="K49" s="506"/>
      <c r="L49" s="338" t="s">
        <v>64</v>
      </c>
      <c r="M49" s="490">
        <v>55.6</v>
      </c>
      <c r="N49" s="343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499"/>
      <c r="I50" s="506"/>
      <c r="J50" s="506"/>
      <c r="K50" s="506"/>
      <c r="L50" s="338" t="s">
        <v>65</v>
      </c>
      <c r="M50" s="346">
        <f>M49-M48</f>
        <v>48.300000000000004</v>
      </c>
      <c r="N50" s="343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00"/>
      <c r="I51" s="501" t="s">
        <v>113</v>
      </c>
      <c r="J51" s="502"/>
      <c r="K51" s="503"/>
      <c r="L51" s="347" t="s">
        <v>106</v>
      </c>
      <c r="M51" s="364">
        <v>210</v>
      </c>
      <c r="N51" s="343"/>
      <c r="Q51" s="18">
        <v>130</v>
      </c>
    </row>
    <row r="52" spans="1:17" ht="16.5" x14ac:dyDescent="0.3">
      <c r="A52" s="28" t="s">
        <v>41</v>
      </c>
      <c r="B52" s="17">
        <f>INT(10^((INT(5.46*A44*A46*1000))/1000)*1000)/1000</f>
        <v>1.9815270258051111E+20</v>
      </c>
      <c r="C52" s="17">
        <f>INT(B52*B51*1000)/1000</f>
        <v>9.9076351290255552E+16</v>
      </c>
      <c r="H52" s="348" t="s">
        <v>96</v>
      </c>
      <c r="I52" s="489">
        <v>14</v>
      </c>
      <c r="J52" s="348" t="s">
        <v>97</v>
      </c>
      <c r="K52" s="349">
        <v>0</v>
      </c>
      <c r="L52" s="350" t="s">
        <v>66</v>
      </c>
      <c r="M52" s="342">
        <f>INT(M50*0.89*100)/100</f>
        <v>42.98</v>
      </c>
      <c r="N52" s="351"/>
      <c r="Q52" s="18">
        <v>166</v>
      </c>
    </row>
    <row r="53" spans="1:17" ht="16.5" x14ac:dyDescent="0.3">
      <c r="H53" s="343"/>
      <c r="I53" s="496" t="s">
        <v>120</v>
      </c>
      <c r="J53" s="496"/>
      <c r="K53" s="496"/>
      <c r="L53" s="496"/>
      <c r="M53" s="476">
        <v>88</v>
      </c>
      <c r="N53" s="343"/>
      <c r="Q53" s="18">
        <v>202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0" t="s">
        <v>236</v>
      </c>
      <c r="I54" s="491" t="s">
        <v>237</v>
      </c>
      <c r="Q54" s="18">
        <v>238</v>
      </c>
    </row>
    <row r="55" spans="1:17" x14ac:dyDescent="0.15">
      <c r="A55" s="25"/>
      <c r="Q55" s="18">
        <v>274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517" t="s">
        <v>76</v>
      </c>
      <c r="E57" s="517"/>
      <c r="F57" s="517" t="s">
        <v>53</v>
      </c>
      <c r="G57" s="519"/>
      <c r="H57" s="48" t="s">
        <v>176</v>
      </c>
      <c r="I57" s="232">
        <f>M50</f>
        <v>48.300000000000004</v>
      </c>
      <c r="J57" s="43" t="s">
        <v>67</v>
      </c>
      <c r="K57" s="48" t="s">
        <v>68</v>
      </c>
      <c r="L57" s="505" t="s">
        <v>73</v>
      </c>
      <c r="M57" s="505"/>
      <c r="Q57" s="18">
        <v>27.1</v>
      </c>
    </row>
    <row r="58" spans="1:17" x14ac:dyDescent="0.15">
      <c r="A58" s="38" t="s">
        <v>47</v>
      </c>
      <c r="B58" s="39">
        <v>31.27</v>
      </c>
      <c r="C58" s="38"/>
      <c r="D58" s="517">
        <v>0.22439999999999999</v>
      </c>
      <c r="E58" s="517"/>
      <c r="F58" s="517"/>
      <c r="G58" s="519"/>
      <c r="H58" s="48" t="s">
        <v>177</v>
      </c>
      <c r="I58" s="233">
        <f>C62/M46</f>
        <v>0.23915873015873015</v>
      </c>
      <c r="J58" s="49" t="s">
        <v>69</v>
      </c>
      <c r="K58" s="50">
        <f>INT((6*I57*I58*I60/I59)^0.5)</f>
        <v>15</v>
      </c>
      <c r="L58" s="48" t="s">
        <v>74</v>
      </c>
      <c r="M58" s="48" t="s">
        <v>75</v>
      </c>
      <c r="Q58" s="18">
        <v>34.25</v>
      </c>
    </row>
    <row r="59" spans="1:17" x14ac:dyDescent="0.15">
      <c r="A59" s="38" t="s">
        <v>48</v>
      </c>
      <c r="B59" s="39">
        <v>56.31</v>
      </c>
      <c r="C59" s="516">
        <f>B59</f>
        <v>56.31</v>
      </c>
      <c r="D59" s="520">
        <v>0.15190000000000001</v>
      </c>
      <c r="E59" s="521"/>
      <c r="F59" s="512">
        <f>INT((D59+D60)/1*10000000)/10000000</f>
        <v>0.15190000000000001</v>
      </c>
      <c r="G59" s="513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18</v>
      </c>
      <c r="L59" s="50"/>
      <c r="M59" s="50"/>
      <c r="Q59" s="18">
        <v>41.83</v>
      </c>
    </row>
    <row r="60" spans="1:17" x14ac:dyDescent="0.15">
      <c r="A60" s="38" t="s">
        <v>49</v>
      </c>
      <c r="B60" s="39"/>
      <c r="C60" s="516"/>
      <c r="D60" s="520"/>
      <c r="E60" s="521"/>
      <c r="F60" s="514"/>
      <c r="G60" s="515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50.279999999999994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517"/>
      <c r="E61" s="517"/>
      <c r="F61" s="517"/>
      <c r="G61" s="519"/>
      <c r="H61" s="48" t="s">
        <v>16</v>
      </c>
      <c r="I61" s="43">
        <f>C62</f>
        <v>30.134</v>
      </c>
      <c r="J61" s="49" t="s">
        <v>72</v>
      </c>
      <c r="K61" s="50">
        <f>((K58+K59+K60)/3)</f>
        <v>15.979715271676193</v>
      </c>
      <c r="L61" s="52"/>
      <c r="M61" s="44"/>
      <c r="Q61" s="18">
        <v>63.169999999999995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518"/>
      <c r="E62" s="518"/>
      <c r="F62" s="511">
        <f>F59</f>
        <v>0.15190000000000001</v>
      </c>
      <c r="G62" s="511"/>
      <c r="H62" s="49" t="s">
        <v>77</v>
      </c>
      <c r="I62" s="44">
        <v>70.33</v>
      </c>
      <c r="J62" s="49" t="s">
        <v>178</v>
      </c>
      <c r="K62" s="234">
        <f>MAX(K58:K60)</f>
        <v>18</v>
      </c>
      <c r="L62" s="52"/>
      <c r="M62" s="45"/>
    </row>
    <row r="63" spans="1:17" x14ac:dyDescent="0.15">
      <c r="Q63" s="18">
        <v>19.8</v>
      </c>
    </row>
    <row r="64" spans="1:17" x14ac:dyDescent="0.15">
      <c r="Q64" s="18">
        <v>26.95</v>
      </c>
    </row>
    <row r="65" spans="17:17" x14ac:dyDescent="0.15">
      <c r="Q65" s="18">
        <v>34.53</v>
      </c>
    </row>
    <row r="66" spans="17:17" x14ac:dyDescent="0.15">
      <c r="Q66" s="18">
        <v>42.98</v>
      </c>
    </row>
    <row r="67" spans="17:17" x14ac:dyDescent="0.15">
      <c r="Q67" s="18">
        <v>55.87</v>
      </c>
    </row>
    <row r="69" spans="17:17" x14ac:dyDescent="0.15">
      <c r="Q69" s="323">
        <v>6.5789473684210531</v>
      </c>
    </row>
    <row r="70" spans="17:17" x14ac:dyDescent="0.15">
      <c r="Q70" s="323">
        <v>6.1728395061728394</v>
      </c>
    </row>
    <row r="71" spans="17:17" x14ac:dyDescent="0.15">
      <c r="Q71" s="323">
        <v>5.8823529411764701</v>
      </c>
    </row>
    <row r="72" spans="17:17" x14ac:dyDescent="0.15">
      <c r="Q72" s="323">
        <v>5.5555555555555554</v>
      </c>
    </row>
    <row r="73" spans="17:17" x14ac:dyDescent="0.15">
      <c r="Q73" s="323">
        <v>4.9019607843137258</v>
      </c>
    </row>
    <row r="75" spans="17:17" x14ac:dyDescent="0.15">
      <c r="Q75" s="18">
        <v>0.152</v>
      </c>
    </row>
    <row r="76" spans="17:17" x14ac:dyDescent="0.15">
      <c r="Q76" s="18">
        <v>0.16200000000000001</v>
      </c>
    </row>
    <row r="77" spans="17:17" x14ac:dyDescent="0.15">
      <c r="Q77" s="18">
        <v>0.17</v>
      </c>
    </row>
    <row r="78" spans="17:17" x14ac:dyDescent="0.15">
      <c r="Q78" s="18">
        <v>0.18</v>
      </c>
    </row>
    <row r="79" spans="17:17" x14ac:dyDescent="0.15">
      <c r="Q79" s="18">
        <v>0.20399999999999999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6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4"/>
  <sheetViews>
    <sheetView workbookViewId="0"/>
  </sheetViews>
  <sheetFormatPr defaultRowHeight="18" customHeight="1" x14ac:dyDescent="0.15"/>
  <cols>
    <col min="1" max="2" width="11.88671875" style="358" customWidth="1"/>
    <col min="3" max="3" width="13.109375" style="358" customWidth="1"/>
    <col min="4" max="4" width="14.6640625" style="358" customWidth="1"/>
    <col min="5" max="5" width="10.5546875" style="358" customWidth="1"/>
    <col min="6" max="16384" width="8.88671875" style="358"/>
  </cols>
  <sheetData>
    <row r="3" spans="3:7" ht="18" customHeight="1" x14ac:dyDescent="0.15">
      <c r="C3" s="359" t="s">
        <v>57</v>
      </c>
      <c r="D3" s="359" t="s">
        <v>236</v>
      </c>
      <c r="E3" s="359" t="s">
        <v>243</v>
      </c>
      <c r="F3" s="359" t="s">
        <v>59</v>
      </c>
      <c r="G3" s="358" t="s">
        <v>273</v>
      </c>
    </row>
    <row r="4" spans="3:7" ht="18" customHeight="1" x14ac:dyDescent="0.15">
      <c r="C4" s="358">
        <v>1</v>
      </c>
      <c r="D4" s="360" t="s">
        <v>238</v>
      </c>
      <c r="E4" s="358" t="s">
        <v>237</v>
      </c>
      <c r="F4" s="358">
        <v>150</v>
      </c>
      <c r="G4" s="358">
        <v>5.0000000000000001E-4</v>
      </c>
    </row>
    <row r="5" spans="3:7" ht="18" customHeight="1" x14ac:dyDescent="0.15">
      <c r="C5" s="358">
        <v>2</v>
      </c>
      <c r="D5" s="358" t="s">
        <v>239</v>
      </c>
      <c r="E5" s="358" t="s">
        <v>244</v>
      </c>
      <c r="F5" s="358">
        <v>200</v>
      </c>
      <c r="G5" s="358">
        <v>0.1</v>
      </c>
    </row>
    <row r="6" spans="3:7" ht="18" customHeight="1" x14ac:dyDescent="0.15">
      <c r="C6" s="358">
        <v>3</v>
      </c>
      <c r="D6" s="358" t="s">
        <v>240</v>
      </c>
      <c r="E6" s="358" t="s">
        <v>245</v>
      </c>
      <c r="F6" s="358">
        <v>250</v>
      </c>
    </row>
    <row r="7" spans="3:7" ht="18" customHeight="1" x14ac:dyDescent="0.15">
      <c r="C7" s="358">
        <v>5</v>
      </c>
      <c r="D7" s="358" t="s">
        <v>241</v>
      </c>
      <c r="E7" s="358" t="s">
        <v>246</v>
      </c>
    </row>
    <row r="8" spans="3:7" ht="18" customHeight="1" x14ac:dyDescent="0.15">
      <c r="C8" s="358">
        <v>7.5</v>
      </c>
      <c r="D8" s="358" t="s">
        <v>242</v>
      </c>
      <c r="E8" s="358" t="s">
        <v>247</v>
      </c>
    </row>
    <row r="9" spans="3:7" ht="18" customHeight="1" x14ac:dyDescent="0.15">
      <c r="C9" s="358">
        <v>10</v>
      </c>
      <c r="D9" s="360" t="s">
        <v>250</v>
      </c>
      <c r="E9" s="358" t="s">
        <v>251</v>
      </c>
    </row>
    <row r="10" spans="3:7" ht="18" customHeight="1" x14ac:dyDescent="0.15">
      <c r="C10" s="358">
        <v>20</v>
      </c>
      <c r="D10" s="360" t="s">
        <v>276</v>
      </c>
      <c r="E10" s="358" t="s">
        <v>274</v>
      </c>
    </row>
    <row r="11" spans="3:7" ht="18" customHeight="1" x14ac:dyDescent="0.15">
      <c r="C11" s="358">
        <v>25</v>
      </c>
      <c r="D11" s="358" t="s">
        <v>277</v>
      </c>
      <c r="E11" s="358" t="s">
        <v>275</v>
      </c>
    </row>
    <row r="12" spans="3:7" ht="18" customHeight="1" x14ac:dyDescent="0.15">
      <c r="C12" s="358">
        <v>30</v>
      </c>
      <c r="D12" s="360" t="s">
        <v>278</v>
      </c>
      <c r="E12" s="358" t="s">
        <v>281</v>
      </c>
    </row>
    <row r="13" spans="3:7" ht="18" customHeight="1" x14ac:dyDescent="0.15">
      <c r="D13" s="360" t="s">
        <v>279</v>
      </c>
      <c r="E13" s="358" t="s">
        <v>282</v>
      </c>
    </row>
    <row r="14" spans="3:7" ht="18" customHeight="1" x14ac:dyDescent="0.15">
      <c r="D14" s="360" t="s">
        <v>280</v>
      </c>
      <c r="E14" s="358" t="s">
        <v>283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2" bestFit="1" customWidth="1"/>
    <col min="2" max="2" width="7.5546875" style="313" bestFit="1" customWidth="1"/>
    <col min="3" max="16384" width="8.88671875" style="313"/>
  </cols>
  <sheetData>
    <row r="1" spans="1:2" ht="20.100000000000001" customHeight="1" x14ac:dyDescent="0.15"/>
    <row r="2" spans="1:2" ht="20.100000000000001" customHeight="1" x14ac:dyDescent="0.15">
      <c r="A2" s="312" t="s">
        <v>107</v>
      </c>
      <c r="B2" s="314">
        <f>단계양수시험!B12</f>
        <v>130</v>
      </c>
    </row>
    <row r="3" spans="1:2" ht="20.100000000000001" customHeight="1" x14ac:dyDescent="0.15">
      <c r="A3" s="315" t="s">
        <v>108</v>
      </c>
      <c r="B3" s="316">
        <f>단계양수시험!G31</f>
        <v>19.8</v>
      </c>
    </row>
    <row r="4" spans="1:2" ht="20.100000000000001" customHeight="1" x14ac:dyDescent="0.15">
      <c r="A4" s="315" t="s">
        <v>109</v>
      </c>
      <c r="B4" s="313">
        <f>단계양수시험!G46</f>
        <v>42.98</v>
      </c>
    </row>
    <row r="5" spans="1:2" ht="20.100000000000001" customHeight="1" x14ac:dyDescent="0.15">
      <c r="A5" s="317" t="s">
        <v>110</v>
      </c>
      <c r="B5" s="313">
        <f>2/3</f>
        <v>0.66666666666666663</v>
      </c>
    </row>
    <row r="6" spans="1:2" ht="20.100000000000001" customHeight="1" x14ac:dyDescent="0.15">
      <c r="A6" s="315"/>
    </row>
    <row r="7" spans="1:2" ht="20.100000000000001" customHeight="1" x14ac:dyDescent="0.15">
      <c r="A7" s="315" t="s">
        <v>111</v>
      </c>
      <c r="B7" s="313">
        <f>B2*(B4/B3)^(2/3)</f>
        <v>217.94362304638764</v>
      </c>
    </row>
    <row r="8" spans="1:2" ht="20.100000000000001" customHeight="1" x14ac:dyDescent="0.15">
      <c r="A8" s="315" t="s">
        <v>112</v>
      </c>
      <c r="B8" s="313">
        <f>INT(B7)</f>
        <v>217</v>
      </c>
    </row>
    <row r="9" spans="1:2" ht="24.75" customHeight="1" x14ac:dyDescent="0.15"/>
    <row r="10" spans="1:2" ht="24.75" customHeight="1" x14ac:dyDescent="0.15"/>
    <row r="11" spans="1:2" x14ac:dyDescent="0.15">
      <c r="B11" s="461">
        <f>B8/입력표!$D$23</f>
        <v>0.91176470588235292</v>
      </c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3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>신리지구</v>
      </c>
      <c r="C1" s="279"/>
      <c r="D1" s="279"/>
      <c r="E1" s="279"/>
      <c r="F1" s="279"/>
      <c r="G1" s="279"/>
      <c r="H1" s="426"/>
      <c r="I1" s="279"/>
      <c r="J1" s="279"/>
      <c r="K1" s="279"/>
      <c r="L1" s="279"/>
      <c r="M1" s="279"/>
      <c r="N1" s="279"/>
      <c r="O1" s="279"/>
    </row>
    <row r="2" spans="1:15" ht="22.7" customHeight="1" thickBot="1" x14ac:dyDescent="0.2">
      <c r="A2" s="279"/>
      <c r="B2" s="280" t="str">
        <f>입력표!J48</f>
        <v>공  번 : W - 1</v>
      </c>
      <c r="C2" s="281" t="str">
        <f>입력표!I46</f>
        <v>충청남도 예산군 응봉면 신리 194</v>
      </c>
      <c r="D2" s="279"/>
      <c r="E2" s="279"/>
      <c r="F2" s="279"/>
      <c r="G2" s="279"/>
      <c r="H2" s="426"/>
      <c r="I2" s="279"/>
      <c r="J2" s="279"/>
      <c r="K2" s="331"/>
      <c r="L2" s="334"/>
      <c r="M2" s="335"/>
      <c r="N2" s="332"/>
      <c r="O2" s="279"/>
    </row>
    <row r="3" spans="1:15" ht="22.7" customHeight="1" x14ac:dyDescent="0.15">
      <c r="A3" s="279"/>
      <c r="B3" s="448" t="s">
        <v>198</v>
      </c>
      <c r="C3" s="449" t="s">
        <v>199</v>
      </c>
      <c r="D3" s="449" t="s">
        <v>16</v>
      </c>
      <c r="E3" s="449" t="s">
        <v>224</v>
      </c>
      <c r="F3" s="449" t="s">
        <v>19</v>
      </c>
      <c r="G3" s="449" t="s">
        <v>196</v>
      </c>
      <c r="H3" s="450" t="s">
        <v>36</v>
      </c>
      <c r="I3" s="446" t="s">
        <v>225</v>
      </c>
      <c r="J3" s="279"/>
      <c r="K3" s="331"/>
      <c r="L3" s="334"/>
      <c r="M3" s="334"/>
      <c r="N3" s="331"/>
      <c r="O3" s="279"/>
    </row>
    <row r="4" spans="1:15" ht="22.7" customHeight="1" thickBot="1" x14ac:dyDescent="0.2">
      <c r="A4" s="279"/>
      <c r="B4" s="458">
        <f>장기양수시험!G10</f>
        <v>3.8560672276215606</v>
      </c>
      <c r="C4" s="459">
        <f>장기양수시험!B10</f>
        <v>210</v>
      </c>
      <c r="D4" s="484">
        <v>1.859</v>
      </c>
      <c r="E4" s="460">
        <f>입력표!M44/2000</f>
        <v>0.125</v>
      </c>
      <c r="F4" s="457">
        <v>5.0000000000000001E-4</v>
      </c>
      <c r="G4" s="457">
        <f>PI()</f>
        <v>3.1415926535897931</v>
      </c>
      <c r="H4" s="451">
        <f>입력표!$A$46</f>
        <v>0.11888269999999999</v>
      </c>
      <c r="I4" s="492">
        <f>입력표!M48</f>
        <v>7.3</v>
      </c>
      <c r="J4" s="279"/>
      <c r="K4" s="331"/>
      <c r="L4" s="334"/>
      <c r="M4" s="334"/>
      <c r="N4" s="331"/>
      <c r="O4" s="279"/>
    </row>
    <row r="5" spans="1:15" ht="22.7" customHeight="1" thickBot="1" x14ac:dyDescent="0.2">
      <c r="A5" s="279"/>
      <c r="B5" s="442"/>
      <c r="C5" s="443"/>
      <c r="D5" s="486">
        <v>2.4279999999999999</v>
      </c>
      <c r="E5" s="444" t="s">
        <v>268</v>
      </c>
      <c r="F5" s="445"/>
      <c r="G5" s="445"/>
      <c r="H5" s="427"/>
      <c r="I5" s="447" t="s">
        <v>64</v>
      </c>
      <c r="J5" s="279"/>
      <c r="K5" s="331"/>
      <c r="L5" s="334"/>
      <c r="M5" s="334"/>
      <c r="N5" s="331"/>
      <c r="O5" s="279"/>
    </row>
    <row r="6" spans="1:15" ht="22.7" customHeight="1" thickBot="1" x14ac:dyDescent="0.2">
      <c r="A6" s="279"/>
      <c r="B6" s="473" t="s">
        <v>200</v>
      </c>
      <c r="C6" s="474">
        <f>(2*G4*B4*D5)/(C4)</f>
        <v>0.28012627930456618</v>
      </c>
      <c r="D6" s="485"/>
      <c r="E6" s="474">
        <f>1.15*LOG((2.25*D5*(1/1440))/(F4*E4^2))</f>
        <v>3.0892204797772811</v>
      </c>
      <c r="F6" s="475" t="s">
        <v>197</v>
      </c>
      <c r="G6" s="477">
        <f>C6-E6</f>
        <v>-2.8090942004727149</v>
      </c>
      <c r="H6" s="427"/>
      <c r="I6" s="492">
        <f>입력표!M49</f>
        <v>55.6</v>
      </c>
      <c r="J6" s="279"/>
      <c r="K6" s="331"/>
      <c r="L6" s="334"/>
      <c r="M6" s="336"/>
      <c r="N6" s="331"/>
      <c r="O6" s="279"/>
    </row>
    <row r="7" spans="1:15" ht="22.7" customHeight="1" x14ac:dyDescent="0.15">
      <c r="A7" s="279"/>
      <c r="B7" s="432" t="s">
        <v>265</v>
      </c>
      <c r="C7" s="437">
        <f>ROUND(2.25*D4*(120/1440),3)</f>
        <v>0.34899999999999998</v>
      </c>
      <c r="D7" s="282"/>
      <c r="E7" s="440" t="s">
        <v>266</v>
      </c>
      <c r="F7" s="433">
        <f>ROUND(F4*10^(5.46*D4*H4),3)</f>
        <v>8.0000000000000002E-3</v>
      </c>
      <c r="G7" s="434" t="s">
        <v>270</v>
      </c>
      <c r="H7" s="427">
        <f>F4*EXP(4*G4*D4*H4)</f>
        <v>8.0370143244864346E-3</v>
      </c>
      <c r="I7" s="447" t="s">
        <v>221</v>
      </c>
      <c r="J7" s="279"/>
      <c r="K7" s="331"/>
      <c r="L7" s="334"/>
      <c r="M7" s="336"/>
      <c r="N7" s="331"/>
      <c r="O7" s="279"/>
    </row>
    <row r="8" spans="1:15" ht="22.7" customHeight="1" thickBot="1" x14ac:dyDescent="0.2">
      <c r="A8" s="279"/>
      <c r="B8" s="436" t="s">
        <v>272</v>
      </c>
      <c r="C8" s="483">
        <f>ROUND(E4*EXP(-1*G6),3)</f>
        <v>2.0739999999999998</v>
      </c>
      <c r="D8" s="438" t="s">
        <v>267</v>
      </c>
      <c r="E8" s="452">
        <f>ROUND(SQRT(C7/F7),3)</f>
        <v>6.6050000000000004</v>
      </c>
      <c r="F8" s="439" t="s">
        <v>269</v>
      </c>
      <c r="G8" s="441" t="s">
        <v>271</v>
      </c>
      <c r="H8" s="453">
        <f>ROUND(SQRT(C7/H7),3)</f>
        <v>6.59</v>
      </c>
      <c r="I8" s="493">
        <f>입력표!M45</f>
        <v>140</v>
      </c>
      <c r="J8" s="279"/>
      <c r="K8" s="331"/>
      <c r="L8" s="334"/>
      <c r="M8" s="334"/>
      <c r="N8" s="333"/>
      <c r="O8" s="279"/>
    </row>
    <row r="9" spans="1:15" ht="22.7" customHeight="1" x14ac:dyDescent="0.15">
      <c r="A9" s="279"/>
      <c r="B9" s="279"/>
      <c r="C9" s="279"/>
      <c r="D9" s="279"/>
      <c r="E9" s="279"/>
      <c r="F9" s="279"/>
      <c r="G9" s="279"/>
      <c r="H9" s="426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 x14ac:dyDescent="0.2">
      <c r="A10" s="279"/>
      <c r="B10" s="279" t="s">
        <v>231</v>
      </c>
      <c r="C10" s="326">
        <f>장기양수시험!F101</f>
        <v>9.4716479691814541</v>
      </c>
      <c r="D10" s="310" t="s">
        <v>284</v>
      </c>
      <c r="E10" s="487">
        <v>0.18720000000000001</v>
      </c>
      <c r="F10" s="279"/>
      <c r="G10" s="279"/>
      <c r="H10" s="426"/>
      <c r="I10" s="494">
        <f>입력표!I52</f>
        <v>14</v>
      </c>
      <c r="J10" s="279"/>
      <c r="L10" s="279"/>
      <c r="M10" s="279"/>
      <c r="N10" s="279"/>
      <c r="O10" s="279"/>
    </row>
    <row r="11" spans="1:15" ht="22.7" customHeight="1" x14ac:dyDescent="0.15">
      <c r="A11" s="279"/>
      <c r="B11" s="279" t="s">
        <v>232</v>
      </c>
      <c r="C11" s="326">
        <f>I6-C10</f>
        <v>46.128352030818547</v>
      </c>
      <c r="D11" s="279"/>
      <c r="E11" s="279"/>
      <c r="F11" s="279"/>
      <c r="G11" s="279"/>
      <c r="H11" s="426"/>
      <c r="I11" s="279"/>
      <c r="J11" s="279"/>
      <c r="K11" s="279"/>
      <c r="L11" s="279"/>
      <c r="M11" s="279"/>
      <c r="N11" s="279"/>
      <c r="O11" s="279"/>
    </row>
    <row r="12" spans="1:15" ht="15" customHeight="1" thickBot="1" x14ac:dyDescent="0.2">
      <c r="A12" s="279"/>
      <c r="B12" s="279"/>
      <c r="C12" s="279"/>
      <c r="D12" s="279"/>
      <c r="E12" s="279"/>
      <c r="F12" s="279"/>
      <c r="G12" s="279"/>
      <c r="H12" s="426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95" t="s">
        <v>202</v>
      </c>
      <c r="C13" s="456">
        <f>ROUND(SQRT(6*B16*E16*H16/I16),1)</f>
        <v>74.900000000000006</v>
      </c>
      <c r="D13" s="454"/>
      <c r="E13" s="289" t="s">
        <v>203</v>
      </c>
      <c r="F13" s="430">
        <f>D5</f>
        <v>2.4279999999999999</v>
      </c>
      <c r="G13" s="289" t="s">
        <v>204</v>
      </c>
      <c r="H13" s="482">
        <v>2.6219999999999999</v>
      </c>
      <c r="I13" s="290"/>
      <c r="J13" s="279"/>
      <c r="K13" s="279"/>
      <c r="L13" s="279"/>
      <c r="M13" s="279"/>
      <c r="N13" s="279"/>
      <c r="O13" s="279"/>
    </row>
    <row r="14" spans="1:15" ht="22.7" customHeight="1" x14ac:dyDescent="0.15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 x14ac:dyDescent="0.2">
      <c r="A15" s="279"/>
      <c r="B15" s="291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72" t="s">
        <v>19</v>
      </c>
      <c r="J15" s="279"/>
      <c r="K15" s="279"/>
      <c r="L15" s="279"/>
      <c r="M15" s="279"/>
      <c r="N15" s="279"/>
      <c r="O15" s="279"/>
    </row>
    <row r="16" spans="1:15" ht="22.7" customHeight="1" thickBot="1" x14ac:dyDescent="0.2">
      <c r="A16" s="279"/>
      <c r="B16" s="480">
        <f>I6-I4</f>
        <v>48.300000000000004</v>
      </c>
      <c r="C16" s="479">
        <f>I8-IF(I4&gt;I10,I4,I10)</f>
        <v>126</v>
      </c>
      <c r="D16" s="478">
        <f>(F13+H13)/2</f>
        <v>2.5249999999999999</v>
      </c>
      <c r="E16" s="293">
        <f>INT(D16/C16*100000)/100000</f>
        <v>2.0029999999999999E-2</v>
      </c>
      <c r="F16" s="294">
        <v>1440</v>
      </c>
      <c r="G16" s="425">
        <v>1020</v>
      </c>
      <c r="H16" s="471">
        <f>INT(G16/F16*10000)/10000</f>
        <v>0.70830000000000004</v>
      </c>
      <c r="I16" s="481">
        <v>7.3269999999999997E-4</v>
      </c>
      <c r="J16" s="279"/>
      <c r="K16" s="279"/>
      <c r="L16" s="279"/>
      <c r="M16" s="279"/>
      <c r="N16" s="279"/>
      <c r="O16" s="279"/>
    </row>
    <row r="17" spans="1:15" ht="13.5" customHeight="1" thickBot="1" x14ac:dyDescent="0.2">
      <c r="A17" s="279"/>
      <c r="B17" s="279"/>
      <c r="C17" s="279"/>
      <c r="D17" s="279"/>
      <c r="E17" s="435"/>
      <c r="F17" s="279"/>
      <c r="G17" s="279"/>
      <c r="H17" s="426"/>
      <c r="I17" s="279"/>
      <c r="J17" s="279"/>
      <c r="K17" s="279"/>
      <c r="L17" s="279"/>
      <c r="M17" s="279"/>
      <c r="N17" s="279"/>
      <c r="O17" s="279"/>
    </row>
    <row r="18" spans="1:15" ht="22.7" customHeight="1" x14ac:dyDescent="0.15">
      <c r="A18" s="279"/>
      <c r="B18" s="295" t="s">
        <v>209</v>
      </c>
      <c r="C18" s="456">
        <f>ROUND(3*SQRT(B21*E21*H21/I21),1)</f>
        <v>91.7</v>
      </c>
      <c r="D18" s="296"/>
      <c r="E18" s="296"/>
      <c r="F18" s="296"/>
      <c r="G18" s="296"/>
      <c r="H18" s="428"/>
      <c r="I18" s="297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8"/>
      <c r="C19" s="455"/>
      <c r="D19" s="299"/>
      <c r="E19" s="299"/>
      <c r="F19" s="299"/>
      <c r="G19" s="299"/>
      <c r="H19" s="302"/>
      <c r="I19" s="300"/>
      <c r="J19" s="279"/>
      <c r="K19" s="279"/>
      <c r="L19" s="279"/>
      <c r="M19" s="279"/>
      <c r="N19" s="279"/>
      <c r="O19" s="279"/>
    </row>
    <row r="20" spans="1:15" ht="22.7" customHeight="1" thickBot="1" x14ac:dyDescent="0.2">
      <c r="A20" s="279"/>
      <c r="B20" s="301" t="s">
        <v>205</v>
      </c>
      <c r="C20" s="302" t="s">
        <v>61</v>
      </c>
      <c r="D20" s="302" t="s">
        <v>206</v>
      </c>
      <c r="E20" s="302" t="s">
        <v>210</v>
      </c>
      <c r="F20" s="302" t="s">
        <v>207</v>
      </c>
      <c r="G20" s="302" t="s">
        <v>208</v>
      </c>
      <c r="H20" s="302" t="s">
        <v>24</v>
      </c>
      <c r="I20" s="303" t="s">
        <v>19</v>
      </c>
      <c r="J20" s="279"/>
      <c r="K20" s="279"/>
      <c r="L20" s="279"/>
      <c r="M20" s="279"/>
      <c r="N20" s="279"/>
      <c r="O20" s="279"/>
    </row>
    <row r="21" spans="1:15" ht="22.7" customHeight="1" thickBot="1" x14ac:dyDescent="0.2">
      <c r="A21" s="279"/>
      <c r="B21" s="304">
        <f t="shared" ref="B21:I21" si="0">B16</f>
        <v>48.300000000000004</v>
      </c>
      <c r="C21" s="322">
        <f t="shared" si="0"/>
        <v>126</v>
      </c>
      <c r="D21" s="305">
        <f t="shared" si="0"/>
        <v>2.5249999999999999</v>
      </c>
      <c r="E21" s="478">
        <f t="shared" si="0"/>
        <v>2.0029999999999999E-2</v>
      </c>
      <c r="F21" s="305">
        <f t="shared" si="0"/>
        <v>1440</v>
      </c>
      <c r="G21" s="305">
        <f>G16</f>
        <v>1020</v>
      </c>
      <c r="H21" s="322">
        <f t="shared" si="0"/>
        <v>0.70830000000000004</v>
      </c>
      <c r="I21" s="306">
        <f t="shared" si="0"/>
        <v>7.3269999999999997E-4</v>
      </c>
      <c r="J21" s="279"/>
      <c r="K21" s="279"/>
      <c r="L21" s="279"/>
      <c r="M21" s="279"/>
      <c r="N21" s="279"/>
      <c r="O21" s="279"/>
    </row>
    <row r="22" spans="1:15" ht="15" customHeight="1" thickBot="1" x14ac:dyDescent="0.2">
      <c r="A22" s="279"/>
      <c r="B22" s="279"/>
      <c r="C22" s="279"/>
      <c r="D22" s="279"/>
      <c r="E22" s="279"/>
      <c r="F22" s="279"/>
      <c r="G22" s="279"/>
      <c r="H22" s="426"/>
      <c r="I22" s="279"/>
      <c r="J22" s="279"/>
      <c r="K22" s="279"/>
      <c r="L22" s="279"/>
      <c r="M22" s="279"/>
      <c r="N22" s="279"/>
      <c r="O22" s="279"/>
    </row>
    <row r="23" spans="1:15" ht="22.7" customHeight="1" x14ac:dyDescent="0.15">
      <c r="A23" s="279"/>
      <c r="B23" s="295" t="s">
        <v>211</v>
      </c>
      <c r="C23" s="456">
        <f>ROUND(SQRT((2.25*D26*H26)/I26),1)</f>
        <v>74.099999999999994</v>
      </c>
      <c r="D23" s="454"/>
      <c r="E23" s="288"/>
      <c r="F23" s="288"/>
      <c r="G23" s="288"/>
      <c r="H23" s="429"/>
      <c r="I23" s="307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 x14ac:dyDescent="0.2">
      <c r="A25" s="279"/>
      <c r="B25" s="291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2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 x14ac:dyDescent="0.2">
      <c r="A26" s="279"/>
      <c r="B26" s="308">
        <f t="shared" ref="B26:I26" si="1">B21</f>
        <v>48.300000000000004</v>
      </c>
      <c r="C26" s="294">
        <f t="shared" si="1"/>
        <v>126</v>
      </c>
      <c r="D26" s="424">
        <f t="shared" si="1"/>
        <v>2.5249999999999999</v>
      </c>
      <c r="E26" s="293">
        <f t="shared" si="1"/>
        <v>2.0029999999999999E-2</v>
      </c>
      <c r="F26" s="294">
        <f t="shared" si="1"/>
        <v>1440</v>
      </c>
      <c r="G26" s="294">
        <f t="shared" si="1"/>
        <v>1020</v>
      </c>
      <c r="H26" s="478">
        <f>INT(G16/F16*10000)/10000</f>
        <v>0.70830000000000004</v>
      </c>
      <c r="I26" s="309">
        <f t="shared" si="1"/>
        <v>7.3269999999999997E-4</v>
      </c>
      <c r="J26" s="279"/>
      <c r="K26" s="279"/>
      <c r="L26" s="279"/>
      <c r="M26" s="279"/>
      <c r="N26" s="279"/>
      <c r="O26" s="279"/>
    </row>
    <row r="27" spans="1:15" ht="22.7" customHeight="1" x14ac:dyDescent="0.15">
      <c r="A27" s="279"/>
      <c r="B27" s="310" t="s">
        <v>216</v>
      </c>
      <c r="C27" s="311">
        <f>D16</f>
        <v>2.5249999999999999</v>
      </c>
      <c r="D27" s="318">
        <f>(C27/C16)*(100/86400)</f>
        <v>2.3194077013521454E-5</v>
      </c>
      <c r="E27" s="279" t="s">
        <v>217</v>
      </c>
      <c r="F27" s="279"/>
      <c r="G27" s="279"/>
      <c r="H27" s="426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 x14ac:dyDescent="0.15">
      <c r="A28" s="279"/>
      <c r="B28" s="310" t="s">
        <v>218</v>
      </c>
      <c r="C28" s="279">
        <f>I21</f>
        <v>7.3269999999999997E-4</v>
      </c>
      <c r="D28" s="279">
        <f>C27/C16*100/86400</f>
        <v>2.3194077013521457E-5</v>
      </c>
      <c r="E28" s="279"/>
      <c r="F28" s="279"/>
      <c r="G28" s="279"/>
      <c r="H28" s="426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0" t="s">
        <v>219</v>
      </c>
      <c r="C29" s="328">
        <f>(C13+C18+C23)/3</f>
        <v>80.233333333333334</v>
      </c>
      <c r="D29" s="279"/>
      <c r="E29" s="279"/>
      <c r="F29" s="279"/>
      <c r="G29" s="279"/>
      <c r="H29" s="426"/>
      <c r="I29" s="279"/>
      <c r="J29" s="279"/>
      <c r="K29" s="279"/>
      <c r="L29" s="279"/>
      <c r="M29" s="279"/>
      <c r="N29" s="279"/>
      <c r="O29" s="279"/>
    </row>
    <row r="30" spans="1:15" ht="22.7" customHeight="1" x14ac:dyDescent="0.15">
      <c r="A30" s="279"/>
      <c r="F30" s="279"/>
      <c r="G30" s="279"/>
      <c r="H30" s="426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279"/>
      <c r="C31" s="279"/>
      <c r="D31" s="279"/>
      <c r="E31" s="279"/>
      <c r="F31" s="279"/>
      <c r="G31" s="279"/>
      <c r="H31" s="426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D32" s="279"/>
      <c r="E32" s="279"/>
      <c r="F32" s="279"/>
      <c r="G32" s="279"/>
      <c r="H32" s="426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26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B34" s="279"/>
      <c r="C34" s="279"/>
      <c r="D34" s="279"/>
      <c r="E34" s="279"/>
      <c r="F34" s="279"/>
      <c r="G34" s="279"/>
      <c r="H34" s="426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26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26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26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26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26"/>
      <c r="I39" s="279"/>
      <c r="J39" s="279"/>
      <c r="K39" s="279"/>
      <c r="L39" s="279"/>
      <c r="M39" s="279"/>
      <c r="N39" s="279"/>
      <c r="O39" s="279"/>
    </row>
    <row r="40" spans="1:15" ht="16.5" x14ac:dyDescent="0.15">
      <c r="A40" s="279"/>
      <c r="B40" s="279"/>
      <c r="C40" s="279"/>
      <c r="D40" s="279"/>
      <c r="E40" s="279"/>
      <c r="F40" s="279"/>
      <c r="G40" s="279"/>
      <c r="H40" s="426"/>
      <c r="I40" s="279"/>
      <c r="J40" s="279"/>
      <c r="K40" s="279"/>
      <c r="L40" s="279"/>
      <c r="M40" s="279"/>
      <c r="N40" s="279"/>
      <c r="O40" s="279"/>
    </row>
    <row r="41" spans="1:15" ht="16.5" x14ac:dyDescent="0.15">
      <c r="A41" s="279"/>
      <c r="B41" s="279"/>
      <c r="C41" s="279"/>
      <c r="D41" s="279"/>
      <c r="E41" s="279"/>
      <c r="F41" s="279"/>
      <c r="G41" s="279"/>
      <c r="H41" s="426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26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26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26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26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26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26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26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26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26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26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26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26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26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26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26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26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26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26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26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26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26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26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26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26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26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26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26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26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26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26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26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26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26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26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26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26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26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26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26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26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26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26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26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26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26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26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26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26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26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26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26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26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26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26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26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26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26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26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26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26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26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26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26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26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26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26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26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26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26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26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26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26"/>
      <c r="I113" s="279"/>
      <c r="J113" s="279"/>
      <c r="K113" s="279"/>
      <c r="L113" s="279"/>
      <c r="M113" s="279"/>
      <c r="N113" s="279"/>
      <c r="O113" s="27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32" t="s">
        <v>192</v>
      </c>
      <c r="B4" s="532"/>
      <c r="C4" s="205" t="str">
        <f>입력표!I44</f>
        <v>2021년 예산군 농업용 지하수영향조사 용역</v>
      </c>
      <c r="D4" s="206"/>
      <c r="E4" s="206"/>
      <c r="F4" s="206"/>
      <c r="G4" s="206"/>
      <c r="H4" s="207"/>
      <c r="I4" s="208"/>
      <c r="P4" s="3">
        <v>1</v>
      </c>
      <c r="Q4" s="64">
        <v>-0.92000000000000037</v>
      </c>
      <c r="R4" s="14">
        <f>B12</f>
        <v>130</v>
      </c>
      <c r="S4" s="3">
        <f>$R$4</f>
        <v>130</v>
      </c>
      <c r="T4" s="337">
        <v>2.6320468710286988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24.600724406020483</v>
      </c>
      <c r="Z4" s="13">
        <f>Z22</f>
        <v>23.596491492069919</v>
      </c>
      <c r="AA4" s="10">
        <f>$Z$4</f>
        <v>23.596491492069919</v>
      </c>
      <c r="AB4" s="10">
        <f>X4</f>
        <v>1</v>
      </c>
      <c r="AC4" s="10">
        <f>Y4-AA4</f>
        <v>1.0042329139505632</v>
      </c>
      <c r="AD4" s="78">
        <f>INT((AC4-AE4)*100)/100</f>
        <v>1.92</v>
      </c>
      <c r="AE4" s="6">
        <f>Q4</f>
        <v>-0.92000000000000037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32" t="s">
        <v>45</v>
      </c>
      <c r="B5" s="532"/>
      <c r="C5" s="209" t="str">
        <f>입력표!I45</f>
        <v>신리지구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130</v>
      </c>
      <c r="T5" s="3">
        <f>$T4</f>
        <v>2.6320468710286988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27.322031023791439</v>
      </c>
      <c r="AA5" s="10">
        <f t="shared" ref="AA5:AA23" si="5">$Z$4</f>
        <v>23.596491492069919</v>
      </c>
      <c r="AB5" s="10">
        <f t="shared" ref="AB5:AB43" si="6">X5</f>
        <v>2</v>
      </c>
      <c r="AC5" s="10">
        <f t="shared" ref="AC5:AC43" si="7">Y5-AA5</f>
        <v>3.7255395317215196</v>
      </c>
      <c r="AD5" s="78">
        <f t="shared" ref="AD5:AD16" si="8">INT((AC5-AE5)*100)/100</f>
        <v>3.72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32" t="s">
        <v>46</v>
      </c>
      <c r="B6" s="532"/>
      <c r="C6" s="213" t="str">
        <f>입력표!I46</f>
        <v>충청남도 예산군 응봉면 신리 194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130</v>
      </c>
      <c r="T6" s="3">
        <f t="shared" ref="T6:T51" si="10">$T5</f>
        <v>2.6320468710286988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28.91389334815177</v>
      </c>
      <c r="AA6" s="10">
        <f t="shared" si="5"/>
        <v>23.596491492069919</v>
      </c>
      <c r="AB6" s="10">
        <f t="shared" si="6"/>
        <v>3</v>
      </c>
      <c r="AC6" s="10">
        <f t="shared" si="7"/>
        <v>5.317401856081851</v>
      </c>
      <c r="AD6" s="78">
        <f t="shared" si="8"/>
        <v>5.31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32" t="s">
        <v>165</v>
      </c>
      <c r="B7" s="532"/>
      <c r="C7" s="214" t="str">
        <f>입력표!I47</f>
        <v>(주) 현윤이앤씨</v>
      </c>
      <c r="D7" s="215"/>
      <c r="E7" s="206"/>
      <c r="F7" s="216"/>
      <c r="G7" s="217" t="str">
        <f>입력표!I49</f>
        <v>신리지구</v>
      </c>
      <c r="H7" s="218"/>
      <c r="I7" s="219"/>
      <c r="P7" s="3">
        <v>4</v>
      </c>
      <c r="Q7" s="64"/>
      <c r="S7" s="3">
        <f t="shared" si="3"/>
        <v>130</v>
      </c>
      <c r="T7" s="3">
        <f t="shared" si="10"/>
        <v>2.6320468710286988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30.043337641562395</v>
      </c>
      <c r="AA7" s="10">
        <f t="shared" si="5"/>
        <v>23.596491492069919</v>
      </c>
      <c r="AB7" s="10">
        <f t="shared" si="6"/>
        <v>4</v>
      </c>
      <c r="AC7" s="10">
        <f t="shared" si="7"/>
        <v>6.446846149492476</v>
      </c>
      <c r="AD7" s="78">
        <f t="shared" si="8"/>
        <v>6.44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33">
        <f>입력표!I48</f>
        <v>7.5</v>
      </c>
      <c r="D8" s="534"/>
      <c r="E8" s="535"/>
      <c r="F8" s="221" t="s">
        <v>6</v>
      </c>
      <c r="G8" s="217" t="str">
        <f>G7</f>
        <v>신리지구</v>
      </c>
      <c r="H8" s="218"/>
      <c r="I8" s="222"/>
      <c r="K8" s="369"/>
      <c r="P8" s="3">
        <v>5</v>
      </c>
      <c r="Q8" s="64"/>
      <c r="S8" s="3">
        <f t="shared" si="3"/>
        <v>130</v>
      </c>
      <c r="T8" s="3">
        <f t="shared" si="10"/>
        <v>2.6320468710286988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30.91940269662577</v>
      </c>
      <c r="AA8" s="10">
        <f t="shared" si="5"/>
        <v>23.596491492069919</v>
      </c>
      <c r="AB8" s="10">
        <f t="shared" si="6"/>
        <v>5</v>
      </c>
      <c r="AC8" s="10">
        <f t="shared" si="7"/>
        <v>7.3229112045558509</v>
      </c>
      <c r="AD8" s="78">
        <f t="shared" si="8"/>
        <v>7.32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36">
        <f>입력표!M44</f>
        <v>250</v>
      </c>
      <c r="E9" s="536"/>
      <c r="F9" s="204" t="s">
        <v>8</v>
      </c>
      <c r="G9" s="526">
        <f>입력표!M45</f>
        <v>140</v>
      </c>
      <c r="H9" s="526"/>
      <c r="I9" s="204"/>
      <c r="P9" s="3">
        <v>10</v>
      </c>
      <c r="Q9" s="64"/>
      <c r="S9" s="3">
        <f t="shared" si="3"/>
        <v>130</v>
      </c>
      <c r="T9" s="3">
        <f t="shared" si="10"/>
        <v>2.6320468710286988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33.640709314396723</v>
      </c>
      <c r="AA9" s="10">
        <f t="shared" si="5"/>
        <v>23.596491492069919</v>
      </c>
      <c r="AB9" s="10">
        <f t="shared" si="6"/>
        <v>10</v>
      </c>
      <c r="AC9" s="10">
        <f t="shared" si="7"/>
        <v>10.044217822326804</v>
      </c>
      <c r="AD9" s="78">
        <f t="shared" si="8"/>
        <v>10.039999999999999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29">
        <f>입력표!M48</f>
        <v>7.3</v>
      </c>
      <c r="E10" s="530"/>
      <c r="F10" s="224" t="s">
        <v>0</v>
      </c>
      <c r="G10" s="527" t="s">
        <v>0</v>
      </c>
      <c r="H10" s="527"/>
      <c r="I10" s="212"/>
      <c r="P10" s="3">
        <v>15</v>
      </c>
      <c r="Q10" s="64"/>
      <c r="S10" s="3">
        <f t="shared" si="3"/>
        <v>130</v>
      </c>
      <c r="T10" s="3">
        <f t="shared" si="10"/>
        <v>2.6320468710286988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35.232571638757058</v>
      </c>
      <c r="AA10" s="10">
        <f t="shared" si="5"/>
        <v>23.596491492069919</v>
      </c>
      <c r="AB10" s="10">
        <f t="shared" si="6"/>
        <v>15</v>
      </c>
      <c r="AC10" s="10">
        <f t="shared" si="7"/>
        <v>11.636080146687139</v>
      </c>
      <c r="AD10" s="78">
        <f t="shared" si="8"/>
        <v>11.63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31" t="s">
        <v>172</v>
      </c>
      <c r="E11" s="531"/>
      <c r="F11" s="225" t="s">
        <v>173</v>
      </c>
      <c r="G11" s="528" t="s">
        <v>174</v>
      </c>
      <c r="H11" s="528"/>
      <c r="I11" s="204" t="s">
        <v>164</v>
      </c>
      <c r="J11" s="368">
        <f>G12-J13</f>
        <v>0.11999999999999966</v>
      </c>
      <c r="P11" s="3">
        <v>20</v>
      </c>
      <c r="Q11" s="64"/>
      <c r="S11" s="3">
        <f t="shared" si="3"/>
        <v>130</v>
      </c>
      <c r="T11" s="3">
        <f t="shared" si="10"/>
        <v>2.6320468710286988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36.362015932167679</v>
      </c>
      <c r="AA11" s="10">
        <f t="shared" si="5"/>
        <v>23.596491492069919</v>
      </c>
      <c r="AB11" s="10">
        <f t="shared" si="6"/>
        <v>20</v>
      </c>
      <c r="AC11" s="10">
        <f t="shared" si="7"/>
        <v>12.76552444009776</v>
      </c>
      <c r="AD11" s="78">
        <f t="shared" si="8"/>
        <v>12.76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130</v>
      </c>
      <c r="C12" s="201">
        <v>0.41736111111111113</v>
      </c>
      <c r="D12" s="525">
        <v>1</v>
      </c>
      <c r="E12" s="525"/>
      <c r="F12" s="202">
        <f>G12+$D$10</f>
        <v>9.2199999999999989</v>
      </c>
      <c r="G12" s="524">
        <f>AD4</f>
        <v>1.92</v>
      </c>
      <c r="H12" s="524"/>
      <c r="I12" s="204" t="s">
        <v>12</v>
      </c>
      <c r="J12" s="8"/>
      <c r="P12" s="3">
        <v>25</v>
      </c>
      <c r="Q12" s="64"/>
      <c r="S12" s="3">
        <f t="shared" si="3"/>
        <v>130</v>
      </c>
      <c r="T12" s="3">
        <f t="shared" si="10"/>
        <v>2.6320468710286988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37.238080987231058</v>
      </c>
      <c r="AA12" s="10">
        <f t="shared" si="5"/>
        <v>23.596491492069919</v>
      </c>
      <c r="AB12" s="10">
        <f t="shared" si="6"/>
        <v>25</v>
      </c>
      <c r="AC12" s="10">
        <f t="shared" si="7"/>
        <v>13.641589495161139</v>
      </c>
      <c r="AD12" s="78">
        <f t="shared" si="8"/>
        <v>13.64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25">
        <v>2</v>
      </c>
      <c r="E13" s="525"/>
      <c r="F13" s="202">
        <f t="shared" ref="F13:F28" si="13">G13+$D$10</f>
        <v>11.02</v>
      </c>
      <c r="G13" s="524">
        <f t="shared" ref="G13:G51" si="14">AD5</f>
        <v>3.72</v>
      </c>
      <c r="H13" s="524"/>
      <c r="I13" s="203"/>
      <c r="J13" s="8">
        <f>G13-G12</f>
        <v>1.8000000000000003</v>
      </c>
      <c r="P13" s="3">
        <v>30</v>
      </c>
      <c r="Q13" s="64"/>
      <c r="S13" s="3">
        <f t="shared" si="3"/>
        <v>130</v>
      </c>
      <c r="T13" s="3">
        <f t="shared" si="10"/>
        <v>2.6320468710286988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37.953878256528007</v>
      </c>
      <c r="AA13" s="10">
        <f t="shared" si="5"/>
        <v>23.596491492069919</v>
      </c>
      <c r="AB13" s="10">
        <f t="shared" si="6"/>
        <v>30</v>
      </c>
      <c r="AC13" s="10">
        <f t="shared" si="7"/>
        <v>14.357386764458088</v>
      </c>
      <c r="AD13" s="78">
        <f t="shared" si="8"/>
        <v>14.35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25">
        <v>3</v>
      </c>
      <c r="E14" s="525"/>
      <c r="F14" s="202">
        <f t="shared" si="13"/>
        <v>12.61</v>
      </c>
      <c r="G14" s="524">
        <f t="shared" si="14"/>
        <v>5.31</v>
      </c>
      <c r="H14" s="524"/>
      <c r="I14" s="203"/>
      <c r="J14" s="8">
        <f t="shared" ref="J14:J51" si="15">G14-G13</f>
        <v>1.5899999999999994</v>
      </c>
      <c r="Q14" s="64"/>
      <c r="S14" s="3">
        <f t="shared" si="3"/>
        <v>130</v>
      </c>
      <c r="T14" s="3">
        <f t="shared" si="10"/>
        <v>2.6320468710286988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38.559076224452994</v>
      </c>
      <c r="AA14" s="10">
        <f t="shared" si="5"/>
        <v>23.596491492069919</v>
      </c>
      <c r="AB14" s="10">
        <f t="shared" si="6"/>
        <v>35</v>
      </c>
      <c r="AC14" s="10">
        <f t="shared" si="7"/>
        <v>14.962584732383075</v>
      </c>
      <c r="AD14" s="78">
        <f t="shared" si="8"/>
        <v>14.96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25">
        <v>4</v>
      </c>
      <c r="E15" s="525"/>
      <c r="F15" s="202">
        <f t="shared" si="13"/>
        <v>13.74</v>
      </c>
      <c r="G15" s="524">
        <f t="shared" si="14"/>
        <v>6.44</v>
      </c>
      <c r="H15" s="524"/>
      <c r="I15" s="203"/>
      <c r="J15" s="8">
        <f t="shared" si="15"/>
        <v>1.1300000000000008</v>
      </c>
      <c r="Q15" s="64"/>
      <c r="S15" s="3">
        <f t="shared" si="3"/>
        <v>130</v>
      </c>
      <c r="T15" s="3">
        <f t="shared" si="10"/>
        <v>2.6320468710286988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39.083322549938636</v>
      </c>
      <c r="AA15" s="10">
        <f t="shared" si="5"/>
        <v>23.596491492069919</v>
      </c>
      <c r="AB15" s="10">
        <f t="shared" si="6"/>
        <v>40</v>
      </c>
      <c r="AC15" s="10">
        <f t="shared" si="7"/>
        <v>15.486831057868716</v>
      </c>
      <c r="AD15" s="78">
        <f t="shared" si="8"/>
        <v>15.48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25">
        <v>5</v>
      </c>
      <c r="E16" s="525"/>
      <c r="F16" s="202">
        <f t="shared" si="13"/>
        <v>14.620000000000001</v>
      </c>
      <c r="G16" s="524">
        <f t="shared" si="14"/>
        <v>7.32</v>
      </c>
      <c r="H16" s="524"/>
      <c r="I16" s="203"/>
      <c r="J16" s="8">
        <f t="shared" si="15"/>
        <v>0.87999999999999989</v>
      </c>
      <c r="L16" s="11" t="s">
        <v>94</v>
      </c>
      <c r="M16" s="11" t="s">
        <v>95</v>
      </c>
      <c r="S16" s="3">
        <f t="shared" si="3"/>
        <v>130</v>
      </c>
      <c r="T16" s="3">
        <f t="shared" si="10"/>
        <v>2.6320468710286988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39.545740580888342</v>
      </c>
      <c r="AA16" s="10">
        <f t="shared" si="5"/>
        <v>23.596491492069919</v>
      </c>
      <c r="AB16" s="10">
        <f t="shared" si="6"/>
        <v>45</v>
      </c>
      <c r="AC16" s="10">
        <f t="shared" si="7"/>
        <v>15.949249088818423</v>
      </c>
      <c r="AD16" s="78">
        <f t="shared" si="8"/>
        <v>15.94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25">
        <v>10</v>
      </c>
      <c r="E17" s="525"/>
      <c r="F17" s="202">
        <f t="shared" si="13"/>
        <v>17.34</v>
      </c>
      <c r="G17" s="524">
        <f t="shared" si="14"/>
        <v>10.039999999999999</v>
      </c>
      <c r="H17" s="524"/>
      <c r="I17" s="203"/>
      <c r="J17" s="8">
        <f t="shared" si="15"/>
        <v>2.7199999999999989</v>
      </c>
      <c r="K17" s="29">
        <f>D12</f>
        <v>1</v>
      </c>
      <c r="L17" s="3">
        <f>INT(B12/1440*10000)/10000</f>
        <v>9.0200000000000002E-2</v>
      </c>
      <c r="M17" s="3">
        <f>K17*L17</f>
        <v>9.0200000000000002E-2</v>
      </c>
      <c r="N17" s="3">
        <f>INT((8*2.54/2/100)^2*3.14159*100000)/100000</f>
        <v>3.2419999999999997E-2</v>
      </c>
      <c r="O17" s="3">
        <f>INT(M17/N17*100)/100</f>
        <v>2.78</v>
      </c>
      <c r="P17" s="13">
        <f>INT((G12-O17)*100)/100</f>
        <v>-0.86</v>
      </c>
      <c r="S17" s="3">
        <f t="shared" si="3"/>
        <v>130</v>
      </c>
      <c r="T17" s="3">
        <f t="shared" si="10"/>
        <v>2.6320468710286988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39.959387605002014</v>
      </c>
      <c r="AA17" s="10">
        <f t="shared" si="5"/>
        <v>23.596491492069919</v>
      </c>
      <c r="AB17" s="10">
        <f t="shared" si="6"/>
        <v>50</v>
      </c>
      <c r="AC17" s="10">
        <f t="shared" si="7"/>
        <v>16.362896112932095</v>
      </c>
      <c r="AD17" s="78">
        <f t="shared" ref="AD17:AD22" si="16">INT(AC17*100)/100</f>
        <v>16.36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25">
        <v>15</v>
      </c>
      <c r="E18" s="525"/>
      <c r="F18" s="202">
        <f t="shared" si="13"/>
        <v>18.93</v>
      </c>
      <c r="G18" s="524">
        <f t="shared" si="14"/>
        <v>11.63</v>
      </c>
      <c r="H18" s="524"/>
      <c r="I18" s="203"/>
      <c r="J18" s="8">
        <f t="shared" si="15"/>
        <v>1.5900000000000016</v>
      </c>
      <c r="K18" s="29">
        <f>D13</f>
        <v>2</v>
      </c>
      <c r="L18" s="3">
        <f>L17</f>
        <v>9.0200000000000002E-2</v>
      </c>
      <c r="M18" s="3">
        <f t="shared" ref="M18:M32" si="17">K18*L18</f>
        <v>0.1804</v>
      </c>
      <c r="N18" s="3">
        <f>N17</f>
        <v>3.2419999999999997E-2</v>
      </c>
      <c r="O18" s="3">
        <f>INT(M18/N18*100)/100</f>
        <v>5.56</v>
      </c>
      <c r="P18" s="13">
        <f>INT((G13-O18)*100*0.98)/100</f>
        <v>-1.81</v>
      </c>
      <c r="S18" s="3">
        <f t="shared" si="3"/>
        <v>130</v>
      </c>
      <c r="T18" s="3">
        <f t="shared" si="10"/>
        <v>2.6320468710286988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40.333576854149534</v>
      </c>
      <c r="AA18" s="10">
        <f t="shared" si="5"/>
        <v>23.596491492069919</v>
      </c>
      <c r="AB18" s="10">
        <f t="shared" si="6"/>
        <v>55</v>
      </c>
      <c r="AC18" s="10">
        <f t="shared" si="7"/>
        <v>16.737085362079615</v>
      </c>
      <c r="AD18" s="78">
        <f t="shared" si="16"/>
        <v>16.73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25">
        <v>20</v>
      </c>
      <c r="E19" s="525"/>
      <c r="F19" s="202">
        <f t="shared" si="13"/>
        <v>20.059999999999999</v>
      </c>
      <c r="G19" s="524">
        <f t="shared" si="14"/>
        <v>12.76</v>
      </c>
      <c r="H19" s="524"/>
      <c r="I19" s="203"/>
      <c r="J19" s="8">
        <f t="shared" si="15"/>
        <v>1.129999999999999</v>
      </c>
      <c r="K19" s="29">
        <f t="shared" ref="K19:K32" si="18">D14</f>
        <v>3</v>
      </c>
      <c r="L19" s="3">
        <f>L18</f>
        <v>9.0200000000000002E-2</v>
      </c>
      <c r="M19" s="3">
        <f t="shared" si="17"/>
        <v>0.27060000000000001</v>
      </c>
      <c r="N19" s="3">
        <f t="shared" ref="N19:N32" si="19">N18</f>
        <v>3.2419999999999997E-2</v>
      </c>
      <c r="O19" s="3">
        <f>INT(M19/N19*100)/100</f>
        <v>8.34</v>
      </c>
      <c r="P19" s="13">
        <f>INT((G14-O19)*100*0.95)/100</f>
        <v>-2.88</v>
      </c>
      <c r="S19" s="3">
        <f t="shared" si="3"/>
        <v>130</v>
      </c>
      <c r="T19" s="3">
        <f t="shared" si="10"/>
        <v>2.6320468710286988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40.675184874298964</v>
      </c>
      <c r="AA19" s="10">
        <f t="shared" si="5"/>
        <v>23.596491492069919</v>
      </c>
      <c r="AB19" s="10">
        <f t="shared" si="6"/>
        <v>60</v>
      </c>
      <c r="AC19" s="10">
        <f t="shared" si="7"/>
        <v>17.078693382229044</v>
      </c>
      <c r="AD19" s="78">
        <f t="shared" si="16"/>
        <v>17.07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25">
        <v>25</v>
      </c>
      <c r="E20" s="525"/>
      <c r="F20" s="202">
        <f t="shared" si="13"/>
        <v>20.94</v>
      </c>
      <c r="G20" s="524">
        <f t="shared" si="14"/>
        <v>13.64</v>
      </c>
      <c r="H20" s="524"/>
      <c r="I20" s="203"/>
      <c r="J20" s="8">
        <f t="shared" si="15"/>
        <v>0.88000000000000078</v>
      </c>
      <c r="K20" s="29">
        <f t="shared" si="18"/>
        <v>4</v>
      </c>
      <c r="L20" s="3">
        <f>L19</f>
        <v>9.0200000000000002E-2</v>
      </c>
      <c r="M20" s="3">
        <f t="shared" si="17"/>
        <v>0.36080000000000001</v>
      </c>
      <c r="N20" s="3">
        <f t="shared" si="19"/>
        <v>3.2419999999999997E-2</v>
      </c>
      <c r="O20" s="3">
        <f>INT(M20/N20*100)/100</f>
        <v>11.12</v>
      </c>
      <c r="P20" s="13">
        <f>INT((G15-O20)*100*0.91)/100</f>
        <v>-4.26</v>
      </c>
      <c r="S20" s="3">
        <f t="shared" si="3"/>
        <v>130</v>
      </c>
      <c r="T20" s="3">
        <f t="shared" si="10"/>
        <v>2.6320468710286988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41.551249929362342</v>
      </c>
      <c r="AA20" s="10">
        <f t="shared" si="5"/>
        <v>23.596491492069919</v>
      </c>
      <c r="AB20" s="10">
        <f t="shared" si="6"/>
        <v>75</v>
      </c>
      <c r="AC20" s="10">
        <f t="shared" si="7"/>
        <v>17.954758437292423</v>
      </c>
      <c r="AD20" s="78">
        <f t="shared" si="16"/>
        <v>17.95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25">
        <v>30</v>
      </c>
      <c r="E21" s="525"/>
      <c r="F21" s="202">
        <f t="shared" si="13"/>
        <v>21.65</v>
      </c>
      <c r="G21" s="524">
        <f t="shared" si="14"/>
        <v>14.35</v>
      </c>
      <c r="H21" s="524"/>
      <c r="I21" s="203"/>
      <c r="J21" s="8">
        <f t="shared" si="15"/>
        <v>0.70999999999999908</v>
      </c>
      <c r="K21" s="29">
        <f t="shared" si="18"/>
        <v>5</v>
      </c>
      <c r="L21" s="29">
        <f>L20</f>
        <v>9.0200000000000002E-2</v>
      </c>
      <c r="M21" s="3">
        <f t="shared" si="17"/>
        <v>0.45100000000000001</v>
      </c>
      <c r="N21" s="3">
        <f t="shared" si="19"/>
        <v>3.2419999999999997E-2</v>
      </c>
      <c r="O21" s="29">
        <f>INT(M21/N21*100)/100</f>
        <v>13.91</v>
      </c>
      <c r="P21" s="13">
        <f>INT((G16-O21)*100*0.86)/100</f>
        <v>-5.67</v>
      </c>
      <c r="S21" s="3">
        <f t="shared" si="3"/>
        <v>130</v>
      </c>
      <c r="T21" s="3">
        <f t="shared" si="10"/>
        <v>2.6320468710286988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42.267047198659299</v>
      </c>
      <c r="AA21" s="10">
        <f t="shared" si="5"/>
        <v>23.596491492069919</v>
      </c>
      <c r="AB21" s="10">
        <f t="shared" si="6"/>
        <v>90</v>
      </c>
      <c r="AC21" s="10">
        <f t="shared" si="7"/>
        <v>18.670555706589379</v>
      </c>
      <c r="AD21" s="78">
        <f t="shared" si="16"/>
        <v>18.670000000000002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25">
        <v>35</v>
      </c>
      <c r="E22" s="525"/>
      <c r="F22" s="202">
        <f t="shared" si="13"/>
        <v>22.26</v>
      </c>
      <c r="G22" s="524">
        <f t="shared" si="14"/>
        <v>14.96</v>
      </c>
      <c r="H22" s="524"/>
      <c r="I22" s="204"/>
      <c r="J22" s="8">
        <f t="shared" si="15"/>
        <v>0.61000000000000121</v>
      </c>
      <c r="K22" s="29">
        <f t="shared" si="18"/>
        <v>10</v>
      </c>
      <c r="L22" s="29">
        <f t="shared" ref="L22:L32" si="20">L21</f>
        <v>9.0200000000000002E-2</v>
      </c>
      <c r="M22" s="3">
        <f t="shared" si="17"/>
        <v>0.90200000000000002</v>
      </c>
      <c r="N22" s="3">
        <f t="shared" si="19"/>
        <v>3.2419999999999997E-2</v>
      </c>
      <c r="O22" s="29">
        <f t="shared" ref="O22:O30" si="21">INT(M22/N22*100)/100</f>
        <v>27.82</v>
      </c>
      <c r="P22" s="13">
        <f>INT((G17-O22)*100*0.8)/100</f>
        <v>-14.23</v>
      </c>
      <c r="S22" s="3">
        <f t="shared" si="3"/>
        <v>130</v>
      </c>
      <c r="T22" s="3">
        <f t="shared" si="10"/>
        <v>2.6320468710286988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42.872245166584278</v>
      </c>
      <c r="Z22" s="10">
        <f>Y23-Z23</f>
        <v>23.596491492069919</v>
      </c>
      <c r="AA22" s="10">
        <f t="shared" si="5"/>
        <v>23.596491492069919</v>
      </c>
      <c r="AB22" s="10">
        <f t="shared" si="6"/>
        <v>105</v>
      </c>
      <c r="AC22" s="10">
        <f t="shared" si="7"/>
        <v>19.275753674514359</v>
      </c>
      <c r="AD22" s="78">
        <f t="shared" si="16"/>
        <v>19.27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25">
        <v>40</v>
      </c>
      <c r="E23" s="525"/>
      <c r="F23" s="202">
        <f t="shared" si="13"/>
        <v>22.78</v>
      </c>
      <c r="G23" s="524">
        <f t="shared" si="14"/>
        <v>15.48</v>
      </c>
      <c r="H23" s="524"/>
      <c r="I23" s="204"/>
      <c r="J23" s="8">
        <f t="shared" si="15"/>
        <v>0.51999999999999957</v>
      </c>
      <c r="K23" s="29">
        <f t="shared" si="18"/>
        <v>15</v>
      </c>
      <c r="L23" s="29">
        <f t="shared" si="20"/>
        <v>9.0200000000000002E-2</v>
      </c>
      <c r="M23" s="3">
        <f t="shared" si="17"/>
        <v>1.353</v>
      </c>
      <c r="N23" s="3">
        <f t="shared" si="19"/>
        <v>3.2419999999999997E-2</v>
      </c>
      <c r="O23" s="29">
        <f t="shared" si="21"/>
        <v>41.73</v>
      </c>
      <c r="P23" s="13">
        <f t="shared" ref="P23:P32" si="22">INT((G18-O23)*100)/100</f>
        <v>-30.1</v>
      </c>
      <c r="S23" s="3">
        <f t="shared" si="3"/>
        <v>130</v>
      </c>
      <c r="T23" s="3">
        <f t="shared" si="10"/>
        <v>2.6320468710286988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43.39649149206992</v>
      </c>
      <c r="Z23" s="10">
        <f>입력표!B20</f>
        <v>19.8</v>
      </c>
      <c r="AA23" s="10">
        <f t="shared" si="5"/>
        <v>23.596491492069919</v>
      </c>
      <c r="AB23" s="10">
        <f t="shared" si="6"/>
        <v>120</v>
      </c>
      <c r="AC23" s="10">
        <f t="shared" si="7"/>
        <v>19.8</v>
      </c>
      <c r="AD23" s="78">
        <f>INT((AC$3+AE23)*100)/100</f>
        <v>19.8</v>
      </c>
      <c r="AE23" s="10">
        <f>AG$23*AF23</f>
        <v>19.8</v>
      </c>
      <c r="AF23" s="10">
        <v>1</v>
      </c>
      <c r="AG23" s="10">
        <f>AC23-AC3</f>
        <v>19.8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25">
        <v>45</v>
      </c>
      <c r="E24" s="525"/>
      <c r="F24" s="202">
        <f t="shared" si="13"/>
        <v>23.24</v>
      </c>
      <c r="G24" s="524">
        <f t="shared" si="14"/>
        <v>15.94</v>
      </c>
      <c r="H24" s="524"/>
      <c r="I24" s="204"/>
      <c r="J24" s="8">
        <f t="shared" si="15"/>
        <v>0.45999999999999908</v>
      </c>
      <c r="K24" s="29">
        <f t="shared" si="18"/>
        <v>20</v>
      </c>
      <c r="L24" s="29">
        <f t="shared" si="20"/>
        <v>9.0200000000000002E-2</v>
      </c>
      <c r="M24" s="3">
        <f t="shared" si="17"/>
        <v>1.804</v>
      </c>
      <c r="N24" s="3">
        <f t="shared" si="19"/>
        <v>3.2419999999999997E-2</v>
      </c>
      <c r="O24" s="29">
        <f t="shared" si="21"/>
        <v>55.64</v>
      </c>
      <c r="P24" s="13">
        <f t="shared" si="22"/>
        <v>-42.88</v>
      </c>
      <c r="R24" s="14">
        <f>B32</f>
        <v>166</v>
      </c>
      <c r="S24" s="3">
        <f>$R$24</f>
        <v>166</v>
      </c>
      <c r="T24" s="3">
        <f t="shared" si="10"/>
        <v>2.6320468710286988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55.815253136415926</v>
      </c>
      <c r="Z24" s="10">
        <f>Z27</f>
        <v>31.938880663335279</v>
      </c>
      <c r="AA24" s="10">
        <f>$Z$24</f>
        <v>31.938880663335279</v>
      </c>
      <c r="AB24" s="10">
        <f t="shared" si="6"/>
        <v>130</v>
      </c>
      <c r="AC24" s="10">
        <f t="shared" si="7"/>
        <v>23.876372473080647</v>
      </c>
      <c r="AD24" s="78">
        <f>INT((AC$23+AE24)*100)/100</f>
        <v>24.09</v>
      </c>
      <c r="AE24" s="10">
        <f>AF24*AG$28</f>
        <v>4.2899999999999991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25">
        <v>50</v>
      </c>
      <c r="E25" s="525"/>
      <c r="F25" s="202">
        <f t="shared" si="13"/>
        <v>23.66</v>
      </c>
      <c r="G25" s="524">
        <f t="shared" si="14"/>
        <v>16.36</v>
      </c>
      <c r="H25" s="524"/>
      <c r="I25" s="204"/>
      <c r="J25" s="8">
        <f t="shared" si="15"/>
        <v>0.41999999999999993</v>
      </c>
      <c r="K25" s="29">
        <f t="shared" si="18"/>
        <v>25</v>
      </c>
      <c r="L25" s="29">
        <f t="shared" si="20"/>
        <v>9.0200000000000002E-2</v>
      </c>
      <c r="M25" s="3">
        <f t="shared" si="17"/>
        <v>2.2549999999999999</v>
      </c>
      <c r="N25" s="3">
        <f t="shared" si="19"/>
        <v>3.2419999999999997E-2</v>
      </c>
      <c r="O25" s="29">
        <f t="shared" si="21"/>
        <v>69.55</v>
      </c>
      <c r="P25" s="13">
        <f t="shared" si="22"/>
        <v>-55.91</v>
      </c>
      <c r="S25" s="3">
        <f>$R$24</f>
        <v>166</v>
      </c>
      <c r="T25" s="3">
        <f t="shared" si="10"/>
        <v>2.6320468710286988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56.186772695070417</v>
      </c>
      <c r="AA25" s="10">
        <f>$Z$24</f>
        <v>31.938880663335279</v>
      </c>
      <c r="AB25" s="10">
        <f t="shared" si="6"/>
        <v>140</v>
      </c>
      <c r="AC25" s="10">
        <f t="shared" si="7"/>
        <v>24.247892031735137</v>
      </c>
      <c r="AD25" s="78">
        <f>INT((AC$23+AE25)*100)/100</f>
        <v>24.8</v>
      </c>
      <c r="AE25" s="10">
        <f>AF25*AG$28</f>
        <v>5.004999999999999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25">
        <v>55</v>
      </c>
      <c r="E26" s="525"/>
      <c r="F26" s="202">
        <f t="shared" si="13"/>
        <v>24.03</v>
      </c>
      <c r="G26" s="524">
        <f t="shared" si="14"/>
        <v>16.73</v>
      </c>
      <c r="H26" s="524"/>
      <c r="I26" s="204"/>
      <c r="J26" s="8">
        <f t="shared" si="15"/>
        <v>0.37000000000000099</v>
      </c>
      <c r="K26" s="29">
        <f t="shared" si="18"/>
        <v>30</v>
      </c>
      <c r="L26" s="29">
        <f t="shared" si="20"/>
        <v>9.0200000000000002E-2</v>
      </c>
      <c r="M26" s="3">
        <f t="shared" si="17"/>
        <v>2.706</v>
      </c>
      <c r="N26" s="3">
        <f t="shared" si="19"/>
        <v>3.2419999999999997E-2</v>
      </c>
      <c r="O26" s="3">
        <f t="shared" si="21"/>
        <v>83.46</v>
      </c>
      <c r="P26" s="13">
        <f t="shared" si="22"/>
        <v>-69.11</v>
      </c>
      <c r="S26" s="3">
        <f>$R$24</f>
        <v>166</v>
      </c>
      <c r="T26" s="3">
        <f t="shared" si="10"/>
        <v>2.6320468710286988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56.532649129416363</v>
      </c>
      <c r="AA26" s="10">
        <f>$Z$24</f>
        <v>31.938880663335279</v>
      </c>
      <c r="AB26" s="10">
        <f t="shared" si="6"/>
        <v>150</v>
      </c>
      <c r="AC26" s="10">
        <f t="shared" si="7"/>
        <v>24.593768466081084</v>
      </c>
      <c r="AD26" s="78">
        <f>INT((AC$23+AE26)*100)/100</f>
        <v>25.52</v>
      </c>
      <c r="AE26" s="10">
        <f>AF26*AG$28</f>
        <v>5.7199999999999989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25">
        <v>60</v>
      </c>
      <c r="E27" s="525"/>
      <c r="F27" s="202">
        <f t="shared" si="13"/>
        <v>24.37</v>
      </c>
      <c r="G27" s="524">
        <f t="shared" si="14"/>
        <v>17.07</v>
      </c>
      <c r="H27" s="524"/>
      <c r="I27" s="204"/>
      <c r="J27" s="8">
        <f t="shared" si="15"/>
        <v>0.33999999999999986</v>
      </c>
      <c r="K27" s="29">
        <f t="shared" si="18"/>
        <v>35</v>
      </c>
      <c r="L27" s="29">
        <f t="shared" si="20"/>
        <v>9.0200000000000002E-2</v>
      </c>
      <c r="M27" s="3">
        <f t="shared" si="17"/>
        <v>3.157</v>
      </c>
      <c r="N27" s="3">
        <f t="shared" si="19"/>
        <v>3.2419999999999997E-2</v>
      </c>
      <c r="O27" s="3">
        <f t="shared" si="21"/>
        <v>97.37</v>
      </c>
      <c r="P27" s="13">
        <f t="shared" si="22"/>
        <v>-82.41</v>
      </c>
      <c r="S27" s="3">
        <f>$R$24</f>
        <v>166</v>
      </c>
      <c r="T27" s="3">
        <f t="shared" si="10"/>
        <v>2.6320468710286988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57.446667180980171</v>
      </c>
      <c r="Z27" s="10">
        <f>Y28-Z28</f>
        <v>31.938880663335279</v>
      </c>
      <c r="AA27" s="10">
        <f>$Z$24</f>
        <v>31.938880663335279</v>
      </c>
      <c r="AB27" s="10">
        <f t="shared" si="6"/>
        <v>180</v>
      </c>
      <c r="AC27" s="10">
        <f t="shared" si="7"/>
        <v>25.507786517644892</v>
      </c>
      <c r="AD27" s="78">
        <f>INT((AC$23+AE27)*100)/100</f>
        <v>26.23</v>
      </c>
      <c r="AE27" s="10">
        <f>AF27*AG$28</f>
        <v>6.4349999999999987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25">
        <v>75</v>
      </c>
      <c r="E28" s="525"/>
      <c r="F28" s="202">
        <f t="shared" si="13"/>
        <v>25.25</v>
      </c>
      <c r="G28" s="524">
        <f t="shared" si="14"/>
        <v>17.95</v>
      </c>
      <c r="H28" s="524"/>
      <c r="I28" s="204"/>
      <c r="J28" s="8">
        <f t="shared" si="15"/>
        <v>0.87999999999999901</v>
      </c>
      <c r="K28" s="29">
        <f t="shared" si="18"/>
        <v>40</v>
      </c>
      <c r="L28" s="29">
        <f t="shared" si="20"/>
        <v>9.0200000000000002E-2</v>
      </c>
      <c r="M28" s="3">
        <f t="shared" si="17"/>
        <v>3.6080000000000001</v>
      </c>
      <c r="N28" s="3">
        <f t="shared" si="19"/>
        <v>3.2419999999999997E-2</v>
      </c>
      <c r="O28" s="3">
        <f t="shared" si="21"/>
        <v>111.28</v>
      </c>
      <c r="P28" s="13">
        <f t="shared" si="22"/>
        <v>-95.8</v>
      </c>
      <c r="S28" s="3">
        <f>$R$24</f>
        <v>166</v>
      </c>
      <c r="T28" s="3">
        <f t="shared" si="10"/>
        <v>2.6320468710286988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58.888880663335279</v>
      </c>
      <c r="Z28" s="10">
        <f>입력표!B21</f>
        <v>26.95</v>
      </c>
      <c r="AA28" s="10">
        <f>$Z$24</f>
        <v>31.938880663335279</v>
      </c>
      <c r="AB28" s="10">
        <f t="shared" si="6"/>
        <v>240</v>
      </c>
      <c r="AC28" s="10">
        <f t="shared" si="7"/>
        <v>26.95</v>
      </c>
      <c r="AD28" s="78">
        <f>INT((AC$23+AE28)*100)/100</f>
        <v>26.95</v>
      </c>
      <c r="AE28" s="10">
        <f>AF28*AG$28</f>
        <v>7.1499999999999986</v>
      </c>
      <c r="AF28" s="10">
        <v>1</v>
      </c>
      <c r="AG28" s="10">
        <f>AC28-AC23</f>
        <v>7.1499999999999986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25">
        <v>90</v>
      </c>
      <c r="E29" s="525"/>
      <c r="F29" s="202">
        <f t="shared" ref="F29:F44" si="24">G29+$D$10</f>
        <v>25.970000000000002</v>
      </c>
      <c r="G29" s="524">
        <f t="shared" si="14"/>
        <v>18.670000000000002</v>
      </c>
      <c r="H29" s="524"/>
      <c r="I29" s="204"/>
      <c r="J29" s="8">
        <f t="shared" si="15"/>
        <v>0.72000000000000242</v>
      </c>
      <c r="K29" s="29">
        <f t="shared" si="18"/>
        <v>45</v>
      </c>
      <c r="L29" s="29">
        <f t="shared" si="20"/>
        <v>9.0200000000000002E-2</v>
      </c>
      <c r="M29" s="3">
        <f t="shared" si="17"/>
        <v>4.0590000000000002</v>
      </c>
      <c r="N29" s="3">
        <f t="shared" si="19"/>
        <v>3.2419999999999997E-2</v>
      </c>
      <c r="O29" s="3">
        <f t="shared" si="21"/>
        <v>125.2</v>
      </c>
      <c r="P29" s="13">
        <f t="shared" si="22"/>
        <v>-109.26</v>
      </c>
      <c r="R29" s="14">
        <f>B37</f>
        <v>202.29999999999998</v>
      </c>
      <c r="S29" s="3">
        <f>$R$29</f>
        <v>202.29999999999998</v>
      </c>
      <c r="T29" s="3">
        <f t="shared" si="10"/>
        <v>2.6320468710286988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72.015790236010432</v>
      </c>
      <c r="Z29" s="10">
        <f>Z32</f>
        <v>39.713571583376179</v>
      </c>
      <c r="AA29" s="10">
        <f>$Z$29</f>
        <v>39.713571583376179</v>
      </c>
      <c r="AB29" s="10">
        <f t="shared" si="6"/>
        <v>250</v>
      </c>
      <c r="AC29" s="10">
        <f t="shared" si="7"/>
        <v>32.302218652634252</v>
      </c>
      <c r="AD29" s="78">
        <f>INT((AC$28+AE29)*100)/100</f>
        <v>31.49</v>
      </c>
      <c r="AE29" s="10">
        <f>AF29*AG$33</f>
        <v>4.5480000000000009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25">
        <v>105</v>
      </c>
      <c r="E30" s="525"/>
      <c r="F30" s="202">
        <f t="shared" si="24"/>
        <v>26.57</v>
      </c>
      <c r="G30" s="524">
        <f t="shared" si="14"/>
        <v>19.27</v>
      </c>
      <c r="H30" s="524"/>
      <c r="I30" s="204"/>
      <c r="J30" s="8">
        <f t="shared" si="15"/>
        <v>0.59999999999999787</v>
      </c>
      <c r="K30" s="29">
        <f t="shared" si="18"/>
        <v>50</v>
      </c>
      <c r="L30" s="29">
        <f t="shared" si="20"/>
        <v>9.0200000000000002E-2</v>
      </c>
      <c r="M30" s="3">
        <f t="shared" si="17"/>
        <v>4.51</v>
      </c>
      <c r="N30" s="3">
        <f t="shared" si="19"/>
        <v>3.2419999999999997E-2</v>
      </c>
      <c r="O30" s="3">
        <f t="shared" si="21"/>
        <v>139.11000000000001</v>
      </c>
      <c r="P30" s="13">
        <f t="shared" si="22"/>
        <v>-122.75</v>
      </c>
      <c r="R30" s="3" t="s">
        <v>23</v>
      </c>
      <c r="S30" s="3">
        <f>$R$29</f>
        <v>202.29999999999998</v>
      </c>
      <c r="T30" s="3">
        <f t="shared" si="10"/>
        <v>2.6320468710286988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72.255408564006629</v>
      </c>
      <c r="AA30" s="10">
        <f>$Z$29</f>
        <v>39.713571583376179</v>
      </c>
      <c r="AB30" s="10">
        <f t="shared" si="6"/>
        <v>260</v>
      </c>
      <c r="AC30" s="10">
        <f t="shared" si="7"/>
        <v>32.54183698063045</v>
      </c>
      <c r="AD30" s="78">
        <f>INT((AC$28+AE30)*100)/100</f>
        <v>32.25</v>
      </c>
      <c r="AE30" s="10">
        <f>AF30*AG$33</f>
        <v>5.3060000000000009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25">
        <v>120</v>
      </c>
      <c r="E31" s="525"/>
      <c r="F31" s="202">
        <f t="shared" si="24"/>
        <v>27.1</v>
      </c>
      <c r="G31" s="524">
        <f t="shared" si="14"/>
        <v>19.8</v>
      </c>
      <c r="H31" s="524"/>
      <c r="I31" s="204"/>
      <c r="J31" s="8">
        <f t="shared" si="15"/>
        <v>0.53000000000000114</v>
      </c>
      <c r="K31" s="29">
        <f t="shared" si="18"/>
        <v>55</v>
      </c>
      <c r="L31" s="29">
        <f t="shared" si="20"/>
        <v>9.0200000000000002E-2</v>
      </c>
      <c r="M31" s="3">
        <f t="shared" si="17"/>
        <v>4.9610000000000003</v>
      </c>
      <c r="N31" s="3">
        <f t="shared" si="19"/>
        <v>3.2419999999999997E-2</v>
      </c>
      <c r="O31" s="3">
        <f>INT(M31/N31*100)/100</f>
        <v>153.02000000000001</v>
      </c>
      <c r="P31" s="13">
        <f t="shared" si="22"/>
        <v>-136.29</v>
      </c>
      <c r="S31" s="3">
        <f>$R$29</f>
        <v>202.29999999999998</v>
      </c>
      <c r="T31" s="3">
        <f t="shared" si="10"/>
        <v>2.6320468710286988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72.485982502168724</v>
      </c>
      <c r="AA31" s="10">
        <f>$Z$29</f>
        <v>39.713571583376179</v>
      </c>
      <c r="AB31" s="10">
        <f t="shared" si="6"/>
        <v>270</v>
      </c>
      <c r="AC31" s="10">
        <f t="shared" si="7"/>
        <v>32.772410918792545</v>
      </c>
      <c r="AD31" s="78">
        <f>INT((AC$28+AE31)*100)/100</f>
        <v>33.01</v>
      </c>
      <c r="AE31" s="10">
        <f>AF31*AG$33</f>
        <v>6.0640000000000018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166</v>
      </c>
      <c r="C32" s="201">
        <v>0.50694444444444442</v>
      </c>
      <c r="D32" s="525">
        <v>130</v>
      </c>
      <c r="E32" s="525"/>
      <c r="F32" s="202">
        <f t="shared" si="24"/>
        <v>31.39</v>
      </c>
      <c r="G32" s="524">
        <f t="shared" si="14"/>
        <v>24.09</v>
      </c>
      <c r="H32" s="524"/>
      <c r="I32" s="204"/>
      <c r="J32" s="8">
        <f t="shared" si="15"/>
        <v>4.2899999999999991</v>
      </c>
      <c r="K32" s="29">
        <f t="shared" si="18"/>
        <v>60</v>
      </c>
      <c r="L32" s="29">
        <f t="shared" si="20"/>
        <v>9.0200000000000002E-2</v>
      </c>
      <c r="M32" s="3">
        <f t="shared" si="17"/>
        <v>5.4119999999999999</v>
      </c>
      <c r="N32" s="3">
        <f t="shared" si="19"/>
        <v>3.2419999999999997E-2</v>
      </c>
      <c r="O32" s="3">
        <f>INT(M32/N32*100)/100</f>
        <v>166.93</v>
      </c>
      <c r="P32" s="13">
        <f t="shared" si="22"/>
        <v>-149.86000000000001</v>
      </c>
      <c r="S32" s="3">
        <f>$R$29</f>
        <v>202.29999999999998</v>
      </c>
      <c r="T32" s="3">
        <f t="shared" si="10"/>
        <v>2.6320468710286988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73.129680909693306</v>
      </c>
      <c r="Z32" s="10">
        <f>Y33-Z33</f>
        <v>39.713571583376179</v>
      </c>
      <c r="AA32" s="10">
        <f>$Z$29</f>
        <v>39.713571583376179</v>
      </c>
      <c r="AB32" s="10">
        <f t="shared" si="6"/>
        <v>300</v>
      </c>
      <c r="AC32" s="10">
        <f t="shared" si="7"/>
        <v>33.416109326317127</v>
      </c>
      <c r="AD32" s="78">
        <f>INT((AC$28+AE32)*100)/100</f>
        <v>33.770000000000003</v>
      </c>
      <c r="AE32" s="10">
        <f>AF32*AG$33</f>
        <v>6.8220000000000018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25">
        <v>140</v>
      </c>
      <c r="E33" s="525"/>
      <c r="F33" s="202">
        <f t="shared" si="24"/>
        <v>32.1</v>
      </c>
      <c r="G33" s="524">
        <f t="shared" si="14"/>
        <v>24.8</v>
      </c>
      <c r="H33" s="524"/>
      <c r="I33" s="204"/>
      <c r="J33" s="8">
        <f t="shared" si="15"/>
        <v>0.71000000000000085</v>
      </c>
      <c r="L33" s="7" t="s">
        <v>23</v>
      </c>
      <c r="P33" s="13"/>
      <c r="S33" s="3">
        <f>$R$29</f>
        <v>202.29999999999998</v>
      </c>
      <c r="T33" s="3">
        <f t="shared" si="10"/>
        <v>2.6320468710286988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74.24357158337618</v>
      </c>
      <c r="Z33" s="10">
        <f>입력표!B22</f>
        <v>34.53</v>
      </c>
      <c r="AA33" s="10">
        <f>$Z$29</f>
        <v>39.713571583376179</v>
      </c>
      <c r="AB33" s="10">
        <f t="shared" si="6"/>
        <v>360</v>
      </c>
      <c r="AC33" s="10">
        <f t="shared" si="7"/>
        <v>34.53</v>
      </c>
      <c r="AD33" s="78">
        <f>INT((AC$28+AE33)*100)/100</f>
        <v>34.53</v>
      </c>
      <c r="AE33" s="10">
        <f>AF33*AG$33</f>
        <v>7.5800000000000018</v>
      </c>
      <c r="AF33" s="10">
        <v>1</v>
      </c>
      <c r="AG33" s="10">
        <f>AC33-AC28</f>
        <v>7.5800000000000018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25">
        <v>150</v>
      </c>
      <c r="E34" s="525"/>
      <c r="F34" s="202">
        <f t="shared" si="24"/>
        <v>32.82</v>
      </c>
      <c r="G34" s="524">
        <f t="shared" si="14"/>
        <v>25.52</v>
      </c>
      <c r="H34" s="524"/>
      <c r="I34" s="204"/>
      <c r="J34" s="8">
        <f t="shared" si="15"/>
        <v>0.71999999999999886</v>
      </c>
      <c r="L34" s="7" t="s">
        <v>23</v>
      </c>
      <c r="R34" s="3">
        <f>B42</f>
        <v>238</v>
      </c>
      <c r="S34" s="3">
        <f>$R$34</f>
        <v>238</v>
      </c>
      <c r="T34" s="3">
        <f t="shared" si="10"/>
        <v>2.6320468710286988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87.542311980876661</v>
      </c>
      <c r="Z34" s="10">
        <f>Z37</f>
        <v>46.433130193627825</v>
      </c>
      <c r="AA34" s="10">
        <f>$Z$34</f>
        <v>46.433130193627825</v>
      </c>
      <c r="AB34" s="10">
        <f t="shared" si="6"/>
        <v>370</v>
      </c>
      <c r="AC34" s="10">
        <f t="shared" si="7"/>
        <v>41.109181787248836</v>
      </c>
      <c r="AD34" s="78">
        <f>INT((AC$33+AE34)*100)/100</f>
        <v>39.6</v>
      </c>
      <c r="AE34" s="10">
        <f>AG$38*AF34</f>
        <v>5.0699999999999976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25">
        <v>180</v>
      </c>
      <c r="E35" s="525"/>
      <c r="F35" s="202">
        <f t="shared" si="24"/>
        <v>33.53</v>
      </c>
      <c r="G35" s="524">
        <f t="shared" si="14"/>
        <v>26.23</v>
      </c>
      <c r="H35" s="524"/>
      <c r="I35" s="204"/>
      <c r="J35" s="8">
        <f t="shared" si="15"/>
        <v>0.71000000000000085</v>
      </c>
      <c r="L35" s="7" t="s">
        <v>23</v>
      </c>
      <c r="S35" s="3">
        <f>$R$34</f>
        <v>238</v>
      </c>
      <c r="T35" s="3">
        <f t="shared" si="10"/>
        <v>2.6320468710286988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87.733993433403867</v>
      </c>
      <c r="AA35" s="10">
        <f>$Z$34</f>
        <v>46.433130193627825</v>
      </c>
      <c r="AB35" s="10">
        <f t="shared" si="6"/>
        <v>380</v>
      </c>
      <c r="AC35" s="10">
        <f t="shared" si="7"/>
        <v>41.300863239776042</v>
      </c>
      <c r="AD35" s="78">
        <f>INT((AC$33+AE35)*100)/100</f>
        <v>40.44</v>
      </c>
      <c r="AE35" s="10">
        <f>AG$38*AF35</f>
        <v>5.9149999999999965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25">
        <v>240</v>
      </c>
      <c r="E36" s="525"/>
      <c r="F36" s="202">
        <f t="shared" si="24"/>
        <v>34.25</v>
      </c>
      <c r="G36" s="524">
        <f t="shared" si="14"/>
        <v>26.95</v>
      </c>
      <c r="H36" s="524"/>
      <c r="I36" s="204"/>
      <c r="J36" s="8">
        <f t="shared" si="15"/>
        <v>0.71999999999999886</v>
      </c>
      <c r="L36" s="7" t="s">
        <v>23</v>
      </c>
      <c r="S36" s="3">
        <f>$R$34</f>
        <v>238</v>
      </c>
      <c r="T36" s="3">
        <f t="shared" si="10"/>
        <v>2.6320468710286988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87.920695579538076</v>
      </c>
      <c r="AA36" s="10">
        <f>$Z$34</f>
        <v>46.433130193627825</v>
      </c>
      <c r="AB36" s="10">
        <f t="shared" si="6"/>
        <v>390</v>
      </c>
      <c r="AC36" s="10">
        <f t="shared" si="7"/>
        <v>41.487565385910251</v>
      </c>
      <c r="AD36" s="78">
        <f>INT((AC$33+AE36)*100)/100</f>
        <v>41.29</v>
      </c>
      <c r="AE36" s="10">
        <f>AG$38*AF36</f>
        <v>6.7599999999999971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202.29999999999998</v>
      </c>
      <c r="C37" s="201">
        <v>0.59027777777777779</v>
      </c>
      <c r="D37" s="525">
        <v>250</v>
      </c>
      <c r="E37" s="525"/>
      <c r="F37" s="202">
        <f t="shared" si="24"/>
        <v>38.79</v>
      </c>
      <c r="G37" s="524">
        <f t="shared" si="14"/>
        <v>31.49</v>
      </c>
      <c r="H37" s="524"/>
      <c r="I37" s="204"/>
      <c r="J37" s="8">
        <f t="shared" si="15"/>
        <v>4.5399999999999991</v>
      </c>
      <c r="L37" s="7" t="s">
        <v>23</v>
      </c>
      <c r="S37" s="3">
        <f>$R$34</f>
        <v>238</v>
      </c>
      <c r="T37" s="3">
        <f t="shared" si="10"/>
        <v>2.6320468710286988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88.45335615158487</v>
      </c>
      <c r="Z37" s="10">
        <f>Y38-Z38</f>
        <v>46.433130193627825</v>
      </c>
      <c r="AA37" s="10">
        <f>$Z$34</f>
        <v>46.433130193627825</v>
      </c>
      <c r="AB37" s="10">
        <f t="shared" si="6"/>
        <v>420</v>
      </c>
      <c r="AC37" s="10">
        <f t="shared" si="7"/>
        <v>42.020225957957045</v>
      </c>
      <c r="AD37" s="78">
        <f>INT((AC$33+AE37)*100)/100</f>
        <v>42.13</v>
      </c>
      <c r="AE37" s="10">
        <f>AG$38*AF37</f>
        <v>7.604999999999996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25">
        <v>260</v>
      </c>
      <c r="E38" s="525"/>
      <c r="F38" s="202">
        <f t="shared" si="24"/>
        <v>39.549999999999997</v>
      </c>
      <c r="G38" s="524">
        <f t="shared" si="14"/>
        <v>32.25</v>
      </c>
      <c r="H38" s="524"/>
      <c r="I38" s="204"/>
      <c r="J38" s="8">
        <f t="shared" si="15"/>
        <v>0.76000000000000156</v>
      </c>
      <c r="L38" s="7" t="s">
        <v>23</v>
      </c>
      <c r="S38" s="3">
        <f>$R$34</f>
        <v>238</v>
      </c>
      <c r="T38" s="3">
        <f t="shared" si="10"/>
        <v>2.6320468710286988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89.413130193627822</v>
      </c>
      <c r="Z38" s="10">
        <f>입력표!B23</f>
        <v>42.98</v>
      </c>
      <c r="AA38" s="10">
        <f>$Z$34</f>
        <v>46.433130193627825</v>
      </c>
      <c r="AB38" s="10">
        <f t="shared" si="6"/>
        <v>480</v>
      </c>
      <c r="AC38" s="10">
        <f t="shared" si="7"/>
        <v>42.98</v>
      </c>
      <c r="AD38" s="78">
        <f>INT((AC$33+AE38)*100)/100</f>
        <v>42.98</v>
      </c>
      <c r="AE38" s="10">
        <f>AG$38*AF38</f>
        <v>8.4499999999999957</v>
      </c>
      <c r="AF38" s="10">
        <v>1</v>
      </c>
      <c r="AG38" s="10">
        <f>AC38-AC33</f>
        <v>8.4499999999999957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25">
        <v>270</v>
      </c>
      <c r="E39" s="525"/>
      <c r="F39" s="202">
        <f t="shared" si="24"/>
        <v>40.309999999999995</v>
      </c>
      <c r="G39" s="524">
        <f t="shared" si="14"/>
        <v>33.01</v>
      </c>
      <c r="H39" s="524"/>
      <c r="I39" s="204"/>
      <c r="J39" s="8">
        <f t="shared" si="15"/>
        <v>0.75999999999999801</v>
      </c>
      <c r="K39" s="6" t="s">
        <v>23</v>
      </c>
      <c r="L39" s="7" t="s">
        <v>23</v>
      </c>
      <c r="R39" s="14">
        <f>B47</f>
        <v>273.7</v>
      </c>
      <c r="S39" s="3">
        <f>$R$39</f>
        <v>273.7</v>
      </c>
      <c r="T39" s="3">
        <f t="shared" si="10"/>
        <v>2.6320468710286988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102.99553406525389</v>
      </c>
      <c r="Z39" s="10">
        <f>Z42</f>
        <v>48.799553611678498</v>
      </c>
      <c r="AA39" s="10">
        <f>$Z$39</f>
        <v>48.799553611678498</v>
      </c>
      <c r="AB39" s="10">
        <f t="shared" si="6"/>
        <v>490</v>
      </c>
      <c r="AC39" s="10">
        <f t="shared" si="7"/>
        <v>54.195980453575395</v>
      </c>
      <c r="AD39" s="78">
        <f>INT((AC$38+AE39)*100)/100</f>
        <v>48.13</v>
      </c>
      <c r="AE39" s="10">
        <f>AG$43*AF39</f>
        <v>5.1560000000000006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25">
        <v>300</v>
      </c>
      <c r="E40" s="525"/>
      <c r="F40" s="202">
        <f t="shared" si="24"/>
        <v>41.07</v>
      </c>
      <c r="G40" s="524">
        <f t="shared" si="14"/>
        <v>33.770000000000003</v>
      </c>
      <c r="H40" s="524"/>
      <c r="I40" s="204"/>
      <c r="J40" s="8">
        <f t="shared" si="15"/>
        <v>0.76000000000000512</v>
      </c>
      <c r="K40" s="6" t="s">
        <v>23</v>
      </c>
      <c r="L40" s="7" t="s">
        <v>23</v>
      </c>
      <c r="S40" s="3">
        <f>$R$39</f>
        <v>273.7</v>
      </c>
      <c r="T40" s="3">
        <f t="shared" si="10"/>
        <v>2.6320468710286988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103.16252505316638</v>
      </c>
      <c r="AA40" s="10">
        <f>$Z$39</f>
        <v>48.799553611678498</v>
      </c>
      <c r="AB40" s="10">
        <f t="shared" si="6"/>
        <v>500</v>
      </c>
      <c r="AC40" s="10">
        <f t="shared" si="7"/>
        <v>54.362971441487879</v>
      </c>
      <c r="AD40" s="78">
        <f>INT((AC$38+AE40)*100)/100</f>
        <v>50.06</v>
      </c>
      <c r="AE40" s="10">
        <f>AG$43*AF40</f>
        <v>7.089500000000001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25">
        <v>360</v>
      </c>
      <c r="E41" s="525"/>
      <c r="F41" s="202">
        <f t="shared" si="24"/>
        <v>41.83</v>
      </c>
      <c r="G41" s="524">
        <f t="shared" si="14"/>
        <v>34.53</v>
      </c>
      <c r="H41" s="524"/>
      <c r="I41" s="204"/>
      <c r="J41" s="8">
        <f t="shared" si="15"/>
        <v>0.75999999999999801</v>
      </c>
      <c r="K41" s="6" t="s">
        <v>23</v>
      </c>
      <c r="L41" s="7" t="s">
        <v>23</v>
      </c>
      <c r="S41" s="3">
        <f>$R$39</f>
        <v>273.7</v>
      </c>
      <c r="T41" s="3">
        <f t="shared" si="10"/>
        <v>2.6320468710286988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103.32620907053487</v>
      </c>
      <c r="AA41" s="10">
        <f>$Z$39</f>
        <v>48.799553611678498</v>
      </c>
      <c r="AB41" s="10">
        <f t="shared" si="6"/>
        <v>510</v>
      </c>
      <c r="AC41" s="10">
        <f t="shared" si="7"/>
        <v>54.526655458856375</v>
      </c>
      <c r="AD41" s="78">
        <f>INT((AC$38+AE41)*100)/100</f>
        <v>52</v>
      </c>
      <c r="AE41" s="10">
        <f>AG$43*AF41</f>
        <v>9.0229999999999997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238</v>
      </c>
      <c r="C42" s="201">
        <v>0.67361111111111116</v>
      </c>
      <c r="D42" s="525">
        <v>370</v>
      </c>
      <c r="E42" s="525"/>
      <c r="F42" s="202">
        <f t="shared" si="24"/>
        <v>46.9</v>
      </c>
      <c r="G42" s="524">
        <f t="shared" si="14"/>
        <v>39.6</v>
      </c>
      <c r="H42" s="524"/>
      <c r="I42" s="204"/>
      <c r="J42" s="8">
        <f t="shared" si="15"/>
        <v>5.07</v>
      </c>
      <c r="K42" s="6" t="s">
        <v>23</v>
      </c>
      <c r="L42" s="7" t="s">
        <v>23</v>
      </c>
      <c r="S42" s="3">
        <f>$R$39</f>
        <v>273.7</v>
      </c>
      <c r="T42" s="3">
        <f t="shared" si="10"/>
        <v>2.6320468710286988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103.79866753090995</v>
      </c>
      <c r="Z42" s="10">
        <f>Y43-Z43</f>
        <v>48.799553611678498</v>
      </c>
      <c r="AA42" s="10">
        <f>$Z$39</f>
        <v>48.799553611678498</v>
      </c>
      <c r="AB42" s="10">
        <f t="shared" si="6"/>
        <v>540</v>
      </c>
      <c r="AC42" s="10">
        <f t="shared" si="7"/>
        <v>54.999113919231455</v>
      </c>
      <c r="AD42" s="78">
        <f>INT((AC$38+AE42)*100)/100</f>
        <v>53.93</v>
      </c>
      <c r="AE42" s="10">
        <f>AG$43*AF42</f>
        <v>10.9565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25">
        <v>380</v>
      </c>
      <c r="E43" s="525"/>
      <c r="F43" s="202">
        <f t="shared" si="24"/>
        <v>47.739999999999995</v>
      </c>
      <c r="G43" s="524">
        <f t="shared" si="14"/>
        <v>40.44</v>
      </c>
      <c r="H43" s="524"/>
      <c r="I43" s="204"/>
      <c r="J43" s="8">
        <f t="shared" si="15"/>
        <v>0.83999999999999631</v>
      </c>
      <c r="K43" s="6" t="s">
        <v>23</v>
      </c>
      <c r="L43" s="7" t="s">
        <v>23</v>
      </c>
      <c r="S43" s="3">
        <f>$R$39</f>
        <v>273.7</v>
      </c>
      <c r="T43" s="3">
        <f t="shared" si="10"/>
        <v>2.6320468710286988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104.6695536116785</v>
      </c>
      <c r="Z43" s="10">
        <f>입력표!B24</f>
        <v>55.87</v>
      </c>
      <c r="AA43" s="10">
        <f>$Z$39</f>
        <v>48.799553611678498</v>
      </c>
      <c r="AB43" s="10">
        <f t="shared" si="6"/>
        <v>600</v>
      </c>
      <c r="AC43" s="10">
        <f t="shared" si="7"/>
        <v>55.87</v>
      </c>
      <c r="AD43" s="78">
        <f>INT((AC$38+AE43)*100)/100</f>
        <v>55.87</v>
      </c>
      <c r="AE43" s="10">
        <f>AG$43*AF43</f>
        <v>12.89</v>
      </c>
      <c r="AF43" s="10">
        <v>1</v>
      </c>
      <c r="AG43" s="10">
        <f>AC43-AC38</f>
        <v>12.89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25">
        <v>390</v>
      </c>
      <c r="E44" s="525"/>
      <c r="F44" s="202">
        <f t="shared" si="24"/>
        <v>48.589999999999996</v>
      </c>
      <c r="G44" s="524">
        <f t="shared" si="14"/>
        <v>41.29</v>
      </c>
      <c r="H44" s="524"/>
      <c r="I44" s="204"/>
      <c r="J44" s="8">
        <f t="shared" si="15"/>
        <v>0.85000000000000142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25">
        <v>420</v>
      </c>
      <c r="E45" s="525"/>
      <c r="F45" s="202">
        <f t="shared" ref="F45:F51" si="25">G45+$D$10</f>
        <v>49.43</v>
      </c>
      <c r="G45" s="524">
        <f t="shared" si="14"/>
        <v>42.13</v>
      </c>
      <c r="H45" s="524"/>
      <c r="I45" s="204"/>
      <c r="J45" s="8">
        <f t="shared" si="15"/>
        <v>0.84000000000000341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25">
        <v>480</v>
      </c>
      <c r="E46" s="525"/>
      <c r="F46" s="202">
        <f t="shared" si="25"/>
        <v>50.279999999999994</v>
      </c>
      <c r="G46" s="524">
        <f t="shared" si="14"/>
        <v>42.98</v>
      </c>
      <c r="H46" s="524"/>
      <c r="I46" s="204"/>
      <c r="J46" s="8">
        <f t="shared" si="15"/>
        <v>0.84999999999999432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273.7</v>
      </c>
      <c r="C47" s="201">
        <v>0.75694444444444453</v>
      </c>
      <c r="D47" s="525">
        <v>490</v>
      </c>
      <c r="E47" s="525"/>
      <c r="F47" s="202">
        <f t="shared" si="25"/>
        <v>55.43</v>
      </c>
      <c r="G47" s="524">
        <f t="shared" si="14"/>
        <v>48.13</v>
      </c>
      <c r="H47" s="524"/>
      <c r="I47" s="204"/>
      <c r="J47" s="8">
        <f t="shared" si="15"/>
        <v>5.1500000000000057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25">
        <v>500</v>
      </c>
      <c r="E48" s="525"/>
      <c r="F48" s="202">
        <f t="shared" si="25"/>
        <v>57.36</v>
      </c>
      <c r="G48" s="524">
        <f t="shared" si="14"/>
        <v>50.06</v>
      </c>
      <c r="H48" s="524"/>
      <c r="I48" s="204"/>
      <c r="J48" s="8">
        <f t="shared" si="15"/>
        <v>1.9299999999999997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25">
        <v>510</v>
      </c>
      <c r="E49" s="525"/>
      <c r="F49" s="202">
        <f t="shared" si="25"/>
        <v>59.3</v>
      </c>
      <c r="G49" s="524">
        <f t="shared" si="14"/>
        <v>52</v>
      </c>
      <c r="H49" s="524"/>
      <c r="I49" s="204"/>
      <c r="J49" s="8">
        <f t="shared" si="15"/>
        <v>1.9399999999999977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25">
        <v>540</v>
      </c>
      <c r="E50" s="525"/>
      <c r="F50" s="202">
        <f t="shared" si="25"/>
        <v>61.23</v>
      </c>
      <c r="G50" s="524">
        <f t="shared" si="14"/>
        <v>53.93</v>
      </c>
      <c r="H50" s="524"/>
      <c r="I50" s="204"/>
      <c r="J50" s="8">
        <f t="shared" si="15"/>
        <v>1.9299999999999997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25">
        <v>600</v>
      </c>
      <c r="E51" s="525"/>
      <c r="F51" s="202">
        <f t="shared" si="25"/>
        <v>63.169999999999995</v>
      </c>
      <c r="G51" s="524">
        <f t="shared" si="14"/>
        <v>55.87</v>
      </c>
      <c r="H51" s="524"/>
      <c r="I51" s="204" t="s">
        <v>13</v>
      </c>
      <c r="J51" s="8">
        <f t="shared" si="15"/>
        <v>1.9399999999999977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6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0" t="s">
        <v>137</v>
      </c>
      <c r="M1" s="264">
        <f>P1-R1</f>
        <v>-6.9564160886412694</v>
      </c>
      <c r="N1" s="541" t="s">
        <v>136</v>
      </c>
      <c r="O1" s="541"/>
      <c r="P1" s="265">
        <f>단계양수시험!G41</f>
        <v>34.53</v>
      </c>
      <c r="Q1" s="431" t="s">
        <v>125</v>
      </c>
      <c r="R1" s="266">
        <f>G35</f>
        <v>41.486416088641271</v>
      </c>
      <c r="S1" s="267">
        <f>D7/2000</f>
        <v>0.125</v>
      </c>
      <c r="T1" s="268">
        <v>1.7749174372947387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2021년 예산군 농업용 지하수영향조사 용역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55.6</v>
      </c>
      <c r="T2" s="3">
        <v>0</v>
      </c>
      <c r="U2" s="14">
        <f>B10</f>
        <v>210</v>
      </c>
      <c r="V2" s="14">
        <f>U2</f>
        <v>210</v>
      </c>
      <c r="W2" s="3">
        <f>T1</f>
        <v>1.7749174372947387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38.417304239035957</v>
      </c>
      <c r="AC2" s="10">
        <f>1.6*V2/(4*PI()*W2)*LOG10((2.25*W2*Z2)/(X2*X2*Y2))</f>
        <v>38.417304239035957</v>
      </c>
      <c r="AD2" s="15">
        <v>0</v>
      </c>
      <c r="AE2" s="12">
        <f>AA2</f>
        <v>1</v>
      </c>
      <c r="AF2" s="10">
        <f>AC2-$P$3-O3</f>
        <v>3.8560672276215606</v>
      </c>
      <c r="AG2" s="10">
        <f>AC2</f>
        <v>38.417304239035957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신리지구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1" t="s">
        <v>182</v>
      </c>
      <c r="M3" s="13">
        <f t="shared" ref="M3:M10" si="1">Q17</f>
        <v>0.88</v>
      </c>
      <c r="N3" s="62"/>
      <c r="O3" s="363">
        <v>-0.87876296679889032</v>
      </c>
      <c r="P3" s="362">
        <v>35.439999978213287</v>
      </c>
      <c r="V3" s="14">
        <f>V2</f>
        <v>210</v>
      </c>
      <c r="W3" s="3">
        <f>W$2</f>
        <v>1.7749174372947387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42.952134433456408</v>
      </c>
      <c r="AC3" s="10">
        <f t="shared" ref="AC3:AC38" si="4">1.6*V3/(4*PI()*W3)*LOG10((2.25*W3*Z3)/(X3*X3*Y3))</f>
        <v>42.952134433456408</v>
      </c>
      <c r="AD3" s="10">
        <f>AB69</f>
        <v>83.739999978213291</v>
      </c>
      <c r="AE3" s="12">
        <f t="shared" ref="AE3:AE66" si="5">AA3</f>
        <v>2</v>
      </c>
      <c r="AF3" s="10">
        <f t="shared" ref="AF3:AF16" si="6">AC3-$P$3-O4</f>
        <v>7.5121344552431211</v>
      </c>
      <c r="AG3" s="10">
        <f t="shared" ref="AG3:AG16" si="7">AC3</f>
        <v>42.952134433456408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충청남도 예산군 응봉면 신리 194</v>
      </c>
      <c r="D4" s="58"/>
      <c r="E4" s="58"/>
      <c r="F4" s="184"/>
      <c r="G4" s="184"/>
      <c r="H4" s="184"/>
      <c r="I4" s="184"/>
      <c r="J4" s="185"/>
      <c r="L4" s="371" t="s">
        <v>183</v>
      </c>
      <c r="M4" s="13">
        <f t="shared" si="1"/>
        <v>1.57</v>
      </c>
      <c r="N4" s="62"/>
      <c r="O4" s="29"/>
      <c r="P4" s="29"/>
      <c r="V4" s="14">
        <f t="shared" ref="V4:V67" si="8">V3</f>
        <v>210</v>
      </c>
      <c r="W4" s="3">
        <f t="shared" ref="W4:W67" si="9">W$2</f>
        <v>1.7749174372947387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45.604840044330402</v>
      </c>
      <c r="AC4" s="10">
        <f t="shared" si="4"/>
        <v>45.604840044330402</v>
      </c>
      <c r="AD4" s="10">
        <f>AC69</f>
        <v>83.739999978213291</v>
      </c>
      <c r="AE4" s="12">
        <f t="shared" si="5"/>
        <v>3</v>
      </c>
      <c r="AF4" s="10">
        <f t="shared" si="6"/>
        <v>10.164840066117115</v>
      </c>
      <c r="AG4" s="10">
        <f t="shared" si="7"/>
        <v>45.604840044330402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(주) 현윤이앤씨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1" t="s">
        <v>184</v>
      </c>
      <c r="M5" s="13">
        <f t="shared" si="1"/>
        <v>1.25</v>
      </c>
      <c r="N5" s="62"/>
      <c r="O5" s="29"/>
      <c r="P5" s="29"/>
      <c r="V5" s="14">
        <f t="shared" si="8"/>
        <v>210</v>
      </c>
      <c r="W5" s="3">
        <f t="shared" si="9"/>
        <v>1.7749174372947387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47.486964627876858</v>
      </c>
      <c r="AC5" s="10">
        <f t="shared" si="4"/>
        <v>47.486964627876858</v>
      </c>
      <c r="AD5" s="10">
        <f>AF69</f>
        <v>48.300000000000004</v>
      </c>
      <c r="AE5" s="12">
        <f t="shared" si="5"/>
        <v>4</v>
      </c>
      <c r="AF5" s="10">
        <f t="shared" si="6"/>
        <v>12.046964649663572</v>
      </c>
      <c r="AG5" s="10">
        <f t="shared" si="7"/>
        <v>47.486964627876858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37">
        <f>단계양수시험!C8</f>
        <v>7.5</v>
      </c>
      <c r="D6" s="537"/>
      <c r="E6" s="538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66">
        <v>0.2</v>
      </c>
      <c r="M6" s="13">
        <f t="shared" si="1"/>
        <v>0.16</v>
      </c>
      <c r="N6" s="62"/>
      <c r="O6" s="29"/>
      <c r="P6" s="29"/>
      <c r="V6" s="14">
        <f t="shared" si="8"/>
        <v>210</v>
      </c>
      <c r="W6" s="3">
        <f t="shared" si="9"/>
        <v>1.7749174372947387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48.946853873004315</v>
      </c>
      <c r="AC6" s="10">
        <f t="shared" si="4"/>
        <v>48.946853873004315</v>
      </c>
      <c r="AE6" s="12">
        <f t="shared" si="5"/>
        <v>5</v>
      </c>
      <c r="AF6" s="10">
        <f t="shared" si="6"/>
        <v>13.506853894791028</v>
      </c>
      <c r="AG6" s="10">
        <f t="shared" si="7"/>
        <v>48.946853873004315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140</v>
      </c>
      <c r="H7" s="184"/>
      <c r="I7" s="184"/>
      <c r="J7" s="185"/>
      <c r="M7" s="13">
        <f t="shared" si="1"/>
        <v>-1.35</v>
      </c>
      <c r="N7" s="62"/>
      <c r="O7" s="29"/>
      <c r="P7" s="29"/>
      <c r="V7" s="14">
        <f t="shared" si="8"/>
        <v>210</v>
      </c>
      <c r="W7" s="3">
        <f t="shared" si="9"/>
        <v>1.7749174372947387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53.481684067424766</v>
      </c>
      <c r="AC7" s="10">
        <f t="shared" si="4"/>
        <v>53.481684067424766</v>
      </c>
      <c r="AE7" s="12">
        <f t="shared" si="5"/>
        <v>10</v>
      </c>
      <c r="AF7" s="10">
        <f t="shared" si="6"/>
        <v>18.041684089211479</v>
      </c>
      <c r="AG7" s="10">
        <f t="shared" si="7"/>
        <v>53.481684067424766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7.3</v>
      </c>
      <c r="E8" s="194"/>
      <c r="F8" s="195" t="s">
        <v>14</v>
      </c>
      <c r="G8" s="198">
        <f>F77</f>
        <v>55.6</v>
      </c>
      <c r="H8" s="191">
        <f>입력표!C40</f>
        <v>210</v>
      </c>
      <c r="I8" s="191"/>
      <c r="J8" s="183"/>
      <c r="K8" s="383">
        <f>입력표!M50</f>
        <v>48.300000000000004</v>
      </c>
      <c r="L8" s="367">
        <f>G10-K11</f>
        <v>0.20000000000000018</v>
      </c>
      <c r="M8" s="13">
        <f t="shared" si="1"/>
        <v>-11.66</v>
      </c>
      <c r="N8" s="62"/>
      <c r="O8" s="29"/>
      <c r="P8" s="29"/>
      <c r="V8" s="14">
        <f t="shared" si="8"/>
        <v>210</v>
      </c>
      <c r="W8" s="3">
        <f t="shared" si="9"/>
        <v>1.7749174372947387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56.13438967829876</v>
      </c>
      <c r="AC8" s="10">
        <f t="shared" si="4"/>
        <v>56.13438967829876</v>
      </c>
      <c r="AE8" s="12">
        <f t="shared" si="5"/>
        <v>15</v>
      </c>
      <c r="AF8" s="10">
        <f t="shared" si="6"/>
        <v>20.694389700085473</v>
      </c>
      <c r="AG8" s="10">
        <f t="shared" si="7"/>
        <v>56.13438967829876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40" t="s">
        <v>161</v>
      </c>
      <c r="E9" s="540"/>
      <c r="F9" s="180" t="s">
        <v>162</v>
      </c>
      <c r="G9" s="180" t="s">
        <v>163</v>
      </c>
      <c r="H9" s="382"/>
      <c r="I9" s="382"/>
      <c r="J9" s="382"/>
      <c r="K9" s="9">
        <f>G8-D8</f>
        <v>48.300000000000004</v>
      </c>
      <c r="M9" s="13">
        <f t="shared" si="1"/>
        <v>-23.86</v>
      </c>
      <c r="N9" s="62"/>
      <c r="O9" s="29"/>
      <c r="P9" s="29"/>
      <c r="V9" s="14">
        <f t="shared" si="8"/>
        <v>210</v>
      </c>
      <c r="W9" s="3">
        <f t="shared" si="9"/>
        <v>1.7749174372947387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58.016514261845217</v>
      </c>
      <c r="AC9" s="10">
        <f t="shared" si="4"/>
        <v>58.016514261845217</v>
      </c>
      <c r="AE9" s="12">
        <f t="shared" si="5"/>
        <v>20</v>
      </c>
      <c r="AF9" s="10">
        <f t="shared" si="6"/>
        <v>22.57651428363193</v>
      </c>
      <c r="AG9" s="10">
        <f t="shared" si="7"/>
        <v>58.016514261845217</v>
      </c>
    </row>
    <row r="10" spans="1:38" s="3" customFormat="1" ht="21" customHeight="1" x14ac:dyDescent="0.15">
      <c r="A10" s="54">
        <v>1</v>
      </c>
      <c r="B10" s="61">
        <f>입력표!C26</f>
        <v>210</v>
      </c>
      <c r="C10" s="55">
        <v>44299.375</v>
      </c>
      <c r="D10" s="181">
        <v>1</v>
      </c>
      <c r="E10" s="249">
        <f>D10/1440</f>
        <v>6.9444444444444447E-4</v>
      </c>
      <c r="F10" s="182">
        <f>G10+D$8</f>
        <v>11.156067227621561</v>
      </c>
      <c r="G10" s="277">
        <f>AF2</f>
        <v>3.8560672276215606</v>
      </c>
      <c r="H10" s="381"/>
      <c r="I10" s="381"/>
      <c r="J10" s="381"/>
      <c r="K10" s="263">
        <f>K8-K9</f>
        <v>0</v>
      </c>
      <c r="L10" s="9">
        <f>K10+Q17</f>
        <v>0.88</v>
      </c>
      <c r="M10" s="13">
        <f t="shared" si="1"/>
        <v>-36.840000000000003</v>
      </c>
      <c r="N10" s="62"/>
      <c r="O10" s="29"/>
      <c r="P10" s="29"/>
      <c r="V10" s="14">
        <f t="shared" si="8"/>
        <v>210</v>
      </c>
      <c r="W10" s="3">
        <f t="shared" si="9"/>
        <v>1.7749174372947387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59.47640350697268</v>
      </c>
      <c r="AC10" s="10">
        <f t="shared" si="4"/>
        <v>59.47640350697268</v>
      </c>
      <c r="AE10" s="12">
        <f t="shared" si="5"/>
        <v>25</v>
      </c>
      <c r="AF10" s="10">
        <f t="shared" si="6"/>
        <v>24.036403528759394</v>
      </c>
      <c r="AG10" s="10">
        <f t="shared" si="7"/>
        <v>59.47640350697268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14.812134455243122</v>
      </c>
      <c r="G11" s="182">
        <f>AF3</f>
        <v>7.5121344552431211</v>
      </c>
      <c r="H11" s="381"/>
      <c r="I11" s="381"/>
      <c r="J11" s="381"/>
      <c r="K11" s="63">
        <f>G11-G10</f>
        <v>3.6560672276215604</v>
      </c>
      <c r="L11" s="9" t="s">
        <v>18</v>
      </c>
      <c r="N11" s="62"/>
      <c r="O11" s="29"/>
      <c r="V11" s="14">
        <f t="shared" si="8"/>
        <v>210</v>
      </c>
      <c r="W11" s="3">
        <f t="shared" si="9"/>
        <v>1.7749174372947387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60.669219872719211</v>
      </c>
      <c r="AC11" s="10">
        <f t="shared" si="4"/>
        <v>60.669219872719211</v>
      </c>
      <c r="AE11" s="12">
        <f t="shared" si="5"/>
        <v>30</v>
      </c>
      <c r="AF11" s="10">
        <f t="shared" si="6"/>
        <v>25.229219894505924</v>
      </c>
      <c r="AG11" s="10">
        <f t="shared" si="7"/>
        <v>60.669219872719211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17.464840066117116</v>
      </c>
      <c r="G12" s="182">
        <f t="shared" ref="G12:G74" si="15">AF4</f>
        <v>10.164840066117115</v>
      </c>
      <c r="H12" s="381"/>
      <c r="I12" s="381"/>
      <c r="J12" s="381"/>
      <c r="K12" s="63">
        <f t="shared" ref="K12:K47" si="16">G12-G11</f>
        <v>2.6527056108739941</v>
      </c>
      <c r="L12" s="9" t="s">
        <v>18</v>
      </c>
      <c r="N12" s="62"/>
      <c r="O12" s="29"/>
      <c r="V12" s="14">
        <f t="shared" si="8"/>
        <v>210</v>
      </c>
      <c r="W12" s="3">
        <f t="shared" si="9"/>
        <v>1.7749174372947387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61.677731740006003</v>
      </c>
      <c r="AC12" s="10">
        <f t="shared" si="4"/>
        <v>61.677731740006003</v>
      </c>
      <c r="AE12" s="12">
        <f t="shared" si="5"/>
        <v>35</v>
      </c>
      <c r="AF12" s="10">
        <f t="shared" si="6"/>
        <v>26.237731761792716</v>
      </c>
      <c r="AG12" s="10">
        <f t="shared" si="7"/>
        <v>61.677731740006003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19.346964649663573</v>
      </c>
      <c r="G13" s="182">
        <f t="shared" si="15"/>
        <v>12.046964649663572</v>
      </c>
      <c r="H13" s="381"/>
      <c r="I13" s="381"/>
      <c r="J13" s="381"/>
      <c r="K13" s="63">
        <f t="shared" si="16"/>
        <v>1.8821245835464566</v>
      </c>
      <c r="L13" s="9" t="s">
        <v>18</v>
      </c>
      <c r="N13" s="62"/>
      <c r="O13" s="29"/>
      <c r="V13" s="14">
        <f t="shared" si="8"/>
        <v>210</v>
      </c>
      <c r="W13" s="3">
        <f t="shared" si="9"/>
        <v>1.7749174372947387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62.55134445626566</v>
      </c>
      <c r="AC13" s="10">
        <f t="shared" si="4"/>
        <v>62.55134445626566</v>
      </c>
      <c r="AE13" s="12">
        <f t="shared" si="5"/>
        <v>40</v>
      </c>
      <c r="AF13" s="10">
        <f t="shared" si="6"/>
        <v>27.111344478052374</v>
      </c>
      <c r="AG13" s="10">
        <f t="shared" si="7"/>
        <v>62.55134445626566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20.806853894791029</v>
      </c>
      <c r="G14" s="182">
        <f t="shared" si="15"/>
        <v>13.506853894791028</v>
      </c>
      <c r="H14" s="381"/>
      <c r="I14" s="381"/>
      <c r="J14" s="381"/>
      <c r="K14" s="63">
        <f t="shared" si="16"/>
        <v>1.4598892451274565</v>
      </c>
      <c r="L14" s="9" t="s">
        <v>18</v>
      </c>
      <c r="N14" s="62"/>
      <c r="O14" s="29"/>
      <c r="V14" s="14">
        <f t="shared" si="8"/>
        <v>210</v>
      </c>
      <c r="W14" s="3">
        <f t="shared" si="9"/>
        <v>1.7749174372947387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63.321925483593205</v>
      </c>
      <c r="AC14" s="10">
        <f t="shared" si="4"/>
        <v>63.321925483593205</v>
      </c>
      <c r="AE14" s="12">
        <f t="shared" si="5"/>
        <v>45</v>
      </c>
      <c r="AF14" s="10">
        <f t="shared" si="6"/>
        <v>27.881925505379918</v>
      </c>
      <c r="AG14" s="10">
        <f t="shared" si="7"/>
        <v>63.321925483593205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25.34168408921148</v>
      </c>
      <c r="G15" s="182">
        <f t="shared" si="15"/>
        <v>18.041684089211479</v>
      </c>
      <c r="H15" s="381"/>
      <c r="I15" s="381"/>
      <c r="J15" s="381"/>
      <c r="K15" s="63">
        <f t="shared" si="16"/>
        <v>4.5348301944204508</v>
      </c>
      <c r="L15" s="9" t="s">
        <v>18</v>
      </c>
      <c r="N15" s="68"/>
      <c r="O15" s="365"/>
      <c r="V15" s="14">
        <f t="shared" si="8"/>
        <v>210</v>
      </c>
      <c r="W15" s="3">
        <f t="shared" si="9"/>
        <v>1.7749174372947387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64.011233701393124</v>
      </c>
      <c r="AC15" s="10">
        <f t="shared" si="4"/>
        <v>64.011233701393124</v>
      </c>
      <c r="AE15" s="12">
        <f t="shared" si="5"/>
        <v>50</v>
      </c>
      <c r="AF15" s="10">
        <f t="shared" si="6"/>
        <v>28.571233723179837</v>
      </c>
      <c r="AG15" s="10">
        <f t="shared" si="7"/>
        <v>64.011233701393124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27.994389700085474</v>
      </c>
      <c r="G16" s="182">
        <f t="shared" si="15"/>
        <v>20.694389700085473</v>
      </c>
      <c r="H16" s="381"/>
      <c r="I16" s="381"/>
      <c r="J16" s="381"/>
      <c r="K16" s="63">
        <f t="shared" si="16"/>
        <v>2.6527056108739941</v>
      </c>
      <c r="L16" s="65"/>
      <c r="N16" s="66"/>
      <c r="O16" s="15"/>
      <c r="Q16" s="13"/>
      <c r="V16" s="14">
        <f t="shared" si="8"/>
        <v>210</v>
      </c>
      <c r="W16" s="3">
        <f t="shared" si="9"/>
        <v>1.7749174372947387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64.634788832733548</v>
      </c>
      <c r="AC16" s="10">
        <f t="shared" si="4"/>
        <v>64.634788832733548</v>
      </c>
      <c r="AE16" s="12">
        <f t="shared" si="5"/>
        <v>55</v>
      </c>
      <c r="AF16" s="10">
        <f t="shared" si="6"/>
        <v>29.145708854520262</v>
      </c>
      <c r="AG16" s="10">
        <f t="shared" si="7"/>
        <v>64.634788832733548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29.876514283631931</v>
      </c>
      <c r="G17" s="182">
        <f t="shared" si="15"/>
        <v>22.57651428363193</v>
      </c>
      <c r="H17" s="381"/>
      <c r="I17" s="381"/>
      <c r="J17" s="381"/>
      <c r="K17" s="63">
        <f t="shared" si="16"/>
        <v>1.8821245835464566</v>
      </c>
      <c r="L17" s="29">
        <f>D10</f>
        <v>1</v>
      </c>
      <c r="M17" s="3">
        <f>INT(B10/1440*10000)/10000</f>
        <v>0.14580000000000001</v>
      </c>
      <c r="N17" s="3">
        <f>L17*M17</f>
        <v>0.14580000000000001</v>
      </c>
      <c r="O17" s="3">
        <f>INT((D7/2/1000)^2*PI()*100000)/100000</f>
        <v>4.9079999999999999E-2</v>
      </c>
      <c r="P17" s="3">
        <f>INT(N17/O17*100)/100</f>
        <v>2.97</v>
      </c>
      <c r="Q17" s="13">
        <f>INT((G10-P17)*100)/100</f>
        <v>0.88</v>
      </c>
      <c r="V17" s="14">
        <f t="shared" si="8"/>
        <v>210</v>
      </c>
      <c r="W17" s="3">
        <f t="shared" si="9"/>
        <v>1.7749174372947387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65.204050067139661</v>
      </c>
      <c r="AC17" s="10">
        <f t="shared" si="4"/>
        <v>65.204050067139661</v>
      </c>
      <c r="AE17" s="12">
        <f t="shared" si="5"/>
        <v>60</v>
      </c>
      <c r="AF17" s="10">
        <f t="shared" ref="AF17:AF48" si="17">AC17-$P$3</f>
        <v>29.764050088926375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31.336403528759394</v>
      </c>
      <c r="G18" s="182">
        <f t="shared" si="15"/>
        <v>24.036403528759394</v>
      </c>
      <c r="H18" s="381"/>
      <c r="I18" s="381"/>
      <c r="J18" s="381"/>
      <c r="K18" s="63">
        <f t="shared" si="16"/>
        <v>1.4598892451274637</v>
      </c>
      <c r="L18" s="29">
        <f t="shared" ref="L18:L31" si="18">D11</f>
        <v>2</v>
      </c>
      <c r="M18" s="3">
        <f>M17</f>
        <v>0.14580000000000001</v>
      </c>
      <c r="N18" s="3">
        <f t="shared" ref="N18:N27" si="19">L18*M18</f>
        <v>0.29160000000000003</v>
      </c>
      <c r="O18" s="3">
        <f>O17</f>
        <v>4.9079999999999999E-2</v>
      </c>
      <c r="P18" s="3">
        <f>INT(N18/O18*100)/100</f>
        <v>5.94</v>
      </c>
      <c r="Q18" s="13">
        <f t="shared" ref="Q18:Q27" si="20">INT((G11-P18)*100)/100</f>
        <v>1.57</v>
      </c>
      <c r="V18" s="14">
        <f t="shared" si="8"/>
        <v>210</v>
      </c>
      <c r="W18" s="3">
        <f t="shared" si="9"/>
        <v>1.7749174372947387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66.663939312267118</v>
      </c>
      <c r="AC18" s="10">
        <f t="shared" si="4"/>
        <v>66.663939312267118</v>
      </c>
      <c r="AE18" s="12">
        <f t="shared" si="5"/>
        <v>75</v>
      </c>
      <c r="AF18" s="10">
        <f t="shared" si="17"/>
        <v>31.223939334053831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32.529219894505921</v>
      </c>
      <c r="G19" s="182">
        <f t="shared" si="15"/>
        <v>25.229219894505924</v>
      </c>
      <c r="H19" s="381"/>
      <c r="I19" s="381"/>
      <c r="J19" s="381"/>
      <c r="K19" s="63">
        <f t="shared" si="16"/>
        <v>1.1928163657465305</v>
      </c>
      <c r="L19" s="29">
        <f t="shared" si="18"/>
        <v>3</v>
      </c>
      <c r="M19" s="3">
        <f>M18</f>
        <v>0.14580000000000001</v>
      </c>
      <c r="N19" s="3">
        <f t="shared" si="19"/>
        <v>0.43740000000000001</v>
      </c>
      <c r="O19" s="3">
        <f t="shared" ref="O19:O31" si="21">O18</f>
        <v>4.9079999999999999E-2</v>
      </c>
      <c r="P19" s="3">
        <f>INT(N19/O19*100)/100</f>
        <v>8.91</v>
      </c>
      <c r="Q19" s="13">
        <f t="shared" si="20"/>
        <v>1.25</v>
      </c>
      <c r="V19" s="14">
        <f t="shared" si="8"/>
        <v>210</v>
      </c>
      <c r="W19" s="3">
        <f t="shared" si="9"/>
        <v>1.7749174372947387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67.856755678013656</v>
      </c>
      <c r="AC19" s="10">
        <f t="shared" si="4"/>
        <v>67.856755678013656</v>
      </c>
      <c r="AE19" s="12">
        <f t="shared" si="5"/>
        <v>90</v>
      </c>
      <c r="AF19" s="10">
        <f t="shared" si="17"/>
        <v>32.416755699800369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33.537731761792713</v>
      </c>
      <c r="G20" s="182">
        <f t="shared" si="15"/>
        <v>26.237731761792716</v>
      </c>
      <c r="H20" s="381"/>
      <c r="I20" s="381"/>
      <c r="J20" s="381"/>
      <c r="K20" s="63">
        <f t="shared" si="16"/>
        <v>1.0085118672867921</v>
      </c>
      <c r="L20" s="29">
        <f t="shared" si="18"/>
        <v>4</v>
      </c>
      <c r="M20" s="3">
        <f>M19</f>
        <v>0.14580000000000001</v>
      </c>
      <c r="N20" s="3">
        <f t="shared" si="19"/>
        <v>0.58320000000000005</v>
      </c>
      <c r="O20" s="3">
        <f>O19</f>
        <v>4.9079999999999999E-2</v>
      </c>
      <c r="P20" s="3">
        <f>INT(N20/O20*100)/100</f>
        <v>11.88</v>
      </c>
      <c r="Q20" s="13">
        <f t="shared" si="20"/>
        <v>0.16</v>
      </c>
      <c r="V20" s="14">
        <f t="shared" si="8"/>
        <v>210</v>
      </c>
      <c r="W20" s="3">
        <f t="shared" si="9"/>
        <v>1.7749174372947387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68.865267545300455</v>
      </c>
      <c r="AC20" s="10">
        <f t="shared" si="4"/>
        <v>68.865267545300455</v>
      </c>
      <c r="AE20" s="12">
        <f t="shared" si="5"/>
        <v>105</v>
      </c>
      <c r="AF20" s="10">
        <f t="shared" si="17"/>
        <v>33.425267567087168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34.411344478052371</v>
      </c>
      <c r="G21" s="182">
        <f t="shared" si="15"/>
        <v>27.111344478052374</v>
      </c>
      <c r="H21" s="381"/>
      <c r="I21" s="381"/>
      <c r="J21" s="381"/>
      <c r="K21" s="63">
        <f t="shared" si="16"/>
        <v>0.87361271625965742</v>
      </c>
      <c r="L21" s="29">
        <f t="shared" si="18"/>
        <v>5</v>
      </c>
      <c r="M21" s="3">
        <f>M20</f>
        <v>0.14580000000000001</v>
      </c>
      <c r="N21" s="3">
        <f t="shared" si="19"/>
        <v>0.72900000000000009</v>
      </c>
      <c r="O21" s="3">
        <f t="shared" si="21"/>
        <v>4.9079999999999999E-2</v>
      </c>
      <c r="P21" s="3">
        <f>INT(N21/O21*100)/100</f>
        <v>14.85</v>
      </c>
      <c r="Q21" s="13">
        <f t="shared" si="20"/>
        <v>-1.35</v>
      </c>
      <c r="V21" s="14">
        <f t="shared" si="8"/>
        <v>210</v>
      </c>
      <c r="W21" s="3">
        <f t="shared" si="9"/>
        <v>1.7749174372947387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69.738880261560112</v>
      </c>
      <c r="AC21" s="10">
        <f t="shared" si="4"/>
        <v>69.738880261560112</v>
      </c>
      <c r="AE21" s="12">
        <f t="shared" si="5"/>
        <v>120</v>
      </c>
      <c r="AF21" s="10">
        <f t="shared" si="17"/>
        <v>34.298880283346826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35.181925505379915</v>
      </c>
      <c r="G22" s="182">
        <f t="shared" si="15"/>
        <v>27.881925505379918</v>
      </c>
      <c r="H22" s="381"/>
      <c r="I22" s="381"/>
      <c r="J22" s="381"/>
      <c r="K22" s="63">
        <f t="shared" si="16"/>
        <v>0.77058102732754463</v>
      </c>
      <c r="L22" s="29">
        <f t="shared" si="18"/>
        <v>10</v>
      </c>
      <c r="M22" s="3">
        <f t="shared" ref="M22:M31" si="22">M21</f>
        <v>0.14580000000000001</v>
      </c>
      <c r="N22" s="3">
        <f t="shared" si="19"/>
        <v>1.4580000000000002</v>
      </c>
      <c r="O22" s="3">
        <f t="shared" si="21"/>
        <v>4.9079999999999999E-2</v>
      </c>
      <c r="P22" s="3">
        <f t="shared" ref="P22:P27" si="23">INT(N22/O22*100)/100</f>
        <v>29.7</v>
      </c>
      <c r="Q22" s="13">
        <f t="shared" si="20"/>
        <v>-11.66</v>
      </c>
      <c r="V22" s="14">
        <f t="shared" si="8"/>
        <v>210</v>
      </c>
      <c r="W22" s="3">
        <f t="shared" si="9"/>
        <v>1.7749174372947387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70.747392128846897</v>
      </c>
      <c r="AC22" s="10">
        <f t="shared" si="4"/>
        <v>70.747392128846897</v>
      </c>
      <c r="AE22" s="12">
        <f t="shared" si="5"/>
        <v>140</v>
      </c>
      <c r="AF22" s="10">
        <f t="shared" si="17"/>
        <v>35.307392150633611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35.871233723179834</v>
      </c>
      <c r="G23" s="182">
        <f t="shared" si="15"/>
        <v>28.571233723179837</v>
      </c>
      <c r="H23" s="381"/>
      <c r="I23" s="381"/>
      <c r="J23" s="381"/>
      <c r="K23" s="63">
        <f t="shared" si="16"/>
        <v>0.68930821779991902</v>
      </c>
      <c r="L23" s="29">
        <f t="shared" si="18"/>
        <v>15</v>
      </c>
      <c r="M23" s="3">
        <f t="shared" si="22"/>
        <v>0.14580000000000001</v>
      </c>
      <c r="N23" s="3">
        <f t="shared" si="19"/>
        <v>2.1870000000000003</v>
      </c>
      <c r="O23" s="3">
        <f t="shared" si="21"/>
        <v>4.9079999999999999E-2</v>
      </c>
      <c r="P23" s="3">
        <f t="shared" si="23"/>
        <v>44.55</v>
      </c>
      <c r="Q23" s="13">
        <f t="shared" si="20"/>
        <v>-23.86</v>
      </c>
      <c r="V23" s="14">
        <f t="shared" si="8"/>
        <v>210</v>
      </c>
      <c r="W23" s="3">
        <f t="shared" si="9"/>
        <v>1.7749174372947387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71.621004845106569</v>
      </c>
      <c r="AC23" s="10">
        <f t="shared" si="4"/>
        <v>71.621004845106569</v>
      </c>
      <c r="AE23" s="12">
        <f t="shared" si="5"/>
        <v>160</v>
      </c>
      <c r="AF23" s="10">
        <f t="shared" si="17"/>
        <v>36.181004866893282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36.445708854520262</v>
      </c>
      <c r="G24" s="182">
        <f t="shared" si="15"/>
        <v>29.145708854520262</v>
      </c>
      <c r="H24" s="381"/>
      <c r="I24" s="381"/>
      <c r="J24" s="381"/>
      <c r="K24" s="63">
        <f t="shared" si="16"/>
        <v>0.57447513134042438</v>
      </c>
      <c r="L24" s="29">
        <f t="shared" si="18"/>
        <v>20</v>
      </c>
      <c r="M24" s="3">
        <f t="shared" si="22"/>
        <v>0.14580000000000001</v>
      </c>
      <c r="N24" s="3">
        <f t="shared" si="19"/>
        <v>2.9160000000000004</v>
      </c>
      <c r="O24" s="3">
        <f t="shared" si="21"/>
        <v>4.9079999999999999E-2</v>
      </c>
      <c r="P24" s="3">
        <f t="shared" si="23"/>
        <v>59.41</v>
      </c>
      <c r="Q24" s="13">
        <f t="shared" si="20"/>
        <v>-36.840000000000003</v>
      </c>
      <c r="V24" s="14">
        <f t="shared" si="8"/>
        <v>210</v>
      </c>
      <c r="W24" s="3">
        <f t="shared" si="9"/>
        <v>1.7749174372947387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72.391585872434106</v>
      </c>
      <c r="AC24" s="10">
        <f t="shared" si="4"/>
        <v>72.391585872434106</v>
      </c>
      <c r="AE24" s="12">
        <f t="shared" si="5"/>
        <v>180</v>
      </c>
      <c r="AF24" s="10">
        <f t="shared" si="17"/>
        <v>36.95158589422082</v>
      </c>
    </row>
    <row r="25" spans="1:32" s="3" customFormat="1" ht="21" customHeight="1" x14ac:dyDescent="0.15">
      <c r="A25" s="54"/>
      <c r="B25" s="54"/>
      <c r="C25" s="55">
        <f>$C$10+D25/1440</f>
        <v>44299.416666666664</v>
      </c>
      <c r="D25" s="181">
        <v>60</v>
      </c>
      <c r="E25" s="249">
        <f t="shared" si="13"/>
        <v>4.1666666666666664E-2</v>
      </c>
      <c r="F25" s="182">
        <f t="shared" si="14"/>
        <v>37.064050088926372</v>
      </c>
      <c r="G25" s="182">
        <f t="shared" si="15"/>
        <v>29.764050088926375</v>
      </c>
      <c r="H25" s="381"/>
      <c r="I25" s="381"/>
      <c r="J25" s="381"/>
      <c r="K25" s="63">
        <f t="shared" si="16"/>
        <v>0.61834123440611322</v>
      </c>
      <c r="L25" s="29">
        <f t="shared" si="18"/>
        <v>25</v>
      </c>
      <c r="M25" s="3">
        <f t="shared" si="22"/>
        <v>0.14580000000000001</v>
      </c>
      <c r="N25" s="3">
        <f t="shared" si="19"/>
        <v>3.6450000000000005</v>
      </c>
      <c r="O25" s="3">
        <f t="shared" si="21"/>
        <v>4.9079999999999999E-2</v>
      </c>
      <c r="P25" s="3">
        <f t="shared" si="23"/>
        <v>74.260000000000005</v>
      </c>
      <c r="Q25" s="13">
        <f t="shared" si="20"/>
        <v>-50.23</v>
      </c>
      <c r="V25" s="14">
        <f t="shared" si="8"/>
        <v>210</v>
      </c>
      <c r="W25" s="3">
        <f t="shared" si="9"/>
        <v>1.7749174372947387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74.273710455980563</v>
      </c>
      <c r="AC25" s="10">
        <f t="shared" si="4"/>
        <v>74.273710455980563</v>
      </c>
      <c r="AE25" s="12">
        <f t="shared" si="5"/>
        <v>240</v>
      </c>
      <c r="AF25" s="10">
        <f t="shared" si="17"/>
        <v>38.833710477767276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38.523939334053829</v>
      </c>
      <c r="G26" s="182">
        <f t="shared" si="15"/>
        <v>31.223939334053831</v>
      </c>
      <c r="H26" s="381"/>
      <c r="I26" s="381"/>
      <c r="J26" s="381"/>
      <c r="K26" s="63">
        <f t="shared" si="16"/>
        <v>1.4598892451274565</v>
      </c>
      <c r="L26" s="29">
        <f t="shared" si="18"/>
        <v>30</v>
      </c>
      <c r="M26" s="3">
        <f t="shared" si="22"/>
        <v>0.14580000000000001</v>
      </c>
      <c r="N26" s="3">
        <f t="shared" si="19"/>
        <v>4.3740000000000006</v>
      </c>
      <c r="O26" s="3">
        <f t="shared" si="21"/>
        <v>4.9079999999999999E-2</v>
      </c>
      <c r="P26" s="3">
        <f t="shared" si="23"/>
        <v>89.11</v>
      </c>
      <c r="Q26" s="13">
        <f t="shared" si="20"/>
        <v>-63.89</v>
      </c>
      <c r="V26" s="14">
        <f t="shared" si="8"/>
        <v>210</v>
      </c>
      <c r="W26" s="3">
        <f t="shared" si="9"/>
        <v>1.7749174372947387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75.73359970110802</v>
      </c>
      <c r="AC26" s="10">
        <f t="shared" si="4"/>
        <v>75.73359970110802</v>
      </c>
      <c r="AE26" s="12">
        <f t="shared" si="5"/>
        <v>300</v>
      </c>
      <c r="AF26" s="10">
        <f t="shared" si="17"/>
        <v>40.293599722894733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39.716755699800366</v>
      </c>
      <c r="G27" s="182">
        <f t="shared" si="15"/>
        <v>32.416755699800369</v>
      </c>
      <c r="H27" s="381"/>
      <c r="I27" s="381"/>
      <c r="J27" s="381"/>
      <c r="K27" s="63">
        <f t="shared" si="16"/>
        <v>1.1928163657465376</v>
      </c>
      <c r="L27" s="29">
        <f t="shared" si="18"/>
        <v>35</v>
      </c>
      <c r="M27" s="3">
        <f t="shared" si="22"/>
        <v>0.14580000000000001</v>
      </c>
      <c r="N27" s="3">
        <f t="shared" si="19"/>
        <v>5.1030000000000006</v>
      </c>
      <c r="O27" s="3">
        <f t="shared" si="21"/>
        <v>4.9079999999999999E-2</v>
      </c>
      <c r="P27" s="3">
        <f t="shared" si="23"/>
        <v>103.97</v>
      </c>
      <c r="Q27" s="13">
        <f t="shared" si="20"/>
        <v>-77.739999999999995</v>
      </c>
      <c r="V27" s="14">
        <f t="shared" si="8"/>
        <v>210</v>
      </c>
      <c r="W27" s="3">
        <f t="shared" si="9"/>
        <v>1.7749174372947387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76.926416066854557</v>
      </c>
      <c r="AC27" s="10">
        <f t="shared" si="4"/>
        <v>76.926416066854557</v>
      </c>
      <c r="AE27" s="12">
        <f t="shared" si="5"/>
        <v>360</v>
      </c>
      <c r="AF27" s="10">
        <f t="shared" si="17"/>
        <v>41.486416088641271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40.725267567087165</v>
      </c>
      <c r="G28" s="182">
        <f t="shared" si="15"/>
        <v>33.425267567087168</v>
      </c>
      <c r="H28" s="381"/>
      <c r="I28" s="381"/>
      <c r="J28" s="381"/>
      <c r="K28" s="63">
        <f t="shared" si="16"/>
        <v>1.0085118672867992</v>
      </c>
      <c r="L28" s="29">
        <f t="shared" si="18"/>
        <v>40</v>
      </c>
      <c r="M28" s="3">
        <f t="shared" si="22"/>
        <v>0.14580000000000001</v>
      </c>
      <c r="N28" s="3">
        <f>L28*M28</f>
        <v>5.8320000000000007</v>
      </c>
      <c r="O28" s="3">
        <f t="shared" si="21"/>
        <v>4.9079999999999999E-2</v>
      </c>
      <c r="P28" s="3">
        <f>INT(N28/O28*100)/100</f>
        <v>118.82</v>
      </c>
      <c r="Q28" s="13">
        <f>INT((G21-P28)*100)/100</f>
        <v>-91.71</v>
      </c>
      <c r="V28" s="14">
        <f t="shared" si="8"/>
        <v>210</v>
      </c>
      <c r="W28" s="3">
        <f t="shared" si="9"/>
        <v>1.7749174372947387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77.934927934141342</v>
      </c>
      <c r="AC28" s="10">
        <f t="shared" si="4"/>
        <v>77.934927934141342</v>
      </c>
      <c r="AE28" s="12">
        <f t="shared" si="5"/>
        <v>420</v>
      </c>
      <c r="AF28" s="10">
        <f t="shared" si="17"/>
        <v>42.494927955928055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41.598880283346823</v>
      </c>
      <c r="G29" s="182">
        <f t="shared" si="15"/>
        <v>34.298880283346826</v>
      </c>
      <c r="H29" s="381"/>
      <c r="I29" s="381"/>
      <c r="J29" s="381"/>
      <c r="K29" s="63">
        <f t="shared" si="16"/>
        <v>0.87361271625965742</v>
      </c>
      <c r="L29" s="29">
        <f t="shared" si="18"/>
        <v>45</v>
      </c>
      <c r="M29" s="3">
        <f t="shared" si="22"/>
        <v>0.14580000000000001</v>
      </c>
      <c r="N29" s="3">
        <f>L29*M29</f>
        <v>6.5610000000000008</v>
      </c>
      <c r="O29" s="3">
        <f t="shared" si="21"/>
        <v>4.9079999999999999E-2</v>
      </c>
      <c r="P29" s="3">
        <f>INT(N29/O29*100)/100</f>
        <v>133.66999999999999</v>
      </c>
      <c r="Q29" s="13">
        <f>INT((G22-P29)*100)/100</f>
        <v>-105.79</v>
      </c>
      <c r="V29" s="14">
        <f t="shared" si="8"/>
        <v>210</v>
      </c>
      <c r="W29" s="3">
        <f t="shared" si="9"/>
        <v>1.7749174372947387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78.808540650401</v>
      </c>
      <c r="AC29" s="10">
        <f t="shared" si="4"/>
        <v>78.808540650401</v>
      </c>
      <c r="AE29" s="12">
        <f t="shared" si="5"/>
        <v>480</v>
      </c>
      <c r="AF29" s="10">
        <f t="shared" si="17"/>
        <v>43.368540672187713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42.607392150633608</v>
      </c>
      <c r="G30" s="182">
        <f t="shared" si="15"/>
        <v>35.307392150633611</v>
      </c>
      <c r="H30" s="381"/>
      <c r="I30" s="381"/>
      <c r="J30" s="381"/>
      <c r="K30" s="63">
        <f t="shared" si="16"/>
        <v>1.008511867286785</v>
      </c>
      <c r="L30" s="29">
        <f t="shared" si="18"/>
        <v>50</v>
      </c>
      <c r="M30" s="3">
        <f t="shared" si="22"/>
        <v>0.14580000000000001</v>
      </c>
      <c r="N30" s="3">
        <f>L30*M30</f>
        <v>7.2900000000000009</v>
      </c>
      <c r="O30" s="3">
        <f t="shared" si="21"/>
        <v>4.9079999999999999E-2</v>
      </c>
      <c r="P30" s="3">
        <f>INT(N30/O30*100)/100</f>
        <v>148.53</v>
      </c>
      <c r="Q30" s="13">
        <f>INT((G23-P30)*100)/100</f>
        <v>-119.96</v>
      </c>
      <c r="V30" s="14">
        <f t="shared" si="8"/>
        <v>210</v>
      </c>
      <c r="W30" s="3">
        <f t="shared" si="9"/>
        <v>1.7749174372947387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79.579121677728537</v>
      </c>
      <c r="AC30" s="10">
        <f t="shared" si="4"/>
        <v>79.579121677728537</v>
      </c>
      <c r="AE30" s="12">
        <f t="shared" si="5"/>
        <v>540</v>
      </c>
      <c r="AF30" s="10">
        <f t="shared" si="17"/>
        <v>44.13912169951525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43.481004866893279</v>
      </c>
      <c r="G31" s="182">
        <f t="shared" si="15"/>
        <v>36.181004866893282</v>
      </c>
      <c r="H31" s="381"/>
      <c r="I31" s="381"/>
      <c r="J31" s="381"/>
      <c r="K31" s="63">
        <f t="shared" si="16"/>
        <v>0.87361271625967163</v>
      </c>
      <c r="L31" s="29">
        <f t="shared" si="18"/>
        <v>55</v>
      </c>
      <c r="M31" s="3">
        <f t="shared" si="22"/>
        <v>0.14580000000000001</v>
      </c>
      <c r="N31" s="3">
        <f>L31*M31</f>
        <v>8.0190000000000001</v>
      </c>
      <c r="O31" s="3">
        <f t="shared" si="21"/>
        <v>4.9079999999999999E-2</v>
      </c>
      <c r="P31" s="3">
        <f>INT(N31/O31*100)/100</f>
        <v>163.38</v>
      </c>
      <c r="Q31" s="13">
        <f>INT((G24-P31)*100)/100</f>
        <v>-134.24</v>
      </c>
      <c r="V31" s="14">
        <f t="shared" si="8"/>
        <v>210</v>
      </c>
      <c r="W31" s="3">
        <f t="shared" si="9"/>
        <v>1.7749174372947387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80.26842989552847</v>
      </c>
      <c r="AC31" s="10">
        <f t="shared" si="4"/>
        <v>80.26842989552847</v>
      </c>
      <c r="AE31" s="12">
        <f t="shared" si="5"/>
        <v>600</v>
      </c>
      <c r="AF31" s="10">
        <f t="shared" si="17"/>
        <v>44.828429917315184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44.251585894220817</v>
      </c>
      <c r="G32" s="182">
        <f t="shared" si="15"/>
        <v>36.95158589422082</v>
      </c>
      <c r="H32" s="381"/>
      <c r="I32" s="381"/>
      <c r="J32" s="381"/>
      <c r="K32" s="63">
        <f t="shared" si="16"/>
        <v>0.77058102732753753</v>
      </c>
      <c r="L32" s="65" t="s">
        <v>18</v>
      </c>
      <c r="O32" s="67"/>
      <c r="V32" s="14">
        <f t="shared" si="8"/>
        <v>210</v>
      </c>
      <c r="W32" s="3">
        <f t="shared" si="9"/>
        <v>1.7749174372947387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80.89198502686888</v>
      </c>
      <c r="AC32" s="10">
        <f t="shared" si="4"/>
        <v>80.89198502686888</v>
      </c>
      <c r="AE32" s="12">
        <f t="shared" si="5"/>
        <v>660</v>
      </c>
      <c r="AF32" s="10">
        <f t="shared" si="17"/>
        <v>45.451985048655594</v>
      </c>
    </row>
    <row r="33" spans="1:32" s="3" customFormat="1" ht="21" customHeight="1" x14ac:dyDescent="0.15">
      <c r="A33" s="54"/>
      <c r="B33" s="54"/>
      <c r="C33" s="55">
        <f>$C$10+D33/1440</f>
        <v>44299.541666666664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46.133710477767274</v>
      </c>
      <c r="G33" s="182">
        <f t="shared" si="15"/>
        <v>38.833710477767276</v>
      </c>
      <c r="H33" s="381"/>
      <c r="I33" s="381"/>
      <c r="J33" s="381"/>
      <c r="K33" s="63">
        <f t="shared" si="16"/>
        <v>1.8821245835464566</v>
      </c>
      <c r="L33" s="9" t="s">
        <v>18</v>
      </c>
      <c r="O33" s="67"/>
      <c r="V33" s="14">
        <f t="shared" si="8"/>
        <v>210</v>
      </c>
      <c r="W33" s="3">
        <f t="shared" si="9"/>
        <v>1.7749174372947387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81.461246261274994</v>
      </c>
      <c r="AC33" s="10">
        <f t="shared" si="4"/>
        <v>81.461246261274994</v>
      </c>
      <c r="AE33" s="12">
        <f t="shared" si="5"/>
        <v>720</v>
      </c>
      <c r="AF33" s="10">
        <f t="shared" si="17"/>
        <v>46.021246283061707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47.59359972289473</v>
      </c>
      <c r="G34" s="182">
        <f t="shared" si="15"/>
        <v>40.293599722894733</v>
      </c>
      <c r="H34" s="381"/>
      <c r="I34" s="381"/>
      <c r="J34" s="381"/>
      <c r="K34" s="63">
        <f t="shared" si="16"/>
        <v>1.4598892451274565</v>
      </c>
      <c r="L34" s="9" t="s">
        <v>18</v>
      </c>
      <c r="P34" s="67"/>
      <c r="V34" s="14">
        <f t="shared" si="8"/>
        <v>210</v>
      </c>
      <c r="W34" s="3">
        <f t="shared" si="9"/>
        <v>1.7749174372947387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81.984915833598578</v>
      </c>
      <c r="AC34" s="10">
        <f t="shared" si="4"/>
        <v>81.984915833598578</v>
      </c>
      <c r="AE34" s="12">
        <f t="shared" si="5"/>
        <v>780</v>
      </c>
      <c r="AF34" s="10">
        <f t="shared" si="17"/>
        <v>46.544915855385291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48.786416088641268</v>
      </c>
      <c r="G35" s="182">
        <f t="shared" si="15"/>
        <v>41.486416088641271</v>
      </c>
      <c r="H35" s="381"/>
      <c r="I35" s="381"/>
      <c r="J35" s="381"/>
      <c r="K35" s="63">
        <f t="shared" si="16"/>
        <v>1.1928163657465376</v>
      </c>
      <c r="L35" s="9" t="s">
        <v>18</v>
      </c>
      <c r="O35" s="67"/>
      <c r="V35" s="14">
        <f t="shared" si="8"/>
        <v>210</v>
      </c>
      <c r="W35" s="3">
        <f t="shared" si="9"/>
        <v>1.7749174372947387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82.469758128561793</v>
      </c>
      <c r="AC35" s="10">
        <f t="shared" si="4"/>
        <v>82.469758128561793</v>
      </c>
      <c r="AE35" s="12">
        <f t="shared" si="5"/>
        <v>840</v>
      </c>
      <c r="AF35" s="10">
        <f t="shared" si="17"/>
        <v>47.029758150348506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49.794927955928053</v>
      </c>
      <c r="G36" s="182">
        <f t="shared" si="15"/>
        <v>42.494927955928055</v>
      </c>
      <c r="H36" s="381"/>
      <c r="I36" s="381"/>
      <c r="J36" s="381"/>
      <c r="K36" s="63">
        <f t="shared" si="16"/>
        <v>1.008511867286785</v>
      </c>
      <c r="L36" s="9" t="s">
        <v>18</v>
      </c>
      <c r="V36" s="14">
        <f t="shared" si="8"/>
        <v>210</v>
      </c>
      <c r="W36" s="3">
        <f t="shared" si="9"/>
        <v>1.7749174372947387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82.921135506402464</v>
      </c>
      <c r="AC36" s="10">
        <f t="shared" si="4"/>
        <v>82.921135506402464</v>
      </c>
      <c r="AE36" s="12">
        <f t="shared" si="5"/>
        <v>900</v>
      </c>
      <c r="AF36" s="10">
        <f t="shared" si="17"/>
        <v>47.481135528189178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50.66854067218771</v>
      </c>
      <c r="G37" s="182">
        <f t="shared" si="15"/>
        <v>43.368540672187713</v>
      </c>
      <c r="H37" s="381"/>
      <c r="I37" s="381"/>
      <c r="J37" s="381"/>
      <c r="K37" s="63">
        <f t="shared" si="16"/>
        <v>0.87361271625965742</v>
      </c>
      <c r="L37" s="9" t="s">
        <v>18</v>
      </c>
      <c r="V37" s="14">
        <f t="shared" si="8"/>
        <v>210</v>
      </c>
      <c r="W37" s="3">
        <f t="shared" si="9"/>
        <v>1.7749174372947387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83.34337084482145</v>
      </c>
      <c r="AC37" s="10">
        <f t="shared" si="4"/>
        <v>83.34337084482145</v>
      </c>
      <c r="AD37" s="3">
        <v>37</v>
      </c>
      <c r="AE37" s="12">
        <f t="shared" si="5"/>
        <v>960</v>
      </c>
      <c r="AF37" s="10">
        <f t="shared" si="17"/>
        <v>47.903370866608164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51.439121699515248</v>
      </c>
      <c r="G38" s="182">
        <f t="shared" si="15"/>
        <v>44.13912169951525</v>
      </c>
      <c r="H38" s="381"/>
      <c r="I38" s="381"/>
      <c r="J38" s="381"/>
      <c r="K38" s="63">
        <f t="shared" si="16"/>
        <v>0.77058102732753753</v>
      </c>
      <c r="L38" s="9" t="s">
        <v>18</v>
      </c>
      <c r="V38" s="14">
        <f t="shared" si="8"/>
        <v>210</v>
      </c>
      <c r="W38" s="3">
        <f t="shared" si="9"/>
        <v>1.7749174372947387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83.739999978213291</v>
      </c>
      <c r="AC38" s="10">
        <f t="shared" si="4"/>
        <v>83.739999978213291</v>
      </c>
      <c r="AD38" s="29" t="s">
        <v>28</v>
      </c>
      <c r="AE38" s="12">
        <f t="shared" si="5"/>
        <v>1020</v>
      </c>
      <c r="AF38" s="10">
        <f t="shared" si="17"/>
        <v>48.300000000000004</v>
      </c>
    </row>
    <row r="39" spans="1:32" s="3" customFormat="1" ht="21" customHeight="1" x14ac:dyDescent="0.15">
      <c r="A39" s="54"/>
      <c r="B39" s="54"/>
      <c r="C39" s="55">
        <f>$C$10+D39/1440</f>
        <v>44299.791666666664</v>
      </c>
      <c r="D39" s="181">
        <f t="shared" si="25"/>
        <v>600</v>
      </c>
      <c r="E39" s="249">
        <f t="shared" si="24"/>
        <v>0.41666666666666669</v>
      </c>
      <c r="F39" s="182">
        <f t="shared" si="14"/>
        <v>52.128429917315181</v>
      </c>
      <c r="G39" s="182">
        <f t="shared" si="15"/>
        <v>44.828429917315184</v>
      </c>
      <c r="H39" s="381"/>
      <c r="I39" s="381"/>
      <c r="J39" s="381"/>
      <c r="K39" s="63">
        <f t="shared" si="16"/>
        <v>0.68930821779993323</v>
      </c>
      <c r="L39" s="9" t="s">
        <v>18</v>
      </c>
      <c r="V39" s="14">
        <f t="shared" si="8"/>
        <v>210</v>
      </c>
      <c r="W39" s="3">
        <f t="shared" si="9"/>
        <v>1.7749174372947387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83.739999978213291</v>
      </c>
      <c r="AC39" s="10">
        <f t="shared" ref="AC39:AC41" si="27">AC38</f>
        <v>83.739999978213291</v>
      </c>
      <c r="AD39" s="356">
        <v>39</v>
      </c>
      <c r="AE39" s="12">
        <f t="shared" si="5"/>
        <v>1080</v>
      </c>
      <c r="AF39" s="10">
        <f t="shared" si="17"/>
        <v>48.300000000000004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52.751985048655591</v>
      </c>
      <c r="G40" s="182">
        <f t="shared" si="15"/>
        <v>45.451985048655594</v>
      </c>
      <c r="H40" s="381"/>
      <c r="I40" s="381"/>
      <c r="J40" s="381"/>
      <c r="K40" s="63">
        <f t="shared" si="16"/>
        <v>0.62355513134041018</v>
      </c>
      <c r="L40" s="9" t="s">
        <v>18</v>
      </c>
      <c r="V40" s="14">
        <f t="shared" si="8"/>
        <v>210</v>
      </c>
      <c r="W40" s="3">
        <f t="shared" si="9"/>
        <v>1.7749174372947387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83.739999978213291</v>
      </c>
      <c r="AC40" s="10">
        <f t="shared" si="27"/>
        <v>83.739999978213291</v>
      </c>
      <c r="AD40" s="356">
        <v>40</v>
      </c>
      <c r="AE40" s="12">
        <f t="shared" si="5"/>
        <v>1140</v>
      </c>
      <c r="AF40" s="10">
        <f t="shared" si="17"/>
        <v>48.300000000000004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53.321246283061704</v>
      </c>
      <c r="G41" s="182">
        <f t="shared" si="15"/>
        <v>46.021246283061707</v>
      </c>
      <c r="H41" s="381"/>
      <c r="I41" s="381"/>
      <c r="J41" s="381"/>
      <c r="K41" s="63">
        <f t="shared" si="16"/>
        <v>0.5692612344061132</v>
      </c>
      <c r="L41" s="9" t="s">
        <v>18</v>
      </c>
      <c r="V41" s="353">
        <f t="shared" si="8"/>
        <v>210</v>
      </c>
      <c r="W41" s="352">
        <f t="shared" si="9"/>
        <v>1.7749174372947387</v>
      </c>
      <c r="X41" s="352">
        <f t="shared" si="10"/>
        <v>0.125</v>
      </c>
      <c r="Y41" s="352">
        <f t="shared" si="11"/>
        <v>5.0000000000000001E-4</v>
      </c>
      <c r="Z41" s="352">
        <f t="shared" si="2"/>
        <v>0.83333333333333337</v>
      </c>
      <c r="AA41" s="354">
        <f t="shared" si="12"/>
        <v>1200</v>
      </c>
      <c r="AB41" s="355">
        <f t="shared" si="26"/>
        <v>83.739999978213291</v>
      </c>
      <c r="AC41" s="10">
        <f t="shared" si="27"/>
        <v>83.739999978213291</v>
      </c>
      <c r="AD41" s="357">
        <v>41</v>
      </c>
      <c r="AE41" s="12">
        <f t="shared" si="5"/>
        <v>1200</v>
      </c>
      <c r="AF41" s="10">
        <f t="shared" si="17"/>
        <v>48.300000000000004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53.844915855385288</v>
      </c>
      <c r="G42" s="182">
        <f t="shared" si="15"/>
        <v>46.544915855385291</v>
      </c>
      <c r="H42" s="381"/>
      <c r="I42" s="381"/>
      <c r="J42" s="381"/>
      <c r="K42" s="63">
        <f t="shared" si="16"/>
        <v>0.52366957232358402</v>
      </c>
      <c r="L42" s="9" t="s">
        <v>18</v>
      </c>
      <c r="V42" s="14">
        <f t="shared" si="8"/>
        <v>210</v>
      </c>
      <c r="W42" s="3">
        <f t="shared" si="9"/>
        <v>1.7749174372947387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83.739999978213291</v>
      </c>
      <c r="AC42" s="10">
        <f t="shared" ref="AC42:AC46" si="29">AC41</f>
        <v>83.739999978213291</v>
      </c>
      <c r="AD42" s="356">
        <v>42</v>
      </c>
      <c r="AE42" s="12">
        <f t="shared" si="5"/>
        <v>1260</v>
      </c>
      <c r="AF42" s="10">
        <f t="shared" si="17"/>
        <v>48.300000000000004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54.329758150348503</v>
      </c>
      <c r="G43" s="182">
        <f t="shared" si="15"/>
        <v>47.029758150348506</v>
      </c>
      <c r="H43" s="381"/>
      <c r="I43" s="381"/>
      <c r="J43" s="381"/>
      <c r="K43" s="63">
        <f t="shared" si="16"/>
        <v>0.48484229496321518</v>
      </c>
      <c r="L43" s="9" t="s">
        <v>18</v>
      </c>
      <c r="V43" s="353">
        <f t="shared" si="8"/>
        <v>210</v>
      </c>
      <c r="W43" s="352">
        <f t="shared" si="9"/>
        <v>1.7749174372947387</v>
      </c>
      <c r="X43" s="352">
        <f t="shared" si="10"/>
        <v>0.125</v>
      </c>
      <c r="Y43" s="352">
        <f t="shared" si="11"/>
        <v>5.0000000000000001E-4</v>
      </c>
      <c r="Z43" s="352">
        <f t="shared" si="2"/>
        <v>0.91666666666666663</v>
      </c>
      <c r="AA43" s="354">
        <f t="shared" si="28"/>
        <v>1320</v>
      </c>
      <c r="AB43" s="355">
        <f t="shared" si="26"/>
        <v>83.739999978213291</v>
      </c>
      <c r="AC43" s="10">
        <f t="shared" si="29"/>
        <v>83.739999978213291</v>
      </c>
      <c r="AD43" s="357">
        <v>43</v>
      </c>
      <c r="AE43" s="12">
        <f t="shared" si="5"/>
        <v>1320</v>
      </c>
      <c r="AF43" s="10">
        <f t="shared" si="17"/>
        <v>48.300000000000004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54.781135528189175</v>
      </c>
      <c r="G44" s="182">
        <f t="shared" si="15"/>
        <v>47.481135528189178</v>
      </c>
      <c r="H44" s="381"/>
      <c r="I44" s="381"/>
      <c r="J44" s="381"/>
      <c r="K44" s="63">
        <f t="shared" si="16"/>
        <v>0.45137737784067156</v>
      </c>
      <c r="L44" s="9" t="s">
        <v>18</v>
      </c>
      <c r="V44" s="14">
        <f t="shared" si="8"/>
        <v>210</v>
      </c>
      <c r="W44" s="3">
        <f t="shared" si="9"/>
        <v>1.7749174372947387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83.739999978213291</v>
      </c>
      <c r="AC44" s="10">
        <f t="shared" si="29"/>
        <v>83.739999978213291</v>
      </c>
      <c r="AD44" s="356">
        <v>44</v>
      </c>
      <c r="AE44" s="12">
        <f t="shared" si="5"/>
        <v>1380</v>
      </c>
      <c r="AF44" s="10">
        <f t="shared" si="17"/>
        <v>48.300000000000004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44300.041666666664</v>
      </c>
      <c r="D45" s="181">
        <f t="shared" si="25"/>
        <v>960</v>
      </c>
      <c r="E45" s="249">
        <f t="shared" si="30"/>
        <v>0.66666666666666663</v>
      </c>
      <c r="F45" s="182">
        <f t="shared" si="14"/>
        <v>55.203370866608161</v>
      </c>
      <c r="G45" s="182">
        <f t="shared" si="15"/>
        <v>47.903370866608164</v>
      </c>
      <c r="H45" s="381"/>
      <c r="I45" s="381"/>
      <c r="J45" s="381"/>
      <c r="K45" s="63">
        <f t="shared" si="16"/>
        <v>0.42223533841898586</v>
      </c>
      <c r="L45" s="9" t="s">
        <v>18</v>
      </c>
      <c r="V45" s="353">
        <f t="shared" si="8"/>
        <v>210</v>
      </c>
      <c r="W45" s="352">
        <f t="shared" si="9"/>
        <v>1.7749174372947387</v>
      </c>
      <c r="X45" s="352">
        <f t="shared" si="10"/>
        <v>0.125</v>
      </c>
      <c r="Y45" s="352">
        <f t="shared" si="11"/>
        <v>5.0000000000000001E-4</v>
      </c>
      <c r="Z45" s="352">
        <f t="shared" si="2"/>
        <v>1</v>
      </c>
      <c r="AA45" s="354">
        <f t="shared" si="28"/>
        <v>1440</v>
      </c>
      <c r="AB45" s="355">
        <f t="shared" si="26"/>
        <v>83.739999978213291</v>
      </c>
      <c r="AC45" s="10">
        <f t="shared" si="29"/>
        <v>83.739999978213291</v>
      </c>
      <c r="AD45" s="357">
        <v>45</v>
      </c>
      <c r="AE45" s="12">
        <f t="shared" si="5"/>
        <v>1440</v>
      </c>
      <c r="AF45" s="10">
        <f t="shared" si="17"/>
        <v>48.300000000000004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55.6</v>
      </c>
      <c r="G46" s="182">
        <f t="shared" si="15"/>
        <v>48.300000000000004</v>
      </c>
      <c r="H46" s="381"/>
      <c r="I46" s="381"/>
      <c r="J46" s="381"/>
      <c r="K46" s="63">
        <f t="shared" si="16"/>
        <v>0.39662913339184058</v>
      </c>
      <c r="L46" s="9" t="s">
        <v>18</v>
      </c>
      <c r="V46" s="14">
        <f t="shared" si="8"/>
        <v>210</v>
      </c>
      <c r="W46" s="3">
        <f t="shared" si="9"/>
        <v>1.7749174372947387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19">
        <f t="shared" si="28"/>
        <v>1500</v>
      </c>
      <c r="AB46" s="320">
        <f t="shared" si="26"/>
        <v>83.739999978213291</v>
      </c>
      <c r="AC46" s="10">
        <f t="shared" si="29"/>
        <v>83.739999978213291</v>
      </c>
      <c r="AD46" s="356">
        <v>46</v>
      </c>
      <c r="AE46" s="319">
        <f t="shared" si="5"/>
        <v>1500</v>
      </c>
      <c r="AF46" s="321">
        <f t="shared" si="17"/>
        <v>48.300000000000004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55.6</v>
      </c>
      <c r="G47" s="182">
        <f t="shared" si="15"/>
        <v>48.300000000000004</v>
      </c>
      <c r="H47" s="381"/>
      <c r="I47" s="381"/>
      <c r="J47" s="381"/>
      <c r="K47" s="63">
        <f t="shared" si="16"/>
        <v>0</v>
      </c>
      <c r="L47" s="9" t="s">
        <v>18</v>
      </c>
      <c r="V47" s="14">
        <f t="shared" si="8"/>
        <v>210</v>
      </c>
      <c r="W47" s="3">
        <f t="shared" si="9"/>
        <v>1.7749174372947387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83.739999978213291</v>
      </c>
      <c r="AC47" s="10">
        <f t="shared" ref="AC47" si="32">AC46</f>
        <v>83.739999978213291</v>
      </c>
      <c r="AE47" s="12">
        <f t="shared" si="5"/>
        <v>1560</v>
      </c>
      <c r="AF47" s="10">
        <f t="shared" si="17"/>
        <v>48.300000000000004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55.6</v>
      </c>
      <c r="G48" s="182">
        <f t="shared" si="15"/>
        <v>48.300000000000004</v>
      </c>
      <c r="H48" s="381"/>
      <c r="I48" s="381"/>
      <c r="J48" s="381"/>
      <c r="K48" s="3" t="s">
        <v>18</v>
      </c>
      <c r="L48" s="9" t="s">
        <v>18</v>
      </c>
      <c r="V48" s="14">
        <f t="shared" si="8"/>
        <v>210</v>
      </c>
      <c r="W48" s="3">
        <f t="shared" si="9"/>
        <v>1.7749174372947387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83.739999978213291</v>
      </c>
      <c r="AC48" s="10">
        <f t="shared" ref="AC48:AC52" si="33">AC47</f>
        <v>83.739999978213291</v>
      </c>
      <c r="AE48" s="12">
        <f t="shared" si="5"/>
        <v>1620</v>
      </c>
      <c r="AF48" s="10">
        <f t="shared" si="17"/>
        <v>48.300000000000004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55.6</v>
      </c>
      <c r="G49" s="182">
        <f t="shared" si="15"/>
        <v>48.300000000000004</v>
      </c>
      <c r="H49" s="381"/>
      <c r="I49" s="381"/>
      <c r="J49" s="381"/>
      <c r="K49" s="3" t="s">
        <v>18</v>
      </c>
      <c r="L49" s="9" t="s">
        <v>18</v>
      </c>
      <c r="V49" s="14">
        <f t="shared" si="8"/>
        <v>210</v>
      </c>
      <c r="W49" s="3">
        <f t="shared" si="9"/>
        <v>1.7749174372947387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83.739999978213291</v>
      </c>
      <c r="AC49" s="10">
        <f t="shared" si="33"/>
        <v>83.739999978213291</v>
      </c>
      <c r="AE49" s="12">
        <f t="shared" si="5"/>
        <v>1680</v>
      </c>
      <c r="AF49" s="10">
        <f t="shared" ref="AF49:AF69" si="34">AC49-$P$3</f>
        <v>48.300000000000004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55.6</v>
      </c>
      <c r="G50" s="182">
        <f t="shared" si="15"/>
        <v>48.300000000000004</v>
      </c>
      <c r="H50" s="381"/>
      <c r="I50" s="381"/>
      <c r="J50" s="381"/>
      <c r="K50" s="3" t="s">
        <v>18</v>
      </c>
      <c r="L50" s="9" t="s">
        <v>18</v>
      </c>
      <c r="V50" s="14">
        <f t="shared" si="8"/>
        <v>210</v>
      </c>
      <c r="W50" s="3">
        <f t="shared" si="9"/>
        <v>1.7749174372947387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83.739999978213291</v>
      </c>
      <c r="AC50" s="10">
        <f t="shared" si="33"/>
        <v>83.739999978213291</v>
      </c>
      <c r="AE50" s="12">
        <f t="shared" si="5"/>
        <v>1740</v>
      </c>
      <c r="AF50" s="10">
        <f t="shared" si="34"/>
        <v>48.300000000000004</v>
      </c>
    </row>
    <row r="51" spans="1:32" s="3" customFormat="1" ht="21" customHeight="1" x14ac:dyDescent="0.15">
      <c r="A51" s="54"/>
      <c r="B51" s="54"/>
      <c r="C51" s="55">
        <f>$C$10+D51/1440</f>
        <v>44300.291666666664</v>
      </c>
      <c r="D51" s="181">
        <f t="shared" si="31"/>
        <v>1320</v>
      </c>
      <c r="E51" s="249">
        <f t="shared" si="30"/>
        <v>0.91666666666666663</v>
      </c>
      <c r="F51" s="182">
        <f t="shared" si="14"/>
        <v>55.6</v>
      </c>
      <c r="G51" s="182">
        <f t="shared" si="15"/>
        <v>48.300000000000004</v>
      </c>
      <c r="H51" s="381"/>
      <c r="I51" s="381"/>
      <c r="J51" s="381"/>
      <c r="K51" s="3" t="s">
        <v>18</v>
      </c>
      <c r="L51" s="9" t="s">
        <v>18</v>
      </c>
      <c r="V51" s="14">
        <f t="shared" si="8"/>
        <v>210</v>
      </c>
      <c r="W51" s="3">
        <f t="shared" si="9"/>
        <v>1.7749174372947387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83.739999978213291</v>
      </c>
      <c r="AC51" s="10">
        <f t="shared" si="33"/>
        <v>83.739999978213291</v>
      </c>
      <c r="AE51" s="12">
        <f t="shared" si="5"/>
        <v>1800</v>
      </c>
      <c r="AF51" s="10">
        <f t="shared" si="34"/>
        <v>48.300000000000004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55.6</v>
      </c>
      <c r="G52" s="182">
        <f t="shared" si="15"/>
        <v>48.300000000000004</v>
      </c>
      <c r="H52" s="381"/>
      <c r="I52" s="381"/>
      <c r="J52" s="381"/>
      <c r="K52" s="3" t="s">
        <v>18</v>
      </c>
      <c r="L52" s="9" t="s">
        <v>18</v>
      </c>
      <c r="V52" s="14">
        <f t="shared" si="8"/>
        <v>210</v>
      </c>
      <c r="W52" s="3">
        <f t="shared" si="9"/>
        <v>1.7749174372947387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83.739999978213291</v>
      </c>
      <c r="AC52" s="10">
        <f t="shared" si="33"/>
        <v>83.739999978213291</v>
      </c>
      <c r="AE52" s="12">
        <f t="shared" si="5"/>
        <v>1860</v>
      </c>
      <c r="AF52" s="10">
        <f t="shared" si="34"/>
        <v>48.300000000000004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55.6</v>
      </c>
      <c r="G53" s="182">
        <f t="shared" si="15"/>
        <v>48.300000000000004</v>
      </c>
      <c r="H53" s="381"/>
      <c r="I53" s="381"/>
      <c r="J53" s="381"/>
      <c r="K53" s="3" t="s">
        <v>18</v>
      </c>
      <c r="L53" s="9" t="s">
        <v>18</v>
      </c>
      <c r="V53" s="14">
        <f t="shared" si="8"/>
        <v>210</v>
      </c>
      <c r="W53" s="3">
        <f t="shared" si="9"/>
        <v>1.7749174372947387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83.739999978213291</v>
      </c>
      <c r="AC53" s="10">
        <f t="shared" ref="AC53:AC69" si="35">AC52</f>
        <v>83.739999978213291</v>
      </c>
      <c r="AE53" s="12">
        <f t="shared" si="5"/>
        <v>1920</v>
      </c>
      <c r="AF53" s="10">
        <f t="shared" si="34"/>
        <v>48.300000000000004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55.6</v>
      </c>
      <c r="G54" s="182">
        <f t="shared" si="15"/>
        <v>48.300000000000004</v>
      </c>
      <c r="H54" s="381"/>
      <c r="I54" s="381"/>
      <c r="J54" s="381"/>
      <c r="K54" s="3" t="s">
        <v>18</v>
      </c>
      <c r="L54" s="9" t="s">
        <v>18</v>
      </c>
      <c r="V54" s="14">
        <f t="shared" si="8"/>
        <v>210</v>
      </c>
      <c r="W54" s="3">
        <f t="shared" si="9"/>
        <v>1.7749174372947387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83.739999978213291</v>
      </c>
      <c r="AC54" s="10">
        <f t="shared" si="35"/>
        <v>83.739999978213291</v>
      </c>
      <c r="AE54" s="12">
        <f t="shared" si="5"/>
        <v>1980</v>
      </c>
      <c r="AF54" s="10">
        <f t="shared" si="34"/>
        <v>48.300000000000004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55.6</v>
      </c>
      <c r="G55" s="182">
        <f t="shared" si="15"/>
        <v>48.300000000000004</v>
      </c>
      <c r="H55" s="381"/>
      <c r="I55" s="381"/>
      <c r="J55" s="381"/>
      <c r="K55" s="3" t="s">
        <v>18</v>
      </c>
      <c r="L55" s="9" t="s">
        <v>18</v>
      </c>
      <c r="V55" s="14">
        <f t="shared" si="8"/>
        <v>210</v>
      </c>
      <c r="W55" s="3">
        <f t="shared" si="9"/>
        <v>1.7749174372947387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83.739999978213291</v>
      </c>
      <c r="AC55" s="10">
        <f t="shared" si="35"/>
        <v>83.739999978213291</v>
      </c>
      <c r="AE55" s="12">
        <f t="shared" si="5"/>
        <v>2040</v>
      </c>
      <c r="AF55" s="10">
        <f t="shared" si="34"/>
        <v>48.300000000000004</v>
      </c>
    </row>
    <row r="56" spans="1:32" s="3" customFormat="1" ht="21.6" customHeight="1" x14ac:dyDescent="0.15">
      <c r="A56" s="54"/>
      <c r="B56" s="54"/>
      <c r="C56" s="55">
        <f>$C$10+D56/1440</f>
        <v>44300.5</v>
      </c>
      <c r="D56" s="181">
        <f t="shared" si="31"/>
        <v>1620</v>
      </c>
      <c r="E56" s="249">
        <f t="shared" si="30"/>
        <v>1.125</v>
      </c>
      <c r="F56" s="182">
        <f t="shared" si="14"/>
        <v>55.6</v>
      </c>
      <c r="G56" s="182">
        <f t="shared" si="15"/>
        <v>48.300000000000004</v>
      </c>
      <c r="H56" s="381"/>
      <c r="I56" s="381"/>
      <c r="J56" s="381"/>
      <c r="K56" s="3" t="s">
        <v>18</v>
      </c>
      <c r="L56" s="9" t="s">
        <v>18</v>
      </c>
      <c r="V56" s="14">
        <f t="shared" si="8"/>
        <v>210</v>
      </c>
      <c r="W56" s="3">
        <f t="shared" si="9"/>
        <v>1.7749174372947387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83.739999978213291</v>
      </c>
      <c r="AC56" s="10">
        <f t="shared" si="35"/>
        <v>83.739999978213291</v>
      </c>
      <c r="AE56" s="12">
        <f t="shared" si="5"/>
        <v>2100</v>
      </c>
      <c r="AF56" s="10">
        <f t="shared" si="34"/>
        <v>48.300000000000004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55.6</v>
      </c>
      <c r="G57" s="182">
        <f t="shared" si="15"/>
        <v>48.300000000000004</v>
      </c>
      <c r="H57" s="381"/>
      <c r="I57" s="381"/>
      <c r="J57" s="381"/>
      <c r="K57" s="3" t="s">
        <v>18</v>
      </c>
      <c r="L57" s="9" t="s">
        <v>18</v>
      </c>
      <c r="V57" s="14">
        <f t="shared" si="8"/>
        <v>210</v>
      </c>
      <c r="W57" s="3">
        <f t="shared" si="9"/>
        <v>1.7749174372947387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83.739999978213291</v>
      </c>
      <c r="AC57" s="10">
        <f t="shared" si="35"/>
        <v>83.739999978213291</v>
      </c>
      <c r="AE57" s="12">
        <f t="shared" si="5"/>
        <v>2160</v>
      </c>
      <c r="AF57" s="10">
        <f t="shared" si="34"/>
        <v>48.300000000000004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55.6</v>
      </c>
      <c r="G58" s="182">
        <f t="shared" si="15"/>
        <v>48.300000000000004</v>
      </c>
      <c r="H58" s="381"/>
      <c r="I58" s="381"/>
      <c r="J58" s="381"/>
      <c r="K58" s="3" t="s">
        <v>18</v>
      </c>
      <c r="L58" s="9" t="s">
        <v>18</v>
      </c>
      <c r="V58" s="14">
        <f t="shared" si="8"/>
        <v>210</v>
      </c>
      <c r="W58" s="3">
        <f t="shared" si="9"/>
        <v>1.7749174372947387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83.739999978213291</v>
      </c>
      <c r="AC58" s="10">
        <f t="shared" si="35"/>
        <v>83.739999978213291</v>
      </c>
      <c r="AE58" s="12">
        <f t="shared" si="5"/>
        <v>2220</v>
      </c>
      <c r="AF58" s="10">
        <f t="shared" si="34"/>
        <v>48.300000000000004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55.6</v>
      </c>
      <c r="G59" s="182">
        <f t="shared" si="15"/>
        <v>48.300000000000004</v>
      </c>
      <c r="H59" s="381"/>
      <c r="I59" s="381"/>
      <c r="J59" s="381"/>
      <c r="K59" s="3" t="s">
        <v>18</v>
      </c>
      <c r="L59" s="9" t="s">
        <v>18</v>
      </c>
      <c r="V59" s="14">
        <f t="shared" si="8"/>
        <v>210</v>
      </c>
      <c r="W59" s="3">
        <f t="shared" si="9"/>
        <v>1.7749174372947387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83.739999978213291</v>
      </c>
      <c r="AC59" s="10">
        <f t="shared" si="35"/>
        <v>83.739999978213291</v>
      </c>
      <c r="AE59" s="12">
        <f t="shared" si="5"/>
        <v>2280</v>
      </c>
      <c r="AF59" s="10">
        <f t="shared" si="34"/>
        <v>48.300000000000004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55.6</v>
      </c>
      <c r="G60" s="182">
        <f t="shared" si="15"/>
        <v>48.300000000000004</v>
      </c>
      <c r="H60" s="381"/>
      <c r="I60" s="381"/>
      <c r="J60" s="381"/>
      <c r="K60" s="3" t="s">
        <v>18</v>
      </c>
      <c r="L60" s="9" t="s">
        <v>18</v>
      </c>
      <c r="V60" s="14">
        <f t="shared" si="8"/>
        <v>210</v>
      </c>
      <c r="W60" s="3">
        <f t="shared" si="9"/>
        <v>1.7749174372947387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83.739999978213291</v>
      </c>
      <c r="AC60" s="10">
        <f t="shared" si="35"/>
        <v>83.739999978213291</v>
      </c>
      <c r="AE60" s="12">
        <f t="shared" si="5"/>
        <v>2340</v>
      </c>
      <c r="AF60" s="10">
        <f t="shared" si="34"/>
        <v>48.300000000000004</v>
      </c>
    </row>
    <row r="61" spans="1:32" s="3" customFormat="1" ht="21.6" customHeight="1" x14ac:dyDescent="0.15">
      <c r="A61" s="54"/>
      <c r="B61" s="54"/>
      <c r="C61" s="55">
        <f>$C$10+D61/1440</f>
        <v>44300.708333333336</v>
      </c>
      <c r="D61" s="181">
        <f t="shared" si="31"/>
        <v>1920</v>
      </c>
      <c r="E61" s="249">
        <f t="shared" si="36"/>
        <v>1.3333333333333333</v>
      </c>
      <c r="F61" s="182">
        <f t="shared" si="14"/>
        <v>55.6</v>
      </c>
      <c r="G61" s="182">
        <f t="shared" si="15"/>
        <v>48.300000000000004</v>
      </c>
      <c r="H61" s="381"/>
      <c r="I61" s="381"/>
      <c r="J61" s="381"/>
      <c r="K61" s="3" t="s">
        <v>18</v>
      </c>
      <c r="L61" s="9" t="s">
        <v>18</v>
      </c>
      <c r="V61" s="14">
        <f t="shared" si="8"/>
        <v>210</v>
      </c>
      <c r="W61" s="3">
        <f t="shared" si="9"/>
        <v>1.7749174372947387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83.739999978213291</v>
      </c>
      <c r="AC61" s="10">
        <f t="shared" si="35"/>
        <v>83.739999978213291</v>
      </c>
      <c r="AE61" s="12">
        <f t="shared" si="5"/>
        <v>2400</v>
      </c>
      <c r="AF61" s="10">
        <f t="shared" si="34"/>
        <v>48.300000000000004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55.6</v>
      </c>
      <c r="G62" s="182">
        <f t="shared" si="15"/>
        <v>48.300000000000004</v>
      </c>
      <c r="H62" s="381"/>
      <c r="I62" s="381"/>
      <c r="J62" s="381"/>
      <c r="K62" s="3" t="s">
        <v>18</v>
      </c>
      <c r="L62" s="9" t="s">
        <v>18</v>
      </c>
      <c r="V62" s="14">
        <f t="shared" si="8"/>
        <v>210</v>
      </c>
      <c r="W62" s="3">
        <f t="shared" si="9"/>
        <v>1.7749174372947387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83.739999978213291</v>
      </c>
      <c r="AC62" s="10">
        <f t="shared" si="35"/>
        <v>83.739999978213291</v>
      </c>
      <c r="AE62" s="12">
        <f t="shared" si="5"/>
        <v>2460</v>
      </c>
      <c r="AF62" s="10">
        <f t="shared" si="34"/>
        <v>48.300000000000004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55.6</v>
      </c>
      <c r="G63" s="182">
        <f t="shared" si="15"/>
        <v>48.300000000000004</v>
      </c>
      <c r="H63" s="381"/>
      <c r="I63" s="381"/>
      <c r="J63" s="381"/>
      <c r="K63" s="3" t="s">
        <v>18</v>
      </c>
      <c r="L63" s="9" t="s">
        <v>18</v>
      </c>
      <c r="V63" s="14">
        <f t="shared" si="8"/>
        <v>210</v>
      </c>
      <c r="W63" s="3">
        <f t="shared" si="9"/>
        <v>1.7749174372947387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83.739999978213291</v>
      </c>
      <c r="AC63" s="10">
        <f t="shared" si="35"/>
        <v>83.739999978213291</v>
      </c>
      <c r="AE63" s="12">
        <f t="shared" si="5"/>
        <v>2520</v>
      </c>
      <c r="AF63" s="10">
        <f t="shared" si="34"/>
        <v>48.300000000000004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55.6</v>
      </c>
      <c r="G64" s="182">
        <f t="shared" si="15"/>
        <v>48.300000000000004</v>
      </c>
      <c r="H64" s="381"/>
      <c r="I64" s="381"/>
      <c r="J64" s="381"/>
      <c r="K64" s="3" t="s">
        <v>18</v>
      </c>
      <c r="L64" s="9" t="s">
        <v>18</v>
      </c>
      <c r="V64" s="14">
        <f t="shared" si="8"/>
        <v>210</v>
      </c>
      <c r="W64" s="3">
        <f t="shared" si="9"/>
        <v>1.7749174372947387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83.739999978213291</v>
      </c>
      <c r="AC64" s="10">
        <f t="shared" si="35"/>
        <v>83.739999978213291</v>
      </c>
      <c r="AE64" s="12">
        <f t="shared" si="5"/>
        <v>2580</v>
      </c>
      <c r="AF64" s="10">
        <f t="shared" si="34"/>
        <v>48.300000000000004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55.6</v>
      </c>
      <c r="G65" s="182">
        <f t="shared" si="15"/>
        <v>48.300000000000004</v>
      </c>
      <c r="H65" s="381"/>
      <c r="I65" s="381"/>
      <c r="J65" s="381"/>
      <c r="K65" s="3" t="s">
        <v>18</v>
      </c>
      <c r="L65" s="9" t="s">
        <v>18</v>
      </c>
      <c r="V65" s="14">
        <f t="shared" si="8"/>
        <v>210</v>
      </c>
      <c r="W65" s="3">
        <f t="shared" si="9"/>
        <v>1.7749174372947387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83.739999978213291</v>
      </c>
      <c r="AC65" s="10">
        <f t="shared" si="35"/>
        <v>83.739999978213291</v>
      </c>
      <c r="AE65" s="12">
        <f t="shared" si="5"/>
        <v>2640</v>
      </c>
      <c r="AF65" s="10">
        <f t="shared" si="34"/>
        <v>48.300000000000004</v>
      </c>
    </row>
    <row r="66" spans="1:32" s="3" customFormat="1" ht="21.6" customHeight="1" x14ac:dyDescent="0.15">
      <c r="A66" s="54"/>
      <c r="B66" s="54"/>
      <c r="C66" s="55">
        <f>$C$10+D66/1440</f>
        <v>44300.916666666664</v>
      </c>
      <c r="D66" s="181">
        <f t="shared" si="37"/>
        <v>2220</v>
      </c>
      <c r="E66" s="249">
        <f t="shared" si="36"/>
        <v>1.5416666666666667</v>
      </c>
      <c r="F66" s="182">
        <f t="shared" si="38"/>
        <v>55.6</v>
      </c>
      <c r="G66" s="182">
        <f t="shared" si="15"/>
        <v>48.300000000000004</v>
      </c>
      <c r="H66" s="381"/>
      <c r="I66" s="381"/>
      <c r="J66" s="381"/>
      <c r="K66" s="3" t="s">
        <v>18</v>
      </c>
      <c r="L66" s="9" t="s">
        <v>18</v>
      </c>
      <c r="V66" s="14">
        <f t="shared" si="8"/>
        <v>210</v>
      </c>
      <c r="W66" s="3">
        <f t="shared" si="9"/>
        <v>1.7749174372947387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83.739999978213291</v>
      </c>
      <c r="AC66" s="10">
        <f t="shared" si="35"/>
        <v>83.739999978213291</v>
      </c>
      <c r="AE66" s="12">
        <f t="shared" si="5"/>
        <v>2700</v>
      </c>
      <c r="AF66" s="10">
        <f t="shared" si="34"/>
        <v>48.300000000000004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55.6</v>
      </c>
      <c r="G67" s="182">
        <f t="shared" si="15"/>
        <v>48.300000000000004</v>
      </c>
      <c r="H67" s="381"/>
      <c r="I67" s="381"/>
      <c r="J67" s="381"/>
      <c r="K67" s="3" t="s">
        <v>18</v>
      </c>
      <c r="L67" s="9" t="s">
        <v>18</v>
      </c>
      <c r="V67" s="14">
        <f t="shared" si="8"/>
        <v>210</v>
      </c>
      <c r="W67" s="3">
        <f t="shared" si="9"/>
        <v>1.7749174372947387</v>
      </c>
      <c r="X67" s="3">
        <f t="shared" si="10"/>
        <v>0.125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83.739999978213291</v>
      </c>
      <c r="AC67" s="10">
        <f t="shared" si="35"/>
        <v>83.739999978213291</v>
      </c>
      <c r="AE67" s="12">
        <f>AA67</f>
        <v>2760</v>
      </c>
      <c r="AF67" s="10">
        <f t="shared" si="34"/>
        <v>48.300000000000004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55.6</v>
      </c>
      <c r="G68" s="182">
        <f t="shared" si="15"/>
        <v>48.300000000000004</v>
      </c>
      <c r="H68" s="381"/>
      <c r="I68" s="381"/>
      <c r="J68" s="381"/>
      <c r="K68" s="3" t="s">
        <v>18</v>
      </c>
      <c r="L68" s="9" t="s">
        <v>18</v>
      </c>
      <c r="V68" s="14">
        <f>V67</f>
        <v>210</v>
      </c>
      <c r="W68" s="3">
        <f t="shared" ref="W68:W83" si="40">W$2</f>
        <v>1.7749174372947387</v>
      </c>
      <c r="X68" s="3">
        <f t="shared" ref="X68:X83" si="41">X67</f>
        <v>0.125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83.739999978213291</v>
      </c>
      <c r="AC68" s="10">
        <f t="shared" si="35"/>
        <v>83.739999978213291</v>
      </c>
      <c r="AE68" s="12">
        <f>AA68</f>
        <v>2820</v>
      </c>
      <c r="AF68" s="10">
        <f t="shared" si="34"/>
        <v>48.300000000000004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55.6</v>
      </c>
      <c r="G69" s="182">
        <f t="shared" si="15"/>
        <v>48.300000000000004</v>
      </c>
      <c r="H69" s="381"/>
      <c r="I69" s="381"/>
      <c r="J69" s="381"/>
      <c r="K69" s="3" t="s">
        <v>18</v>
      </c>
      <c r="L69" s="9" t="s">
        <v>18</v>
      </c>
      <c r="V69" s="14">
        <f>V68</f>
        <v>210</v>
      </c>
      <c r="W69" s="3">
        <f t="shared" si="40"/>
        <v>1.7749174372947387</v>
      </c>
      <c r="X69" s="3">
        <f t="shared" si="41"/>
        <v>0.125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83.739999978213291</v>
      </c>
      <c r="AC69" s="10">
        <f t="shared" si="35"/>
        <v>83.739999978213291</v>
      </c>
      <c r="AE69" s="12">
        <f>AA69</f>
        <v>2880</v>
      </c>
      <c r="AF69" s="10">
        <f t="shared" si="34"/>
        <v>48.300000000000004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55.6</v>
      </c>
      <c r="G70" s="182">
        <f t="shared" si="15"/>
        <v>48.300000000000004</v>
      </c>
      <c r="H70" s="381"/>
      <c r="I70" s="381"/>
      <c r="J70" s="381"/>
      <c r="K70" s="3" t="s">
        <v>18</v>
      </c>
      <c r="L70" s="9" t="s">
        <v>18</v>
      </c>
      <c r="V70" s="14"/>
      <c r="W70" s="3">
        <f t="shared" si="40"/>
        <v>1.7749174372947387</v>
      </c>
      <c r="X70" s="3">
        <f t="shared" si="41"/>
        <v>0.125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44301.125</v>
      </c>
      <c r="D71" s="181">
        <f t="shared" si="37"/>
        <v>2520</v>
      </c>
      <c r="E71" s="249">
        <f t="shared" si="36"/>
        <v>1.75</v>
      </c>
      <c r="F71" s="182">
        <f t="shared" si="38"/>
        <v>55.6</v>
      </c>
      <c r="G71" s="182">
        <f t="shared" si="15"/>
        <v>48.300000000000004</v>
      </c>
      <c r="H71" s="381"/>
      <c r="I71" s="381"/>
      <c r="J71" s="381"/>
      <c r="K71" s="3" t="s">
        <v>18</v>
      </c>
      <c r="L71" s="9" t="s">
        <v>18</v>
      </c>
      <c r="V71" s="14"/>
      <c r="W71" s="3">
        <f t="shared" si="40"/>
        <v>1.7749174372947387</v>
      </c>
      <c r="X71" s="3">
        <f t="shared" si="41"/>
        <v>0.125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55.6</v>
      </c>
      <c r="G72" s="182">
        <f t="shared" si="15"/>
        <v>48.300000000000004</v>
      </c>
      <c r="H72" s="381"/>
      <c r="I72" s="381"/>
      <c r="J72" s="381"/>
      <c r="K72" s="3" t="s">
        <v>18</v>
      </c>
      <c r="L72" s="9" t="s">
        <v>18</v>
      </c>
      <c r="V72" s="14"/>
      <c r="W72" s="3">
        <f t="shared" si="40"/>
        <v>1.7749174372947387</v>
      </c>
      <c r="X72" s="3">
        <f t="shared" si="41"/>
        <v>0.125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55.6</v>
      </c>
      <c r="G73" s="182">
        <f t="shared" si="15"/>
        <v>48.300000000000004</v>
      </c>
      <c r="H73" s="381"/>
      <c r="I73" s="381"/>
      <c r="J73" s="381"/>
      <c r="K73" s="3" t="s">
        <v>18</v>
      </c>
      <c r="L73" s="9" t="s">
        <v>18</v>
      </c>
      <c r="V73" s="14"/>
      <c r="W73" s="3">
        <f t="shared" si="40"/>
        <v>1.7749174372947387</v>
      </c>
      <c r="X73" s="3">
        <f t="shared" si="41"/>
        <v>0.125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55.6</v>
      </c>
      <c r="G74" s="182">
        <f t="shared" si="15"/>
        <v>48.300000000000004</v>
      </c>
      <c r="H74" s="381"/>
      <c r="I74" s="381"/>
      <c r="J74" s="381"/>
      <c r="K74" s="3" t="s">
        <v>18</v>
      </c>
      <c r="L74" s="9" t="s">
        <v>18</v>
      </c>
      <c r="V74" s="14"/>
      <c r="W74" s="3">
        <f t="shared" si="40"/>
        <v>1.7749174372947387</v>
      </c>
      <c r="X74" s="3">
        <f t="shared" si="41"/>
        <v>0.125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55.6</v>
      </c>
      <c r="G75" s="182">
        <f>AF67</f>
        <v>48.300000000000004</v>
      </c>
      <c r="H75" s="381"/>
      <c r="I75" s="381"/>
      <c r="J75" s="381"/>
      <c r="K75" s="3" t="s">
        <v>18</v>
      </c>
      <c r="L75" s="9" t="s">
        <v>18</v>
      </c>
      <c r="V75" s="14"/>
      <c r="W75" s="3">
        <f t="shared" si="40"/>
        <v>1.7749174372947387</v>
      </c>
      <c r="X75" s="3">
        <f t="shared" si="41"/>
        <v>0.125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55.6</v>
      </c>
      <c r="G76" s="182">
        <f>AF68</f>
        <v>48.300000000000004</v>
      </c>
      <c r="H76" s="381"/>
      <c r="I76" s="381"/>
      <c r="J76" s="381"/>
      <c r="K76" s="3" t="s">
        <v>18</v>
      </c>
      <c r="L76" s="9" t="s">
        <v>18</v>
      </c>
      <c r="V76" s="14"/>
      <c r="W76" s="3">
        <f t="shared" si="40"/>
        <v>1.7749174372947387</v>
      </c>
      <c r="X76" s="3">
        <f t="shared" si="41"/>
        <v>0.125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44301.375</v>
      </c>
      <c r="D77" s="181">
        <f>D76+60</f>
        <v>2880</v>
      </c>
      <c r="E77" s="249">
        <f>D77/1440</f>
        <v>2</v>
      </c>
      <c r="F77" s="277">
        <f t="shared" si="38"/>
        <v>55.6</v>
      </c>
      <c r="G77" s="182">
        <f>AF69</f>
        <v>48.300000000000004</v>
      </c>
      <c r="H77" s="381" t="s">
        <v>13</v>
      </c>
      <c r="I77" s="381"/>
      <c r="J77" s="381"/>
      <c r="K77" s="3" t="s">
        <v>18</v>
      </c>
      <c r="L77" s="9" t="s">
        <v>18</v>
      </c>
      <c r="V77" s="14"/>
      <c r="W77" s="3">
        <f t="shared" si="40"/>
        <v>1.7749174372947387</v>
      </c>
      <c r="X77" s="3">
        <f t="shared" si="41"/>
        <v>0.125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44301.375694444447</v>
      </c>
      <c r="D78" s="181">
        <v>1</v>
      </c>
      <c r="E78" s="249">
        <f t="shared" ref="E78:E101" si="43">D78/1440</f>
        <v>6.9444444444444447E-4</v>
      </c>
      <c r="F78" s="182">
        <f>G78+D$8</f>
        <v>35.366905503401149</v>
      </c>
      <c r="G78" s="182">
        <f>H114</f>
        <v>28.066905503401149</v>
      </c>
      <c r="H78" s="539" t="s">
        <v>248</v>
      </c>
      <c r="I78" s="539"/>
      <c r="J78" s="539"/>
      <c r="K78" s="3" t="s">
        <v>18</v>
      </c>
      <c r="L78" s="9"/>
      <c r="V78" s="14"/>
      <c r="W78" s="3">
        <f t="shared" si="40"/>
        <v>1.7749174372947387</v>
      </c>
      <c r="X78" s="3">
        <f t="shared" si="41"/>
        <v>0.125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32.28481387619523</v>
      </c>
      <c r="G79" s="182">
        <f>H115</f>
        <v>24.984813876195229</v>
      </c>
      <c r="H79" s="539"/>
      <c r="I79" s="539"/>
      <c r="J79" s="539"/>
      <c r="K79" s="3" t="s">
        <v>18</v>
      </c>
      <c r="L79" s="9" t="s">
        <v>18</v>
      </c>
      <c r="V79" s="14"/>
      <c r="W79" s="3">
        <f t="shared" si="40"/>
        <v>1.7749174372947387</v>
      </c>
      <c r="X79" s="3">
        <f t="shared" si="41"/>
        <v>0.125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29.541173839149195</v>
      </c>
      <c r="G80" s="182">
        <f>H116</f>
        <v>22.241173839149194</v>
      </c>
      <c r="H80" s="539"/>
      <c r="I80" s="539"/>
      <c r="J80" s="539"/>
      <c r="K80" s="3" t="s">
        <v>18</v>
      </c>
      <c r="L80" s="9" t="s">
        <v>18</v>
      </c>
      <c r="V80" s="14"/>
      <c r="W80" s="3">
        <f t="shared" si="40"/>
        <v>1.7749174372947387</v>
      </c>
      <c r="X80" s="3">
        <f t="shared" si="41"/>
        <v>0.125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27.09881924253839</v>
      </c>
      <c r="G81" s="182">
        <f>H117</f>
        <v>19.798819242538389</v>
      </c>
      <c r="H81" s="539"/>
      <c r="I81" s="539"/>
      <c r="J81" s="539"/>
      <c r="K81" s="3" t="s">
        <v>18</v>
      </c>
      <c r="L81" s="9" t="s">
        <v>18</v>
      </c>
      <c r="V81" s="14"/>
      <c r="W81" s="3">
        <f t="shared" si="40"/>
        <v>1.7749174372947387</v>
      </c>
      <c r="X81" s="3">
        <f t="shared" si="41"/>
        <v>0.125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24.924665237259951</v>
      </c>
      <c r="G82" s="182">
        <f>H118</f>
        <v>17.624665237259951</v>
      </c>
      <c r="H82" s="539"/>
      <c r="I82" s="539"/>
      <c r="J82" s="539"/>
      <c r="K82" s="3" t="s">
        <v>18</v>
      </c>
      <c r="L82" s="9" t="s">
        <v>18</v>
      </c>
      <c r="V82" s="14"/>
      <c r="W82" s="3">
        <f t="shared" si="40"/>
        <v>1.7749174372947387</v>
      </c>
      <c r="X82" s="3">
        <f t="shared" si="41"/>
        <v>0.125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19.732705173018601</v>
      </c>
      <c r="G83" s="182">
        <f>H121</f>
        <v>12.432705173018602</v>
      </c>
      <c r="H83" s="539"/>
      <c r="I83" s="539"/>
      <c r="J83" s="539"/>
      <c r="K83" s="3" t="s">
        <v>18</v>
      </c>
      <c r="L83" s="9" t="s">
        <v>18</v>
      </c>
      <c r="V83" s="14"/>
      <c r="W83" s="3">
        <f t="shared" si="40"/>
        <v>1.7749174372947387</v>
      </c>
      <c r="X83" s="3">
        <f t="shared" si="41"/>
        <v>0.125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18.805001837665525</v>
      </c>
      <c r="G84" s="182">
        <f>H124</f>
        <v>11.505001837665526</v>
      </c>
      <c r="H84" s="539"/>
      <c r="I84" s="539"/>
      <c r="J84" s="539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16.416956119734746</v>
      </c>
      <c r="G85" s="182">
        <f>H126</f>
        <v>9.1169561197347448</v>
      </c>
      <c r="H85" s="539"/>
      <c r="I85" s="539"/>
      <c r="J85" s="539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15.415802140760004</v>
      </c>
      <c r="G86" s="182">
        <f t="shared" ref="G86:G92" si="45">H127</f>
        <v>8.1158021407600032</v>
      </c>
      <c r="H86" s="539"/>
      <c r="I86" s="539"/>
      <c r="J86" s="539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14.52458718929109</v>
      </c>
      <c r="G87" s="182">
        <f t="shared" si="45"/>
        <v>7.2245871892910909</v>
      </c>
      <c r="H87" s="539"/>
      <c r="I87" s="539"/>
      <c r="J87" s="539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14.24982014155762</v>
      </c>
      <c r="G88" s="182">
        <f t="shared" si="45"/>
        <v>6.9498201415576215</v>
      </c>
      <c r="H88" s="539"/>
      <c r="I88" s="539"/>
      <c r="J88" s="539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13.985503093047926</v>
      </c>
      <c r="G89" s="182">
        <f t="shared" si="45"/>
        <v>6.6855030930479264</v>
      </c>
      <c r="H89" s="539"/>
      <c r="I89" s="539"/>
      <c r="J89" s="539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13.731238607152783</v>
      </c>
      <c r="G90" s="182">
        <f t="shared" si="45"/>
        <v>6.4312386071527827</v>
      </c>
      <c r="H90" s="539"/>
      <c r="I90" s="539"/>
      <c r="J90" s="539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13.486644362657234</v>
      </c>
      <c r="G91" s="182">
        <f t="shared" si="45"/>
        <v>6.1866443626572334</v>
      </c>
      <c r="H91" s="539"/>
      <c r="I91" s="539"/>
      <c r="J91" s="539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13.251352578868683</v>
      </c>
      <c r="G92" s="182">
        <f t="shared" si="45"/>
        <v>5.9513525788686827</v>
      </c>
      <c r="H92" s="539"/>
      <c r="I92" s="539"/>
      <c r="J92" s="539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44301.416666666664</v>
      </c>
      <c r="D93" s="181">
        <v>60</v>
      </c>
      <c r="E93" s="249">
        <f t="shared" si="43"/>
        <v>4.1666666666666664E-2</v>
      </c>
      <c r="F93" s="182">
        <f t="shared" si="44"/>
        <v>13.025009462608615</v>
      </c>
      <c r="G93" s="182">
        <f>H134</f>
        <v>5.7250094626086145</v>
      </c>
      <c r="H93" s="539"/>
      <c r="I93" s="539"/>
      <c r="J93" s="539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12.807274676236482</v>
      </c>
      <c r="G94" s="182">
        <f>H135</f>
        <v>5.5072746762364826</v>
      </c>
      <c r="H94" s="539"/>
      <c r="I94" s="539"/>
      <c r="J94" s="539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12.597820825905794</v>
      </c>
      <c r="G95" s="182">
        <f>H136</f>
        <v>5.2978208259057942</v>
      </c>
      <c r="H95" s="539"/>
      <c r="I95" s="539"/>
      <c r="J95" s="539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12.396332969282962</v>
      </c>
      <c r="G96" s="182">
        <f>H137</f>
        <v>5.0963329692829635</v>
      </c>
      <c r="H96" s="539"/>
      <c r="I96" s="539"/>
      <c r="J96" s="539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44301.458333333336</v>
      </c>
      <c r="D97" s="181">
        <v>120</v>
      </c>
      <c r="E97" s="249">
        <f t="shared" si="43"/>
        <v>8.3333333333333329E-2</v>
      </c>
      <c r="F97" s="182">
        <f t="shared" si="44"/>
        <v>11.836692891677078</v>
      </c>
      <c r="G97" s="182">
        <f>H138</f>
        <v>4.5366928916770783</v>
      </c>
      <c r="H97" s="539"/>
      <c r="I97" s="539"/>
      <c r="J97" s="539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11.66415241570812</v>
      </c>
      <c r="G98" s="182">
        <f>H140</f>
        <v>4.3641524157081211</v>
      </c>
      <c r="H98" s="539"/>
      <c r="I98" s="539"/>
      <c r="J98" s="539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44301.541666666664</v>
      </c>
      <c r="D99" s="181">
        <v>240</v>
      </c>
      <c r="E99" s="249">
        <f t="shared" si="43"/>
        <v>0.16666666666666666</v>
      </c>
      <c r="F99" s="182">
        <f t="shared" si="44"/>
        <v>10.758303321915735</v>
      </c>
      <c r="G99" s="182">
        <f>H142</f>
        <v>3.4583033219157344</v>
      </c>
      <c r="H99" s="539"/>
      <c r="I99" s="539"/>
      <c r="J99" s="539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10.040477583533896</v>
      </c>
      <c r="G100" s="182">
        <f>H144</f>
        <v>2.7404775835338961</v>
      </c>
      <c r="H100" s="539"/>
      <c r="I100" s="539"/>
      <c r="J100" s="539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44301.625</v>
      </c>
      <c r="D101" s="181">
        <v>360</v>
      </c>
      <c r="E101" s="249">
        <f t="shared" si="43"/>
        <v>0.25</v>
      </c>
      <c r="F101" s="277">
        <f t="shared" si="44"/>
        <v>9.4716479691814541</v>
      </c>
      <c r="G101" s="242">
        <f>H146</f>
        <v>2.1716479691814539</v>
      </c>
      <c r="H101" s="539"/>
      <c r="I101" s="539"/>
      <c r="J101" s="539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48.300000000000004</v>
      </c>
      <c r="F110" s="243" t="s">
        <v>180</v>
      </c>
      <c r="H110" s="245" t="s">
        <v>181</v>
      </c>
      <c r="I110" s="377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48.300000000000004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39.787786073845318</v>
      </c>
      <c r="I111" s="378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48.300000000000004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35.418597518006919</v>
      </c>
      <c r="I112" s="378"/>
      <c r="J112" s="13">
        <f>H111-H112</f>
        <v>4.3691885558383987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48.300000000000004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31.529199634638655</v>
      </c>
      <c r="I113" s="378"/>
      <c r="J113" s="13">
        <f t="shared" ref="J113:J146" si="51">H112-H113</f>
        <v>3.8893978833682645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48.300000000000004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28.066905503401149</v>
      </c>
      <c r="I114" s="379"/>
      <c r="J114" s="13">
        <f t="shared" si="51"/>
        <v>3.4622941312375062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48.300000000000004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24.984813876195229</v>
      </c>
      <c r="I115" s="379"/>
      <c r="J115" s="13">
        <f t="shared" si="51"/>
        <v>3.0820916272059193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48.300000000000004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22.241173839149194</v>
      </c>
      <c r="I116" s="379"/>
      <c r="J116" s="13">
        <f t="shared" si="51"/>
        <v>2.7436400370460348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48.300000000000004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19.798819242538389</v>
      </c>
      <c r="I117" s="379"/>
      <c r="J117" s="13">
        <f t="shared" si="51"/>
        <v>2.4423545966108051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48.300000000000004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17.624665237259951</v>
      </c>
      <c r="I118" s="379"/>
      <c r="J118" s="13">
        <f t="shared" si="51"/>
        <v>2.1741540052784387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48.300000000000004</v>
      </c>
      <c r="E119" s="15">
        <f t="shared" si="49"/>
        <v>0.71</v>
      </c>
      <c r="F119" s="54"/>
      <c r="G119" s="3">
        <v>9</v>
      </c>
      <c r="H119" s="248">
        <f t="shared" si="47"/>
        <v>15.689260097798341</v>
      </c>
      <c r="I119" s="380"/>
      <c r="J119" s="13">
        <f t="shared" si="51"/>
        <v>1.9354051394616096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48.300000000000004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13.9663862605447</v>
      </c>
      <c r="I120" s="378"/>
      <c r="J120" s="13">
        <f t="shared" si="51"/>
        <v>1.7228738372536405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48.300000000000004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12.432705173018602</v>
      </c>
      <c r="I121" s="379"/>
      <c r="J121" s="13">
        <f t="shared" si="51"/>
        <v>1.533681087526098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48.300000000000004</v>
      </c>
      <c r="E122" s="15">
        <f t="shared" si="49"/>
        <v>0.62</v>
      </c>
      <c r="F122" s="54"/>
      <c r="G122" s="3">
        <v>14</v>
      </c>
      <c r="H122" s="246">
        <f t="shared" si="47"/>
        <v>11.067441143015838</v>
      </c>
      <c r="I122" s="378"/>
      <c r="J122" s="13">
        <f t="shared" si="51"/>
        <v>1.3652640300027645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48.300000000000004</v>
      </c>
      <c r="E123" s="15">
        <f t="shared" si="49"/>
        <v>0.37</v>
      </c>
      <c r="F123" s="54"/>
      <c r="G123" s="3">
        <v>15</v>
      </c>
      <c r="H123" s="246">
        <f t="shared" si="47"/>
        <v>4.1981740360852067</v>
      </c>
      <c r="I123" s="378"/>
      <c r="J123" s="13">
        <f t="shared" si="51"/>
        <v>6.8692671069306313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48.300000000000004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11.505001837665526</v>
      </c>
      <c r="I124" s="379"/>
      <c r="J124" s="13">
        <f t="shared" si="51"/>
        <v>-7.3068278015803196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48.300000000000004</v>
      </c>
      <c r="E125" s="15">
        <f t="shared" si="49"/>
        <v>0.6</v>
      </c>
      <c r="F125" s="54"/>
      <c r="G125" s="3">
        <v>18</v>
      </c>
      <c r="H125" s="246">
        <f t="shared" si="47"/>
        <v>10.241611050584972</v>
      </c>
      <c r="I125" s="378"/>
      <c r="J125" s="13">
        <f t="shared" si="51"/>
        <v>1.2633907870805547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48.300000000000004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9.1169561197347448</v>
      </c>
      <c r="I126" s="379"/>
      <c r="J126" s="13">
        <f t="shared" si="51"/>
        <v>1.1246549308502267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48.300000000000004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8.1158021407600032</v>
      </c>
      <c r="I127" s="379"/>
      <c r="J127" s="13">
        <f t="shared" si="51"/>
        <v>1.0011539789747417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48.300000000000004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7.2245871892910909</v>
      </c>
      <c r="I128" s="379"/>
      <c r="J128" s="13">
        <f t="shared" si="51"/>
        <v>0.89121495146891228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48.300000000000004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6.9498201415576215</v>
      </c>
      <c r="I129" s="379"/>
      <c r="J129" s="13">
        <f t="shared" si="51"/>
        <v>0.27476704773346938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48.300000000000004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6.6855030930479264</v>
      </c>
      <c r="I130" s="379"/>
      <c r="J130" s="13">
        <f t="shared" si="51"/>
        <v>0.26431704850969506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48.300000000000004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6.4312386071527827</v>
      </c>
      <c r="I131" s="379"/>
      <c r="J131" s="13">
        <f t="shared" si="51"/>
        <v>0.25426448589514372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48.300000000000004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6.1866443626572334</v>
      </c>
      <c r="I132" s="379"/>
      <c r="J132" s="13">
        <f t="shared" si="51"/>
        <v>0.24459424449554934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48.300000000000004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5.9513525788686827</v>
      </c>
      <c r="I133" s="379"/>
      <c r="J133" s="13">
        <f t="shared" si="51"/>
        <v>0.23529178378855065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48.300000000000004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5.7250094626086145</v>
      </c>
      <c r="I134" s="379"/>
      <c r="J134" s="13">
        <f t="shared" si="51"/>
        <v>0.2263431162600682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48.300000000000004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5.5072746762364826</v>
      </c>
      <c r="I135" s="379"/>
      <c r="J135" s="13">
        <f t="shared" si="51"/>
        <v>0.21773478637213195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48.300000000000004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5.2978208259057942</v>
      </c>
      <c r="I136" s="379"/>
      <c r="J136" s="13">
        <f t="shared" si="51"/>
        <v>0.20945385033068842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48.300000000000004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5.0963329692829635</v>
      </c>
      <c r="I137" s="379"/>
      <c r="J137" s="13">
        <f t="shared" si="51"/>
        <v>0.20148785662283064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48.300000000000004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4.5366928916770783</v>
      </c>
      <c r="I138" s="379"/>
      <c r="J138" s="13">
        <f t="shared" si="51"/>
        <v>0.55964007760588519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48.300000000000004</v>
      </c>
      <c r="E139" s="15">
        <f t="shared" si="49"/>
        <v>0.36</v>
      </c>
      <c r="F139" s="54"/>
      <c r="G139" s="3">
        <v>150</v>
      </c>
      <c r="H139" s="246">
        <f t="shared" si="47"/>
        <v>4.0385081817542803</v>
      </c>
      <c r="I139" s="378"/>
      <c r="J139" s="13">
        <f t="shared" si="51"/>
        <v>0.49818470992279806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48.300000000000004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4.3641524157081211</v>
      </c>
      <c r="I140" s="379"/>
      <c r="J140" s="13">
        <f t="shared" si="51"/>
        <v>-0.32564423395384079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48.300000000000004</v>
      </c>
      <c r="E141" s="15">
        <f t="shared" si="49"/>
        <v>0.35</v>
      </c>
      <c r="F141" s="54"/>
      <c r="G141" s="3">
        <v>210</v>
      </c>
      <c r="H141" s="246">
        <f t="shared" si="47"/>
        <v>3.8849147734010807</v>
      </c>
      <c r="I141" s="378"/>
      <c r="J141" s="13">
        <f t="shared" si="51"/>
        <v>0.47923764230704036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48.300000000000004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3.4583033219157344</v>
      </c>
      <c r="I142" s="379"/>
      <c r="J142" s="13">
        <f t="shared" si="51"/>
        <v>0.42661145148534629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48.300000000000004</v>
      </c>
      <c r="E143" s="15">
        <f>C143/100</f>
        <v>0.28999999999999998</v>
      </c>
      <c r="F143" s="54"/>
      <c r="G143" s="3">
        <v>270</v>
      </c>
      <c r="H143" s="246">
        <f t="shared" si="47"/>
        <v>3.0785390578602172</v>
      </c>
      <c r="I143" s="378"/>
      <c r="J143" s="13">
        <f t="shared" si="51"/>
        <v>0.37976426405551722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48.300000000000004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2.7404775835338961</v>
      </c>
      <c r="I144" s="379"/>
      <c r="J144" s="13">
        <f t="shared" si="51"/>
        <v>0.33806147432632105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48.300000000000004</v>
      </c>
      <c r="E145" s="15">
        <f>C145/100</f>
        <v>0.23</v>
      </c>
      <c r="F145" s="54"/>
      <c r="G145" s="3">
        <v>330</v>
      </c>
      <c r="H145" s="246">
        <f t="shared" si="47"/>
        <v>2.4395394194127471</v>
      </c>
      <c r="I145" s="378"/>
      <c r="J145" s="13">
        <f t="shared" si="51"/>
        <v>0.30093816412114904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48.300000000000004</v>
      </c>
      <c r="E146" s="15">
        <f>C146/100</f>
        <v>0.2</v>
      </c>
      <c r="F146" s="244">
        <v>360</v>
      </c>
      <c r="G146" s="36">
        <v>360</v>
      </c>
      <c r="H146" s="247">
        <f t="shared" si="47"/>
        <v>2.1716479691814539</v>
      </c>
      <c r="I146" s="379"/>
      <c r="J146" s="13">
        <f t="shared" si="51"/>
        <v>0.26789145023129324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210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7.5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1.78</v>
      </c>
      <c r="C8" t="s">
        <v>88</v>
      </c>
      <c r="D8" s="69" t="s">
        <v>78</v>
      </c>
      <c r="E8" s="70">
        <f>입력표!C26</f>
        <v>210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112.6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61.6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881.5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4.282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71.900000000000006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6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19"/>
    <col min="2" max="3" width="8.88671875" style="420"/>
    <col min="4" max="16384" width="8.88671875" style="419"/>
  </cols>
  <sheetData>
    <row r="1" spans="1:2" x14ac:dyDescent="0.3">
      <c r="B1" s="419"/>
    </row>
    <row r="2" spans="1:2" x14ac:dyDescent="0.3">
      <c r="A2" s="419" t="s">
        <v>98</v>
      </c>
      <c r="B2" s="419"/>
    </row>
    <row r="3" spans="1:2" x14ac:dyDescent="0.3">
      <c r="A3" s="419">
        <v>2</v>
      </c>
      <c r="B3" s="419"/>
    </row>
    <row r="4" spans="1:2" x14ac:dyDescent="0.3">
      <c r="A4" s="419">
        <v>1</v>
      </c>
      <c r="B4" s="419"/>
    </row>
    <row r="5" spans="1:2" x14ac:dyDescent="0.3">
      <c r="A5" s="419">
        <v>6</v>
      </c>
      <c r="B5" s="419"/>
    </row>
    <row r="6" spans="1:2" x14ac:dyDescent="0.3">
      <c r="A6" s="419" t="s">
        <v>99</v>
      </c>
      <c r="B6" s="419"/>
    </row>
    <row r="7" spans="1:2" x14ac:dyDescent="0.3">
      <c r="A7" s="419">
        <f>입력표!M46</f>
        <v>126</v>
      </c>
      <c r="B7" s="419"/>
    </row>
    <row r="8" spans="1:2" x14ac:dyDescent="0.3">
      <c r="A8" s="419" t="s">
        <v>100</v>
      </c>
      <c r="B8" s="419"/>
    </row>
    <row r="9" spans="1:2" x14ac:dyDescent="0.3">
      <c r="A9" s="419">
        <v>1</v>
      </c>
      <c r="B9" s="419"/>
    </row>
    <row r="10" spans="1:2" x14ac:dyDescent="0.3">
      <c r="A10" s="419" t="s">
        <v>101</v>
      </c>
      <c r="B10" s="419"/>
    </row>
    <row r="11" spans="1:2" x14ac:dyDescent="0.3">
      <c r="A11" s="419">
        <v>1</v>
      </c>
      <c r="B11" s="419"/>
    </row>
    <row r="12" spans="1:2" x14ac:dyDescent="0.3">
      <c r="A12" s="419" t="s">
        <v>102</v>
      </c>
      <c r="B12" s="419"/>
    </row>
    <row r="13" spans="1:2" x14ac:dyDescent="0.3">
      <c r="A13" s="419">
        <v>1</v>
      </c>
      <c r="B13" s="419"/>
    </row>
    <row r="14" spans="1:2" x14ac:dyDescent="0.3">
      <c r="A14" s="419" t="s">
        <v>103</v>
      </c>
      <c r="B14" s="419"/>
    </row>
    <row r="15" spans="1:2" x14ac:dyDescent="0.3">
      <c r="A15" s="419" t="str">
        <f>입력표!I54</f>
        <v>W-1</v>
      </c>
      <c r="B15" s="419"/>
    </row>
    <row r="16" spans="1:2" x14ac:dyDescent="0.3">
      <c r="A16" s="419">
        <v>0</v>
      </c>
      <c r="B16" s="419"/>
    </row>
    <row r="17" spans="1:2" x14ac:dyDescent="0.3">
      <c r="A17" s="419">
        <v>0</v>
      </c>
      <c r="B17" s="419"/>
    </row>
    <row r="18" spans="1:2" x14ac:dyDescent="0.3">
      <c r="A18" s="419">
        <f>입력표!N45/2/1000</f>
        <v>0.125</v>
      </c>
      <c r="B18" s="419"/>
    </row>
    <row r="19" spans="1:2" x14ac:dyDescent="0.3">
      <c r="A19" s="419">
        <f>입력표!M44/2/1000</f>
        <v>0.125</v>
      </c>
      <c r="B19" s="419"/>
    </row>
    <row r="20" spans="1:2" x14ac:dyDescent="0.3">
      <c r="A20" s="419">
        <v>0</v>
      </c>
      <c r="B20" s="419"/>
    </row>
    <row r="21" spans="1:2" x14ac:dyDescent="0.3">
      <c r="A21" s="419">
        <v>0</v>
      </c>
      <c r="B21" s="419"/>
    </row>
    <row r="22" spans="1:2" x14ac:dyDescent="0.3">
      <c r="A22" s="419">
        <v>1</v>
      </c>
      <c r="B22" s="419"/>
    </row>
    <row r="23" spans="1:2" x14ac:dyDescent="0.3">
      <c r="A23" s="419">
        <v>5</v>
      </c>
      <c r="B23" s="419"/>
    </row>
    <row r="24" spans="1:2" x14ac:dyDescent="0.3">
      <c r="A24" s="421">
        <v>0</v>
      </c>
      <c r="B24" s="421">
        <f>입력표!D3</f>
        <v>130</v>
      </c>
    </row>
    <row r="25" spans="1:2" x14ac:dyDescent="0.3">
      <c r="A25" s="421">
        <f>단계양수시험!D31</f>
        <v>120</v>
      </c>
      <c r="B25" s="421">
        <f>입력표!D4</f>
        <v>166</v>
      </c>
    </row>
    <row r="26" spans="1:2" x14ac:dyDescent="0.3">
      <c r="A26" s="421">
        <f>단계양수시험!D36</f>
        <v>240</v>
      </c>
      <c r="B26" s="421">
        <f>입력표!D5</f>
        <v>202.29999999999998</v>
      </c>
    </row>
    <row r="27" spans="1:2" x14ac:dyDescent="0.3">
      <c r="A27" s="421">
        <f>단계양수시험!D41</f>
        <v>360</v>
      </c>
      <c r="B27" s="421">
        <f>입력표!D6</f>
        <v>238</v>
      </c>
    </row>
    <row r="28" spans="1:2" x14ac:dyDescent="0.3">
      <c r="A28" s="421">
        <f>단계양수시험!D46</f>
        <v>480</v>
      </c>
      <c r="B28" s="421">
        <f>입력표!D7</f>
        <v>273.7</v>
      </c>
    </row>
    <row r="29" spans="1:2" x14ac:dyDescent="0.3">
      <c r="A29" s="419" t="s">
        <v>104</v>
      </c>
      <c r="B29" s="419"/>
    </row>
    <row r="30" spans="1:2" x14ac:dyDescent="0.3">
      <c r="A30" s="419" t="str">
        <f>A15</f>
        <v>W-1</v>
      </c>
      <c r="B30" s="419"/>
    </row>
    <row r="31" spans="1:2" x14ac:dyDescent="0.3">
      <c r="A31" s="422">
        <f>A19</f>
        <v>0.125</v>
      </c>
      <c r="B31" s="419"/>
    </row>
    <row r="32" spans="1:2" x14ac:dyDescent="0.3">
      <c r="A32" s="419">
        <v>0</v>
      </c>
      <c r="B32" s="419"/>
    </row>
    <row r="33" spans="1:3" x14ac:dyDescent="0.3">
      <c r="A33" s="419">
        <v>0</v>
      </c>
      <c r="B33" s="419"/>
    </row>
    <row r="34" spans="1:3" x14ac:dyDescent="0.3">
      <c r="A34" s="421">
        <f>SUM(C35:C134)</f>
        <v>100</v>
      </c>
      <c r="B34" s="419"/>
    </row>
    <row r="35" spans="1:3" x14ac:dyDescent="0.3">
      <c r="A35" s="419">
        <f>Sheet1!A1</f>
        <v>1</v>
      </c>
      <c r="B35" s="420">
        <f>Sheet1!B1</f>
        <v>1.92</v>
      </c>
      <c r="C35" s="421">
        <v>1</v>
      </c>
    </row>
    <row r="36" spans="1:3" x14ac:dyDescent="0.3">
      <c r="A36" s="419">
        <f>Sheet1!A2</f>
        <v>2</v>
      </c>
      <c r="B36" s="420">
        <f>Sheet1!B2</f>
        <v>3.72</v>
      </c>
      <c r="C36" s="421">
        <v>1</v>
      </c>
    </row>
    <row r="37" spans="1:3" x14ac:dyDescent="0.3">
      <c r="A37" s="419">
        <f>Sheet1!A3</f>
        <v>3</v>
      </c>
      <c r="B37" s="420">
        <f>Sheet1!B3</f>
        <v>5.31</v>
      </c>
      <c r="C37" s="421">
        <v>1</v>
      </c>
    </row>
    <row r="38" spans="1:3" x14ac:dyDescent="0.3">
      <c r="A38" s="419">
        <f>Sheet1!A4</f>
        <v>4</v>
      </c>
      <c r="B38" s="420">
        <f>Sheet1!B4</f>
        <v>6.44</v>
      </c>
      <c r="C38" s="421">
        <v>1</v>
      </c>
    </row>
    <row r="39" spans="1:3" x14ac:dyDescent="0.3">
      <c r="A39" s="419">
        <f>Sheet1!A5</f>
        <v>5</v>
      </c>
      <c r="B39" s="420">
        <f>Sheet1!B5</f>
        <v>7.32</v>
      </c>
      <c r="C39" s="421">
        <v>1</v>
      </c>
    </row>
    <row r="40" spans="1:3" x14ac:dyDescent="0.3">
      <c r="A40" s="419">
        <f>Sheet1!A6</f>
        <v>10</v>
      </c>
      <c r="B40" s="420">
        <f>Sheet1!B6</f>
        <v>10.039999999999999</v>
      </c>
      <c r="C40" s="421">
        <v>1</v>
      </c>
    </row>
    <row r="41" spans="1:3" x14ac:dyDescent="0.3">
      <c r="A41" s="419">
        <f>Sheet1!A7</f>
        <v>15</v>
      </c>
      <c r="B41" s="420">
        <f>Sheet1!B7</f>
        <v>11.63</v>
      </c>
      <c r="C41" s="421">
        <v>1</v>
      </c>
    </row>
    <row r="42" spans="1:3" x14ac:dyDescent="0.3">
      <c r="A42" s="419">
        <f>Sheet1!A8</f>
        <v>20</v>
      </c>
      <c r="B42" s="420">
        <f>Sheet1!B8</f>
        <v>12.76</v>
      </c>
      <c r="C42" s="421">
        <v>1</v>
      </c>
    </row>
    <row r="43" spans="1:3" x14ac:dyDescent="0.3">
      <c r="A43" s="419">
        <f>Sheet1!A9</f>
        <v>25</v>
      </c>
      <c r="B43" s="420">
        <f>Sheet1!B9</f>
        <v>13.64</v>
      </c>
      <c r="C43" s="421">
        <v>1</v>
      </c>
    </row>
    <row r="44" spans="1:3" x14ac:dyDescent="0.3">
      <c r="A44" s="419">
        <f>Sheet1!A10</f>
        <v>30</v>
      </c>
      <c r="B44" s="420">
        <f>Sheet1!B10</f>
        <v>14.35</v>
      </c>
      <c r="C44" s="421">
        <v>1</v>
      </c>
    </row>
    <row r="45" spans="1:3" x14ac:dyDescent="0.3">
      <c r="A45" s="419">
        <f>Sheet1!A11</f>
        <v>35</v>
      </c>
      <c r="B45" s="420">
        <f>Sheet1!B11</f>
        <v>14.96</v>
      </c>
      <c r="C45" s="421">
        <v>1</v>
      </c>
    </row>
    <row r="46" spans="1:3" x14ac:dyDescent="0.3">
      <c r="A46" s="419">
        <f>Sheet1!A12</f>
        <v>40</v>
      </c>
      <c r="B46" s="420">
        <f>Sheet1!B12</f>
        <v>15.48</v>
      </c>
      <c r="C46" s="421">
        <v>1</v>
      </c>
    </row>
    <row r="47" spans="1:3" x14ac:dyDescent="0.3">
      <c r="A47" s="419">
        <f>Sheet1!A13</f>
        <v>45</v>
      </c>
      <c r="B47" s="420">
        <f>Sheet1!B13</f>
        <v>15.94</v>
      </c>
      <c r="C47" s="421">
        <v>1</v>
      </c>
    </row>
    <row r="48" spans="1:3" x14ac:dyDescent="0.3">
      <c r="A48" s="419">
        <f>Sheet1!A14</f>
        <v>50</v>
      </c>
      <c r="B48" s="420">
        <f>Sheet1!B14</f>
        <v>16.36</v>
      </c>
      <c r="C48" s="421">
        <v>1</v>
      </c>
    </row>
    <row r="49" spans="1:3" x14ac:dyDescent="0.3">
      <c r="A49" s="419">
        <f>Sheet1!A15</f>
        <v>55</v>
      </c>
      <c r="B49" s="420">
        <f>Sheet1!B15</f>
        <v>16.73</v>
      </c>
      <c r="C49" s="421">
        <v>1</v>
      </c>
    </row>
    <row r="50" spans="1:3" x14ac:dyDescent="0.3">
      <c r="A50" s="419">
        <f>Sheet1!A16</f>
        <v>60</v>
      </c>
      <c r="B50" s="420">
        <f>Sheet1!B16</f>
        <v>17.07</v>
      </c>
      <c r="C50" s="421">
        <v>1</v>
      </c>
    </row>
    <row r="51" spans="1:3" x14ac:dyDescent="0.3">
      <c r="A51" s="419">
        <f>Sheet1!A17</f>
        <v>75</v>
      </c>
      <c r="B51" s="420">
        <f>Sheet1!B17</f>
        <v>17.95</v>
      </c>
      <c r="C51" s="421">
        <v>1</v>
      </c>
    </row>
    <row r="52" spans="1:3" x14ac:dyDescent="0.3">
      <c r="A52" s="419">
        <f>Sheet1!A18</f>
        <v>90</v>
      </c>
      <c r="B52" s="420">
        <f>Sheet1!B18</f>
        <v>18.670000000000002</v>
      </c>
      <c r="C52" s="421">
        <v>1</v>
      </c>
    </row>
    <row r="53" spans="1:3" x14ac:dyDescent="0.3">
      <c r="A53" s="419">
        <f>Sheet1!A19</f>
        <v>105</v>
      </c>
      <c r="B53" s="420">
        <f>Sheet1!B19</f>
        <v>19.27</v>
      </c>
      <c r="C53" s="421">
        <v>1</v>
      </c>
    </row>
    <row r="54" spans="1:3" x14ac:dyDescent="0.3">
      <c r="A54" s="419">
        <f>Sheet1!A20</f>
        <v>120</v>
      </c>
      <c r="B54" s="420">
        <f>Sheet1!B20</f>
        <v>19.8</v>
      </c>
      <c r="C54" s="421">
        <v>1</v>
      </c>
    </row>
    <row r="55" spans="1:3" x14ac:dyDescent="0.3">
      <c r="A55" s="419">
        <f>Sheet1!A21</f>
        <v>121</v>
      </c>
      <c r="B55" s="420">
        <f>Sheet1!B21</f>
        <v>19.96</v>
      </c>
      <c r="C55" s="421">
        <v>1</v>
      </c>
    </row>
    <row r="56" spans="1:3" x14ac:dyDescent="0.3">
      <c r="A56" s="419">
        <f>Sheet1!A22</f>
        <v>122</v>
      </c>
      <c r="B56" s="420">
        <f>Sheet1!B22</f>
        <v>20.11</v>
      </c>
      <c r="C56" s="421">
        <v>1</v>
      </c>
    </row>
    <row r="57" spans="1:3" x14ac:dyDescent="0.3">
      <c r="A57" s="419">
        <f>Sheet1!A23</f>
        <v>123</v>
      </c>
      <c r="B57" s="420">
        <f>Sheet1!B23</f>
        <v>20.25</v>
      </c>
      <c r="C57" s="421">
        <v>1</v>
      </c>
    </row>
    <row r="58" spans="1:3" x14ac:dyDescent="0.3">
      <c r="A58" s="419">
        <f>Sheet1!A24</f>
        <v>124</v>
      </c>
      <c r="B58" s="420">
        <f>Sheet1!B24</f>
        <v>20.38</v>
      </c>
      <c r="C58" s="421">
        <v>1</v>
      </c>
    </row>
    <row r="59" spans="1:3" x14ac:dyDescent="0.3">
      <c r="A59" s="419">
        <f>Sheet1!A25</f>
        <v>125</v>
      </c>
      <c r="B59" s="420">
        <f>Sheet1!B25</f>
        <v>20.509999999999998</v>
      </c>
      <c r="C59" s="421">
        <v>1</v>
      </c>
    </row>
    <row r="60" spans="1:3" x14ac:dyDescent="0.3">
      <c r="A60" s="419">
        <f>Sheet1!A26</f>
        <v>130</v>
      </c>
      <c r="B60" s="420">
        <f>Sheet1!B26</f>
        <v>24.09</v>
      </c>
      <c r="C60" s="421">
        <v>1</v>
      </c>
    </row>
    <row r="61" spans="1:3" x14ac:dyDescent="0.3">
      <c r="A61" s="419">
        <f>Sheet1!A27</f>
        <v>135</v>
      </c>
      <c r="B61" s="420">
        <f>Sheet1!B27</f>
        <v>24.2</v>
      </c>
      <c r="C61" s="421">
        <v>1</v>
      </c>
    </row>
    <row r="62" spans="1:3" x14ac:dyDescent="0.3">
      <c r="A62" s="419">
        <f>Sheet1!A28</f>
        <v>140</v>
      </c>
      <c r="B62" s="420">
        <f>Sheet1!B28</f>
        <v>24.8</v>
      </c>
      <c r="C62" s="421">
        <v>1</v>
      </c>
    </row>
    <row r="63" spans="1:3" x14ac:dyDescent="0.3">
      <c r="A63" s="419">
        <f>Sheet1!A29</f>
        <v>145</v>
      </c>
      <c r="B63" s="420">
        <f>Sheet1!B29</f>
        <v>24.900000000000002</v>
      </c>
      <c r="C63" s="421">
        <v>1</v>
      </c>
    </row>
    <row r="64" spans="1:3" x14ac:dyDescent="0.3">
      <c r="A64" s="419">
        <f>Sheet1!A30</f>
        <v>150</v>
      </c>
      <c r="B64" s="420">
        <f>Sheet1!B30</f>
        <v>25.52</v>
      </c>
      <c r="C64" s="421">
        <v>1</v>
      </c>
    </row>
    <row r="65" spans="1:3" x14ac:dyDescent="0.3">
      <c r="A65" s="419">
        <f>Sheet1!A31</f>
        <v>155</v>
      </c>
      <c r="B65" s="420">
        <f>Sheet1!B31</f>
        <v>25.58</v>
      </c>
      <c r="C65" s="421">
        <v>1</v>
      </c>
    </row>
    <row r="66" spans="1:3" x14ac:dyDescent="0.3">
      <c r="A66" s="419">
        <f>Sheet1!A32</f>
        <v>160</v>
      </c>
      <c r="B66" s="420">
        <f>Sheet1!B32</f>
        <v>25.63</v>
      </c>
      <c r="C66" s="421">
        <v>1</v>
      </c>
    </row>
    <row r="67" spans="1:3" x14ac:dyDescent="0.3">
      <c r="A67" s="419">
        <f>Sheet1!A33</f>
        <v>165</v>
      </c>
      <c r="B67" s="420">
        <f>Sheet1!B33</f>
        <v>25.669999999999998</v>
      </c>
      <c r="C67" s="421">
        <v>1</v>
      </c>
    </row>
    <row r="68" spans="1:3" x14ac:dyDescent="0.3">
      <c r="A68" s="419">
        <f>Sheet1!A34</f>
        <v>170</v>
      </c>
      <c r="B68" s="420">
        <f>Sheet1!B34</f>
        <v>25.7</v>
      </c>
      <c r="C68" s="421">
        <v>1</v>
      </c>
    </row>
    <row r="69" spans="1:3" x14ac:dyDescent="0.3">
      <c r="A69" s="419">
        <f>Sheet1!A35</f>
        <v>175</v>
      </c>
      <c r="B69" s="420">
        <f>Sheet1!B35</f>
        <v>25.72</v>
      </c>
      <c r="C69" s="421">
        <v>1</v>
      </c>
    </row>
    <row r="70" spans="1:3" x14ac:dyDescent="0.3">
      <c r="A70" s="419">
        <f>Sheet1!A36</f>
        <v>180</v>
      </c>
      <c r="B70" s="420">
        <f>Sheet1!B36</f>
        <v>26.23</v>
      </c>
      <c r="C70" s="421">
        <v>1</v>
      </c>
    </row>
    <row r="71" spans="1:3" x14ac:dyDescent="0.3">
      <c r="A71" s="419">
        <f>Sheet1!A37</f>
        <v>195</v>
      </c>
      <c r="B71" s="420">
        <f>Sheet1!B37</f>
        <v>26.3</v>
      </c>
      <c r="C71" s="421">
        <v>1</v>
      </c>
    </row>
    <row r="72" spans="1:3" x14ac:dyDescent="0.3">
      <c r="A72" s="419">
        <f>Sheet1!A38</f>
        <v>210</v>
      </c>
      <c r="B72" s="420">
        <f>Sheet1!B38</f>
        <v>26.36</v>
      </c>
      <c r="C72" s="421">
        <v>1</v>
      </c>
    </row>
    <row r="73" spans="1:3" x14ac:dyDescent="0.3">
      <c r="A73" s="419">
        <f>Sheet1!A39</f>
        <v>225</v>
      </c>
      <c r="B73" s="420">
        <f>Sheet1!B39</f>
        <v>26.41</v>
      </c>
      <c r="C73" s="421">
        <v>1</v>
      </c>
    </row>
    <row r="74" spans="1:3" x14ac:dyDescent="0.3">
      <c r="A74" s="419">
        <f>Sheet1!A40</f>
        <v>240</v>
      </c>
      <c r="B74" s="420">
        <f>Sheet1!B40</f>
        <v>26.95</v>
      </c>
      <c r="C74" s="421">
        <v>1</v>
      </c>
    </row>
    <row r="75" spans="1:3" x14ac:dyDescent="0.3">
      <c r="A75" s="419">
        <f>Sheet1!A41</f>
        <v>241</v>
      </c>
      <c r="B75" s="420">
        <f>Sheet1!B41</f>
        <v>27.13</v>
      </c>
      <c r="C75" s="421">
        <v>1</v>
      </c>
    </row>
    <row r="76" spans="1:3" x14ac:dyDescent="0.3">
      <c r="A76" s="419">
        <f>Sheet1!A42</f>
        <v>242</v>
      </c>
      <c r="B76" s="420">
        <f>Sheet1!B42</f>
        <v>27.29</v>
      </c>
      <c r="C76" s="421">
        <v>1</v>
      </c>
    </row>
    <row r="77" spans="1:3" x14ac:dyDescent="0.3">
      <c r="A77" s="419">
        <f>Sheet1!A43</f>
        <v>243</v>
      </c>
      <c r="B77" s="420">
        <f>Sheet1!B43</f>
        <v>27.439999999999998</v>
      </c>
      <c r="C77" s="421">
        <v>1</v>
      </c>
    </row>
    <row r="78" spans="1:3" x14ac:dyDescent="0.3">
      <c r="A78" s="419">
        <f>Sheet1!A44</f>
        <v>244</v>
      </c>
      <c r="B78" s="420">
        <f>Sheet1!B44</f>
        <v>27.58</v>
      </c>
      <c r="C78" s="421">
        <v>1</v>
      </c>
    </row>
    <row r="79" spans="1:3" x14ac:dyDescent="0.3">
      <c r="A79" s="419">
        <f>Sheet1!A45</f>
        <v>245</v>
      </c>
      <c r="B79" s="420">
        <f>Sheet1!B45</f>
        <v>27.709999999999997</v>
      </c>
      <c r="C79" s="421">
        <v>1</v>
      </c>
    </row>
    <row r="80" spans="1:3" x14ac:dyDescent="0.3">
      <c r="A80" s="419">
        <f>Sheet1!A46</f>
        <v>250</v>
      </c>
      <c r="B80" s="420">
        <f>Sheet1!B46</f>
        <v>31.49</v>
      </c>
      <c r="C80" s="421">
        <v>1</v>
      </c>
    </row>
    <row r="81" spans="1:3" x14ac:dyDescent="0.3">
      <c r="A81" s="419">
        <f>Sheet1!A47</f>
        <v>255</v>
      </c>
      <c r="B81" s="420">
        <f>Sheet1!B47</f>
        <v>31.599999999999998</v>
      </c>
      <c r="C81" s="421">
        <v>1</v>
      </c>
    </row>
    <row r="82" spans="1:3" x14ac:dyDescent="0.3">
      <c r="A82" s="419">
        <f>Sheet1!A48</f>
        <v>260</v>
      </c>
      <c r="B82" s="420">
        <f>Sheet1!B48</f>
        <v>32.25</v>
      </c>
      <c r="C82" s="421">
        <v>1</v>
      </c>
    </row>
    <row r="83" spans="1:3" x14ac:dyDescent="0.3">
      <c r="A83" s="419">
        <f>Sheet1!A49</f>
        <v>265</v>
      </c>
      <c r="B83" s="420">
        <f>Sheet1!B49</f>
        <v>32.36</v>
      </c>
      <c r="C83" s="421">
        <v>1</v>
      </c>
    </row>
    <row r="84" spans="1:3" x14ac:dyDescent="0.3">
      <c r="A84" s="419">
        <f>Sheet1!A50</f>
        <v>270</v>
      </c>
      <c r="B84" s="420">
        <f>Sheet1!B50</f>
        <v>33.01</v>
      </c>
      <c r="C84" s="421">
        <v>1</v>
      </c>
    </row>
    <row r="85" spans="1:3" x14ac:dyDescent="0.3">
      <c r="A85" s="419">
        <f>Sheet1!A51</f>
        <v>275</v>
      </c>
      <c r="B85" s="420">
        <f>Sheet1!B51</f>
        <v>33.08</v>
      </c>
      <c r="C85" s="421">
        <v>1</v>
      </c>
    </row>
    <row r="86" spans="1:3" x14ac:dyDescent="0.3">
      <c r="A86" s="419">
        <f>Sheet1!A52</f>
        <v>280</v>
      </c>
      <c r="B86" s="420">
        <f>Sheet1!B52</f>
        <v>33.129999999999995</v>
      </c>
      <c r="C86" s="421">
        <v>1</v>
      </c>
    </row>
    <row r="87" spans="1:3" x14ac:dyDescent="0.3">
      <c r="A87" s="419">
        <f>Sheet1!A53</f>
        <v>285</v>
      </c>
      <c r="B87" s="420">
        <f>Sheet1!B53</f>
        <v>33.169999999999995</v>
      </c>
      <c r="C87" s="421">
        <v>1</v>
      </c>
    </row>
    <row r="88" spans="1:3" x14ac:dyDescent="0.3">
      <c r="A88" s="419">
        <f>Sheet1!A54</f>
        <v>290</v>
      </c>
      <c r="B88" s="420">
        <f>Sheet1!B54</f>
        <v>33.199999999999996</v>
      </c>
      <c r="C88" s="421">
        <v>1</v>
      </c>
    </row>
    <row r="89" spans="1:3" x14ac:dyDescent="0.3">
      <c r="A89" s="419">
        <f>Sheet1!A55</f>
        <v>295</v>
      </c>
      <c r="B89" s="420">
        <f>Sheet1!B55</f>
        <v>33.22</v>
      </c>
      <c r="C89" s="421">
        <v>1</v>
      </c>
    </row>
    <row r="90" spans="1:3" x14ac:dyDescent="0.3">
      <c r="A90" s="419">
        <f>Sheet1!A56</f>
        <v>300</v>
      </c>
      <c r="B90" s="420">
        <f>Sheet1!B56</f>
        <v>33.770000000000003</v>
      </c>
      <c r="C90" s="421">
        <v>1</v>
      </c>
    </row>
    <row r="91" spans="1:3" x14ac:dyDescent="0.3">
      <c r="A91" s="419">
        <f>Sheet1!A57</f>
        <v>315</v>
      </c>
      <c r="B91" s="420">
        <f>Sheet1!B57</f>
        <v>33.85</v>
      </c>
      <c r="C91" s="421">
        <v>1</v>
      </c>
    </row>
    <row r="92" spans="1:3" x14ac:dyDescent="0.3">
      <c r="A92" s="419">
        <f>Sheet1!A58</f>
        <v>330</v>
      </c>
      <c r="B92" s="420">
        <f>Sheet1!B58</f>
        <v>33.910000000000004</v>
      </c>
      <c r="C92" s="421">
        <v>1</v>
      </c>
    </row>
    <row r="93" spans="1:3" x14ac:dyDescent="0.3">
      <c r="A93" s="419">
        <f>Sheet1!A59</f>
        <v>345</v>
      </c>
      <c r="B93" s="420">
        <f>Sheet1!B59</f>
        <v>33.96</v>
      </c>
      <c r="C93" s="421">
        <v>1</v>
      </c>
    </row>
    <row r="94" spans="1:3" x14ac:dyDescent="0.3">
      <c r="A94" s="419">
        <f>Sheet1!A60</f>
        <v>360</v>
      </c>
      <c r="B94" s="420">
        <f>Sheet1!B60</f>
        <v>34.53</v>
      </c>
      <c r="C94" s="421">
        <v>1</v>
      </c>
    </row>
    <row r="95" spans="1:3" x14ac:dyDescent="0.3">
      <c r="A95" s="419">
        <f>Sheet1!A61</f>
        <v>361</v>
      </c>
      <c r="B95" s="420">
        <f>Sheet1!B61</f>
        <v>34.72</v>
      </c>
      <c r="C95" s="421">
        <v>1</v>
      </c>
    </row>
    <row r="96" spans="1:3" x14ac:dyDescent="0.3">
      <c r="A96" s="419">
        <f>Sheet1!A62</f>
        <v>362</v>
      </c>
      <c r="B96" s="420">
        <f>Sheet1!B62</f>
        <v>34.89</v>
      </c>
      <c r="C96" s="421">
        <v>1</v>
      </c>
    </row>
    <row r="97" spans="1:3" x14ac:dyDescent="0.3">
      <c r="A97" s="419">
        <f>Sheet1!A63</f>
        <v>363</v>
      </c>
      <c r="B97" s="420">
        <f>Sheet1!B63</f>
        <v>35.049999999999997</v>
      </c>
      <c r="C97" s="421">
        <v>1</v>
      </c>
    </row>
    <row r="98" spans="1:3" x14ac:dyDescent="0.3">
      <c r="A98" s="419">
        <f>Sheet1!A64</f>
        <v>364</v>
      </c>
      <c r="B98" s="420">
        <f>Sheet1!B64</f>
        <v>35.199999999999996</v>
      </c>
      <c r="C98" s="421">
        <v>1</v>
      </c>
    </row>
    <row r="99" spans="1:3" x14ac:dyDescent="0.3">
      <c r="A99" s="419">
        <f>Sheet1!A65</f>
        <v>365</v>
      </c>
      <c r="B99" s="420">
        <f>Sheet1!B65</f>
        <v>35.339999999999996</v>
      </c>
      <c r="C99" s="421">
        <v>1</v>
      </c>
    </row>
    <row r="100" spans="1:3" x14ac:dyDescent="0.3">
      <c r="A100" s="419">
        <f>Sheet1!A66</f>
        <v>370</v>
      </c>
      <c r="B100" s="420">
        <f>Sheet1!B66</f>
        <v>39.6</v>
      </c>
      <c r="C100" s="421">
        <v>1</v>
      </c>
    </row>
    <row r="101" spans="1:3" x14ac:dyDescent="0.3">
      <c r="A101" s="419">
        <f>Sheet1!A67</f>
        <v>375</v>
      </c>
      <c r="B101" s="420">
        <f>Sheet1!B67</f>
        <v>39.72</v>
      </c>
      <c r="C101" s="421">
        <v>1</v>
      </c>
    </row>
    <row r="102" spans="1:3" x14ac:dyDescent="0.3">
      <c r="A102" s="419">
        <f>Sheet1!A68</f>
        <v>380</v>
      </c>
      <c r="B102" s="420">
        <f>Sheet1!B68</f>
        <v>40.44</v>
      </c>
      <c r="C102" s="421">
        <v>1</v>
      </c>
    </row>
    <row r="103" spans="1:3" x14ac:dyDescent="0.3">
      <c r="A103" s="419">
        <f>Sheet1!A69</f>
        <v>385</v>
      </c>
      <c r="B103" s="420">
        <f>Sheet1!B69</f>
        <v>40.559999999999995</v>
      </c>
      <c r="C103" s="421">
        <v>1</v>
      </c>
    </row>
    <row r="104" spans="1:3" x14ac:dyDescent="0.3">
      <c r="A104" s="419">
        <f>Sheet1!A70</f>
        <v>390</v>
      </c>
      <c r="B104" s="420">
        <f>Sheet1!B70</f>
        <v>41.29</v>
      </c>
      <c r="C104" s="421">
        <v>1</v>
      </c>
    </row>
    <row r="105" spans="1:3" x14ac:dyDescent="0.3">
      <c r="A105" s="419">
        <f>Sheet1!A71</f>
        <v>395</v>
      </c>
      <c r="B105" s="420">
        <f>Sheet1!B71</f>
        <v>41.36</v>
      </c>
      <c r="C105" s="421">
        <v>1</v>
      </c>
    </row>
    <row r="106" spans="1:3" x14ac:dyDescent="0.3">
      <c r="A106" s="419">
        <f>Sheet1!A72</f>
        <v>400</v>
      </c>
      <c r="B106" s="420">
        <f>Sheet1!B72</f>
        <v>41.41</v>
      </c>
      <c r="C106" s="421">
        <v>1</v>
      </c>
    </row>
    <row r="107" spans="1:3" x14ac:dyDescent="0.3">
      <c r="A107" s="419">
        <f>Sheet1!A73</f>
        <v>405</v>
      </c>
      <c r="B107" s="420">
        <f>Sheet1!B73</f>
        <v>41.449999999999996</v>
      </c>
      <c r="C107" s="421">
        <v>1</v>
      </c>
    </row>
    <row r="108" spans="1:3" x14ac:dyDescent="0.3">
      <c r="A108" s="419">
        <f>Sheet1!A74</f>
        <v>410</v>
      </c>
      <c r="B108" s="420">
        <f>Sheet1!B74</f>
        <v>41.48</v>
      </c>
      <c r="C108" s="421">
        <v>1</v>
      </c>
    </row>
    <row r="109" spans="1:3" x14ac:dyDescent="0.3">
      <c r="A109" s="419">
        <f>Sheet1!A75</f>
        <v>415</v>
      </c>
      <c r="B109" s="420">
        <f>Sheet1!B75</f>
        <v>41.51</v>
      </c>
      <c r="C109" s="421">
        <v>1</v>
      </c>
    </row>
    <row r="110" spans="1:3" x14ac:dyDescent="0.3">
      <c r="A110" s="419">
        <f>Sheet1!A76</f>
        <v>420</v>
      </c>
      <c r="B110" s="420">
        <f>Sheet1!B76</f>
        <v>42.13</v>
      </c>
      <c r="C110" s="421">
        <v>1</v>
      </c>
    </row>
    <row r="111" spans="1:3" x14ac:dyDescent="0.3">
      <c r="A111" s="419">
        <f>Sheet1!A77</f>
        <v>435</v>
      </c>
      <c r="B111" s="420">
        <f>Sheet1!B77</f>
        <v>42.220000000000006</v>
      </c>
      <c r="C111" s="421">
        <v>1</v>
      </c>
    </row>
    <row r="112" spans="1:3" x14ac:dyDescent="0.3">
      <c r="A112" s="419">
        <f>Sheet1!A78</f>
        <v>450</v>
      </c>
      <c r="B112" s="420">
        <f>Sheet1!B78</f>
        <v>42.290000000000006</v>
      </c>
      <c r="C112" s="421">
        <v>1</v>
      </c>
    </row>
    <row r="113" spans="1:3" x14ac:dyDescent="0.3">
      <c r="A113" s="419">
        <f>Sheet1!A79</f>
        <v>465</v>
      </c>
      <c r="B113" s="420">
        <f>Sheet1!B79</f>
        <v>42.34</v>
      </c>
      <c r="C113" s="421">
        <v>1</v>
      </c>
    </row>
    <row r="114" spans="1:3" x14ac:dyDescent="0.3">
      <c r="A114" s="419">
        <f>Sheet1!A80</f>
        <v>480</v>
      </c>
      <c r="B114" s="420">
        <f>Sheet1!B80</f>
        <v>42.98</v>
      </c>
      <c r="C114" s="421">
        <v>1</v>
      </c>
    </row>
    <row r="115" spans="1:3" x14ac:dyDescent="0.3">
      <c r="A115" s="419">
        <f>Sheet1!A81</f>
        <v>481</v>
      </c>
      <c r="B115" s="420">
        <f>Sheet1!B81</f>
        <v>43.19</v>
      </c>
      <c r="C115" s="421">
        <v>1</v>
      </c>
    </row>
    <row r="116" spans="1:3" x14ac:dyDescent="0.3">
      <c r="A116" s="419">
        <f>Sheet1!A82</f>
        <v>482</v>
      </c>
      <c r="B116" s="420">
        <f>Sheet1!B82</f>
        <v>43.379999999999995</v>
      </c>
      <c r="C116" s="421">
        <v>1</v>
      </c>
    </row>
    <row r="117" spans="1:3" x14ac:dyDescent="0.3">
      <c r="A117" s="419">
        <f>Sheet1!A83</f>
        <v>483</v>
      </c>
      <c r="B117" s="420">
        <f>Sheet1!B83</f>
        <v>43.55</v>
      </c>
      <c r="C117" s="421">
        <v>1</v>
      </c>
    </row>
    <row r="118" spans="1:3" x14ac:dyDescent="0.3">
      <c r="A118" s="419">
        <f>Sheet1!A84</f>
        <v>484</v>
      </c>
      <c r="B118" s="420">
        <f>Sheet1!B84</f>
        <v>43.709999999999994</v>
      </c>
      <c r="C118" s="421">
        <v>1</v>
      </c>
    </row>
    <row r="119" spans="1:3" x14ac:dyDescent="0.3">
      <c r="A119" s="419">
        <f>Sheet1!A85</f>
        <v>485</v>
      </c>
      <c r="B119" s="420">
        <f>Sheet1!B85</f>
        <v>43.849999999999994</v>
      </c>
      <c r="C119" s="421">
        <v>1</v>
      </c>
    </row>
    <row r="120" spans="1:3" x14ac:dyDescent="0.3">
      <c r="A120" s="419">
        <f>Sheet1!A86</f>
        <v>490</v>
      </c>
      <c r="B120" s="420">
        <f>Sheet1!B86</f>
        <v>48.13</v>
      </c>
      <c r="C120" s="421">
        <v>1</v>
      </c>
    </row>
    <row r="121" spans="1:3" x14ac:dyDescent="0.3">
      <c r="A121" s="419">
        <f>Sheet1!A87</f>
        <v>495</v>
      </c>
      <c r="B121" s="420">
        <f>Sheet1!B87</f>
        <v>48.440000000000005</v>
      </c>
      <c r="C121" s="421">
        <v>1</v>
      </c>
    </row>
    <row r="122" spans="1:3" x14ac:dyDescent="0.3">
      <c r="A122" s="419">
        <f>Sheet1!A88</f>
        <v>500</v>
      </c>
      <c r="B122" s="420">
        <f>Sheet1!B88</f>
        <v>50.06</v>
      </c>
      <c r="C122" s="421">
        <v>1</v>
      </c>
    </row>
    <row r="123" spans="1:3" x14ac:dyDescent="0.3">
      <c r="A123" s="419">
        <f>Sheet1!A89</f>
        <v>505</v>
      </c>
      <c r="B123" s="420">
        <f>Sheet1!B89</f>
        <v>50.36</v>
      </c>
      <c r="C123" s="421">
        <v>1</v>
      </c>
    </row>
    <row r="124" spans="1:3" x14ac:dyDescent="0.3">
      <c r="A124" s="419">
        <f>Sheet1!A90</f>
        <v>510</v>
      </c>
      <c r="B124" s="420">
        <f>Sheet1!B90</f>
        <v>52</v>
      </c>
      <c r="C124" s="421">
        <v>1</v>
      </c>
    </row>
    <row r="125" spans="1:3" x14ac:dyDescent="0.3">
      <c r="A125" s="419">
        <f>Sheet1!A91</f>
        <v>515</v>
      </c>
      <c r="B125" s="420">
        <f>Sheet1!B91</f>
        <v>52.15</v>
      </c>
      <c r="C125" s="421">
        <v>1</v>
      </c>
    </row>
    <row r="126" spans="1:3" x14ac:dyDescent="0.3">
      <c r="A126" s="419">
        <f>Sheet1!A92</f>
        <v>520</v>
      </c>
      <c r="B126" s="420">
        <f>Sheet1!B92</f>
        <v>52.28</v>
      </c>
      <c r="C126" s="421">
        <v>1</v>
      </c>
    </row>
    <row r="127" spans="1:3" x14ac:dyDescent="0.3">
      <c r="A127" s="419">
        <f>Sheet1!A93</f>
        <v>525</v>
      </c>
      <c r="B127" s="420">
        <f>Sheet1!B93</f>
        <v>52.39</v>
      </c>
      <c r="C127" s="421">
        <v>1</v>
      </c>
    </row>
    <row r="128" spans="1:3" x14ac:dyDescent="0.3">
      <c r="A128" s="419">
        <f>Sheet1!A94</f>
        <v>530</v>
      </c>
      <c r="B128" s="420">
        <f>Sheet1!B94</f>
        <v>52.47</v>
      </c>
      <c r="C128" s="421">
        <v>1</v>
      </c>
    </row>
    <row r="129" spans="1:3" x14ac:dyDescent="0.3">
      <c r="A129" s="419">
        <f>Sheet1!A95</f>
        <v>535</v>
      </c>
      <c r="B129" s="420">
        <f>Sheet1!B95</f>
        <v>52.54</v>
      </c>
      <c r="C129" s="421">
        <v>1</v>
      </c>
    </row>
    <row r="130" spans="1:3" x14ac:dyDescent="0.3">
      <c r="A130" s="419">
        <f>Sheet1!A96</f>
        <v>540</v>
      </c>
      <c r="B130" s="420">
        <f>Sheet1!B96</f>
        <v>53.93</v>
      </c>
      <c r="C130" s="421">
        <v>1</v>
      </c>
    </row>
    <row r="131" spans="1:3" x14ac:dyDescent="0.3">
      <c r="A131" s="419">
        <f>Sheet1!A97</f>
        <v>555</v>
      </c>
      <c r="B131" s="420">
        <f>Sheet1!B97</f>
        <v>54.12</v>
      </c>
      <c r="C131" s="421">
        <v>1</v>
      </c>
    </row>
    <row r="132" spans="1:3" x14ac:dyDescent="0.3">
      <c r="A132" s="419">
        <f>Sheet1!A98</f>
        <v>570</v>
      </c>
      <c r="B132" s="420">
        <f>Sheet1!B98</f>
        <v>54.279999999999994</v>
      </c>
      <c r="C132" s="421">
        <v>1</v>
      </c>
    </row>
    <row r="133" spans="1:3" x14ac:dyDescent="0.3">
      <c r="A133" s="419">
        <f>Sheet1!A99</f>
        <v>585</v>
      </c>
      <c r="B133" s="420">
        <f>Sheet1!B99</f>
        <v>54.419999999999995</v>
      </c>
      <c r="C133" s="421">
        <v>1</v>
      </c>
    </row>
    <row r="134" spans="1:3" x14ac:dyDescent="0.3">
      <c r="A134" s="419">
        <f>Sheet1!A100</f>
        <v>600</v>
      </c>
      <c r="B134" s="420">
        <f>Sheet1!B100</f>
        <v>55.87</v>
      </c>
      <c r="C134" s="421">
        <v>1</v>
      </c>
    </row>
    <row r="135" spans="1:3" x14ac:dyDescent="0.3">
      <c r="A135" s="419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19"/>
    <col min="2" max="3" width="8.88671875" style="420"/>
    <col min="4" max="16384" width="8.88671875" style="419"/>
  </cols>
  <sheetData>
    <row r="1" spans="1:2" x14ac:dyDescent="0.3">
      <c r="B1" s="419"/>
    </row>
    <row r="2" spans="1:2" x14ac:dyDescent="0.3">
      <c r="A2" s="419" t="s">
        <v>98</v>
      </c>
      <c r="B2" s="419"/>
    </row>
    <row r="3" spans="1:2" x14ac:dyDescent="0.3">
      <c r="A3" s="419">
        <v>2</v>
      </c>
      <c r="B3" s="419"/>
    </row>
    <row r="4" spans="1:2" x14ac:dyDescent="0.3">
      <c r="A4" s="419">
        <v>1</v>
      </c>
      <c r="B4" s="419"/>
    </row>
    <row r="5" spans="1:2" x14ac:dyDescent="0.3">
      <c r="A5" s="419">
        <v>6</v>
      </c>
      <c r="B5" s="419"/>
    </row>
    <row r="6" spans="1:2" x14ac:dyDescent="0.3">
      <c r="A6" s="419" t="s">
        <v>99</v>
      </c>
      <c r="B6" s="419"/>
    </row>
    <row r="7" spans="1:2" x14ac:dyDescent="0.3">
      <c r="A7" s="419">
        <f>Step.Select!A7</f>
        <v>126</v>
      </c>
      <c r="B7" s="419"/>
    </row>
    <row r="8" spans="1:2" x14ac:dyDescent="0.3">
      <c r="A8" s="419" t="s">
        <v>100</v>
      </c>
      <c r="B8" s="419"/>
    </row>
    <row r="9" spans="1:2" x14ac:dyDescent="0.3">
      <c r="A9" s="419">
        <v>1</v>
      </c>
      <c r="B9" s="419"/>
    </row>
    <row r="10" spans="1:2" x14ac:dyDescent="0.3">
      <c r="A10" s="419" t="s">
        <v>101</v>
      </c>
      <c r="B10" s="419"/>
    </row>
    <row r="11" spans="1:2" x14ac:dyDescent="0.3">
      <c r="A11" s="419">
        <v>1</v>
      </c>
      <c r="B11" s="419"/>
    </row>
    <row r="12" spans="1:2" x14ac:dyDescent="0.3">
      <c r="A12" s="419" t="s">
        <v>102</v>
      </c>
      <c r="B12" s="419"/>
    </row>
    <row r="13" spans="1:2" x14ac:dyDescent="0.3">
      <c r="A13" s="419">
        <v>1</v>
      </c>
      <c r="B13" s="419"/>
    </row>
    <row r="14" spans="1:2" x14ac:dyDescent="0.3">
      <c r="A14" s="419" t="s">
        <v>103</v>
      </c>
      <c r="B14" s="419"/>
    </row>
    <row r="15" spans="1:2" x14ac:dyDescent="0.3">
      <c r="A15" s="419" t="str">
        <f>입력표!I54</f>
        <v>W-1</v>
      </c>
      <c r="B15" s="419"/>
    </row>
    <row r="16" spans="1:2" x14ac:dyDescent="0.3">
      <c r="A16" s="419">
        <v>0</v>
      </c>
      <c r="B16" s="419"/>
    </row>
    <row r="17" spans="1:3" x14ac:dyDescent="0.3">
      <c r="A17" s="419">
        <v>0</v>
      </c>
      <c r="B17" s="419"/>
    </row>
    <row r="18" spans="1:3" x14ac:dyDescent="0.3">
      <c r="A18" s="419">
        <f>Step.Select!A18</f>
        <v>0.125</v>
      </c>
      <c r="B18" s="419"/>
    </row>
    <row r="19" spans="1:3" x14ac:dyDescent="0.3">
      <c r="A19" s="419">
        <f>Step.Select!A19</f>
        <v>0.125</v>
      </c>
      <c r="B19" s="419"/>
    </row>
    <row r="20" spans="1:3" x14ac:dyDescent="0.3">
      <c r="A20" s="419">
        <v>0</v>
      </c>
      <c r="B20" s="419"/>
    </row>
    <row r="21" spans="1:3" x14ac:dyDescent="0.3">
      <c r="A21" s="419">
        <v>0</v>
      </c>
      <c r="B21" s="419"/>
    </row>
    <row r="22" spans="1:3" x14ac:dyDescent="0.3">
      <c r="A22" s="419">
        <v>1</v>
      </c>
      <c r="B22" s="419"/>
    </row>
    <row r="23" spans="1:3" x14ac:dyDescent="0.3">
      <c r="A23" s="419">
        <v>1</v>
      </c>
      <c r="B23" s="419"/>
    </row>
    <row r="24" spans="1:3" x14ac:dyDescent="0.3">
      <c r="A24" s="421">
        <v>0</v>
      </c>
      <c r="B24" s="421">
        <f>입력표!M51</f>
        <v>210</v>
      </c>
    </row>
    <row r="25" spans="1:3" x14ac:dyDescent="0.3">
      <c r="A25" s="419" t="s">
        <v>104</v>
      </c>
      <c r="B25" s="419"/>
    </row>
    <row r="26" spans="1:3" x14ac:dyDescent="0.3">
      <c r="A26" s="419" t="str">
        <f>A15</f>
        <v>W-1</v>
      </c>
      <c r="B26" s="419"/>
    </row>
    <row r="27" spans="1:3" x14ac:dyDescent="0.3">
      <c r="A27" s="422">
        <f>스킨팩터!C8</f>
        <v>2.0739999999999998</v>
      </c>
      <c r="B27" s="419"/>
    </row>
    <row r="28" spans="1:3" x14ac:dyDescent="0.3">
      <c r="A28" s="419">
        <v>0</v>
      </c>
      <c r="B28" s="419"/>
    </row>
    <row r="29" spans="1:3" x14ac:dyDescent="0.3">
      <c r="A29" s="419">
        <v>0</v>
      </c>
      <c r="B29" s="419"/>
    </row>
    <row r="30" spans="1:3" x14ac:dyDescent="0.3">
      <c r="A30" s="421">
        <f>SUM(C31:C98)</f>
        <v>68</v>
      </c>
      <c r="B30" s="419"/>
    </row>
    <row r="31" spans="1:3" x14ac:dyDescent="0.3">
      <c r="A31" s="419">
        <f>장기양수시험!D10</f>
        <v>1</v>
      </c>
      <c r="B31" s="423">
        <f>장기양수시험!G10</f>
        <v>3.8560672276215606</v>
      </c>
      <c r="C31" s="421">
        <v>1</v>
      </c>
    </row>
    <row r="32" spans="1:3" x14ac:dyDescent="0.3">
      <c r="A32" s="419">
        <f>장기양수시험!D11</f>
        <v>2</v>
      </c>
      <c r="B32" s="423">
        <f>장기양수시험!G11</f>
        <v>7.5121344552431211</v>
      </c>
      <c r="C32" s="421">
        <v>1</v>
      </c>
    </row>
    <row r="33" spans="1:3" x14ac:dyDescent="0.3">
      <c r="A33" s="419">
        <f>장기양수시험!D12</f>
        <v>3</v>
      </c>
      <c r="B33" s="423">
        <f>장기양수시험!G12</f>
        <v>10.164840066117115</v>
      </c>
      <c r="C33" s="421">
        <v>1</v>
      </c>
    </row>
    <row r="34" spans="1:3" x14ac:dyDescent="0.3">
      <c r="A34" s="419">
        <f>장기양수시험!D13</f>
        <v>4</v>
      </c>
      <c r="B34" s="423">
        <f>장기양수시험!G13</f>
        <v>12.046964649663572</v>
      </c>
      <c r="C34" s="421">
        <v>1</v>
      </c>
    </row>
    <row r="35" spans="1:3" x14ac:dyDescent="0.3">
      <c r="A35" s="419">
        <f>장기양수시험!D14</f>
        <v>5</v>
      </c>
      <c r="B35" s="423">
        <f>장기양수시험!G14</f>
        <v>13.506853894791028</v>
      </c>
      <c r="C35" s="421">
        <v>1</v>
      </c>
    </row>
    <row r="36" spans="1:3" x14ac:dyDescent="0.3">
      <c r="A36" s="419">
        <f>장기양수시험!D15</f>
        <v>10</v>
      </c>
      <c r="B36" s="423">
        <f>장기양수시험!G15</f>
        <v>18.041684089211479</v>
      </c>
      <c r="C36" s="421">
        <v>1</v>
      </c>
    </row>
    <row r="37" spans="1:3" x14ac:dyDescent="0.3">
      <c r="A37" s="419">
        <f>장기양수시험!D16</f>
        <v>15</v>
      </c>
      <c r="B37" s="423">
        <f>장기양수시험!G16</f>
        <v>20.694389700085473</v>
      </c>
      <c r="C37" s="421">
        <v>1</v>
      </c>
    </row>
    <row r="38" spans="1:3" x14ac:dyDescent="0.3">
      <c r="A38" s="419">
        <f>장기양수시험!D17</f>
        <v>20</v>
      </c>
      <c r="B38" s="423">
        <f>장기양수시험!G17</f>
        <v>22.57651428363193</v>
      </c>
      <c r="C38" s="421">
        <v>1</v>
      </c>
    </row>
    <row r="39" spans="1:3" x14ac:dyDescent="0.3">
      <c r="A39" s="419">
        <f>장기양수시험!D18</f>
        <v>25</v>
      </c>
      <c r="B39" s="423">
        <f>장기양수시험!G18</f>
        <v>24.036403528759394</v>
      </c>
      <c r="C39" s="421">
        <v>1</v>
      </c>
    </row>
    <row r="40" spans="1:3" x14ac:dyDescent="0.3">
      <c r="A40" s="419">
        <f>장기양수시험!D19</f>
        <v>30</v>
      </c>
      <c r="B40" s="423">
        <f>장기양수시험!G19</f>
        <v>25.229219894505924</v>
      </c>
      <c r="C40" s="421">
        <v>1</v>
      </c>
    </row>
    <row r="41" spans="1:3" x14ac:dyDescent="0.3">
      <c r="A41" s="419">
        <f>장기양수시험!D20</f>
        <v>35</v>
      </c>
      <c r="B41" s="423">
        <f>장기양수시험!G20</f>
        <v>26.237731761792716</v>
      </c>
      <c r="C41" s="421">
        <v>1</v>
      </c>
    </row>
    <row r="42" spans="1:3" x14ac:dyDescent="0.3">
      <c r="A42" s="419">
        <f>장기양수시험!D21</f>
        <v>40</v>
      </c>
      <c r="B42" s="423">
        <f>장기양수시험!G21</f>
        <v>27.111344478052374</v>
      </c>
      <c r="C42" s="421">
        <v>1</v>
      </c>
    </row>
    <row r="43" spans="1:3" x14ac:dyDescent="0.3">
      <c r="A43" s="419">
        <f>장기양수시험!D22</f>
        <v>45</v>
      </c>
      <c r="B43" s="423">
        <f>장기양수시험!G22</f>
        <v>27.881925505379918</v>
      </c>
      <c r="C43" s="421">
        <v>1</v>
      </c>
    </row>
    <row r="44" spans="1:3" x14ac:dyDescent="0.3">
      <c r="A44" s="419">
        <f>장기양수시험!D23</f>
        <v>50</v>
      </c>
      <c r="B44" s="423">
        <f>장기양수시험!G23</f>
        <v>28.571233723179837</v>
      </c>
      <c r="C44" s="421">
        <v>1</v>
      </c>
    </row>
    <row r="45" spans="1:3" x14ac:dyDescent="0.3">
      <c r="A45" s="419">
        <f>장기양수시험!D24</f>
        <v>55</v>
      </c>
      <c r="B45" s="423">
        <f>장기양수시험!G24</f>
        <v>29.145708854520262</v>
      </c>
      <c r="C45" s="421">
        <v>1</v>
      </c>
    </row>
    <row r="46" spans="1:3" x14ac:dyDescent="0.3">
      <c r="A46" s="419">
        <f>장기양수시험!D25</f>
        <v>60</v>
      </c>
      <c r="B46" s="423">
        <f>장기양수시험!G25</f>
        <v>29.764050088926375</v>
      </c>
      <c r="C46" s="421">
        <v>1</v>
      </c>
    </row>
    <row r="47" spans="1:3" x14ac:dyDescent="0.3">
      <c r="A47" s="419">
        <f>장기양수시험!D26</f>
        <v>75</v>
      </c>
      <c r="B47" s="423">
        <f>장기양수시험!G26</f>
        <v>31.223939334053831</v>
      </c>
      <c r="C47" s="421">
        <v>1</v>
      </c>
    </row>
    <row r="48" spans="1:3" x14ac:dyDescent="0.3">
      <c r="A48" s="419">
        <f>장기양수시험!D27</f>
        <v>90</v>
      </c>
      <c r="B48" s="423">
        <f>장기양수시험!G27</f>
        <v>32.416755699800369</v>
      </c>
      <c r="C48" s="421">
        <v>1</v>
      </c>
    </row>
    <row r="49" spans="1:3" x14ac:dyDescent="0.3">
      <c r="A49" s="419">
        <f>장기양수시험!D28</f>
        <v>105</v>
      </c>
      <c r="B49" s="423">
        <f>장기양수시험!G28</f>
        <v>33.425267567087168</v>
      </c>
      <c r="C49" s="421">
        <v>1</v>
      </c>
    </row>
    <row r="50" spans="1:3" x14ac:dyDescent="0.3">
      <c r="A50" s="419">
        <f>장기양수시험!D29</f>
        <v>120</v>
      </c>
      <c r="B50" s="423">
        <f>장기양수시험!G29</f>
        <v>34.298880283346826</v>
      </c>
      <c r="C50" s="421">
        <v>1</v>
      </c>
    </row>
    <row r="51" spans="1:3" x14ac:dyDescent="0.3">
      <c r="A51" s="419">
        <f>장기양수시험!D30</f>
        <v>140</v>
      </c>
      <c r="B51" s="423">
        <f>장기양수시험!G30</f>
        <v>35.307392150633611</v>
      </c>
      <c r="C51" s="421">
        <v>1</v>
      </c>
    </row>
    <row r="52" spans="1:3" x14ac:dyDescent="0.3">
      <c r="A52" s="419">
        <f>장기양수시험!D31</f>
        <v>160</v>
      </c>
      <c r="B52" s="423">
        <f>장기양수시험!G31</f>
        <v>36.181004866893282</v>
      </c>
      <c r="C52" s="421">
        <v>1</v>
      </c>
    </row>
    <row r="53" spans="1:3" x14ac:dyDescent="0.3">
      <c r="A53" s="419">
        <f>장기양수시험!D32</f>
        <v>180</v>
      </c>
      <c r="B53" s="423">
        <f>장기양수시험!G32</f>
        <v>36.95158589422082</v>
      </c>
      <c r="C53" s="421">
        <v>1</v>
      </c>
    </row>
    <row r="54" spans="1:3" x14ac:dyDescent="0.3">
      <c r="A54" s="419">
        <f>장기양수시험!D33</f>
        <v>240</v>
      </c>
      <c r="B54" s="423">
        <f>장기양수시험!G33</f>
        <v>38.833710477767276</v>
      </c>
      <c r="C54" s="421">
        <v>1</v>
      </c>
    </row>
    <row r="55" spans="1:3" x14ac:dyDescent="0.3">
      <c r="A55" s="419">
        <f>장기양수시험!D34</f>
        <v>300</v>
      </c>
      <c r="B55" s="423">
        <f>장기양수시험!G34</f>
        <v>40.293599722894733</v>
      </c>
      <c r="C55" s="421">
        <v>1</v>
      </c>
    </row>
    <row r="56" spans="1:3" x14ac:dyDescent="0.3">
      <c r="A56" s="419">
        <f>장기양수시험!D35</f>
        <v>360</v>
      </c>
      <c r="B56" s="423">
        <f>장기양수시험!G35</f>
        <v>41.486416088641271</v>
      </c>
      <c r="C56" s="421">
        <v>1</v>
      </c>
    </row>
    <row r="57" spans="1:3" x14ac:dyDescent="0.3">
      <c r="A57" s="419">
        <f>장기양수시험!D36</f>
        <v>420</v>
      </c>
      <c r="B57" s="423">
        <f>장기양수시험!G36</f>
        <v>42.494927955928055</v>
      </c>
      <c r="C57" s="421">
        <v>1</v>
      </c>
    </row>
    <row r="58" spans="1:3" x14ac:dyDescent="0.3">
      <c r="A58" s="419">
        <f>장기양수시험!D37</f>
        <v>480</v>
      </c>
      <c r="B58" s="423">
        <f>장기양수시험!G37</f>
        <v>43.368540672187713</v>
      </c>
      <c r="C58" s="421">
        <v>1</v>
      </c>
    </row>
    <row r="59" spans="1:3" x14ac:dyDescent="0.3">
      <c r="A59" s="419">
        <f>장기양수시험!D38</f>
        <v>540</v>
      </c>
      <c r="B59" s="423">
        <f>장기양수시험!G38</f>
        <v>44.13912169951525</v>
      </c>
      <c r="C59" s="421">
        <v>1</v>
      </c>
    </row>
    <row r="60" spans="1:3" x14ac:dyDescent="0.3">
      <c r="A60" s="419">
        <f>장기양수시험!D39</f>
        <v>600</v>
      </c>
      <c r="B60" s="423">
        <f>장기양수시험!G39</f>
        <v>44.828429917315184</v>
      </c>
      <c r="C60" s="421">
        <v>1</v>
      </c>
    </row>
    <row r="61" spans="1:3" x14ac:dyDescent="0.3">
      <c r="A61" s="419">
        <f>장기양수시험!D40</f>
        <v>660</v>
      </c>
      <c r="B61" s="423">
        <f>장기양수시험!G40</f>
        <v>45.451985048655594</v>
      </c>
      <c r="C61" s="421">
        <v>1</v>
      </c>
    </row>
    <row r="62" spans="1:3" x14ac:dyDescent="0.3">
      <c r="A62" s="419">
        <f>장기양수시험!D41</f>
        <v>720</v>
      </c>
      <c r="B62" s="423">
        <f>장기양수시험!G41</f>
        <v>46.021246283061707</v>
      </c>
      <c r="C62" s="421">
        <v>1</v>
      </c>
    </row>
    <row r="63" spans="1:3" x14ac:dyDescent="0.3">
      <c r="A63" s="419">
        <f>장기양수시험!D42</f>
        <v>780</v>
      </c>
      <c r="B63" s="423">
        <f>장기양수시험!G42</f>
        <v>46.544915855385291</v>
      </c>
      <c r="C63" s="421">
        <v>1</v>
      </c>
    </row>
    <row r="64" spans="1:3" x14ac:dyDescent="0.3">
      <c r="A64" s="419">
        <f>장기양수시험!D43</f>
        <v>840</v>
      </c>
      <c r="B64" s="423">
        <f>장기양수시험!G43</f>
        <v>47.029758150348506</v>
      </c>
      <c r="C64" s="421">
        <v>1</v>
      </c>
    </row>
    <row r="65" spans="1:3" x14ac:dyDescent="0.3">
      <c r="A65" s="419">
        <f>장기양수시험!D44</f>
        <v>900</v>
      </c>
      <c r="B65" s="423">
        <f>장기양수시험!G44</f>
        <v>47.481135528189178</v>
      </c>
      <c r="C65" s="421">
        <v>1</v>
      </c>
    </row>
    <row r="66" spans="1:3" x14ac:dyDescent="0.3">
      <c r="A66" s="419">
        <f>장기양수시험!D45</f>
        <v>960</v>
      </c>
      <c r="B66" s="423">
        <f>장기양수시험!G45</f>
        <v>47.903370866608164</v>
      </c>
      <c r="C66" s="421">
        <v>1</v>
      </c>
    </row>
    <row r="67" spans="1:3" x14ac:dyDescent="0.3">
      <c r="A67" s="419">
        <f>장기양수시험!D46</f>
        <v>1020</v>
      </c>
      <c r="B67" s="423">
        <f>장기양수시험!G46</f>
        <v>48.300000000000004</v>
      </c>
      <c r="C67" s="421">
        <v>1</v>
      </c>
    </row>
    <row r="68" spans="1:3" x14ac:dyDescent="0.3">
      <c r="A68" s="419">
        <f>장기양수시험!D47</f>
        <v>1080</v>
      </c>
      <c r="B68" s="423">
        <f>장기양수시험!G47</f>
        <v>48.300000000000004</v>
      </c>
      <c r="C68" s="421">
        <v>1</v>
      </c>
    </row>
    <row r="69" spans="1:3" x14ac:dyDescent="0.3">
      <c r="A69" s="419">
        <f>장기양수시험!D48</f>
        <v>1140</v>
      </c>
      <c r="B69" s="423">
        <f>장기양수시험!G48</f>
        <v>48.300000000000004</v>
      </c>
      <c r="C69" s="421">
        <v>1</v>
      </c>
    </row>
    <row r="70" spans="1:3" x14ac:dyDescent="0.3">
      <c r="A70" s="419">
        <f>장기양수시험!D49</f>
        <v>1200</v>
      </c>
      <c r="B70" s="423">
        <f>장기양수시험!G49</f>
        <v>48.300000000000004</v>
      </c>
      <c r="C70" s="421">
        <v>1</v>
      </c>
    </row>
    <row r="71" spans="1:3" x14ac:dyDescent="0.3">
      <c r="A71" s="419">
        <f>장기양수시험!D50</f>
        <v>1260</v>
      </c>
      <c r="B71" s="423">
        <f>장기양수시험!G50</f>
        <v>48.300000000000004</v>
      </c>
      <c r="C71" s="421">
        <v>1</v>
      </c>
    </row>
    <row r="72" spans="1:3" x14ac:dyDescent="0.3">
      <c r="A72" s="419">
        <f>장기양수시험!D51</f>
        <v>1320</v>
      </c>
      <c r="B72" s="423">
        <f>장기양수시험!G51</f>
        <v>48.300000000000004</v>
      </c>
      <c r="C72" s="421">
        <v>1</v>
      </c>
    </row>
    <row r="73" spans="1:3" x14ac:dyDescent="0.3">
      <c r="A73" s="419">
        <f>장기양수시험!D52</f>
        <v>1380</v>
      </c>
      <c r="B73" s="423">
        <f>장기양수시험!G52</f>
        <v>48.300000000000004</v>
      </c>
      <c r="C73" s="421">
        <v>1</v>
      </c>
    </row>
    <row r="74" spans="1:3" x14ac:dyDescent="0.3">
      <c r="A74" s="419">
        <f>장기양수시험!D53</f>
        <v>1440</v>
      </c>
      <c r="B74" s="423">
        <f>장기양수시험!G53</f>
        <v>48.300000000000004</v>
      </c>
      <c r="C74" s="421">
        <v>1</v>
      </c>
    </row>
    <row r="75" spans="1:3" x14ac:dyDescent="0.3">
      <c r="A75" s="419">
        <f>장기양수시험!D54</f>
        <v>1500</v>
      </c>
      <c r="B75" s="423">
        <f>장기양수시험!G54</f>
        <v>48.300000000000004</v>
      </c>
      <c r="C75" s="421">
        <v>1</v>
      </c>
    </row>
    <row r="76" spans="1:3" x14ac:dyDescent="0.3">
      <c r="A76" s="419">
        <f>장기양수시험!D55</f>
        <v>1560</v>
      </c>
      <c r="B76" s="423">
        <f>장기양수시험!G55</f>
        <v>48.300000000000004</v>
      </c>
      <c r="C76" s="421">
        <v>1</v>
      </c>
    </row>
    <row r="77" spans="1:3" x14ac:dyDescent="0.3">
      <c r="A77" s="419">
        <f>장기양수시험!D56</f>
        <v>1620</v>
      </c>
      <c r="B77" s="423">
        <f>장기양수시험!G56</f>
        <v>48.300000000000004</v>
      </c>
      <c r="C77" s="421">
        <v>1</v>
      </c>
    </row>
    <row r="78" spans="1:3" x14ac:dyDescent="0.3">
      <c r="A78" s="419">
        <f>장기양수시험!D57</f>
        <v>1680</v>
      </c>
      <c r="B78" s="423">
        <f>장기양수시험!G57</f>
        <v>48.300000000000004</v>
      </c>
      <c r="C78" s="421">
        <v>1</v>
      </c>
    </row>
    <row r="79" spans="1:3" x14ac:dyDescent="0.3">
      <c r="A79" s="419">
        <f>장기양수시험!D58</f>
        <v>1740</v>
      </c>
      <c r="B79" s="423">
        <f>장기양수시험!G58</f>
        <v>48.300000000000004</v>
      </c>
      <c r="C79" s="421">
        <v>1</v>
      </c>
    </row>
    <row r="80" spans="1:3" x14ac:dyDescent="0.3">
      <c r="A80" s="419">
        <f>장기양수시험!D59</f>
        <v>1800</v>
      </c>
      <c r="B80" s="423">
        <f>장기양수시험!G59</f>
        <v>48.300000000000004</v>
      </c>
      <c r="C80" s="421">
        <v>1</v>
      </c>
    </row>
    <row r="81" spans="1:3" x14ac:dyDescent="0.3">
      <c r="A81" s="419">
        <f>장기양수시험!D60</f>
        <v>1860</v>
      </c>
      <c r="B81" s="423">
        <f>장기양수시험!G60</f>
        <v>48.300000000000004</v>
      </c>
      <c r="C81" s="421">
        <v>1</v>
      </c>
    </row>
    <row r="82" spans="1:3" x14ac:dyDescent="0.3">
      <c r="A82" s="419">
        <f>장기양수시험!D61</f>
        <v>1920</v>
      </c>
      <c r="B82" s="423">
        <f>장기양수시험!G61</f>
        <v>48.300000000000004</v>
      </c>
      <c r="C82" s="421">
        <v>1</v>
      </c>
    </row>
    <row r="83" spans="1:3" x14ac:dyDescent="0.3">
      <c r="A83" s="419">
        <f>장기양수시험!D62</f>
        <v>1980</v>
      </c>
      <c r="B83" s="423">
        <f>장기양수시험!G62</f>
        <v>48.300000000000004</v>
      </c>
      <c r="C83" s="421">
        <v>1</v>
      </c>
    </row>
    <row r="84" spans="1:3" x14ac:dyDescent="0.3">
      <c r="A84" s="419">
        <f>장기양수시험!D63</f>
        <v>2040</v>
      </c>
      <c r="B84" s="423">
        <f>장기양수시험!G63</f>
        <v>48.300000000000004</v>
      </c>
      <c r="C84" s="421">
        <v>1</v>
      </c>
    </row>
    <row r="85" spans="1:3" x14ac:dyDescent="0.3">
      <c r="A85" s="419">
        <f>장기양수시험!D64</f>
        <v>2100</v>
      </c>
      <c r="B85" s="423">
        <f>장기양수시험!G64</f>
        <v>48.300000000000004</v>
      </c>
      <c r="C85" s="421">
        <v>1</v>
      </c>
    </row>
    <row r="86" spans="1:3" x14ac:dyDescent="0.3">
      <c r="A86" s="419">
        <f>장기양수시험!D65</f>
        <v>2160</v>
      </c>
      <c r="B86" s="423">
        <f>장기양수시험!G65</f>
        <v>48.300000000000004</v>
      </c>
      <c r="C86" s="421">
        <v>1</v>
      </c>
    </row>
    <row r="87" spans="1:3" x14ac:dyDescent="0.3">
      <c r="A87" s="419">
        <f>장기양수시험!D66</f>
        <v>2220</v>
      </c>
      <c r="B87" s="423">
        <f>장기양수시험!G66</f>
        <v>48.300000000000004</v>
      </c>
      <c r="C87" s="421">
        <v>1</v>
      </c>
    </row>
    <row r="88" spans="1:3" x14ac:dyDescent="0.3">
      <c r="A88" s="419">
        <f>장기양수시험!D67</f>
        <v>2280</v>
      </c>
      <c r="B88" s="423">
        <f>장기양수시험!G67</f>
        <v>48.300000000000004</v>
      </c>
      <c r="C88" s="421">
        <v>1</v>
      </c>
    </row>
    <row r="89" spans="1:3" x14ac:dyDescent="0.3">
      <c r="A89" s="419">
        <f>장기양수시험!D68</f>
        <v>2340</v>
      </c>
      <c r="B89" s="423">
        <f>장기양수시험!G68</f>
        <v>48.300000000000004</v>
      </c>
      <c r="C89" s="421">
        <v>1</v>
      </c>
    </row>
    <row r="90" spans="1:3" x14ac:dyDescent="0.3">
      <c r="A90" s="419">
        <f>장기양수시험!D69</f>
        <v>2400</v>
      </c>
      <c r="B90" s="423">
        <f>장기양수시험!G69</f>
        <v>48.300000000000004</v>
      </c>
      <c r="C90" s="421">
        <v>1</v>
      </c>
    </row>
    <row r="91" spans="1:3" x14ac:dyDescent="0.3">
      <c r="A91" s="419">
        <f>장기양수시험!D70</f>
        <v>2460</v>
      </c>
      <c r="B91" s="423">
        <f>장기양수시험!G70</f>
        <v>48.300000000000004</v>
      </c>
      <c r="C91" s="421">
        <v>1</v>
      </c>
    </row>
    <row r="92" spans="1:3" x14ac:dyDescent="0.3">
      <c r="A92" s="419">
        <f>장기양수시험!D71</f>
        <v>2520</v>
      </c>
      <c r="B92" s="423">
        <f>장기양수시험!G71</f>
        <v>48.300000000000004</v>
      </c>
      <c r="C92" s="421">
        <v>1</v>
      </c>
    </row>
    <row r="93" spans="1:3" x14ac:dyDescent="0.3">
      <c r="A93" s="419">
        <f>장기양수시험!D72</f>
        <v>2580</v>
      </c>
      <c r="B93" s="423">
        <f>장기양수시험!G72</f>
        <v>48.300000000000004</v>
      </c>
      <c r="C93" s="421">
        <v>1</v>
      </c>
    </row>
    <row r="94" spans="1:3" x14ac:dyDescent="0.3">
      <c r="A94" s="419">
        <f>장기양수시험!D73</f>
        <v>2640</v>
      </c>
      <c r="B94" s="423">
        <f>장기양수시험!G73</f>
        <v>48.300000000000004</v>
      </c>
      <c r="C94" s="421">
        <v>1</v>
      </c>
    </row>
    <row r="95" spans="1:3" x14ac:dyDescent="0.3">
      <c r="A95" s="419">
        <f>장기양수시험!D74</f>
        <v>2700</v>
      </c>
      <c r="B95" s="423">
        <f>장기양수시험!G74</f>
        <v>48.300000000000004</v>
      </c>
      <c r="C95" s="421">
        <v>1</v>
      </c>
    </row>
    <row r="96" spans="1:3" x14ac:dyDescent="0.3">
      <c r="A96" s="419">
        <f>장기양수시험!D75</f>
        <v>2760</v>
      </c>
      <c r="B96" s="423">
        <f>장기양수시험!G75</f>
        <v>48.300000000000004</v>
      </c>
      <c r="C96" s="421">
        <v>1</v>
      </c>
    </row>
    <row r="97" spans="1:3" x14ac:dyDescent="0.3">
      <c r="A97" s="419">
        <f>장기양수시험!D76</f>
        <v>2820</v>
      </c>
      <c r="B97" s="423">
        <f>장기양수시험!G76</f>
        <v>48.300000000000004</v>
      </c>
      <c r="C97" s="421">
        <v>1</v>
      </c>
    </row>
    <row r="98" spans="1:3" x14ac:dyDescent="0.3">
      <c r="A98" s="419">
        <f>장기양수시험!D77</f>
        <v>2880</v>
      </c>
      <c r="B98" s="423">
        <f>장기양수시험!G77</f>
        <v>48.300000000000004</v>
      </c>
      <c r="C98" s="421">
        <v>1</v>
      </c>
    </row>
    <row r="99" spans="1:3" x14ac:dyDescent="0.3">
      <c r="A99" s="419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19"/>
    <col min="2" max="3" width="8.88671875" style="420"/>
    <col min="4" max="16384" width="8.88671875" style="419"/>
  </cols>
  <sheetData>
    <row r="1" spans="1:2" x14ac:dyDescent="0.3">
      <c r="B1" s="419"/>
    </row>
    <row r="2" spans="1:2" x14ac:dyDescent="0.3">
      <c r="A2" s="419" t="s">
        <v>98</v>
      </c>
      <c r="B2" s="419"/>
    </row>
    <row r="3" spans="1:2" x14ac:dyDescent="0.3">
      <c r="A3" s="419">
        <v>2</v>
      </c>
      <c r="B3" s="419"/>
    </row>
    <row r="4" spans="1:2" x14ac:dyDescent="0.3">
      <c r="A4" s="419">
        <v>1</v>
      </c>
      <c r="B4" s="419"/>
    </row>
    <row r="5" spans="1:2" x14ac:dyDescent="0.3">
      <c r="A5" s="419">
        <v>6</v>
      </c>
      <c r="B5" s="419"/>
    </row>
    <row r="6" spans="1:2" x14ac:dyDescent="0.3">
      <c r="A6" s="419" t="s">
        <v>99</v>
      </c>
      <c r="B6" s="419"/>
    </row>
    <row r="7" spans="1:2" x14ac:dyDescent="0.3">
      <c r="A7" s="419">
        <f>Step.Select!A7</f>
        <v>126</v>
      </c>
      <c r="B7" s="419"/>
    </row>
    <row r="8" spans="1:2" x14ac:dyDescent="0.3">
      <c r="A8" s="419" t="s">
        <v>100</v>
      </c>
      <c r="B8" s="419"/>
    </row>
    <row r="9" spans="1:2" x14ac:dyDescent="0.3">
      <c r="A9" s="419">
        <v>1</v>
      </c>
      <c r="B9" s="419"/>
    </row>
    <row r="10" spans="1:2" x14ac:dyDescent="0.3">
      <c r="A10" s="419" t="s">
        <v>101</v>
      </c>
      <c r="B10" s="419"/>
    </row>
    <row r="11" spans="1:2" x14ac:dyDescent="0.3">
      <c r="A11" s="419">
        <v>1</v>
      </c>
      <c r="B11" s="419"/>
    </row>
    <row r="12" spans="1:2" x14ac:dyDescent="0.3">
      <c r="A12" s="419" t="s">
        <v>102</v>
      </c>
      <c r="B12" s="419"/>
    </row>
    <row r="13" spans="1:2" x14ac:dyDescent="0.3">
      <c r="A13" s="419">
        <v>1</v>
      </c>
      <c r="B13" s="419"/>
    </row>
    <row r="14" spans="1:2" x14ac:dyDescent="0.3">
      <c r="A14" s="419" t="s">
        <v>103</v>
      </c>
      <c r="B14" s="419"/>
    </row>
    <row r="15" spans="1:2" x14ac:dyDescent="0.3">
      <c r="A15" s="419" t="str">
        <f>입력표!I54</f>
        <v>W-1</v>
      </c>
      <c r="B15" s="419"/>
    </row>
    <row r="16" spans="1:2" x14ac:dyDescent="0.3">
      <c r="A16" s="419">
        <v>0</v>
      </c>
      <c r="B16" s="419"/>
    </row>
    <row r="17" spans="1:3" x14ac:dyDescent="0.3">
      <c r="A17" s="419">
        <v>0</v>
      </c>
      <c r="B17" s="419"/>
    </row>
    <row r="18" spans="1:3" x14ac:dyDescent="0.3">
      <c r="A18" s="419">
        <f>Step.Select!A18</f>
        <v>0.125</v>
      </c>
      <c r="B18" s="419"/>
    </row>
    <row r="19" spans="1:3" x14ac:dyDescent="0.3">
      <c r="A19" s="419">
        <f>Step.Select!A19</f>
        <v>0.125</v>
      </c>
      <c r="B19" s="419"/>
    </row>
    <row r="20" spans="1:3" x14ac:dyDescent="0.3">
      <c r="A20" s="419">
        <v>0</v>
      </c>
      <c r="B20" s="419"/>
    </row>
    <row r="21" spans="1:3" x14ac:dyDescent="0.3">
      <c r="A21" s="419">
        <v>0</v>
      </c>
      <c r="B21" s="419"/>
    </row>
    <row r="22" spans="1:3" x14ac:dyDescent="0.3">
      <c r="A22" s="419">
        <v>1</v>
      </c>
      <c r="B22" s="419"/>
    </row>
    <row r="23" spans="1:3" x14ac:dyDescent="0.3">
      <c r="A23" s="419">
        <v>2</v>
      </c>
      <c r="B23" s="419"/>
    </row>
    <row r="24" spans="1:3" x14ac:dyDescent="0.3">
      <c r="A24" s="421">
        <v>0</v>
      </c>
      <c r="B24" s="421">
        <f>입력표!M51</f>
        <v>210</v>
      </c>
    </row>
    <row r="25" spans="1:3" x14ac:dyDescent="0.3">
      <c r="A25" s="421">
        <v>2880</v>
      </c>
      <c r="B25" s="421">
        <v>0</v>
      </c>
    </row>
    <row r="26" spans="1:3" x14ac:dyDescent="0.3">
      <c r="A26" s="419" t="s">
        <v>104</v>
      </c>
      <c r="B26" s="419"/>
    </row>
    <row r="27" spans="1:3" x14ac:dyDescent="0.3">
      <c r="A27" s="419" t="str">
        <f>A15</f>
        <v>W-1</v>
      </c>
      <c r="B27" s="419"/>
    </row>
    <row r="28" spans="1:3" x14ac:dyDescent="0.3">
      <c r="A28" s="422">
        <f>스킨팩터!C8</f>
        <v>2.0739999999999998</v>
      </c>
      <c r="B28" s="419"/>
    </row>
    <row r="29" spans="1:3" x14ac:dyDescent="0.3">
      <c r="A29" s="419">
        <v>0</v>
      </c>
      <c r="B29" s="419"/>
    </row>
    <row r="30" spans="1:3" x14ac:dyDescent="0.3">
      <c r="A30" s="419">
        <v>0</v>
      </c>
      <c r="B30" s="419"/>
    </row>
    <row r="31" spans="1:3" x14ac:dyDescent="0.3">
      <c r="A31" s="421">
        <f>SUM(C32:C56)</f>
        <v>25</v>
      </c>
      <c r="B31" s="419"/>
    </row>
    <row r="32" spans="1:3" x14ac:dyDescent="0.3">
      <c r="A32" s="419">
        <f>장기양수시험!D77</f>
        <v>2880</v>
      </c>
      <c r="B32" s="420">
        <f>장기양수시험!G77</f>
        <v>48.300000000000004</v>
      </c>
      <c r="C32" s="421">
        <v>1</v>
      </c>
    </row>
    <row r="33" spans="1:3" x14ac:dyDescent="0.3">
      <c r="A33" s="419">
        <f>$A$32+장기양수시험!D78</f>
        <v>2881</v>
      </c>
      <c r="B33" s="420">
        <f>장기양수시험!G78</f>
        <v>28.066905503401149</v>
      </c>
      <c r="C33" s="421">
        <v>1</v>
      </c>
    </row>
    <row r="34" spans="1:3" x14ac:dyDescent="0.3">
      <c r="A34" s="419">
        <f>$A$32+장기양수시험!D79</f>
        <v>2882</v>
      </c>
      <c r="B34" s="420">
        <f>장기양수시험!G79</f>
        <v>24.984813876195229</v>
      </c>
      <c r="C34" s="421">
        <v>1</v>
      </c>
    </row>
    <row r="35" spans="1:3" x14ac:dyDescent="0.3">
      <c r="A35" s="419">
        <f>$A$32+장기양수시험!D80</f>
        <v>2883</v>
      </c>
      <c r="B35" s="420">
        <f>장기양수시험!G80</f>
        <v>22.241173839149194</v>
      </c>
      <c r="C35" s="421">
        <v>1</v>
      </c>
    </row>
    <row r="36" spans="1:3" x14ac:dyDescent="0.3">
      <c r="A36" s="419">
        <f>$A$32+장기양수시험!D81</f>
        <v>2884</v>
      </c>
      <c r="B36" s="420">
        <f>장기양수시험!G81</f>
        <v>19.798819242538389</v>
      </c>
      <c r="C36" s="421">
        <v>1</v>
      </c>
    </row>
    <row r="37" spans="1:3" x14ac:dyDescent="0.3">
      <c r="A37" s="419">
        <f>$A$32+장기양수시험!D82</f>
        <v>2885</v>
      </c>
      <c r="B37" s="420">
        <f>장기양수시험!G82</f>
        <v>17.624665237259951</v>
      </c>
      <c r="C37" s="421">
        <v>1</v>
      </c>
    </row>
    <row r="38" spans="1:3" x14ac:dyDescent="0.3">
      <c r="A38" s="419">
        <f>$A$32+장기양수시험!D83</f>
        <v>2890</v>
      </c>
      <c r="B38" s="420">
        <f>장기양수시험!G83</f>
        <v>12.432705173018602</v>
      </c>
      <c r="C38" s="421">
        <v>1</v>
      </c>
    </row>
    <row r="39" spans="1:3" x14ac:dyDescent="0.3">
      <c r="A39" s="419">
        <f>$A$32+장기양수시험!D84</f>
        <v>2895</v>
      </c>
      <c r="B39" s="420">
        <f>장기양수시험!G84</f>
        <v>11.505001837665526</v>
      </c>
      <c r="C39" s="421">
        <v>1</v>
      </c>
    </row>
    <row r="40" spans="1:3" x14ac:dyDescent="0.3">
      <c r="A40" s="419">
        <f>$A$32+장기양수시험!D85</f>
        <v>2900</v>
      </c>
      <c r="B40" s="420">
        <f>장기양수시험!G85</f>
        <v>9.1169561197347448</v>
      </c>
      <c r="C40" s="421">
        <v>1</v>
      </c>
    </row>
    <row r="41" spans="1:3" x14ac:dyDescent="0.3">
      <c r="A41" s="419">
        <f>$A$32+장기양수시험!D86</f>
        <v>2905</v>
      </c>
      <c r="B41" s="420">
        <f>장기양수시험!G86</f>
        <v>8.1158021407600032</v>
      </c>
      <c r="C41" s="421">
        <v>1</v>
      </c>
    </row>
    <row r="42" spans="1:3" x14ac:dyDescent="0.3">
      <c r="A42" s="419">
        <f>$A$32+장기양수시험!D87</f>
        <v>2910</v>
      </c>
      <c r="B42" s="420">
        <f>장기양수시험!G87</f>
        <v>7.2245871892910909</v>
      </c>
      <c r="C42" s="421">
        <v>1</v>
      </c>
    </row>
    <row r="43" spans="1:3" x14ac:dyDescent="0.3">
      <c r="A43" s="419">
        <f>$A$32+장기양수시험!D88</f>
        <v>2915</v>
      </c>
      <c r="B43" s="420">
        <f>장기양수시험!G88</f>
        <v>6.9498201415576215</v>
      </c>
      <c r="C43" s="421">
        <v>1</v>
      </c>
    </row>
    <row r="44" spans="1:3" x14ac:dyDescent="0.3">
      <c r="A44" s="419">
        <f>$A$32+장기양수시험!D89</f>
        <v>2920</v>
      </c>
      <c r="B44" s="420">
        <f>장기양수시험!G89</f>
        <v>6.6855030930479264</v>
      </c>
      <c r="C44" s="421">
        <v>1</v>
      </c>
    </row>
    <row r="45" spans="1:3" x14ac:dyDescent="0.3">
      <c r="A45" s="419">
        <f>$A$32+장기양수시험!D90</f>
        <v>2925</v>
      </c>
      <c r="B45" s="420">
        <f>장기양수시험!G90</f>
        <v>6.4312386071527827</v>
      </c>
      <c r="C45" s="421">
        <v>1</v>
      </c>
    </row>
    <row r="46" spans="1:3" x14ac:dyDescent="0.3">
      <c r="A46" s="419">
        <f>$A$32+장기양수시험!D91</f>
        <v>2930</v>
      </c>
      <c r="B46" s="420">
        <f>장기양수시험!G91</f>
        <v>6.1866443626572334</v>
      </c>
      <c r="C46" s="421">
        <v>1</v>
      </c>
    </row>
    <row r="47" spans="1:3" x14ac:dyDescent="0.3">
      <c r="A47" s="419">
        <f>$A$32+장기양수시험!D92</f>
        <v>2935</v>
      </c>
      <c r="B47" s="420">
        <f>장기양수시험!G92</f>
        <v>5.9513525788686827</v>
      </c>
      <c r="C47" s="421">
        <v>1</v>
      </c>
    </row>
    <row r="48" spans="1:3" x14ac:dyDescent="0.3">
      <c r="A48" s="419">
        <f>$A$32+장기양수시험!D93</f>
        <v>2940</v>
      </c>
      <c r="B48" s="420">
        <f>장기양수시험!G93</f>
        <v>5.7250094626086145</v>
      </c>
      <c r="C48" s="421">
        <v>1</v>
      </c>
    </row>
    <row r="49" spans="1:3" x14ac:dyDescent="0.3">
      <c r="A49" s="419">
        <f>$A$32+장기양수시험!D94</f>
        <v>2955</v>
      </c>
      <c r="B49" s="420">
        <f>장기양수시험!G94</f>
        <v>5.5072746762364826</v>
      </c>
      <c r="C49" s="421">
        <v>1</v>
      </c>
    </row>
    <row r="50" spans="1:3" x14ac:dyDescent="0.3">
      <c r="A50" s="419">
        <f>$A$32+장기양수시험!D95</f>
        <v>2970</v>
      </c>
      <c r="B50" s="420">
        <f>장기양수시험!G95</f>
        <v>5.2978208259057942</v>
      </c>
      <c r="C50" s="421">
        <v>1</v>
      </c>
    </row>
    <row r="51" spans="1:3" x14ac:dyDescent="0.3">
      <c r="A51" s="419">
        <f>$A$32+장기양수시험!D96</f>
        <v>2985</v>
      </c>
      <c r="B51" s="420">
        <f>장기양수시험!G96</f>
        <v>5.0963329692829635</v>
      </c>
      <c r="C51" s="421">
        <v>1</v>
      </c>
    </row>
    <row r="52" spans="1:3" x14ac:dyDescent="0.3">
      <c r="A52" s="419">
        <f>$A$32+장기양수시험!D97</f>
        <v>3000</v>
      </c>
      <c r="B52" s="420">
        <f>장기양수시험!G97</f>
        <v>4.5366928916770783</v>
      </c>
      <c r="C52" s="421">
        <v>1</v>
      </c>
    </row>
    <row r="53" spans="1:3" x14ac:dyDescent="0.3">
      <c r="A53" s="419">
        <f>$A$32+장기양수시험!D98</f>
        <v>3060</v>
      </c>
      <c r="B53" s="420">
        <f>장기양수시험!G98</f>
        <v>4.3641524157081211</v>
      </c>
      <c r="C53" s="421">
        <v>1</v>
      </c>
    </row>
    <row r="54" spans="1:3" x14ac:dyDescent="0.3">
      <c r="A54" s="419">
        <f>$A$32+장기양수시험!D99</f>
        <v>3120</v>
      </c>
      <c r="B54" s="420">
        <f>장기양수시험!G99</f>
        <v>3.4583033219157344</v>
      </c>
      <c r="C54" s="421">
        <v>1</v>
      </c>
    </row>
    <row r="55" spans="1:3" x14ac:dyDescent="0.3">
      <c r="A55" s="419">
        <f>$A$32+장기양수시험!D100</f>
        <v>3180</v>
      </c>
      <c r="B55" s="420">
        <f>장기양수시험!G100</f>
        <v>2.7404775835338961</v>
      </c>
      <c r="C55" s="421">
        <v>1</v>
      </c>
    </row>
    <row r="56" spans="1:3" x14ac:dyDescent="0.3">
      <c r="A56" s="419">
        <f>$A$32+장기양수시험!D101</f>
        <v>3240</v>
      </c>
      <c r="B56" s="420">
        <f>장기양수시험!G101</f>
        <v>2.1716479691814539</v>
      </c>
      <c r="C56" s="421">
        <v>1</v>
      </c>
    </row>
    <row r="57" spans="1:3" x14ac:dyDescent="0.3">
      <c r="A57" s="419" t="s">
        <v>179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66764-66B4-4384-A8F1-88B6F0753F6E}">
  <sheetPr codeName="shLongTermTest1"/>
  <dimension ref="A1:I587"/>
  <sheetViews>
    <sheetView showGridLines="0" tabSelected="1" zoomScaleNormal="100" workbookViewId="0">
      <selection activeCell="L19" sqref="L19"/>
    </sheetView>
  </sheetViews>
  <sheetFormatPr defaultRowHeight="12" x14ac:dyDescent="0.15"/>
  <cols>
    <col min="1" max="1" width="11.88671875" style="4" customWidth="1"/>
    <col min="2" max="2" width="10.5546875" style="4" customWidth="1"/>
    <col min="3" max="3" width="10.33203125" style="4" customWidth="1"/>
    <col min="4" max="4" width="0.109375" style="4" customWidth="1"/>
    <col min="5" max="5" width="10.77734375" style="4" customWidth="1"/>
    <col min="6" max="6" width="11.77734375" style="4" customWidth="1"/>
    <col min="7" max="8" width="8.109375" style="593" customWidth="1"/>
    <col min="9" max="9" width="7.33203125" style="594" customWidth="1"/>
    <col min="10" max="16384" width="8.88671875" style="4"/>
  </cols>
  <sheetData>
    <row r="1" spans="1:9" s="3" customFormat="1" ht="31.5" customHeight="1" x14ac:dyDescent="0.15">
      <c r="A1" s="554" t="s">
        <v>190</v>
      </c>
      <c r="B1" s="555"/>
      <c r="C1" s="555"/>
      <c r="D1" s="555"/>
      <c r="E1" s="555"/>
      <c r="F1" s="555"/>
      <c r="G1" s="582"/>
      <c r="H1" s="582"/>
      <c r="I1" s="582"/>
    </row>
    <row r="2" spans="1:9" s="3" customFormat="1" ht="21.6" customHeight="1" x14ac:dyDescent="0.15">
      <c r="A2" s="556" t="s">
        <v>290</v>
      </c>
      <c r="B2" s="557" t="s">
        <v>291</v>
      </c>
      <c r="C2" s="558"/>
      <c r="D2" s="558"/>
      <c r="E2" s="558"/>
      <c r="F2" s="558"/>
      <c r="G2" s="583"/>
      <c r="H2" s="583"/>
      <c r="I2" s="584"/>
    </row>
    <row r="3" spans="1:9" s="3" customFormat="1" ht="21.6" customHeight="1" x14ac:dyDescent="0.15">
      <c r="A3" s="556" t="s">
        <v>292</v>
      </c>
      <c r="B3" s="557" t="s">
        <v>293</v>
      </c>
      <c r="C3" s="558"/>
      <c r="D3" s="558"/>
      <c r="E3" s="559"/>
      <c r="F3" s="558"/>
      <c r="G3" s="585" t="s">
        <v>286</v>
      </c>
      <c r="H3" s="585"/>
      <c r="I3" s="586"/>
    </row>
    <row r="4" spans="1:9" s="3" customFormat="1" ht="21.6" customHeight="1" x14ac:dyDescent="0.15">
      <c r="A4" s="556" t="s">
        <v>294</v>
      </c>
      <c r="B4" s="557" t="s">
        <v>295</v>
      </c>
      <c r="C4" s="560"/>
      <c r="D4" s="560"/>
      <c r="E4" s="558"/>
      <c r="F4" s="558"/>
      <c r="G4" s="583"/>
      <c r="H4" s="583"/>
      <c r="I4" s="584"/>
    </row>
    <row r="5" spans="1:9" s="3" customFormat="1" ht="21.6" customHeight="1" x14ac:dyDescent="0.15">
      <c r="A5" s="556" t="s">
        <v>296</v>
      </c>
      <c r="B5" s="561" t="s">
        <v>297</v>
      </c>
      <c r="C5" s="562"/>
      <c r="D5" s="558"/>
      <c r="E5" s="563" t="s">
        <v>4</v>
      </c>
      <c r="F5" s="564">
        <v>0</v>
      </c>
      <c r="G5" s="587"/>
      <c r="H5" s="587"/>
      <c r="I5" s="587"/>
    </row>
    <row r="6" spans="1:9" s="3" customFormat="1" ht="21.6" customHeight="1" x14ac:dyDescent="0.15">
      <c r="A6" s="556" t="s">
        <v>5</v>
      </c>
      <c r="B6" s="565">
        <v>7.5</v>
      </c>
      <c r="C6" s="565"/>
      <c r="D6" s="566"/>
      <c r="E6" s="563" t="s">
        <v>6</v>
      </c>
      <c r="F6" s="564" t="s">
        <v>298</v>
      </c>
      <c r="G6" s="587"/>
      <c r="H6" s="587"/>
      <c r="I6" s="587"/>
    </row>
    <row r="7" spans="1:9" s="3" customFormat="1" ht="21.6" customHeight="1" x14ac:dyDescent="0.15">
      <c r="A7" s="556" t="s">
        <v>7</v>
      </c>
      <c r="B7" s="567" t="s">
        <v>299</v>
      </c>
      <c r="C7" s="568">
        <v>250</v>
      </c>
      <c r="D7" s="569"/>
      <c r="E7" s="570" t="s">
        <v>8</v>
      </c>
      <c r="F7" s="571">
        <v>140</v>
      </c>
      <c r="G7" s="583"/>
      <c r="H7" s="583"/>
      <c r="I7" s="584"/>
    </row>
    <row r="8" spans="1:9" s="3" customFormat="1" ht="21.6" customHeight="1" x14ac:dyDescent="0.15">
      <c r="A8" s="556" t="s">
        <v>4</v>
      </c>
      <c r="B8" s="572" t="s">
        <v>9</v>
      </c>
      <c r="C8" s="573">
        <v>7.3</v>
      </c>
      <c r="D8" s="569"/>
      <c r="E8" s="570" t="s">
        <v>14</v>
      </c>
      <c r="F8" s="574">
        <v>55.6</v>
      </c>
      <c r="G8" s="587">
        <v>210</v>
      </c>
      <c r="H8" s="587"/>
      <c r="I8" s="588"/>
    </row>
    <row r="9" spans="1:9" s="3" customFormat="1" ht="21.6" customHeight="1" x14ac:dyDescent="0.15">
      <c r="A9" s="575" t="s">
        <v>160</v>
      </c>
      <c r="B9" s="572" t="s">
        <v>11</v>
      </c>
      <c r="C9" s="576" t="s">
        <v>161</v>
      </c>
      <c r="D9" s="576"/>
      <c r="E9" s="575" t="s">
        <v>162</v>
      </c>
      <c r="F9" s="575" t="s">
        <v>163</v>
      </c>
      <c r="G9" s="589" t="str">
        <f>'w1'!H13</f>
        <v>온도( ℃ )</v>
      </c>
      <c r="H9" s="589" t="str">
        <f>'w1'!I13</f>
        <v>EC (μs/㎝)</v>
      </c>
      <c r="I9" s="589" t="str">
        <f>'w1'!J13</f>
        <v>pH</v>
      </c>
    </row>
    <row r="10" spans="1:9" s="3" customFormat="1" ht="21" customHeight="1" x14ac:dyDescent="0.15">
      <c r="A10" s="578">
        <v>210</v>
      </c>
      <c r="B10" s="579">
        <v>44299.375</v>
      </c>
      <c r="C10" s="580">
        <v>1</v>
      </c>
      <c r="D10" s="569">
        <v>6.9444444444444447E-4</v>
      </c>
      <c r="E10" s="581">
        <v>11.156067227621561</v>
      </c>
      <c r="F10" s="581">
        <v>3.8560672276215606</v>
      </c>
      <c r="G10" s="590"/>
      <c r="H10" s="590"/>
      <c r="I10" s="590"/>
    </row>
    <row r="11" spans="1:9" s="3" customFormat="1" ht="21" customHeight="1" x14ac:dyDescent="0.15">
      <c r="A11" s="577"/>
      <c r="B11" s="579"/>
      <c r="C11" s="580">
        <v>2</v>
      </c>
      <c r="D11" s="569">
        <v>1.3888888888888889E-3</v>
      </c>
      <c r="E11" s="581">
        <v>14.812134455243122</v>
      </c>
      <c r="F11" s="581">
        <v>7.5121344552431211</v>
      </c>
      <c r="G11" s="590"/>
      <c r="H11" s="590"/>
      <c r="I11" s="590"/>
    </row>
    <row r="12" spans="1:9" s="3" customFormat="1" ht="21" customHeight="1" x14ac:dyDescent="0.15">
      <c r="A12" s="577"/>
      <c r="B12" s="579"/>
      <c r="C12" s="580">
        <v>3</v>
      </c>
      <c r="D12" s="569">
        <v>2.0833333333333333E-3</v>
      </c>
      <c r="E12" s="581">
        <v>17.464840066117116</v>
      </c>
      <c r="F12" s="581">
        <v>10.164840066117115</v>
      </c>
      <c r="G12" s="590"/>
      <c r="H12" s="590"/>
      <c r="I12" s="590"/>
    </row>
    <row r="13" spans="1:9" s="3" customFormat="1" ht="21" customHeight="1" x14ac:dyDescent="0.15">
      <c r="A13" s="577"/>
      <c r="B13" s="579"/>
      <c r="C13" s="580">
        <v>4</v>
      </c>
      <c r="D13" s="569">
        <v>2.7777777777777779E-3</v>
      </c>
      <c r="E13" s="581">
        <v>19.346964649663573</v>
      </c>
      <c r="F13" s="581">
        <v>12.046964649663572</v>
      </c>
      <c r="G13" s="590"/>
      <c r="H13" s="590"/>
      <c r="I13" s="590"/>
    </row>
    <row r="14" spans="1:9" s="3" customFormat="1" ht="21" customHeight="1" x14ac:dyDescent="0.15">
      <c r="A14" s="577"/>
      <c r="B14" s="579"/>
      <c r="C14" s="580">
        <v>5</v>
      </c>
      <c r="D14" s="569">
        <v>3.472222222222222E-3</v>
      </c>
      <c r="E14" s="581">
        <v>20.806853894791029</v>
      </c>
      <c r="F14" s="581">
        <v>13.506853894791028</v>
      </c>
      <c r="G14" s="590">
        <f>'w1'!D14</f>
        <v>14.700000000000001</v>
      </c>
      <c r="H14" s="590">
        <f>'w1'!E14</f>
        <v>227</v>
      </c>
      <c r="I14" s="590">
        <f>'w1'!F14</f>
        <v>6.79</v>
      </c>
    </row>
    <row r="15" spans="1:9" s="3" customFormat="1" ht="21" customHeight="1" x14ac:dyDescent="0.15">
      <c r="A15" s="577"/>
      <c r="B15" s="579"/>
      <c r="C15" s="580">
        <v>10</v>
      </c>
      <c r="D15" s="569">
        <v>6.9444444444444441E-3</v>
      </c>
      <c r="E15" s="581">
        <v>25.34168408921148</v>
      </c>
      <c r="F15" s="581">
        <v>18.041684089211479</v>
      </c>
      <c r="G15" s="590"/>
      <c r="H15" s="590"/>
      <c r="I15" s="590"/>
    </row>
    <row r="16" spans="1:9" s="3" customFormat="1" ht="21" customHeight="1" x14ac:dyDescent="0.15">
      <c r="A16" s="577"/>
      <c r="B16" s="579"/>
      <c r="C16" s="580">
        <v>15</v>
      </c>
      <c r="D16" s="569">
        <v>1.0416666666666666E-2</v>
      </c>
      <c r="E16" s="581">
        <v>27.994389700085474</v>
      </c>
      <c r="F16" s="581">
        <v>20.694389700085473</v>
      </c>
      <c r="G16" s="590"/>
      <c r="H16" s="590"/>
      <c r="I16" s="590"/>
    </row>
    <row r="17" spans="1:9" s="3" customFormat="1" ht="21" customHeight="1" x14ac:dyDescent="0.15">
      <c r="A17" s="577"/>
      <c r="B17" s="579"/>
      <c r="C17" s="580">
        <v>20</v>
      </c>
      <c r="D17" s="569">
        <v>1.3888888888888888E-2</v>
      </c>
      <c r="E17" s="581">
        <v>29.876514283631931</v>
      </c>
      <c r="F17" s="581">
        <v>22.57651428363193</v>
      </c>
      <c r="G17" s="590"/>
      <c r="H17" s="590"/>
      <c r="I17" s="590"/>
    </row>
    <row r="18" spans="1:9" s="3" customFormat="1" ht="21" customHeight="1" x14ac:dyDescent="0.15">
      <c r="A18" s="577"/>
      <c r="B18" s="579"/>
      <c r="C18" s="580">
        <v>25</v>
      </c>
      <c r="D18" s="569">
        <v>1.7361111111111112E-2</v>
      </c>
      <c r="E18" s="581">
        <v>31.336403528759394</v>
      </c>
      <c r="F18" s="581">
        <v>24.036403528759394</v>
      </c>
      <c r="G18" s="590"/>
      <c r="H18" s="590"/>
      <c r="I18" s="590"/>
    </row>
    <row r="19" spans="1:9" s="3" customFormat="1" ht="21" customHeight="1" x14ac:dyDescent="0.15">
      <c r="A19" s="577"/>
      <c r="B19" s="579"/>
      <c r="C19" s="580">
        <v>30</v>
      </c>
      <c r="D19" s="569">
        <v>2.0833333333333332E-2</v>
      </c>
      <c r="E19" s="581">
        <v>32.529219894505921</v>
      </c>
      <c r="F19" s="581">
        <v>25.229219894505924</v>
      </c>
      <c r="G19" s="590">
        <f>'w1'!D15</f>
        <v>14.8</v>
      </c>
      <c r="H19" s="590">
        <f>'w1'!E15</f>
        <v>226</v>
      </c>
      <c r="I19" s="590">
        <f>'w1'!F15</f>
        <v>6.78</v>
      </c>
    </row>
    <row r="20" spans="1:9" s="3" customFormat="1" ht="21" customHeight="1" x14ac:dyDescent="0.15">
      <c r="A20" s="577"/>
      <c r="B20" s="579"/>
      <c r="C20" s="580">
        <v>35</v>
      </c>
      <c r="D20" s="569">
        <v>2.4305555555555556E-2</v>
      </c>
      <c r="E20" s="581">
        <v>33.537731761792713</v>
      </c>
      <c r="F20" s="581">
        <v>26.237731761792716</v>
      </c>
      <c r="G20" s="590"/>
      <c r="H20" s="590"/>
      <c r="I20" s="590"/>
    </row>
    <row r="21" spans="1:9" s="3" customFormat="1" ht="21" customHeight="1" x14ac:dyDescent="0.15">
      <c r="A21" s="577"/>
      <c r="B21" s="579"/>
      <c r="C21" s="580">
        <v>40</v>
      </c>
      <c r="D21" s="569">
        <v>2.7777777777777776E-2</v>
      </c>
      <c r="E21" s="581">
        <v>34.411344478052371</v>
      </c>
      <c r="F21" s="581">
        <v>27.111344478052374</v>
      </c>
      <c r="G21" s="590"/>
      <c r="H21" s="590"/>
      <c r="I21" s="590"/>
    </row>
    <row r="22" spans="1:9" s="3" customFormat="1" ht="21" customHeight="1" x14ac:dyDescent="0.15">
      <c r="A22" s="577"/>
      <c r="B22" s="579"/>
      <c r="C22" s="580">
        <v>45</v>
      </c>
      <c r="D22" s="569">
        <v>3.125E-2</v>
      </c>
      <c r="E22" s="581">
        <v>35.181925505379915</v>
      </c>
      <c r="F22" s="581">
        <v>27.881925505379918</v>
      </c>
      <c r="G22" s="590"/>
      <c r="H22" s="590"/>
      <c r="I22" s="590"/>
    </row>
    <row r="23" spans="1:9" s="3" customFormat="1" ht="21" customHeight="1" x14ac:dyDescent="0.15">
      <c r="A23" s="577"/>
      <c r="B23" s="579"/>
      <c r="C23" s="580">
        <v>50</v>
      </c>
      <c r="D23" s="569">
        <v>3.4722222222222224E-2</v>
      </c>
      <c r="E23" s="581">
        <v>35.871233723179834</v>
      </c>
      <c r="F23" s="581">
        <v>28.571233723179837</v>
      </c>
      <c r="G23" s="590"/>
      <c r="H23" s="590"/>
      <c r="I23" s="590"/>
    </row>
    <row r="24" spans="1:9" s="3" customFormat="1" ht="21" customHeight="1" x14ac:dyDescent="0.15">
      <c r="A24" s="577"/>
      <c r="B24" s="579"/>
      <c r="C24" s="580">
        <v>55</v>
      </c>
      <c r="D24" s="569">
        <v>3.8194444444444448E-2</v>
      </c>
      <c r="E24" s="581">
        <v>36.445708854520262</v>
      </c>
      <c r="F24" s="581">
        <v>29.145708854520262</v>
      </c>
      <c r="G24" s="590"/>
      <c r="H24" s="590"/>
      <c r="I24" s="590"/>
    </row>
    <row r="25" spans="1:9" s="3" customFormat="1" ht="21" customHeight="1" x14ac:dyDescent="0.15">
      <c r="A25" s="577"/>
      <c r="B25" s="579">
        <v>44299.416666666664</v>
      </c>
      <c r="C25" s="580">
        <v>60</v>
      </c>
      <c r="D25" s="569">
        <v>4.1666666666666664E-2</v>
      </c>
      <c r="E25" s="581">
        <v>37.064050088926372</v>
      </c>
      <c r="F25" s="581">
        <v>29.764050088926375</v>
      </c>
      <c r="G25" s="590">
        <f>'w1'!D16</f>
        <v>15.200000000000001</v>
      </c>
      <c r="H25" s="590">
        <f>'w1'!E16</f>
        <v>227</v>
      </c>
      <c r="I25" s="590">
        <f>'w1'!F16</f>
        <v>6.78</v>
      </c>
    </row>
    <row r="26" spans="1:9" s="3" customFormat="1" ht="21" customHeight="1" x14ac:dyDescent="0.15">
      <c r="A26" s="577"/>
      <c r="B26" s="579"/>
      <c r="C26" s="580">
        <v>75</v>
      </c>
      <c r="D26" s="569">
        <v>5.2083333333333336E-2</v>
      </c>
      <c r="E26" s="581">
        <v>38.523939334053829</v>
      </c>
      <c r="F26" s="581">
        <v>31.223939334053831</v>
      </c>
      <c r="G26" s="590"/>
      <c r="H26" s="590"/>
      <c r="I26" s="590"/>
    </row>
    <row r="27" spans="1:9" s="3" customFormat="1" ht="21" customHeight="1" x14ac:dyDescent="0.15">
      <c r="A27" s="577"/>
      <c r="B27" s="579"/>
      <c r="C27" s="580">
        <v>90</v>
      </c>
      <c r="D27" s="569">
        <v>6.25E-2</v>
      </c>
      <c r="E27" s="581">
        <v>39.716755699800366</v>
      </c>
      <c r="F27" s="581">
        <v>32.416755699800369</v>
      </c>
      <c r="G27" s="590"/>
      <c r="H27" s="590"/>
      <c r="I27" s="590"/>
    </row>
    <row r="28" spans="1:9" s="3" customFormat="1" ht="21" customHeight="1" x14ac:dyDescent="0.15">
      <c r="A28" s="577"/>
      <c r="B28" s="579"/>
      <c r="C28" s="580">
        <v>105</v>
      </c>
      <c r="D28" s="569">
        <v>7.2916666666666671E-2</v>
      </c>
      <c r="E28" s="581">
        <v>40.725267567087165</v>
      </c>
      <c r="F28" s="581">
        <v>33.425267567087168</v>
      </c>
      <c r="G28" s="590"/>
      <c r="H28" s="590"/>
      <c r="I28" s="590"/>
    </row>
    <row r="29" spans="1:9" s="3" customFormat="1" ht="21" customHeight="1" x14ac:dyDescent="0.15">
      <c r="A29" s="577"/>
      <c r="B29" s="579"/>
      <c r="C29" s="580">
        <v>120</v>
      </c>
      <c r="D29" s="569">
        <v>8.3333333333333329E-2</v>
      </c>
      <c r="E29" s="581">
        <v>41.598880283346823</v>
      </c>
      <c r="F29" s="581">
        <v>34.298880283346826</v>
      </c>
      <c r="G29" s="590">
        <f>'w1'!D17</f>
        <v>15</v>
      </c>
      <c r="H29" s="590">
        <f>'w1'!E17</f>
        <v>225</v>
      </c>
      <c r="I29" s="590">
        <f>'w1'!F17</f>
        <v>6.78</v>
      </c>
    </row>
    <row r="30" spans="1:9" s="3" customFormat="1" ht="21" customHeight="1" x14ac:dyDescent="0.15">
      <c r="A30" s="577" t="s">
        <v>0</v>
      </c>
      <c r="B30" s="579" t="s">
        <v>0</v>
      </c>
      <c r="C30" s="580">
        <v>140</v>
      </c>
      <c r="D30" s="569">
        <v>9.7222222222222224E-2</v>
      </c>
      <c r="E30" s="581">
        <v>42.607392150633608</v>
      </c>
      <c r="F30" s="581">
        <v>35.307392150633611</v>
      </c>
      <c r="G30" s="590"/>
      <c r="H30" s="590"/>
      <c r="I30" s="590"/>
    </row>
    <row r="31" spans="1:9" s="3" customFormat="1" ht="21" customHeight="1" x14ac:dyDescent="0.15">
      <c r="A31" s="577"/>
      <c r="B31" s="579"/>
      <c r="C31" s="580">
        <v>160</v>
      </c>
      <c r="D31" s="569">
        <v>0.1111111111111111</v>
      </c>
      <c r="E31" s="581">
        <v>43.481004866893279</v>
      </c>
      <c r="F31" s="581">
        <v>36.181004866893282</v>
      </c>
      <c r="G31" s="590"/>
      <c r="H31" s="590"/>
      <c r="I31" s="590"/>
    </row>
    <row r="32" spans="1:9" s="3" customFormat="1" ht="21" customHeight="1" x14ac:dyDescent="0.15">
      <c r="A32" s="577"/>
      <c r="B32" s="579"/>
      <c r="C32" s="580">
        <v>180</v>
      </c>
      <c r="D32" s="569">
        <v>0.125</v>
      </c>
      <c r="E32" s="581">
        <v>44.251585894220817</v>
      </c>
      <c r="F32" s="581">
        <v>36.95158589422082</v>
      </c>
      <c r="G32" s="590"/>
      <c r="H32" s="590"/>
      <c r="I32" s="590"/>
    </row>
    <row r="33" spans="1:9" s="3" customFormat="1" ht="21" customHeight="1" x14ac:dyDescent="0.15">
      <c r="A33" s="577"/>
      <c r="B33" s="579">
        <v>44299.541666666664</v>
      </c>
      <c r="C33" s="580">
        <v>240</v>
      </c>
      <c r="D33" s="569">
        <v>0.16666666666666666</v>
      </c>
      <c r="E33" s="581">
        <v>46.133710477767274</v>
      </c>
      <c r="F33" s="581">
        <v>38.833710477767276</v>
      </c>
      <c r="G33" s="590">
        <f>'w1'!D18</f>
        <v>15.1</v>
      </c>
      <c r="H33" s="590">
        <f>'w1'!E18</f>
        <v>231</v>
      </c>
      <c r="I33" s="590">
        <f>'w1'!F18</f>
        <v>6.82</v>
      </c>
    </row>
    <row r="34" spans="1:9" s="3" customFormat="1" ht="21" customHeight="1" x14ac:dyDescent="0.15">
      <c r="A34" s="577"/>
      <c r="B34" s="579"/>
      <c r="C34" s="580">
        <v>300</v>
      </c>
      <c r="D34" s="569">
        <v>0.20833333333333334</v>
      </c>
      <c r="E34" s="581">
        <v>47.59359972289473</v>
      </c>
      <c r="F34" s="581">
        <v>40.293599722894733</v>
      </c>
      <c r="G34" s="590"/>
      <c r="H34" s="590"/>
      <c r="I34" s="590"/>
    </row>
    <row r="35" spans="1:9" s="3" customFormat="1" ht="21" customHeight="1" x14ac:dyDescent="0.15">
      <c r="A35" s="577" t="s">
        <v>0</v>
      </c>
      <c r="B35" s="579" t="s">
        <v>0</v>
      </c>
      <c r="C35" s="580">
        <v>360</v>
      </c>
      <c r="D35" s="569">
        <v>0.25</v>
      </c>
      <c r="E35" s="581">
        <v>48.786416088641268</v>
      </c>
      <c r="F35" s="581">
        <v>41.486416088641271</v>
      </c>
      <c r="G35" s="590"/>
      <c r="H35" s="590"/>
      <c r="I35" s="590"/>
    </row>
    <row r="36" spans="1:9" s="3" customFormat="1" ht="21" customHeight="1" x14ac:dyDescent="0.15">
      <c r="A36" s="577"/>
      <c r="B36" s="579"/>
      <c r="C36" s="580">
        <v>420</v>
      </c>
      <c r="D36" s="569">
        <v>0.29166666666666669</v>
      </c>
      <c r="E36" s="581">
        <v>49.794927955928053</v>
      </c>
      <c r="F36" s="581">
        <v>42.494927955928055</v>
      </c>
      <c r="G36" s="590"/>
      <c r="H36" s="590"/>
      <c r="I36" s="590"/>
    </row>
    <row r="37" spans="1:9" s="3" customFormat="1" ht="21" customHeight="1" x14ac:dyDescent="0.15">
      <c r="A37" s="577"/>
      <c r="B37" s="579"/>
      <c r="C37" s="580">
        <v>480</v>
      </c>
      <c r="D37" s="569">
        <v>0.33333333333333331</v>
      </c>
      <c r="E37" s="581">
        <v>50.66854067218771</v>
      </c>
      <c r="F37" s="581">
        <v>43.368540672187713</v>
      </c>
      <c r="G37" s="590">
        <f>'w1'!D19</f>
        <v>14.700000000000001</v>
      </c>
      <c r="H37" s="590">
        <f>'w1'!E19</f>
        <v>227</v>
      </c>
      <c r="I37" s="590">
        <f>'w1'!F19</f>
        <v>6.9700000000000006</v>
      </c>
    </row>
    <row r="38" spans="1:9" s="3" customFormat="1" ht="21" customHeight="1" x14ac:dyDescent="0.15">
      <c r="A38" s="577"/>
      <c r="B38" s="579"/>
      <c r="C38" s="580">
        <v>540</v>
      </c>
      <c r="D38" s="569">
        <v>0.375</v>
      </c>
      <c r="E38" s="581">
        <v>51.439121699515248</v>
      </c>
      <c r="F38" s="581">
        <v>44.13912169951525</v>
      </c>
      <c r="G38" s="590"/>
      <c r="H38" s="590"/>
      <c r="I38" s="590"/>
    </row>
    <row r="39" spans="1:9" s="3" customFormat="1" ht="21" customHeight="1" x14ac:dyDescent="0.15">
      <c r="A39" s="577"/>
      <c r="B39" s="579">
        <v>44299.791666666664</v>
      </c>
      <c r="C39" s="580">
        <v>600</v>
      </c>
      <c r="D39" s="569">
        <v>0.41666666666666669</v>
      </c>
      <c r="E39" s="581">
        <v>52.128429917315181</v>
      </c>
      <c r="F39" s="581">
        <v>44.828429917315184</v>
      </c>
      <c r="G39" s="590"/>
      <c r="H39" s="590"/>
      <c r="I39" s="590"/>
    </row>
    <row r="40" spans="1:9" s="3" customFormat="1" ht="21" customHeight="1" x14ac:dyDescent="0.15">
      <c r="A40" s="577" t="s">
        <v>0</v>
      </c>
      <c r="B40" s="579" t="s">
        <v>0</v>
      </c>
      <c r="C40" s="580">
        <v>660</v>
      </c>
      <c r="D40" s="569">
        <v>0.45833333333333331</v>
      </c>
      <c r="E40" s="581">
        <v>52.751985048655591</v>
      </c>
      <c r="F40" s="581">
        <v>45.451985048655594</v>
      </c>
      <c r="G40" s="590"/>
      <c r="H40" s="590"/>
      <c r="I40" s="590"/>
    </row>
    <row r="41" spans="1:9" s="3" customFormat="1" ht="21" customHeight="1" x14ac:dyDescent="0.15">
      <c r="A41" s="577"/>
      <c r="B41" s="579"/>
      <c r="C41" s="580">
        <v>720</v>
      </c>
      <c r="D41" s="569">
        <v>0.5</v>
      </c>
      <c r="E41" s="581">
        <v>53.321246283061704</v>
      </c>
      <c r="F41" s="581">
        <v>46.021246283061707</v>
      </c>
      <c r="G41" s="590"/>
      <c r="H41" s="590"/>
      <c r="I41" s="590"/>
    </row>
    <row r="42" spans="1:9" s="3" customFormat="1" ht="21" customHeight="1" x14ac:dyDescent="0.15">
      <c r="A42" s="577"/>
      <c r="B42" s="579"/>
      <c r="C42" s="580">
        <v>780</v>
      </c>
      <c r="D42" s="569">
        <v>0.54166666666666663</v>
      </c>
      <c r="E42" s="581">
        <v>53.844915855385288</v>
      </c>
      <c r="F42" s="581">
        <v>46.544915855385291</v>
      </c>
      <c r="G42" s="590"/>
      <c r="H42" s="590"/>
      <c r="I42" s="590"/>
    </row>
    <row r="43" spans="1:9" s="3" customFormat="1" ht="21" customHeight="1" x14ac:dyDescent="0.15">
      <c r="A43" s="577"/>
      <c r="B43" s="579"/>
      <c r="C43" s="580">
        <v>840</v>
      </c>
      <c r="D43" s="569">
        <v>0.58333333333333337</v>
      </c>
      <c r="E43" s="581">
        <v>54.329758150348503</v>
      </c>
      <c r="F43" s="581">
        <v>47.029758150348506</v>
      </c>
      <c r="G43" s="590"/>
      <c r="H43" s="590"/>
      <c r="I43" s="590"/>
    </row>
    <row r="44" spans="1:9" s="3" customFormat="1" ht="21" customHeight="1" x14ac:dyDescent="0.15">
      <c r="A44" s="577"/>
      <c r="B44" s="579"/>
      <c r="C44" s="580">
        <v>900</v>
      </c>
      <c r="D44" s="569">
        <v>0.625</v>
      </c>
      <c r="E44" s="581">
        <v>54.781135528189175</v>
      </c>
      <c r="F44" s="581">
        <v>47.481135528189178</v>
      </c>
      <c r="G44" s="590"/>
      <c r="H44" s="590"/>
      <c r="I44" s="590"/>
    </row>
    <row r="45" spans="1:9" s="3" customFormat="1" ht="21" customHeight="1" x14ac:dyDescent="0.15">
      <c r="A45" s="577" t="s">
        <v>0</v>
      </c>
      <c r="B45" s="579">
        <v>44300.041666666664</v>
      </c>
      <c r="C45" s="580">
        <v>960</v>
      </c>
      <c r="D45" s="569">
        <v>0.66666666666666663</v>
      </c>
      <c r="E45" s="581">
        <v>55.203370866608161</v>
      </c>
      <c r="F45" s="581">
        <v>47.903370866608164</v>
      </c>
      <c r="G45" s="590"/>
      <c r="H45" s="590"/>
      <c r="I45" s="590"/>
    </row>
    <row r="46" spans="1:9" s="3" customFormat="1" ht="21" customHeight="1" x14ac:dyDescent="0.15">
      <c r="A46" s="577"/>
      <c r="B46" s="577"/>
      <c r="C46" s="580">
        <v>1020</v>
      </c>
      <c r="D46" s="569">
        <v>0.70833333333333337</v>
      </c>
      <c r="E46" s="581">
        <v>55.6</v>
      </c>
      <c r="F46" s="581">
        <v>48.300000000000004</v>
      </c>
      <c r="G46" s="590"/>
      <c r="H46" s="590"/>
      <c r="I46" s="590"/>
    </row>
    <row r="47" spans="1:9" s="3" customFormat="1" ht="21" customHeight="1" x14ac:dyDescent="0.15">
      <c r="A47" s="577"/>
      <c r="B47" s="579"/>
      <c r="C47" s="580">
        <v>1080</v>
      </c>
      <c r="D47" s="569">
        <v>0.75</v>
      </c>
      <c r="E47" s="581">
        <v>55.6</v>
      </c>
      <c r="F47" s="581">
        <v>48.300000000000004</v>
      </c>
      <c r="G47" s="590"/>
      <c r="H47" s="590"/>
      <c r="I47" s="590"/>
    </row>
    <row r="48" spans="1:9" s="3" customFormat="1" ht="21" customHeight="1" x14ac:dyDescent="0.15">
      <c r="A48" s="577"/>
      <c r="B48" s="579"/>
      <c r="C48" s="580">
        <v>1140</v>
      </c>
      <c r="D48" s="569">
        <v>0.79166666666666663</v>
      </c>
      <c r="E48" s="581">
        <v>55.6</v>
      </c>
      <c r="F48" s="581">
        <v>48.300000000000004</v>
      </c>
      <c r="G48" s="590"/>
      <c r="H48" s="590"/>
      <c r="I48" s="590"/>
    </row>
    <row r="49" spans="1:9" s="3" customFormat="1" ht="21" customHeight="1" x14ac:dyDescent="0.15">
      <c r="A49" s="577"/>
      <c r="B49" s="579"/>
      <c r="C49" s="580">
        <v>1200</v>
      </c>
      <c r="D49" s="569">
        <v>0.83333333333333337</v>
      </c>
      <c r="E49" s="581">
        <v>55.6</v>
      </c>
      <c r="F49" s="581">
        <v>48.300000000000004</v>
      </c>
      <c r="G49" s="590"/>
      <c r="H49" s="590"/>
      <c r="I49" s="590"/>
    </row>
    <row r="50" spans="1:9" s="3" customFormat="1" ht="21" customHeight="1" x14ac:dyDescent="0.15">
      <c r="A50" s="577"/>
      <c r="B50" s="579"/>
      <c r="C50" s="580">
        <v>1260</v>
      </c>
      <c r="D50" s="569">
        <v>0.875</v>
      </c>
      <c r="E50" s="581">
        <v>55.6</v>
      </c>
      <c r="F50" s="581">
        <v>48.300000000000004</v>
      </c>
      <c r="G50" s="590"/>
      <c r="H50" s="590"/>
      <c r="I50" s="590"/>
    </row>
    <row r="51" spans="1:9" s="3" customFormat="1" ht="21" customHeight="1" x14ac:dyDescent="0.15">
      <c r="A51" s="577"/>
      <c r="B51" s="579">
        <v>44300.291666666664</v>
      </c>
      <c r="C51" s="580">
        <v>1320</v>
      </c>
      <c r="D51" s="569">
        <v>0.91666666666666663</v>
      </c>
      <c r="E51" s="581">
        <v>55.6</v>
      </c>
      <c r="F51" s="581">
        <v>48.300000000000004</v>
      </c>
      <c r="G51" s="590"/>
      <c r="H51" s="590"/>
      <c r="I51" s="590"/>
    </row>
    <row r="52" spans="1:9" s="3" customFormat="1" ht="21" customHeight="1" x14ac:dyDescent="0.15">
      <c r="A52" s="577"/>
      <c r="B52" s="579"/>
      <c r="C52" s="580">
        <v>1380</v>
      </c>
      <c r="D52" s="569">
        <v>0.95833333333333337</v>
      </c>
      <c r="E52" s="581">
        <v>55.6</v>
      </c>
      <c r="F52" s="581">
        <v>48.300000000000004</v>
      </c>
      <c r="G52" s="590"/>
      <c r="H52" s="590"/>
      <c r="I52" s="590"/>
    </row>
    <row r="53" spans="1:9" s="3" customFormat="1" ht="21" customHeight="1" x14ac:dyDescent="0.15">
      <c r="A53" s="577"/>
      <c r="B53" s="579"/>
      <c r="C53" s="580">
        <v>1440</v>
      </c>
      <c r="D53" s="569">
        <v>1</v>
      </c>
      <c r="E53" s="581">
        <v>55.6</v>
      </c>
      <c r="F53" s="581">
        <v>48.300000000000004</v>
      </c>
      <c r="G53" s="590">
        <f>'w1'!D20</f>
        <v>14.8</v>
      </c>
      <c r="H53" s="590">
        <f>'w1'!E20</f>
        <v>227</v>
      </c>
      <c r="I53" s="590">
        <f>'w1'!F20</f>
        <v>6.99</v>
      </c>
    </row>
    <row r="54" spans="1:9" s="3" customFormat="1" ht="21" customHeight="1" x14ac:dyDescent="0.15">
      <c r="A54" s="577"/>
      <c r="B54" s="579"/>
      <c r="C54" s="580">
        <v>1500</v>
      </c>
      <c r="D54" s="569">
        <v>1.0416666666666667</v>
      </c>
      <c r="E54" s="581">
        <v>55.6</v>
      </c>
      <c r="F54" s="581">
        <v>48.300000000000004</v>
      </c>
      <c r="G54" s="590"/>
      <c r="H54" s="590"/>
      <c r="I54" s="590"/>
    </row>
    <row r="55" spans="1:9" s="3" customFormat="1" ht="21" customHeight="1" x14ac:dyDescent="0.15">
      <c r="A55" s="577"/>
      <c r="B55" s="579" t="s">
        <v>0</v>
      </c>
      <c r="C55" s="580">
        <v>1560</v>
      </c>
      <c r="D55" s="569">
        <v>1.0833333333333333</v>
      </c>
      <c r="E55" s="581">
        <v>55.6</v>
      </c>
      <c r="F55" s="581">
        <v>48.300000000000004</v>
      </c>
      <c r="G55" s="590"/>
      <c r="H55" s="590"/>
      <c r="I55" s="590"/>
    </row>
    <row r="56" spans="1:9" s="3" customFormat="1" ht="21.6" customHeight="1" x14ac:dyDescent="0.15">
      <c r="A56" s="577"/>
      <c r="B56" s="579">
        <v>44300.5</v>
      </c>
      <c r="C56" s="580">
        <v>1620</v>
      </c>
      <c r="D56" s="569">
        <v>1.125</v>
      </c>
      <c r="E56" s="581">
        <v>55.6</v>
      </c>
      <c r="F56" s="581">
        <v>48.300000000000004</v>
      </c>
      <c r="G56" s="590"/>
      <c r="H56" s="590"/>
      <c r="I56" s="590"/>
    </row>
    <row r="57" spans="1:9" s="3" customFormat="1" ht="21.6" customHeight="1" x14ac:dyDescent="0.15">
      <c r="A57" s="577"/>
      <c r="B57" s="579"/>
      <c r="C57" s="580">
        <v>1680</v>
      </c>
      <c r="D57" s="569">
        <v>1.1666666666666667</v>
      </c>
      <c r="E57" s="581">
        <v>55.6</v>
      </c>
      <c r="F57" s="581">
        <v>48.300000000000004</v>
      </c>
      <c r="G57" s="590">
        <f>'w1'!D21</f>
        <v>15</v>
      </c>
      <c r="H57" s="590">
        <f>'w1'!E21</f>
        <v>229</v>
      </c>
      <c r="I57" s="590">
        <f>'w1'!F21</f>
        <v>6.8000000000000007</v>
      </c>
    </row>
    <row r="58" spans="1:9" s="3" customFormat="1" ht="21.6" customHeight="1" x14ac:dyDescent="0.15">
      <c r="A58" s="577"/>
      <c r="B58" s="579"/>
      <c r="C58" s="580">
        <v>1740</v>
      </c>
      <c r="D58" s="569">
        <v>1.2083333333333333</v>
      </c>
      <c r="E58" s="581">
        <v>55.6</v>
      </c>
      <c r="F58" s="581">
        <v>48.300000000000004</v>
      </c>
      <c r="G58" s="590"/>
      <c r="H58" s="590"/>
      <c r="I58" s="590"/>
    </row>
    <row r="59" spans="1:9" s="3" customFormat="1" ht="21.6" customHeight="1" x14ac:dyDescent="0.15">
      <c r="A59" s="577"/>
      <c r="B59" s="579"/>
      <c r="C59" s="580">
        <v>1800</v>
      </c>
      <c r="D59" s="569">
        <v>1.25</v>
      </c>
      <c r="E59" s="581">
        <v>55.6</v>
      </c>
      <c r="F59" s="581">
        <v>48.300000000000004</v>
      </c>
      <c r="G59" s="590"/>
      <c r="H59" s="590"/>
      <c r="I59" s="590"/>
    </row>
    <row r="60" spans="1:9" s="3" customFormat="1" ht="21.6" customHeight="1" x14ac:dyDescent="0.15">
      <c r="A60" s="577"/>
      <c r="B60" s="579"/>
      <c r="C60" s="580">
        <v>1860</v>
      </c>
      <c r="D60" s="569">
        <v>1.2916666666666667</v>
      </c>
      <c r="E60" s="581">
        <v>55.6</v>
      </c>
      <c r="F60" s="581">
        <v>48.300000000000004</v>
      </c>
      <c r="G60" s="590"/>
      <c r="H60" s="590"/>
      <c r="I60" s="590"/>
    </row>
    <row r="61" spans="1:9" s="3" customFormat="1" ht="21.6" customHeight="1" x14ac:dyDescent="0.15">
      <c r="A61" s="577"/>
      <c r="B61" s="579">
        <v>44300.708333333336</v>
      </c>
      <c r="C61" s="580">
        <v>1920</v>
      </c>
      <c r="D61" s="569">
        <v>1.3333333333333333</v>
      </c>
      <c r="E61" s="581">
        <v>55.6</v>
      </c>
      <c r="F61" s="581">
        <v>48.300000000000004</v>
      </c>
      <c r="G61" s="590">
        <f>'w1'!D22</f>
        <v>15</v>
      </c>
      <c r="H61" s="590">
        <f>'w1'!E22</f>
        <v>227</v>
      </c>
      <c r="I61" s="590">
        <f>'w1'!F22</f>
        <v>6.78</v>
      </c>
    </row>
    <row r="62" spans="1:9" s="3" customFormat="1" ht="21.6" customHeight="1" x14ac:dyDescent="0.15">
      <c r="A62" s="577"/>
      <c r="B62" s="579"/>
      <c r="C62" s="580">
        <v>1980</v>
      </c>
      <c r="D62" s="569">
        <v>1.375</v>
      </c>
      <c r="E62" s="581">
        <v>55.6</v>
      </c>
      <c r="F62" s="581">
        <v>48.300000000000004</v>
      </c>
      <c r="G62" s="590"/>
      <c r="H62" s="590"/>
      <c r="I62" s="590"/>
    </row>
    <row r="63" spans="1:9" s="3" customFormat="1" ht="21.6" customHeight="1" x14ac:dyDescent="0.15">
      <c r="A63" s="577"/>
      <c r="B63" s="579"/>
      <c r="C63" s="580">
        <v>2040</v>
      </c>
      <c r="D63" s="569">
        <v>1.4166666666666667</v>
      </c>
      <c r="E63" s="581">
        <v>55.6</v>
      </c>
      <c r="F63" s="581">
        <v>48.300000000000004</v>
      </c>
      <c r="G63" s="590"/>
      <c r="H63" s="590"/>
      <c r="I63" s="590"/>
    </row>
    <row r="64" spans="1:9" s="3" customFormat="1" ht="21.6" customHeight="1" x14ac:dyDescent="0.15">
      <c r="A64" s="577"/>
      <c r="B64" s="579"/>
      <c r="C64" s="580">
        <v>2100</v>
      </c>
      <c r="D64" s="569">
        <v>1.4583333333333333</v>
      </c>
      <c r="E64" s="581">
        <v>55.6</v>
      </c>
      <c r="F64" s="581">
        <v>48.300000000000004</v>
      </c>
      <c r="G64" s="590"/>
      <c r="H64" s="590"/>
      <c r="I64" s="590"/>
    </row>
    <row r="65" spans="1:9" s="3" customFormat="1" ht="21.6" customHeight="1" x14ac:dyDescent="0.15">
      <c r="A65" s="577"/>
      <c r="B65" s="579"/>
      <c r="C65" s="580">
        <v>2160</v>
      </c>
      <c r="D65" s="569">
        <v>1.5</v>
      </c>
      <c r="E65" s="581">
        <v>55.6</v>
      </c>
      <c r="F65" s="581">
        <v>48.300000000000004</v>
      </c>
      <c r="G65" s="590"/>
      <c r="H65" s="590"/>
      <c r="I65" s="590"/>
    </row>
    <row r="66" spans="1:9" s="3" customFormat="1" ht="21.6" customHeight="1" x14ac:dyDescent="0.15">
      <c r="A66" s="577"/>
      <c r="B66" s="579">
        <v>44300.916666666664</v>
      </c>
      <c r="C66" s="580">
        <v>2220</v>
      </c>
      <c r="D66" s="569">
        <v>1.5416666666666667</v>
      </c>
      <c r="E66" s="581">
        <v>55.6</v>
      </c>
      <c r="F66" s="581">
        <v>48.300000000000004</v>
      </c>
      <c r="G66" s="590"/>
      <c r="H66" s="590"/>
      <c r="I66" s="590"/>
    </row>
    <row r="67" spans="1:9" s="3" customFormat="1" ht="21.6" customHeight="1" x14ac:dyDescent="0.15">
      <c r="A67" s="577"/>
      <c r="B67" s="579"/>
      <c r="C67" s="580">
        <v>2280</v>
      </c>
      <c r="D67" s="569">
        <v>1.5833333333333333</v>
      </c>
      <c r="E67" s="581">
        <v>55.6</v>
      </c>
      <c r="F67" s="581">
        <v>48.300000000000004</v>
      </c>
      <c r="G67" s="590"/>
      <c r="H67" s="590"/>
      <c r="I67" s="590"/>
    </row>
    <row r="68" spans="1:9" s="3" customFormat="1" ht="21.6" customHeight="1" x14ac:dyDescent="0.15">
      <c r="A68" s="577"/>
      <c r="B68" s="579" t="s">
        <v>0</v>
      </c>
      <c r="C68" s="580">
        <v>2340</v>
      </c>
      <c r="D68" s="569">
        <v>1.625</v>
      </c>
      <c r="E68" s="581">
        <v>55.6</v>
      </c>
      <c r="F68" s="581">
        <v>48.300000000000004</v>
      </c>
      <c r="G68" s="590"/>
      <c r="H68" s="590"/>
      <c r="I68" s="590"/>
    </row>
    <row r="69" spans="1:9" s="3" customFormat="1" ht="21.6" customHeight="1" x14ac:dyDescent="0.15">
      <c r="A69" s="577"/>
      <c r="B69" s="579"/>
      <c r="C69" s="580">
        <v>2400</v>
      </c>
      <c r="D69" s="569">
        <v>1.6666666666666667</v>
      </c>
      <c r="E69" s="581">
        <v>55.6</v>
      </c>
      <c r="F69" s="581">
        <v>48.300000000000004</v>
      </c>
      <c r="G69" s="590"/>
      <c r="H69" s="590"/>
      <c r="I69" s="590"/>
    </row>
    <row r="70" spans="1:9" s="3" customFormat="1" ht="21.6" customHeight="1" x14ac:dyDescent="0.15">
      <c r="A70" s="577"/>
      <c r="B70" s="579"/>
      <c r="C70" s="580">
        <v>2460</v>
      </c>
      <c r="D70" s="569">
        <v>1.7083333333333333</v>
      </c>
      <c r="E70" s="581">
        <v>55.6</v>
      </c>
      <c r="F70" s="581">
        <v>48.300000000000004</v>
      </c>
      <c r="G70" s="590"/>
      <c r="H70" s="590"/>
      <c r="I70" s="590"/>
    </row>
    <row r="71" spans="1:9" s="3" customFormat="1" ht="21.6" customHeight="1" x14ac:dyDescent="0.15">
      <c r="A71" s="577"/>
      <c r="B71" s="579">
        <v>44301.125</v>
      </c>
      <c r="C71" s="580">
        <v>2520</v>
      </c>
      <c r="D71" s="569">
        <v>1.75</v>
      </c>
      <c r="E71" s="581">
        <v>55.6</v>
      </c>
      <c r="F71" s="581">
        <v>48.300000000000004</v>
      </c>
      <c r="G71" s="590"/>
      <c r="H71" s="590"/>
      <c r="I71" s="590"/>
    </row>
    <row r="72" spans="1:9" s="3" customFormat="1" ht="21.6" customHeight="1" x14ac:dyDescent="0.15">
      <c r="A72" s="577"/>
      <c r="B72" s="579"/>
      <c r="C72" s="580">
        <v>2580</v>
      </c>
      <c r="D72" s="569">
        <v>1.7916666666666667</v>
      </c>
      <c r="E72" s="581">
        <v>55.6</v>
      </c>
      <c r="F72" s="581">
        <v>48.300000000000004</v>
      </c>
      <c r="G72" s="590"/>
      <c r="H72" s="590"/>
      <c r="I72" s="590"/>
    </row>
    <row r="73" spans="1:9" s="3" customFormat="1" ht="21.6" customHeight="1" x14ac:dyDescent="0.15">
      <c r="A73" s="577"/>
      <c r="B73" s="579"/>
      <c r="C73" s="580">
        <v>2640</v>
      </c>
      <c r="D73" s="569">
        <v>1.8333333333333333</v>
      </c>
      <c r="E73" s="581">
        <v>55.6</v>
      </c>
      <c r="F73" s="581">
        <v>48.300000000000004</v>
      </c>
      <c r="G73" s="590"/>
      <c r="H73" s="590"/>
      <c r="I73" s="590"/>
    </row>
    <row r="74" spans="1:9" s="3" customFormat="1" ht="21.6" customHeight="1" x14ac:dyDescent="0.15">
      <c r="A74" s="577"/>
      <c r="B74" s="579"/>
      <c r="C74" s="580">
        <v>2700</v>
      </c>
      <c r="D74" s="569">
        <v>1.875</v>
      </c>
      <c r="E74" s="581">
        <v>55.6</v>
      </c>
      <c r="F74" s="581">
        <v>48.300000000000004</v>
      </c>
      <c r="G74" s="590"/>
      <c r="H74" s="590"/>
      <c r="I74" s="590"/>
    </row>
    <row r="75" spans="1:9" s="3" customFormat="1" ht="21.6" customHeight="1" x14ac:dyDescent="0.15">
      <c r="A75" s="577"/>
      <c r="B75" s="579"/>
      <c r="C75" s="580">
        <v>2760</v>
      </c>
      <c r="D75" s="569">
        <v>1.9166666666666667</v>
      </c>
      <c r="E75" s="581">
        <v>55.6</v>
      </c>
      <c r="F75" s="581">
        <v>48.300000000000004</v>
      </c>
      <c r="G75" s="590"/>
      <c r="H75" s="590"/>
      <c r="I75" s="590"/>
    </row>
    <row r="76" spans="1:9" s="3" customFormat="1" ht="21.6" customHeight="1" x14ac:dyDescent="0.15">
      <c r="A76" s="577"/>
      <c r="B76" s="579"/>
      <c r="C76" s="580">
        <v>2820</v>
      </c>
      <c r="D76" s="569">
        <v>1.9583333333333333</v>
      </c>
      <c r="E76" s="581">
        <v>55.6</v>
      </c>
      <c r="F76" s="581">
        <v>48.300000000000004</v>
      </c>
      <c r="G76" s="590"/>
      <c r="H76" s="590"/>
      <c r="I76" s="590"/>
    </row>
    <row r="77" spans="1:9" s="3" customFormat="1" ht="21.6" customHeight="1" x14ac:dyDescent="0.15">
      <c r="A77" s="577"/>
      <c r="B77" s="579">
        <v>44301.375</v>
      </c>
      <c r="C77" s="580">
        <v>2880</v>
      </c>
      <c r="D77" s="569">
        <v>2</v>
      </c>
      <c r="E77" s="581">
        <v>55.6</v>
      </c>
      <c r="F77" s="581">
        <v>48.300000000000004</v>
      </c>
      <c r="G77" s="590">
        <f>'w1'!D23</f>
        <v>14.700000000000001</v>
      </c>
      <c r="H77" s="590">
        <f>'w1'!E23</f>
        <v>225</v>
      </c>
      <c r="I77" s="590">
        <f>'w1'!F23</f>
        <v>6.83</v>
      </c>
    </row>
    <row r="78" spans="1:9" s="3" customFormat="1" ht="20.45" customHeight="1" x14ac:dyDescent="0.15">
      <c r="A78" s="577">
        <v>0</v>
      </c>
      <c r="B78" s="579">
        <v>44301.375694444447</v>
      </c>
      <c r="C78" s="580">
        <v>1</v>
      </c>
      <c r="D78" s="569">
        <v>6.9444444444444447E-4</v>
      </c>
      <c r="E78" s="581">
        <v>35.366905503401149</v>
      </c>
      <c r="F78" s="581">
        <v>28.066905503401149</v>
      </c>
      <c r="G78" s="591" t="s">
        <v>248</v>
      </c>
      <c r="H78" s="591"/>
      <c r="I78" s="591"/>
    </row>
    <row r="79" spans="1:9" s="3" customFormat="1" ht="20.45" customHeight="1" x14ac:dyDescent="0.15">
      <c r="A79" s="577"/>
      <c r="B79" s="577" t="s">
        <v>18</v>
      </c>
      <c r="C79" s="580">
        <v>2</v>
      </c>
      <c r="D79" s="569">
        <v>1.3888888888888889E-3</v>
      </c>
      <c r="E79" s="581">
        <v>32.28481387619523</v>
      </c>
      <c r="F79" s="581">
        <v>24.984813876195229</v>
      </c>
      <c r="G79" s="591"/>
      <c r="H79" s="591"/>
      <c r="I79" s="591"/>
    </row>
    <row r="80" spans="1:9" s="3" customFormat="1" ht="20.45" customHeight="1" x14ac:dyDescent="0.15">
      <c r="A80" s="577"/>
      <c r="B80" s="579" t="s">
        <v>18</v>
      </c>
      <c r="C80" s="580">
        <v>3</v>
      </c>
      <c r="D80" s="569">
        <v>2.0833333333333333E-3</v>
      </c>
      <c r="E80" s="581">
        <v>29.541173839149195</v>
      </c>
      <c r="F80" s="581">
        <v>22.241173839149194</v>
      </c>
      <c r="G80" s="591"/>
      <c r="H80" s="591"/>
      <c r="I80" s="591"/>
    </row>
    <row r="81" spans="1:9" s="3" customFormat="1" ht="20.45" customHeight="1" x14ac:dyDescent="0.15">
      <c r="A81" s="577"/>
      <c r="B81" s="579" t="s">
        <v>18</v>
      </c>
      <c r="C81" s="580">
        <v>4</v>
      </c>
      <c r="D81" s="569">
        <v>2.7777777777777779E-3</v>
      </c>
      <c r="E81" s="581">
        <v>27.09881924253839</v>
      </c>
      <c r="F81" s="581">
        <v>19.798819242538389</v>
      </c>
      <c r="G81" s="591"/>
      <c r="H81" s="591"/>
      <c r="I81" s="591"/>
    </row>
    <row r="82" spans="1:9" s="3" customFormat="1" ht="20.45" customHeight="1" x14ac:dyDescent="0.15">
      <c r="A82" s="577"/>
      <c r="B82" s="579" t="s">
        <v>18</v>
      </c>
      <c r="C82" s="580">
        <v>5</v>
      </c>
      <c r="D82" s="569">
        <v>3.472222222222222E-3</v>
      </c>
      <c r="E82" s="581">
        <v>24.924665237259951</v>
      </c>
      <c r="F82" s="581">
        <v>17.624665237259951</v>
      </c>
      <c r="G82" s="591"/>
      <c r="H82" s="591"/>
      <c r="I82" s="591"/>
    </row>
    <row r="83" spans="1:9" s="3" customFormat="1" ht="20.45" customHeight="1" x14ac:dyDescent="0.15">
      <c r="A83" s="577"/>
      <c r="B83" s="579" t="s">
        <v>18</v>
      </c>
      <c r="C83" s="580">
        <v>10</v>
      </c>
      <c r="D83" s="569">
        <v>6.9444444444444441E-3</v>
      </c>
      <c r="E83" s="581">
        <v>19.732705173018601</v>
      </c>
      <c r="F83" s="581">
        <v>12.432705173018602</v>
      </c>
      <c r="G83" s="591"/>
      <c r="H83" s="591"/>
      <c r="I83" s="591"/>
    </row>
    <row r="84" spans="1:9" s="3" customFormat="1" ht="20.45" customHeight="1" x14ac:dyDescent="0.15">
      <c r="A84" s="577"/>
      <c r="B84" s="579" t="s">
        <v>18</v>
      </c>
      <c r="C84" s="580">
        <v>15</v>
      </c>
      <c r="D84" s="569">
        <v>1.0416666666666666E-2</v>
      </c>
      <c r="E84" s="581">
        <v>18.805001837665525</v>
      </c>
      <c r="F84" s="581">
        <v>11.505001837665526</v>
      </c>
      <c r="G84" s="591"/>
      <c r="H84" s="591"/>
      <c r="I84" s="591"/>
    </row>
    <row r="85" spans="1:9" s="3" customFormat="1" ht="20.45" customHeight="1" x14ac:dyDescent="0.15">
      <c r="A85" s="577"/>
      <c r="B85" s="579" t="s">
        <v>18</v>
      </c>
      <c r="C85" s="580">
        <v>20</v>
      </c>
      <c r="D85" s="569">
        <v>1.3888888888888888E-2</v>
      </c>
      <c r="E85" s="581">
        <v>16.416956119734746</v>
      </c>
      <c r="F85" s="581">
        <v>9.1169561197347448</v>
      </c>
      <c r="G85" s="591"/>
      <c r="H85" s="591"/>
      <c r="I85" s="591"/>
    </row>
    <row r="86" spans="1:9" s="3" customFormat="1" ht="20.45" customHeight="1" x14ac:dyDescent="0.15">
      <c r="A86" s="577"/>
      <c r="B86" s="579" t="s">
        <v>18</v>
      </c>
      <c r="C86" s="580">
        <v>25</v>
      </c>
      <c r="D86" s="569">
        <v>1.7361111111111112E-2</v>
      </c>
      <c r="E86" s="581">
        <v>15.415802140760004</v>
      </c>
      <c r="F86" s="581">
        <v>8.1158021407600032</v>
      </c>
      <c r="G86" s="591"/>
      <c r="H86" s="591"/>
      <c r="I86" s="591"/>
    </row>
    <row r="87" spans="1:9" s="3" customFormat="1" ht="20.45" customHeight="1" x14ac:dyDescent="0.15">
      <c r="A87" s="577"/>
      <c r="B87" s="579" t="s">
        <v>18</v>
      </c>
      <c r="C87" s="580">
        <v>30</v>
      </c>
      <c r="D87" s="569">
        <v>2.0833333333333332E-2</v>
      </c>
      <c r="E87" s="581">
        <v>14.52458718929109</v>
      </c>
      <c r="F87" s="581">
        <v>7.2245871892910909</v>
      </c>
      <c r="G87" s="591"/>
      <c r="H87" s="591"/>
      <c r="I87" s="591"/>
    </row>
    <row r="88" spans="1:9" s="3" customFormat="1" ht="20.45" customHeight="1" x14ac:dyDescent="0.15">
      <c r="A88" s="577"/>
      <c r="B88" s="579"/>
      <c r="C88" s="580">
        <v>35</v>
      </c>
      <c r="D88" s="569">
        <v>2.4305555555555556E-2</v>
      </c>
      <c r="E88" s="581">
        <v>14.24982014155762</v>
      </c>
      <c r="F88" s="581">
        <v>6.9498201415576215</v>
      </c>
      <c r="G88" s="591"/>
      <c r="H88" s="591"/>
      <c r="I88" s="591"/>
    </row>
    <row r="89" spans="1:9" s="3" customFormat="1" ht="20.45" customHeight="1" x14ac:dyDescent="0.15">
      <c r="A89" s="577"/>
      <c r="B89" s="579"/>
      <c r="C89" s="580">
        <v>40</v>
      </c>
      <c r="D89" s="569">
        <v>2.7777777777777776E-2</v>
      </c>
      <c r="E89" s="581">
        <v>13.985503093047926</v>
      </c>
      <c r="F89" s="581">
        <v>6.6855030930479264</v>
      </c>
      <c r="G89" s="591"/>
      <c r="H89" s="591"/>
      <c r="I89" s="591"/>
    </row>
    <row r="90" spans="1:9" s="3" customFormat="1" ht="20.45" customHeight="1" x14ac:dyDescent="0.15">
      <c r="A90" s="577"/>
      <c r="B90" s="579" t="s">
        <v>18</v>
      </c>
      <c r="C90" s="580">
        <v>45</v>
      </c>
      <c r="D90" s="569">
        <v>3.125E-2</v>
      </c>
      <c r="E90" s="581">
        <v>13.731238607152783</v>
      </c>
      <c r="F90" s="581">
        <v>6.4312386071527827</v>
      </c>
      <c r="G90" s="591"/>
      <c r="H90" s="591"/>
      <c r="I90" s="591"/>
    </row>
    <row r="91" spans="1:9" s="3" customFormat="1" ht="20.45" customHeight="1" x14ac:dyDescent="0.15">
      <c r="A91" s="577"/>
      <c r="B91" s="579"/>
      <c r="C91" s="580">
        <v>50</v>
      </c>
      <c r="D91" s="569">
        <v>3.4722222222222224E-2</v>
      </c>
      <c r="E91" s="581">
        <v>13.486644362657234</v>
      </c>
      <c r="F91" s="581">
        <v>6.1866443626572334</v>
      </c>
      <c r="G91" s="591"/>
      <c r="H91" s="591"/>
      <c r="I91" s="591"/>
    </row>
    <row r="92" spans="1:9" s="3" customFormat="1" ht="20.45" customHeight="1" x14ac:dyDescent="0.15">
      <c r="A92" s="577"/>
      <c r="B92" s="579"/>
      <c r="C92" s="580">
        <v>55</v>
      </c>
      <c r="D92" s="569">
        <v>3.8194444444444448E-2</v>
      </c>
      <c r="E92" s="581">
        <v>13.251352578868683</v>
      </c>
      <c r="F92" s="581">
        <v>5.9513525788686827</v>
      </c>
      <c r="G92" s="591"/>
      <c r="H92" s="591"/>
      <c r="I92" s="591"/>
    </row>
    <row r="93" spans="1:9" s="3" customFormat="1" ht="20.45" customHeight="1" x14ac:dyDescent="0.15">
      <c r="A93" s="577"/>
      <c r="B93" s="579">
        <v>44301.416666666664</v>
      </c>
      <c r="C93" s="580">
        <v>60</v>
      </c>
      <c r="D93" s="569">
        <v>4.1666666666666664E-2</v>
      </c>
      <c r="E93" s="581">
        <v>13.025009462608615</v>
      </c>
      <c r="F93" s="581">
        <v>5.7250094626086145</v>
      </c>
      <c r="G93" s="591"/>
      <c r="H93" s="591"/>
      <c r="I93" s="591"/>
    </row>
    <row r="94" spans="1:9" s="3" customFormat="1" ht="20.45" customHeight="1" x14ac:dyDescent="0.15">
      <c r="A94" s="577"/>
      <c r="B94" s="579"/>
      <c r="C94" s="580">
        <v>75</v>
      </c>
      <c r="D94" s="569">
        <v>5.2083333333333336E-2</v>
      </c>
      <c r="E94" s="581">
        <v>12.807274676236482</v>
      </c>
      <c r="F94" s="581">
        <v>5.5072746762364826</v>
      </c>
      <c r="G94" s="591"/>
      <c r="H94" s="591"/>
      <c r="I94" s="591"/>
    </row>
    <row r="95" spans="1:9" s="3" customFormat="1" ht="20.45" customHeight="1" x14ac:dyDescent="0.15">
      <c r="A95" s="577"/>
      <c r="B95" s="579"/>
      <c r="C95" s="580">
        <v>90</v>
      </c>
      <c r="D95" s="569">
        <v>6.25E-2</v>
      </c>
      <c r="E95" s="581">
        <v>12.597820825905794</v>
      </c>
      <c r="F95" s="581">
        <v>5.2978208259057942</v>
      </c>
      <c r="G95" s="591"/>
      <c r="H95" s="591"/>
      <c r="I95" s="591"/>
    </row>
    <row r="96" spans="1:9" s="3" customFormat="1" ht="20.45" customHeight="1" x14ac:dyDescent="0.15">
      <c r="A96" s="577"/>
      <c r="B96" s="579"/>
      <c r="C96" s="580">
        <v>105</v>
      </c>
      <c r="D96" s="569">
        <v>7.2916666666666671E-2</v>
      </c>
      <c r="E96" s="581">
        <v>12.396332969282962</v>
      </c>
      <c r="F96" s="581">
        <v>5.0963329692829635</v>
      </c>
      <c r="G96" s="591"/>
      <c r="H96" s="591"/>
      <c r="I96" s="591"/>
    </row>
    <row r="97" spans="1:9" s="3" customFormat="1" ht="20.45" customHeight="1" x14ac:dyDescent="0.15">
      <c r="A97" s="577"/>
      <c r="B97" s="579">
        <v>44301.458333333336</v>
      </c>
      <c r="C97" s="580">
        <v>120</v>
      </c>
      <c r="D97" s="569">
        <v>8.3333333333333329E-2</v>
      </c>
      <c r="E97" s="581">
        <v>11.836692891677078</v>
      </c>
      <c r="F97" s="581">
        <v>4.5366928916770783</v>
      </c>
      <c r="G97" s="591"/>
      <c r="H97" s="591"/>
      <c r="I97" s="591"/>
    </row>
    <row r="98" spans="1:9" s="3" customFormat="1" ht="20.45" customHeight="1" x14ac:dyDescent="0.15">
      <c r="A98" s="577"/>
      <c r="B98" s="579" t="s">
        <v>18</v>
      </c>
      <c r="C98" s="580">
        <v>180</v>
      </c>
      <c r="D98" s="569">
        <v>0.125</v>
      </c>
      <c r="E98" s="581">
        <v>11.66415241570812</v>
      </c>
      <c r="F98" s="581">
        <v>4.3641524157081211</v>
      </c>
      <c r="G98" s="591"/>
      <c r="H98" s="591"/>
      <c r="I98" s="591"/>
    </row>
    <row r="99" spans="1:9" s="3" customFormat="1" ht="20.45" customHeight="1" x14ac:dyDescent="0.15">
      <c r="A99" s="577"/>
      <c r="B99" s="579">
        <v>44301.541666666664</v>
      </c>
      <c r="C99" s="580">
        <v>240</v>
      </c>
      <c r="D99" s="569">
        <v>0.16666666666666666</v>
      </c>
      <c r="E99" s="581">
        <v>10.758303321915735</v>
      </c>
      <c r="F99" s="581">
        <v>3.4583033219157344</v>
      </c>
      <c r="G99" s="591"/>
      <c r="H99" s="591"/>
      <c r="I99" s="591"/>
    </row>
    <row r="100" spans="1:9" s="3" customFormat="1" ht="20.45" customHeight="1" x14ac:dyDescent="0.15">
      <c r="A100" s="577"/>
      <c r="B100" s="579" t="s">
        <v>18</v>
      </c>
      <c r="C100" s="580">
        <v>300</v>
      </c>
      <c r="D100" s="569">
        <v>0.20833333333333334</v>
      </c>
      <c r="E100" s="581">
        <v>10.040477583533896</v>
      </c>
      <c r="F100" s="581">
        <v>2.7404775835338961</v>
      </c>
      <c r="G100" s="591"/>
      <c r="H100" s="591"/>
      <c r="I100" s="591"/>
    </row>
    <row r="101" spans="1:9" s="3" customFormat="1" ht="20.45" customHeight="1" x14ac:dyDescent="0.15">
      <c r="A101" s="577"/>
      <c r="B101" s="579">
        <v>44301.625</v>
      </c>
      <c r="C101" s="580">
        <v>360</v>
      </c>
      <c r="D101" s="569">
        <v>0.25</v>
      </c>
      <c r="E101" s="581">
        <v>9.4716479691814541</v>
      </c>
      <c r="F101" s="581">
        <v>2.1716479691814539</v>
      </c>
      <c r="G101" s="591"/>
      <c r="H101" s="591"/>
      <c r="I101" s="591"/>
    </row>
    <row r="102" spans="1:9" s="3" customFormat="1" ht="17.25" customHeight="1" x14ac:dyDescent="0.15">
      <c r="G102" s="592"/>
      <c r="H102" s="592"/>
      <c r="I102" s="592"/>
    </row>
    <row r="103" spans="1:9" s="3" customFormat="1" ht="17.25" customHeight="1" x14ac:dyDescent="0.15">
      <c r="G103" s="592"/>
      <c r="H103" s="592"/>
      <c r="I103" s="592"/>
    </row>
    <row r="104" spans="1:9" s="3" customFormat="1" ht="17.25" customHeight="1" x14ac:dyDescent="0.15">
      <c r="G104" s="592"/>
      <c r="H104" s="592"/>
      <c r="I104" s="592"/>
    </row>
    <row r="105" spans="1:9" s="3" customFormat="1" ht="17.25" customHeight="1" x14ac:dyDescent="0.15">
      <c r="G105" s="592"/>
      <c r="H105" s="592"/>
      <c r="I105" s="592"/>
    </row>
    <row r="106" spans="1:9" s="3" customFormat="1" ht="17.25" customHeight="1" x14ac:dyDescent="0.15">
      <c r="G106" s="592"/>
      <c r="H106" s="592"/>
      <c r="I106" s="592"/>
    </row>
    <row r="107" spans="1:9" s="3" customFormat="1" ht="17.25" customHeight="1" x14ac:dyDescent="0.15">
      <c r="G107" s="592"/>
      <c r="H107" s="592"/>
      <c r="I107" s="592"/>
    </row>
    <row r="108" spans="1:9" s="3" customFormat="1" ht="17.25" customHeight="1" x14ac:dyDescent="0.15">
      <c r="G108" s="592"/>
      <c r="H108" s="592"/>
      <c r="I108" s="592"/>
    </row>
    <row r="109" spans="1:9" s="3" customFormat="1" ht="17.25" customHeight="1" x14ac:dyDescent="0.15">
      <c r="G109" s="592"/>
      <c r="H109" s="592"/>
      <c r="I109" s="592"/>
    </row>
    <row r="110" spans="1:9" s="3" customFormat="1" ht="17.25" customHeight="1" x14ac:dyDescent="0.15">
      <c r="G110" s="592"/>
      <c r="H110" s="592"/>
      <c r="I110" s="592"/>
    </row>
    <row r="111" spans="1:9" s="3" customFormat="1" ht="17.25" customHeight="1" x14ac:dyDescent="0.15">
      <c r="G111" s="592"/>
      <c r="H111" s="592"/>
      <c r="I111" s="592"/>
    </row>
    <row r="112" spans="1:9" s="3" customFormat="1" ht="17.25" customHeight="1" x14ac:dyDescent="0.15">
      <c r="G112" s="592"/>
      <c r="H112" s="592"/>
      <c r="I112" s="592"/>
    </row>
    <row r="113" spans="7:9" s="3" customFormat="1" ht="17.25" customHeight="1" x14ac:dyDescent="0.15">
      <c r="G113" s="592"/>
      <c r="H113" s="592"/>
      <c r="I113" s="592"/>
    </row>
    <row r="114" spans="7:9" s="3" customFormat="1" ht="17.25" customHeight="1" x14ac:dyDescent="0.15">
      <c r="G114" s="592"/>
      <c r="H114" s="592"/>
      <c r="I114" s="592"/>
    </row>
    <row r="115" spans="7:9" s="3" customFormat="1" ht="17.25" customHeight="1" x14ac:dyDescent="0.15">
      <c r="G115" s="592"/>
      <c r="H115" s="592"/>
      <c r="I115" s="592"/>
    </row>
    <row r="116" spans="7:9" s="3" customFormat="1" ht="17.25" customHeight="1" x14ac:dyDescent="0.15">
      <c r="G116" s="592"/>
      <c r="H116" s="592"/>
      <c r="I116" s="592"/>
    </row>
    <row r="117" spans="7:9" s="3" customFormat="1" ht="17.25" customHeight="1" x14ac:dyDescent="0.15">
      <c r="G117" s="592"/>
      <c r="H117" s="592"/>
      <c r="I117" s="592"/>
    </row>
    <row r="118" spans="7:9" s="3" customFormat="1" ht="17.25" customHeight="1" x14ac:dyDescent="0.15">
      <c r="G118" s="592"/>
      <c r="H118" s="592"/>
      <c r="I118" s="592"/>
    </row>
    <row r="119" spans="7:9" s="3" customFormat="1" ht="17.25" customHeight="1" x14ac:dyDescent="0.15">
      <c r="G119" s="592"/>
      <c r="H119" s="592"/>
      <c r="I119" s="592"/>
    </row>
    <row r="120" spans="7:9" s="3" customFormat="1" ht="17.25" customHeight="1" x14ac:dyDescent="0.15">
      <c r="G120" s="592"/>
      <c r="H120" s="592"/>
      <c r="I120" s="592"/>
    </row>
    <row r="121" spans="7:9" s="3" customFormat="1" ht="17.25" customHeight="1" x14ac:dyDescent="0.15">
      <c r="G121" s="592"/>
      <c r="H121" s="592"/>
      <c r="I121" s="592"/>
    </row>
    <row r="122" spans="7:9" s="3" customFormat="1" ht="17.25" customHeight="1" x14ac:dyDescent="0.15">
      <c r="G122" s="592"/>
      <c r="H122" s="592"/>
      <c r="I122" s="592"/>
    </row>
    <row r="123" spans="7:9" s="3" customFormat="1" ht="17.25" customHeight="1" x14ac:dyDescent="0.15">
      <c r="G123" s="592"/>
      <c r="H123" s="592"/>
      <c r="I123" s="592"/>
    </row>
    <row r="124" spans="7:9" s="3" customFormat="1" ht="17.25" customHeight="1" x14ac:dyDescent="0.15">
      <c r="G124" s="592"/>
      <c r="H124" s="592"/>
      <c r="I124" s="592"/>
    </row>
    <row r="125" spans="7:9" s="3" customFormat="1" ht="17.25" customHeight="1" x14ac:dyDescent="0.15">
      <c r="G125" s="592"/>
      <c r="H125" s="592"/>
      <c r="I125" s="592"/>
    </row>
    <row r="126" spans="7:9" s="3" customFormat="1" ht="17.25" customHeight="1" x14ac:dyDescent="0.15">
      <c r="G126" s="592"/>
      <c r="H126" s="592"/>
      <c r="I126" s="592"/>
    </row>
    <row r="127" spans="7:9" s="3" customFormat="1" ht="17.25" customHeight="1" x14ac:dyDescent="0.15">
      <c r="G127" s="592"/>
      <c r="H127" s="592"/>
      <c r="I127" s="592"/>
    </row>
    <row r="128" spans="7:9" s="3" customFormat="1" ht="17.25" customHeight="1" x14ac:dyDescent="0.15">
      <c r="G128" s="592"/>
      <c r="H128" s="592"/>
      <c r="I128" s="592"/>
    </row>
    <row r="129" spans="7:9" s="3" customFormat="1" ht="17.25" customHeight="1" x14ac:dyDescent="0.15">
      <c r="G129" s="592"/>
      <c r="H129" s="592"/>
      <c r="I129" s="592"/>
    </row>
    <row r="130" spans="7:9" s="3" customFormat="1" ht="17.25" customHeight="1" x14ac:dyDescent="0.15">
      <c r="G130" s="592"/>
      <c r="H130" s="592"/>
      <c r="I130" s="592"/>
    </row>
    <row r="131" spans="7:9" s="3" customFormat="1" ht="17.25" customHeight="1" x14ac:dyDescent="0.15">
      <c r="G131" s="592"/>
      <c r="H131" s="592"/>
      <c r="I131" s="592"/>
    </row>
    <row r="132" spans="7:9" s="3" customFormat="1" ht="17.25" customHeight="1" x14ac:dyDescent="0.15">
      <c r="G132" s="592"/>
      <c r="H132" s="592"/>
      <c r="I132" s="592"/>
    </row>
    <row r="133" spans="7:9" s="3" customFormat="1" ht="17.25" customHeight="1" x14ac:dyDescent="0.15">
      <c r="G133" s="592"/>
      <c r="H133" s="592"/>
      <c r="I133" s="592"/>
    </row>
    <row r="134" spans="7:9" s="3" customFormat="1" ht="17.25" customHeight="1" x14ac:dyDescent="0.15">
      <c r="G134" s="592"/>
      <c r="H134" s="592"/>
      <c r="I134" s="592"/>
    </row>
    <row r="135" spans="7:9" s="3" customFormat="1" ht="17.25" customHeight="1" x14ac:dyDescent="0.15">
      <c r="G135" s="592"/>
      <c r="H135" s="592"/>
      <c r="I135" s="592"/>
    </row>
    <row r="136" spans="7:9" s="3" customFormat="1" ht="17.25" customHeight="1" x14ac:dyDescent="0.15">
      <c r="G136" s="592"/>
      <c r="H136" s="592"/>
      <c r="I136" s="592"/>
    </row>
    <row r="137" spans="7:9" s="3" customFormat="1" ht="17.25" customHeight="1" x14ac:dyDescent="0.15">
      <c r="G137" s="592"/>
      <c r="H137" s="592"/>
      <c r="I137" s="592"/>
    </row>
    <row r="138" spans="7:9" s="3" customFormat="1" ht="17.25" customHeight="1" x14ac:dyDescent="0.15">
      <c r="G138" s="592"/>
      <c r="H138" s="592"/>
      <c r="I138" s="592"/>
    </row>
    <row r="139" spans="7:9" s="3" customFormat="1" ht="17.25" customHeight="1" x14ac:dyDescent="0.15">
      <c r="G139" s="592"/>
      <c r="H139" s="592"/>
      <c r="I139" s="592"/>
    </row>
    <row r="140" spans="7:9" s="3" customFormat="1" ht="17.25" customHeight="1" x14ac:dyDescent="0.15">
      <c r="G140" s="592"/>
      <c r="H140" s="592"/>
      <c r="I140" s="592"/>
    </row>
    <row r="141" spans="7:9" s="3" customFormat="1" ht="17.25" customHeight="1" x14ac:dyDescent="0.15">
      <c r="G141" s="592"/>
      <c r="H141" s="592"/>
      <c r="I141" s="592"/>
    </row>
    <row r="142" spans="7:9" s="3" customFormat="1" ht="17.25" customHeight="1" x14ac:dyDescent="0.15">
      <c r="G142" s="592"/>
      <c r="H142" s="592"/>
      <c r="I142" s="592"/>
    </row>
    <row r="143" spans="7:9" s="3" customFormat="1" ht="17.25" customHeight="1" x14ac:dyDescent="0.15">
      <c r="G143" s="592"/>
      <c r="H143" s="592"/>
      <c r="I143" s="592"/>
    </row>
    <row r="144" spans="7:9" s="3" customFormat="1" ht="17.25" customHeight="1" x14ac:dyDescent="0.15">
      <c r="G144" s="592"/>
      <c r="H144" s="592"/>
      <c r="I144" s="592"/>
    </row>
    <row r="145" spans="7:9" s="3" customFormat="1" ht="17.25" customHeight="1" x14ac:dyDescent="0.15">
      <c r="G145" s="592"/>
      <c r="H145" s="592"/>
      <c r="I145" s="592"/>
    </row>
    <row r="146" spans="7:9" s="3" customFormat="1" ht="17.25" customHeight="1" x14ac:dyDescent="0.15">
      <c r="G146" s="592"/>
      <c r="H146" s="592"/>
      <c r="I146" s="592"/>
    </row>
    <row r="147" spans="7:9" s="3" customFormat="1" ht="17.25" customHeight="1" x14ac:dyDescent="0.15">
      <c r="G147" s="592"/>
      <c r="H147" s="592"/>
      <c r="I147" s="592"/>
    </row>
    <row r="148" spans="7:9" s="3" customFormat="1" ht="17.25" customHeight="1" x14ac:dyDescent="0.15">
      <c r="G148" s="592"/>
      <c r="H148" s="592"/>
      <c r="I148" s="592"/>
    </row>
    <row r="149" spans="7:9" s="3" customFormat="1" ht="17.25" customHeight="1" x14ac:dyDescent="0.15">
      <c r="G149" s="592"/>
      <c r="H149" s="592"/>
      <c r="I149" s="592"/>
    </row>
    <row r="150" spans="7:9" s="3" customFormat="1" ht="17.25" customHeight="1" x14ac:dyDescent="0.15">
      <c r="G150" s="592"/>
      <c r="H150" s="592"/>
      <c r="I150" s="592"/>
    </row>
    <row r="151" spans="7:9" s="3" customFormat="1" ht="17.25" customHeight="1" x14ac:dyDescent="0.15">
      <c r="G151" s="592"/>
      <c r="H151" s="592"/>
      <c r="I151" s="592"/>
    </row>
    <row r="152" spans="7:9" s="3" customFormat="1" ht="17.25" customHeight="1" x14ac:dyDescent="0.15">
      <c r="G152" s="592"/>
      <c r="H152" s="592"/>
      <c r="I152" s="592"/>
    </row>
    <row r="153" spans="7:9" s="3" customFormat="1" ht="17.25" customHeight="1" x14ac:dyDescent="0.15">
      <c r="G153" s="592"/>
      <c r="H153" s="592"/>
      <c r="I153" s="592"/>
    </row>
    <row r="154" spans="7:9" s="3" customFormat="1" ht="17.25" customHeight="1" x14ac:dyDescent="0.15">
      <c r="G154" s="592"/>
      <c r="H154" s="592"/>
      <c r="I154" s="592"/>
    </row>
    <row r="155" spans="7:9" s="3" customFormat="1" ht="17.25" customHeight="1" x14ac:dyDescent="0.15">
      <c r="G155" s="592"/>
      <c r="H155" s="592"/>
      <c r="I155" s="592"/>
    </row>
    <row r="156" spans="7:9" s="3" customFormat="1" ht="17.25" customHeight="1" x14ac:dyDescent="0.15">
      <c r="G156" s="592"/>
      <c r="H156" s="592"/>
      <c r="I156" s="592"/>
    </row>
    <row r="157" spans="7:9" s="3" customFormat="1" ht="17.25" customHeight="1" x14ac:dyDescent="0.15">
      <c r="G157" s="592"/>
      <c r="H157" s="592"/>
      <c r="I157" s="592"/>
    </row>
    <row r="158" spans="7:9" s="3" customFormat="1" ht="17.25" customHeight="1" x14ac:dyDescent="0.15">
      <c r="G158" s="592"/>
      <c r="H158" s="592"/>
      <c r="I158" s="592"/>
    </row>
    <row r="159" spans="7:9" s="3" customFormat="1" ht="17.25" customHeight="1" x14ac:dyDescent="0.15">
      <c r="G159" s="592"/>
      <c r="H159" s="592"/>
      <c r="I159" s="592"/>
    </row>
    <row r="160" spans="7:9" s="3" customFormat="1" ht="17.25" customHeight="1" x14ac:dyDescent="0.15">
      <c r="G160" s="592"/>
      <c r="H160" s="592"/>
      <c r="I160" s="592"/>
    </row>
    <row r="161" spans="7:9" s="3" customFormat="1" ht="17.25" customHeight="1" x14ac:dyDescent="0.15">
      <c r="G161" s="592"/>
      <c r="H161" s="592"/>
      <c r="I161" s="592"/>
    </row>
    <row r="162" spans="7:9" s="3" customFormat="1" ht="17.25" customHeight="1" x14ac:dyDescent="0.15">
      <c r="G162" s="592"/>
      <c r="H162" s="592"/>
      <c r="I162" s="592"/>
    </row>
    <row r="163" spans="7:9" s="3" customFormat="1" ht="17.25" customHeight="1" x14ac:dyDescent="0.15">
      <c r="G163" s="592"/>
      <c r="H163" s="592"/>
      <c r="I163" s="592"/>
    </row>
    <row r="164" spans="7:9" s="3" customFormat="1" ht="17.25" customHeight="1" x14ac:dyDescent="0.15">
      <c r="G164" s="592"/>
      <c r="H164" s="592"/>
      <c r="I164" s="592"/>
    </row>
    <row r="165" spans="7:9" s="3" customFormat="1" ht="17.25" customHeight="1" x14ac:dyDescent="0.15">
      <c r="G165" s="592"/>
      <c r="H165" s="592"/>
      <c r="I165" s="592"/>
    </row>
    <row r="166" spans="7:9" s="3" customFormat="1" ht="17.25" customHeight="1" x14ac:dyDescent="0.15">
      <c r="G166" s="592"/>
      <c r="H166" s="592"/>
      <c r="I166" s="592"/>
    </row>
    <row r="167" spans="7:9" s="3" customFormat="1" ht="17.25" customHeight="1" x14ac:dyDescent="0.15">
      <c r="G167" s="592"/>
      <c r="H167" s="592"/>
      <c r="I167" s="592"/>
    </row>
    <row r="168" spans="7:9" s="3" customFormat="1" ht="17.25" customHeight="1" x14ac:dyDescent="0.15">
      <c r="G168" s="592"/>
      <c r="H168" s="592"/>
      <c r="I168" s="592"/>
    </row>
    <row r="169" spans="7:9" s="3" customFormat="1" ht="17.25" customHeight="1" x14ac:dyDescent="0.15">
      <c r="G169" s="592"/>
      <c r="H169" s="592"/>
      <c r="I169" s="592"/>
    </row>
    <row r="170" spans="7:9" s="3" customFormat="1" ht="17.25" customHeight="1" x14ac:dyDescent="0.15">
      <c r="G170" s="592"/>
      <c r="H170" s="592"/>
      <c r="I170" s="592"/>
    </row>
    <row r="171" spans="7:9" s="3" customFormat="1" ht="17.25" customHeight="1" x14ac:dyDescent="0.15">
      <c r="G171" s="592"/>
      <c r="H171" s="592"/>
      <c r="I171" s="592"/>
    </row>
    <row r="172" spans="7:9" s="3" customFormat="1" ht="17.25" customHeight="1" x14ac:dyDescent="0.15">
      <c r="G172" s="592"/>
      <c r="H172" s="592"/>
      <c r="I172" s="592"/>
    </row>
    <row r="173" spans="7:9" s="3" customFormat="1" ht="17.25" customHeight="1" x14ac:dyDescent="0.15">
      <c r="G173" s="592"/>
      <c r="H173" s="592"/>
      <c r="I173" s="592"/>
    </row>
    <row r="174" spans="7:9" s="3" customFormat="1" ht="17.25" customHeight="1" x14ac:dyDescent="0.15">
      <c r="G174" s="592"/>
      <c r="H174" s="592"/>
      <c r="I174" s="592"/>
    </row>
    <row r="175" spans="7:9" s="3" customFormat="1" ht="17.25" customHeight="1" x14ac:dyDescent="0.15">
      <c r="G175" s="592"/>
      <c r="H175" s="592"/>
      <c r="I175" s="592"/>
    </row>
    <row r="176" spans="7:9" s="3" customFormat="1" ht="17.25" customHeight="1" x14ac:dyDescent="0.15">
      <c r="G176" s="592"/>
      <c r="H176" s="592"/>
      <c r="I176" s="592"/>
    </row>
    <row r="177" spans="7:9" s="3" customFormat="1" ht="17.25" customHeight="1" x14ac:dyDescent="0.15">
      <c r="G177" s="592"/>
      <c r="H177" s="592"/>
      <c r="I177" s="592"/>
    </row>
    <row r="178" spans="7:9" s="3" customFormat="1" ht="17.25" customHeight="1" x14ac:dyDescent="0.15">
      <c r="G178" s="592"/>
      <c r="H178" s="592"/>
      <c r="I178" s="592"/>
    </row>
    <row r="179" spans="7:9" s="3" customFormat="1" ht="17.25" customHeight="1" x14ac:dyDescent="0.15">
      <c r="G179" s="592"/>
      <c r="H179" s="592"/>
      <c r="I179" s="592"/>
    </row>
    <row r="180" spans="7:9" s="3" customFormat="1" ht="17.25" customHeight="1" x14ac:dyDescent="0.15">
      <c r="G180" s="592"/>
      <c r="H180" s="592"/>
      <c r="I180" s="592"/>
    </row>
    <row r="181" spans="7:9" s="3" customFormat="1" ht="17.25" customHeight="1" x14ac:dyDescent="0.15">
      <c r="G181" s="592"/>
      <c r="H181" s="592"/>
      <c r="I181" s="592"/>
    </row>
    <row r="182" spans="7:9" s="3" customFormat="1" ht="17.25" customHeight="1" x14ac:dyDescent="0.15">
      <c r="G182" s="592"/>
      <c r="H182" s="592"/>
      <c r="I182" s="592"/>
    </row>
    <row r="183" spans="7:9" s="3" customFormat="1" ht="17.25" customHeight="1" x14ac:dyDescent="0.15">
      <c r="G183" s="592"/>
      <c r="H183" s="592"/>
      <c r="I183" s="592"/>
    </row>
    <row r="184" spans="7:9" s="3" customFormat="1" ht="17.25" customHeight="1" x14ac:dyDescent="0.15">
      <c r="G184" s="592"/>
      <c r="H184" s="592"/>
      <c r="I184" s="592"/>
    </row>
    <row r="185" spans="7:9" s="3" customFormat="1" ht="17.25" customHeight="1" x14ac:dyDescent="0.15">
      <c r="G185" s="592"/>
      <c r="H185" s="592"/>
      <c r="I185" s="592"/>
    </row>
    <row r="186" spans="7:9" s="3" customFormat="1" ht="17.25" customHeight="1" x14ac:dyDescent="0.15">
      <c r="G186" s="592"/>
      <c r="H186" s="592"/>
      <c r="I186" s="592"/>
    </row>
    <row r="187" spans="7:9" s="3" customFormat="1" ht="17.25" customHeight="1" x14ac:dyDescent="0.15">
      <c r="G187" s="592"/>
      <c r="H187" s="592"/>
      <c r="I187" s="592"/>
    </row>
    <row r="188" spans="7:9" s="3" customFormat="1" ht="17.25" customHeight="1" x14ac:dyDescent="0.15">
      <c r="G188" s="592"/>
      <c r="H188" s="592"/>
      <c r="I188" s="592"/>
    </row>
    <row r="189" spans="7:9" s="3" customFormat="1" ht="17.25" customHeight="1" x14ac:dyDescent="0.15">
      <c r="G189" s="592"/>
      <c r="H189" s="592"/>
      <c r="I189" s="592"/>
    </row>
    <row r="190" spans="7:9" s="3" customFormat="1" ht="17.25" customHeight="1" x14ac:dyDescent="0.15">
      <c r="G190" s="592"/>
      <c r="H190" s="592"/>
      <c r="I190" s="592"/>
    </row>
    <row r="191" spans="7:9" s="3" customFormat="1" ht="17.25" customHeight="1" x14ac:dyDescent="0.15">
      <c r="G191" s="592"/>
      <c r="H191" s="592"/>
      <c r="I191" s="592"/>
    </row>
    <row r="192" spans="7:9" s="3" customFormat="1" ht="17.25" customHeight="1" x14ac:dyDescent="0.15">
      <c r="G192" s="592"/>
      <c r="H192" s="592"/>
      <c r="I192" s="592"/>
    </row>
    <row r="193" spans="7:9" s="3" customFormat="1" ht="17.25" customHeight="1" x14ac:dyDescent="0.15">
      <c r="G193" s="592"/>
      <c r="H193" s="592"/>
      <c r="I193" s="592"/>
    </row>
    <row r="194" spans="7:9" s="3" customFormat="1" ht="17.25" customHeight="1" x14ac:dyDescent="0.15">
      <c r="G194" s="592"/>
      <c r="H194" s="592"/>
      <c r="I194" s="592"/>
    </row>
    <row r="195" spans="7:9" s="3" customFormat="1" ht="17.25" customHeight="1" x14ac:dyDescent="0.15">
      <c r="G195" s="592"/>
      <c r="H195" s="592"/>
      <c r="I195" s="592"/>
    </row>
    <row r="196" spans="7:9" s="3" customFormat="1" ht="17.25" customHeight="1" x14ac:dyDescent="0.15">
      <c r="G196" s="592"/>
      <c r="H196" s="592"/>
      <c r="I196" s="592"/>
    </row>
    <row r="197" spans="7:9" s="3" customFormat="1" ht="17.25" customHeight="1" x14ac:dyDescent="0.15">
      <c r="G197" s="592"/>
      <c r="H197" s="592"/>
      <c r="I197" s="592"/>
    </row>
    <row r="198" spans="7:9" s="3" customFormat="1" ht="17.25" customHeight="1" x14ac:dyDescent="0.15">
      <c r="G198" s="592"/>
      <c r="H198" s="592"/>
      <c r="I198" s="592"/>
    </row>
    <row r="199" spans="7:9" s="3" customFormat="1" ht="17.25" customHeight="1" x14ac:dyDescent="0.15">
      <c r="G199" s="592"/>
      <c r="H199" s="592"/>
      <c r="I199" s="592"/>
    </row>
    <row r="200" spans="7:9" s="3" customFormat="1" ht="17.25" customHeight="1" x14ac:dyDescent="0.15">
      <c r="G200" s="592"/>
      <c r="H200" s="592"/>
      <c r="I200" s="592"/>
    </row>
    <row r="201" spans="7:9" s="3" customFormat="1" ht="17.25" customHeight="1" x14ac:dyDescent="0.15">
      <c r="G201" s="592"/>
      <c r="H201" s="592"/>
      <c r="I201" s="592"/>
    </row>
    <row r="202" spans="7:9" s="3" customFormat="1" ht="17.25" customHeight="1" x14ac:dyDescent="0.15">
      <c r="G202" s="592"/>
      <c r="H202" s="592"/>
      <c r="I202" s="592"/>
    </row>
    <row r="203" spans="7:9" s="3" customFormat="1" ht="17.25" customHeight="1" x14ac:dyDescent="0.15">
      <c r="G203" s="592"/>
      <c r="H203" s="592"/>
      <c r="I203" s="592"/>
    </row>
    <row r="204" spans="7:9" s="3" customFormat="1" ht="17.25" customHeight="1" x14ac:dyDescent="0.15">
      <c r="G204" s="592"/>
      <c r="H204" s="592"/>
      <c r="I204" s="592"/>
    </row>
    <row r="205" spans="7:9" s="3" customFormat="1" ht="17.25" customHeight="1" x14ac:dyDescent="0.15">
      <c r="G205" s="592"/>
      <c r="H205" s="592"/>
      <c r="I205" s="592"/>
    </row>
    <row r="206" spans="7:9" s="3" customFormat="1" ht="17.25" customHeight="1" x14ac:dyDescent="0.15">
      <c r="G206" s="592"/>
      <c r="H206" s="592"/>
      <c r="I206" s="592"/>
    </row>
    <row r="207" spans="7:9" s="3" customFormat="1" ht="17.25" customHeight="1" x14ac:dyDescent="0.15">
      <c r="G207" s="592"/>
      <c r="H207" s="592"/>
      <c r="I207" s="592"/>
    </row>
    <row r="208" spans="7:9" s="3" customFormat="1" ht="17.25" customHeight="1" x14ac:dyDescent="0.15">
      <c r="G208" s="592"/>
      <c r="H208" s="592"/>
      <c r="I208" s="592"/>
    </row>
    <row r="209" spans="7:9" s="3" customFormat="1" ht="17.25" customHeight="1" x14ac:dyDescent="0.15">
      <c r="G209" s="592"/>
      <c r="H209" s="592"/>
      <c r="I209" s="592"/>
    </row>
    <row r="210" spans="7:9" s="3" customFormat="1" ht="17.25" customHeight="1" x14ac:dyDescent="0.15">
      <c r="G210" s="592"/>
      <c r="H210" s="592"/>
      <c r="I210" s="592"/>
    </row>
    <row r="211" spans="7:9" s="3" customFormat="1" ht="17.25" customHeight="1" x14ac:dyDescent="0.15">
      <c r="G211" s="592"/>
      <c r="H211" s="592"/>
      <c r="I211" s="592"/>
    </row>
    <row r="212" spans="7:9" s="3" customFormat="1" ht="17.25" customHeight="1" x14ac:dyDescent="0.15">
      <c r="G212" s="592"/>
      <c r="H212" s="592"/>
      <c r="I212" s="592"/>
    </row>
    <row r="213" spans="7:9" s="3" customFormat="1" ht="17.25" customHeight="1" x14ac:dyDescent="0.15">
      <c r="G213" s="592"/>
      <c r="H213" s="592"/>
      <c r="I213" s="592"/>
    </row>
    <row r="214" spans="7:9" s="3" customFormat="1" ht="17.25" customHeight="1" x14ac:dyDescent="0.15">
      <c r="G214" s="592"/>
      <c r="H214" s="592"/>
      <c r="I214" s="592"/>
    </row>
    <row r="215" spans="7:9" s="3" customFormat="1" ht="17.25" customHeight="1" x14ac:dyDescent="0.15">
      <c r="G215" s="592"/>
      <c r="H215" s="592"/>
      <c r="I215" s="592"/>
    </row>
    <row r="216" spans="7:9" s="3" customFormat="1" ht="17.25" customHeight="1" x14ac:dyDescent="0.15">
      <c r="G216" s="592"/>
      <c r="H216" s="592"/>
      <c r="I216" s="592"/>
    </row>
    <row r="217" spans="7:9" s="3" customFormat="1" ht="17.25" customHeight="1" x14ac:dyDescent="0.15">
      <c r="G217" s="592"/>
      <c r="H217" s="592"/>
      <c r="I217" s="592"/>
    </row>
    <row r="218" spans="7:9" s="3" customFormat="1" ht="17.25" customHeight="1" x14ac:dyDescent="0.15">
      <c r="G218" s="592"/>
      <c r="H218" s="592"/>
      <c r="I218" s="592"/>
    </row>
    <row r="219" spans="7:9" s="3" customFormat="1" ht="17.25" customHeight="1" x14ac:dyDescent="0.15">
      <c r="G219" s="592"/>
      <c r="H219" s="592"/>
      <c r="I219" s="592"/>
    </row>
    <row r="220" spans="7:9" s="3" customFormat="1" ht="17.25" customHeight="1" x14ac:dyDescent="0.15">
      <c r="G220" s="592"/>
      <c r="H220" s="592"/>
      <c r="I220" s="592"/>
    </row>
    <row r="221" spans="7:9" s="3" customFormat="1" ht="17.25" customHeight="1" x14ac:dyDescent="0.15">
      <c r="G221" s="592"/>
      <c r="H221" s="592"/>
      <c r="I221" s="592"/>
    </row>
    <row r="222" spans="7:9" s="3" customFormat="1" x14ac:dyDescent="0.15">
      <c r="G222" s="592"/>
      <c r="H222" s="592"/>
      <c r="I222" s="592"/>
    </row>
    <row r="223" spans="7:9" s="3" customFormat="1" x14ac:dyDescent="0.15">
      <c r="G223" s="592"/>
      <c r="H223" s="592"/>
      <c r="I223" s="592"/>
    </row>
    <row r="224" spans="7:9" s="3" customFormat="1" x14ac:dyDescent="0.15">
      <c r="G224" s="592"/>
      <c r="H224" s="592"/>
      <c r="I224" s="592"/>
    </row>
    <row r="225" spans="7:9" s="3" customFormat="1" x14ac:dyDescent="0.15">
      <c r="G225" s="592"/>
      <c r="H225" s="592"/>
      <c r="I225" s="592"/>
    </row>
    <row r="226" spans="7:9" s="3" customFormat="1" x14ac:dyDescent="0.15">
      <c r="G226" s="592"/>
      <c r="H226" s="592"/>
      <c r="I226" s="592"/>
    </row>
    <row r="227" spans="7:9" s="3" customFormat="1" x14ac:dyDescent="0.15">
      <c r="G227" s="592"/>
      <c r="H227" s="592"/>
      <c r="I227" s="592"/>
    </row>
    <row r="228" spans="7:9" s="3" customFormat="1" x14ac:dyDescent="0.15">
      <c r="G228" s="592"/>
      <c r="H228" s="592"/>
      <c r="I228" s="592"/>
    </row>
    <row r="229" spans="7:9" s="3" customFormat="1" x14ac:dyDescent="0.15">
      <c r="G229" s="592"/>
      <c r="H229" s="592"/>
      <c r="I229" s="592"/>
    </row>
    <row r="230" spans="7:9" s="3" customFormat="1" x14ac:dyDescent="0.15">
      <c r="G230" s="592"/>
      <c r="H230" s="592"/>
      <c r="I230" s="592"/>
    </row>
    <row r="231" spans="7:9" s="3" customFormat="1" x14ac:dyDescent="0.15">
      <c r="G231" s="592"/>
      <c r="H231" s="592"/>
      <c r="I231" s="592"/>
    </row>
    <row r="232" spans="7:9" s="3" customFormat="1" x14ac:dyDescent="0.15">
      <c r="G232" s="592"/>
      <c r="H232" s="592"/>
      <c r="I232" s="592"/>
    </row>
    <row r="233" spans="7:9" s="3" customFormat="1" x14ac:dyDescent="0.15">
      <c r="G233" s="592"/>
      <c r="H233" s="592"/>
      <c r="I233" s="592"/>
    </row>
    <row r="234" spans="7:9" s="3" customFormat="1" x14ac:dyDescent="0.15">
      <c r="G234" s="592"/>
      <c r="H234" s="592"/>
      <c r="I234" s="592"/>
    </row>
    <row r="235" spans="7:9" s="3" customFormat="1" x14ac:dyDescent="0.15">
      <c r="G235" s="592"/>
      <c r="H235" s="592"/>
      <c r="I235" s="592"/>
    </row>
    <row r="236" spans="7:9" s="3" customFormat="1" x14ac:dyDescent="0.15">
      <c r="G236" s="592"/>
      <c r="H236" s="592"/>
      <c r="I236" s="592"/>
    </row>
    <row r="237" spans="7:9" s="3" customFormat="1" x14ac:dyDescent="0.15">
      <c r="G237" s="592"/>
      <c r="H237" s="592"/>
      <c r="I237" s="592"/>
    </row>
    <row r="238" spans="7:9" s="3" customFormat="1" x14ac:dyDescent="0.15">
      <c r="G238" s="592"/>
      <c r="H238" s="592"/>
      <c r="I238" s="592"/>
    </row>
    <row r="239" spans="7:9" s="3" customFormat="1" x14ac:dyDescent="0.15">
      <c r="G239" s="592"/>
      <c r="H239" s="592"/>
      <c r="I239" s="592"/>
    </row>
    <row r="240" spans="7:9" s="3" customFormat="1" x14ac:dyDescent="0.15">
      <c r="G240" s="592"/>
      <c r="H240" s="592"/>
      <c r="I240" s="592"/>
    </row>
    <row r="241" spans="7:9" s="3" customFormat="1" x14ac:dyDescent="0.15">
      <c r="G241" s="592"/>
      <c r="H241" s="592"/>
      <c r="I241" s="592"/>
    </row>
    <row r="242" spans="7:9" s="3" customFormat="1" x14ac:dyDescent="0.15">
      <c r="G242" s="592"/>
      <c r="H242" s="592"/>
      <c r="I242" s="592"/>
    </row>
    <row r="243" spans="7:9" s="3" customFormat="1" x14ac:dyDescent="0.15">
      <c r="G243" s="592"/>
      <c r="H243" s="592"/>
      <c r="I243" s="592"/>
    </row>
    <row r="244" spans="7:9" s="3" customFormat="1" x14ac:dyDescent="0.15">
      <c r="G244" s="592"/>
      <c r="H244" s="592"/>
      <c r="I244" s="592"/>
    </row>
    <row r="245" spans="7:9" s="3" customFormat="1" x14ac:dyDescent="0.15">
      <c r="G245" s="592"/>
      <c r="H245" s="592"/>
      <c r="I245" s="592"/>
    </row>
    <row r="246" spans="7:9" s="3" customFormat="1" x14ac:dyDescent="0.15">
      <c r="G246" s="592"/>
      <c r="H246" s="592"/>
      <c r="I246" s="592"/>
    </row>
    <row r="247" spans="7:9" s="3" customFormat="1" x14ac:dyDescent="0.15">
      <c r="G247" s="592"/>
      <c r="H247" s="592"/>
      <c r="I247" s="592"/>
    </row>
    <row r="248" spans="7:9" s="3" customFormat="1" x14ac:dyDescent="0.15">
      <c r="G248" s="592"/>
      <c r="H248" s="592"/>
      <c r="I248" s="592"/>
    </row>
    <row r="249" spans="7:9" s="3" customFormat="1" x14ac:dyDescent="0.15">
      <c r="G249" s="592"/>
      <c r="H249" s="592"/>
      <c r="I249" s="592"/>
    </row>
    <row r="250" spans="7:9" s="3" customFormat="1" x14ac:dyDescent="0.15">
      <c r="G250" s="592"/>
      <c r="H250" s="592"/>
      <c r="I250" s="592"/>
    </row>
    <row r="251" spans="7:9" s="3" customFormat="1" x14ac:dyDescent="0.15">
      <c r="G251" s="592"/>
      <c r="H251" s="592"/>
      <c r="I251" s="592"/>
    </row>
    <row r="252" spans="7:9" s="3" customFormat="1" x14ac:dyDescent="0.15">
      <c r="G252" s="592"/>
      <c r="H252" s="592"/>
      <c r="I252" s="592"/>
    </row>
    <row r="253" spans="7:9" s="3" customFormat="1" x14ac:dyDescent="0.15">
      <c r="G253" s="592"/>
      <c r="H253" s="592"/>
      <c r="I253" s="592"/>
    </row>
    <row r="254" spans="7:9" s="3" customFormat="1" x14ac:dyDescent="0.15">
      <c r="G254" s="592"/>
      <c r="H254" s="592"/>
      <c r="I254" s="592"/>
    </row>
    <row r="255" spans="7:9" s="3" customFormat="1" x14ac:dyDescent="0.15">
      <c r="G255" s="592"/>
      <c r="H255" s="592"/>
      <c r="I255" s="592"/>
    </row>
    <row r="256" spans="7:9" s="3" customFormat="1" x14ac:dyDescent="0.15">
      <c r="G256" s="592"/>
      <c r="H256" s="592"/>
      <c r="I256" s="592"/>
    </row>
    <row r="257" spans="7:9" s="3" customFormat="1" x14ac:dyDescent="0.15">
      <c r="G257" s="592"/>
      <c r="H257" s="592"/>
      <c r="I257" s="592"/>
    </row>
    <row r="258" spans="7:9" s="3" customFormat="1" x14ac:dyDescent="0.15">
      <c r="G258" s="592"/>
      <c r="H258" s="592"/>
      <c r="I258" s="592"/>
    </row>
    <row r="259" spans="7:9" s="3" customFormat="1" x14ac:dyDescent="0.15">
      <c r="G259" s="592"/>
      <c r="H259" s="592"/>
      <c r="I259" s="592"/>
    </row>
    <row r="260" spans="7:9" s="3" customFormat="1" x14ac:dyDescent="0.15">
      <c r="G260" s="592"/>
      <c r="H260" s="592"/>
      <c r="I260" s="592"/>
    </row>
    <row r="261" spans="7:9" s="3" customFormat="1" x14ac:dyDescent="0.15">
      <c r="G261" s="592"/>
      <c r="H261" s="592"/>
      <c r="I261" s="592"/>
    </row>
    <row r="262" spans="7:9" s="3" customFormat="1" x14ac:dyDescent="0.15">
      <c r="G262" s="592"/>
      <c r="H262" s="592"/>
      <c r="I262" s="592"/>
    </row>
    <row r="263" spans="7:9" s="3" customFormat="1" x14ac:dyDescent="0.15">
      <c r="G263" s="592"/>
      <c r="H263" s="592"/>
      <c r="I263" s="592"/>
    </row>
    <row r="264" spans="7:9" s="3" customFormat="1" x14ac:dyDescent="0.15">
      <c r="G264" s="592"/>
      <c r="H264" s="592"/>
      <c r="I264" s="592"/>
    </row>
    <row r="265" spans="7:9" s="3" customFormat="1" x14ac:dyDescent="0.15">
      <c r="G265" s="592"/>
      <c r="H265" s="592"/>
      <c r="I265" s="592"/>
    </row>
    <row r="266" spans="7:9" s="3" customFormat="1" x14ac:dyDescent="0.15">
      <c r="G266" s="592"/>
      <c r="H266" s="592"/>
      <c r="I266" s="592"/>
    </row>
    <row r="267" spans="7:9" s="3" customFormat="1" x14ac:dyDescent="0.15">
      <c r="G267" s="592"/>
      <c r="H267" s="592"/>
      <c r="I267" s="592"/>
    </row>
    <row r="268" spans="7:9" s="3" customFormat="1" x14ac:dyDescent="0.15">
      <c r="G268" s="592"/>
      <c r="H268" s="592"/>
      <c r="I268" s="592"/>
    </row>
    <row r="269" spans="7:9" s="3" customFormat="1" x14ac:dyDescent="0.15">
      <c r="G269" s="592"/>
      <c r="H269" s="592"/>
      <c r="I269" s="592"/>
    </row>
    <row r="270" spans="7:9" s="3" customFormat="1" x14ac:dyDescent="0.15">
      <c r="G270" s="592"/>
      <c r="H270" s="592"/>
      <c r="I270" s="592"/>
    </row>
    <row r="271" spans="7:9" s="3" customFormat="1" x14ac:dyDescent="0.15">
      <c r="G271" s="592"/>
      <c r="H271" s="592"/>
      <c r="I271" s="592"/>
    </row>
    <row r="272" spans="7:9" s="3" customFormat="1" x14ac:dyDescent="0.15">
      <c r="G272" s="592"/>
      <c r="H272" s="592"/>
      <c r="I272" s="592"/>
    </row>
    <row r="273" spans="7:9" s="3" customFormat="1" x14ac:dyDescent="0.15">
      <c r="G273" s="592"/>
      <c r="H273" s="592"/>
      <c r="I273" s="592"/>
    </row>
    <row r="274" spans="7:9" s="3" customFormat="1" x14ac:dyDescent="0.15">
      <c r="G274" s="592"/>
      <c r="H274" s="592"/>
      <c r="I274" s="592"/>
    </row>
    <row r="275" spans="7:9" s="3" customFormat="1" x14ac:dyDescent="0.15">
      <c r="G275" s="592"/>
      <c r="H275" s="592"/>
      <c r="I275" s="592"/>
    </row>
    <row r="276" spans="7:9" s="3" customFormat="1" x14ac:dyDescent="0.15">
      <c r="G276" s="592"/>
      <c r="H276" s="592"/>
      <c r="I276" s="592"/>
    </row>
    <row r="277" spans="7:9" s="3" customFormat="1" x14ac:dyDescent="0.15">
      <c r="G277" s="592"/>
      <c r="H277" s="592"/>
      <c r="I277" s="592"/>
    </row>
    <row r="278" spans="7:9" s="3" customFormat="1" x14ac:dyDescent="0.15">
      <c r="G278" s="592"/>
      <c r="H278" s="592"/>
      <c r="I278" s="592"/>
    </row>
    <row r="279" spans="7:9" s="3" customFormat="1" x14ac:dyDescent="0.15">
      <c r="G279" s="592"/>
      <c r="H279" s="592"/>
      <c r="I279" s="592"/>
    </row>
    <row r="280" spans="7:9" s="3" customFormat="1" x14ac:dyDescent="0.15">
      <c r="G280" s="592"/>
      <c r="H280" s="592"/>
      <c r="I280" s="592"/>
    </row>
    <row r="281" spans="7:9" s="3" customFormat="1" x14ac:dyDescent="0.15">
      <c r="G281" s="592"/>
      <c r="H281" s="592"/>
      <c r="I281" s="592"/>
    </row>
    <row r="282" spans="7:9" s="3" customFormat="1" x14ac:dyDescent="0.15">
      <c r="G282" s="592"/>
      <c r="H282" s="592"/>
      <c r="I282" s="592"/>
    </row>
    <row r="283" spans="7:9" s="3" customFormat="1" x14ac:dyDescent="0.15">
      <c r="G283" s="592"/>
      <c r="H283" s="592"/>
      <c r="I283" s="592"/>
    </row>
    <row r="284" spans="7:9" s="3" customFormat="1" x14ac:dyDescent="0.15">
      <c r="G284" s="592"/>
      <c r="H284" s="592"/>
      <c r="I284" s="592"/>
    </row>
    <row r="285" spans="7:9" s="3" customFormat="1" x14ac:dyDescent="0.15">
      <c r="G285" s="592"/>
      <c r="H285" s="592"/>
      <c r="I285" s="592"/>
    </row>
    <row r="286" spans="7:9" s="3" customFormat="1" x14ac:dyDescent="0.15">
      <c r="G286" s="592"/>
      <c r="H286" s="592"/>
      <c r="I286" s="592"/>
    </row>
    <row r="287" spans="7:9" s="3" customFormat="1" x14ac:dyDescent="0.15">
      <c r="G287" s="592"/>
      <c r="H287" s="592"/>
      <c r="I287" s="592"/>
    </row>
    <row r="288" spans="7:9" s="3" customFormat="1" x14ac:dyDescent="0.15">
      <c r="G288" s="592"/>
      <c r="H288" s="592"/>
      <c r="I288" s="592"/>
    </row>
    <row r="289" spans="7:9" s="3" customFormat="1" x14ac:dyDescent="0.15">
      <c r="G289" s="592"/>
      <c r="H289" s="592"/>
      <c r="I289" s="592"/>
    </row>
    <row r="290" spans="7:9" s="3" customFormat="1" x14ac:dyDescent="0.15">
      <c r="G290" s="592"/>
      <c r="H290" s="592"/>
      <c r="I290" s="592"/>
    </row>
    <row r="291" spans="7:9" s="3" customFormat="1" x14ac:dyDescent="0.15">
      <c r="G291" s="592"/>
      <c r="H291" s="592"/>
      <c r="I291" s="592"/>
    </row>
    <row r="292" spans="7:9" s="3" customFormat="1" x14ac:dyDescent="0.15">
      <c r="G292" s="592"/>
      <c r="H292" s="592"/>
      <c r="I292" s="592"/>
    </row>
    <row r="293" spans="7:9" s="3" customFormat="1" x14ac:dyDescent="0.15">
      <c r="G293" s="592"/>
      <c r="H293" s="592"/>
      <c r="I293" s="592"/>
    </row>
    <row r="294" spans="7:9" s="3" customFormat="1" x14ac:dyDescent="0.15">
      <c r="G294" s="592"/>
      <c r="H294" s="592"/>
      <c r="I294" s="592"/>
    </row>
    <row r="295" spans="7:9" s="3" customFormat="1" x14ac:dyDescent="0.15">
      <c r="G295" s="592"/>
      <c r="H295" s="592"/>
      <c r="I295" s="592"/>
    </row>
    <row r="296" spans="7:9" s="3" customFormat="1" x14ac:dyDescent="0.15">
      <c r="G296" s="592"/>
      <c r="H296" s="592"/>
      <c r="I296" s="592"/>
    </row>
    <row r="297" spans="7:9" s="3" customFormat="1" x14ac:dyDescent="0.15">
      <c r="G297" s="592"/>
      <c r="H297" s="592"/>
      <c r="I297" s="592"/>
    </row>
    <row r="298" spans="7:9" s="3" customFormat="1" x14ac:dyDescent="0.15">
      <c r="G298" s="592"/>
      <c r="H298" s="592"/>
      <c r="I298" s="592"/>
    </row>
    <row r="299" spans="7:9" s="3" customFormat="1" x14ac:dyDescent="0.15">
      <c r="G299" s="592"/>
      <c r="H299" s="592"/>
      <c r="I299" s="592"/>
    </row>
    <row r="300" spans="7:9" s="3" customFormat="1" x14ac:dyDescent="0.15">
      <c r="G300" s="592"/>
      <c r="H300" s="592"/>
      <c r="I300" s="592"/>
    </row>
    <row r="301" spans="7:9" s="3" customFormat="1" x14ac:dyDescent="0.15">
      <c r="G301" s="592"/>
      <c r="H301" s="592"/>
      <c r="I301" s="592"/>
    </row>
    <row r="302" spans="7:9" s="3" customFormat="1" x14ac:dyDescent="0.15">
      <c r="G302" s="592"/>
      <c r="H302" s="592"/>
      <c r="I302" s="592"/>
    </row>
    <row r="303" spans="7:9" s="3" customFormat="1" x14ac:dyDescent="0.15">
      <c r="G303" s="592"/>
      <c r="H303" s="592"/>
      <c r="I303" s="592"/>
    </row>
    <row r="304" spans="7:9" s="3" customFormat="1" x14ac:dyDescent="0.15">
      <c r="G304" s="592"/>
      <c r="H304" s="592"/>
      <c r="I304" s="592"/>
    </row>
    <row r="305" spans="7:9" s="3" customFormat="1" x14ac:dyDescent="0.15">
      <c r="G305" s="592"/>
      <c r="H305" s="592"/>
      <c r="I305" s="592"/>
    </row>
    <row r="306" spans="7:9" s="3" customFormat="1" x14ac:dyDescent="0.15">
      <c r="G306" s="592"/>
      <c r="H306" s="592"/>
      <c r="I306" s="592"/>
    </row>
    <row r="307" spans="7:9" s="3" customFormat="1" x14ac:dyDescent="0.15">
      <c r="G307" s="592"/>
      <c r="H307" s="592"/>
      <c r="I307" s="592"/>
    </row>
    <row r="308" spans="7:9" s="3" customFormat="1" x14ac:dyDescent="0.15">
      <c r="G308" s="592"/>
      <c r="H308" s="592"/>
      <c r="I308" s="592"/>
    </row>
    <row r="309" spans="7:9" s="3" customFormat="1" x14ac:dyDescent="0.15">
      <c r="G309" s="592"/>
      <c r="H309" s="592"/>
      <c r="I309" s="592"/>
    </row>
    <row r="310" spans="7:9" s="3" customFormat="1" x14ac:dyDescent="0.15">
      <c r="G310" s="592"/>
      <c r="H310" s="592"/>
      <c r="I310" s="592"/>
    </row>
    <row r="311" spans="7:9" s="3" customFormat="1" x14ac:dyDescent="0.15">
      <c r="G311" s="592"/>
      <c r="H311" s="592"/>
      <c r="I311" s="592"/>
    </row>
    <row r="312" spans="7:9" s="3" customFormat="1" x14ac:dyDescent="0.15">
      <c r="G312" s="592"/>
      <c r="H312" s="592"/>
      <c r="I312" s="592"/>
    </row>
    <row r="313" spans="7:9" s="3" customFormat="1" x14ac:dyDescent="0.15">
      <c r="G313" s="592"/>
      <c r="H313" s="592"/>
      <c r="I313" s="592"/>
    </row>
    <row r="314" spans="7:9" s="3" customFormat="1" x14ac:dyDescent="0.15">
      <c r="G314" s="592"/>
      <c r="H314" s="592"/>
      <c r="I314" s="592"/>
    </row>
    <row r="315" spans="7:9" s="3" customFormat="1" x14ac:dyDescent="0.15">
      <c r="G315" s="592"/>
      <c r="H315" s="592"/>
      <c r="I315" s="592"/>
    </row>
    <row r="316" spans="7:9" s="3" customFormat="1" x14ac:dyDescent="0.15">
      <c r="G316" s="592"/>
      <c r="H316" s="592"/>
      <c r="I316" s="592"/>
    </row>
    <row r="317" spans="7:9" s="3" customFormat="1" x14ac:dyDescent="0.15">
      <c r="G317" s="592"/>
      <c r="H317" s="592"/>
      <c r="I317" s="592"/>
    </row>
    <row r="318" spans="7:9" s="3" customFormat="1" x14ac:dyDescent="0.15">
      <c r="G318" s="592"/>
      <c r="H318" s="592"/>
      <c r="I318" s="592"/>
    </row>
    <row r="319" spans="7:9" s="3" customFormat="1" x14ac:dyDescent="0.15">
      <c r="G319" s="592"/>
      <c r="H319" s="592"/>
      <c r="I319" s="592"/>
    </row>
    <row r="320" spans="7:9" s="3" customFormat="1" x14ac:dyDescent="0.15">
      <c r="G320" s="592"/>
      <c r="H320" s="592"/>
      <c r="I320" s="592"/>
    </row>
    <row r="321" spans="7:9" s="3" customFormat="1" x14ac:dyDescent="0.15">
      <c r="G321" s="592"/>
      <c r="H321" s="592"/>
      <c r="I321" s="592"/>
    </row>
    <row r="322" spans="7:9" s="3" customFormat="1" x14ac:dyDescent="0.15">
      <c r="G322" s="592"/>
      <c r="H322" s="592"/>
      <c r="I322" s="592"/>
    </row>
    <row r="323" spans="7:9" s="3" customFormat="1" x14ac:dyDescent="0.15">
      <c r="G323" s="592"/>
      <c r="H323" s="592"/>
      <c r="I323" s="592"/>
    </row>
    <row r="324" spans="7:9" s="3" customFormat="1" x14ac:dyDescent="0.15">
      <c r="G324" s="592"/>
      <c r="H324" s="592"/>
      <c r="I324" s="592"/>
    </row>
    <row r="325" spans="7:9" s="3" customFormat="1" x14ac:dyDescent="0.15">
      <c r="G325" s="592"/>
      <c r="H325" s="592"/>
      <c r="I325" s="592"/>
    </row>
    <row r="326" spans="7:9" s="3" customFormat="1" x14ac:dyDescent="0.15">
      <c r="G326" s="592"/>
      <c r="H326" s="592"/>
      <c r="I326" s="592"/>
    </row>
    <row r="327" spans="7:9" s="3" customFormat="1" x14ac:dyDescent="0.15">
      <c r="G327" s="592"/>
      <c r="H327" s="592"/>
      <c r="I327" s="592"/>
    </row>
    <row r="328" spans="7:9" s="3" customFormat="1" x14ac:dyDescent="0.15">
      <c r="G328" s="592"/>
      <c r="H328" s="592"/>
      <c r="I328" s="592"/>
    </row>
    <row r="329" spans="7:9" s="3" customFormat="1" x14ac:dyDescent="0.15">
      <c r="G329" s="592"/>
      <c r="H329" s="592"/>
      <c r="I329" s="592"/>
    </row>
    <row r="330" spans="7:9" s="3" customFormat="1" x14ac:dyDescent="0.15">
      <c r="G330" s="592"/>
      <c r="H330" s="592"/>
      <c r="I330" s="592"/>
    </row>
    <row r="331" spans="7:9" s="3" customFormat="1" x14ac:dyDescent="0.15">
      <c r="G331" s="592"/>
      <c r="H331" s="592"/>
      <c r="I331" s="592"/>
    </row>
    <row r="332" spans="7:9" s="3" customFormat="1" x14ac:dyDescent="0.15">
      <c r="G332" s="592"/>
      <c r="H332" s="592"/>
      <c r="I332" s="592"/>
    </row>
    <row r="333" spans="7:9" s="3" customFormat="1" x14ac:dyDescent="0.15">
      <c r="G333" s="592"/>
      <c r="H333" s="592"/>
      <c r="I333" s="592"/>
    </row>
    <row r="334" spans="7:9" s="3" customFormat="1" x14ac:dyDescent="0.15">
      <c r="G334" s="592"/>
      <c r="H334" s="592"/>
      <c r="I334" s="592"/>
    </row>
    <row r="335" spans="7:9" s="3" customFormat="1" x14ac:dyDescent="0.15">
      <c r="G335" s="592"/>
      <c r="H335" s="592"/>
      <c r="I335" s="592"/>
    </row>
    <row r="336" spans="7:9" s="3" customFormat="1" x14ac:dyDescent="0.15">
      <c r="G336" s="592"/>
      <c r="H336" s="592"/>
      <c r="I336" s="592"/>
    </row>
    <row r="337" spans="7:9" s="3" customFormat="1" x14ac:dyDescent="0.15">
      <c r="G337" s="592"/>
      <c r="H337" s="592"/>
      <c r="I337" s="592"/>
    </row>
    <row r="338" spans="7:9" s="3" customFormat="1" x14ac:dyDescent="0.15">
      <c r="G338" s="592"/>
      <c r="H338" s="592"/>
      <c r="I338" s="592"/>
    </row>
    <row r="339" spans="7:9" s="3" customFormat="1" x14ac:dyDescent="0.15">
      <c r="G339" s="592"/>
      <c r="H339" s="592"/>
      <c r="I339" s="592"/>
    </row>
    <row r="340" spans="7:9" s="3" customFormat="1" x14ac:dyDescent="0.15">
      <c r="G340" s="592"/>
      <c r="H340" s="592"/>
      <c r="I340" s="592"/>
    </row>
    <row r="341" spans="7:9" s="3" customFormat="1" x14ac:dyDescent="0.15">
      <c r="G341" s="592"/>
      <c r="H341" s="592"/>
      <c r="I341" s="592"/>
    </row>
    <row r="342" spans="7:9" s="3" customFormat="1" x14ac:dyDescent="0.15">
      <c r="G342" s="592"/>
      <c r="H342" s="592"/>
      <c r="I342" s="592"/>
    </row>
    <row r="343" spans="7:9" s="3" customFormat="1" x14ac:dyDescent="0.15">
      <c r="G343" s="592"/>
      <c r="H343" s="592"/>
      <c r="I343" s="592"/>
    </row>
    <row r="344" spans="7:9" s="3" customFormat="1" x14ac:dyDescent="0.15">
      <c r="G344" s="592"/>
      <c r="H344" s="592"/>
      <c r="I344" s="592"/>
    </row>
    <row r="345" spans="7:9" s="3" customFormat="1" x14ac:dyDescent="0.15">
      <c r="G345" s="592"/>
      <c r="H345" s="592"/>
      <c r="I345" s="592"/>
    </row>
    <row r="346" spans="7:9" s="3" customFormat="1" x14ac:dyDescent="0.15">
      <c r="G346" s="592"/>
      <c r="H346" s="592"/>
      <c r="I346" s="592"/>
    </row>
    <row r="347" spans="7:9" s="3" customFormat="1" x14ac:dyDescent="0.15">
      <c r="G347" s="592"/>
      <c r="H347" s="592"/>
      <c r="I347" s="592"/>
    </row>
    <row r="348" spans="7:9" s="3" customFormat="1" x14ac:dyDescent="0.15">
      <c r="G348" s="592"/>
      <c r="H348" s="592"/>
      <c r="I348" s="592"/>
    </row>
    <row r="349" spans="7:9" s="3" customFormat="1" x14ac:dyDescent="0.15">
      <c r="G349" s="592"/>
      <c r="H349" s="592"/>
      <c r="I349" s="592"/>
    </row>
    <row r="350" spans="7:9" s="3" customFormat="1" x14ac:dyDescent="0.15">
      <c r="G350" s="592"/>
      <c r="H350" s="592"/>
      <c r="I350" s="592"/>
    </row>
    <row r="351" spans="7:9" s="3" customFormat="1" x14ac:dyDescent="0.15">
      <c r="G351" s="592"/>
      <c r="H351" s="592"/>
      <c r="I351" s="592"/>
    </row>
    <row r="352" spans="7:9" s="3" customFormat="1" x14ac:dyDescent="0.15">
      <c r="G352" s="592"/>
      <c r="H352" s="592"/>
      <c r="I352" s="592"/>
    </row>
    <row r="353" spans="7:9" s="3" customFormat="1" x14ac:dyDescent="0.15">
      <c r="G353" s="592"/>
      <c r="H353" s="592"/>
      <c r="I353" s="592"/>
    </row>
    <row r="354" spans="7:9" s="3" customFormat="1" x14ac:dyDescent="0.15">
      <c r="G354" s="592"/>
      <c r="H354" s="592"/>
      <c r="I354" s="592"/>
    </row>
    <row r="355" spans="7:9" s="3" customFormat="1" x14ac:dyDescent="0.15">
      <c r="G355" s="592"/>
      <c r="H355" s="592"/>
      <c r="I355" s="592"/>
    </row>
    <row r="356" spans="7:9" s="3" customFormat="1" x14ac:dyDescent="0.15">
      <c r="G356" s="592"/>
      <c r="H356" s="592"/>
      <c r="I356" s="592"/>
    </row>
    <row r="357" spans="7:9" s="3" customFormat="1" x14ac:dyDescent="0.15">
      <c r="G357" s="592"/>
      <c r="H357" s="592"/>
      <c r="I357" s="592"/>
    </row>
    <row r="358" spans="7:9" s="3" customFormat="1" x14ac:dyDescent="0.15">
      <c r="G358" s="592"/>
      <c r="H358" s="592"/>
      <c r="I358" s="592"/>
    </row>
    <row r="359" spans="7:9" s="3" customFormat="1" x14ac:dyDescent="0.15">
      <c r="G359" s="592"/>
      <c r="H359" s="592"/>
      <c r="I359" s="592"/>
    </row>
    <row r="360" spans="7:9" s="3" customFormat="1" x14ac:dyDescent="0.15">
      <c r="G360" s="592"/>
      <c r="H360" s="592"/>
      <c r="I360" s="592"/>
    </row>
    <row r="361" spans="7:9" s="3" customFormat="1" x14ac:dyDescent="0.15">
      <c r="G361" s="592"/>
      <c r="H361" s="592"/>
      <c r="I361" s="592"/>
    </row>
    <row r="362" spans="7:9" s="3" customFormat="1" x14ac:dyDescent="0.15">
      <c r="G362" s="592"/>
      <c r="H362" s="592"/>
      <c r="I362" s="592"/>
    </row>
    <row r="363" spans="7:9" s="3" customFormat="1" x14ac:dyDescent="0.15">
      <c r="G363" s="592"/>
      <c r="H363" s="592"/>
      <c r="I363" s="592"/>
    </row>
    <row r="364" spans="7:9" s="3" customFormat="1" x14ac:dyDescent="0.15">
      <c r="G364" s="592"/>
      <c r="H364" s="592"/>
      <c r="I364" s="592"/>
    </row>
    <row r="365" spans="7:9" s="3" customFormat="1" x14ac:dyDescent="0.15">
      <c r="G365" s="592"/>
      <c r="H365" s="592"/>
      <c r="I365" s="592"/>
    </row>
    <row r="366" spans="7:9" s="3" customFormat="1" x14ac:dyDescent="0.15">
      <c r="G366" s="592"/>
      <c r="H366" s="592"/>
      <c r="I366" s="592"/>
    </row>
    <row r="367" spans="7:9" s="3" customFormat="1" x14ac:dyDescent="0.15">
      <c r="G367" s="592"/>
      <c r="H367" s="592"/>
      <c r="I367" s="592"/>
    </row>
    <row r="368" spans="7:9" s="3" customFormat="1" x14ac:dyDescent="0.15">
      <c r="G368" s="592"/>
      <c r="H368" s="592"/>
      <c r="I368" s="592"/>
    </row>
    <row r="369" spans="7:9" s="3" customFormat="1" x14ac:dyDescent="0.15">
      <c r="G369" s="592"/>
      <c r="H369" s="592"/>
      <c r="I369" s="592"/>
    </row>
    <row r="370" spans="7:9" s="3" customFormat="1" x14ac:dyDescent="0.15">
      <c r="G370" s="592"/>
      <c r="H370" s="592"/>
      <c r="I370" s="592"/>
    </row>
    <row r="371" spans="7:9" s="3" customFormat="1" x14ac:dyDescent="0.15">
      <c r="G371" s="592"/>
      <c r="H371" s="592"/>
      <c r="I371" s="592"/>
    </row>
    <row r="372" spans="7:9" s="3" customFormat="1" x14ac:dyDescent="0.15">
      <c r="G372" s="592"/>
      <c r="H372" s="592"/>
      <c r="I372" s="592"/>
    </row>
    <row r="373" spans="7:9" s="3" customFormat="1" x14ac:dyDescent="0.15">
      <c r="G373" s="592"/>
      <c r="H373" s="592"/>
      <c r="I373" s="592"/>
    </row>
    <row r="374" spans="7:9" s="3" customFormat="1" x14ac:dyDescent="0.15">
      <c r="G374" s="592"/>
      <c r="H374" s="592"/>
      <c r="I374" s="592"/>
    </row>
    <row r="375" spans="7:9" s="3" customFormat="1" x14ac:dyDescent="0.15">
      <c r="G375" s="592"/>
      <c r="H375" s="592"/>
      <c r="I375" s="592"/>
    </row>
    <row r="376" spans="7:9" s="3" customFormat="1" x14ac:dyDescent="0.15">
      <c r="G376" s="592"/>
      <c r="H376" s="592"/>
      <c r="I376" s="592"/>
    </row>
    <row r="377" spans="7:9" s="3" customFormat="1" x14ac:dyDescent="0.15">
      <c r="G377" s="592"/>
      <c r="H377" s="592"/>
      <c r="I377" s="592"/>
    </row>
    <row r="378" spans="7:9" s="3" customFormat="1" x14ac:dyDescent="0.15">
      <c r="G378" s="592"/>
      <c r="H378" s="592"/>
      <c r="I378" s="592"/>
    </row>
    <row r="379" spans="7:9" s="3" customFormat="1" x14ac:dyDescent="0.15">
      <c r="G379" s="592"/>
      <c r="H379" s="592"/>
      <c r="I379" s="592"/>
    </row>
    <row r="380" spans="7:9" s="3" customFormat="1" x14ac:dyDescent="0.15">
      <c r="G380" s="592"/>
      <c r="H380" s="592"/>
      <c r="I380" s="592"/>
    </row>
    <row r="381" spans="7:9" s="3" customFormat="1" x14ac:dyDescent="0.15">
      <c r="G381" s="592"/>
      <c r="H381" s="592"/>
      <c r="I381" s="592"/>
    </row>
    <row r="382" spans="7:9" s="3" customFormat="1" x14ac:dyDescent="0.15">
      <c r="G382" s="592"/>
      <c r="H382" s="592"/>
      <c r="I382" s="592"/>
    </row>
    <row r="383" spans="7:9" s="3" customFormat="1" x14ac:dyDescent="0.15">
      <c r="G383" s="592"/>
      <c r="H383" s="592"/>
      <c r="I383" s="592"/>
    </row>
    <row r="384" spans="7:9" s="3" customFormat="1" x14ac:dyDescent="0.15">
      <c r="G384" s="592"/>
      <c r="H384" s="592"/>
      <c r="I384" s="592"/>
    </row>
    <row r="385" spans="7:9" s="3" customFormat="1" x14ac:dyDescent="0.15">
      <c r="G385" s="592"/>
      <c r="H385" s="592"/>
      <c r="I385" s="592"/>
    </row>
    <row r="386" spans="7:9" s="3" customFormat="1" x14ac:dyDescent="0.15">
      <c r="G386" s="592"/>
      <c r="H386" s="592"/>
      <c r="I386" s="592"/>
    </row>
    <row r="387" spans="7:9" s="3" customFormat="1" x14ac:dyDescent="0.15">
      <c r="G387" s="592"/>
      <c r="H387" s="592"/>
      <c r="I387" s="592"/>
    </row>
    <row r="388" spans="7:9" s="3" customFormat="1" x14ac:dyDescent="0.15">
      <c r="G388" s="592"/>
      <c r="H388" s="592"/>
      <c r="I388" s="592"/>
    </row>
    <row r="389" spans="7:9" s="3" customFormat="1" x14ac:dyDescent="0.15">
      <c r="G389" s="592"/>
      <c r="H389" s="592"/>
      <c r="I389" s="592"/>
    </row>
    <row r="390" spans="7:9" s="3" customFormat="1" x14ac:dyDescent="0.15">
      <c r="G390" s="592"/>
      <c r="H390" s="592"/>
      <c r="I390" s="592"/>
    </row>
    <row r="391" spans="7:9" s="3" customFormat="1" x14ac:dyDescent="0.15">
      <c r="G391" s="592"/>
      <c r="H391" s="592"/>
      <c r="I391" s="592"/>
    </row>
    <row r="392" spans="7:9" s="3" customFormat="1" x14ac:dyDescent="0.15">
      <c r="G392" s="592"/>
      <c r="H392" s="592"/>
      <c r="I392" s="592"/>
    </row>
    <row r="393" spans="7:9" s="3" customFormat="1" x14ac:dyDescent="0.15">
      <c r="G393" s="592"/>
      <c r="H393" s="592"/>
      <c r="I393" s="592"/>
    </row>
    <row r="394" spans="7:9" s="3" customFormat="1" x14ac:dyDescent="0.15">
      <c r="G394" s="592"/>
      <c r="H394" s="592"/>
      <c r="I394" s="592"/>
    </row>
    <row r="395" spans="7:9" s="3" customFormat="1" x14ac:dyDescent="0.15">
      <c r="G395" s="592"/>
      <c r="H395" s="592"/>
      <c r="I395" s="592"/>
    </row>
    <row r="396" spans="7:9" s="3" customFormat="1" x14ac:dyDescent="0.15">
      <c r="G396" s="592"/>
      <c r="H396" s="592"/>
      <c r="I396" s="592"/>
    </row>
    <row r="397" spans="7:9" s="3" customFormat="1" x14ac:dyDescent="0.15">
      <c r="G397" s="592"/>
      <c r="H397" s="592"/>
      <c r="I397" s="592"/>
    </row>
    <row r="398" spans="7:9" s="3" customFormat="1" x14ac:dyDescent="0.15">
      <c r="G398" s="592"/>
      <c r="H398" s="592"/>
      <c r="I398" s="592"/>
    </row>
    <row r="399" spans="7:9" s="3" customFormat="1" x14ac:dyDescent="0.15">
      <c r="G399" s="592"/>
      <c r="H399" s="592"/>
      <c r="I399" s="592"/>
    </row>
    <row r="400" spans="7:9" s="3" customFormat="1" x14ac:dyDescent="0.15">
      <c r="G400" s="592"/>
      <c r="H400" s="592"/>
      <c r="I400" s="592"/>
    </row>
    <row r="401" spans="7:9" s="3" customFormat="1" x14ac:dyDescent="0.15">
      <c r="G401" s="592"/>
      <c r="H401" s="592"/>
      <c r="I401" s="592"/>
    </row>
    <row r="402" spans="7:9" s="3" customFormat="1" x14ac:dyDescent="0.15">
      <c r="G402" s="592"/>
      <c r="H402" s="592"/>
      <c r="I402" s="592"/>
    </row>
    <row r="403" spans="7:9" s="3" customFormat="1" x14ac:dyDescent="0.15">
      <c r="G403" s="592"/>
      <c r="H403" s="592"/>
      <c r="I403" s="592"/>
    </row>
    <row r="404" spans="7:9" s="3" customFormat="1" x14ac:dyDescent="0.15">
      <c r="G404" s="592"/>
      <c r="H404" s="592"/>
      <c r="I404" s="592"/>
    </row>
    <row r="405" spans="7:9" s="3" customFormat="1" x14ac:dyDescent="0.15">
      <c r="G405" s="592"/>
      <c r="H405" s="592"/>
      <c r="I405" s="592"/>
    </row>
    <row r="406" spans="7:9" s="3" customFormat="1" x14ac:dyDescent="0.15">
      <c r="G406" s="592"/>
      <c r="H406" s="592"/>
      <c r="I406" s="592"/>
    </row>
    <row r="407" spans="7:9" s="3" customFormat="1" x14ac:dyDescent="0.15">
      <c r="G407" s="592"/>
      <c r="H407" s="592"/>
      <c r="I407" s="592"/>
    </row>
    <row r="408" spans="7:9" s="3" customFormat="1" x14ac:dyDescent="0.15">
      <c r="G408" s="592"/>
      <c r="H408" s="592"/>
      <c r="I408" s="592"/>
    </row>
    <row r="409" spans="7:9" s="3" customFormat="1" x14ac:dyDescent="0.15">
      <c r="G409" s="592"/>
      <c r="H409" s="592"/>
      <c r="I409" s="592"/>
    </row>
    <row r="410" spans="7:9" s="3" customFormat="1" x14ac:dyDescent="0.15">
      <c r="G410" s="592"/>
      <c r="H410" s="592"/>
      <c r="I410" s="592"/>
    </row>
    <row r="411" spans="7:9" s="3" customFormat="1" x14ac:dyDescent="0.15">
      <c r="G411" s="592"/>
      <c r="H411" s="592"/>
      <c r="I411" s="592"/>
    </row>
    <row r="412" spans="7:9" s="3" customFormat="1" x14ac:dyDescent="0.15">
      <c r="G412" s="592"/>
      <c r="H412" s="592"/>
      <c r="I412" s="592"/>
    </row>
    <row r="413" spans="7:9" s="3" customFormat="1" x14ac:dyDescent="0.15">
      <c r="G413" s="592"/>
      <c r="H413" s="592"/>
      <c r="I413" s="592"/>
    </row>
    <row r="414" spans="7:9" s="3" customFormat="1" x14ac:dyDescent="0.15">
      <c r="G414" s="592"/>
      <c r="H414" s="592"/>
      <c r="I414" s="592"/>
    </row>
    <row r="415" spans="7:9" s="3" customFormat="1" x14ac:dyDescent="0.15">
      <c r="G415" s="592"/>
      <c r="H415" s="592"/>
      <c r="I415" s="592"/>
    </row>
    <row r="416" spans="7:9" s="3" customFormat="1" x14ac:dyDescent="0.15">
      <c r="G416" s="592"/>
      <c r="H416" s="592"/>
      <c r="I416" s="592"/>
    </row>
    <row r="417" spans="7:9" s="3" customFormat="1" x14ac:dyDescent="0.15">
      <c r="G417" s="592"/>
      <c r="H417" s="592"/>
      <c r="I417" s="592"/>
    </row>
    <row r="418" spans="7:9" s="3" customFormat="1" x14ac:dyDescent="0.15">
      <c r="G418" s="592"/>
      <c r="H418" s="592"/>
      <c r="I418" s="592"/>
    </row>
    <row r="419" spans="7:9" s="3" customFormat="1" x14ac:dyDescent="0.15">
      <c r="G419" s="592"/>
      <c r="H419" s="592"/>
      <c r="I419" s="592"/>
    </row>
    <row r="420" spans="7:9" s="3" customFormat="1" x14ac:dyDescent="0.15">
      <c r="G420" s="592"/>
      <c r="H420" s="592"/>
      <c r="I420" s="592"/>
    </row>
    <row r="421" spans="7:9" s="3" customFormat="1" x14ac:dyDescent="0.15">
      <c r="G421" s="592"/>
      <c r="H421" s="592"/>
      <c r="I421" s="592"/>
    </row>
    <row r="422" spans="7:9" s="3" customFormat="1" x14ac:dyDescent="0.15">
      <c r="G422" s="592"/>
      <c r="H422" s="592"/>
      <c r="I422" s="592"/>
    </row>
    <row r="423" spans="7:9" s="3" customFormat="1" x14ac:dyDescent="0.15">
      <c r="G423" s="592"/>
      <c r="H423" s="592"/>
      <c r="I423" s="592"/>
    </row>
    <row r="424" spans="7:9" s="3" customFormat="1" x14ac:dyDescent="0.15">
      <c r="G424" s="592"/>
      <c r="H424" s="592"/>
      <c r="I424" s="592"/>
    </row>
    <row r="425" spans="7:9" s="3" customFormat="1" x14ac:dyDescent="0.15">
      <c r="G425" s="592"/>
      <c r="H425" s="592"/>
      <c r="I425" s="592"/>
    </row>
    <row r="426" spans="7:9" s="3" customFormat="1" x14ac:dyDescent="0.15">
      <c r="G426" s="592"/>
      <c r="H426" s="592"/>
      <c r="I426" s="592"/>
    </row>
    <row r="427" spans="7:9" s="3" customFormat="1" x14ac:dyDescent="0.15">
      <c r="G427" s="592"/>
      <c r="H427" s="592"/>
      <c r="I427" s="592"/>
    </row>
    <row r="428" spans="7:9" s="3" customFormat="1" x14ac:dyDescent="0.15">
      <c r="G428" s="592"/>
      <c r="H428" s="592"/>
      <c r="I428" s="592"/>
    </row>
    <row r="429" spans="7:9" s="3" customFormat="1" x14ac:dyDescent="0.15">
      <c r="G429" s="592"/>
      <c r="H429" s="592"/>
      <c r="I429" s="592"/>
    </row>
    <row r="430" spans="7:9" s="3" customFormat="1" x14ac:dyDescent="0.15">
      <c r="G430" s="592"/>
      <c r="H430" s="592"/>
      <c r="I430" s="592"/>
    </row>
    <row r="431" spans="7:9" s="3" customFormat="1" x14ac:dyDescent="0.15">
      <c r="G431" s="592"/>
      <c r="H431" s="592"/>
      <c r="I431" s="592"/>
    </row>
    <row r="432" spans="7:9" s="3" customFormat="1" x14ac:dyDescent="0.15">
      <c r="G432" s="592"/>
      <c r="H432" s="592"/>
      <c r="I432" s="592"/>
    </row>
    <row r="433" spans="7:9" s="3" customFormat="1" x14ac:dyDescent="0.15">
      <c r="G433" s="592"/>
      <c r="H433" s="592"/>
      <c r="I433" s="592"/>
    </row>
    <row r="434" spans="7:9" s="3" customFormat="1" x14ac:dyDescent="0.15">
      <c r="G434" s="592"/>
      <c r="H434" s="592"/>
      <c r="I434" s="592"/>
    </row>
    <row r="435" spans="7:9" s="3" customFormat="1" x14ac:dyDescent="0.15">
      <c r="G435" s="592"/>
      <c r="H435" s="592"/>
      <c r="I435" s="592"/>
    </row>
    <row r="436" spans="7:9" s="3" customFormat="1" x14ac:dyDescent="0.15">
      <c r="G436" s="592"/>
      <c r="H436" s="592"/>
      <c r="I436" s="592"/>
    </row>
    <row r="437" spans="7:9" s="3" customFormat="1" x14ac:dyDescent="0.15">
      <c r="G437" s="592"/>
      <c r="H437" s="592"/>
      <c r="I437" s="592"/>
    </row>
    <row r="438" spans="7:9" s="3" customFormat="1" x14ac:dyDescent="0.15">
      <c r="G438" s="592"/>
      <c r="H438" s="592"/>
      <c r="I438" s="592"/>
    </row>
    <row r="439" spans="7:9" s="3" customFormat="1" x14ac:dyDescent="0.15">
      <c r="G439" s="592"/>
      <c r="H439" s="592"/>
      <c r="I439" s="592"/>
    </row>
    <row r="440" spans="7:9" s="3" customFormat="1" x14ac:dyDescent="0.15">
      <c r="G440" s="592"/>
      <c r="H440" s="592"/>
      <c r="I440" s="592"/>
    </row>
    <row r="441" spans="7:9" s="3" customFormat="1" x14ac:dyDescent="0.15">
      <c r="G441" s="592"/>
      <c r="H441" s="592"/>
      <c r="I441" s="592"/>
    </row>
    <row r="442" spans="7:9" s="3" customFormat="1" x14ac:dyDescent="0.15">
      <c r="G442" s="592"/>
      <c r="H442" s="592"/>
      <c r="I442" s="592"/>
    </row>
    <row r="443" spans="7:9" s="3" customFormat="1" x14ac:dyDescent="0.15">
      <c r="G443" s="592"/>
      <c r="H443" s="592"/>
      <c r="I443" s="592"/>
    </row>
    <row r="444" spans="7:9" s="3" customFormat="1" x14ac:dyDescent="0.15">
      <c r="G444" s="592"/>
      <c r="H444" s="592"/>
      <c r="I444" s="592"/>
    </row>
    <row r="445" spans="7:9" s="3" customFormat="1" x14ac:dyDescent="0.15">
      <c r="G445" s="592"/>
      <c r="H445" s="592"/>
      <c r="I445" s="592"/>
    </row>
    <row r="446" spans="7:9" s="3" customFormat="1" x14ac:dyDescent="0.15">
      <c r="G446" s="592"/>
      <c r="H446" s="592"/>
      <c r="I446" s="592"/>
    </row>
    <row r="447" spans="7:9" s="3" customFormat="1" x14ac:dyDescent="0.15">
      <c r="G447" s="592"/>
      <c r="H447" s="592"/>
      <c r="I447" s="592"/>
    </row>
    <row r="448" spans="7:9" s="3" customFormat="1" x14ac:dyDescent="0.15">
      <c r="G448" s="592"/>
      <c r="H448" s="592"/>
      <c r="I448" s="592"/>
    </row>
    <row r="449" spans="1:9" s="3" customFormat="1" x14ac:dyDescent="0.15">
      <c r="G449" s="592"/>
      <c r="H449" s="592"/>
      <c r="I449" s="592"/>
    </row>
    <row r="450" spans="1:9" s="3" customFormat="1" x14ac:dyDescent="0.15">
      <c r="G450" s="592"/>
      <c r="H450" s="592"/>
      <c r="I450" s="592"/>
    </row>
    <row r="451" spans="1:9" s="3" customFormat="1" x14ac:dyDescent="0.15">
      <c r="G451" s="592"/>
      <c r="H451" s="592"/>
      <c r="I451" s="592"/>
    </row>
    <row r="452" spans="1:9" s="3" customFormat="1" x14ac:dyDescent="0.15">
      <c r="G452" s="592"/>
      <c r="H452" s="592"/>
      <c r="I452" s="592"/>
    </row>
    <row r="453" spans="1:9" s="3" customFormat="1" x14ac:dyDescent="0.15">
      <c r="G453" s="592"/>
      <c r="H453" s="592"/>
      <c r="I453" s="592"/>
    </row>
    <row r="454" spans="1:9" s="3" customFormat="1" x14ac:dyDescent="0.15">
      <c r="G454" s="592"/>
      <c r="H454" s="592"/>
      <c r="I454" s="592"/>
    </row>
    <row r="455" spans="1:9" s="3" customFormat="1" x14ac:dyDescent="0.15">
      <c r="G455" s="592"/>
      <c r="H455" s="592"/>
      <c r="I455" s="592"/>
    </row>
    <row r="456" spans="1:9" s="3" customFormat="1" x14ac:dyDescent="0.15">
      <c r="G456" s="592"/>
      <c r="H456" s="592"/>
      <c r="I456" s="592"/>
    </row>
    <row r="457" spans="1:9" x14ac:dyDescent="0.15">
      <c r="A457" s="3"/>
      <c r="B457" s="3"/>
      <c r="C457" s="3"/>
      <c r="D457" s="3"/>
      <c r="E457" s="3"/>
      <c r="F457" s="3"/>
      <c r="G457" s="592"/>
      <c r="H457" s="592"/>
      <c r="I457" s="592"/>
    </row>
    <row r="458" spans="1:9" x14ac:dyDescent="0.15">
      <c r="A458" s="3"/>
      <c r="B458" s="3"/>
      <c r="C458" s="3"/>
      <c r="D458" s="3"/>
      <c r="E458" s="3"/>
      <c r="F458" s="3"/>
      <c r="G458" s="592"/>
      <c r="H458" s="592"/>
      <c r="I458" s="592"/>
    </row>
    <row r="459" spans="1:9" x14ac:dyDescent="0.15">
      <c r="A459" s="3"/>
      <c r="B459" s="3"/>
      <c r="C459" s="3"/>
      <c r="D459" s="3"/>
      <c r="E459" s="3"/>
      <c r="F459" s="3"/>
      <c r="G459" s="592"/>
      <c r="H459" s="592"/>
      <c r="I459" s="592"/>
    </row>
    <row r="460" spans="1:9" x14ac:dyDescent="0.15">
      <c r="I460" s="593"/>
    </row>
    <row r="461" spans="1:9" x14ac:dyDescent="0.15">
      <c r="I461" s="593"/>
    </row>
    <row r="462" spans="1:9" x14ac:dyDescent="0.15">
      <c r="I462" s="593"/>
    </row>
    <row r="463" spans="1:9" x14ac:dyDescent="0.15">
      <c r="I463" s="593"/>
    </row>
    <row r="464" spans="1:9" x14ac:dyDescent="0.15">
      <c r="I464" s="593"/>
    </row>
    <row r="465" spans="9:9" x14ac:dyDescent="0.15">
      <c r="I465" s="593"/>
    </row>
    <row r="466" spans="9:9" x14ac:dyDescent="0.15">
      <c r="I466" s="593"/>
    </row>
    <row r="467" spans="9:9" x14ac:dyDescent="0.15">
      <c r="I467" s="593"/>
    </row>
    <row r="468" spans="9:9" x14ac:dyDescent="0.15">
      <c r="I468" s="593"/>
    </row>
    <row r="469" spans="9:9" x14ac:dyDescent="0.15">
      <c r="I469" s="593"/>
    </row>
    <row r="470" spans="9:9" x14ac:dyDescent="0.15">
      <c r="I470" s="593"/>
    </row>
    <row r="471" spans="9:9" x14ac:dyDescent="0.15">
      <c r="I471" s="593"/>
    </row>
    <row r="472" spans="9:9" x14ac:dyDescent="0.15">
      <c r="I472" s="593"/>
    </row>
    <row r="473" spans="9:9" x14ac:dyDescent="0.15">
      <c r="I473" s="593"/>
    </row>
    <row r="474" spans="9:9" x14ac:dyDescent="0.15">
      <c r="I474" s="593"/>
    </row>
    <row r="475" spans="9:9" x14ac:dyDescent="0.15">
      <c r="I475" s="593"/>
    </row>
    <row r="476" spans="9:9" x14ac:dyDescent="0.15">
      <c r="I476" s="593"/>
    </row>
    <row r="477" spans="9:9" x14ac:dyDescent="0.15">
      <c r="I477" s="593"/>
    </row>
    <row r="478" spans="9:9" x14ac:dyDescent="0.15">
      <c r="I478" s="593"/>
    </row>
    <row r="479" spans="9:9" x14ac:dyDescent="0.15">
      <c r="I479" s="593"/>
    </row>
    <row r="480" spans="9:9" x14ac:dyDescent="0.15">
      <c r="I480" s="593"/>
    </row>
    <row r="481" spans="9:9" x14ac:dyDescent="0.15">
      <c r="I481" s="593"/>
    </row>
    <row r="482" spans="9:9" x14ac:dyDescent="0.15">
      <c r="I482" s="593"/>
    </row>
    <row r="483" spans="9:9" x14ac:dyDescent="0.15">
      <c r="I483" s="593"/>
    </row>
    <row r="484" spans="9:9" x14ac:dyDescent="0.15">
      <c r="I484" s="593"/>
    </row>
    <row r="485" spans="9:9" x14ac:dyDescent="0.15">
      <c r="I485" s="593"/>
    </row>
    <row r="486" spans="9:9" x14ac:dyDescent="0.15">
      <c r="I486" s="593"/>
    </row>
    <row r="487" spans="9:9" x14ac:dyDescent="0.15">
      <c r="I487" s="593"/>
    </row>
    <row r="488" spans="9:9" x14ac:dyDescent="0.15">
      <c r="I488" s="593"/>
    </row>
    <row r="489" spans="9:9" x14ac:dyDescent="0.15">
      <c r="I489" s="593"/>
    </row>
    <row r="490" spans="9:9" x14ac:dyDescent="0.15">
      <c r="I490" s="593"/>
    </row>
    <row r="491" spans="9:9" x14ac:dyDescent="0.15">
      <c r="I491" s="593"/>
    </row>
    <row r="492" spans="9:9" x14ac:dyDescent="0.15">
      <c r="I492" s="593"/>
    </row>
    <row r="493" spans="9:9" x14ac:dyDescent="0.15">
      <c r="I493" s="593"/>
    </row>
    <row r="494" spans="9:9" x14ac:dyDescent="0.15">
      <c r="I494" s="593"/>
    </row>
    <row r="495" spans="9:9" x14ac:dyDescent="0.15">
      <c r="I495" s="593"/>
    </row>
    <row r="496" spans="9:9" x14ac:dyDescent="0.15">
      <c r="I496" s="593"/>
    </row>
    <row r="497" spans="9:9" x14ac:dyDescent="0.15">
      <c r="I497" s="593"/>
    </row>
    <row r="498" spans="9:9" x14ac:dyDescent="0.15">
      <c r="I498" s="593"/>
    </row>
    <row r="499" spans="9:9" x14ac:dyDescent="0.15">
      <c r="I499" s="593"/>
    </row>
    <row r="500" spans="9:9" x14ac:dyDescent="0.15">
      <c r="I500" s="593"/>
    </row>
    <row r="501" spans="9:9" x14ac:dyDescent="0.15">
      <c r="I501" s="593"/>
    </row>
    <row r="502" spans="9:9" x14ac:dyDescent="0.15">
      <c r="I502" s="593"/>
    </row>
    <row r="503" spans="9:9" x14ac:dyDescent="0.15">
      <c r="I503" s="593"/>
    </row>
    <row r="504" spans="9:9" x14ac:dyDescent="0.15">
      <c r="I504" s="593"/>
    </row>
    <row r="505" spans="9:9" x14ac:dyDescent="0.15">
      <c r="I505" s="593"/>
    </row>
    <row r="506" spans="9:9" x14ac:dyDescent="0.15">
      <c r="I506" s="593"/>
    </row>
    <row r="507" spans="9:9" x14ac:dyDescent="0.15">
      <c r="I507" s="593"/>
    </row>
    <row r="508" spans="9:9" x14ac:dyDescent="0.15">
      <c r="I508" s="593"/>
    </row>
    <row r="509" spans="9:9" x14ac:dyDescent="0.15">
      <c r="I509" s="593"/>
    </row>
    <row r="510" spans="9:9" x14ac:dyDescent="0.15">
      <c r="I510" s="593"/>
    </row>
    <row r="511" spans="9:9" x14ac:dyDescent="0.15">
      <c r="I511" s="593"/>
    </row>
    <row r="512" spans="9:9" x14ac:dyDescent="0.15">
      <c r="I512" s="593"/>
    </row>
    <row r="513" spans="9:9" x14ac:dyDescent="0.15">
      <c r="I513" s="593"/>
    </row>
    <row r="514" spans="9:9" x14ac:dyDescent="0.15">
      <c r="I514" s="593"/>
    </row>
    <row r="515" spans="9:9" x14ac:dyDescent="0.15">
      <c r="I515" s="593"/>
    </row>
    <row r="516" spans="9:9" x14ac:dyDescent="0.15">
      <c r="I516" s="593"/>
    </row>
    <row r="517" spans="9:9" x14ac:dyDescent="0.15">
      <c r="I517" s="593"/>
    </row>
    <row r="518" spans="9:9" x14ac:dyDescent="0.15">
      <c r="I518" s="593"/>
    </row>
    <row r="519" spans="9:9" x14ac:dyDescent="0.15">
      <c r="I519" s="593"/>
    </row>
    <row r="520" spans="9:9" x14ac:dyDescent="0.15">
      <c r="I520" s="593"/>
    </row>
    <row r="521" spans="9:9" x14ac:dyDescent="0.15">
      <c r="I521" s="593"/>
    </row>
    <row r="522" spans="9:9" x14ac:dyDescent="0.15">
      <c r="I522" s="593"/>
    </row>
    <row r="523" spans="9:9" x14ac:dyDescent="0.15">
      <c r="I523" s="593"/>
    </row>
    <row r="524" spans="9:9" x14ac:dyDescent="0.15">
      <c r="I524" s="593"/>
    </row>
    <row r="525" spans="9:9" x14ac:dyDescent="0.15">
      <c r="I525" s="593"/>
    </row>
    <row r="526" spans="9:9" x14ac:dyDescent="0.15">
      <c r="I526" s="593"/>
    </row>
    <row r="527" spans="9:9" x14ac:dyDescent="0.15">
      <c r="I527" s="593"/>
    </row>
    <row r="528" spans="9:9" x14ac:dyDescent="0.15">
      <c r="I528" s="593"/>
    </row>
    <row r="529" spans="9:9" x14ac:dyDescent="0.15">
      <c r="I529" s="593"/>
    </row>
    <row r="530" spans="9:9" x14ac:dyDescent="0.15">
      <c r="I530" s="593"/>
    </row>
    <row r="531" spans="9:9" x14ac:dyDescent="0.15">
      <c r="I531" s="593"/>
    </row>
    <row r="532" spans="9:9" x14ac:dyDescent="0.15">
      <c r="I532" s="593"/>
    </row>
    <row r="533" spans="9:9" x14ac:dyDescent="0.15">
      <c r="I533" s="593"/>
    </row>
    <row r="534" spans="9:9" x14ac:dyDescent="0.15">
      <c r="I534" s="593"/>
    </row>
    <row r="535" spans="9:9" x14ac:dyDescent="0.15">
      <c r="I535" s="593"/>
    </row>
    <row r="536" spans="9:9" x14ac:dyDescent="0.15">
      <c r="I536" s="593"/>
    </row>
    <row r="537" spans="9:9" x14ac:dyDescent="0.15">
      <c r="I537" s="593"/>
    </row>
    <row r="538" spans="9:9" x14ac:dyDescent="0.15">
      <c r="I538" s="593"/>
    </row>
    <row r="539" spans="9:9" x14ac:dyDescent="0.15">
      <c r="I539" s="593"/>
    </row>
    <row r="540" spans="9:9" x14ac:dyDescent="0.15">
      <c r="I540" s="593"/>
    </row>
    <row r="541" spans="9:9" x14ac:dyDescent="0.15">
      <c r="I541" s="593"/>
    </row>
    <row r="542" spans="9:9" x14ac:dyDescent="0.15">
      <c r="I542" s="593"/>
    </row>
    <row r="543" spans="9:9" x14ac:dyDescent="0.15">
      <c r="I543" s="593"/>
    </row>
    <row r="544" spans="9:9" x14ac:dyDescent="0.15">
      <c r="I544" s="593"/>
    </row>
    <row r="545" spans="9:9" x14ac:dyDescent="0.15">
      <c r="I545" s="593"/>
    </row>
    <row r="546" spans="9:9" x14ac:dyDescent="0.15">
      <c r="I546" s="593"/>
    </row>
    <row r="547" spans="9:9" x14ac:dyDescent="0.15">
      <c r="I547" s="593"/>
    </row>
    <row r="548" spans="9:9" x14ac:dyDescent="0.15">
      <c r="I548" s="593"/>
    </row>
    <row r="549" spans="9:9" x14ac:dyDescent="0.15">
      <c r="I549" s="593"/>
    </row>
    <row r="550" spans="9:9" x14ac:dyDescent="0.15">
      <c r="I550" s="593"/>
    </row>
    <row r="551" spans="9:9" x14ac:dyDescent="0.15">
      <c r="I551" s="593"/>
    </row>
    <row r="552" spans="9:9" x14ac:dyDescent="0.15">
      <c r="I552" s="593"/>
    </row>
    <row r="553" spans="9:9" x14ac:dyDescent="0.15">
      <c r="I553" s="593"/>
    </row>
    <row r="554" spans="9:9" x14ac:dyDescent="0.15">
      <c r="I554" s="593"/>
    </row>
    <row r="555" spans="9:9" x14ac:dyDescent="0.15">
      <c r="I555" s="593"/>
    </row>
    <row r="556" spans="9:9" x14ac:dyDescent="0.15">
      <c r="I556" s="593"/>
    </row>
    <row r="557" spans="9:9" x14ac:dyDescent="0.15">
      <c r="I557" s="593"/>
    </row>
    <row r="558" spans="9:9" x14ac:dyDescent="0.15">
      <c r="I558" s="593"/>
    </row>
    <row r="559" spans="9:9" x14ac:dyDescent="0.15">
      <c r="I559" s="593"/>
    </row>
    <row r="560" spans="9:9" x14ac:dyDescent="0.15">
      <c r="I560" s="593"/>
    </row>
    <row r="561" spans="9:9" x14ac:dyDescent="0.15">
      <c r="I561" s="593"/>
    </row>
    <row r="562" spans="9:9" x14ac:dyDescent="0.15">
      <c r="I562" s="593"/>
    </row>
    <row r="563" spans="9:9" x14ac:dyDescent="0.15">
      <c r="I563" s="593"/>
    </row>
    <row r="564" spans="9:9" x14ac:dyDescent="0.15">
      <c r="I564" s="593"/>
    </row>
    <row r="565" spans="9:9" x14ac:dyDescent="0.15">
      <c r="I565" s="593"/>
    </row>
    <row r="566" spans="9:9" x14ac:dyDescent="0.15">
      <c r="I566" s="593"/>
    </row>
    <row r="567" spans="9:9" x14ac:dyDescent="0.15">
      <c r="I567" s="593"/>
    </row>
    <row r="568" spans="9:9" x14ac:dyDescent="0.15">
      <c r="I568" s="593"/>
    </row>
    <row r="569" spans="9:9" x14ac:dyDescent="0.15">
      <c r="I569" s="593"/>
    </row>
    <row r="570" spans="9:9" x14ac:dyDescent="0.15">
      <c r="I570" s="593"/>
    </row>
    <row r="571" spans="9:9" x14ac:dyDescent="0.15">
      <c r="I571" s="593"/>
    </row>
    <row r="572" spans="9:9" x14ac:dyDescent="0.15">
      <c r="I572" s="593"/>
    </row>
    <row r="573" spans="9:9" x14ac:dyDescent="0.15">
      <c r="I573" s="593"/>
    </row>
    <row r="574" spans="9:9" x14ac:dyDescent="0.15">
      <c r="I574" s="593"/>
    </row>
    <row r="575" spans="9:9" x14ac:dyDescent="0.15">
      <c r="I575" s="593"/>
    </row>
    <row r="576" spans="9:9" x14ac:dyDescent="0.15">
      <c r="I576" s="593"/>
    </row>
    <row r="577" spans="9:9" x14ac:dyDescent="0.15">
      <c r="I577" s="593"/>
    </row>
    <row r="578" spans="9:9" x14ac:dyDescent="0.15">
      <c r="I578" s="593"/>
    </row>
    <row r="579" spans="9:9" x14ac:dyDescent="0.15">
      <c r="I579" s="593"/>
    </row>
    <row r="580" spans="9:9" x14ac:dyDescent="0.15">
      <c r="I580" s="593"/>
    </row>
    <row r="581" spans="9:9" x14ac:dyDescent="0.15">
      <c r="I581" s="593"/>
    </row>
    <row r="582" spans="9:9" x14ac:dyDescent="0.15">
      <c r="I582" s="593"/>
    </row>
    <row r="583" spans="9:9" x14ac:dyDescent="0.15">
      <c r="I583" s="593"/>
    </row>
    <row r="584" spans="9:9" x14ac:dyDescent="0.15">
      <c r="I584" s="593"/>
    </row>
    <row r="585" spans="9:9" x14ac:dyDescent="0.15">
      <c r="I585" s="593"/>
    </row>
    <row r="586" spans="9:9" x14ac:dyDescent="0.15">
      <c r="I586" s="593"/>
    </row>
    <row r="587" spans="9:9" x14ac:dyDescent="0.15">
      <c r="I587" s="593"/>
    </row>
  </sheetData>
  <dataConsolidate/>
  <mergeCells count="26">
    <mergeCell ref="G99:I99"/>
    <mergeCell ref="G100:I100"/>
    <mergeCell ref="G101:I101"/>
    <mergeCell ref="G93:I93"/>
    <mergeCell ref="G94:I94"/>
    <mergeCell ref="G95:I95"/>
    <mergeCell ref="G96:I96"/>
    <mergeCell ref="G97:I97"/>
    <mergeCell ref="G98:I98"/>
    <mergeCell ref="G87:I87"/>
    <mergeCell ref="G88:I88"/>
    <mergeCell ref="G89:I89"/>
    <mergeCell ref="G90:I90"/>
    <mergeCell ref="G91:I91"/>
    <mergeCell ref="G92:I92"/>
    <mergeCell ref="G81:I81"/>
    <mergeCell ref="G82:I82"/>
    <mergeCell ref="G83:I83"/>
    <mergeCell ref="G84:I84"/>
    <mergeCell ref="G85:I85"/>
    <mergeCell ref="G86:I86"/>
    <mergeCell ref="B6:D6"/>
    <mergeCell ref="C9:D9"/>
    <mergeCell ref="G78:I78"/>
    <mergeCell ref="G79:I79"/>
    <mergeCell ref="G80:I80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>
      <selection activeCell="B12" sqref="B12:F26"/>
    </sheetView>
  </sheetViews>
  <sheetFormatPr defaultColWidth="8.88671875" defaultRowHeight="16.5" x14ac:dyDescent="0.3"/>
  <cols>
    <col min="1" max="1" width="8.88671875" style="343"/>
    <col min="2" max="2" width="16.6640625" style="343" customWidth="1"/>
    <col min="3" max="4" width="14.6640625" style="343" customWidth="1"/>
    <col min="5" max="5" width="12" style="418" customWidth="1"/>
    <col min="6" max="6" width="12.33203125" style="418" customWidth="1"/>
    <col min="7" max="7" width="8.88671875" style="343"/>
    <col min="8" max="8" width="10.33203125" style="343" customWidth="1"/>
    <col min="9" max="9" width="9.44140625" style="343" customWidth="1"/>
    <col min="10" max="10" width="10.21875" style="343" customWidth="1"/>
    <col min="11" max="11" width="8.88671875" style="343"/>
    <col min="12" max="12" width="10" style="343" customWidth="1"/>
    <col min="13" max="15" width="8.88671875" style="343"/>
    <col min="16" max="16" width="10" style="343" customWidth="1"/>
    <col min="17" max="16384" width="8.88671875" style="343"/>
  </cols>
  <sheetData>
    <row r="1" spans="2:16" s="384" customFormat="1" ht="18" customHeight="1" x14ac:dyDescent="0.15">
      <c r="E1" s="385"/>
      <c r="F1" s="385"/>
    </row>
    <row r="2" spans="2:16" s="384" customFormat="1" ht="18" customHeight="1" x14ac:dyDescent="0.15">
      <c r="B2" s="384" t="s">
        <v>252</v>
      </c>
      <c r="E2" s="385"/>
      <c r="F2" s="385"/>
    </row>
    <row r="3" spans="2:16" s="384" customFormat="1" ht="18" customHeight="1" x14ac:dyDescent="0.15">
      <c r="E3" s="385"/>
      <c r="F3" s="385"/>
    </row>
    <row r="4" spans="2:16" s="388" customFormat="1" ht="26.25" customHeight="1" x14ac:dyDescent="0.15">
      <c r="B4" s="386" t="s">
        <v>253</v>
      </c>
      <c r="C4" s="387" t="s">
        <v>237</v>
      </c>
      <c r="E4" s="387"/>
      <c r="F4" s="387"/>
    </row>
    <row r="5" spans="2:16" s="384" customFormat="1" ht="18" customHeight="1" thickBot="1" x14ac:dyDescent="0.2">
      <c r="E5" s="385"/>
      <c r="F5" s="385"/>
    </row>
    <row r="6" spans="2:16" s="384" customFormat="1" ht="26.1" customHeight="1" thickBot="1" x14ac:dyDescent="0.2">
      <c r="B6" s="389" t="s">
        <v>254</v>
      </c>
      <c r="C6" s="390">
        <f>장기양수시험!C10</f>
        <v>44299.375</v>
      </c>
      <c r="D6" s="391"/>
      <c r="E6" s="385"/>
      <c r="F6" s="385"/>
    </row>
    <row r="7" spans="2:16" s="384" customFormat="1" ht="26.1" customHeight="1" thickBot="1" x14ac:dyDescent="0.2">
      <c r="B7" s="389" t="s">
        <v>255</v>
      </c>
      <c r="C7" s="392">
        <v>14.9</v>
      </c>
      <c r="D7" s="391"/>
      <c r="E7" s="385"/>
      <c r="F7" s="385"/>
    </row>
    <row r="8" spans="2:16" s="384" customFormat="1" ht="26.1" customHeight="1" x14ac:dyDescent="0.15">
      <c r="B8" s="393" t="s">
        <v>256</v>
      </c>
      <c r="C8" s="394">
        <v>228</v>
      </c>
      <c r="D8" s="391"/>
      <c r="E8" s="385"/>
      <c r="F8" s="385"/>
    </row>
    <row r="9" spans="2:16" s="384" customFormat="1" ht="26.1" customHeight="1" x14ac:dyDescent="0.15">
      <c r="B9" s="393" t="s">
        <v>257</v>
      </c>
      <c r="C9" s="395">
        <v>6.9</v>
      </c>
      <c r="D9" s="391"/>
      <c r="E9" s="385"/>
      <c r="F9" s="385"/>
    </row>
    <row r="10" spans="2:16" s="384" customFormat="1" ht="26.1" customHeight="1" x14ac:dyDescent="0.15">
      <c r="B10" s="393"/>
      <c r="C10" s="394"/>
      <c r="D10" s="391"/>
      <c r="E10" s="385"/>
      <c r="F10" s="385"/>
    </row>
    <row r="11" spans="2:16" s="384" customFormat="1" ht="18" customHeight="1" thickBot="1" x14ac:dyDescent="0.2">
      <c r="E11" s="385"/>
      <c r="F11" s="385"/>
      <c r="L11"/>
      <c r="M11"/>
      <c r="N11"/>
      <c r="O11"/>
      <c r="P11"/>
    </row>
    <row r="12" spans="2:16" s="385" customFormat="1" ht="26.1" customHeight="1" x14ac:dyDescent="0.15">
      <c r="B12" s="547" t="s">
        <v>258</v>
      </c>
      <c r="C12" s="548"/>
      <c r="D12" s="549" t="s">
        <v>237</v>
      </c>
      <c r="E12" s="550"/>
      <c r="F12" s="548"/>
      <c r="H12" s="547" t="s">
        <v>237</v>
      </c>
      <c r="I12" s="550"/>
      <c r="J12" s="548"/>
      <c r="L12" s="542" t="s">
        <v>237</v>
      </c>
      <c r="M12" s="543"/>
      <c r="N12" s="544"/>
      <c r="O12"/>
      <c r="P12"/>
    </row>
    <row r="13" spans="2:16" s="385" customFormat="1" ht="26.1" customHeight="1" x14ac:dyDescent="0.15">
      <c r="B13" s="396" t="s">
        <v>254</v>
      </c>
      <c r="C13" s="397" t="s">
        <v>259</v>
      </c>
      <c r="D13" s="398" t="s">
        <v>260</v>
      </c>
      <c r="E13" s="399" t="s">
        <v>261</v>
      </c>
      <c r="F13" s="397" t="s">
        <v>262</v>
      </c>
      <c r="H13" s="462" t="s">
        <v>260</v>
      </c>
      <c r="I13" s="399" t="s">
        <v>261</v>
      </c>
      <c r="J13" s="463" t="s">
        <v>262</v>
      </c>
      <c r="L13" s="465" t="s">
        <v>260</v>
      </c>
      <c r="M13" s="466" t="s">
        <v>261</v>
      </c>
      <c r="N13" s="467" t="s">
        <v>262</v>
      </c>
      <c r="O13"/>
      <c r="P13"/>
    </row>
    <row r="14" spans="2:16" s="385" customFormat="1" ht="26.1" customHeight="1" x14ac:dyDescent="0.15">
      <c r="B14" s="400">
        <f>$C$6+C14/1440</f>
        <v>44299.378472222219</v>
      </c>
      <c r="C14" s="401">
        <v>5</v>
      </c>
      <c r="D14" s="402">
        <f t="shared" ref="D14:D23" si="0">baseTemp+H14</f>
        <v>14.700000000000001</v>
      </c>
      <c r="E14" s="403">
        <f>$C$8+I14</f>
        <v>227</v>
      </c>
      <c r="F14" s="404">
        <f>$C$9+J14</f>
        <v>6.79</v>
      </c>
      <c r="H14" s="405">
        <v>-0.2</v>
      </c>
      <c r="I14" s="406">
        <v>-1</v>
      </c>
      <c r="J14" s="407">
        <v>-0.11</v>
      </c>
      <c r="L14" s="465">
        <f ca="1">ROUND(myRandBetween(1,3,10), 1)</f>
        <v>-0.2</v>
      </c>
      <c r="M14" s="466">
        <f ca="1">myRandBetween(1,3,1)</f>
        <v>2</v>
      </c>
      <c r="N14" s="467">
        <f ca="1">ROUND(myRandBetween(7,12,100), 2)</f>
        <v>-0.09</v>
      </c>
      <c r="O14"/>
      <c r="P14"/>
    </row>
    <row r="15" spans="2:16" s="385" customFormat="1" ht="26.1" customHeight="1" x14ac:dyDescent="0.15">
      <c r="B15" s="408">
        <f t="shared" ref="B15:B23" si="1">$C$6+C15/1440</f>
        <v>44299.395833333336</v>
      </c>
      <c r="C15" s="407">
        <v>30</v>
      </c>
      <c r="D15" s="409">
        <f t="shared" si="0"/>
        <v>14.8</v>
      </c>
      <c r="E15" s="410">
        <f t="shared" ref="E15:E23" si="2">$C$8+I15</f>
        <v>226</v>
      </c>
      <c r="F15" s="411">
        <f t="shared" ref="F15:F23" si="3">$C$9+J15</f>
        <v>6.78</v>
      </c>
      <c r="H15" s="405">
        <v>-0.1</v>
      </c>
      <c r="I15" s="406">
        <v>-2</v>
      </c>
      <c r="J15" s="407">
        <v>-0.12</v>
      </c>
      <c r="L15" s="465">
        <f t="shared" ref="L15:L23" ca="1" si="4">ROUND(myRandBetween(1,3,10), 1)</f>
        <v>0.3</v>
      </c>
      <c r="M15" s="466">
        <f t="shared" ref="M15:M23" ca="1" si="5">myRandBetween(1,3,1)</f>
        <v>-1</v>
      </c>
      <c r="N15" s="467">
        <f t="shared" ref="N15:N23" ca="1" si="6">ROUND(myRandBetween(7,12,100), 2)</f>
        <v>-7.0000000000000007E-2</v>
      </c>
      <c r="O15"/>
      <c r="P15"/>
    </row>
    <row r="16" spans="2:16" s="385" customFormat="1" ht="26.1" customHeight="1" x14ac:dyDescent="0.15">
      <c r="B16" s="408">
        <f t="shared" si="1"/>
        <v>44299.416666666664</v>
      </c>
      <c r="C16" s="407">
        <v>60</v>
      </c>
      <c r="D16" s="409">
        <f t="shared" si="0"/>
        <v>15.200000000000001</v>
      </c>
      <c r="E16" s="410">
        <f t="shared" si="2"/>
        <v>227</v>
      </c>
      <c r="F16" s="411">
        <f t="shared" si="3"/>
        <v>6.78</v>
      </c>
      <c r="H16" s="405">
        <v>0.3</v>
      </c>
      <c r="I16" s="406">
        <v>-1</v>
      </c>
      <c r="J16" s="407">
        <v>-0.12</v>
      </c>
      <c r="L16" s="465">
        <f t="shared" ca="1" si="4"/>
        <v>-0.2</v>
      </c>
      <c r="M16" s="466">
        <f t="shared" ca="1" si="5"/>
        <v>3</v>
      </c>
      <c r="N16" s="467">
        <f t="shared" ca="1" si="6"/>
        <v>-0.08</v>
      </c>
      <c r="O16"/>
      <c r="P16"/>
    </row>
    <row r="17" spans="2:16" s="385" customFormat="1" ht="26.1" customHeight="1" x14ac:dyDescent="0.15">
      <c r="B17" s="408">
        <f t="shared" si="1"/>
        <v>44299.458333333336</v>
      </c>
      <c r="C17" s="407">
        <v>120</v>
      </c>
      <c r="D17" s="409">
        <f t="shared" si="0"/>
        <v>15</v>
      </c>
      <c r="E17" s="410">
        <f t="shared" si="2"/>
        <v>225</v>
      </c>
      <c r="F17" s="411">
        <f t="shared" si="3"/>
        <v>6.78</v>
      </c>
      <c r="H17" s="405">
        <v>0.1</v>
      </c>
      <c r="I17" s="406">
        <v>-3</v>
      </c>
      <c r="J17" s="407">
        <v>-0.12</v>
      </c>
      <c r="L17" s="465">
        <f t="shared" ca="1" si="4"/>
        <v>-0.3</v>
      </c>
      <c r="M17" s="466">
        <f t="shared" ca="1" si="5"/>
        <v>-2</v>
      </c>
      <c r="N17" s="467">
        <f t="shared" ca="1" si="6"/>
        <v>-7.0000000000000007E-2</v>
      </c>
      <c r="O17"/>
      <c r="P17"/>
    </row>
    <row r="18" spans="2:16" s="385" customFormat="1" ht="26.1" customHeight="1" x14ac:dyDescent="0.15">
      <c r="B18" s="408">
        <f t="shared" si="1"/>
        <v>44299.541666666664</v>
      </c>
      <c r="C18" s="407">
        <v>240</v>
      </c>
      <c r="D18" s="409">
        <f t="shared" si="0"/>
        <v>15.1</v>
      </c>
      <c r="E18" s="410">
        <f t="shared" si="2"/>
        <v>231</v>
      </c>
      <c r="F18" s="411">
        <f t="shared" si="3"/>
        <v>6.82</v>
      </c>
      <c r="H18" s="405">
        <v>0.2</v>
      </c>
      <c r="I18" s="406">
        <v>3</v>
      </c>
      <c r="J18" s="407">
        <v>-0.08</v>
      </c>
      <c r="L18" s="465">
        <f t="shared" ca="1" si="4"/>
        <v>0.2</v>
      </c>
      <c r="M18" s="466">
        <f t="shared" ca="1" si="5"/>
        <v>3</v>
      </c>
      <c r="N18" s="467">
        <f t="shared" ca="1" si="6"/>
        <v>-0.12</v>
      </c>
      <c r="O18"/>
      <c r="P18"/>
    </row>
    <row r="19" spans="2:16" s="385" customFormat="1" ht="26.1" customHeight="1" x14ac:dyDescent="0.15">
      <c r="B19" s="408">
        <f t="shared" si="1"/>
        <v>44299.708333333336</v>
      </c>
      <c r="C19" s="407">
        <v>480</v>
      </c>
      <c r="D19" s="412">
        <f t="shared" si="0"/>
        <v>14.700000000000001</v>
      </c>
      <c r="E19" s="410">
        <f t="shared" si="2"/>
        <v>227</v>
      </c>
      <c r="F19" s="411">
        <f t="shared" si="3"/>
        <v>6.9700000000000006</v>
      </c>
      <c r="H19" s="405">
        <v>-0.2</v>
      </c>
      <c r="I19" s="406">
        <v>-1</v>
      </c>
      <c r="J19" s="407">
        <v>7.0000000000000007E-2</v>
      </c>
      <c r="L19" s="465">
        <f t="shared" ca="1" si="4"/>
        <v>-0.1</v>
      </c>
      <c r="M19" s="466">
        <f t="shared" ca="1" si="5"/>
        <v>3</v>
      </c>
      <c r="N19" s="467">
        <f t="shared" ca="1" si="6"/>
        <v>-7.0000000000000007E-2</v>
      </c>
      <c r="O19"/>
      <c r="P19"/>
    </row>
    <row r="20" spans="2:16" s="384" customFormat="1" ht="26.1" customHeight="1" x14ac:dyDescent="0.15">
      <c r="B20" s="408">
        <f t="shared" si="1"/>
        <v>44300.375</v>
      </c>
      <c r="C20" s="407">
        <v>1440</v>
      </c>
      <c r="D20" s="409">
        <f t="shared" si="0"/>
        <v>14.8</v>
      </c>
      <c r="E20" s="410">
        <f t="shared" si="2"/>
        <v>227</v>
      </c>
      <c r="F20" s="411">
        <f t="shared" si="3"/>
        <v>6.99</v>
      </c>
      <c r="H20" s="405">
        <v>-0.1</v>
      </c>
      <c r="I20" s="406">
        <v>-1</v>
      </c>
      <c r="J20" s="407">
        <v>0.09</v>
      </c>
      <c r="L20" s="465">
        <f t="shared" ca="1" si="4"/>
        <v>-0.3</v>
      </c>
      <c r="M20" s="466">
        <f t="shared" ca="1" si="5"/>
        <v>2</v>
      </c>
      <c r="N20" s="467">
        <f t="shared" ca="1" si="6"/>
        <v>-0.1</v>
      </c>
      <c r="O20"/>
      <c r="P20"/>
    </row>
    <row r="21" spans="2:16" s="384" customFormat="1" ht="26.1" customHeight="1" x14ac:dyDescent="0.15">
      <c r="B21" s="408">
        <f t="shared" si="1"/>
        <v>44300.541666666664</v>
      </c>
      <c r="C21" s="407">
        <v>1680</v>
      </c>
      <c r="D21" s="409">
        <f t="shared" si="0"/>
        <v>15</v>
      </c>
      <c r="E21" s="410">
        <f t="shared" si="2"/>
        <v>229</v>
      </c>
      <c r="F21" s="411">
        <f t="shared" si="3"/>
        <v>6.8000000000000007</v>
      </c>
      <c r="H21" s="405">
        <v>0.1</v>
      </c>
      <c r="I21" s="406">
        <v>1</v>
      </c>
      <c r="J21" s="407">
        <v>-0.1</v>
      </c>
      <c r="L21" s="465">
        <f t="shared" ca="1" si="4"/>
        <v>0.3</v>
      </c>
      <c r="M21" s="466">
        <f t="shared" ca="1" si="5"/>
        <v>-1</v>
      </c>
      <c r="N21" s="467">
        <f t="shared" ca="1" si="6"/>
        <v>-0.11</v>
      </c>
      <c r="O21"/>
      <c r="P21"/>
    </row>
    <row r="22" spans="2:16" s="384" customFormat="1" ht="26.1" customHeight="1" x14ac:dyDescent="0.15">
      <c r="B22" s="408">
        <f t="shared" si="1"/>
        <v>44300.708333333336</v>
      </c>
      <c r="C22" s="407">
        <v>1920</v>
      </c>
      <c r="D22" s="409">
        <f t="shared" si="0"/>
        <v>15</v>
      </c>
      <c r="E22" s="410">
        <f t="shared" si="2"/>
        <v>227</v>
      </c>
      <c r="F22" s="411">
        <f t="shared" si="3"/>
        <v>6.78</v>
      </c>
      <c r="H22" s="405">
        <v>0.1</v>
      </c>
      <c r="I22" s="406">
        <v>-1</v>
      </c>
      <c r="J22" s="407">
        <v>-0.12</v>
      </c>
      <c r="L22" s="465">
        <f t="shared" ca="1" si="4"/>
        <v>0.2</v>
      </c>
      <c r="M22" s="466">
        <f t="shared" ca="1" si="5"/>
        <v>-1</v>
      </c>
      <c r="N22" s="467">
        <f t="shared" ca="1" si="6"/>
        <v>-0.09</v>
      </c>
      <c r="O22"/>
      <c r="P22"/>
    </row>
    <row r="23" spans="2:16" s="384" customFormat="1" ht="26.1" customHeight="1" thickBot="1" x14ac:dyDescent="0.2">
      <c r="B23" s="408">
        <f t="shared" si="1"/>
        <v>44301.375</v>
      </c>
      <c r="C23" s="407">
        <v>2880</v>
      </c>
      <c r="D23" s="409">
        <f t="shared" si="0"/>
        <v>14.700000000000001</v>
      </c>
      <c r="E23" s="410">
        <f t="shared" si="2"/>
        <v>225</v>
      </c>
      <c r="F23" s="411">
        <f t="shared" si="3"/>
        <v>6.83</v>
      </c>
      <c r="H23" s="413">
        <v>-0.2</v>
      </c>
      <c r="I23" s="464">
        <v>-3</v>
      </c>
      <c r="J23" s="414">
        <v>-7.0000000000000007E-2</v>
      </c>
      <c r="L23" s="468">
        <f t="shared" ca="1" si="4"/>
        <v>0.1</v>
      </c>
      <c r="M23" s="469">
        <f t="shared" ca="1" si="5"/>
        <v>2</v>
      </c>
      <c r="N23" s="470">
        <f t="shared" ca="1" si="6"/>
        <v>0.11</v>
      </c>
      <c r="O23"/>
      <c r="P23"/>
    </row>
    <row r="24" spans="2:16" s="384" customFormat="1" ht="26.1" customHeight="1" x14ac:dyDescent="0.15">
      <c r="B24" s="551" t="s">
        <v>178</v>
      </c>
      <c r="C24" s="552"/>
      <c r="D24" s="398">
        <f>MAX(D14:D23)</f>
        <v>15.200000000000001</v>
      </c>
      <c r="E24" s="399">
        <f t="shared" ref="E24:F24" si="7">MAX(E14:E23)</f>
        <v>231</v>
      </c>
      <c r="F24" s="397">
        <f t="shared" si="7"/>
        <v>6.99</v>
      </c>
      <c r="H24" s="385"/>
      <c r="I24" s="385"/>
      <c r="J24" s="385"/>
      <c r="L24"/>
      <c r="M24"/>
      <c r="N24"/>
      <c r="O24"/>
      <c r="P24"/>
    </row>
    <row r="25" spans="2:16" s="384" customFormat="1" ht="26.1" customHeight="1" x14ac:dyDescent="0.15">
      <c r="B25" s="551" t="s">
        <v>263</v>
      </c>
      <c r="C25" s="552"/>
      <c r="D25" s="398">
        <f>MIN(D14:D23)</f>
        <v>14.700000000000001</v>
      </c>
      <c r="E25" s="399">
        <f t="shared" ref="E25:F25" si="8">MIN(E14:E23)</f>
        <v>225</v>
      </c>
      <c r="F25" s="397">
        <f t="shared" si="8"/>
        <v>6.78</v>
      </c>
      <c r="H25" s="385"/>
      <c r="I25" s="385"/>
      <c r="J25" s="385"/>
      <c r="L25"/>
      <c r="M25"/>
      <c r="N25"/>
      <c r="O25"/>
      <c r="P25"/>
    </row>
    <row r="26" spans="2:16" s="384" customFormat="1" ht="26.1" customHeight="1" thickBot="1" x14ac:dyDescent="0.2">
      <c r="B26" s="545" t="s">
        <v>264</v>
      </c>
      <c r="C26" s="546"/>
      <c r="D26" s="415">
        <f>D24-D25</f>
        <v>0.5</v>
      </c>
      <c r="E26" s="416">
        <f t="shared" ref="E26:F26" si="9">E24-E25</f>
        <v>6</v>
      </c>
      <c r="F26" s="417">
        <f t="shared" si="9"/>
        <v>0.20999999999999996</v>
      </c>
      <c r="H26" s="385"/>
      <c r="I26" s="385"/>
      <c r="J26" s="385"/>
      <c r="L26"/>
      <c r="M26"/>
      <c r="N26"/>
      <c r="O26"/>
      <c r="P26"/>
    </row>
    <row r="27" spans="2:16" s="384" customFormat="1" ht="18" customHeight="1" x14ac:dyDescent="0.15">
      <c r="E27" s="385"/>
      <c r="F27" s="385"/>
      <c r="L27"/>
      <c r="M27"/>
      <c r="N27"/>
      <c r="O27"/>
      <c r="P27"/>
    </row>
    <row r="28" spans="2:16" s="384" customFormat="1" ht="18" customHeight="1" x14ac:dyDescent="0.15">
      <c r="E28" s="385"/>
      <c r="F28" s="385"/>
      <c r="L28"/>
      <c r="M28"/>
      <c r="N28"/>
      <c r="O28"/>
      <c r="P28"/>
    </row>
    <row r="29" spans="2:16" s="384" customFormat="1" ht="18" customHeight="1" x14ac:dyDescent="0.15">
      <c r="E29" s="385"/>
      <c r="F29" s="385"/>
    </row>
    <row r="30" spans="2:16" s="384" customFormat="1" ht="18" customHeight="1" x14ac:dyDescent="0.15">
      <c r="E30" s="385"/>
      <c r="F30" s="385"/>
    </row>
    <row r="31" spans="2:16" s="384" customFormat="1" ht="18" customHeight="1" x14ac:dyDescent="0.15">
      <c r="E31" s="385"/>
      <c r="F31" s="385"/>
    </row>
    <row r="32" spans="2:16" s="384" customFormat="1" ht="18" customHeight="1" x14ac:dyDescent="0.15">
      <c r="E32" s="385"/>
      <c r="F32" s="385"/>
    </row>
    <row r="33" spans="5:6" s="384" customFormat="1" ht="18" customHeight="1" x14ac:dyDescent="0.15">
      <c r="E33" s="385"/>
      <c r="F33" s="385"/>
    </row>
    <row r="34" spans="5:6" s="384" customFormat="1" ht="18" customHeight="1" x14ac:dyDescent="0.15">
      <c r="E34" s="385"/>
      <c r="F34" s="385"/>
    </row>
    <row r="35" spans="5:6" s="384" customFormat="1" ht="18" customHeight="1" x14ac:dyDescent="0.15">
      <c r="E35" s="385"/>
      <c r="F35" s="385"/>
    </row>
    <row r="36" spans="5:6" s="384" customFormat="1" ht="18" customHeight="1" x14ac:dyDescent="0.15">
      <c r="E36" s="385"/>
      <c r="F36" s="385"/>
    </row>
    <row r="37" spans="5:6" s="384" customFormat="1" ht="18" customHeight="1" x14ac:dyDescent="0.15">
      <c r="E37" s="385"/>
      <c r="F37" s="385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53" t="s">
        <v>152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8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out</vt:lpstr>
      <vt:lpstr>w1</vt:lpstr>
      <vt:lpstr>시추주상</vt:lpstr>
      <vt:lpstr>'w1'!baseTemp</vt:lpstr>
      <vt:lpstr>gongbun</vt:lpstr>
      <vt:lpstr>gongbun2</vt:lpstr>
      <vt:lpstr>out!Print_Area</vt:lpstr>
      <vt:lpstr>단계양수시험!Print_Area</vt:lpstr>
      <vt:lpstr>입력표!Print_Area</vt:lpstr>
      <vt:lpstr>장기양수시험!Print_Area</vt:lpstr>
      <vt:lpstr>out!Print_Titles</vt:lpstr>
      <vt:lpstr>단계양수시험!Print_Titles</vt:lpstr>
      <vt:lpstr>장기양수시험!Print_Titles</vt:lpstr>
      <vt:lpstr>pump_hp</vt:lpstr>
      <vt:lpstr>well_radius</vt:lpstr>
      <vt:lpstr>단계양수</vt:lpstr>
      <vt:lpstr>out!장기양수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2021-03-23T08:52:19Z</cp:lastPrinted>
  <dcterms:created xsi:type="dcterms:W3CDTF">1998-04-14T02:17:03Z</dcterms:created>
  <dcterms:modified xsi:type="dcterms:W3CDTF">2021-04-11T02:24:51Z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