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06_예산군 9개공 연장하가 - 현윤이앤씨\01_대술면 궐곡리 산41\04_양수시험\"/>
    </mc:Choice>
  </mc:AlternateContent>
  <xr:revisionPtr revIDLastSave="0" documentId="13_ncr:1_{0527CDC4-C73C-40EC-8D5C-D546865A96FB}" xr6:coauthVersionLast="46" xr6:coauthVersionMax="46" xr10:uidLastSave="{00000000-0000-0000-0000-000000000000}"/>
  <bookViews>
    <workbookView xWindow="9285" yWindow="2790" windowWidth="26925" windowHeight="17340" tabRatio="619" firstSheet="2" activeTab="5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가채수량" sheetId="19" state="hidden" r:id="rId5"/>
    <sheet name="스킨팩터" sheetId="27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w1" sheetId="33" r:id="rId13"/>
    <sheet name="시추주상" sheetId="23" state="hidden" r:id="rId14"/>
  </sheets>
  <functionGroups builtInGroupCount="19"/>
  <externalReferences>
    <externalReference r:id="rId15"/>
    <externalReference r:id="rId16"/>
  </externalReferences>
  <definedNames>
    <definedName name="allow_ratio">[1]Recharge!$C$27</definedName>
    <definedName name="baseTemp" localSheetId="12">'w1'!$C$7</definedName>
    <definedName name="baseTemp">#REF!</definedName>
    <definedName name="gongbun">REF!$D$4:$D$14</definedName>
    <definedName name="gongbun2">REF!$E$4:$E$14</definedName>
    <definedName name="max" localSheetId="12">[2]지하수함양량!$C$30</definedName>
    <definedName name="max">[1]Recharge!$C$26</definedName>
    <definedName name="min" localSheetId="12">[2]지하수함양량!$C$29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장기양수시험!$A$1:$J$101</definedName>
    <definedName name="_xlnm.Print_Titles" localSheetId="6">단계양수시험!$3:$10</definedName>
    <definedName name="_xlnm.Print_Titles" localSheetId="7">장기양수시험!$1:$9</definedName>
    <definedName name="pump_hp">REF!$C$4:$C$12</definedName>
    <definedName name="rf_1" localSheetId="12">[2]지하수함양량!$C$32</definedName>
    <definedName name="rf_1">[1]Recharge!$C$29</definedName>
    <definedName name="rf_2" localSheetId="12">[2]지하수함양량!$D$32</definedName>
    <definedName name="rf_2">[1]Recharge!$D$29</definedName>
    <definedName name="well_radius">REF!$F$4:$F$6</definedName>
    <definedName name="단계양수">단계양수시험!$A$3:$I$51</definedName>
    <definedName name="장기양수">장기양수시험!$A$1:$J$101</definedName>
    <definedName name="적정채수량산정">입력표!$A$1:$M$54</definedName>
  </definedNames>
  <calcPr calcId="181029"/>
</workbook>
</file>

<file path=xl/calcChain.xml><?xml version="1.0" encoding="utf-8"?>
<calcChain xmlns="http://schemas.openxmlformats.org/spreadsheetml/2006/main">
  <c r="C6" i="33" l="1"/>
  <c r="A27" i="21"/>
  <c r="A31" i="20" l="1"/>
  <c r="F13" i="27" l="1"/>
  <c r="C7" i="27"/>
  <c r="H60" i="1"/>
  <c r="H16" i="27"/>
  <c r="N21" i="33"/>
  <c r="N17" i="33"/>
  <c r="M20" i="33"/>
  <c r="M15" i="33"/>
  <c r="N15" i="33"/>
  <c r="L19" i="33"/>
  <c r="L18" i="33"/>
  <c r="M21" i="33"/>
  <c r="M23" i="33"/>
  <c r="L17" i="33"/>
  <c r="N16" i="33"/>
  <c r="N14" i="33"/>
  <c r="N22" i="33"/>
  <c r="L16" i="33"/>
  <c r="M19" i="33"/>
  <c r="L21" i="33"/>
  <c r="M22" i="33"/>
  <c r="L23" i="33"/>
  <c r="M17" i="33"/>
  <c r="N20" i="33"/>
  <c r="M16" i="33"/>
  <c r="N19" i="33"/>
  <c r="L20" i="33"/>
  <c r="L22" i="33"/>
  <c r="N18" i="33"/>
  <c r="M18" i="33"/>
  <c r="L15" i="33"/>
  <c r="N23" i="33"/>
  <c r="M14" i="33"/>
  <c r="L14" i="33"/>
  <c r="H26" i="27" l="1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L6" i="3"/>
  <c r="AL7" i="3" s="1"/>
  <c r="B2" i="27" l="1"/>
  <c r="B1" i="27" l="1"/>
  <c r="C2" i="27"/>
  <c r="N45" i="1" l="1"/>
  <c r="M46" i="1" l="1"/>
  <c r="I21" i="27" l="1"/>
  <c r="C28" i="27" s="1"/>
  <c r="G21" i="27"/>
  <c r="G26" i="27" s="1"/>
  <c r="F21" i="27"/>
  <c r="F26" i="27" s="1"/>
  <c r="H21" i="27"/>
  <c r="D16" i="27"/>
  <c r="D21" i="27" s="1"/>
  <c r="D26" i="27" s="1"/>
  <c r="I10" i="27"/>
  <c r="I8" i="27"/>
  <c r="I6" i="27"/>
  <c r="I4" i="27"/>
  <c r="G4" i="27"/>
  <c r="E4" i="27"/>
  <c r="E6" i="27" l="1"/>
  <c r="C16" i="27"/>
  <c r="B16" i="27"/>
  <c r="I26" i="27"/>
  <c r="C23" i="27" s="1"/>
  <c r="C27" i="27"/>
  <c r="B21" i="27" l="1"/>
  <c r="B26" i="27" s="1"/>
  <c r="C21" i="27"/>
  <c r="C26" i="27" s="1"/>
  <c r="D28" i="27"/>
  <c r="D27" i="27"/>
  <c r="E16" i="27"/>
  <c r="C13" i="27" s="1"/>
  <c r="E21" i="27" l="1"/>
  <c r="C18" i="27" s="1"/>
  <c r="E26" i="27" l="1"/>
  <c r="C29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4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M47" i="1"/>
  <c r="D17" i="1" s="1"/>
  <c r="Y2" i="3"/>
  <c r="Y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K8" i="3" s="1"/>
  <c r="C20" i="1"/>
  <c r="C59" i="1"/>
  <c r="C61" i="1"/>
  <c r="F59" i="1"/>
  <c r="F62" i="1" s="1"/>
  <c r="I59" i="1" s="1"/>
  <c r="A19" i="20"/>
  <c r="A18" i="20"/>
  <c r="E10" i="18"/>
  <c r="E9" i="18"/>
  <c r="C24" i="1"/>
  <c r="B2" i="18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Y61" i="3"/>
  <c r="Y52" i="3"/>
  <c r="Y66" i="3"/>
  <c r="Y17" i="3"/>
  <c r="Y62" i="3"/>
  <c r="Y57" i="3"/>
  <c r="Y33" i="3"/>
  <c r="Y29" i="3"/>
  <c r="W10" i="2"/>
  <c r="AB24" i="2"/>
  <c r="W24" i="2"/>
  <c r="W29" i="2"/>
  <c r="W39" i="2"/>
  <c r="A7" i="20"/>
  <c r="AB19" i="2"/>
  <c r="W19" i="2"/>
  <c r="A131" i="3"/>
  <c r="A138" i="3" s="1"/>
  <c r="C141" i="3" s="1"/>
  <c r="E140" i="3"/>
  <c r="Y37" i="3"/>
  <c r="Y41" i="3"/>
  <c r="O17" i="3" l="1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S1" i="3"/>
  <c r="Y19" i="3"/>
  <c r="Y67" i="3"/>
  <c r="Y40" i="3"/>
  <c r="Y69" i="3"/>
  <c r="Y20" i="3"/>
  <c r="Y75" i="3"/>
  <c r="Y58" i="3"/>
  <c r="Y56" i="3"/>
  <c r="Y38" i="3"/>
  <c r="Y64" i="3"/>
  <c r="Y23" i="3"/>
  <c r="Y79" i="3"/>
  <c r="Y65" i="3"/>
  <c r="Y24" i="3"/>
  <c r="Y30" i="3"/>
  <c r="Y35" i="3"/>
  <c r="Y26" i="3"/>
  <c r="Y73" i="3"/>
  <c r="Y28" i="3"/>
  <c r="Y7" i="3"/>
  <c r="Y74" i="3"/>
  <c r="Y50" i="3"/>
  <c r="Y70" i="3"/>
  <c r="Y36" i="3"/>
  <c r="Y77" i="3"/>
  <c r="Y39" i="3"/>
  <c r="Y25" i="3"/>
  <c r="Y78" i="3"/>
  <c r="Y8" i="3"/>
  <c r="Y42" i="3"/>
  <c r="Y81" i="3"/>
  <c r="Y45" i="3"/>
  <c r="Y27" i="3"/>
  <c r="Y82" i="3"/>
  <c r="Y11" i="3"/>
  <c r="Y49" i="3"/>
  <c r="Y10" i="3"/>
  <c r="Y47" i="3"/>
  <c r="Y5" i="3"/>
  <c r="Y53" i="3"/>
  <c r="Y43" i="3"/>
  <c r="Y60" i="3"/>
  <c r="Y83" i="3"/>
  <c r="Y18" i="3"/>
  <c r="Y31" i="3"/>
  <c r="Y9" i="3"/>
  <c r="Y4" i="3"/>
  <c r="Y32" i="3"/>
  <c r="Y21" i="3"/>
  <c r="Y51" i="3"/>
  <c r="Y6" i="3"/>
  <c r="Y55" i="3"/>
  <c r="Y44" i="3"/>
  <c r="Y71" i="3"/>
  <c r="Y68" i="3"/>
  <c r="Y54" i="3"/>
  <c r="Y76" i="3"/>
  <c r="Y46" i="3"/>
  <c r="Y22" i="3"/>
  <c r="Y63" i="3"/>
  <c r="Y16" i="3"/>
  <c r="Y59" i="3"/>
  <c r="Y48" i="3"/>
  <c r="Y80" i="3"/>
  <c r="Y34" i="3"/>
  <c r="C62" i="1"/>
  <c r="I58" i="1" s="1"/>
  <c r="A18" i="22"/>
  <c r="A7" i="22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M52" i="1"/>
  <c r="B17" i="1" s="1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D23" i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AA27" i="3" l="1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V3" i="3"/>
  <c r="AC2" i="3"/>
  <c r="AF2" i="3" s="1"/>
  <c r="G10" i="3" s="1"/>
  <c r="A46" i="1"/>
  <c r="H4" i="27" s="1"/>
  <c r="B35" i="1"/>
  <c r="F7" i="27" l="1"/>
  <c r="E8" i="27" s="1"/>
  <c r="H7" i="27"/>
  <c r="H8" i="27" s="1"/>
  <c r="E36" i="3"/>
  <c r="Z28" i="3" s="1"/>
  <c r="D37" i="3"/>
  <c r="F22" i="1"/>
  <c r="B52" i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C52" i="1" l="1"/>
  <c r="B54" i="1" s="1"/>
  <c r="B49" i="1" s="1"/>
  <c r="F37" i="1"/>
  <c r="F30" i="1"/>
  <c r="A3" i="1"/>
  <c r="G22" i="1"/>
  <c r="G23" i="1"/>
  <c r="F4" i="1"/>
  <c r="G4" i="1" s="1"/>
  <c r="B4" i="27"/>
  <c r="C6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G6" i="27" l="1"/>
  <c r="C8" i="27" s="1"/>
  <c r="G11" i="3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A28" i="22" l="1"/>
  <c r="K11" i="3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B11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B33" i="3" l="1"/>
  <c r="AF33" i="3"/>
  <c r="G41" i="3" s="1"/>
  <c r="A89" i="21"/>
  <c r="AA60" i="3"/>
  <c r="AE60" i="3" s="1"/>
  <c r="D69" i="3"/>
  <c r="E68" i="3"/>
  <c r="Z60" i="3" s="1"/>
  <c r="V35" i="3"/>
  <c r="AC35" i="3" s="1"/>
  <c r="AC36" i="3" s="1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AC37" i="3" s="1"/>
  <c r="AC38" i="3" s="1"/>
  <c r="F41" i="3"/>
  <c r="K41" i="3"/>
  <c r="B62" i="21"/>
  <c r="V37" i="3" l="1"/>
  <c r="A91" i="21"/>
  <c r="D71" i="3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C39" i="3" s="1"/>
  <c r="AC40" i="3" s="1"/>
  <c r="AC41" i="3" s="1"/>
  <c r="AB36" i="3"/>
  <c r="AF36" i="3"/>
  <c r="G44" i="3" s="1"/>
  <c r="E72" i="3" l="1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AB39" i="3" l="1"/>
  <c r="V40" i="3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C42" i="3" s="1"/>
  <c r="AC43" i="3" s="1"/>
  <c r="AC44" i="3" s="1"/>
  <c r="AC45" i="3" s="1"/>
  <c r="AC46" i="3" s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0" i="27" s="1"/>
  <c r="C11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F96DFF3E-3D6C-494E-8ED9-9F612BC418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</text>
    </comment>
    <comment ref="D4" authorId="1" shapeId="0" xr:uid="{C775ACF4-EF74-4FDF-BA7E-4CDF80C76B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32D35331-E0B1-4FE1-8B0B-4C8FFE0781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7BDC9393-3FEA-4751-8BF0-F94B53916C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B11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<sst xmlns="http://schemas.openxmlformats.org/spreadsheetml/2006/main" count="1140" uniqueCount="290">
  <si>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</si>
  <si>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</si>
  <si>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</si>
  <si>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</si>
  <si>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</si>
  <si>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</si>
  <si>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</si>
  <si>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</si>
  <si>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</si>
  <si>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</si>
  <si>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</si>
  <si>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</si>
  <si>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</si>
  <si>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</si>
  <si>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</si>
  <si>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6" type="noConversion"/>
  </si>
  <si>
    <t>T</t>
    <phoneticPr fontId="6" type="noConversion"/>
  </si>
  <si>
    <t>Re</t>
    <phoneticPr fontId="6" type="noConversion"/>
  </si>
  <si>
    <t xml:space="preserve"> </t>
    <phoneticPr fontId="6" type="noConversion"/>
  </si>
  <si>
    <t>S</t>
    <phoneticPr fontId="6" type="noConversion"/>
  </si>
  <si>
    <t>t</t>
    <phoneticPr fontId="6" type="noConversion"/>
  </si>
  <si>
    <t>Day</t>
    <phoneticPr fontId="6" type="noConversion"/>
  </si>
  <si>
    <t>Sw</t>
    <phoneticPr fontId="6" type="noConversion"/>
  </si>
  <si>
    <t xml:space="preserve"> </t>
    <phoneticPr fontId="6" type="noConversion"/>
  </si>
  <si>
    <t>t</t>
    <phoneticPr fontId="6" type="noConversion"/>
  </si>
  <si>
    <t>반경  =</t>
    <phoneticPr fontId="6" type="noConversion"/>
  </si>
  <si>
    <t>유효우물</t>
    <phoneticPr fontId="6" type="noConversion"/>
  </si>
  <si>
    <t>2.25xTxt =</t>
    <phoneticPr fontId="6" type="noConversion"/>
  </si>
  <si>
    <t>고정</t>
    <phoneticPr fontId="6" type="noConversion"/>
  </si>
  <si>
    <t>대수층손실</t>
    <phoneticPr fontId="6" type="noConversion"/>
  </si>
  <si>
    <t>우물효율</t>
    <phoneticPr fontId="6" type="noConversion"/>
  </si>
  <si>
    <t>기울기</t>
    <phoneticPr fontId="6" type="noConversion"/>
  </si>
  <si>
    <t>Y절편</t>
    <phoneticPr fontId="6" type="noConversion"/>
  </si>
  <si>
    <t xml:space="preserve"> </t>
    <phoneticPr fontId="6" type="noConversion"/>
  </si>
  <si>
    <t>Q=</t>
    <phoneticPr fontId="6" type="noConversion"/>
  </si>
  <si>
    <t>장기양수량</t>
    <phoneticPr fontId="6" type="noConversion"/>
  </si>
  <si>
    <t>B</t>
    <phoneticPr fontId="6" type="noConversion"/>
  </si>
  <si>
    <t>Re =</t>
    <phoneticPr fontId="6" type="noConversion"/>
  </si>
  <si>
    <t>A</t>
    <phoneticPr fontId="6" type="noConversion"/>
  </si>
  <si>
    <t>S =</t>
    <phoneticPr fontId="6" type="noConversion"/>
  </si>
  <si>
    <t>A/B =</t>
    <phoneticPr fontId="6" type="noConversion"/>
  </si>
  <si>
    <t>10^(5.46xTxB)=</t>
    <phoneticPr fontId="6" type="noConversion"/>
  </si>
  <si>
    <t>그래프조정</t>
    <phoneticPr fontId="6" type="noConversion"/>
  </si>
  <si>
    <t>초기치</t>
    <phoneticPr fontId="6" type="noConversion"/>
  </si>
  <si>
    <t>수위강하량 초기치조정</t>
    <phoneticPr fontId="6" type="noConversion"/>
  </si>
  <si>
    <t>지 구 명</t>
    <phoneticPr fontId="6" type="noConversion"/>
  </si>
  <si>
    <t>위    치</t>
    <phoneticPr fontId="6" type="noConversion"/>
  </si>
  <si>
    <t>단계양수시험</t>
    <phoneticPr fontId="6" type="noConversion"/>
  </si>
  <si>
    <t>장기디스시험</t>
    <phoneticPr fontId="6" type="noConversion"/>
  </si>
  <si>
    <t>장기c-j시험</t>
    <phoneticPr fontId="6" type="noConversion"/>
  </si>
  <si>
    <t>회복수위시험</t>
    <phoneticPr fontId="6" type="noConversion"/>
  </si>
  <si>
    <t>선택치</t>
    <phoneticPr fontId="6" type="noConversion"/>
  </si>
  <si>
    <t>T값</t>
    <phoneticPr fontId="6" type="noConversion"/>
  </si>
  <si>
    <t>선택치</t>
    <phoneticPr fontId="6" type="noConversion"/>
  </si>
  <si>
    <t>지구명</t>
    <phoneticPr fontId="6" type="noConversion"/>
  </si>
  <si>
    <t>위  치</t>
    <phoneticPr fontId="6" type="noConversion"/>
  </si>
  <si>
    <t>조사자</t>
    <phoneticPr fontId="6" type="noConversion"/>
  </si>
  <si>
    <t>수중모터</t>
    <phoneticPr fontId="6" type="noConversion"/>
  </si>
  <si>
    <t>양수시험일</t>
    <phoneticPr fontId="6" type="noConversion"/>
  </si>
  <si>
    <t>우물직경</t>
    <phoneticPr fontId="6" type="noConversion"/>
  </si>
  <si>
    <t>관정심도</t>
    <phoneticPr fontId="6" type="noConversion"/>
  </si>
  <si>
    <t>대수층두께</t>
    <phoneticPr fontId="6" type="noConversion"/>
  </si>
  <si>
    <t>적정양수량</t>
    <phoneticPr fontId="6" type="noConversion"/>
  </si>
  <si>
    <t>자연수위</t>
    <phoneticPr fontId="6" type="noConversion"/>
  </si>
  <si>
    <t>안정수위</t>
    <phoneticPr fontId="6" type="noConversion"/>
  </si>
  <si>
    <t>수위강하량</t>
    <phoneticPr fontId="6" type="noConversion"/>
  </si>
  <si>
    <t>단계수위강하</t>
    <phoneticPr fontId="6" type="noConversion"/>
  </si>
  <si>
    <t>영향반경</t>
    <phoneticPr fontId="6" type="noConversion"/>
  </si>
  <si>
    <t>R</t>
    <phoneticPr fontId="6" type="noConversion"/>
  </si>
  <si>
    <t>Shultze:</t>
    <phoneticPr fontId="6" type="noConversion"/>
  </si>
  <si>
    <t>Weber:</t>
    <phoneticPr fontId="6" type="noConversion"/>
  </si>
  <si>
    <t>Jacob:</t>
    <phoneticPr fontId="6" type="noConversion"/>
  </si>
  <si>
    <t>평균</t>
    <phoneticPr fontId="6" type="noConversion"/>
  </si>
  <si>
    <t>포획구간</t>
    <phoneticPr fontId="6" type="noConversion"/>
  </si>
  <si>
    <t>상류</t>
    <phoneticPr fontId="6" type="noConversion"/>
  </si>
  <si>
    <t>하류</t>
    <phoneticPr fontId="6" type="noConversion"/>
  </si>
  <si>
    <t>S값</t>
    <phoneticPr fontId="6" type="noConversion"/>
  </si>
  <si>
    <t>s'=</t>
    <phoneticPr fontId="6" type="noConversion"/>
  </si>
  <si>
    <t>Q양수량 =</t>
    <phoneticPr fontId="6" type="noConversion"/>
  </si>
  <si>
    <t>㎥/일</t>
    <phoneticPr fontId="6" type="noConversion"/>
  </si>
  <si>
    <t>양수량(㎥/일)</t>
    <phoneticPr fontId="6" type="noConversion"/>
  </si>
  <si>
    <t>1일상수 =</t>
    <phoneticPr fontId="6" type="noConversion"/>
  </si>
  <si>
    <t>일</t>
    <phoneticPr fontId="6" type="noConversion"/>
  </si>
  <si>
    <t>A효율</t>
    <phoneticPr fontId="6" type="noConversion"/>
  </si>
  <si>
    <t>H 양정 =</t>
    <phoneticPr fontId="6" type="noConversion"/>
  </si>
  <si>
    <t>m</t>
    <phoneticPr fontId="6" type="noConversion"/>
  </si>
  <si>
    <t>B효율</t>
    <phoneticPr fontId="6" type="noConversion"/>
  </si>
  <si>
    <t>hp 마력 =</t>
    <phoneticPr fontId="6" type="noConversion"/>
  </si>
  <si>
    <t>hp</t>
    <phoneticPr fontId="6" type="noConversion"/>
  </si>
  <si>
    <t>평균효율</t>
    <phoneticPr fontId="6" type="noConversion"/>
  </si>
  <si>
    <t>η 효율 =</t>
    <phoneticPr fontId="6" type="noConversion"/>
  </si>
  <si>
    <t>%</t>
    <phoneticPr fontId="6" type="noConversion"/>
  </si>
  <si>
    <t>마력산정 =</t>
    <phoneticPr fontId="6" type="noConversion"/>
  </si>
  <si>
    <t>양정산정 =</t>
    <phoneticPr fontId="6" type="noConversion"/>
  </si>
  <si>
    <t>1분양수량</t>
    <phoneticPr fontId="6" type="noConversion"/>
  </si>
  <si>
    <t>시경수량</t>
    <phoneticPr fontId="6" type="noConversion"/>
  </si>
  <si>
    <t>케이싱</t>
    <phoneticPr fontId="6" type="noConversion"/>
  </si>
  <si>
    <t>우물자재</t>
    <phoneticPr fontId="6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</si>
  <si>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</si>
  <si>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</si>
  <si>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</si>
  <si>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</si>
  <si>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</si>
  <si>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</si>
  <si>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</si>
  <si>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</si>
  <si>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6" type="noConversion"/>
  </si>
  <si>
    <t>1단계양수량(Q1)</t>
    <phoneticPr fontId="6" type="noConversion"/>
  </si>
  <si>
    <t>1단계수위강하량(S1)</t>
    <phoneticPr fontId="6" type="noConversion"/>
  </si>
  <si>
    <t>4단계수위강하량(S2)</t>
    <phoneticPr fontId="6" type="noConversion"/>
  </si>
  <si>
    <t>2/3</t>
    <phoneticPr fontId="6" type="noConversion"/>
  </si>
  <si>
    <t>가채수량(Q)</t>
    <phoneticPr fontId="6" type="noConversion"/>
  </si>
  <si>
    <t>적용가채수량(Q)</t>
    <phoneticPr fontId="6" type="noConversion"/>
  </si>
  <si>
    <t>개발시 적정채수량으로 적용 =</t>
    <phoneticPr fontId="6" type="noConversion"/>
  </si>
  <si>
    <t>1단계조정</t>
    <phoneticPr fontId="6" type="noConversion"/>
  </si>
  <si>
    <t>2단계조정</t>
    <phoneticPr fontId="6" type="noConversion"/>
  </si>
  <si>
    <t>3단계조정</t>
    <phoneticPr fontId="6" type="noConversion"/>
  </si>
  <si>
    <t>5단계조정</t>
    <phoneticPr fontId="6" type="noConversion"/>
  </si>
  <si>
    <t>정해진 목표 가채수량</t>
    <phoneticPr fontId="6" type="noConversion"/>
  </si>
  <si>
    <t>계산상 가재수량</t>
    <phoneticPr fontId="6" type="noConversion"/>
  </si>
  <si>
    <t>시추조사시 수량의 대소에 따라 차등적용</t>
    <phoneticPr fontId="6" type="noConversion"/>
  </si>
  <si>
    <t>Sw</t>
    <phoneticPr fontId="6" type="noConversion"/>
  </si>
  <si>
    <t>Q</t>
    <phoneticPr fontId="6" type="noConversion"/>
  </si>
  <si>
    <t>그래프양수량조정</t>
    <phoneticPr fontId="6" type="noConversion"/>
  </si>
  <si>
    <t>그래프기울기저정</t>
    <phoneticPr fontId="6" type="noConversion"/>
  </si>
  <si>
    <t>360분수
위강하량</t>
    <phoneticPr fontId="6" type="noConversion"/>
  </si>
  <si>
    <t>1층</t>
    <phoneticPr fontId="6" type="noConversion"/>
  </si>
  <si>
    <t>저항</t>
    <phoneticPr fontId="6" type="noConversion"/>
  </si>
  <si>
    <t>심도</t>
    <phoneticPr fontId="6" type="noConversion"/>
  </si>
  <si>
    <t>2층</t>
    <phoneticPr fontId="6" type="noConversion"/>
  </si>
  <si>
    <t>심도</t>
    <phoneticPr fontId="6" type="noConversion"/>
  </si>
  <si>
    <t>3층</t>
    <phoneticPr fontId="6" type="noConversion"/>
  </si>
  <si>
    <t>4층</t>
    <phoneticPr fontId="6" type="noConversion"/>
  </si>
  <si>
    <t>저항</t>
    <phoneticPr fontId="6" type="noConversion"/>
  </si>
  <si>
    <t>측점수</t>
    <phoneticPr fontId="6" type="noConversion"/>
  </si>
  <si>
    <t>전기탐사</t>
    <phoneticPr fontId="6" type="noConversion"/>
  </si>
  <si>
    <t>단계양수 3단계
수위강하량</t>
    <phoneticPr fontId="6" type="noConversion"/>
  </si>
  <si>
    <t>확인
적색으로</t>
    <phoneticPr fontId="6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</si>
  <si>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</si>
  <si>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</si>
  <si>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</si>
  <si>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</si>
  <si>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</si>
  <si>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</si>
  <si>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</si>
  <si>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</si>
  <si>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</si>
  <si>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</si>
  <si>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</si>
  <si>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</si>
  <si>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</si>
  <si>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</si>
  <si>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8" type="noConversion"/>
  </si>
  <si>
    <t xml:space="preserve">  2006.    .    .</t>
    <phoneticPr fontId="18" type="noConversion"/>
  </si>
  <si>
    <t>지  질</t>
    <phoneticPr fontId="18" type="noConversion"/>
  </si>
  <si>
    <t>지질명</t>
    <phoneticPr fontId="18" type="noConversion"/>
  </si>
  <si>
    <t>주    상    도</t>
    <phoneticPr fontId="18" type="noConversion"/>
  </si>
  <si>
    <t>토 사 층</t>
    <phoneticPr fontId="18" type="noConversion"/>
  </si>
  <si>
    <t>오염방지그라우팅</t>
    <phoneticPr fontId="18" type="noConversion"/>
  </si>
  <si>
    <t>250m/m</t>
    <phoneticPr fontId="18" type="noConversion"/>
  </si>
  <si>
    <t>양수량(㎥/day)</t>
    <phoneticPr fontId="6" type="noConversion"/>
  </si>
  <si>
    <t>경과시간(분)</t>
    <phoneticPr fontId="6" type="noConversion"/>
  </si>
  <si>
    <t>지하수위(m)</t>
    <phoneticPr fontId="6" type="noConversion"/>
  </si>
  <si>
    <t>수위강하량(m)</t>
    <phoneticPr fontId="6" type="noConversion"/>
  </si>
  <si>
    <t>비  고</t>
  </si>
  <si>
    <t>조 사 자</t>
    <phoneticPr fontId="6" type="noConversion"/>
  </si>
  <si>
    <t xml:space="preserve">  충청남도 공주시 쌍신동 산6-1</t>
    <phoneticPr fontId="18" type="noConversion"/>
  </si>
  <si>
    <t>12m 설치</t>
    <phoneticPr fontId="18" type="noConversion"/>
  </si>
  <si>
    <t>직     경</t>
    <phoneticPr fontId="6" type="noConversion"/>
  </si>
  <si>
    <t>자연 수위</t>
    <phoneticPr fontId="6" type="noConversion"/>
  </si>
  <si>
    <t>양수량(㎥/day)</t>
    <phoneticPr fontId="6" type="noConversion"/>
  </si>
  <si>
    <t>관측 시간</t>
    <phoneticPr fontId="6" type="noConversion"/>
  </si>
  <si>
    <t>경과시간(분)</t>
    <phoneticPr fontId="6" type="noConversion"/>
  </si>
  <si>
    <t>지하수위(m)</t>
    <phoneticPr fontId="6" type="noConversion"/>
  </si>
  <si>
    <t>수위강하량(m)</t>
    <phoneticPr fontId="6" type="noConversion"/>
  </si>
  <si>
    <t>&lt;부록 : 4&gt; 양수시험일보</t>
    <phoneticPr fontId="6" type="noConversion"/>
  </si>
  <si>
    <t>△h</t>
    <phoneticPr fontId="6" type="noConversion"/>
  </si>
  <si>
    <t>K</t>
    <phoneticPr fontId="6" type="noConversion"/>
  </si>
  <si>
    <t>최대</t>
    <phoneticPr fontId="6" type="noConversion"/>
  </si>
  <si>
    <t>&lt;END&gt;</t>
    <phoneticPr fontId="3" type="noConversion"/>
  </si>
  <si>
    <t>적용시간</t>
    <phoneticPr fontId="6" type="noConversion"/>
  </si>
  <si>
    <t>적용수위</t>
    <phoneticPr fontId="6" type="noConversion"/>
  </si>
  <si>
    <t>안정수위</t>
    <phoneticPr fontId="6" type="noConversion"/>
  </si>
  <si>
    <t>도달시간</t>
    <phoneticPr fontId="6" type="noConversion"/>
  </si>
  <si>
    <t>확    인</t>
    <phoneticPr fontId="6" type="noConversion"/>
  </si>
  <si>
    <t>케이싱직경</t>
    <phoneticPr fontId="6" type="noConversion"/>
  </si>
  <si>
    <t>지하수위</t>
    <phoneticPr fontId="6" type="noConversion"/>
  </si>
  <si>
    <t>강하수위</t>
    <phoneticPr fontId="6" type="noConversion"/>
  </si>
  <si>
    <t>단계별수위강하량</t>
    <phoneticPr fontId="6" type="noConversion"/>
  </si>
  <si>
    <t>Sw/Q</t>
    <phoneticPr fontId="6" type="noConversion"/>
  </si>
  <si>
    <t>장기양수 및 회복수위시험 일보</t>
    <phoneticPr fontId="6" type="noConversion"/>
  </si>
  <si>
    <t>조사명</t>
    <phoneticPr fontId="6" type="noConversion"/>
  </si>
  <si>
    <t>조 사 명</t>
    <phoneticPr fontId="6" type="noConversion"/>
  </si>
  <si>
    <t>양수능력 =</t>
    <phoneticPr fontId="6" type="noConversion"/>
  </si>
  <si>
    <t>비양수량(Q/Sw)</t>
    <phoneticPr fontId="6" type="noConversion"/>
  </si>
  <si>
    <t>Sw/Q</t>
    <phoneticPr fontId="6" type="noConversion"/>
  </si>
  <si>
    <t>π</t>
    <phoneticPr fontId="6" type="noConversion"/>
  </si>
  <si>
    <t>=</t>
    <phoneticPr fontId="6" type="noConversion"/>
  </si>
  <si>
    <t>△s</t>
    <phoneticPr fontId="6" type="noConversion"/>
  </si>
  <si>
    <t>Q</t>
    <phoneticPr fontId="6" type="noConversion"/>
  </si>
  <si>
    <t>σ =</t>
    <phoneticPr fontId="6" type="noConversion"/>
  </si>
  <si>
    <t>케이싱심도</t>
    <phoneticPr fontId="6" type="noConversion"/>
  </si>
  <si>
    <t>Shultze   R =</t>
    <phoneticPr fontId="6" type="noConversion"/>
  </si>
  <si>
    <t>장기 T =</t>
    <phoneticPr fontId="6" type="noConversion"/>
  </si>
  <si>
    <t>회복 T =</t>
    <phoneticPr fontId="6" type="noConversion"/>
  </si>
  <si>
    <t>△h(수위강하량)</t>
    <phoneticPr fontId="6" type="noConversion"/>
  </si>
  <si>
    <t>T(투수량계수)</t>
    <phoneticPr fontId="6" type="noConversion"/>
  </si>
  <si>
    <t>1일</t>
    <phoneticPr fontId="6" type="noConversion"/>
  </si>
  <si>
    <t>안정도달</t>
    <phoneticPr fontId="6" type="noConversion"/>
  </si>
  <si>
    <t>Weber   R =</t>
    <phoneticPr fontId="6" type="noConversion"/>
  </si>
  <si>
    <t>K</t>
    <phoneticPr fontId="6" type="noConversion"/>
  </si>
  <si>
    <t>Jacop   R =</t>
    <phoneticPr fontId="6" type="noConversion"/>
  </si>
  <si>
    <t>대수층두께</t>
    <phoneticPr fontId="6" type="noConversion"/>
  </si>
  <si>
    <t>T(투수량계수)</t>
    <phoneticPr fontId="6" type="noConversion"/>
  </si>
  <si>
    <t>안정도달</t>
    <phoneticPr fontId="6" type="noConversion"/>
  </si>
  <si>
    <t>S</t>
    <phoneticPr fontId="6" type="noConversion"/>
  </si>
  <si>
    <t>T 값 평균=</t>
    <phoneticPr fontId="6" type="noConversion"/>
  </si>
  <si>
    <t>k값</t>
    <phoneticPr fontId="6" type="noConversion"/>
  </si>
  <si>
    <t>S 값 적용=</t>
    <phoneticPr fontId="6" type="noConversion"/>
  </si>
  <si>
    <t>영향반경 평균=</t>
    <phoneticPr fontId="6" type="noConversion"/>
  </si>
  <si>
    <t>Q/Sw</t>
    <phoneticPr fontId="6" type="noConversion"/>
  </si>
  <si>
    <t>공심도(굴착깊이)</t>
    <phoneticPr fontId="6" type="noConversion"/>
  </si>
  <si>
    <t>t(일)</t>
    <phoneticPr fontId="6" type="noConversion"/>
  </si>
  <si>
    <t>안정도달(분)</t>
    <phoneticPr fontId="6" type="noConversion"/>
  </si>
  <si>
    <t>Rw</t>
    <phoneticPr fontId="6" type="noConversion"/>
  </si>
  <si>
    <t>자연수위(단위 m)</t>
    <phoneticPr fontId="6" type="noConversion"/>
  </si>
  <si>
    <t>△h(수위강하량) m</t>
    <phoneticPr fontId="6" type="noConversion"/>
  </si>
  <si>
    <t xml:space="preserve">대수층두께(m) </t>
    <phoneticPr fontId="6" type="noConversion"/>
  </si>
  <si>
    <t>T(투수량계수, ㎡/일)</t>
    <phoneticPr fontId="6" type="noConversion"/>
  </si>
  <si>
    <t xml:space="preserve"> </t>
    <phoneticPr fontId="6" type="noConversion"/>
  </si>
  <si>
    <t xml:space="preserve"> </t>
    <phoneticPr fontId="6" type="noConversion"/>
  </si>
  <si>
    <t>회복수위</t>
    <phoneticPr fontId="6" type="noConversion"/>
  </si>
  <si>
    <t>수위회복량(Sw)</t>
    <phoneticPr fontId="6" type="noConversion"/>
  </si>
  <si>
    <t>양수량</t>
    <phoneticPr fontId="6" type="noConversion"/>
  </si>
  <si>
    <t>지하수위</t>
    <phoneticPr fontId="6" type="noConversion"/>
  </si>
  <si>
    <t>강하수위</t>
    <phoneticPr fontId="6" type="noConversion"/>
  </si>
  <si>
    <t>공번</t>
    <phoneticPr fontId="6" type="noConversion"/>
  </si>
  <si>
    <t>W-1</t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</si>
  <si>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</si>
  <si>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</si>
  <si>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</si>
  <si>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</si>
  <si>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</si>
  <si>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6" type="noConversion"/>
  </si>
  <si>
    <t>W-2</t>
  </si>
  <si>
    <t>W-3</t>
  </si>
  <si>
    <t>W-4</t>
  </si>
  <si>
    <t>W-5</t>
  </si>
  <si>
    <t>회복수위측정</t>
  </si>
  <si>
    <t>안정수위=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</si>
  <si>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6" type="noConversion"/>
  </si>
  <si>
    <t>W-6</t>
    <phoneticPr fontId="6" type="noConversion"/>
  </si>
  <si>
    <t>양수정의 수질 변화기록</t>
    <phoneticPr fontId="6" type="noConversion"/>
  </si>
  <si>
    <t>수질 1번</t>
    <phoneticPr fontId="6" type="noConversion"/>
  </si>
  <si>
    <t>측정일시</t>
    <phoneticPr fontId="6" type="noConversion"/>
  </si>
  <si>
    <t>기본 온도</t>
    <phoneticPr fontId="6" type="noConversion"/>
  </si>
  <si>
    <t>기본 EC</t>
    <phoneticPr fontId="6" type="noConversion"/>
  </si>
  <si>
    <t>기본 PH</t>
    <phoneticPr fontId="6" type="noConversion"/>
  </si>
  <si>
    <t>항목</t>
    <phoneticPr fontId="6" type="noConversion"/>
  </si>
  <si>
    <t>경과</t>
    <phoneticPr fontId="6" type="noConversion"/>
  </si>
  <si>
    <t>온도( ℃ )</t>
    <phoneticPr fontId="6" type="noConversion"/>
  </si>
  <si>
    <t>EC (μs/㎝)</t>
    <phoneticPr fontId="6" type="noConversion"/>
  </si>
  <si>
    <t>pH</t>
    <phoneticPr fontId="6" type="noConversion"/>
  </si>
  <si>
    <t>최소</t>
    <phoneticPr fontId="6" type="noConversion"/>
  </si>
  <si>
    <t>변화량</t>
    <phoneticPr fontId="6" type="noConversion"/>
  </si>
  <si>
    <t>a---&gt;</t>
    <phoneticPr fontId="6" type="noConversion"/>
  </si>
  <si>
    <t>b---&gt;</t>
    <phoneticPr fontId="6" type="noConversion"/>
  </si>
  <si>
    <t>경험식Re=</t>
    <phoneticPr fontId="6" type="noConversion"/>
  </si>
  <si>
    <t>&lt;---장기양수T</t>
    <phoneticPr fontId="6" type="noConversion"/>
  </si>
  <si>
    <t>&lt;--sqrt(a/b)</t>
    <phoneticPr fontId="6" type="noConversion"/>
  </si>
  <si>
    <t>e---&gt;</t>
    <phoneticPr fontId="6" type="noConversion"/>
  </si>
  <si>
    <t>경험식Re2=</t>
    <phoneticPr fontId="6" type="noConversion"/>
  </si>
  <si>
    <t>SkinFactor Re =</t>
    <phoneticPr fontId="6" type="noConversion"/>
  </si>
  <si>
    <t>저류계수</t>
    <phoneticPr fontId="6" type="noConversion"/>
  </si>
  <si>
    <t>주식회사 한일지하수</t>
    <phoneticPr fontId="6" type="noConversion"/>
  </si>
  <si>
    <t>W-7</t>
    <phoneticPr fontId="6" type="noConversion"/>
  </si>
  <si>
    <t>W-8</t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</si>
  <si>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</si>
  <si>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</si>
  <si>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</si>
  <si>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</si>
  <si>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6" type="noConversion"/>
  </si>
  <si>
    <t>W-9</t>
    <phoneticPr fontId="6" type="noConversion"/>
  </si>
  <si>
    <t>W-10</t>
    <phoneticPr fontId="6" type="noConversion"/>
  </si>
  <si>
    <t>W-11</t>
    <phoneticPr fontId="6" type="noConversion"/>
  </si>
  <si>
    <t>경북대학교 융합교육정보관 신축 기계관급(지열시스템)구매설치</t>
    <phoneticPr fontId="6" type="noConversion"/>
  </si>
  <si>
    <t>복현지구</t>
    <phoneticPr fontId="6" type="noConversion"/>
  </si>
  <si>
    <t>대구광역시 북구 복현동 573번지</t>
    <phoneticPr fontId="6" type="noConversion"/>
  </si>
  <si>
    <t>S1:</t>
    <phoneticPr fontId="6" type="noConversion"/>
  </si>
  <si>
    <t>공  번 : W - 9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</si>
</sst>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0.0_ "/>
    <numFmt numFmtId="216" formatCode="&quot;s`:&quot;0.00"/>
    <numFmt numFmtId="217" formatCode="0.0\ &quot;도&quot;"/>
    <numFmt numFmtId="218" formatCode="0.000\ &quot;%&quot;"/>
    <numFmt numFmtId="219" formatCode="yyyy&quot;년&quot;\ m&quot;월&quot;\ d&quot;일&quot;;@"/>
    <numFmt numFmtId="220" formatCode="0_);[Red]\(0\)"/>
    <numFmt numFmtId="221" formatCode="#,##0.00_ "/>
    <numFmt numFmtId="222" formatCode="yy&quot;-&quot;m&quot;-&quot;d\ h:mm;@"/>
    <numFmt numFmtId="223" formatCode="#,##0.0_);[Red]\(#,##0.0\)"/>
    <numFmt numFmtId="224" formatCode="yyyy&quot;-&quot;mm&quot;-&quot;dd\ h:mm;@"/>
    <numFmt numFmtId="225" formatCode="0.0%"/>
  </numFmts>
  <fonts count="67" x14ac:knownFonts="1">
    <font>
      <sz val="11"/>
      <name val="돋움"/>
      <family val="3"/>
      <charset val="129"/>
    </font>
    <font>
      <sz val="11"/>
      <color theme="1"/>
      <name val="맑은 고딕"/>
      <family val="2"/>
      <scheme val="minor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57979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7A983E"/>
        <bgColor indexed="64"/>
      </patternFill>
    </fill>
  </fills>
  <borders count="9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24" fontId="12" fillId="0" borderId="0" applyFont="0" applyFill="0" applyBorder="0" applyAlignment="0" applyProtection="0"/>
    <xf numFmtId="199" fontId="2" fillId="0" borderId="0" applyNumberFormat="0" applyFont="0" applyFill="0" applyBorder="0" applyAlignment="0" applyProtection="0"/>
    <xf numFmtId="197" fontId="2" fillId="0" borderId="0" applyNumberFormat="0" applyFont="0" applyFill="0" applyBorder="0" applyAlignment="0" applyProtection="0"/>
    <xf numFmtId="199" fontId="2" fillId="0" borderId="0" applyNumberFormat="0" applyFont="0" applyFill="0" applyBorder="0" applyAlignment="0" applyProtection="0"/>
    <xf numFmtId="197" fontId="2" fillId="0" borderId="0" applyNumberFormat="0" applyFont="0" applyFill="0" applyBorder="0" applyAlignment="0" applyProtection="0"/>
    <xf numFmtId="0" fontId="13" fillId="0" borderId="1" applyNumberFormat="0" applyAlignment="0" applyProtection="0">
      <alignment horizontal="left" vertical="center"/>
    </xf>
    <xf numFmtId="0" fontId="13" fillId="0" borderId="2">
      <alignment horizontal="left" vertical="center"/>
    </xf>
    <xf numFmtId="9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207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210" fontId="2" fillId="0" borderId="0" applyFont="0" applyFill="0" applyBorder="0" applyAlignment="0" applyProtection="0"/>
    <xf numFmtId="0" fontId="17" fillId="0" borderId="0"/>
    <xf numFmtId="0" fontId="2" fillId="0" borderId="0">
      <alignment vertical="center"/>
    </xf>
    <xf numFmtId="0" fontId="43" fillId="22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</cellStyleXfs>
  <cellXfs count="555">
    <xf numFmtId="0" fontId="0" fillId="0" borderId="0" xfId="0"/>
    <xf numFmtId="0" fontId="4" fillId="0" borderId="0" xfId="0" applyFont="1" applyAlignment="1">
      <alignment horizontal="centerContinuous"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3" fillId="0" borderId="0" xfId="0" applyFont="1"/>
    <xf numFmtId="0" fontId="3" fillId="0" borderId="0" xfId="0" applyFont="1" applyAlignment="1">
      <alignment horizontal="center"/>
    </xf>
    <xf numFmtId="177" fontId="3" fillId="0" borderId="0" xfId="0" applyNumberFormat="1" applyFont="1" applyAlignment="1">
      <alignment vertical="center"/>
    </xf>
    <xf numFmtId="184" fontId="3" fillId="0" borderId="0" xfId="0" applyNumberFormat="1" applyFont="1" applyAlignment="1">
      <alignment vertical="center"/>
    </xf>
    <xf numFmtId="184" fontId="0" fillId="0" borderId="0" xfId="0" applyNumberFormat="1"/>
    <xf numFmtId="181" fontId="3" fillId="0" borderId="0" xfId="0" applyNumberFormat="1" applyFont="1" applyAlignment="1">
      <alignment vertical="center"/>
    </xf>
    <xf numFmtId="2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183" fontId="3" fillId="0" borderId="0" xfId="0" applyNumberFormat="1" applyFont="1" applyAlignment="1">
      <alignment vertical="center"/>
    </xf>
    <xf numFmtId="188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/>
    </xf>
    <xf numFmtId="183" fontId="3" fillId="0" borderId="0" xfId="0" applyNumberFormat="1" applyFont="1" applyAlignment="1">
      <alignment horizontal="right"/>
    </xf>
    <xf numFmtId="0" fontId="7" fillId="0" borderId="0" xfId="0" applyFont="1"/>
    <xf numFmtId="0" fontId="8" fillId="0" borderId="0" xfId="0" applyFont="1"/>
    <xf numFmtId="2" fontId="7" fillId="0" borderId="0" xfId="0" applyNumberFormat="1" applyFont="1"/>
    <xf numFmtId="1" fontId="7" fillId="0" borderId="0" xfId="0" applyNumberFormat="1" applyFont="1"/>
    <xf numFmtId="178" fontId="7" fillId="0" borderId="0" xfId="0" applyNumberFormat="1" applyFont="1"/>
    <xf numFmtId="0" fontId="7" fillId="0" borderId="0" xfId="0" applyFont="1" applyAlignment="1">
      <alignment horizontal="center"/>
    </xf>
    <xf numFmtId="177" fontId="7" fillId="0" borderId="0" xfId="0" applyNumberFormat="1" applyFont="1"/>
    <xf numFmtId="0" fontId="9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9" fontId="7" fillId="0" borderId="0" xfId="8" applyFont="1"/>
    <xf numFmtId="0" fontId="9" fillId="0" borderId="0" xfId="0" applyFont="1" applyAlignment="1">
      <alignment horizontal="right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7" fillId="2" borderId="0" xfId="0" applyFont="1" applyFill="1"/>
    <xf numFmtId="192" fontId="3" fillId="0" borderId="0" xfId="0" applyNumberFormat="1" applyFont="1" applyAlignment="1">
      <alignment horizontal="center" vertical="center"/>
    </xf>
    <xf numFmtId="192" fontId="3" fillId="2" borderId="0" xfId="0" applyNumberFormat="1" applyFont="1" applyFill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0" fontId="7" fillId="0" borderId="3" xfId="0" applyFont="1" applyBorder="1"/>
    <xf numFmtId="0" fontId="7" fillId="0" borderId="3" xfId="0" applyFont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7" fillId="3" borderId="0" xfId="0" applyFont="1" applyFill="1"/>
    <xf numFmtId="0" fontId="8" fillId="0" borderId="3" xfId="0" applyFont="1" applyBorder="1"/>
    <xf numFmtId="0" fontId="8" fillId="2" borderId="3" xfId="0" applyFont="1" applyFill="1" applyBorder="1"/>
    <xf numFmtId="0" fontId="8" fillId="4" borderId="3" xfId="0" applyFont="1" applyFill="1" applyBorder="1"/>
    <xf numFmtId="2" fontId="7" fillId="2" borderId="0" xfId="0" applyNumberFormat="1" applyFont="1" applyFill="1"/>
    <xf numFmtId="0" fontId="7" fillId="2" borderId="0" xfId="0" applyFont="1" applyFill="1" applyAlignment="1">
      <alignment horizontal="right"/>
    </xf>
    <xf numFmtId="0" fontId="8" fillId="0" borderId="3" xfId="0" applyFont="1" applyBorder="1" applyAlignment="1">
      <alignment horizontal="center"/>
    </xf>
    <xf numFmtId="0" fontId="8" fillId="0" borderId="3" xfId="0" applyFont="1" applyBorder="1" applyAlignment="1">
      <alignment horizontal="right"/>
    </xf>
    <xf numFmtId="177" fontId="8" fillId="0" borderId="3" xfId="0" applyNumberFormat="1" applyFont="1" applyBorder="1"/>
    <xf numFmtId="0" fontId="11" fillId="0" borderId="3" xfId="0" applyFont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3" fillId="0" borderId="3" xfId="0" applyFont="1" applyBorder="1" applyAlignment="1">
      <alignment horizontal="centerContinuous" vertical="center"/>
    </xf>
    <xf numFmtId="0" fontId="3" fillId="0" borderId="3" xfId="0" applyFont="1" applyBorder="1" applyAlignment="1">
      <alignment vertical="center"/>
    </xf>
    <xf numFmtId="186" fontId="3" fillId="0" borderId="3" xfId="0" applyNumberFormat="1" applyFont="1" applyBorder="1" applyAlignment="1">
      <alignment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centerContinuous" vertical="center"/>
    </xf>
    <xf numFmtId="0" fontId="3" fillId="0" borderId="4" xfId="0" applyFont="1" applyBorder="1" applyAlignment="1">
      <alignment vertical="center"/>
    </xf>
    <xf numFmtId="184" fontId="3" fillId="0" borderId="0" xfId="0" applyNumberFormat="1" applyFont="1" applyAlignment="1">
      <alignment horizontal="centerContinuous"/>
    </xf>
    <xf numFmtId="1" fontId="3" fillId="0" borderId="3" xfId="0" applyNumberFormat="1" applyFont="1" applyBorder="1" applyAlignment="1">
      <alignment vertical="center"/>
    </xf>
    <xf numFmtId="189" fontId="3" fillId="0" borderId="0" xfId="0" applyNumberFormat="1" applyFont="1" applyAlignment="1">
      <alignment vertical="center"/>
    </xf>
    <xf numFmtId="192" fontId="3" fillId="0" borderId="0" xfId="0" applyNumberFormat="1" applyFont="1" applyAlignment="1">
      <alignment vertical="center"/>
    </xf>
    <xf numFmtId="2" fontId="3" fillId="2" borderId="0" xfId="0" applyNumberFormat="1" applyFont="1" applyFill="1" applyAlignment="1">
      <alignment vertical="center"/>
    </xf>
    <xf numFmtId="189" fontId="3" fillId="0" borderId="0" xfId="0" applyNumberFormat="1" applyFont="1" applyAlignment="1">
      <alignment horizontal="right"/>
    </xf>
    <xf numFmtId="202" fontId="3" fillId="0" borderId="0" xfId="0" applyNumberFormat="1" applyFont="1" applyAlignment="1">
      <alignment vertical="center"/>
    </xf>
    <xf numFmtId="203" fontId="3" fillId="0" borderId="0" xfId="0" applyNumberFormat="1" applyFont="1" applyAlignment="1">
      <alignment vertical="center"/>
    </xf>
    <xf numFmtId="189" fontId="3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4" fillId="0" borderId="0" xfId="0" applyFont="1"/>
    <xf numFmtId="0" fontId="7" fillId="0" borderId="4" xfId="0" applyFont="1" applyBorder="1" applyAlignment="1">
      <alignment horizontal="center"/>
    </xf>
    <xf numFmtId="178" fontId="3" fillId="5" borderId="0" xfId="0" applyNumberFormat="1" applyFont="1" applyFill="1" applyAlignment="1">
      <alignment vertical="center"/>
    </xf>
    <xf numFmtId="0" fontId="15" fillId="0" borderId="0" xfId="0" applyFont="1"/>
    <xf numFmtId="2" fontId="15" fillId="0" borderId="0" xfId="0" applyNumberFormat="1" applyFont="1"/>
    <xf numFmtId="1" fontId="7" fillId="0" borderId="3" xfId="0" applyNumberFormat="1" applyFont="1" applyBorder="1"/>
    <xf numFmtId="2" fontId="15" fillId="0" borderId="3" xfId="0" applyNumberFormat="1" applyFont="1" applyBorder="1"/>
    <xf numFmtId="2" fontId="7" fillId="0" borderId="3" xfId="0" applyNumberFormat="1" applyFont="1" applyBorder="1"/>
    <xf numFmtId="0" fontId="7" fillId="0" borderId="5" xfId="0" applyFont="1" applyBorder="1"/>
    <xf numFmtId="1" fontId="15" fillId="0" borderId="4" xfId="0" applyNumberFormat="1" applyFont="1" applyBorder="1"/>
    <xf numFmtId="0" fontId="7" fillId="6" borderId="3" xfId="0" applyFont="1" applyFill="1" applyBorder="1"/>
    <xf numFmtId="0" fontId="7" fillId="2" borderId="3" xfId="0" applyFont="1" applyFill="1" applyBorder="1"/>
    <xf numFmtId="188" fontId="0" fillId="0" borderId="0" xfId="0" applyNumberFormat="1"/>
    <xf numFmtId="194" fontId="3" fillId="2" borderId="0" xfId="0" applyNumberFormat="1" applyFont="1" applyFill="1" applyAlignment="1">
      <alignment vertical="center"/>
    </xf>
    <xf numFmtId="194" fontId="3" fillId="0" borderId="0" xfId="0" applyNumberFormat="1" applyFont="1"/>
    <xf numFmtId="194" fontId="3" fillId="2" borderId="0" xfId="0" applyNumberFormat="1" applyFont="1" applyFill="1"/>
    <xf numFmtId="194" fontId="3" fillId="0" borderId="0" xfId="0" applyNumberFormat="1" applyFont="1" applyAlignment="1">
      <alignment horizontal="center" vertical="center"/>
    </xf>
    <xf numFmtId="194" fontId="3" fillId="0" borderId="0" xfId="0" applyNumberFormat="1" applyFont="1" applyAlignment="1">
      <alignment vertic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/>
    <xf numFmtId="0" fontId="8" fillId="0" borderId="8" xfId="0" applyFont="1" applyBorder="1"/>
    <xf numFmtId="0" fontId="8" fillId="0" borderId="9" xfId="0" applyFont="1" applyBorder="1"/>
    <xf numFmtId="176" fontId="8" fillId="0" borderId="8" xfId="9" applyFont="1" applyBorder="1"/>
    <xf numFmtId="176" fontId="8" fillId="0" borderId="9" xfId="9" applyFont="1" applyBorder="1"/>
    <xf numFmtId="0" fontId="8" fillId="0" borderId="7" xfId="0" applyFont="1" applyBorder="1" applyAlignment="1">
      <alignment horizontal="right"/>
    </xf>
    <xf numFmtId="176" fontId="8" fillId="0" borderId="8" xfId="0" applyNumberFormat="1" applyFont="1" applyBorder="1"/>
    <xf numFmtId="206" fontId="8" fillId="0" borderId="8" xfId="0" applyNumberFormat="1" applyFont="1" applyBorder="1"/>
    <xf numFmtId="176" fontId="8" fillId="0" borderId="9" xfId="0" applyNumberFormat="1" applyFont="1" applyBorder="1"/>
    <xf numFmtId="0" fontId="8" fillId="2" borderId="10" xfId="0" applyFont="1" applyFill="1" applyBorder="1"/>
    <xf numFmtId="176" fontId="8" fillId="0" borderId="11" xfId="0" applyNumberFormat="1" applyFont="1" applyBorder="1"/>
    <xf numFmtId="207" fontId="8" fillId="0" borderId="11" xfId="0" applyNumberFormat="1" applyFont="1" applyBorder="1"/>
    <xf numFmtId="176" fontId="8" fillId="0" borderId="12" xfId="0" applyNumberFormat="1" applyFont="1" applyBorder="1"/>
    <xf numFmtId="0" fontId="8" fillId="0" borderId="13" xfId="0" applyFont="1" applyBorder="1" applyAlignment="1">
      <alignment horizontal="center"/>
    </xf>
    <xf numFmtId="0" fontId="7" fillId="4" borderId="0" xfId="0" applyFont="1" applyFill="1"/>
    <xf numFmtId="0" fontId="20" fillId="0" borderId="0" xfId="14" applyFont="1"/>
    <xf numFmtId="0" fontId="8" fillId="0" borderId="14" xfId="14" applyFont="1" applyBorder="1" applyAlignment="1">
      <alignment horizontal="centerContinuous" vertical="center"/>
    </xf>
    <xf numFmtId="0" fontId="8" fillId="0" borderId="14" xfId="14" applyFont="1" applyBorder="1" applyAlignment="1">
      <alignment horizontal="centerContinuous"/>
    </xf>
    <xf numFmtId="0" fontId="8" fillId="0" borderId="14" xfId="14" quotePrefix="1" applyFont="1" applyBorder="1" applyAlignment="1">
      <alignment horizontal="centerContinuous" vertical="center"/>
    </xf>
    <xf numFmtId="0" fontId="8" fillId="0" borderId="14" xfId="14" applyFont="1" applyBorder="1" applyAlignment="1">
      <alignment horizontal="center" vertical="top"/>
    </xf>
    <xf numFmtId="0" fontId="8" fillId="0" borderId="15" xfId="14" applyFont="1" applyBorder="1" applyAlignment="1">
      <alignment horizontal="center" vertical="center"/>
    </xf>
    <xf numFmtId="0" fontId="8" fillId="0" borderId="16" xfId="14" applyFont="1" applyBorder="1" applyAlignment="1">
      <alignment horizontal="left" vertical="center"/>
    </xf>
    <xf numFmtId="0" fontId="8" fillId="0" borderId="17" xfId="14" applyFont="1" applyBorder="1" applyAlignment="1">
      <alignment horizontal="left" vertical="center"/>
    </xf>
    <xf numFmtId="0" fontId="17" fillId="0" borderId="18" xfId="14" applyBorder="1"/>
    <xf numFmtId="0" fontId="8" fillId="0" borderId="19" xfId="14" applyFont="1" applyBorder="1" applyAlignment="1">
      <alignment horizontal="left" vertical="center"/>
    </xf>
    <xf numFmtId="0" fontId="8" fillId="0" borderId="20" xfId="14" applyFont="1" applyBorder="1" applyAlignment="1">
      <alignment horizontal="center" vertical="center"/>
    </xf>
    <xf numFmtId="0" fontId="8" fillId="0" borderId="3" xfId="14" applyFont="1" applyBorder="1" applyAlignment="1">
      <alignment horizontal="center" vertical="center"/>
    </xf>
    <xf numFmtId="0" fontId="8" fillId="0" borderId="3" xfId="14" applyFont="1" applyBorder="1" applyAlignment="1">
      <alignment horizontal="centerContinuous" vertical="center"/>
    </xf>
    <xf numFmtId="0" fontId="8" fillId="0" borderId="4" xfId="14" quotePrefix="1" applyFont="1" applyBorder="1" applyAlignment="1">
      <alignment horizontal="centerContinuous" vertical="center"/>
    </xf>
    <xf numFmtId="0" fontId="8" fillId="0" borderId="4" xfId="14" applyFont="1" applyBorder="1" applyAlignment="1">
      <alignment horizontal="centerContinuous" vertical="center"/>
    </xf>
    <xf numFmtId="0" fontId="8" fillId="0" borderId="21" xfId="14" applyFont="1" applyBorder="1" applyAlignment="1">
      <alignment horizontal="centerContinuous" vertical="center"/>
    </xf>
    <xf numFmtId="0" fontId="8" fillId="0" borderId="22" xfId="14" quotePrefix="1" applyFont="1" applyBorder="1" applyAlignment="1">
      <alignment horizontal="center" vertical="center"/>
    </xf>
    <xf numFmtId="0" fontId="8" fillId="0" borderId="23" xfId="14" quotePrefix="1" applyFont="1" applyBorder="1" applyAlignment="1">
      <alignment horizontal="center" vertical="center"/>
    </xf>
    <xf numFmtId="0" fontId="8" fillId="0" borderId="0" xfId="14" quotePrefix="1" applyFont="1" applyAlignment="1">
      <alignment horizontal="centerContinuous" vertical="center"/>
    </xf>
    <xf numFmtId="0" fontId="8" fillId="0" borderId="24" xfId="14" applyFont="1" applyBorder="1" applyAlignment="1">
      <alignment horizontal="centerContinuous" vertical="center"/>
    </xf>
    <xf numFmtId="0" fontId="8" fillId="0" borderId="25" xfId="14" applyFont="1" applyBorder="1" applyAlignment="1">
      <alignment horizontal="centerContinuous" vertical="center"/>
    </xf>
    <xf numFmtId="0" fontId="8" fillId="0" borderId="22" xfId="14" applyFont="1" applyBorder="1" applyAlignment="1">
      <alignment vertical="center"/>
    </xf>
    <xf numFmtId="0" fontId="8" fillId="0" borderId="23" xfId="14" applyFont="1" applyBorder="1" applyAlignment="1">
      <alignment vertical="center"/>
    </xf>
    <xf numFmtId="0" fontId="8" fillId="0" borderId="0" xfId="14" applyFont="1" applyAlignment="1">
      <alignment vertical="center"/>
    </xf>
    <xf numFmtId="0" fontId="8" fillId="0" borderId="0" xfId="14" quotePrefix="1" applyFont="1" applyAlignment="1">
      <alignment horizontal="center" vertical="top"/>
    </xf>
    <xf numFmtId="0" fontId="8" fillId="8" borderId="24" xfId="14" applyFont="1" applyFill="1" applyBorder="1" applyAlignment="1">
      <alignment vertical="center"/>
    </xf>
    <xf numFmtId="0" fontId="8" fillId="0" borderId="25" xfId="14" applyFont="1" applyBorder="1" applyAlignment="1">
      <alignment vertical="center"/>
    </xf>
    <xf numFmtId="0" fontId="8" fillId="4" borderId="0" xfId="14" applyFont="1" applyFill="1" applyAlignment="1">
      <alignment vertical="center"/>
    </xf>
    <xf numFmtId="0" fontId="8" fillId="0" borderId="0" xfId="14" applyFont="1" applyAlignment="1">
      <alignment horizontal="center" vertical="top"/>
    </xf>
    <xf numFmtId="0" fontId="11" fillId="0" borderId="24" xfId="14" applyFont="1" applyBorder="1" applyAlignment="1">
      <alignment horizontal="left" vertical="center"/>
    </xf>
    <xf numFmtId="0" fontId="8" fillId="0" borderId="25" xfId="14" applyFont="1" applyBorder="1" applyAlignment="1">
      <alignment horizontal="right" vertical="center"/>
    </xf>
    <xf numFmtId="177" fontId="8" fillId="0" borderId="22" xfId="14" applyNumberFormat="1" applyFont="1" applyBorder="1"/>
    <xf numFmtId="0" fontId="8" fillId="0" borderId="26" xfId="14" applyFont="1" applyBorder="1" applyAlignment="1">
      <alignment vertical="center"/>
    </xf>
    <xf numFmtId="0" fontId="8" fillId="4" borderId="26" xfId="14" applyFont="1" applyFill="1" applyBorder="1" applyAlignment="1">
      <alignment horizontal="center" vertical="center"/>
    </xf>
    <xf numFmtId="0" fontId="8" fillId="0" borderId="14" xfId="14" applyFont="1" applyBorder="1" applyAlignment="1">
      <alignment vertical="center"/>
    </xf>
    <xf numFmtId="0" fontId="8" fillId="0" borderId="0" xfId="14" applyFont="1" applyAlignment="1">
      <alignment horizontal="center" vertical="center"/>
    </xf>
    <xf numFmtId="0" fontId="11" fillId="0" borderId="24" xfId="14" applyFont="1" applyBorder="1" applyAlignment="1">
      <alignment horizontal="center" vertical="center"/>
    </xf>
    <xf numFmtId="177" fontId="8" fillId="0" borderId="26" xfId="14" applyNumberFormat="1" applyFont="1" applyBorder="1" applyAlignment="1">
      <alignment horizontal="center" vertical="center"/>
    </xf>
    <xf numFmtId="0" fontId="8" fillId="9" borderId="26" xfId="14" applyFont="1" applyFill="1" applyBorder="1" applyAlignment="1">
      <alignment vertical="center"/>
    </xf>
    <xf numFmtId="0" fontId="8" fillId="0" borderId="26" xfId="14" applyFont="1" applyBorder="1" applyAlignment="1">
      <alignment horizontal="center" vertical="center"/>
    </xf>
    <xf numFmtId="0" fontId="8" fillId="0" borderId="3" xfId="14" applyFont="1" applyBorder="1" applyAlignment="1">
      <alignment vertical="center"/>
    </xf>
    <xf numFmtId="0" fontId="8" fillId="10" borderId="0" xfId="14" applyFont="1" applyFill="1" applyAlignment="1">
      <alignment vertical="center"/>
    </xf>
    <xf numFmtId="0" fontId="11" fillId="0" borderId="24" xfId="14" applyFont="1" applyBorder="1" applyAlignment="1">
      <alignment vertical="center"/>
    </xf>
    <xf numFmtId="177" fontId="8" fillId="0" borderId="27" xfId="14" applyNumberFormat="1" applyFont="1" applyBorder="1" applyAlignment="1">
      <alignment horizontal="center" vertical="justify"/>
    </xf>
    <xf numFmtId="0" fontId="8" fillId="11" borderId="27" xfId="14" applyFont="1" applyFill="1" applyBorder="1" applyAlignment="1">
      <alignment vertical="center"/>
    </xf>
    <xf numFmtId="0" fontId="8" fillId="0" borderId="27" xfId="14" applyFont="1" applyBorder="1" applyAlignment="1">
      <alignment horizontal="center" vertical="center"/>
    </xf>
    <xf numFmtId="0" fontId="8" fillId="0" borderId="27" xfId="14" applyFont="1" applyBorder="1" applyAlignment="1">
      <alignment vertical="center"/>
    </xf>
    <xf numFmtId="0" fontId="8" fillId="0" borderId="24" xfId="14" applyFont="1" applyBorder="1" applyAlignment="1">
      <alignment vertical="center"/>
    </xf>
    <xf numFmtId="177" fontId="8" fillId="0" borderId="26" xfId="14" applyNumberFormat="1" applyFont="1" applyBorder="1" applyAlignment="1">
      <alignment horizontal="center" vertical="justify"/>
    </xf>
    <xf numFmtId="0" fontId="8" fillId="11" borderId="26" xfId="14" applyFont="1" applyFill="1" applyBorder="1" applyAlignment="1">
      <alignment vertical="center"/>
    </xf>
    <xf numFmtId="0" fontId="8" fillId="0" borderId="26" xfId="14" applyFont="1" applyBorder="1" applyAlignment="1">
      <alignment horizontal="center" vertical="top"/>
    </xf>
    <xf numFmtId="0" fontId="8" fillId="10" borderId="14" xfId="14" applyFont="1" applyFill="1" applyBorder="1" applyAlignment="1">
      <alignment vertical="center"/>
    </xf>
    <xf numFmtId="177" fontId="8" fillId="12" borderId="22" xfId="14" applyNumberFormat="1" applyFont="1" applyFill="1" applyBorder="1"/>
    <xf numFmtId="177" fontId="8" fillId="4" borderId="26" xfId="14" applyNumberFormat="1" applyFont="1" applyFill="1" applyBorder="1" applyAlignment="1">
      <alignment horizontal="center" vertical="center"/>
    </xf>
    <xf numFmtId="0" fontId="8" fillId="13" borderId="26" xfId="14" applyFont="1" applyFill="1" applyBorder="1" applyAlignment="1">
      <alignment vertical="center"/>
    </xf>
    <xf numFmtId="0" fontId="5" fillId="14" borderId="26" xfId="14" quotePrefix="1" applyFont="1" applyFill="1" applyBorder="1" applyAlignment="1">
      <alignment horizontal="center" vertical="center"/>
    </xf>
    <xf numFmtId="0" fontId="8" fillId="0" borderId="28" xfId="14" applyFont="1" applyBorder="1" applyAlignment="1">
      <alignment horizontal="center" vertical="center"/>
    </xf>
    <xf numFmtId="0" fontId="8" fillId="0" borderId="0" xfId="14" applyFont="1" applyAlignment="1">
      <alignment horizontal="left" vertical="center"/>
    </xf>
    <xf numFmtId="177" fontId="8" fillId="0" borderId="29" xfId="14" applyNumberFormat="1" applyFont="1" applyBorder="1"/>
    <xf numFmtId="0" fontId="8" fillId="15" borderId="26" xfId="14" applyFont="1" applyFill="1" applyBorder="1" applyAlignment="1">
      <alignment vertical="center"/>
    </xf>
    <xf numFmtId="0" fontId="8" fillId="0" borderId="30" xfId="14" applyFont="1" applyBorder="1" applyAlignment="1">
      <alignment vertical="center"/>
    </xf>
    <xf numFmtId="0" fontId="8" fillId="0" borderId="14" xfId="14" applyFont="1" applyBorder="1" applyAlignment="1">
      <alignment horizontal="center" vertical="center"/>
    </xf>
    <xf numFmtId="0" fontId="8" fillId="0" borderId="31" xfId="14" applyFont="1" applyBorder="1"/>
    <xf numFmtId="0" fontId="8" fillId="0" borderId="32" xfId="14" applyFont="1" applyBorder="1" applyAlignment="1">
      <alignment vertical="center"/>
    </xf>
    <xf numFmtId="0" fontId="8" fillId="0" borderId="33" xfId="14" applyFont="1" applyBorder="1" applyAlignment="1">
      <alignment vertical="center"/>
    </xf>
    <xf numFmtId="0" fontId="8" fillId="0" borderId="34" xfId="14" applyFont="1" applyBorder="1" applyAlignment="1">
      <alignment vertical="center"/>
    </xf>
    <xf numFmtId="0" fontId="8" fillId="0" borderId="35" xfId="14" applyFont="1" applyBorder="1" applyAlignment="1">
      <alignment vertical="center"/>
    </xf>
    <xf numFmtId="0" fontId="17" fillId="0" borderId="0" xfId="14"/>
    <xf numFmtId="194" fontId="15" fillId="0" borderId="0" xfId="0" applyNumberFormat="1" applyFont="1" applyAlignment="1">
      <alignment horizontal="right"/>
    </xf>
    <xf numFmtId="188" fontId="7" fillId="0" borderId="0" xfId="0" applyNumberFormat="1" applyFont="1"/>
    <xf numFmtId="0" fontId="21" fillId="0" borderId="3" xfId="0" applyFont="1" applyBorder="1" applyAlignment="1">
      <alignment horizontal="center" vertical="center" wrapText="1"/>
    </xf>
    <xf numFmtId="189" fontId="3" fillId="0" borderId="4" xfId="0" applyNumberFormat="1" applyFont="1" applyBorder="1" applyAlignment="1">
      <alignment horizontal="right" vertical="center"/>
    </xf>
    <xf numFmtId="192" fontId="3" fillId="0" borderId="3" xfId="0" applyNumberFormat="1" applyFont="1" applyBorder="1" applyAlignment="1">
      <alignment vertical="center"/>
    </xf>
    <xf numFmtId="0" fontId="21" fillId="0" borderId="3" xfId="0" applyFont="1" applyBorder="1" applyAlignment="1">
      <alignment horizontal="centerContinuous" vertical="center"/>
    </xf>
    <xf numFmtId="0" fontId="21" fillId="0" borderId="2" xfId="0" applyFont="1" applyBorder="1" applyAlignment="1">
      <alignment vertical="center"/>
    </xf>
    <xf numFmtId="0" fontId="21" fillId="0" borderId="36" xfId="0" applyFont="1" applyBorder="1" applyAlignment="1">
      <alignment horizontal="center" vertical="center"/>
    </xf>
    <xf numFmtId="0" fontId="21" fillId="0" borderId="2" xfId="0" applyFont="1" applyBorder="1" applyAlignment="1">
      <alignment horizontal="right" vertical="center"/>
    </xf>
    <xf numFmtId="0" fontId="21" fillId="0" borderId="2" xfId="0" applyFont="1" applyBorder="1" applyAlignment="1">
      <alignment horizontal="centerContinuous" vertical="center"/>
    </xf>
    <xf numFmtId="0" fontId="21" fillId="0" borderId="36" xfId="0" applyFont="1" applyBorder="1" applyAlignment="1">
      <alignment horizontal="centerContinuous" vertical="center"/>
    </xf>
    <xf numFmtId="0" fontId="22" fillId="0" borderId="2" xfId="0" applyFont="1" applyBorder="1" applyAlignment="1">
      <alignment horizontal="center" vertical="center"/>
    </xf>
    <xf numFmtId="187" fontId="22" fillId="0" borderId="36" xfId="0" applyNumberFormat="1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185" fontId="21" fillId="0" borderId="3" xfId="0" applyNumberFormat="1" applyFont="1" applyBorder="1" applyAlignment="1">
      <alignment horizontal="center" vertical="center"/>
    </xf>
    <xf numFmtId="179" fontId="21" fillId="0" borderId="4" xfId="0" applyNumberFormat="1" applyFont="1" applyBorder="1" applyAlignment="1">
      <alignment horizontal="center" vertical="center"/>
    </xf>
    <xf numFmtId="0" fontId="21" fillId="0" borderId="36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186" fontId="21" fillId="0" borderId="3" xfId="0" applyNumberFormat="1" applyFont="1" applyBorder="1" applyAlignment="1">
      <alignment horizontal="center" vertical="center"/>
    </xf>
    <xf numFmtId="181" fontId="21" fillId="0" borderId="4" xfId="0" applyNumberFormat="1" applyFont="1" applyBorder="1" applyAlignment="1">
      <alignment horizontal="center" vertical="center"/>
    </xf>
    <xf numFmtId="181" fontId="21" fillId="0" borderId="3" xfId="0" applyNumberFormat="1" applyFont="1" applyBorder="1" applyAlignment="1">
      <alignment horizontal="right" vertical="center"/>
    </xf>
    <xf numFmtId="0" fontId="23" fillId="0" borderId="3" xfId="0" applyFont="1" applyBorder="1" applyAlignment="1">
      <alignment vertical="center"/>
    </xf>
    <xf numFmtId="1" fontId="23" fillId="0" borderId="3" xfId="0" applyNumberFormat="1" applyFont="1" applyBorder="1" applyAlignment="1">
      <alignment vertical="center"/>
    </xf>
    <xf numFmtId="186" fontId="23" fillId="0" borderId="3" xfId="0" applyNumberFormat="1" applyFont="1" applyBorder="1" applyAlignment="1">
      <alignment vertical="center"/>
    </xf>
    <xf numFmtId="191" fontId="23" fillId="0" borderId="3" xfId="0" applyNumberFormat="1" applyFont="1" applyBorder="1" applyAlignment="1">
      <alignment vertical="center"/>
    </xf>
    <xf numFmtId="191" fontId="23" fillId="0" borderId="3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left" vertical="center"/>
    </xf>
    <xf numFmtId="0" fontId="23" fillId="0" borderId="2" xfId="0" applyFont="1" applyBorder="1" applyAlignment="1">
      <alignment vertical="center"/>
    </xf>
    <xf numFmtId="184" fontId="23" fillId="0" borderId="2" xfId="0" applyNumberFormat="1" applyFont="1" applyBorder="1"/>
    <xf numFmtId="0" fontId="23" fillId="0" borderId="36" xfId="0" applyFont="1" applyBorder="1" applyAlignment="1">
      <alignment horizontal="center" vertical="center"/>
    </xf>
    <xf numFmtId="201" fontId="23" fillId="0" borderId="4" xfId="0" applyNumberFormat="1" applyFont="1" applyBorder="1" applyAlignment="1">
      <alignment horizontal="left" vertical="center"/>
    </xf>
    <xf numFmtId="0" fontId="23" fillId="0" borderId="2" xfId="0" applyFont="1" applyBorder="1" applyAlignment="1">
      <alignment horizontal="right" vertical="center"/>
    </xf>
    <xf numFmtId="184" fontId="23" fillId="0" borderId="2" xfId="0" applyNumberFormat="1" applyFont="1" applyBorder="1" applyAlignment="1">
      <alignment horizontal="centerContinuous" vertical="center"/>
    </xf>
    <xf numFmtId="0" fontId="23" fillId="0" borderId="36" xfId="0" applyFont="1" applyBorder="1" applyAlignment="1">
      <alignment horizontal="centerContinuous" vertical="center"/>
    </xf>
    <xf numFmtId="0" fontId="23" fillId="0" borderId="4" xfId="0" applyFont="1" applyBorder="1" applyAlignment="1">
      <alignment vertical="center"/>
    </xf>
    <xf numFmtId="0" fontId="23" fillId="0" borderId="2" xfId="0" applyFont="1" applyBorder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2" xfId="0" applyFont="1" applyBorder="1" applyAlignment="1">
      <alignment horizontal="centerContinuous" vertical="center"/>
    </xf>
    <xf numFmtId="187" fontId="24" fillId="0" borderId="2" xfId="0" applyNumberFormat="1" applyFont="1" applyBorder="1" applyAlignment="1">
      <alignment horizontal="centerContinuous" vertical="center"/>
    </xf>
    <xf numFmtId="184" fontId="24" fillId="0" borderId="2" xfId="0" applyNumberFormat="1" applyFont="1" applyBorder="1" applyAlignment="1">
      <alignment horizontal="centerContinuous"/>
    </xf>
    <xf numFmtId="0" fontId="24" fillId="0" borderId="36" xfId="0" applyFont="1" applyBorder="1" applyAlignment="1">
      <alignment horizontal="centerContinuous" vertical="center"/>
    </xf>
    <xf numFmtId="0" fontId="23" fillId="0" borderId="3" xfId="0" applyFont="1" applyBorder="1" applyAlignment="1">
      <alignment horizontal="centerContinuous" vertical="center"/>
    </xf>
    <xf numFmtId="0" fontId="24" fillId="0" borderId="4" xfId="0" applyFont="1" applyBorder="1" applyAlignment="1">
      <alignment horizontal="centerContinuous" vertical="center"/>
    </xf>
    <xf numFmtId="184" fontId="24" fillId="0" borderId="36" xfId="0" applyNumberFormat="1" applyFont="1" applyBorder="1" applyAlignment="1">
      <alignment horizontal="centerContinuous"/>
    </xf>
    <xf numFmtId="186" fontId="23" fillId="0" borderId="3" xfId="0" applyNumberFormat="1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0" fontId="25" fillId="0" borderId="0" xfId="0" applyFont="1" applyAlignment="1">
      <alignment horizontal="centerContinuous" vertical="top"/>
    </xf>
    <xf numFmtId="0" fontId="26" fillId="0" borderId="0" xfId="0" applyFont="1"/>
    <xf numFmtId="190" fontId="23" fillId="0" borderId="3" xfId="0" applyNumberFormat="1" applyFont="1" applyBorder="1" applyAlignment="1">
      <alignment horizontal="center" vertical="center"/>
    </xf>
    <xf numFmtId="194" fontId="7" fillId="3" borderId="3" xfId="0" applyNumberFormat="1" applyFont="1" applyFill="1" applyBorder="1" applyAlignment="1">
      <alignment horizontal="right"/>
    </xf>
    <xf numFmtId="190" fontId="23" fillId="2" borderId="3" xfId="0" applyNumberFormat="1" applyFont="1" applyFill="1" applyBorder="1" applyAlignment="1">
      <alignment horizontal="center" vertical="center"/>
    </xf>
    <xf numFmtId="0" fontId="27" fillId="0" borderId="0" xfId="0" applyFont="1"/>
    <xf numFmtId="2" fontId="8" fillId="0" borderId="3" xfId="0" applyNumberFormat="1" applyFont="1" applyBorder="1"/>
    <xf numFmtId="209" fontId="8" fillId="0" borderId="3" xfId="0" applyNumberFormat="1" applyFont="1" applyBorder="1" applyAlignment="1">
      <alignment horizontal="right"/>
    </xf>
    <xf numFmtId="177" fontId="8" fillId="2" borderId="3" xfId="0" applyNumberFormat="1" applyFont="1" applyFill="1" applyBorder="1"/>
    <xf numFmtId="191" fontId="28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3" fillId="16" borderId="3" xfId="0" applyNumberFormat="1" applyFont="1" applyFill="1" applyBorder="1" applyAlignment="1">
      <alignment horizontal="center" vertical="center"/>
    </xf>
    <xf numFmtId="183" fontId="29" fillId="0" borderId="0" xfId="0" applyNumberFormat="1" applyFont="1" applyAlignment="1">
      <alignment vertical="center"/>
    </xf>
    <xf numFmtId="192" fontId="3" fillId="4" borderId="3" xfId="0" applyNumberFormat="1" applyFont="1" applyFill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vertical="center"/>
    </xf>
    <xf numFmtId="2" fontId="3" fillId="0" borderId="3" xfId="0" applyNumberFormat="1" applyFont="1" applyBorder="1" applyAlignment="1">
      <alignment horizontal="center" vertical="center"/>
    </xf>
    <xf numFmtId="2" fontId="3" fillId="0" borderId="3" xfId="0" applyNumberFormat="1" applyFont="1" applyBorder="1" applyAlignment="1">
      <alignment vertical="center"/>
    </xf>
    <xf numFmtId="2" fontId="10" fillId="0" borderId="3" xfId="0" applyNumberFormat="1" applyFont="1" applyBorder="1" applyAlignment="1">
      <alignment vertical="center"/>
    </xf>
    <xf numFmtId="2" fontId="3" fillId="4" borderId="3" xfId="0" applyNumberFormat="1" applyFont="1" applyFill="1" applyBorder="1" applyAlignment="1">
      <alignment vertical="center"/>
    </xf>
    <xf numFmtId="0" fontId="3" fillId="0" borderId="36" xfId="0" applyFont="1" applyBorder="1" applyAlignment="1">
      <alignment vertical="center"/>
    </xf>
    <xf numFmtId="180" fontId="21" fillId="0" borderId="3" xfId="0" applyNumberFormat="1" applyFont="1" applyBorder="1" applyAlignment="1">
      <alignment horizontal="right" vertical="center"/>
    </xf>
    <xf numFmtId="178" fontId="7" fillId="3" borderId="0" xfId="0" applyNumberFormat="1" applyFont="1" applyFill="1"/>
    <xf numFmtId="0" fontId="30" fillId="2" borderId="0" xfId="0" applyFont="1" applyFill="1"/>
    <xf numFmtId="209" fontId="8" fillId="0" borderId="3" xfId="0" applyNumberFormat="1" applyFont="1" applyBorder="1"/>
    <xf numFmtId="212" fontId="8" fillId="0" borderId="3" xfId="0" applyNumberFormat="1" applyFont="1" applyBorder="1" applyAlignment="1">
      <alignment horizontal="center"/>
    </xf>
    <xf numFmtId="0" fontId="3" fillId="0" borderId="0" xfId="0" applyFont="1" applyAlignment="1">
      <alignment horizontal="right" vertical="center" shrinkToFit="1"/>
    </xf>
    <xf numFmtId="188" fontId="3" fillId="0" borderId="0" xfId="0" applyNumberFormat="1" applyFont="1" applyAlignment="1">
      <alignment vertical="center" shrinkToFit="1"/>
    </xf>
    <xf numFmtId="0" fontId="3" fillId="0" borderId="0" xfId="0" applyFont="1" applyAlignment="1">
      <alignment vertical="center" shrinkToFit="1"/>
    </xf>
    <xf numFmtId="0" fontId="3" fillId="0" borderId="0" xfId="0" applyFont="1" applyAlignment="1">
      <alignment shrinkToFit="1"/>
    </xf>
    <xf numFmtId="214" fontId="0" fillId="0" borderId="0" xfId="0" applyNumberFormat="1"/>
    <xf numFmtId="0" fontId="32" fillId="0" borderId="0" xfId="0" applyFont="1" applyAlignment="1">
      <alignment horizontal="right"/>
    </xf>
    <xf numFmtId="0" fontId="32" fillId="0" borderId="0" xfId="0" applyFont="1"/>
    <xf numFmtId="177" fontId="32" fillId="0" borderId="0" xfId="0" applyNumberFormat="1" applyFont="1"/>
    <xf numFmtId="188" fontId="3" fillId="17" borderId="0" xfId="0" applyNumberFormat="1" applyFont="1" applyFill="1" applyAlignment="1">
      <alignment vertical="center"/>
    </xf>
    <xf numFmtId="208" fontId="3" fillId="4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92" fontId="3" fillId="4" borderId="0" xfId="0" applyNumberFormat="1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1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204" fontId="7" fillId="0" borderId="0" xfId="0" applyNumberFormat="1" applyFont="1"/>
    <xf numFmtId="0" fontId="7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1" fontId="7" fillId="20" borderId="0" xfId="0" applyNumberFormat="1" applyFont="1" applyFill="1"/>
    <xf numFmtId="2" fontId="7" fillId="20" borderId="0" xfId="0" applyNumberFormat="1" applyFont="1" applyFill="1"/>
    <xf numFmtId="192" fontId="3" fillId="19" borderId="3" xfId="0" applyNumberFormat="1" applyFont="1" applyFill="1" applyBorder="1" applyAlignment="1">
      <alignment vertical="center"/>
    </xf>
    <xf numFmtId="189" fontId="3" fillId="19" borderId="4" xfId="0" applyNumberFormat="1" applyFont="1" applyFill="1" applyBorder="1" applyAlignment="1">
      <alignment horizontal="right" vertical="center"/>
    </xf>
    <xf numFmtId="0" fontId="36" fillId="0" borderId="0" xfId="15" applyFont="1">
      <alignment vertical="center"/>
    </xf>
    <xf numFmtId="0" fontId="37" fillId="0" borderId="0" xfId="15" applyFont="1" applyAlignment="1">
      <alignment horizontal="left" vertical="center"/>
    </xf>
    <xf numFmtId="0" fontId="38" fillId="0" borderId="0" xfId="15" applyFont="1">
      <alignment vertical="center"/>
    </xf>
    <xf numFmtId="0" fontId="36" fillId="0" borderId="47" xfId="15" applyFont="1" applyBorder="1">
      <alignment vertical="center"/>
    </xf>
    <xf numFmtId="0" fontId="36" fillId="0" borderId="41" xfId="15" applyFont="1" applyBorder="1">
      <alignment vertical="center"/>
    </xf>
    <xf numFmtId="0" fontId="36" fillId="0" borderId="8" xfId="15" applyFont="1" applyBorder="1">
      <alignment vertical="center"/>
    </xf>
    <xf numFmtId="0" fontId="36" fillId="0" borderId="42" xfId="15" applyFont="1" applyBorder="1">
      <alignment vertical="center"/>
    </xf>
    <xf numFmtId="0" fontId="36" fillId="0" borderId="39" xfId="15" applyFont="1" applyBorder="1">
      <alignment vertical="center"/>
    </xf>
    <xf numFmtId="0" fontId="36" fillId="0" borderId="8" xfId="15" applyFont="1" applyBorder="1" applyAlignment="1">
      <alignment horizontal="center" vertical="center"/>
    </xf>
    <xf numFmtId="0" fontId="36" fillId="2" borderId="40" xfId="15" applyFont="1" applyFill="1" applyBorder="1" applyAlignment="1">
      <alignment horizontal="right" vertical="center"/>
    </xf>
    <xf numFmtId="0" fontId="36" fillId="0" borderId="48" xfId="15" applyFont="1" applyBorder="1">
      <alignment vertical="center"/>
    </xf>
    <xf numFmtId="0" fontId="36" fillId="0" borderId="48" xfId="15" applyFont="1" applyBorder="1" applyAlignment="1">
      <alignment horizontal="right" vertical="center"/>
    </xf>
    <xf numFmtId="216" fontId="36" fillId="2" borderId="49" xfId="15" applyNumberFormat="1" applyFont="1" applyFill="1" applyBorder="1" applyAlignment="1">
      <alignment horizontal="center" vertical="center"/>
    </xf>
    <xf numFmtId="0" fontId="39" fillId="0" borderId="41" xfId="15" applyFont="1" applyBorder="1" applyAlignment="1">
      <alignment horizontal="center" vertical="center"/>
    </xf>
    <xf numFmtId="0" fontId="36" fillId="0" borderId="42" xfId="15" applyFont="1" applyBorder="1" applyAlignment="1">
      <alignment horizontal="center" vertical="center"/>
    </xf>
    <xf numFmtId="204" fontId="36" fillId="0" borderId="44" xfId="15" applyNumberFormat="1" applyFont="1" applyBorder="1" applyAlignment="1">
      <alignment horizontal="center" vertical="center"/>
    </xf>
    <xf numFmtId="0" fontId="36" fillId="0" borderId="44" xfId="15" applyFont="1" applyBorder="1" applyAlignment="1">
      <alignment horizontal="center" vertical="center"/>
    </xf>
    <xf numFmtId="0" fontId="40" fillId="0" borderId="50" xfId="15" applyFont="1" applyBorder="1" applyAlignment="1">
      <alignment horizontal="right" vertical="center"/>
    </xf>
    <xf numFmtId="0" fontId="36" fillId="0" borderId="51" xfId="15" applyFont="1" applyBorder="1">
      <alignment vertical="center"/>
    </xf>
    <xf numFmtId="0" fontId="36" fillId="0" borderId="52" xfId="15" applyFont="1" applyBorder="1">
      <alignment vertical="center"/>
    </xf>
    <xf numFmtId="0" fontId="36" fillId="0" borderId="53" xfId="15" applyFont="1" applyBorder="1">
      <alignment vertical="center"/>
    </xf>
    <xf numFmtId="0" fontId="36" fillId="0" borderId="54" xfId="15" applyFont="1" applyBorder="1">
      <alignment vertical="center"/>
    </xf>
    <xf numFmtId="0" fontId="36" fillId="0" borderId="55" xfId="15" applyFont="1" applyBorder="1">
      <alignment vertical="center"/>
    </xf>
    <xf numFmtId="0" fontId="39" fillId="0" borderId="53" xfId="15" applyFont="1" applyBorder="1" applyAlignment="1">
      <alignment horizontal="center" vertical="center"/>
    </xf>
    <xf numFmtId="0" fontId="36" fillId="0" borderId="54" xfId="15" applyFont="1" applyBorder="1" applyAlignment="1">
      <alignment horizontal="center" vertical="center"/>
    </xf>
    <xf numFmtId="0" fontId="36" fillId="0" borderId="55" xfId="15" applyFont="1" applyBorder="1" applyAlignment="1">
      <alignment horizontal="center" vertical="center"/>
    </xf>
    <xf numFmtId="0" fontId="36" fillId="0" borderId="56" xfId="15" applyFont="1" applyBorder="1" applyAlignment="1">
      <alignment horizontal="center" vertical="center"/>
    </xf>
    <xf numFmtId="0" fontId="36" fillId="0" borderId="57" xfId="15" applyFont="1" applyBorder="1" applyAlignment="1">
      <alignment horizontal="center" vertical="center"/>
    </xf>
    <xf numFmtId="0" fontId="36" fillId="0" borderId="58" xfId="15" applyFont="1" applyBorder="1" applyAlignment="1">
      <alignment horizontal="center" vertical="center"/>
    </xf>
    <xf numFmtId="0" fontId="36" fillId="0" borderId="49" xfId="15" applyFont="1" applyBorder="1">
      <alignment vertical="center"/>
    </xf>
    <xf numFmtId="0" fontId="36" fillId="0" borderId="43" xfId="15" applyFont="1" applyBorder="1" applyAlignment="1">
      <alignment horizontal="center" vertical="center"/>
    </xf>
    <xf numFmtId="0" fontId="36" fillId="0" borderId="45" xfId="15" applyFont="1" applyBorder="1" applyAlignment="1">
      <alignment horizontal="center" vertical="center"/>
    </xf>
    <xf numFmtId="0" fontId="36" fillId="0" borderId="0" xfId="15" applyFont="1" applyAlignment="1">
      <alignment horizontal="right" vertical="center"/>
    </xf>
    <xf numFmtId="209" fontId="36" fillId="0" borderId="0" xfId="15" applyNumberFormat="1" applyFont="1">
      <alignment vertical="center"/>
    </xf>
    <xf numFmtId="0" fontId="41" fillId="0" borderId="0" xfId="0" applyFont="1" applyAlignment="1">
      <alignment horizontal="right" vertical="center"/>
    </xf>
    <xf numFmtId="0" fontId="41" fillId="0" borderId="0" xfId="0" applyFont="1" applyAlignment="1">
      <alignment vertical="center"/>
    </xf>
    <xf numFmtId="1" fontId="41" fillId="0" borderId="0" xfId="0" applyNumberFormat="1" applyFont="1" applyAlignment="1">
      <alignment vertical="center"/>
    </xf>
    <xf numFmtId="0" fontId="41" fillId="0" borderId="0" xfId="0" applyFont="1" applyAlignment="1">
      <alignment horizontal="right" vertical="center" wrapText="1"/>
    </xf>
    <xf numFmtId="2" fontId="41" fillId="0" borderId="0" xfId="0" applyNumberFormat="1" applyFont="1" applyAlignment="1">
      <alignment vertical="center"/>
    </xf>
    <xf numFmtId="0" fontId="41" fillId="0" borderId="0" xfId="0" quotePrefix="1" applyFont="1" applyAlignment="1">
      <alignment horizontal="right" vertical="center" wrapText="1"/>
    </xf>
    <xf numFmtId="0" fontId="36" fillId="19" borderId="0" xfId="15" applyFont="1" applyFill="1">
      <alignment vertical="center"/>
    </xf>
    <xf numFmtId="183" fontId="43" fillId="22" borderId="0" xfId="16" applyNumberFormat="1">
      <alignment vertical="center"/>
    </xf>
    <xf numFmtId="188" fontId="43" fillId="22" borderId="0" xfId="16" applyNumberFormat="1" applyAlignment="1">
      <alignment vertical="center" shrinkToFit="1"/>
    </xf>
    <xf numFmtId="2" fontId="43" fillId="22" borderId="0" xfId="16" applyNumberFormat="1">
      <alignment vertical="center"/>
    </xf>
    <xf numFmtId="0" fontId="38" fillId="0" borderId="57" xfId="15" applyFont="1" applyBorder="1" applyAlignment="1">
      <alignment horizontal="center" vertical="center"/>
    </xf>
    <xf numFmtId="204" fontId="38" fillId="0" borderId="57" xfId="15" applyNumberFormat="1" applyFont="1" applyBorder="1" applyAlignment="1">
      <alignment horizontal="center" vertical="center"/>
    </xf>
    <xf numFmtId="178" fontId="8" fillId="0" borderId="0" xfId="0" applyNumberFormat="1" applyFont="1"/>
    <xf numFmtId="205" fontId="0" fillId="0" borderId="0" xfId="0" applyNumberFormat="1"/>
    <xf numFmtId="0" fontId="45" fillId="0" borderId="0" xfId="0" applyFont="1" applyAlignment="1">
      <alignment horizontal="center" vertical="center" readingOrder="1"/>
    </xf>
    <xf numFmtId="192" fontId="38" fillId="0" borderId="0" xfId="15" applyNumberFormat="1" applyFont="1">
      <alignment vertical="center"/>
    </xf>
    <xf numFmtId="0" fontId="44" fillId="23" borderId="0" xfId="0" applyFont="1" applyFill="1" applyAlignment="1">
      <alignment horizontal="right"/>
    </xf>
    <xf numFmtId="177" fontId="38" fillId="0" borderId="0" xfId="15" applyNumberFormat="1" applyFont="1">
      <alignment vertical="center"/>
    </xf>
    <xf numFmtId="1" fontId="8" fillId="0" borderId="0" xfId="0" applyNumberFormat="1" applyFont="1" applyAlignment="1">
      <alignment horizontal="right" vertical="center"/>
    </xf>
    <xf numFmtId="0" fontId="46" fillId="3" borderId="3" xfId="0" applyFont="1" applyFill="1" applyBorder="1" applyAlignment="1">
      <alignment horizontal="center" vertical="center"/>
    </xf>
    <xf numFmtId="0" fontId="36" fillId="0" borderId="0" xfId="15" applyFont="1" applyFill="1">
      <alignment vertical="center"/>
    </xf>
    <xf numFmtId="217" fontId="36" fillId="0" borderId="0" xfId="15" applyNumberFormat="1" applyFont="1" applyFill="1">
      <alignment vertical="center"/>
    </xf>
    <xf numFmtId="218" fontId="36" fillId="0" borderId="0" xfId="15" applyNumberFormat="1" applyFont="1" applyFill="1">
      <alignment vertical="center"/>
    </xf>
    <xf numFmtId="0" fontId="36" fillId="0" borderId="0" xfId="15" applyFont="1" applyFill="1" applyBorder="1">
      <alignment vertical="center"/>
    </xf>
    <xf numFmtId="217" fontId="36" fillId="0" borderId="0" xfId="15" applyNumberFormat="1" applyFont="1" applyFill="1" applyBorder="1">
      <alignment vertical="center"/>
    </xf>
    <xf numFmtId="195" fontId="36" fillId="0" borderId="0" xfId="15" applyNumberFormat="1" applyFont="1" applyFill="1" applyBorder="1">
      <alignment vertical="center"/>
    </xf>
    <xf numFmtId="0" fontId="3" fillId="24" borderId="0" xfId="0" applyFont="1" applyFill="1" applyAlignment="1">
      <alignment vertical="center"/>
    </xf>
    <xf numFmtId="0" fontId="48" fillId="3" borderId="3" xfId="0" applyFont="1" applyFill="1" applyBorder="1" applyAlignment="1">
      <alignment horizontal="center"/>
    </xf>
    <xf numFmtId="0" fontId="36" fillId="2" borderId="3" xfId="0" applyFont="1" applyFill="1" applyBorder="1"/>
    <xf numFmtId="193" fontId="36" fillId="2" borderId="3" xfId="0" applyNumberFormat="1" applyFont="1" applyFill="1" applyBorder="1"/>
    <xf numFmtId="184" fontId="47" fillId="2" borderId="3" xfId="0" applyNumberFormat="1" applyFont="1" applyFill="1" applyBorder="1" applyAlignment="1">
      <alignment horizontal="centerContinuous"/>
    </xf>
    <xf numFmtId="0" fontId="36" fillId="4" borderId="3" xfId="0" applyFont="1" applyFill="1" applyBorder="1"/>
    <xf numFmtId="0" fontId="36" fillId="0" borderId="0" xfId="0" applyFont="1"/>
    <xf numFmtId="1" fontId="36" fillId="4" borderId="3" xfId="0" applyNumberFormat="1" applyFont="1" applyFill="1" applyBorder="1"/>
    <xf numFmtId="184" fontId="49" fillId="3" borderId="3" xfId="0" applyNumberFormat="1" applyFont="1" applyFill="1" applyBorder="1" applyAlignment="1">
      <alignment horizontal="center"/>
    </xf>
    <xf numFmtId="2" fontId="36" fillId="4" borderId="3" xfId="0" applyNumberFormat="1" applyFont="1" applyFill="1" applyBorder="1"/>
    <xf numFmtId="0" fontId="51" fillId="4" borderId="3" xfId="0" applyFont="1" applyFill="1" applyBorder="1" applyAlignment="1">
      <alignment horizontal="center"/>
    </xf>
    <xf numFmtId="0" fontId="36" fillId="0" borderId="3" xfId="0" applyFont="1" applyBorder="1" applyAlignment="1">
      <alignment horizontal="center"/>
    </xf>
    <xf numFmtId="0" fontId="36" fillId="0" borderId="3" xfId="0" applyFont="1" applyBorder="1"/>
    <xf numFmtId="0" fontId="52" fillId="3" borderId="3" xfId="0" applyFont="1" applyFill="1" applyBorder="1"/>
    <xf numFmtId="188" fontId="36" fillId="0" borderId="0" xfId="0" applyNumberFormat="1" applyFont="1"/>
    <xf numFmtId="0" fontId="3" fillId="19" borderId="0" xfId="0" applyFont="1" applyFill="1" applyAlignment="1">
      <alignment vertical="center"/>
    </xf>
    <xf numFmtId="1" fontId="3" fillId="19" borderId="0" xfId="0" applyNumberFormat="1" applyFont="1" applyFill="1" applyAlignment="1">
      <alignment vertical="center"/>
    </xf>
    <xf numFmtId="183" fontId="3" fillId="19" borderId="0" xfId="0" applyNumberFormat="1" applyFont="1" applyFill="1" applyAlignment="1">
      <alignment vertical="center"/>
    </xf>
    <xf numFmtId="188" fontId="3" fillId="19" borderId="0" xfId="0" applyNumberFormat="1" applyFont="1" applyFill="1" applyAlignment="1">
      <alignment vertical="center" shrinkToFit="1"/>
    </xf>
    <xf numFmtId="0" fontId="53" fillId="0" borderId="0" xfId="0" applyFont="1" applyAlignment="1">
      <alignment vertical="center"/>
    </xf>
    <xf numFmtId="0" fontId="53" fillId="19" borderId="0" xfId="0" applyFont="1" applyFill="1" applyAlignment="1">
      <alignment vertical="center"/>
    </xf>
    <xf numFmtId="220" fontId="54" fillId="2" borderId="3" xfId="0" applyNumberFormat="1" applyFont="1" applyFill="1" applyBorder="1" applyAlignment="1" applyProtection="1">
      <alignment horizontal="center" vertical="center"/>
    </xf>
    <xf numFmtId="0" fontId="55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2" fontId="8" fillId="0" borderId="0" xfId="0" applyNumberFormat="1" applyFont="1"/>
    <xf numFmtId="178" fontId="3" fillId="17" borderId="0" xfId="0" applyNumberFormat="1" applyFont="1" applyFill="1" applyAlignment="1">
      <alignment vertical="center"/>
    </xf>
    <xf numFmtId="178" fontId="3" fillId="2" borderId="0" xfId="0" applyNumberFormat="1" applyFont="1" applyFill="1" applyAlignment="1">
      <alignment vertical="center"/>
    </xf>
    <xf numFmtId="0" fontId="58" fillId="26" borderId="3" xfId="0" applyFont="1" applyFill="1" applyBorder="1"/>
    <xf numFmtId="0" fontId="3" fillId="0" borderId="0" xfId="0" applyFont="1" applyBorder="1" applyAlignment="1">
      <alignment horizontal="center" vertical="center"/>
    </xf>
    <xf numFmtId="0" fontId="59" fillId="26" borderId="0" xfId="0" applyFont="1" applyFill="1" applyBorder="1" applyAlignment="1">
      <alignment horizontal="center" vertical="center"/>
    </xf>
    <xf numFmtId="195" fontId="59" fillId="26" borderId="0" xfId="0" applyNumberFormat="1" applyFont="1" applyFill="1" applyBorder="1" applyAlignment="1">
      <alignment horizontal="right" vertical="center"/>
    </xf>
    <xf numFmtId="195" fontId="59" fillId="26" borderId="0" xfId="0" applyNumberFormat="1" applyFont="1" applyFill="1" applyAlignment="1">
      <alignment horizontal="center" vertical="center"/>
    </xf>
    <xf numFmtId="0" fontId="59" fillId="0" borderId="0" xfId="0" applyFont="1" applyFill="1" applyAlignment="1">
      <alignment vertical="center"/>
    </xf>
    <xf numFmtId="0" fontId="60" fillId="7" borderId="0" xfId="0" applyFont="1" applyFill="1" applyAlignment="1">
      <alignment horizontal="center" vertical="center" wrapText="1"/>
    </xf>
    <xf numFmtId="0" fontId="61" fillId="3" borderId="0" xfId="0" applyFont="1" applyFill="1" applyAlignment="1">
      <alignment horizontal="center" vertical="center"/>
    </xf>
    <xf numFmtId="0" fontId="7" fillId="19" borderId="59" xfId="0" applyFont="1" applyFill="1" applyBorder="1"/>
    <xf numFmtId="2" fontId="7" fillId="21" borderId="3" xfId="0" applyNumberFormat="1" applyFont="1" applyFill="1" applyBorder="1"/>
    <xf numFmtId="1" fontId="7" fillId="21" borderId="4" xfId="0" applyNumberFormat="1" applyFont="1" applyFill="1" applyBorder="1"/>
    <xf numFmtId="1" fontId="15" fillId="21" borderId="4" xfId="0" applyNumberFormat="1" applyFont="1" applyFill="1" applyBorder="1"/>
    <xf numFmtId="0" fontId="39" fillId="3" borderId="3" xfId="0" applyFont="1" applyFill="1" applyBorder="1" applyAlignment="1">
      <alignment horizont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vertical="center"/>
    </xf>
    <xf numFmtId="2" fontId="10" fillId="0" borderId="0" xfId="0" applyNumberFormat="1" applyFont="1" applyBorder="1" applyAlignment="1">
      <alignment vertical="center"/>
    </xf>
    <xf numFmtId="2" fontId="3" fillId="4" borderId="0" xfId="0" applyNumberFormat="1" applyFont="1" applyFill="1" applyBorder="1" applyAlignment="1">
      <alignment vertical="center"/>
    </xf>
    <xf numFmtId="219" fontId="3" fillId="0" borderId="3" xfId="0" applyNumberFormat="1" applyFont="1" applyBorder="1" applyAlignment="1">
      <alignment vertical="center"/>
    </xf>
    <xf numFmtId="0" fontId="21" fillId="0" borderId="3" xfId="0" applyFont="1" applyBorder="1" applyAlignment="1">
      <alignment vertical="center"/>
    </xf>
    <xf numFmtId="181" fontId="59" fillId="26" borderId="0" xfId="0" applyNumberFormat="1" applyFont="1" applyFill="1" applyAlignment="1">
      <alignment vertical="center"/>
    </xf>
    <xf numFmtId="0" fontId="36" fillId="0" borderId="0" xfId="0" applyFont="1" applyAlignment="1">
      <alignment vertical="center"/>
    </xf>
    <xf numFmtId="0" fontId="36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64" fillId="0" borderId="0" xfId="0" applyFont="1" applyAlignment="1">
      <alignment vertical="center"/>
    </xf>
    <xf numFmtId="0" fontId="36" fillId="23" borderId="63" xfId="0" applyFont="1" applyFill="1" applyBorder="1" applyAlignment="1">
      <alignment horizontal="center" vertical="center"/>
    </xf>
    <xf numFmtId="222" fontId="36" fillId="23" borderId="64" xfId="0" applyNumberFormat="1" applyFont="1" applyFill="1" applyBorder="1" applyAlignment="1">
      <alignment horizontal="center" vertical="center"/>
    </xf>
    <xf numFmtId="222" fontId="36" fillId="23" borderId="0" xfId="0" applyNumberFormat="1" applyFont="1" applyFill="1" applyAlignment="1">
      <alignment horizontal="center" vertical="center"/>
    </xf>
    <xf numFmtId="223" fontId="36" fillId="23" borderId="64" xfId="0" applyNumberFormat="1" applyFont="1" applyFill="1" applyBorder="1" applyAlignment="1">
      <alignment horizontal="center" vertical="center"/>
    </xf>
    <xf numFmtId="0" fontId="36" fillId="23" borderId="0" xfId="0" applyFont="1" applyFill="1" applyAlignment="1">
      <alignment horizontal="center" vertical="center"/>
    </xf>
    <xf numFmtId="223" fontId="36" fillId="23" borderId="0" xfId="0" applyNumberFormat="1" applyFont="1" applyFill="1" applyAlignment="1">
      <alignment horizontal="center" vertical="center"/>
    </xf>
    <xf numFmtId="40" fontId="36" fillId="23" borderId="0" xfId="0" applyNumberFormat="1" applyFont="1" applyFill="1" applyAlignment="1">
      <alignment horizontal="center"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36" fillId="27" borderId="71" xfId="0" applyFont="1" applyFill="1" applyBorder="1" applyAlignment="1">
      <alignment horizontal="center" vertical="center"/>
    </xf>
    <xf numFmtId="0" fontId="36" fillId="27" borderId="59" xfId="0" applyFont="1" applyFill="1" applyBorder="1" applyAlignment="1">
      <alignment horizontal="center" vertical="center"/>
    </xf>
    <xf numFmtId="224" fontId="36" fillId="0" borderId="72" xfId="0" applyNumberFormat="1" applyFont="1" applyBorder="1" applyAlignment="1">
      <alignment horizontal="center" vertical="center"/>
    </xf>
    <xf numFmtId="0" fontId="36" fillId="0" borderId="62" xfId="0" applyFont="1" applyBorder="1" applyAlignment="1">
      <alignment horizontal="center" vertical="center"/>
    </xf>
    <xf numFmtId="0" fontId="36" fillId="0" borderId="60" xfId="0" applyFont="1" applyBorder="1" applyAlignment="1">
      <alignment horizontal="center" vertical="center"/>
    </xf>
    <xf numFmtId="38" fontId="36" fillId="0" borderId="61" xfId="0" applyNumberFormat="1" applyFont="1" applyBorder="1" applyAlignment="1">
      <alignment horizontal="center" vertical="center"/>
    </xf>
    <xf numFmtId="221" fontId="36" fillId="0" borderId="62" xfId="0" applyNumberFormat="1" applyFont="1" applyBorder="1" applyAlignment="1">
      <alignment horizontal="center" vertical="center"/>
    </xf>
    <xf numFmtId="0" fontId="36" fillId="0" borderId="69" xfId="0" applyFont="1" applyBorder="1" applyAlignment="1">
      <alignment horizontal="center" vertical="center"/>
    </xf>
    <xf numFmtId="0" fontId="36" fillId="0" borderId="59" xfId="0" applyFont="1" applyBorder="1" applyAlignment="1">
      <alignment horizontal="center" vertical="center"/>
    </xf>
    <xf numFmtId="0" fontId="36" fillId="0" borderId="70" xfId="0" applyFont="1" applyBorder="1" applyAlignment="1">
      <alignment horizontal="center" vertical="center"/>
    </xf>
    <xf numFmtId="224" fontId="36" fillId="0" borderId="69" xfId="0" applyNumberFormat="1" applyFont="1" applyBorder="1" applyAlignment="1">
      <alignment horizontal="center" vertical="center"/>
    </xf>
    <xf numFmtId="0" fontId="36" fillId="0" borderId="71" xfId="0" applyFont="1" applyBorder="1" applyAlignment="1">
      <alignment horizontal="center" vertical="center"/>
    </xf>
    <xf numFmtId="38" fontId="36" fillId="0" borderId="59" xfId="0" applyNumberFormat="1" applyFont="1" applyBorder="1" applyAlignment="1">
      <alignment horizontal="center" vertical="center"/>
    </xf>
    <xf numFmtId="221" fontId="36" fillId="0" borderId="70" xfId="0" applyNumberFormat="1" applyFont="1" applyBorder="1" applyAlignment="1">
      <alignment horizontal="center" vertical="center"/>
    </xf>
    <xf numFmtId="177" fontId="36" fillId="0" borderId="71" xfId="0" applyNumberFormat="1" applyFont="1" applyBorder="1" applyAlignment="1">
      <alignment horizontal="center" vertical="center"/>
    </xf>
    <xf numFmtId="0" fontId="36" fillId="0" borderId="73" xfId="0" applyFont="1" applyBorder="1" applyAlignment="1">
      <alignment horizontal="center" vertical="center"/>
    </xf>
    <xf numFmtId="0" fontId="36" fillId="0" borderId="74" xfId="0" applyFont="1" applyBorder="1" applyAlignment="1">
      <alignment horizontal="center" vertical="center"/>
    </xf>
    <xf numFmtId="0" fontId="36" fillId="27" borderId="75" xfId="0" applyFont="1" applyFill="1" applyBorder="1" applyAlignment="1">
      <alignment horizontal="center" vertical="center"/>
    </xf>
    <xf numFmtId="0" fontId="36" fillId="27" borderId="76" xfId="0" applyFont="1" applyFill="1" applyBorder="1" applyAlignment="1">
      <alignment horizontal="center" vertical="center"/>
    </xf>
    <xf numFmtId="0" fontId="36" fillId="27" borderId="74" xfId="0" applyFont="1" applyFill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36" fillId="0" borderId="0" xfId="0" applyFont="1" applyAlignment="1">
      <alignment horizontal="left"/>
    </xf>
    <xf numFmtId="2" fontId="36" fillId="0" borderId="0" xfId="0" applyNumberFormat="1" applyFont="1" applyAlignment="1">
      <alignment horizontal="left"/>
    </xf>
    <xf numFmtId="1" fontId="36" fillId="0" borderId="0" xfId="0" applyNumberFormat="1" applyFont="1" applyAlignment="1">
      <alignment horizontal="left"/>
    </xf>
    <xf numFmtId="204" fontId="36" fillId="0" borderId="0" xfId="0" applyNumberFormat="1" applyFont="1" applyAlignment="1">
      <alignment horizontal="left"/>
    </xf>
    <xf numFmtId="195" fontId="36" fillId="0" borderId="0" xfId="0" applyNumberFormat="1" applyFont="1" applyAlignment="1">
      <alignment horizontal="left"/>
    </xf>
    <xf numFmtId="0" fontId="38" fillId="0" borderId="44" xfId="15" applyFont="1" applyBorder="1" applyAlignment="1">
      <alignment horizontal="center" vertical="center"/>
    </xf>
    <xf numFmtId="0" fontId="38" fillId="17" borderId="44" xfId="15" applyFont="1" applyFill="1" applyBorder="1" applyAlignment="1">
      <alignment horizontal="center" vertical="center"/>
    </xf>
    <xf numFmtId="0" fontId="36" fillId="0" borderId="0" xfId="15" applyFont="1" applyAlignment="1">
      <alignment horizontal="center" vertical="center"/>
    </xf>
    <xf numFmtId="0" fontId="36" fillId="0" borderId="25" xfId="15" applyFont="1" applyBorder="1" applyAlignment="1">
      <alignment horizontal="center" vertical="center"/>
    </xf>
    <xf numFmtId="0" fontId="36" fillId="0" borderId="51" xfId="15" applyFont="1" applyBorder="1" applyAlignment="1">
      <alignment horizontal="center" vertical="center"/>
    </xf>
    <xf numFmtId="0" fontId="36" fillId="0" borderId="48" xfId="15" applyFont="1" applyBorder="1" applyAlignment="1">
      <alignment horizontal="center" vertical="center"/>
    </xf>
    <xf numFmtId="194" fontId="38" fillId="4" borderId="48" xfId="15" applyNumberFormat="1" applyFont="1" applyFill="1" applyBorder="1">
      <alignment vertical="center"/>
    </xf>
    <xf numFmtId="0" fontId="3" fillId="4" borderId="0" xfId="0" applyFont="1" applyFill="1" applyAlignment="1">
      <alignment horizontal="right" vertical="center" wrapText="1"/>
    </xf>
    <xf numFmtId="0" fontId="36" fillId="0" borderId="46" xfId="15" applyFont="1" applyBorder="1" applyAlignment="1">
      <alignment horizontal="right" vertical="center"/>
    </xf>
    <xf numFmtId="0" fontId="36" fillId="0" borderId="47" xfId="15" applyFont="1" applyBorder="1" applyAlignment="1">
      <alignment horizontal="center" vertical="center"/>
    </xf>
    <xf numFmtId="0" fontId="36" fillId="0" borderId="47" xfId="15" applyFont="1" applyBorder="1" applyAlignment="1">
      <alignment horizontal="right" vertical="center"/>
    </xf>
    <xf numFmtId="204" fontId="36" fillId="0" borderId="0" xfId="15" applyNumberFormat="1" applyFont="1">
      <alignment vertical="center"/>
    </xf>
    <xf numFmtId="0" fontId="65" fillId="0" borderId="56" xfId="15" applyFont="1" applyBorder="1" applyAlignment="1">
      <alignment horizontal="right" vertical="center"/>
    </xf>
    <xf numFmtId="0" fontId="36" fillId="0" borderId="78" xfId="15" applyFont="1" applyBorder="1" applyAlignment="1">
      <alignment horizontal="center" vertical="center"/>
    </xf>
    <xf numFmtId="0" fontId="39" fillId="0" borderId="57" xfId="15" applyFont="1" applyBorder="1" applyAlignment="1">
      <alignment horizontal="right" vertical="center"/>
    </xf>
    <xf numFmtId="0" fontId="36" fillId="0" borderId="77" xfId="15" applyFont="1" applyBorder="1">
      <alignment vertical="center"/>
    </xf>
    <xf numFmtId="0" fontId="36" fillId="0" borderId="78" xfId="15" applyFont="1" applyBorder="1" applyAlignment="1">
      <alignment horizontal="right" vertical="center"/>
    </xf>
    <xf numFmtId="0" fontId="39" fillId="0" borderId="79" xfId="15" applyFont="1" applyBorder="1" applyAlignment="1">
      <alignment horizontal="right" vertical="center"/>
    </xf>
    <xf numFmtId="201" fontId="36" fillId="2" borderId="25" xfId="15" applyNumberFormat="1" applyFont="1" applyFill="1" applyBorder="1" applyAlignment="1">
      <alignment horizontal="right" vertical="center"/>
    </xf>
    <xf numFmtId="195" fontId="38" fillId="2" borderId="25" xfId="15" applyNumberFormat="1" applyFont="1" applyFill="1" applyBorder="1" applyAlignment="1">
      <alignment horizontal="right" vertical="center"/>
    </xf>
    <xf numFmtId="0" fontId="36" fillId="0" borderId="80" xfId="15" applyFont="1" applyBorder="1">
      <alignment vertical="center"/>
    </xf>
    <xf numFmtId="0" fontId="36" fillId="0" borderId="81" xfId="15" applyFont="1" applyBorder="1">
      <alignment vertical="center"/>
    </xf>
    <xf numFmtId="0" fontId="39" fillId="0" borderId="82" xfId="15" applyFont="1" applyBorder="1">
      <alignment vertical="center"/>
    </xf>
    <xf numFmtId="0" fontId="36" fillId="0" borderId="78" xfId="15" applyFont="1" applyBorder="1">
      <alignment vertical="center"/>
    </xf>
    <xf numFmtId="0" fontId="36" fillId="0" borderId="19" xfId="15" applyFont="1" applyBorder="1">
      <alignment vertical="center"/>
    </xf>
    <xf numFmtId="0" fontId="36" fillId="0" borderId="25" xfId="15" applyFont="1" applyBorder="1">
      <alignment vertical="center"/>
    </xf>
    <xf numFmtId="0" fontId="38" fillId="29" borderId="83" xfId="15" applyFont="1" applyFill="1" applyBorder="1" applyAlignment="1">
      <alignment horizontal="center" vertical="center"/>
    </xf>
    <xf numFmtId="0" fontId="38" fillId="29" borderId="84" xfId="15" applyFont="1" applyFill="1" applyBorder="1" applyAlignment="1">
      <alignment horizontal="center" vertical="center"/>
    </xf>
    <xf numFmtId="0" fontId="38" fillId="29" borderId="85" xfId="15" applyFont="1" applyFill="1" applyBorder="1" applyAlignment="1">
      <alignment horizontal="center" vertical="center"/>
    </xf>
    <xf numFmtId="0" fontId="36" fillId="0" borderId="86" xfId="15" applyFont="1" applyBorder="1" applyAlignment="1">
      <alignment horizontal="center" vertical="center"/>
    </xf>
    <xf numFmtId="0" fontId="38" fillId="28" borderId="87" xfId="15" applyFont="1" applyFill="1" applyBorder="1" applyAlignment="1">
      <alignment horizontal="center" vertical="center"/>
    </xf>
    <xf numFmtId="0" fontId="38" fillId="28" borderId="88" xfId="15" applyFont="1" applyFill="1" applyBorder="1" applyAlignment="1">
      <alignment horizontal="center" vertical="center"/>
    </xf>
    <xf numFmtId="0" fontId="36" fillId="0" borderId="89" xfId="15" applyFont="1" applyBorder="1">
      <alignment vertical="center"/>
    </xf>
    <xf numFmtId="0" fontId="36" fillId="0" borderId="90" xfId="15" applyFont="1" applyBorder="1">
      <alignment vertical="center"/>
    </xf>
    <xf numFmtId="215" fontId="38" fillId="21" borderId="84" xfId="15" applyNumberFormat="1" applyFont="1" applyFill="1" applyBorder="1">
      <alignment vertical="center"/>
    </xf>
    <xf numFmtId="0" fontId="36" fillId="0" borderId="3" xfId="15" applyFont="1" applyBorder="1" applyAlignment="1">
      <alignment horizontal="center" vertical="center"/>
    </xf>
    <xf numFmtId="195" fontId="38" fillId="2" borderId="20" xfId="15" applyNumberFormat="1" applyFont="1" applyFill="1" applyBorder="1" applyAlignment="1">
      <alignment horizontal="center" vertical="center"/>
    </xf>
    <xf numFmtId="1" fontId="36" fillId="2" borderId="3" xfId="15" applyNumberFormat="1" applyFont="1" applyFill="1" applyBorder="1" applyAlignment="1">
      <alignment horizontal="center" vertical="center"/>
    </xf>
    <xf numFmtId="0" fontId="38" fillId="18" borderId="3" xfId="15" applyFont="1" applyFill="1" applyBorder="1" applyAlignment="1">
      <alignment horizontal="center" vertical="center"/>
    </xf>
    <xf numFmtId="225" fontId="41" fillId="0" borderId="0" xfId="0" applyNumberFormat="1" applyFont="1" applyAlignment="1">
      <alignment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36" fillId="0" borderId="76" xfId="0" applyFont="1" applyBorder="1" applyAlignment="1">
      <alignment horizontal="center" vertical="center"/>
    </xf>
    <xf numFmtId="0" fontId="66" fillId="30" borderId="69" xfId="17" applyBorder="1" applyAlignment="1">
      <alignment horizontal="center" vertical="center"/>
    </xf>
    <xf numFmtId="0" fontId="66" fillId="30" borderId="59" xfId="17" applyBorder="1" applyAlignment="1">
      <alignment horizontal="center" vertical="center"/>
    </xf>
    <xf numFmtId="0" fontId="66" fillId="30" borderId="70" xfId="17" applyBorder="1" applyAlignment="1">
      <alignment horizontal="center" vertical="center"/>
    </xf>
    <xf numFmtId="0" fontId="66" fillId="30" borderId="73" xfId="17" applyBorder="1" applyAlignment="1">
      <alignment horizontal="center" vertical="center"/>
    </xf>
    <xf numFmtId="0" fontId="66" fillId="30" borderId="76" xfId="17" applyBorder="1" applyAlignment="1">
      <alignment horizontal="center" vertical="center"/>
    </xf>
    <xf numFmtId="0" fontId="66" fillId="30" borderId="74" xfId="17" applyBorder="1" applyAlignment="1">
      <alignment horizontal="center" vertical="center"/>
    </xf>
    <xf numFmtId="0" fontId="38" fillId="0" borderId="79" xfId="15" applyFont="1" applyBorder="1" applyAlignment="1">
      <alignment horizontal="center" vertical="center"/>
    </xf>
    <xf numFmtId="0" fontId="36" fillId="0" borderId="92" xfId="15" applyFont="1" applyBorder="1" applyAlignment="1">
      <alignment horizontal="center" vertical="center"/>
    </xf>
    <xf numFmtId="0" fontId="36" fillId="31" borderId="20" xfId="15" applyFont="1" applyFill="1" applyBorder="1" applyAlignment="1">
      <alignment horizontal="right" vertical="center"/>
    </xf>
    <xf numFmtId="194" fontId="36" fillId="31" borderId="3" xfId="15" applyNumberFormat="1" applyFont="1" applyFill="1" applyBorder="1" applyAlignment="1">
      <alignment horizontal="center" vertical="center"/>
    </xf>
    <xf numFmtId="0" fontId="36" fillId="31" borderId="3" xfId="15" applyFont="1" applyFill="1" applyBorder="1" applyAlignment="1">
      <alignment horizontal="center" vertical="center"/>
    </xf>
    <xf numFmtId="0" fontId="38" fillId="32" borderId="0" xfId="0" applyFont="1" applyFill="1"/>
    <xf numFmtId="209" fontId="58" fillId="33" borderId="87" xfId="15" applyNumberFormat="1" applyFont="1" applyFill="1" applyBorder="1" applyAlignment="1">
      <alignment horizontal="center" vertical="center"/>
    </xf>
    <xf numFmtId="209" fontId="58" fillId="33" borderId="91" xfId="15" applyNumberFormat="1" applyFont="1" applyFill="1" applyBorder="1" applyAlignment="1">
      <alignment horizontal="center" vertical="center"/>
    </xf>
    <xf numFmtId="215" fontId="58" fillId="33" borderId="91" xfId="15" applyNumberFormat="1" applyFont="1" applyFill="1" applyBorder="1" applyAlignment="1">
      <alignment horizontal="center" vertical="center"/>
    </xf>
    <xf numFmtId="215" fontId="58" fillId="33" borderId="93" xfId="15" applyNumberFormat="1" applyFont="1" applyFill="1" applyBorder="1" applyAlignment="1">
      <alignment horizontal="center" vertical="center"/>
    </xf>
    <xf numFmtId="205" fontId="58" fillId="34" borderId="88" xfId="15" applyNumberFormat="1" applyFont="1" applyFill="1" applyBorder="1" applyAlignment="1">
      <alignment horizontal="center" vertical="center"/>
    </xf>
    <xf numFmtId="209" fontId="58" fillId="34" borderId="91" xfId="15" applyNumberFormat="1" applyFont="1" applyFill="1" applyBorder="1" applyAlignment="1">
      <alignment horizontal="center" vertical="center"/>
    </xf>
    <xf numFmtId="209" fontId="58" fillId="34" borderId="87" xfId="15" applyNumberFormat="1" applyFont="1" applyFill="1" applyBorder="1" applyAlignment="1">
      <alignment horizontal="center" vertical="center"/>
    </xf>
    <xf numFmtId="209" fontId="38" fillId="28" borderId="27" xfId="15" applyNumberFormat="1" applyFont="1" applyFill="1" applyBorder="1" applyAlignment="1">
      <alignment horizontal="center" vertical="center"/>
    </xf>
    <xf numFmtId="0" fontId="36" fillId="31" borderId="26" xfId="15" quotePrefix="1" applyFont="1" applyFill="1" applyBorder="1" applyAlignment="1">
      <alignment horizontal="center" vertical="center"/>
    </xf>
    <xf numFmtId="209" fontId="58" fillId="34" borderId="94" xfId="15" applyNumberFormat="1" applyFont="1" applyFill="1" applyBorder="1" applyAlignment="1">
      <alignment horizontal="center" vertical="center"/>
    </xf>
    <xf numFmtId="0" fontId="58" fillId="35" borderId="3" xfId="15" applyFont="1" applyFill="1" applyBorder="1" applyAlignment="1">
      <alignment horizontal="center" vertical="center"/>
    </xf>
    <xf numFmtId="0" fontId="38" fillId="2" borderId="3" xfId="0" applyFont="1" applyFill="1" applyBorder="1"/>
    <xf numFmtId="0" fontId="38" fillId="28" borderId="3" xfId="0" applyFont="1" applyFill="1" applyBorder="1"/>
    <xf numFmtId="2" fontId="38" fillId="2" borderId="3" xfId="0" applyNumberFormat="1" applyFont="1" applyFill="1" applyBorder="1"/>
    <xf numFmtId="0" fontId="15" fillId="0" borderId="0" xfId="0" applyFont="1" applyAlignment="1">
      <alignment horizontal="right"/>
    </xf>
    <xf numFmtId="0" fontId="40" fillId="4" borderId="5" xfId="0" applyFont="1" applyFill="1" applyBorder="1" applyAlignment="1">
      <alignment horizontal="right"/>
    </xf>
    <xf numFmtId="0" fontId="8" fillId="0" borderId="38" xfId="0" applyFont="1" applyBorder="1" applyAlignment="1">
      <alignment horizontal="center"/>
    </xf>
    <xf numFmtId="0" fontId="39" fillId="3" borderId="27" xfId="0" applyFont="1" applyFill="1" applyBorder="1" applyAlignment="1">
      <alignment horizontal="center" vertical="center"/>
    </xf>
    <xf numFmtId="0" fontId="39" fillId="3" borderId="23" xfId="0" applyFont="1" applyFill="1" applyBorder="1" applyAlignment="1">
      <alignment horizontal="center" vertical="center"/>
    </xf>
    <xf numFmtId="0" fontId="39" fillId="3" borderId="26" xfId="0" applyFont="1" applyFill="1" applyBorder="1" applyAlignment="1">
      <alignment horizontal="center" vertical="center"/>
    </xf>
    <xf numFmtId="187" fontId="50" fillId="4" borderId="4" xfId="0" applyNumberFormat="1" applyFont="1" applyFill="1" applyBorder="1" applyAlignment="1">
      <alignment horizontal="right" vertical="center"/>
    </xf>
    <xf numFmtId="187" fontId="50" fillId="4" borderId="2" xfId="0" applyNumberFormat="1" applyFont="1" applyFill="1" applyBorder="1" applyAlignment="1">
      <alignment horizontal="right" vertical="center"/>
    </xf>
    <xf numFmtId="187" fontId="50" fillId="4" borderId="36" xfId="0" applyNumberFormat="1" applyFont="1" applyFill="1" applyBorder="1" applyAlignment="1">
      <alignment horizontal="right" vertical="center"/>
    </xf>
    <xf numFmtId="0" fontId="7" fillId="0" borderId="0" xfId="0" applyFont="1" applyAlignment="1">
      <alignment horizontal="center"/>
    </xf>
    <xf numFmtId="0" fontId="8" fillId="0" borderId="3" xfId="0" applyFont="1" applyBorder="1" applyAlignment="1">
      <alignment horizontal="center"/>
    </xf>
    <xf numFmtId="187" fontId="47" fillId="2" borderId="3" xfId="0" applyNumberFormat="1" applyFont="1" applyFill="1" applyBorder="1" applyAlignment="1">
      <alignment horizontal="center" vertical="center"/>
    </xf>
    <xf numFmtId="184" fontId="57" fillId="25" borderId="3" xfId="0" applyNumberFormat="1" applyFont="1" applyFill="1" applyBorder="1" applyAlignment="1">
      <alignment horizontal="center"/>
    </xf>
    <xf numFmtId="0" fontId="36" fillId="2" borderId="4" xfId="0" applyFont="1" applyFill="1" applyBorder="1" applyAlignment="1">
      <alignment horizontal="left"/>
    </xf>
    <xf numFmtId="0" fontId="36" fillId="2" borderId="2" xfId="0" applyFont="1" applyFill="1" applyBorder="1" applyAlignment="1">
      <alignment horizontal="left"/>
    </xf>
    <xf numFmtId="0" fontId="36" fillId="2" borderId="36" xfId="0" applyFont="1" applyFill="1" applyBorder="1" applyAlignment="1">
      <alignment horizontal="left"/>
    </xf>
    <xf numFmtId="205" fontId="7" fillId="3" borderId="3" xfId="0" applyNumberFormat="1" applyFont="1" applyFill="1" applyBorder="1" applyAlignment="1">
      <alignment horizontal="center"/>
    </xf>
    <xf numFmtId="205" fontId="7" fillId="0" borderId="37" xfId="0" applyNumberFormat="1" applyFont="1" applyBorder="1" applyAlignment="1">
      <alignment horizontal="center" vertical="center"/>
    </xf>
    <xf numFmtId="205" fontId="7" fillId="0" borderId="5" xfId="0" applyNumberFormat="1" applyFont="1" applyBorder="1" applyAlignment="1">
      <alignment horizontal="center" vertical="center"/>
    </xf>
    <xf numFmtId="205" fontId="7" fillId="0" borderId="30" xfId="0" applyNumberFormat="1" applyFont="1" applyBorder="1" applyAlignment="1">
      <alignment horizontal="center" vertical="center"/>
    </xf>
    <xf numFmtId="205" fontId="7" fillId="0" borderId="14" xfId="0" applyNumberFormat="1" applyFont="1" applyBorder="1" applyAlignment="1">
      <alignment horizontal="center" vertical="center"/>
    </xf>
    <xf numFmtId="194" fontId="7" fillId="0" borderId="3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/>
    </xf>
    <xf numFmtId="211" fontId="7" fillId="2" borderId="4" xfId="0" applyNumberFormat="1" applyFont="1" applyFill="1" applyBorder="1" applyAlignment="1">
      <alignment horizontal="center"/>
    </xf>
    <xf numFmtId="211" fontId="7" fillId="2" borderId="36" xfId="0" applyNumberFormat="1" applyFont="1" applyFill="1" applyBorder="1" applyAlignment="1">
      <alignment horizontal="center"/>
    </xf>
    <xf numFmtId="0" fontId="62" fillId="0" borderId="3" xfId="0" applyFont="1" applyBorder="1" applyAlignment="1">
      <alignment horizontal="left"/>
    </xf>
    <xf numFmtId="2" fontId="15" fillId="0" borderId="3" xfId="0" applyNumberFormat="1" applyFont="1" applyBorder="1" applyAlignment="1">
      <alignment horizontal="left"/>
    </xf>
    <xf numFmtId="191" fontId="23" fillId="0" borderId="3" xfId="0" applyNumberFormat="1" applyFont="1" applyBorder="1" applyAlignment="1">
      <alignment horizontal="center" vertical="center"/>
    </xf>
    <xf numFmtId="190" fontId="23" fillId="0" borderId="3" xfId="0" applyNumberFormat="1" applyFont="1" applyBorder="1" applyAlignment="1">
      <alignment horizontal="center" vertical="center"/>
    </xf>
    <xf numFmtId="180" fontId="23" fillId="0" borderId="3" xfId="0" applyNumberFormat="1" applyFont="1" applyBorder="1" applyAlignment="1">
      <alignment horizontal="center" vertical="center"/>
    </xf>
    <xf numFmtId="182" fontId="23" fillId="0" borderId="2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181" fontId="23" fillId="0" borderId="4" xfId="0" applyNumberFormat="1" applyFont="1" applyBorder="1" applyAlignment="1">
      <alignment horizontal="center" vertical="center"/>
    </xf>
    <xf numFmtId="181" fontId="23" fillId="0" borderId="2" xfId="0" applyNumberFormat="1" applyFont="1" applyBorder="1" applyAlignment="1">
      <alignment horizontal="center" vertical="center"/>
    </xf>
    <xf numFmtId="186" fontId="23" fillId="0" borderId="3" xfId="0" applyNumberFormat="1" applyFont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200" fontId="23" fillId="0" borderId="4" xfId="0" applyNumberFormat="1" applyFont="1" applyBorder="1" applyAlignment="1">
      <alignment horizontal="center" vertical="center"/>
    </xf>
    <xf numFmtId="200" fontId="23" fillId="0" borderId="2" xfId="0" applyNumberFormat="1" applyFont="1" applyBorder="1" applyAlignment="1">
      <alignment horizontal="center" vertical="center"/>
    </xf>
    <xf numFmtId="200" fontId="23" fillId="0" borderId="36" xfId="0" applyNumberFormat="1" applyFont="1" applyBorder="1" applyAlignment="1">
      <alignment horizontal="center" vertical="center"/>
    </xf>
    <xf numFmtId="179" fontId="23" fillId="0" borderId="3" xfId="0" applyNumberFormat="1" applyFont="1" applyBorder="1" applyAlignment="1">
      <alignment horizontal="center" vertical="center"/>
    </xf>
    <xf numFmtId="213" fontId="3" fillId="0" borderId="3" xfId="0" applyNumberFormat="1" applyFont="1" applyBorder="1" applyAlignment="1">
      <alignment horizontal="left" vertical="center"/>
    </xf>
    <xf numFmtId="213" fontId="3" fillId="0" borderId="4" xfId="0" applyNumberFormat="1" applyFont="1" applyBorder="1" applyAlignment="1">
      <alignment horizontal="left" vertical="center"/>
    </xf>
    <xf numFmtId="219" fontId="3" fillId="0" borderId="3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 wrapText="1"/>
    </xf>
    <xf numFmtId="0" fontId="16" fillId="4" borderId="0" xfId="0" applyFont="1" applyFill="1" applyAlignment="1">
      <alignment horizontal="right" vertical="center" wrapText="1"/>
    </xf>
    <xf numFmtId="0" fontId="66" fillId="30" borderId="65" xfId="17" applyBorder="1" applyAlignment="1">
      <alignment horizontal="center" vertical="center"/>
    </xf>
    <xf numFmtId="0" fontId="66" fillId="30" borderId="68" xfId="17" applyBorder="1" applyAlignment="1">
      <alignment horizontal="center" vertical="center"/>
    </xf>
    <xf numFmtId="0" fontId="66" fillId="30" borderId="66" xfId="17" applyBorder="1" applyAlignment="1">
      <alignment horizontal="center" vertical="center"/>
    </xf>
    <xf numFmtId="0" fontId="36" fillId="27" borderId="73" xfId="0" applyFont="1" applyFill="1" applyBorder="1" applyAlignment="1">
      <alignment horizontal="center" vertical="center"/>
    </xf>
    <xf numFmtId="0" fontId="36" fillId="27" borderId="74" xfId="0" applyFont="1" applyFill="1" applyBorder="1" applyAlignment="1">
      <alignment horizontal="center" vertical="center"/>
    </xf>
    <xf numFmtId="0" fontId="36" fillId="27" borderId="65" xfId="0" applyFont="1" applyFill="1" applyBorder="1" applyAlignment="1">
      <alignment horizontal="center" vertical="center"/>
    </xf>
    <xf numFmtId="0" fontId="36" fillId="27" borderId="66" xfId="0" applyFont="1" applyFill="1" applyBorder="1" applyAlignment="1">
      <alignment horizontal="center" vertical="center"/>
    </xf>
    <xf numFmtId="0" fontId="36" fillId="27" borderId="67" xfId="0" applyFont="1" applyFill="1" applyBorder="1" applyAlignment="1">
      <alignment horizontal="center" vertical="center"/>
    </xf>
    <xf numFmtId="0" fontId="36" fillId="27" borderId="68" xfId="0" applyFont="1" applyFill="1" applyBorder="1" applyAlignment="1">
      <alignment horizontal="center"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19" fillId="0" borderId="0" xfId="14" applyFont="1" applyAlignment="1">
      <alignment horizontal="center" vertical="center"/>
    </xf>
  </cellXfs>
  <cellStyles count="18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eutral" xfId="17" builtinId="28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7A983E"/>
      <color rgb="FF647D33"/>
      <color rgb="FF467A75"/>
      <color rgb="FF579791"/>
      <color rgb="FF77B1AB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1.59</c:v>
                </c:pt>
                <c:pt idx="2">
                  <c:v>1.94</c:v>
                </c:pt>
                <c:pt idx="3">
                  <c:v>2.19</c:v>
                </c:pt>
                <c:pt idx="4">
                  <c:v>2.38</c:v>
                </c:pt>
                <c:pt idx="5">
                  <c:v>2.98</c:v>
                </c:pt>
                <c:pt idx="6">
                  <c:v>3.33</c:v>
                </c:pt>
                <c:pt idx="7">
                  <c:v>3.57</c:v>
                </c:pt>
                <c:pt idx="8">
                  <c:v>3.77</c:v>
                </c:pt>
                <c:pt idx="9">
                  <c:v>3.92</c:v>
                </c:pt>
                <c:pt idx="10">
                  <c:v>4.0599999999999996</c:v>
                </c:pt>
                <c:pt idx="11">
                  <c:v>4.17</c:v>
                </c:pt>
                <c:pt idx="12">
                  <c:v>4.2699999999999996</c:v>
                </c:pt>
                <c:pt idx="13">
                  <c:v>4.3600000000000003</c:v>
                </c:pt>
                <c:pt idx="14">
                  <c:v>4.4400000000000004</c:v>
                </c:pt>
                <c:pt idx="15">
                  <c:v>4.5199999999999996</c:v>
                </c:pt>
                <c:pt idx="16">
                  <c:v>4.71</c:v>
                </c:pt>
                <c:pt idx="17">
                  <c:v>4.87</c:v>
                </c:pt>
                <c:pt idx="18">
                  <c:v>5</c:v>
                </c:pt>
                <c:pt idx="19">
                  <c:v>5.12</c:v>
                </c:pt>
                <c:pt idx="20" formatCode="\ 0.00\ ">
                  <c:v>5.28</c:v>
                </c:pt>
                <c:pt idx="21" formatCode="\ 0.00\ ">
                  <c:v>5.4300000000000006</c:v>
                </c:pt>
                <c:pt idx="22" formatCode="\ 0.00\ ">
                  <c:v>5.57</c:v>
                </c:pt>
                <c:pt idx="23" formatCode="\ 0.00\ ">
                  <c:v>5.7</c:v>
                </c:pt>
                <c:pt idx="24" formatCode="\ 0.00\ ">
                  <c:v>5.83</c:v>
                </c:pt>
                <c:pt idx="25">
                  <c:v>6.14</c:v>
                </c:pt>
                <c:pt idx="26" formatCode="\ 0.00\ ">
                  <c:v>6.25</c:v>
                </c:pt>
                <c:pt idx="27">
                  <c:v>6.31</c:v>
                </c:pt>
                <c:pt idx="28" formatCode="\ 0.00\ ">
                  <c:v>6.4099999999999993</c:v>
                </c:pt>
                <c:pt idx="29">
                  <c:v>6.48</c:v>
                </c:pt>
                <c:pt idx="30" formatCode="\ 0.00\ ">
                  <c:v>6.54</c:v>
                </c:pt>
                <c:pt idx="31" formatCode="\ 0.00\ ">
                  <c:v>6.59</c:v>
                </c:pt>
                <c:pt idx="32" formatCode="\ 0.00\ ">
                  <c:v>6.63</c:v>
                </c:pt>
                <c:pt idx="33" formatCode="\ 0.00\ ">
                  <c:v>6.66</c:v>
                </c:pt>
                <c:pt idx="34" formatCode="\ 0.00\ ">
                  <c:v>6.68</c:v>
                </c:pt>
                <c:pt idx="35">
                  <c:v>6.65</c:v>
                </c:pt>
                <c:pt idx="36" formatCode="\ 0.00\ ">
                  <c:v>6.7200000000000006</c:v>
                </c:pt>
                <c:pt idx="37" formatCode="\ 0.00\ ">
                  <c:v>6.78</c:v>
                </c:pt>
                <c:pt idx="38" formatCode="\ 0.00\ ">
                  <c:v>6.83</c:v>
                </c:pt>
                <c:pt idx="39">
                  <c:v>6.83</c:v>
                </c:pt>
                <c:pt idx="40" formatCode="\ 0.00\ ">
                  <c:v>7.01</c:v>
                </c:pt>
                <c:pt idx="41" formatCode="\ 0.00\ ">
                  <c:v>7.17</c:v>
                </c:pt>
                <c:pt idx="42" formatCode="\ 0.00\ ">
                  <c:v>7.32</c:v>
                </c:pt>
                <c:pt idx="43" formatCode="\ 0.00\ ">
                  <c:v>7.46</c:v>
                </c:pt>
                <c:pt idx="44" formatCode="\ 0.00\ ">
                  <c:v>7.59</c:v>
                </c:pt>
                <c:pt idx="45">
                  <c:v>8.09</c:v>
                </c:pt>
                <c:pt idx="46" formatCode="\ 0.00\ ">
                  <c:v>8.1999999999999993</c:v>
                </c:pt>
                <c:pt idx="47">
                  <c:v>8.3000000000000007</c:v>
                </c:pt>
                <c:pt idx="48" formatCode="\ 0.00\ ">
                  <c:v>8.41</c:v>
                </c:pt>
                <c:pt idx="49">
                  <c:v>8.51</c:v>
                </c:pt>
                <c:pt idx="50" formatCode="\ 0.00\ ">
                  <c:v>8.58</c:v>
                </c:pt>
                <c:pt idx="51" formatCode="\ 0.00\ ">
                  <c:v>8.6300000000000008</c:v>
                </c:pt>
                <c:pt idx="52" formatCode="\ 0.00\ ">
                  <c:v>8.67</c:v>
                </c:pt>
                <c:pt idx="53" formatCode="\ 0.00\ ">
                  <c:v>8.6999999999999993</c:v>
                </c:pt>
                <c:pt idx="54" formatCode="\ 0.00\ ">
                  <c:v>8.7199999999999989</c:v>
                </c:pt>
                <c:pt idx="55">
                  <c:v>8.7200000000000006</c:v>
                </c:pt>
                <c:pt idx="56" formatCode="\ 0.00\ ">
                  <c:v>8.8000000000000007</c:v>
                </c:pt>
                <c:pt idx="57" formatCode="\ 0.00\ ">
                  <c:v>8.8600000000000012</c:v>
                </c:pt>
                <c:pt idx="58" formatCode="\ 0.00\ ">
                  <c:v>8.9100000000000019</c:v>
                </c:pt>
                <c:pt idx="59">
                  <c:v>8.93</c:v>
                </c:pt>
                <c:pt idx="60" formatCode="\ 0.00\ ">
                  <c:v>9.1199999999999992</c:v>
                </c:pt>
                <c:pt idx="61" formatCode="\ 0.00\ ">
                  <c:v>9.2899999999999991</c:v>
                </c:pt>
                <c:pt idx="62" formatCode="\ 0.00\ ">
                  <c:v>9.4499999999999993</c:v>
                </c:pt>
                <c:pt idx="63" formatCode="\ 0.00\ ">
                  <c:v>9.6</c:v>
                </c:pt>
                <c:pt idx="64" formatCode="\ 0.00\ ">
                  <c:v>9.74</c:v>
                </c:pt>
                <c:pt idx="65">
                  <c:v>10.24</c:v>
                </c:pt>
                <c:pt idx="66" formatCode="\ 0.00\ ">
                  <c:v>10.36</c:v>
                </c:pt>
                <c:pt idx="67" formatCode="\ 0.00\ ">
                  <c:v>10.46</c:v>
                </c:pt>
                <c:pt idx="68" formatCode="\ 0.00\ ">
                  <c:v>10.58</c:v>
                </c:pt>
                <c:pt idx="69" formatCode="\ 0.00\ ">
                  <c:v>10.68</c:v>
                </c:pt>
                <c:pt idx="70" formatCode="\ 0.00\ ">
                  <c:v>10.75</c:v>
                </c:pt>
                <c:pt idx="71" formatCode="\ 0.00\ ">
                  <c:v>10.8</c:v>
                </c:pt>
                <c:pt idx="72" formatCode="\ 0.00\ ">
                  <c:v>10.84</c:v>
                </c:pt>
                <c:pt idx="73" formatCode="\ 0.00\ ">
                  <c:v>10.87</c:v>
                </c:pt>
                <c:pt idx="74" formatCode="\ 0.00\ ">
                  <c:v>10.899999999999999</c:v>
                </c:pt>
                <c:pt idx="75" formatCode="\ 0.00\ ">
                  <c:v>10.9</c:v>
                </c:pt>
                <c:pt idx="76" formatCode="\ 0.00\ ">
                  <c:v>10.99</c:v>
                </c:pt>
                <c:pt idx="77" formatCode="\ 0.00\ ">
                  <c:v>11.06</c:v>
                </c:pt>
                <c:pt idx="78" formatCode="\ 0.00\ ">
                  <c:v>11.110000000000001</c:v>
                </c:pt>
                <c:pt idx="79" formatCode="\ 0.00\ ">
                  <c:v>11.12</c:v>
                </c:pt>
                <c:pt idx="80" formatCode="\ 0.00\ ">
                  <c:v>11.33</c:v>
                </c:pt>
                <c:pt idx="81" formatCode="\ 0.00\ ">
                  <c:v>11.52</c:v>
                </c:pt>
                <c:pt idx="82" formatCode="\ 0.00\ ">
                  <c:v>11.69</c:v>
                </c:pt>
                <c:pt idx="83" formatCode="\ 0.00\ ">
                  <c:v>11.85</c:v>
                </c:pt>
                <c:pt idx="84" formatCode="\ 0.00\ ">
                  <c:v>11.99</c:v>
                </c:pt>
                <c:pt idx="85" formatCode="\ 0.00\ ">
                  <c:v>12.45</c:v>
                </c:pt>
                <c:pt idx="86" formatCode="\ 0.00\ ">
                  <c:v>12.76</c:v>
                </c:pt>
                <c:pt idx="87" formatCode="\ 0.00\ ">
                  <c:v>12.95</c:v>
                </c:pt>
                <c:pt idx="88" formatCode="\ 0.00\ ">
                  <c:v>13.25</c:v>
                </c:pt>
                <c:pt idx="89" formatCode="\ 0.00\ ">
                  <c:v>13.45</c:v>
                </c:pt>
                <c:pt idx="90" formatCode="\ 0.00\ ">
                  <c:v>13.6</c:v>
                </c:pt>
                <c:pt idx="91" formatCode="\ 0.00\ ">
                  <c:v>13.73</c:v>
                </c:pt>
                <c:pt idx="92" formatCode="\ 0.00\ ">
                  <c:v>13.84</c:v>
                </c:pt>
                <c:pt idx="93" formatCode="\ 0.00\ ">
                  <c:v>13.92</c:v>
                </c:pt>
                <c:pt idx="94" formatCode="\ 0.00\ ">
                  <c:v>13.99</c:v>
                </c:pt>
                <c:pt idx="95" formatCode="\ 0.00\ ">
                  <c:v>13.95</c:v>
                </c:pt>
                <c:pt idx="96" formatCode="\ 0.00\ ">
                  <c:v>14.139999999999999</c:v>
                </c:pt>
                <c:pt idx="97" formatCode="\ 0.00\ ">
                  <c:v>14.299999999999999</c:v>
                </c:pt>
                <c:pt idx="98" formatCode="\ 0.00\ ">
                  <c:v>14.44</c:v>
                </c:pt>
                <c:pt idx="99" formatCode="\ 0.00\ ">
                  <c:v>14.45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33</c:v>
                </c:pt>
                <c:pt idx="1">
                  <c:v>42</c:v>
                </c:pt>
                <c:pt idx="2">
                  <c:v>51.85</c:v>
                </c:pt>
                <c:pt idx="3" formatCode="General">
                  <c:v>61</c:v>
                </c:pt>
                <c:pt idx="4">
                  <c:v>70.149999999999991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0.155</c:v>
                </c:pt>
                <c:pt idx="1">
                  <c:v>0.16200000000000001</c:v>
                </c:pt>
                <c:pt idx="2">
                  <c:v>0.17199999999999999</c:v>
                </c:pt>
                <c:pt idx="3">
                  <c:v>0.182</c:v>
                </c:pt>
                <c:pt idx="4">
                  <c:v>0.20499999999999999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82.533333333333317"/>
          <c:min val="20.61666666666666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(㎥/day)(W-9)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.1916666666666647"/>
      </c:valAx>
      <c:valAx>
        <c:axId val="1"/>
        <c:scaling>
          <c:orientation val="minMax"/>
          <c:max val="0.22166666666666665"/>
          <c:min val="0.1383333333333333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083333333333332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29</c:v>
                </c:pt>
                <c:pt idx="1">
                  <c:v>33</c:v>
                </c:pt>
                <c:pt idx="2">
                  <c:v>42</c:v>
                </c:pt>
                <c:pt idx="3">
                  <c:v>51.85</c:v>
                </c:pt>
                <c:pt idx="4">
                  <c:v>61</c:v>
                </c:pt>
                <c:pt idx="5">
                  <c:v>70.149999999999991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79.278619312361229</c:v>
                </c:pt>
                <c:pt idx="2">
                  <c:v>75.038007186145165</c:v>
                </c:pt>
                <c:pt idx="3">
                  <c:v>70.888089651161181</c:v>
                </c:pt>
                <c:pt idx="4">
                  <c:v>67.424239505587138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82.533333333333317"/>
          <c:min val="20.61666666666666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6.1916666666666647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33</c:v>
                </c:pt>
                <c:pt idx="1">
                  <c:v>42</c:v>
                </c:pt>
                <c:pt idx="2">
                  <c:v>51.85</c:v>
                </c:pt>
                <c:pt idx="3">
                  <c:v>61</c:v>
                </c:pt>
                <c:pt idx="4">
                  <c:v>70.149999999999991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5.12</c:v>
                </c:pt>
                <c:pt idx="1">
                  <c:v>6.83</c:v>
                </c:pt>
                <c:pt idx="2">
                  <c:v>8.93</c:v>
                </c:pt>
                <c:pt idx="3">
                  <c:v>11.12</c:v>
                </c:pt>
                <c:pt idx="4">
                  <c:v>14.45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(Q)(W-9)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29</c:v>
                </c:pt>
                <c:pt idx="1">
                  <c:v>33</c:v>
                </c:pt>
                <c:pt idx="2">
                  <c:v>42</c:v>
                </c:pt>
                <c:pt idx="3">
                  <c:v>51.85</c:v>
                </c:pt>
                <c:pt idx="4">
                  <c:v>61</c:v>
                </c:pt>
                <c:pt idx="5">
                  <c:v>70.149999999999991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0.15515151515151515</c:v>
                </c:pt>
                <c:pt idx="2">
                  <c:v>0.16261904761904761</c:v>
                </c:pt>
                <c:pt idx="3">
                  <c:v>0.17222757955641271</c:v>
                </c:pt>
                <c:pt idx="4">
                  <c:v>0.18229508196721311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82.533333333333317"/>
          <c:min val="20.61666666666666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(㎥/day)(W-9)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.1916666666666647"/>
      </c:valAx>
      <c:valAx>
        <c:axId val="1"/>
        <c:scaling>
          <c:orientation val="minMax"/>
          <c:max val="0.22166666666666665"/>
          <c:min val="0.1383333333333333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083333333333332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1.59</c:v>
                </c:pt>
                <c:pt idx="2">
                  <c:v>1.94</c:v>
                </c:pt>
                <c:pt idx="3">
                  <c:v>2.19</c:v>
                </c:pt>
                <c:pt idx="4">
                  <c:v>2.38</c:v>
                </c:pt>
                <c:pt idx="5">
                  <c:v>2.98</c:v>
                </c:pt>
                <c:pt idx="6">
                  <c:v>3.33</c:v>
                </c:pt>
                <c:pt idx="7">
                  <c:v>3.57</c:v>
                </c:pt>
                <c:pt idx="8">
                  <c:v>3.77</c:v>
                </c:pt>
                <c:pt idx="9">
                  <c:v>3.92</c:v>
                </c:pt>
                <c:pt idx="10">
                  <c:v>4.0599999999999996</c:v>
                </c:pt>
                <c:pt idx="11">
                  <c:v>4.17</c:v>
                </c:pt>
                <c:pt idx="12">
                  <c:v>4.2699999999999996</c:v>
                </c:pt>
                <c:pt idx="13">
                  <c:v>4.3600000000000003</c:v>
                </c:pt>
                <c:pt idx="14">
                  <c:v>4.4400000000000004</c:v>
                </c:pt>
                <c:pt idx="15">
                  <c:v>4.5199999999999996</c:v>
                </c:pt>
                <c:pt idx="16">
                  <c:v>4.71</c:v>
                </c:pt>
                <c:pt idx="17">
                  <c:v>4.87</c:v>
                </c:pt>
                <c:pt idx="18">
                  <c:v>5</c:v>
                </c:pt>
                <c:pt idx="19">
                  <c:v>5.12</c:v>
                </c:pt>
                <c:pt idx="20">
                  <c:v>6.14</c:v>
                </c:pt>
                <c:pt idx="21">
                  <c:v>6.31</c:v>
                </c:pt>
                <c:pt idx="22">
                  <c:v>6.48</c:v>
                </c:pt>
                <c:pt idx="23">
                  <c:v>6.65</c:v>
                </c:pt>
                <c:pt idx="24">
                  <c:v>6.83</c:v>
                </c:pt>
                <c:pt idx="25">
                  <c:v>8.09</c:v>
                </c:pt>
                <c:pt idx="26">
                  <c:v>8.3000000000000007</c:v>
                </c:pt>
                <c:pt idx="27">
                  <c:v>8.51</c:v>
                </c:pt>
                <c:pt idx="28">
                  <c:v>8.7200000000000006</c:v>
                </c:pt>
                <c:pt idx="29">
                  <c:v>8.93</c:v>
                </c:pt>
                <c:pt idx="30">
                  <c:v>10.24</c:v>
                </c:pt>
                <c:pt idx="31">
                  <c:v>10.46</c:v>
                </c:pt>
                <c:pt idx="32">
                  <c:v>10.68</c:v>
                </c:pt>
                <c:pt idx="33">
                  <c:v>10.9</c:v>
                </c:pt>
                <c:pt idx="34">
                  <c:v>11.12</c:v>
                </c:pt>
                <c:pt idx="35">
                  <c:v>12.45</c:v>
                </c:pt>
                <c:pt idx="36">
                  <c:v>12.95</c:v>
                </c:pt>
                <c:pt idx="37">
                  <c:v>13.45</c:v>
                </c:pt>
                <c:pt idx="38">
                  <c:v>13.95</c:v>
                </c:pt>
                <c:pt idx="39">
                  <c:v>14.45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1.002445926848389</c:v>
                </c:pt>
                <c:pt idx="1">
                  <c:v>1.5985975548717999</c:v>
                </c:pt>
                <c:pt idx="2">
                  <c:v>1.947323902009364</c:v>
                </c:pt>
                <c:pt idx="3">
                  <c:v>2.1947491828952117</c:v>
                </c:pt>
                <c:pt idx="4">
                  <c:v>2.3866671407687887</c:v>
                </c:pt>
                <c:pt idx="5">
                  <c:v>2.9828187687922014</c:v>
                </c:pt>
                <c:pt idx="6">
                  <c:v>3.3315451159297647</c:v>
                </c:pt>
                <c:pt idx="7">
                  <c:v>3.5789703968156124</c:v>
                </c:pt>
                <c:pt idx="8">
                  <c:v>3.7708883546891885</c:v>
                </c:pt>
                <c:pt idx="9">
                  <c:v>3.9276967439531765</c:v>
                </c:pt>
                <c:pt idx="10">
                  <c:v>4.0602763479929687</c:v>
                </c:pt>
                <c:pt idx="11">
                  <c:v>4.1751220248390242</c:v>
                </c:pt>
                <c:pt idx="12">
                  <c:v>4.2764230910907406</c:v>
                </c:pt>
                <c:pt idx="13">
                  <c:v>4.3670399827126003</c:v>
                </c:pt>
                <c:pt idx="14">
                  <c:v>4.4490129322550809</c:v>
                </c:pt>
                <c:pt idx="15">
                  <c:v>4.5238483719765883</c:v>
                </c:pt>
                <c:pt idx="16">
                  <c:v>4.7157663298501644</c:v>
                </c:pt>
                <c:pt idx="17">
                  <c:v>4.8725747191141524</c:v>
                </c:pt>
                <c:pt idx="18">
                  <c:v>5.0051543231539446</c:v>
                </c:pt>
                <c:pt idx="19">
                  <c:v>5.12</c:v>
                </c:pt>
                <c:pt idx="20">
                  <c:v>6.1588785676341224</c:v>
                </c:pt>
                <c:pt idx="21">
                  <c:v>6.2399992422026642</c:v>
                </c:pt>
                <c:pt idx="22">
                  <c:v>6.3155207834456633</c:v>
                </c:pt>
                <c:pt idx="23">
                  <c:v>6.515095097054374</c:v>
                </c:pt>
                <c:pt idx="24">
                  <c:v>6.83</c:v>
                </c:pt>
                <c:pt idx="25">
                  <c:v>8.4372415161613468</c:v>
                </c:pt>
                <c:pt idx="26">
                  <c:v>8.490242213084759</c:v>
                </c:pt>
                <c:pt idx="27">
                  <c:v>8.5412423995778397</c:v>
                </c:pt>
                <c:pt idx="28">
                  <c:v>8.6836207580806715</c:v>
                </c:pt>
                <c:pt idx="29">
                  <c:v>8.93</c:v>
                </c:pt>
                <c:pt idx="30">
                  <c:v>10.706197475284975</c:v>
                </c:pt>
                <c:pt idx="31">
                  <c:v>10.748595110959124</c:v>
                </c:pt>
                <c:pt idx="32">
                  <c:v>10.789891383848433</c:v>
                </c:pt>
                <c:pt idx="33">
                  <c:v>10.907709506436076</c:v>
                </c:pt>
                <c:pt idx="34">
                  <c:v>11.12</c:v>
                </c:pt>
                <c:pt idx="35">
                  <c:v>14.079726977206338</c:v>
                </c:pt>
                <c:pt idx="36">
                  <c:v>14.116663378579734</c:v>
                </c:pt>
                <c:pt idx="37">
                  <c:v>14.152868317777425</c:v>
                </c:pt>
                <c:pt idx="38">
                  <c:v>14.257370456143228</c:v>
                </c:pt>
                <c:pt idx="39">
                  <c:v>14.45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1</c:v>
                </c:pt>
                <c:pt idx="1">
                  <c:v>1.59</c:v>
                </c:pt>
                <c:pt idx="2">
                  <c:v>1.94</c:v>
                </c:pt>
                <c:pt idx="3">
                  <c:v>2.19</c:v>
                </c:pt>
                <c:pt idx="4">
                  <c:v>2.38</c:v>
                </c:pt>
                <c:pt idx="5">
                  <c:v>2.98</c:v>
                </c:pt>
                <c:pt idx="6">
                  <c:v>3.33</c:v>
                </c:pt>
                <c:pt idx="7">
                  <c:v>3.57</c:v>
                </c:pt>
                <c:pt idx="8">
                  <c:v>3.77</c:v>
                </c:pt>
                <c:pt idx="9">
                  <c:v>3.92</c:v>
                </c:pt>
                <c:pt idx="10">
                  <c:v>4.0599999999999996</c:v>
                </c:pt>
                <c:pt idx="11">
                  <c:v>4.17</c:v>
                </c:pt>
                <c:pt idx="12">
                  <c:v>4.2699999999999996</c:v>
                </c:pt>
                <c:pt idx="13">
                  <c:v>4.3600000000000003</c:v>
                </c:pt>
                <c:pt idx="14">
                  <c:v>4.4400000000000004</c:v>
                </c:pt>
                <c:pt idx="15">
                  <c:v>4.5199999999999996</c:v>
                </c:pt>
                <c:pt idx="16">
                  <c:v>4.71</c:v>
                </c:pt>
                <c:pt idx="17">
                  <c:v>4.87</c:v>
                </c:pt>
                <c:pt idx="18">
                  <c:v>5</c:v>
                </c:pt>
                <c:pt idx="19">
                  <c:v>5.12</c:v>
                </c:pt>
                <c:pt idx="20">
                  <c:v>6.14</c:v>
                </c:pt>
                <c:pt idx="21">
                  <c:v>6.31</c:v>
                </c:pt>
                <c:pt idx="22">
                  <c:v>6.48</c:v>
                </c:pt>
                <c:pt idx="23">
                  <c:v>6.65</c:v>
                </c:pt>
                <c:pt idx="24">
                  <c:v>6.83</c:v>
                </c:pt>
                <c:pt idx="25">
                  <c:v>8.09</c:v>
                </c:pt>
                <c:pt idx="26">
                  <c:v>8.3000000000000007</c:v>
                </c:pt>
                <c:pt idx="27">
                  <c:v>8.51</c:v>
                </c:pt>
                <c:pt idx="28">
                  <c:v>8.7200000000000006</c:v>
                </c:pt>
                <c:pt idx="29">
                  <c:v>8.93</c:v>
                </c:pt>
                <c:pt idx="30">
                  <c:v>10.24</c:v>
                </c:pt>
                <c:pt idx="31">
                  <c:v>10.46</c:v>
                </c:pt>
                <c:pt idx="32">
                  <c:v>10.68</c:v>
                </c:pt>
                <c:pt idx="33">
                  <c:v>10.9</c:v>
                </c:pt>
                <c:pt idx="34">
                  <c:v>11.12</c:v>
                </c:pt>
                <c:pt idx="35">
                  <c:v>12.45</c:v>
                </c:pt>
                <c:pt idx="36">
                  <c:v>12.95</c:v>
                </c:pt>
                <c:pt idx="37">
                  <c:v>13.45</c:v>
                </c:pt>
                <c:pt idx="38">
                  <c:v>13.95</c:v>
                </c:pt>
                <c:pt idx="39">
                  <c:v>14.45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1.2158326699068436</c:v>
                </c:pt>
                <c:pt idx="1">
                  <c:v>2.3774429369699934</c:v>
                </c:pt>
                <c:pt idx="2">
                  <c:v>3.0569413836546246</c:v>
                </c:pt>
                <c:pt idx="3">
                  <c:v>3.5390532040331451</c:v>
                </c:pt>
                <c:pt idx="4">
                  <c:v>3.913008184310387</c:v>
                </c:pt>
                <c:pt idx="5">
                  <c:v>5.0746184513735368</c:v>
                </c:pt>
                <c:pt idx="6">
                  <c:v>5.7541168980581663</c:v>
                </c:pt>
                <c:pt idx="7">
                  <c:v>6.2362287184366885</c:v>
                </c:pt>
                <c:pt idx="8">
                  <c:v>6.6101836987139269</c:v>
                </c:pt>
                <c:pt idx="9">
                  <c:v>6.9157271651213197</c:v>
                </c:pt>
                <c:pt idx="10">
                  <c:v>7.1740604850627694</c:v>
                </c:pt>
                <c:pt idx="11">
                  <c:v>7.3978389854998401</c:v>
                </c:pt>
                <c:pt idx="12">
                  <c:v>7.5952256118059456</c:v>
                </c:pt>
                <c:pt idx="13">
                  <c:v>7.7717939657770803</c:v>
                </c:pt>
                <c:pt idx="14">
                  <c:v>7.9001094707223656</c:v>
                </c:pt>
                <c:pt idx="15">
                  <c:v>8.0773374321844695</c:v>
                </c:pt>
                <c:pt idx="16">
                  <c:v>8.4512924124617097</c:v>
                </c:pt>
                <c:pt idx="17">
                  <c:v>8.756835878869099</c:v>
                </c:pt>
                <c:pt idx="18">
                  <c:v>9.0151691988105522</c:v>
                </c:pt>
                <c:pt idx="19">
                  <c:v>9.2389476992476229</c:v>
                </c:pt>
                <c:pt idx="20">
                  <c:v>9.4972810191890726</c:v>
                </c:pt>
                <c:pt idx="21">
                  <c:v>9.7210595196261398</c:v>
                </c:pt>
                <c:pt idx="22">
                  <c:v>9.9184461459322488</c:v>
                </c:pt>
                <c:pt idx="23">
                  <c:v>10.400557966310769</c:v>
                </c:pt>
                <c:pt idx="24">
                  <c:v>10.774512946588013</c:v>
                </c:pt>
                <c:pt idx="25">
                  <c:v>11.080056412995399</c:v>
                </c:pt>
                <c:pt idx="26">
                  <c:v>11.338389732936852</c:v>
                </c:pt>
                <c:pt idx="27">
                  <c:v>11.562168233373919</c:v>
                </c:pt>
                <c:pt idx="28">
                  <c:v>11.759554859680032</c:v>
                </c:pt>
                <c:pt idx="29">
                  <c:v>11.936123213651163</c:v>
                </c:pt>
                <c:pt idx="30">
                  <c:v>12.095848718596448</c:v>
                </c:pt>
                <c:pt idx="31">
                  <c:v>12.241666680058552</c:v>
                </c:pt>
                <c:pt idx="32">
                  <c:v>12.375806201425432</c:v>
                </c:pt>
                <c:pt idx="33">
                  <c:v>12.500000000000002</c:v>
                </c:pt>
                <c:pt idx="34">
                  <c:v>12.500000000000002</c:v>
                </c:pt>
                <c:pt idx="35">
                  <c:v>12.500000000000002</c:v>
                </c:pt>
                <c:pt idx="36">
                  <c:v>12.500000000000002</c:v>
                </c:pt>
                <c:pt idx="37">
                  <c:v>12.500000000000002</c:v>
                </c:pt>
                <c:pt idx="38">
                  <c:v>12.500000000000002</c:v>
                </c:pt>
                <c:pt idx="39">
                  <c:v>12.500000000000002</c:v>
                </c:pt>
                <c:pt idx="40">
                  <c:v>12.500000000000002</c:v>
                </c:pt>
                <c:pt idx="41">
                  <c:v>12.500000000000002</c:v>
                </c:pt>
                <c:pt idx="42">
                  <c:v>12.500000000000002</c:v>
                </c:pt>
                <c:pt idx="43">
                  <c:v>12.500000000000002</c:v>
                </c:pt>
                <c:pt idx="44">
                  <c:v>12.500000000000002</c:v>
                </c:pt>
                <c:pt idx="45">
                  <c:v>12.500000000000002</c:v>
                </c:pt>
                <c:pt idx="46">
                  <c:v>12.500000000000002</c:v>
                </c:pt>
                <c:pt idx="47">
                  <c:v>12.500000000000002</c:v>
                </c:pt>
                <c:pt idx="48">
                  <c:v>12.500000000000002</c:v>
                </c:pt>
                <c:pt idx="49">
                  <c:v>12.500000000000002</c:v>
                </c:pt>
                <c:pt idx="50">
                  <c:v>12.500000000000002</c:v>
                </c:pt>
                <c:pt idx="51">
                  <c:v>12.500000000000002</c:v>
                </c:pt>
                <c:pt idx="52">
                  <c:v>12.500000000000002</c:v>
                </c:pt>
                <c:pt idx="53">
                  <c:v>12.500000000000002</c:v>
                </c:pt>
                <c:pt idx="54">
                  <c:v>12.500000000000002</c:v>
                </c:pt>
                <c:pt idx="55">
                  <c:v>12.500000000000002</c:v>
                </c:pt>
                <c:pt idx="56">
                  <c:v>12.500000000000002</c:v>
                </c:pt>
                <c:pt idx="57">
                  <c:v>12.500000000000002</c:v>
                </c:pt>
                <c:pt idx="58">
                  <c:v>12.500000000000002</c:v>
                </c:pt>
                <c:pt idx="59">
                  <c:v>12.500000000000002</c:v>
                </c:pt>
                <c:pt idx="60">
                  <c:v>12.500000000000002</c:v>
                </c:pt>
                <c:pt idx="61">
                  <c:v>12.500000000000002</c:v>
                </c:pt>
                <c:pt idx="62">
                  <c:v>12.500000000000002</c:v>
                </c:pt>
                <c:pt idx="63">
                  <c:v>12.500000000000002</c:v>
                </c:pt>
                <c:pt idx="64">
                  <c:v>12.500000000000002</c:v>
                </c:pt>
                <c:pt idx="65">
                  <c:v>12.500000000000002</c:v>
                </c:pt>
                <c:pt idx="66">
                  <c:v>12.500000000000002</c:v>
                </c:pt>
                <c:pt idx="67">
                  <c:v>12.500000000000002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장기양수시험!$AF$2:$AF$83</c:f>
              <c:numCache>
                <c:formatCode>0.00</c:formatCode>
                <c:ptCount val="82"/>
                <c:pt idx="0">
                  <c:v>1.2158326699068436</c:v>
                </c:pt>
                <c:pt idx="1">
                  <c:v>2.3774429369699934</c:v>
                </c:pt>
                <c:pt idx="2">
                  <c:v>3.0569413836546246</c:v>
                </c:pt>
                <c:pt idx="3">
                  <c:v>3.5390532040331451</c:v>
                </c:pt>
                <c:pt idx="4">
                  <c:v>3.913008184310387</c:v>
                </c:pt>
                <c:pt idx="5">
                  <c:v>5.0746184513735368</c:v>
                </c:pt>
                <c:pt idx="6">
                  <c:v>5.7541168980581663</c:v>
                </c:pt>
                <c:pt idx="7">
                  <c:v>6.2362287184366885</c:v>
                </c:pt>
                <c:pt idx="8">
                  <c:v>6.6101836987139269</c:v>
                </c:pt>
                <c:pt idx="9">
                  <c:v>6.9157271651213197</c:v>
                </c:pt>
                <c:pt idx="10">
                  <c:v>7.1740604850627694</c:v>
                </c:pt>
                <c:pt idx="11">
                  <c:v>7.3978389854998401</c:v>
                </c:pt>
                <c:pt idx="12">
                  <c:v>7.5952256118059456</c:v>
                </c:pt>
                <c:pt idx="13">
                  <c:v>7.7717939657770803</c:v>
                </c:pt>
                <c:pt idx="14">
                  <c:v>7.9001094707223656</c:v>
                </c:pt>
                <c:pt idx="15">
                  <c:v>8.0773374321844695</c:v>
                </c:pt>
                <c:pt idx="16">
                  <c:v>8.4512924124617097</c:v>
                </c:pt>
                <c:pt idx="17">
                  <c:v>8.756835878869099</c:v>
                </c:pt>
                <c:pt idx="18">
                  <c:v>9.0151691988105522</c:v>
                </c:pt>
                <c:pt idx="19">
                  <c:v>9.2389476992476229</c:v>
                </c:pt>
                <c:pt idx="20">
                  <c:v>9.4972810191890726</c:v>
                </c:pt>
                <c:pt idx="21">
                  <c:v>9.7210595196261398</c:v>
                </c:pt>
                <c:pt idx="22">
                  <c:v>9.9184461459322488</c:v>
                </c:pt>
                <c:pt idx="23">
                  <c:v>10.400557966310769</c:v>
                </c:pt>
                <c:pt idx="24">
                  <c:v>10.774512946588013</c:v>
                </c:pt>
                <c:pt idx="25">
                  <c:v>11.080056412995399</c:v>
                </c:pt>
                <c:pt idx="26">
                  <c:v>11.338389732936852</c:v>
                </c:pt>
                <c:pt idx="27">
                  <c:v>11.562168233373919</c:v>
                </c:pt>
                <c:pt idx="28">
                  <c:v>11.759554859680032</c:v>
                </c:pt>
                <c:pt idx="29">
                  <c:v>11.936123213651163</c:v>
                </c:pt>
                <c:pt idx="30">
                  <c:v>12.095848718596448</c:v>
                </c:pt>
                <c:pt idx="31">
                  <c:v>12.241666680058552</c:v>
                </c:pt>
                <c:pt idx="32">
                  <c:v>12.375806201425432</c:v>
                </c:pt>
                <c:pt idx="33">
                  <c:v>12.500000000000002</c:v>
                </c:pt>
                <c:pt idx="34">
                  <c:v>12.500000000000002</c:v>
                </c:pt>
                <c:pt idx="35">
                  <c:v>12.500000000000002</c:v>
                </c:pt>
                <c:pt idx="36">
                  <c:v>12.500000000000002</c:v>
                </c:pt>
                <c:pt idx="37">
                  <c:v>12.500000000000002</c:v>
                </c:pt>
                <c:pt idx="38">
                  <c:v>12.500000000000002</c:v>
                </c:pt>
                <c:pt idx="39">
                  <c:v>12.500000000000002</c:v>
                </c:pt>
                <c:pt idx="40">
                  <c:v>12.500000000000002</c:v>
                </c:pt>
                <c:pt idx="41">
                  <c:v>12.500000000000002</c:v>
                </c:pt>
                <c:pt idx="42">
                  <c:v>12.500000000000002</c:v>
                </c:pt>
                <c:pt idx="43">
                  <c:v>12.500000000000002</c:v>
                </c:pt>
                <c:pt idx="44">
                  <c:v>12.500000000000002</c:v>
                </c:pt>
                <c:pt idx="45">
                  <c:v>12.500000000000002</c:v>
                </c:pt>
                <c:pt idx="46">
                  <c:v>12.500000000000002</c:v>
                </c:pt>
                <c:pt idx="47">
                  <c:v>12.500000000000002</c:v>
                </c:pt>
                <c:pt idx="48">
                  <c:v>12.500000000000002</c:v>
                </c:pt>
                <c:pt idx="49">
                  <c:v>12.500000000000002</c:v>
                </c:pt>
                <c:pt idx="50">
                  <c:v>12.500000000000002</c:v>
                </c:pt>
                <c:pt idx="51">
                  <c:v>12.500000000000002</c:v>
                </c:pt>
                <c:pt idx="52">
                  <c:v>12.500000000000002</c:v>
                </c:pt>
                <c:pt idx="53">
                  <c:v>12.500000000000002</c:v>
                </c:pt>
                <c:pt idx="54">
                  <c:v>12.500000000000002</c:v>
                </c:pt>
                <c:pt idx="55">
                  <c:v>12.500000000000002</c:v>
                </c:pt>
                <c:pt idx="56">
                  <c:v>12.500000000000002</c:v>
                </c:pt>
                <c:pt idx="57">
                  <c:v>12.500000000000002</c:v>
                </c:pt>
                <c:pt idx="58">
                  <c:v>12.500000000000002</c:v>
                </c:pt>
                <c:pt idx="59">
                  <c:v>12.500000000000002</c:v>
                </c:pt>
                <c:pt idx="60">
                  <c:v>12.500000000000002</c:v>
                </c:pt>
                <c:pt idx="61">
                  <c:v>12.500000000000002</c:v>
                </c:pt>
                <c:pt idx="62">
                  <c:v>12.500000000000002</c:v>
                </c:pt>
                <c:pt idx="63">
                  <c:v>12.500000000000002</c:v>
                </c:pt>
                <c:pt idx="64">
                  <c:v>12.500000000000002</c:v>
                </c:pt>
                <c:pt idx="65">
                  <c:v>12.500000000000002</c:v>
                </c:pt>
                <c:pt idx="66">
                  <c:v>12.500000000000002</c:v>
                </c:pt>
                <c:pt idx="67">
                  <c:v>12.500000000000002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8.7769295253186019</c:v>
                </c:pt>
                <c:pt idx="1">
                  <c:v>8.1364565728271785</c:v>
                </c:pt>
                <c:pt idx="2">
                  <c:v>7.5427204206814542</c:v>
                </c:pt>
                <c:pt idx="3">
                  <c:v>6.992310575904237</c:v>
                </c:pt>
                <c:pt idx="4">
                  <c:v>6.482065417119756</c:v>
                </c:pt>
                <c:pt idx="5">
                  <c:v>5.1640627213745693</c:v>
                </c:pt>
                <c:pt idx="6">
                  <c:v>4.9096813715081113</c:v>
                </c:pt>
                <c:pt idx="7">
                  <c:v>4.2192835014895822</c:v>
                </c:pt>
                <c:pt idx="8">
                  <c:v>3.911392575192179</c:v>
                </c:pt>
                <c:pt idx="9">
                  <c:v>3.6259691655863664</c:v>
                </c:pt>
                <c:pt idx="10">
                  <c:v>3.5355339059327378</c:v>
                </c:pt>
                <c:pt idx="11">
                  <c:v>3.4473541911597003</c:v>
                </c:pt>
                <c:pt idx="12">
                  <c:v>3.3613737657455935</c:v>
                </c:pt>
                <c:pt idx="13">
                  <c:v>3.2775377772371419</c:v>
                </c:pt>
                <c:pt idx="14">
                  <c:v>3.1957927412555458</c:v>
                </c:pt>
                <c:pt idx="15">
                  <c:v>3.116086507375345</c:v>
                </c:pt>
                <c:pt idx="16">
                  <c:v>3.038368225854303</c:v>
                </c:pt>
                <c:pt idx="17">
                  <c:v>2.9625883151930852</c:v>
                </c:pt>
                <c:pt idx="18">
                  <c:v>2.8886984305040171</c:v>
                </c:pt>
                <c:pt idx="19">
                  <c:v>2.6779033902447549</c:v>
                </c:pt>
                <c:pt idx="20">
                  <c:v>2.6111138293398835</c:v>
                </c:pt>
                <c:pt idx="21">
                  <c:v>2.243939813401973</c:v>
                </c:pt>
                <c:pt idx="22">
                  <c:v>1.9283976935787015</c:v>
                </c:pt>
                <c:pt idx="23">
                  <c:v>1.6572270086699934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image" Target="../media/image2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8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7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4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39</xdr:row>
          <xdr:rowOff>0</xdr:rowOff>
        </xdr:from>
        <xdr:to>
          <xdr:col>17</xdr:col>
          <xdr:colOff>647700</xdr:colOff>
          <xdr:row>41</xdr:row>
          <xdr:rowOff>66675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238125</xdr:colOff>
          <xdr:row>37</xdr:row>
          <xdr:rowOff>19050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85725</xdr:rowOff>
        </xdr:from>
        <xdr:to>
          <xdr:col>14</xdr:col>
          <xdr:colOff>228600</xdr:colOff>
          <xdr:row>39</xdr:row>
          <xdr:rowOff>142875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46</xdr:row>
          <xdr:rowOff>76200</xdr:rowOff>
        </xdr:from>
        <xdr:to>
          <xdr:col>15</xdr:col>
          <xdr:colOff>752475</xdr:colOff>
          <xdr:row>48</xdr:row>
          <xdr:rowOff>95250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48</xdr:row>
          <xdr:rowOff>180975</xdr:rowOff>
        </xdr:from>
        <xdr:to>
          <xdr:col>15</xdr:col>
          <xdr:colOff>742950</xdr:colOff>
          <xdr:row>50</xdr:row>
          <xdr:rowOff>200025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40</xdr:row>
          <xdr:rowOff>38100</xdr:rowOff>
        </xdr:from>
        <xdr:to>
          <xdr:col>14</xdr:col>
          <xdr:colOff>238125</xdr:colOff>
          <xdr:row>42</xdr:row>
          <xdr:rowOff>104775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51</xdr:row>
          <xdr:rowOff>76200</xdr:rowOff>
        </xdr:from>
        <xdr:to>
          <xdr:col>15</xdr:col>
          <xdr:colOff>742950</xdr:colOff>
          <xdr:row>53</xdr:row>
          <xdr:rowOff>95250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9525</xdr:colOff>
      <xdr:row>63</xdr:row>
      <xdr:rowOff>57150</xdr:rowOff>
    </xdr:from>
    <xdr:to>
      <xdr:col>4</xdr:col>
      <xdr:colOff>105174</xdr:colOff>
      <xdr:row>68</xdr:row>
      <xdr:rowOff>112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1306175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0</xdr:col>
      <xdr:colOff>152400</xdr:colOff>
      <xdr:row>69</xdr:row>
      <xdr:rowOff>19050</xdr:rowOff>
    </xdr:from>
    <xdr:to>
      <xdr:col>2</xdr:col>
      <xdr:colOff>371240</xdr:colOff>
      <xdr:row>73</xdr:row>
      <xdr:rowOff>104679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400" y="12296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4</xdr:row>
          <xdr:rowOff>19050</xdr:rowOff>
        </xdr:from>
        <xdr:to>
          <xdr:col>11</xdr:col>
          <xdr:colOff>552450</xdr:colOff>
          <xdr:row>6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5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123825</xdr:rowOff>
        </xdr:from>
        <xdr:to>
          <xdr:col>17</xdr:col>
          <xdr:colOff>66675</xdr:colOff>
          <xdr:row>33</xdr:row>
          <xdr:rowOff>9525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19</xdr:row>
          <xdr:rowOff>9525</xdr:rowOff>
        </xdr:from>
        <xdr:to>
          <xdr:col>19</xdr:col>
          <xdr:colOff>590550</xdr:colOff>
          <xdr:row>20</xdr:row>
          <xdr:rowOff>161925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17</xdr:row>
          <xdr:rowOff>47625</xdr:rowOff>
        </xdr:from>
        <xdr:to>
          <xdr:col>19</xdr:col>
          <xdr:colOff>590550</xdr:colOff>
          <xdr:row>18</xdr:row>
          <xdr:rowOff>200025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22</xdr:row>
          <xdr:rowOff>257175</xdr:rowOff>
        </xdr:from>
        <xdr:to>
          <xdr:col>19</xdr:col>
          <xdr:colOff>66675</xdr:colOff>
          <xdr:row>36</xdr:row>
          <xdr:rowOff>209550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238125</xdr:rowOff>
        </xdr:from>
        <xdr:to>
          <xdr:col>19</xdr:col>
          <xdr:colOff>590550</xdr:colOff>
          <xdr:row>22</xdr:row>
          <xdr:rowOff>123825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10</xdr:col>
          <xdr:colOff>285750</xdr:colOff>
          <xdr:row>21</xdr:row>
          <xdr:rowOff>19050</xdr:rowOff>
        </xdr:to>
        <xdr:sp macro="" textlink="">
          <xdr:nvSpPr>
            <xdr:cNvPr id="20485" name="CommandButton4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A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C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D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D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D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D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D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D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D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D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D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D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D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D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D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D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D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D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D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D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D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D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D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D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D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D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D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D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D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D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D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D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D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D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D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D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D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D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D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D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D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D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D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D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D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D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D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D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D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D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D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D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D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D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11_&#49345;&#50900;&#49689;&#51652;&#50808;%20&#45453;&#50629;&#50857;&#44288;&#51221;%20&#50689;&#54693;&#51312;&#49324;%20&#50857;&#50669;%20-%20&#46041;&#54644;&#50644;&#51648;&#45768;&#50612;&#47553;/01_&#46041;&#54644;&#50644;&#51648;&#45768;&#50612;&#47553;%20-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2"/>
      <sheetName val="3"/>
      <sheetName val="4"/>
      <sheetName val="5"/>
      <sheetName val="6"/>
      <sheetName val="7"/>
      <sheetName val="Q1"/>
      <sheetName val="Q2"/>
      <sheetName val="w1"/>
    </sheetNames>
    <sheetDataSet>
      <sheetData sheetId="0" refreshError="1"/>
      <sheetData sheetId="1" refreshError="1"/>
      <sheetData sheetId="2" refreshError="1"/>
      <sheetData sheetId="3">
        <row r="26">
          <cell r="C26">
            <v>1326.8</v>
          </cell>
        </row>
        <row r="27">
          <cell r="C27">
            <v>0.64</v>
          </cell>
        </row>
        <row r="29">
          <cell r="C29">
            <v>0.16600000000000001</v>
          </cell>
          <cell r="D29">
            <v>0.14369999999999999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7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8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4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6.xml"/><Relationship Id="rId17" Type="http://schemas.openxmlformats.org/officeDocument/2006/relationships/image" Target="../media/image26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5" Type="http://schemas.openxmlformats.org/officeDocument/2006/relationships/image" Target="../media/image25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2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1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3.emf"/><Relationship Id="rId4" Type="http://schemas.openxmlformats.org/officeDocument/2006/relationships/control" Target="../activeX/activeX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28">
        <v>1</v>
      </c>
      <c r="B1">
        <f>F1</f>
        <v>1</v>
      </c>
      <c r="E1">
        <v>1</v>
      </c>
      <c r="F1">
        <f>단계양수시험!G12</f>
        <v>1</v>
      </c>
    </row>
    <row r="2" spans="1:6" x14ac:dyDescent="0.15">
      <c r="A2" s="228">
        <v>2</v>
      </c>
      <c r="B2">
        <f t="shared" ref="B2:B20" si="0">F2</f>
        <v>1.59</v>
      </c>
      <c r="E2">
        <v>2</v>
      </c>
      <c r="F2">
        <f>단계양수시험!G13</f>
        <v>1.59</v>
      </c>
    </row>
    <row r="3" spans="1:6" x14ac:dyDescent="0.15">
      <c r="A3" s="228">
        <v>3</v>
      </c>
      <c r="B3">
        <f t="shared" si="0"/>
        <v>1.94</v>
      </c>
      <c r="E3">
        <v>3</v>
      </c>
      <c r="F3">
        <f>단계양수시험!G14</f>
        <v>1.94</v>
      </c>
    </row>
    <row r="4" spans="1:6" x14ac:dyDescent="0.15">
      <c r="A4" s="228">
        <v>4</v>
      </c>
      <c r="B4">
        <f t="shared" si="0"/>
        <v>2.19</v>
      </c>
      <c r="E4">
        <v>4</v>
      </c>
      <c r="F4">
        <f>단계양수시험!G15</f>
        <v>2.19</v>
      </c>
    </row>
    <row r="5" spans="1:6" x14ac:dyDescent="0.15">
      <c r="A5" s="228">
        <v>5</v>
      </c>
      <c r="B5">
        <f t="shared" si="0"/>
        <v>2.38</v>
      </c>
      <c r="E5">
        <v>5</v>
      </c>
      <c r="F5">
        <f>단계양수시험!G16</f>
        <v>2.38</v>
      </c>
    </row>
    <row r="6" spans="1:6" x14ac:dyDescent="0.15">
      <c r="A6" s="228">
        <v>10</v>
      </c>
      <c r="B6">
        <f t="shared" si="0"/>
        <v>2.98</v>
      </c>
      <c r="E6">
        <v>10</v>
      </c>
      <c r="F6">
        <f>단계양수시험!G17</f>
        <v>2.98</v>
      </c>
    </row>
    <row r="7" spans="1:6" x14ac:dyDescent="0.15">
      <c r="A7" s="228">
        <v>15</v>
      </c>
      <c r="B7">
        <f t="shared" si="0"/>
        <v>3.33</v>
      </c>
      <c r="E7">
        <v>15</v>
      </c>
      <c r="F7">
        <f>단계양수시험!G18</f>
        <v>3.33</v>
      </c>
    </row>
    <row r="8" spans="1:6" x14ac:dyDescent="0.15">
      <c r="A8" s="228">
        <v>20</v>
      </c>
      <c r="B8">
        <f t="shared" si="0"/>
        <v>3.57</v>
      </c>
      <c r="E8">
        <v>20</v>
      </c>
      <c r="F8">
        <f>단계양수시험!G19</f>
        <v>3.57</v>
      </c>
    </row>
    <row r="9" spans="1:6" x14ac:dyDescent="0.15">
      <c r="A9" s="228">
        <v>25</v>
      </c>
      <c r="B9">
        <f t="shared" si="0"/>
        <v>3.77</v>
      </c>
      <c r="E9">
        <v>25</v>
      </c>
      <c r="F9">
        <f>단계양수시험!G20</f>
        <v>3.77</v>
      </c>
    </row>
    <row r="10" spans="1:6" x14ac:dyDescent="0.15">
      <c r="A10" s="228">
        <v>30</v>
      </c>
      <c r="B10">
        <f t="shared" si="0"/>
        <v>3.92</v>
      </c>
      <c r="E10">
        <v>30</v>
      </c>
      <c r="F10">
        <f>단계양수시험!G21</f>
        <v>3.92</v>
      </c>
    </row>
    <row r="11" spans="1:6" x14ac:dyDescent="0.15">
      <c r="A11" s="228">
        <v>35</v>
      </c>
      <c r="B11">
        <f t="shared" si="0"/>
        <v>4.0599999999999996</v>
      </c>
      <c r="E11">
        <v>35</v>
      </c>
      <c r="F11">
        <f>단계양수시험!G22</f>
        <v>4.0599999999999996</v>
      </c>
    </row>
    <row r="12" spans="1:6" x14ac:dyDescent="0.15">
      <c r="A12" s="228">
        <v>40</v>
      </c>
      <c r="B12">
        <f t="shared" si="0"/>
        <v>4.17</v>
      </c>
      <c r="E12">
        <v>40</v>
      </c>
      <c r="F12">
        <f>단계양수시험!G23</f>
        <v>4.17</v>
      </c>
    </row>
    <row r="13" spans="1:6" x14ac:dyDescent="0.15">
      <c r="A13" s="228">
        <v>45</v>
      </c>
      <c r="B13">
        <f t="shared" si="0"/>
        <v>4.2699999999999996</v>
      </c>
      <c r="E13">
        <v>45</v>
      </c>
      <c r="F13">
        <f>단계양수시험!G24</f>
        <v>4.2699999999999996</v>
      </c>
    </row>
    <row r="14" spans="1:6" x14ac:dyDescent="0.15">
      <c r="A14" s="228">
        <v>50</v>
      </c>
      <c r="B14">
        <f t="shared" si="0"/>
        <v>4.3600000000000003</v>
      </c>
      <c r="E14">
        <v>50</v>
      </c>
      <c r="F14">
        <f>단계양수시험!G25</f>
        <v>4.3600000000000003</v>
      </c>
    </row>
    <row r="15" spans="1:6" x14ac:dyDescent="0.15">
      <c r="A15" s="228">
        <v>55</v>
      </c>
      <c r="B15">
        <f t="shared" si="0"/>
        <v>4.4400000000000004</v>
      </c>
      <c r="E15">
        <v>55</v>
      </c>
      <c r="F15">
        <f>단계양수시험!G26</f>
        <v>4.4400000000000004</v>
      </c>
    </row>
    <row r="16" spans="1:6" x14ac:dyDescent="0.15">
      <c r="A16" s="228">
        <v>60</v>
      </c>
      <c r="B16">
        <f t="shared" si="0"/>
        <v>4.5199999999999996</v>
      </c>
      <c r="E16">
        <v>60</v>
      </c>
      <c r="F16">
        <f>단계양수시험!G27</f>
        <v>4.5199999999999996</v>
      </c>
    </row>
    <row r="17" spans="1:6" x14ac:dyDescent="0.15">
      <c r="A17" s="228">
        <v>75</v>
      </c>
      <c r="B17">
        <f t="shared" si="0"/>
        <v>4.71</v>
      </c>
      <c r="E17">
        <v>75</v>
      </c>
      <c r="F17">
        <f>단계양수시험!G28</f>
        <v>4.71</v>
      </c>
    </row>
    <row r="18" spans="1:6" x14ac:dyDescent="0.15">
      <c r="A18" s="228">
        <v>90</v>
      </c>
      <c r="B18">
        <f t="shared" si="0"/>
        <v>4.87</v>
      </c>
      <c r="E18">
        <v>90</v>
      </c>
      <c r="F18">
        <f>단계양수시험!G29</f>
        <v>4.87</v>
      </c>
    </row>
    <row r="19" spans="1:6" x14ac:dyDescent="0.15">
      <c r="A19" s="228">
        <v>105</v>
      </c>
      <c r="B19">
        <f t="shared" si="0"/>
        <v>5</v>
      </c>
      <c r="E19">
        <v>105</v>
      </c>
      <c r="F19">
        <f>단계양수시험!G30</f>
        <v>5</v>
      </c>
    </row>
    <row r="20" spans="1:6" x14ac:dyDescent="0.15">
      <c r="A20" s="230">
        <v>120</v>
      </c>
      <c r="B20" s="236">
        <f t="shared" si="0"/>
        <v>5.12</v>
      </c>
      <c r="C20" s="236">
        <f>B26-B20</f>
        <v>1.0199999999999996</v>
      </c>
      <c r="D20" s="237">
        <f>C20/10</f>
        <v>0.10199999999999995</v>
      </c>
      <c r="E20">
        <v>120</v>
      </c>
      <c r="F20">
        <f>단계양수시험!G31</f>
        <v>5.12</v>
      </c>
    </row>
    <row r="21" spans="1:6" x14ac:dyDescent="0.15">
      <c r="A21" s="228">
        <v>121</v>
      </c>
      <c r="B21" s="235">
        <f>B20+D21</f>
        <v>5.28</v>
      </c>
      <c r="D21">
        <v>0.16</v>
      </c>
      <c r="E21">
        <v>130</v>
      </c>
      <c r="F21">
        <f>단계양수시험!G32</f>
        <v>6.14</v>
      </c>
    </row>
    <row r="22" spans="1:6" x14ac:dyDescent="0.15">
      <c r="A22" s="228">
        <v>122</v>
      </c>
      <c r="B22" s="235">
        <f>B21+D22</f>
        <v>5.4300000000000006</v>
      </c>
      <c r="D22">
        <v>0.15</v>
      </c>
      <c r="E22">
        <v>140</v>
      </c>
      <c r="F22">
        <f>단계양수시험!G33</f>
        <v>6.31</v>
      </c>
    </row>
    <row r="23" spans="1:6" x14ac:dyDescent="0.15">
      <c r="A23" s="228">
        <v>123</v>
      </c>
      <c r="B23" s="235">
        <f>B22+D23</f>
        <v>5.57</v>
      </c>
      <c r="D23">
        <v>0.14000000000000001</v>
      </c>
      <c r="E23">
        <v>150</v>
      </c>
      <c r="F23">
        <f>단계양수시험!G34</f>
        <v>6.48</v>
      </c>
    </row>
    <row r="24" spans="1:6" x14ac:dyDescent="0.15">
      <c r="A24" s="228">
        <v>124</v>
      </c>
      <c r="B24" s="235">
        <f>B23+D24</f>
        <v>5.7</v>
      </c>
      <c r="D24">
        <v>0.13</v>
      </c>
      <c r="E24">
        <v>180</v>
      </c>
      <c r="F24">
        <f>단계양수시험!G35</f>
        <v>6.65</v>
      </c>
    </row>
    <row r="25" spans="1:6" x14ac:dyDescent="0.15">
      <c r="A25" s="228">
        <v>125</v>
      </c>
      <c r="B25" s="235">
        <f>B24+D25</f>
        <v>5.83</v>
      </c>
      <c r="D25">
        <v>0.13</v>
      </c>
      <c r="E25">
        <v>240</v>
      </c>
      <c r="F25">
        <f>단계양수시험!G36</f>
        <v>6.83</v>
      </c>
    </row>
    <row r="26" spans="1:6" x14ac:dyDescent="0.15">
      <c r="A26" s="228">
        <v>130</v>
      </c>
      <c r="B26" s="236">
        <f>F21</f>
        <v>6.14</v>
      </c>
      <c r="C26" s="236">
        <f>B28-B26</f>
        <v>0.16999999999999993</v>
      </c>
      <c r="D26" s="236">
        <f>C26/2</f>
        <v>8.4999999999999964E-2</v>
      </c>
      <c r="E26">
        <v>250</v>
      </c>
      <c r="F26">
        <f>단계양수시험!G37</f>
        <v>8.09</v>
      </c>
    </row>
    <row r="27" spans="1:6" x14ac:dyDescent="0.15">
      <c r="A27" s="228">
        <v>135</v>
      </c>
      <c r="B27" s="235">
        <f>B26+D27</f>
        <v>6.25</v>
      </c>
      <c r="D27">
        <v>0.11</v>
      </c>
      <c r="E27">
        <v>260</v>
      </c>
      <c r="F27">
        <f>단계양수시험!G38</f>
        <v>8.3000000000000007</v>
      </c>
    </row>
    <row r="28" spans="1:6" x14ac:dyDescent="0.15">
      <c r="A28" s="228">
        <v>140</v>
      </c>
      <c r="B28" s="236">
        <f>F22</f>
        <v>6.31</v>
      </c>
      <c r="C28" s="236">
        <f>B30-B28</f>
        <v>0.17000000000000082</v>
      </c>
      <c r="D28" s="236">
        <f>C28/2</f>
        <v>8.5000000000000409E-2</v>
      </c>
      <c r="E28">
        <v>270</v>
      </c>
      <c r="F28">
        <f>단계양수시험!G39</f>
        <v>8.51</v>
      </c>
    </row>
    <row r="29" spans="1:6" x14ac:dyDescent="0.15">
      <c r="A29" s="228">
        <v>145</v>
      </c>
      <c r="B29" s="235">
        <f>B28+D29</f>
        <v>6.4099999999999993</v>
      </c>
      <c r="D29">
        <v>0.1</v>
      </c>
      <c r="E29">
        <v>300</v>
      </c>
      <c r="F29">
        <f>단계양수시험!G40</f>
        <v>8.7200000000000006</v>
      </c>
    </row>
    <row r="30" spans="1:6" x14ac:dyDescent="0.15">
      <c r="A30" s="228">
        <v>150</v>
      </c>
      <c r="B30" s="236">
        <f>F23</f>
        <v>6.48</v>
      </c>
      <c r="C30" s="236">
        <f>B36-B30</f>
        <v>0.16999999999999993</v>
      </c>
      <c r="D30" s="238">
        <f>C30/6</f>
        <v>2.8333333333333321E-2</v>
      </c>
      <c r="E30">
        <v>360</v>
      </c>
      <c r="F30">
        <f>단계양수시험!G41</f>
        <v>8.93</v>
      </c>
    </row>
    <row r="31" spans="1:6" x14ac:dyDescent="0.15">
      <c r="A31" s="228">
        <v>155</v>
      </c>
      <c r="B31" s="235">
        <f>B30+D31</f>
        <v>6.54</v>
      </c>
      <c r="D31">
        <v>0.06</v>
      </c>
    </row>
    <row r="32" spans="1:6" x14ac:dyDescent="0.15">
      <c r="A32" s="228">
        <v>160</v>
      </c>
      <c r="B32" s="235">
        <f t="shared" ref="B32:B39" si="1">B31+D32</f>
        <v>6.59</v>
      </c>
      <c r="D32">
        <v>0.05</v>
      </c>
    </row>
    <row r="33" spans="1:4" x14ac:dyDescent="0.15">
      <c r="A33" s="228">
        <v>165</v>
      </c>
      <c r="B33" s="235">
        <f t="shared" si="1"/>
        <v>6.63</v>
      </c>
      <c r="D33">
        <v>0.04</v>
      </c>
    </row>
    <row r="34" spans="1:4" x14ac:dyDescent="0.15">
      <c r="A34" s="228">
        <v>170</v>
      </c>
      <c r="B34" s="235">
        <f t="shared" si="1"/>
        <v>6.66</v>
      </c>
      <c r="D34">
        <v>0.03</v>
      </c>
    </row>
    <row r="35" spans="1:4" x14ac:dyDescent="0.15">
      <c r="A35" s="228">
        <v>175</v>
      </c>
      <c r="B35" s="235">
        <f t="shared" si="1"/>
        <v>6.68</v>
      </c>
      <c r="D35">
        <v>0.02</v>
      </c>
    </row>
    <row r="36" spans="1:4" x14ac:dyDescent="0.15">
      <c r="A36" s="228">
        <v>180</v>
      </c>
      <c r="B36" s="236">
        <f>F24</f>
        <v>6.65</v>
      </c>
      <c r="C36" s="236">
        <f>B40-B36</f>
        <v>0.17999999999999972</v>
      </c>
      <c r="D36" s="236">
        <f>C36/4</f>
        <v>4.4999999999999929E-2</v>
      </c>
    </row>
    <row r="37" spans="1:4" x14ac:dyDescent="0.15">
      <c r="A37" s="228">
        <v>195</v>
      </c>
      <c r="B37" s="235">
        <f t="shared" si="1"/>
        <v>6.7200000000000006</v>
      </c>
      <c r="D37">
        <v>7.0000000000000007E-2</v>
      </c>
    </row>
    <row r="38" spans="1:4" x14ac:dyDescent="0.15">
      <c r="A38" s="228">
        <v>210</v>
      </c>
      <c r="B38" s="235">
        <f t="shared" si="1"/>
        <v>6.78</v>
      </c>
      <c r="D38">
        <v>0.06</v>
      </c>
    </row>
    <row r="39" spans="1:4" x14ac:dyDescent="0.15">
      <c r="A39" s="228">
        <v>225</v>
      </c>
      <c r="B39" s="235">
        <f t="shared" si="1"/>
        <v>6.83</v>
      </c>
      <c r="D39">
        <v>0.05</v>
      </c>
    </row>
    <row r="40" spans="1:4" x14ac:dyDescent="0.15">
      <c r="A40" s="230">
        <v>240</v>
      </c>
      <c r="B40" s="236">
        <f>F25</f>
        <v>6.83</v>
      </c>
      <c r="C40" s="236">
        <f>B46-B40</f>
        <v>1.2599999999999998</v>
      </c>
      <c r="D40" s="237">
        <f>C40/10</f>
        <v>0.12599999999999997</v>
      </c>
    </row>
    <row r="41" spans="1:4" x14ac:dyDescent="0.15">
      <c r="A41" s="228">
        <v>241</v>
      </c>
      <c r="B41" s="235">
        <f>B40+D41</f>
        <v>7.01</v>
      </c>
      <c r="D41">
        <v>0.18</v>
      </c>
    </row>
    <row r="42" spans="1:4" x14ac:dyDescent="0.15">
      <c r="A42" s="228">
        <v>242</v>
      </c>
      <c r="B42" s="235">
        <f>B41+D42</f>
        <v>7.17</v>
      </c>
      <c r="D42">
        <v>0.16</v>
      </c>
    </row>
    <row r="43" spans="1:4" x14ac:dyDescent="0.15">
      <c r="A43" s="228">
        <v>243</v>
      </c>
      <c r="B43" s="235">
        <f>B42+D43</f>
        <v>7.32</v>
      </c>
      <c r="D43">
        <v>0.15</v>
      </c>
    </row>
    <row r="44" spans="1:4" x14ac:dyDescent="0.15">
      <c r="A44" s="228">
        <v>244</v>
      </c>
      <c r="B44" s="235">
        <f>B43+D44</f>
        <v>7.46</v>
      </c>
      <c r="D44">
        <v>0.14000000000000001</v>
      </c>
    </row>
    <row r="45" spans="1:4" x14ac:dyDescent="0.15">
      <c r="A45" s="228">
        <v>245</v>
      </c>
      <c r="B45" s="235">
        <f>B44+D45</f>
        <v>7.59</v>
      </c>
      <c r="D45">
        <v>0.13</v>
      </c>
    </row>
    <row r="46" spans="1:4" x14ac:dyDescent="0.15">
      <c r="A46" s="228">
        <v>250</v>
      </c>
      <c r="B46" s="236">
        <f>F26</f>
        <v>8.09</v>
      </c>
      <c r="C46" s="236">
        <f>B48-B46</f>
        <v>0.21000000000000085</v>
      </c>
      <c r="D46" s="236">
        <f>C46/2</f>
        <v>0.10500000000000043</v>
      </c>
    </row>
    <row r="47" spans="1:4" x14ac:dyDescent="0.15">
      <c r="A47" s="228">
        <v>255</v>
      </c>
      <c r="B47" s="235">
        <f>B46+D47</f>
        <v>8.1999999999999993</v>
      </c>
      <c r="D47">
        <v>0.11</v>
      </c>
    </row>
    <row r="48" spans="1:4" x14ac:dyDescent="0.15">
      <c r="A48" s="228">
        <v>260</v>
      </c>
      <c r="B48" s="236">
        <f>F27</f>
        <v>8.3000000000000007</v>
      </c>
      <c r="C48" s="236">
        <f>B50-B48</f>
        <v>0.20999999999999908</v>
      </c>
      <c r="D48" s="236">
        <f>C48/2</f>
        <v>0.10499999999999954</v>
      </c>
    </row>
    <row r="49" spans="1:6" x14ac:dyDescent="0.15">
      <c r="A49" s="228">
        <v>265</v>
      </c>
      <c r="B49" s="235">
        <f>B48+D49</f>
        <v>8.41</v>
      </c>
      <c r="D49">
        <v>0.11</v>
      </c>
    </row>
    <row r="50" spans="1:6" x14ac:dyDescent="0.15">
      <c r="A50" s="228">
        <v>270</v>
      </c>
      <c r="B50" s="236">
        <f>F28</f>
        <v>8.51</v>
      </c>
      <c r="C50" s="236">
        <f>B56-B50</f>
        <v>0.21000000000000085</v>
      </c>
      <c r="D50" s="238">
        <f>C50/6</f>
        <v>3.5000000000000142E-2</v>
      </c>
    </row>
    <row r="51" spans="1:6" x14ac:dyDescent="0.15">
      <c r="A51" s="228">
        <v>275</v>
      </c>
      <c r="B51" s="235">
        <f>B50+D51</f>
        <v>8.58</v>
      </c>
      <c r="D51">
        <v>7.0000000000000007E-2</v>
      </c>
    </row>
    <row r="52" spans="1:6" x14ac:dyDescent="0.15">
      <c r="A52" s="228">
        <v>280</v>
      </c>
      <c r="B52" s="235">
        <f>B51+D52</f>
        <v>8.6300000000000008</v>
      </c>
      <c r="D52">
        <v>0.05</v>
      </c>
    </row>
    <row r="53" spans="1:6" x14ac:dyDescent="0.15">
      <c r="A53" s="228">
        <v>285</v>
      </c>
      <c r="B53" s="235">
        <f>B52+D53</f>
        <v>8.67</v>
      </c>
      <c r="D53">
        <v>0.04</v>
      </c>
    </row>
    <row r="54" spans="1:6" x14ac:dyDescent="0.15">
      <c r="A54" s="228">
        <v>290</v>
      </c>
      <c r="B54" s="235">
        <f>B53+D54</f>
        <v>8.6999999999999993</v>
      </c>
      <c r="D54">
        <v>0.03</v>
      </c>
    </row>
    <row r="55" spans="1:6" x14ac:dyDescent="0.15">
      <c r="A55" s="228">
        <v>295</v>
      </c>
      <c r="B55" s="235">
        <f>B54+D55</f>
        <v>8.7199999999999989</v>
      </c>
      <c r="D55">
        <v>0.02</v>
      </c>
    </row>
    <row r="56" spans="1:6" x14ac:dyDescent="0.15">
      <c r="A56" s="228">
        <v>300</v>
      </c>
      <c r="B56" s="236">
        <f>F29</f>
        <v>8.7200000000000006</v>
      </c>
      <c r="C56" s="236">
        <f>B60-B56</f>
        <v>0.20999999999999908</v>
      </c>
      <c r="D56" s="236">
        <f>C56/4</f>
        <v>5.2499999999999769E-2</v>
      </c>
    </row>
    <row r="57" spans="1:6" x14ac:dyDescent="0.15">
      <c r="A57" s="228">
        <v>315</v>
      </c>
      <c r="B57" s="235">
        <f>B56+D57</f>
        <v>8.8000000000000007</v>
      </c>
      <c r="D57">
        <v>0.08</v>
      </c>
    </row>
    <row r="58" spans="1:6" x14ac:dyDescent="0.15">
      <c r="A58" s="228">
        <v>330</v>
      </c>
      <c r="B58" s="235">
        <f>B57+D58</f>
        <v>8.8600000000000012</v>
      </c>
      <c r="D58">
        <v>0.06</v>
      </c>
    </row>
    <row r="59" spans="1:6" x14ac:dyDescent="0.15">
      <c r="A59" s="228">
        <v>345</v>
      </c>
      <c r="B59" s="235">
        <f>B58+D59</f>
        <v>8.9100000000000019</v>
      </c>
      <c r="D59">
        <v>0.05</v>
      </c>
    </row>
    <row r="60" spans="1:6" x14ac:dyDescent="0.15">
      <c r="A60" s="230">
        <v>360</v>
      </c>
      <c r="B60" s="236">
        <f>F30</f>
        <v>8.93</v>
      </c>
      <c r="C60" s="236">
        <f>B66-B60</f>
        <v>1.3100000000000005</v>
      </c>
      <c r="D60" s="237">
        <f>C60/10</f>
        <v>0.13100000000000006</v>
      </c>
    </row>
    <row r="61" spans="1:6" x14ac:dyDescent="0.15">
      <c r="A61" s="228">
        <v>361</v>
      </c>
      <c r="B61" s="235">
        <f>B60+D61</f>
        <v>9.1199999999999992</v>
      </c>
      <c r="D61">
        <v>0.19</v>
      </c>
    </row>
    <row r="62" spans="1:6" x14ac:dyDescent="0.15">
      <c r="A62" s="228">
        <v>362</v>
      </c>
      <c r="B62" s="235">
        <f>B61+D62</f>
        <v>9.2899999999999991</v>
      </c>
      <c r="D62">
        <v>0.17</v>
      </c>
    </row>
    <row r="63" spans="1:6" x14ac:dyDescent="0.15">
      <c r="A63" s="228">
        <v>363</v>
      </c>
      <c r="B63" s="235">
        <f>B62+D63</f>
        <v>9.4499999999999993</v>
      </c>
      <c r="D63">
        <v>0.16</v>
      </c>
      <c r="E63">
        <v>370</v>
      </c>
      <c r="F63">
        <f>단계양수시험!G42</f>
        <v>10.24</v>
      </c>
    </row>
    <row r="64" spans="1:6" x14ac:dyDescent="0.15">
      <c r="A64" s="228">
        <v>364</v>
      </c>
      <c r="B64" s="235">
        <f>B63+D64</f>
        <v>9.6</v>
      </c>
      <c r="D64">
        <v>0.15</v>
      </c>
      <c r="E64">
        <v>380</v>
      </c>
      <c r="F64">
        <f>단계양수시험!G43</f>
        <v>10.46</v>
      </c>
    </row>
    <row r="65" spans="1:6" x14ac:dyDescent="0.15">
      <c r="A65" s="228">
        <v>365</v>
      </c>
      <c r="B65" s="235">
        <f>B64+D65</f>
        <v>9.74</v>
      </c>
      <c r="D65">
        <v>0.14000000000000001</v>
      </c>
      <c r="E65">
        <v>390</v>
      </c>
      <c r="F65">
        <f>단계양수시험!G44</f>
        <v>10.68</v>
      </c>
    </row>
    <row r="66" spans="1:6" x14ac:dyDescent="0.15">
      <c r="A66" s="228">
        <v>370</v>
      </c>
      <c r="B66" s="236">
        <f>F63</f>
        <v>10.24</v>
      </c>
      <c r="C66" s="239">
        <f>B68-B66</f>
        <v>0.22000000000000064</v>
      </c>
      <c r="D66" s="236">
        <f>C66/2</f>
        <v>0.11000000000000032</v>
      </c>
      <c r="E66">
        <v>420</v>
      </c>
      <c r="F66">
        <f>단계양수시험!G45</f>
        <v>10.9</v>
      </c>
    </row>
    <row r="67" spans="1:6" x14ac:dyDescent="0.15">
      <c r="A67" s="228">
        <v>375</v>
      </c>
      <c r="B67" s="235">
        <f>B66+D67</f>
        <v>10.36</v>
      </c>
      <c r="D67">
        <v>0.12</v>
      </c>
      <c r="E67">
        <v>480</v>
      </c>
      <c r="F67">
        <f>단계양수시험!G46</f>
        <v>11.12</v>
      </c>
    </row>
    <row r="68" spans="1:6" x14ac:dyDescent="0.15">
      <c r="A68" s="228">
        <v>380</v>
      </c>
      <c r="B68" s="240">
        <f>F64</f>
        <v>10.46</v>
      </c>
      <c r="C68" s="236">
        <f>B70-B68</f>
        <v>0.21999999999999886</v>
      </c>
      <c r="D68" s="236">
        <f>C68/2</f>
        <v>0.10999999999999943</v>
      </c>
      <c r="E68">
        <v>490</v>
      </c>
      <c r="F68">
        <f>단계양수시험!G47</f>
        <v>12.45</v>
      </c>
    </row>
    <row r="69" spans="1:6" x14ac:dyDescent="0.15">
      <c r="A69" s="228">
        <v>385</v>
      </c>
      <c r="B69" s="235">
        <f>B68+D69</f>
        <v>10.58</v>
      </c>
      <c r="D69">
        <v>0.12</v>
      </c>
      <c r="E69">
        <v>500</v>
      </c>
      <c r="F69">
        <f>단계양수시험!G48</f>
        <v>12.95</v>
      </c>
    </row>
    <row r="70" spans="1:6" x14ac:dyDescent="0.15">
      <c r="A70" s="228">
        <v>390</v>
      </c>
      <c r="B70" s="240">
        <f>F65</f>
        <v>10.68</v>
      </c>
      <c r="C70" s="236">
        <f>B76-B70</f>
        <v>0.22000000000000064</v>
      </c>
      <c r="D70" s="238">
        <f>C70/6</f>
        <v>3.6666666666666771E-2</v>
      </c>
      <c r="E70">
        <v>510</v>
      </c>
      <c r="F70">
        <f>단계양수시험!G49</f>
        <v>13.45</v>
      </c>
    </row>
    <row r="71" spans="1:6" x14ac:dyDescent="0.15">
      <c r="A71" s="228">
        <v>395</v>
      </c>
      <c r="B71" s="235">
        <f>B70+D71</f>
        <v>10.75</v>
      </c>
      <c r="D71">
        <v>7.0000000000000007E-2</v>
      </c>
      <c r="E71">
        <v>540</v>
      </c>
      <c r="F71">
        <f>단계양수시험!G50</f>
        <v>13.95</v>
      </c>
    </row>
    <row r="72" spans="1:6" x14ac:dyDescent="0.15">
      <c r="A72" s="228">
        <v>400</v>
      </c>
      <c r="B72" s="235">
        <f>B71+D72</f>
        <v>10.8</v>
      </c>
      <c r="D72">
        <v>0.05</v>
      </c>
      <c r="E72">
        <v>600</v>
      </c>
      <c r="F72">
        <f>단계양수시험!G51</f>
        <v>14.45</v>
      </c>
    </row>
    <row r="73" spans="1:6" x14ac:dyDescent="0.15">
      <c r="A73" s="228">
        <v>405</v>
      </c>
      <c r="B73" s="235">
        <f>B72+D73</f>
        <v>10.84</v>
      </c>
      <c r="D73">
        <v>0.04</v>
      </c>
    </row>
    <row r="74" spans="1:6" x14ac:dyDescent="0.15">
      <c r="A74" s="228">
        <v>410</v>
      </c>
      <c r="B74" s="235">
        <f>B73+D74</f>
        <v>10.87</v>
      </c>
      <c r="D74">
        <v>0.03</v>
      </c>
    </row>
    <row r="75" spans="1:6" x14ac:dyDescent="0.15">
      <c r="A75" s="228">
        <v>415</v>
      </c>
      <c r="B75" s="235">
        <f>B74+D75</f>
        <v>10.899999999999999</v>
      </c>
      <c r="D75">
        <v>0.03</v>
      </c>
    </row>
    <row r="76" spans="1:6" x14ac:dyDescent="0.15">
      <c r="A76" s="228">
        <v>420</v>
      </c>
      <c r="B76" s="240">
        <f>F66</f>
        <v>10.9</v>
      </c>
      <c r="C76" s="236">
        <f>B80-B76</f>
        <v>0.21999999999999886</v>
      </c>
      <c r="D76" s="236">
        <f>C76/4</f>
        <v>5.4999999999999716E-2</v>
      </c>
    </row>
    <row r="77" spans="1:6" x14ac:dyDescent="0.15">
      <c r="A77" s="228">
        <v>435</v>
      </c>
      <c r="B77" s="235">
        <f>B76+D77</f>
        <v>10.99</v>
      </c>
      <c r="D77">
        <v>0.09</v>
      </c>
    </row>
    <row r="78" spans="1:6" x14ac:dyDescent="0.15">
      <c r="A78" s="228">
        <v>450</v>
      </c>
      <c r="B78" s="235">
        <f>B77+D78</f>
        <v>11.06</v>
      </c>
      <c r="D78">
        <v>7.0000000000000007E-2</v>
      </c>
    </row>
    <row r="79" spans="1:6" x14ac:dyDescent="0.15">
      <c r="A79" s="228">
        <v>465</v>
      </c>
      <c r="B79" s="235">
        <f>B78+D79</f>
        <v>11.110000000000001</v>
      </c>
      <c r="D79">
        <v>0.05</v>
      </c>
    </row>
    <row r="80" spans="1:6" x14ac:dyDescent="0.15">
      <c r="A80" s="230">
        <v>480</v>
      </c>
      <c r="B80" s="240">
        <f>F67</f>
        <v>11.12</v>
      </c>
      <c r="C80" s="236">
        <f>B86-B80</f>
        <v>1.33</v>
      </c>
      <c r="D80" s="237">
        <f>C80/10</f>
        <v>0.13300000000000001</v>
      </c>
    </row>
    <row r="81" spans="1:4" x14ac:dyDescent="0.15">
      <c r="A81" s="228">
        <v>481</v>
      </c>
      <c r="B81" s="235">
        <f>B80+D81</f>
        <v>11.33</v>
      </c>
      <c r="D81">
        <v>0.21</v>
      </c>
    </row>
    <row r="82" spans="1:4" x14ac:dyDescent="0.15">
      <c r="A82" s="228">
        <v>482</v>
      </c>
      <c r="B82" s="235">
        <f>B81+D82</f>
        <v>11.52</v>
      </c>
      <c r="D82">
        <v>0.19</v>
      </c>
    </row>
    <row r="83" spans="1:4" x14ac:dyDescent="0.15">
      <c r="A83" s="228">
        <v>483</v>
      </c>
      <c r="B83" s="235">
        <f>B82+D83</f>
        <v>11.69</v>
      </c>
      <c r="D83">
        <v>0.17</v>
      </c>
    </row>
    <row r="84" spans="1:4" x14ac:dyDescent="0.15">
      <c r="A84" s="228">
        <v>484</v>
      </c>
      <c r="B84" s="235">
        <f>B83+D84</f>
        <v>11.85</v>
      </c>
      <c r="D84">
        <v>0.16</v>
      </c>
    </row>
    <row r="85" spans="1:4" x14ac:dyDescent="0.15">
      <c r="A85" s="228">
        <v>485</v>
      </c>
      <c r="B85" s="235">
        <f>B84+D85</f>
        <v>11.99</v>
      </c>
      <c r="D85">
        <v>0.14000000000000001</v>
      </c>
    </row>
    <row r="86" spans="1:4" x14ac:dyDescent="0.15">
      <c r="A86" s="228">
        <v>490</v>
      </c>
      <c r="B86" s="240">
        <f>F68</f>
        <v>12.45</v>
      </c>
      <c r="C86" s="236">
        <f>B88-B86</f>
        <v>0.5</v>
      </c>
      <c r="D86" s="236">
        <f>C86/2</f>
        <v>0.25</v>
      </c>
    </row>
    <row r="87" spans="1:4" x14ac:dyDescent="0.15">
      <c r="A87" s="228">
        <v>495</v>
      </c>
      <c r="B87" s="235">
        <f>B86+D87</f>
        <v>12.76</v>
      </c>
      <c r="D87">
        <v>0.31</v>
      </c>
    </row>
    <row r="88" spans="1:4" x14ac:dyDescent="0.15">
      <c r="A88" s="228">
        <v>500</v>
      </c>
      <c r="B88" s="240">
        <f>F69</f>
        <v>12.95</v>
      </c>
      <c r="C88" s="236">
        <f>B90-B88</f>
        <v>0.5</v>
      </c>
      <c r="D88" s="236">
        <f>C88/2</f>
        <v>0.25</v>
      </c>
    </row>
    <row r="89" spans="1:4" x14ac:dyDescent="0.15">
      <c r="A89" s="228">
        <v>505</v>
      </c>
      <c r="B89" s="235">
        <f>B88+D89</f>
        <v>13.25</v>
      </c>
      <c r="D89">
        <v>0.3</v>
      </c>
    </row>
    <row r="90" spans="1:4" x14ac:dyDescent="0.15">
      <c r="A90" s="228">
        <v>510</v>
      </c>
      <c r="B90" s="240">
        <f>F70</f>
        <v>13.45</v>
      </c>
      <c r="C90" s="236">
        <f>B96-B90</f>
        <v>0.5</v>
      </c>
      <c r="D90" s="238">
        <f>C90/6</f>
        <v>8.3333333333333329E-2</v>
      </c>
    </row>
    <row r="91" spans="1:4" x14ac:dyDescent="0.15">
      <c r="A91" s="228">
        <v>515</v>
      </c>
      <c r="B91" s="235">
        <f>B90+D91</f>
        <v>13.6</v>
      </c>
      <c r="D91">
        <v>0.15</v>
      </c>
    </row>
    <row r="92" spans="1:4" x14ac:dyDescent="0.15">
      <c r="A92" s="228">
        <v>520</v>
      </c>
      <c r="B92" s="235">
        <f>B91+D92</f>
        <v>13.73</v>
      </c>
      <c r="D92">
        <v>0.13</v>
      </c>
    </row>
    <row r="93" spans="1:4" x14ac:dyDescent="0.15">
      <c r="A93" s="228">
        <v>525</v>
      </c>
      <c r="B93" s="235">
        <f>B92+D93</f>
        <v>13.84</v>
      </c>
      <c r="D93">
        <v>0.11</v>
      </c>
    </row>
    <row r="94" spans="1:4" x14ac:dyDescent="0.15">
      <c r="A94" s="228">
        <v>530</v>
      </c>
      <c r="B94" s="235">
        <f>B93+D94</f>
        <v>13.92</v>
      </c>
      <c r="D94">
        <v>0.08</v>
      </c>
    </row>
    <row r="95" spans="1:4" x14ac:dyDescent="0.15">
      <c r="A95" s="228">
        <v>535</v>
      </c>
      <c r="B95" s="235">
        <f>B94+D95</f>
        <v>13.99</v>
      </c>
      <c r="D95">
        <v>7.0000000000000007E-2</v>
      </c>
    </row>
    <row r="96" spans="1:4" x14ac:dyDescent="0.15">
      <c r="A96" s="228">
        <v>540</v>
      </c>
      <c r="B96" s="240">
        <f>F71</f>
        <v>13.95</v>
      </c>
      <c r="C96" s="236">
        <f>B100-B96</f>
        <v>0.5</v>
      </c>
      <c r="D96" s="236">
        <f>C96/4</f>
        <v>0.125</v>
      </c>
    </row>
    <row r="97" spans="1:4" x14ac:dyDescent="0.15">
      <c r="A97" s="228">
        <v>555</v>
      </c>
      <c r="B97" s="235">
        <f>B96+D97</f>
        <v>14.139999999999999</v>
      </c>
      <c r="D97">
        <v>0.19</v>
      </c>
    </row>
    <row r="98" spans="1:4" x14ac:dyDescent="0.15">
      <c r="A98" s="228">
        <v>570</v>
      </c>
      <c r="B98" s="235">
        <f>B97+D98</f>
        <v>14.299999999999999</v>
      </c>
      <c r="D98">
        <v>0.16</v>
      </c>
    </row>
    <row r="99" spans="1:4" x14ac:dyDescent="0.15">
      <c r="A99" s="228">
        <v>585</v>
      </c>
      <c r="B99" s="235">
        <f>B98+D99</f>
        <v>14.44</v>
      </c>
      <c r="D99">
        <v>0.14000000000000001</v>
      </c>
    </row>
    <row r="100" spans="1:4" x14ac:dyDescent="0.15">
      <c r="A100" s="230">
        <v>600</v>
      </c>
      <c r="B100" s="203">
        <f>F72</f>
        <v>14.45</v>
      </c>
    </row>
  </sheetData>
  <phoneticPr fontId="6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zoomScaleNormal="100" workbookViewId="0"/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1">
        <f>SUM(E3:E6)</f>
        <v>15.654166666666665</v>
      </c>
      <c r="F1" s="231"/>
      <c r="G1" s="231">
        <f>E1/E2</f>
        <v>0.85386363636363638</v>
      </c>
    </row>
    <row r="2" spans="1:19" x14ac:dyDescent="0.15">
      <c r="A2" s="47" t="s">
        <v>186</v>
      </c>
      <c r="B2" s="47" t="s">
        <v>187</v>
      </c>
      <c r="D2" s="20">
        <f>D19</f>
        <v>29</v>
      </c>
      <c r="E2" s="231">
        <f>M51/3</f>
        <v>18.333333333333332</v>
      </c>
      <c r="F2" s="274" t="s">
        <v>189</v>
      </c>
      <c r="G2" s="273" t="s">
        <v>220</v>
      </c>
    </row>
    <row r="3" spans="1:19" x14ac:dyDescent="0.15">
      <c r="A3" s="179">
        <f>B3+$M$48</f>
        <v>18.72</v>
      </c>
      <c r="B3" s="276">
        <f>B20</f>
        <v>5.12</v>
      </c>
      <c r="C3" s="19"/>
      <c r="D3" s="275">
        <f t="shared" ref="D3:D7" si="0">D20</f>
        <v>33</v>
      </c>
      <c r="E3" s="17">
        <f>D3/12</f>
        <v>2.75</v>
      </c>
      <c r="F3" s="21">
        <f>INT(B3/D3*1000)/1000</f>
        <v>0.155</v>
      </c>
      <c r="G3" s="21">
        <f>1/F3</f>
        <v>6.4516129032258069</v>
      </c>
    </row>
    <row r="4" spans="1:19" x14ac:dyDescent="0.15">
      <c r="A4" s="179">
        <f>B4+$M$48</f>
        <v>20.43</v>
      </c>
      <c r="B4" s="19">
        <f>B21</f>
        <v>6.83</v>
      </c>
      <c r="C4" s="19"/>
      <c r="D4" s="20">
        <f t="shared" si="0"/>
        <v>42</v>
      </c>
      <c r="E4" s="17">
        <f>D4/12</f>
        <v>3.5</v>
      </c>
      <c r="F4" s="21">
        <f>INT(B4/D4*1000)/1000</f>
        <v>0.16200000000000001</v>
      </c>
      <c r="G4" s="21">
        <f t="shared" ref="G4:G7" si="1">1/F4</f>
        <v>6.1728395061728394</v>
      </c>
    </row>
    <row r="5" spans="1:19" x14ac:dyDescent="0.15">
      <c r="A5" s="179">
        <f>B5+$M$48</f>
        <v>22.53</v>
      </c>
      <c r="B5" s="19">
        <f>B22</f>
        <v>8.93</v>
      </c>
      <c r="C5" s="19"/>
      <c r="D5" s="20">
        <f t="shared" si="0"/>
        <v>51.85</v>
      </c>
      <c r="E5" s="17">
        <f>D5/12</f>
        <v>4.3208333333333337</v>
      </c>
      <c r="F5" s="21">
        <f>INT(B5/D5*1000)/1000</f>
        <v>0.17199999999999999</v>
      </c>
      <c r="G5" s="21">
        <f t="shared" si="1"/>
        <v>5.8139534883720936</v>
      </c>
    </row>
    <row r="6" spans="1:19" x14ac:dyDescent="0.15">
      <c r="A6" s="179">
        <f>B6+$M$48</f>
        <v>24.72</v>
      </c>
      <c r="B6" s="276">
        <f>B23</f>
        <v>11.12</v>
      </c>
      <c r="C6" s="19"/>
      <c r="D6" s="17">
        <f t="shared" si="0"/>
        <v>61</v>
      </c>
      <c r="E6" s="17">
        <f>D6/12</f>
        <v>5.083333333333333</v>
      </c>
      <c r="F6" s="21">
        <f>INT(B6/D6*1000)/1000</f>
        <v>0.182</v>
      </c>
      <c r="G6" s="21">
        <f t="shared" si="1"/>
        <v>5.4945054945054945</v>
      </c>
    </row>
    <row r="7" spans="1:19" x14ac:dyDescent="0.15">
      <c r="A7" s="179">
        <f>B7+$M$48</f>
        <v>28.049999999999997</v>
      </c>
      <c r="B7" s="19">
        <f>B24</f>
        <v>14.45</v>
      </c>
      <c r="C7" s="19"/>
      <c r="D7" s="20">
        <f t="shared" si="0"/>
        <v>70.149999999999991</v>
      </c>
      <c r="E7" s="17">
        <f>D7/12</f>
        <v>5.8458333333333323</v>
      </c>
      <c r="F7" s="21">
        <f>INT(B7/D7*1000)/1000</f>
        <v>0.20499999999999999</v>
      </c>
      <c r="G7" s="21">
        <f t="shared" si="1"/>
        <v>4.8780487804878048</v>
      </c>
    </row>
    <row r="8" spans="1:19" x14ac:dyDescent="0.15">
      <c r="B8" s="17" t="s">
        <v>0</v>
      </c>
      <c r="E8" s="523" t="s">
        <v>124</v>
      </c>
      <c r="F8" s="523"/>
      <c r="G8" s="523"/>
    </row>
    <row r="9" spans="1:19" x14ac:dyDescent="0.15">
      <c r="A9" s="272" t="s">
        <v>194</v>
      </c>
      <c r="B9" s="272" t="s">
        <v>195</v>
      </c>
      <c r="E9" s="86">
        <v>0.96</v>
      </c>
      <c r="F9" s="524" t="s">
        <v>114</v>
      </c>
      <c r="G9" s="524"/>
    </row>
    <row r="10" spans="1:19" x14ac:dyDescent="0.15">
      <c r="A10" s="271">
        <f>D20/B20</f>
        <v>6.4453125</v>
      </c>
      <c r="B10" s="271">
        <f>B20/D20</f>
        <v>0.15515151515151515</v>
      </c>
      <c r="E10" s="86">
        <v>0.96</v>
      </c>
      <c r="F10" s="524" t="s">
        <v>115</v>
      </c>
      <c r="G10" s="524"/>
    </row>
    <row r="11" spans="1:19" x14ac:dyDescent="0.15">
      <c r="A11" s="271">
        <f t="shared" ref="A11:A14" si="2">D21/B21</f>
        <v>6.1493411420204973</v>
      </c>
      <c r="B11" s="271">
        <f t="shared" ref="B11:B14" si="3">B21/D21</f>
        <v>0.16261904761904761</v>
      </c>
      <c r="D11" s="17" t="s">
        <v>0</v>
      </c>
      <c r="E11" s="86">
        <v>0.98</v>
      </c>
      <c r="F11" s="524" t="s">
        <v>116</v>
      </c>
      <c r="G11" s="524"/>
    </row>
    <row r="12" spans="1:19" x14ac:dyDescent="0.15">
      <c r="A12" s="271">
        <f t="shared" si="2"/>
        <v>5.8062709966405377</v>
      </c>
      <c r="B12" s="271">
        <f t="shared" si="3"/>
        <v>0.17222757955641271</v>
      </c>
      <c r="E12" s="86">
        <v>1</v>
      </c>
      <c r="F12" s="524" t="s">
        <v>117</v>
      </c>
      <c r="G12" s="524"/>
    </row>
    <row r="13" spans="1:19" x14ac:dyDescent="0.15">
      <c r="A13" s="271">
        <f t="shared" si="2"/>
        <v>5.485611510791367</v>
      </c>
      <c r="B13" s="271">
        <f t="shared" si="3"/>
        <v>0.18229508196721311</v>
      </c>
      <c r="D13" s="17" t="s">
        <v>0</v>
      </c>
      <c r="E13" s="523" t="s">
        <v>123</v>
      </c>
      <c r="F13" s="523"/>
      <c r="G13" s="523"/>
    </row>
    <row r="14" spans="1:19" x14ac:dyDescent="0.15">
      <c r="A14" s="271">
        <f t="shared" si="2"/>
        <v>4.8546712802768166</v>
      </c>
      <c r="B14" s="271">
        <f t="shared" si="3"/>
        <v>0.20598717034925162</v>
      </c>
      <c r="E14" s="87">
        <v>1</v>
      </c>
      <c r="F14" s="524" t="s">
        <v>114</v>
      </c>
      <c r="G14" s="524"/>
    </row>
    <row r="15" spans="1:19" x14ac:dyDescent="0.15">
      <c r="E15" s="87">
        <v>1</v>
      </c>
      <c r="F15" s="524" t="s">
        <v>115</v>
      </c>
      <c r="G15" s="524"/>
    </row>
    <row r="16" spans="1:19" x14ac:dyDescent="0.15">
      <c r="B16" s="38" t="s">
        <v>121</v>
      </c>
      <c r="D16" s="77" t="s">
        <v>122</v>
      </c>
      <c r="E16" s="87">
        <v>1</v>
      </c>
      <c r="F16" s="524" t="s">
        <v>116</v>
      </c>
      <c r="G16" s="524"/>
      <c r="R16" s="18">
        <v>0.128</v>
      </c>
      <c r="S16" s="18">
        <f>ROUNDDOWN(R16,1)</f>
        <v>0.1</v>
      </c>
    </row>
    <row r="17" spans="1:21" x14ac:dyDescent="0.15">
      <c r="B17" s="82">
        <f>M52</f>
        <v>11.12</v>
      </c>
      <c r="D17" s="85">
        <f>M47</f>
        <v>61</v>
      </c>
      <c r="E17" s="87">
        <v>1</v>
      </c>
      <c r="F17" s="524" t="s">
        <v>117</v>
      </c>
      <c r="G17" s="524"/>
      <c r="P17" s="327"/>
      <c r="Q17" s="326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27"/>
    </row>
    <row r="19" spans="1:21" x14ac:dyDescent="0.15">
      <c r="B19" s="83"/>
      <c r="C19" s="19"/>
      <c r="D19" s="81">
        <f>INT(D20*0.9)</f>
        <v>29</v>
      </c>
      <c r="F19" s="19"/>
      <c r="G19" s="19"/>
    </row>
    <row r="20" spans="1:21" x14ac:dyDescent="0.15">
      <c r="A20" s="252" t="s">
        <v>188</v>
      </c>
      <c r="B20" s="376">
        <f>INT(B$17*C20*100)/100</f>
        <v>5.12</v>
      </c>
      <c r="C20" s="17">
        <f>0.48*E9</f>
        <v>0.46079999999999999</v>
      </c>
      <c r="D20" s="377">
        <f>INT(D$17*E20)</f>
        <v>33</v>
      </c>
      <c r="E20" s="375">
        <f>0.55*E14</f>
        <v>0.55000000000000004</v>
      </c>
      <c r="F20" s="21">
        <f>B20/D20</f>
        <v>0.15515151515151515</v>
      </c>
      <c r="G20" s="17">
        <f>F20-F19</f>
        <v>0.15515151515151515</v>
      </c>
    </row>
    <row r="21" spans="1:21" x14ac:dyDescent="0.15">
      <c r="A21" s="19">
        <f>B21-B20</f>
        <v>1.71</v>
      </c>
      <c r="B21" s="376">
        <f>INT(B$17*C21*100)/100</f>
        <v>6.83</v>
      </c>
      <c r="C21" s="17">
        <f>0.64*E10</f>
        <v>0.61439999999999995</v>
      </c>
      <c r="D21" s="377">
        <f>INT(D$17*E21)</f>
        <v>42</v>
      </c>
      <c r="E21" s="375">
        <f>0.7*E15</f>
        <v>0.7</v>
      </c>
      <c r="F21" s="21">
        <f>B21/D21</f>
        <v>0.16261904761904761</v>
      </c>
      <c r="G21" s="17">
        <f>F21-F20</f>
        <v>7.4675324675324561E-3</v>
      </c>
      <c r="N21" s="108" t="s">
        <v>135</v>
      </c>
      <c r="O21" s="498" t="s">
        <v>126</v>
      </c>
      <c r="P21" s="498"/>
      <c r="Q21" s="498" t="s">
        <v>129</v>
      </c>
      <c r="R21" s="498"/>
      <c r="S21" s="498" t="s">
        <v>131</v>
      </c>
      <c r="T21" s="498"/>
      <c r="U21" s="94" t="s">
        <v>132</v>
      </c>
    </row>
    <row r="22" spans="1:21" x14ac:dyDescent="0.15">
      <c r="A22" s="19">
        <f>B22-B21</f>
        <v>2.0999999999999996</v>
      </c>
      <c r="B22" s="376">
        <f>INT(B$17*C22*100)/100</f>
        <v>8.93</v>
      </c>
      <c r="C22" s="17">
        <f>0.82*E11</f>
        <v>0.80359999999999998</v>
      </c>
      <c r="D22" s="378">
        <f>(D$17*E22)</f>
        <v>51.85</v>
      </c>
      <c r="E22" s="375">
        <f>0.85*E16</f>
        <v>0.85</v>
      </c>
      <c r="F22" s="21">
        <f>B22/D22</f>
        <v>0.17222757955641271</v>
      </c>
      <c r="G22" s="17">
        <f>F22-F21</f>
        <v>9.6085319373651057E-3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 x14ac:dyDescent="0.15">
      <c r="A23" s="19">
        <f>B23-B22</f>
        <v>2.1899999999999995</v>
      </c>
      <c r="B23" s="376">
        <f>INT(B$17*C23*100)/100</f>
        <v>11.12</v>
      </c>
      <c r="C23" s="17">
        <v>1</v>
      </c>
      <c r="D23" s="377">
        <f>D$17*E23</f>
        <v>61</v>
      </c>
      <c r="E23" s="375">
        <v>1</v>
      </c>
      <c r="F23" s="21">
        <f>B23/D23</f>
        <v>0.18229508196721311</v>
      </c>
      <c r="G23" s="17">
        <f>F23-F22</f>
        <v>1.00675024108004E-2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 x14ac:dyDescent="0.15">
      <c r="A24" s="19">
        <f>B24-B23</f>
        <v>3.33</v>
      </c>
      <c r="B24" s="376">
        <f>INT(B$17*C24*100)/100</f>
        <v>14.45</v>
      </c>
      <c r="C24" s="17">
        <f>1.3*E12</f>
        <v>1.3</v>
      </c>
      <c r="D24" s="377">
        <f>D$17*E24</f>
        <v>70.149999999999991</v>
      </c>
      <c r="E24" s="375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 x14ac:dyDescent="0.15">
      <c r="D25" s="84"/>
      <c r="F25" s="21">
        <f>B24/D24</f>
        <v>0.20598717034925162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 x14ac:dyDescent="0.15">
      <c r="A26" s="496" t="s">
        <v>118</v>
      </c>
      <c r="B26" s="496"/>
      <c r="C26" s="79">
        <f>INT(M51*1)</f>
        <v>55</v>
      </c>
      <c r="F26" s="178">
        <f>M50/M51</f>
        <v>0.22727272727272729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 x14ac:dyDescent="0.15">
      <c r="A27" s="496" t="s">
        <v>119</v>
      </c>
      <c r="B27" s="496"/>
      <c r="C27" s="80">
        <f>가채수량!B7</f>
        <v>55.343993125483131</v>
      </c>
      <c r="D27" s="19">
        <f>(C27/D6)*100</f>
        <v>90.727857582759228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 x14ac:dyDescent="0.15">
      <c r="N28" s="95">
        <v>6</v>
      </c>
      <c r="O28" s="98"/>
      <c r="P28" s="96"/>
      <c r="Q28" s="98"/>
      <c r="R28" s="96"/>
      <c r="S28" s="98"/>
      <c r="T28" s="96"/>
      <c r="U28" s="99"/>
    </row>
    <row r="29" spans="1:21" x14ac:dyDescent="0.15">
      <c r="N29" s="95">
        <v>7</v>
      </c>
      <c r="O29" s="98"/>
      <c r="P29" s="96"/>
      <c r="Q29" s="98"/>
      <c r="R29" s="96"/>
      <c r="S29" s="98"/>
      <c r="T29" s="96"/>
      <c r="U29" s="99"/>
    </row>
    <row r="30" spans="1:21" x14ac:dyDescent="0.15">
      <c r="A30" s="22" t="s">
        <v>1</v>
      </c>
      <c r="B30" s="22" t="s">
        <v>2</v>
      </c>
      <c r="C30" s="22"/>
      <c r="E30" s="23">
        <f>ROUNDUP(F32,-1)</f>
        <v>80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 x14ac:dyDescent="0.15">
      <c r="A31" s="32">
        <v>9.703E-4</v>
      </c>
      <c r="B31" s="32">
        <v>0.122506</v>
      </c>
      <c r="D31" s="20">
        <f t="shared" ref="D31:D36" si="4">D19</f>
        <v>29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 x14ac:dyDescent="0.15">
      <c r="A32" s="17">
        <f t="shared" ref="A32:B34" si="5">A31</f>
        <v>9.703E-4</v>
      </c>
      <c r="B32" s="17">
        <f t="shared" si="5"/>
        <v>0.122506</v>
      </c>
      <c r="D32" s="20">
        <f t="shared" si="4"/>
        <v>33</v>
      </c>
      <c r="F32" s="23">
        <f>B32*D32/(B32*D32+A32*D32*D32)*100</f>
        <v>79.278619312361229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 x14ac:dyDescent="0.15">
      <c r="A33" s="17">
        <f t="shared" si="5"/>
        <v>9.703E-4</v>
      </c>
      <c r="B33" s="17">
        <f t="shared" si="5"/>
        <v>0.122506</v>
      </c>
      <c r="D33" s="20">
        <f t="shared" si="4"/>
        <v>42</v>
      </c>
      <c r="F33" s="23">
        <f>B33*D33/(B33*D33+A33*D33*D33)*100</f>
        <v>75.038007186145165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 x14ac:dyDescent="0.15">
      <c r="A34" s="17">
        <f t="shared" si="5"/>
        <v>9.703E-4</v>
      </c>
      <c r="B34" s="17">
        <f t="shared" si="5"/>
        <v>0.122506</v>
      </c>
      <c r="D34" s="20">
        <f t="shared" si="4"/>
        <v>51.85</v>
      </c>
      <c r="F34" s="23">
        <f>B34*D34/(B34*D34+A34*D34*D34)*100</f>
        <v>70.888089651161181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 x14ac:dyDescent="0.15">
      <c r="A35" s="17">
        <f>A34</f>
        <v>9.703E-4</v>
      </c>
      <c r="B35" s="17">
        <f>B34</f>
        <v>0.122506</v>
      </c>
      <c r="D35" s="20">
        <f t="shared" si="4"/>
        <v>61</v>
      </c>
      <c r="F35" s="23">
        <f>B35*D35/(B35*D35+A35*D35*D35)*100</f>
        <v>67.424239505587138</v>
      </c>
      <c r="G35" s="23"/>
    </row>
    <row r="36" spans="1:21" x14ac:dyDescent="0.15">
      <c r="D36" s="20">
        <f t="shared" si="4"/>
        <v>70.149999999999991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73.157238913813671</v>
      </c>
      <c r="P37" s="18">
        <v>9.703E-4</v>
      </c>
      <c r="Q37" s="18">
        <v>0.42299999999999999</v>
      </c>
    </row>
    <row r="38" spans="1:21" x14ac:dyDescent="0.15">
      <c r="A38" s="46">
        <v>69.760999999999996</v>
      </c>
      <c r="B38" s="47">
        <v>0.42299999999999999</v>
      </c>
      <c r="C38" s="47">
        <v>93.025999999999996</v>
      </c>
      <c r="E38" s="17" t="s">
        <v>33</v>
      </c>
      <c r="P38" s="18">
        <v>0.122506</v>
      </c>
      <c r="Q38" s="18">
        <v>93.025999999999996</v>
      </c>
    </row>
    <row r="39" spans="1:21" x14ac:dyDescent="0.15">
      <c r="A39" s="24"/>
      <c r="B39" s="25" t="s">
        <v>34</v>
      </c>
      <c r="C39" s="19">
        <f>(C38-A38)/B38</f>
        <v>55</v>
      </c>
      <c r="D39" s="17">
        <f>C38-B38*M51</f>
        <v>69.760999999999996</v>
      </c>
    </row>
    <row r="40" spans="1:21" x14ac:dyDescent="0.15">
      <c r="A40" s="24" t="s">
        <v>35</v>
      </c>
      <c r="B40" s="25" t="s">
        <v>34</v>
      </c>
      <c r="C40" s="17">
        <f>INT(C39)</f>
        <v>55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1">
        <f>INT(SQRT((2.25*A44*A47)/(A45*10^(5.46*A44*A46)))*1000)/1000</f>
        <v>0</v>
      </c>
      <c r="C43" s="17" t="s">
        <v>85</v>
      </c>
      <c r="I43" s="26"/>
      <c r="Q43" s="329" t="s">
        <v>233</v>
      </c>
      <c r="R43" s="329" t="s">
        <v>234</v>
      </c>
      <c r="S43" s="329" t="s">
        <v>235</v>
      </c>
      <c r="T43" s="329" t="s">
        <v>220</v>
      </c>
      <c r="U43" s="329" t="s">
        <v>189</v>
      </c>
    </row>
    <row r="44" spans="1:21" ht="16.5" x14ac:dyDescent="0.3">
      <c r="A44" s="109">
        <f>B58</f>
        <v>31.27</v>
      </c>
      <c r="B44" s="22" t="s">
        <v>16</v>
      </c>
      <c r="H44" s="379" t="s">
        <v>191</v>
      </c>
      <c r="I44" s="509" t="s">
        <v>285</v>
      </c>
      <c r="J44" s="510"/>
      <c r="K44" s="511"/>
      <c r="L44" s="340" t="s">
        <v>59</v>
      </c>
      <c r="M44" s="341">
        <v>200</v>
      </c>
      <c r="N44" s="340" t="s">
        <v>185</v>
      </c>
      <c r="Q44" s="331">
        <v>33</v>
      </c>
      <c r="R44" s="364">
        <v>18.72</v>
      </c>
      <c r="S44" s="364">
        <v>5.12</v>
      </c>
      <c r="T44" s="325">
        <v>6.4516129032258069</v>
      </c>
      <c r="U44" s="18">
        <v>0.155</v>
      </c>
    </row>
    <row r="45" spans="1:21" ht="16.5" x14ac:dyDescent="0.3">
      <c r="A45" s="87">
        <v>5.0000000000000001E-4</v>
      </c>
      <c r="B45" s="22" t="s">
        <v>19</v>
      </c>
      <c r="H45" s="379" t="s">
        <v>54</v>
      </c>
      <c r="I45" s="342" t="s">
        <v>286</v>
      </c>
      <c r="J45" s="343"/>
      <c r="K45" s="341"/>
      <c r="L45" s="340" t="s">
        <v>60</v>
      </c>
      <c r="M45" s="493">
        <v>500</v>
      </c>
      <c r="N45" s="493">
        <f>M44</f>
        <v>200</v>
      </c>
      <c r="Q45" s="331">
        <v>42</v>
      </c>
      <c r="R45" s="364">
        <v>20.43</v>
      </c>
      <c r="S45" s="364">
        <v>6.83</v>
      </c>
      <c r="T45" s="325">
        <v>6.1728395061728394</v>
      </c>
      <c r="U45" s="18">
        <v>0.16200000000000001</v>
      </c>
    </row>
    <row r="46" spans="1:21" ht="16.5" x14ac:dyDescent="0.3">
      <c r="A46" s="17">
        <f>B34</f>
        <v>0.122506</v>
      </c>
      <c r="B46" s="22" t="s">
        <v>36</v>
      </c>
      <c r="C46" s="505" t="s">
        <v>29</v>
      </c>
      <c r="D46" s="505"/>
      <c r="H46" s="379" t="s">
        <v>55</v>
      </c>
      <c r="I46" s="341" t="s">
        <v>287</v>
      </c>
      <c r="J46" s="343"/>
      <c r="K46" s="341"/>
      <c r="L46" s="340" t="s">
        <v>61</v>
      </c>
      <c r="M46" s="344">
        <f>IF(I52&gt;M48, M45-I52,M45-M48)</f>
        <v>482</v>
      </c>
      <c r="N46" s="345"/>
      <c r="Q46" s="331">
        <v>52</v>
      </c>
      <c r="R46" s="364">
        <v>22.53</v>
      </c>
      <c r="S46" s="364">
        <v>8.93</v>
      </c>
      <c r="T46" s="325">
        <v>5.8139534883720936</v>
      </c>
      <c r="U46" s="18">
        <v>0.17199999999999999</v>
      </c>
    </row>
    <row r="47" spans="1:21" ht="16.5" x14ac:dyDescent="0.3">
      <c r="A47" s="17">
        <f>120/1440</f>
        <v>8.3333333333333329E-2</v>
      </c>
      <c r="B47" s="22" t="s">
        <v>24</v>
      </c>
      <c r="C47" s="505" t="s">
        <v>28</v>
      </c>
      <c r="D47" s="505"/>
      <c r="H47" s="379" t="s">
        <v>56</v>
      </c>
      <c r="I47" s="341" t="s">
        <v>274</v>
      </c>
      <c r="J47" s="343"/>
      <c r="K47" s="341"/>
      <c r="L47" s="340" t="s">
        <v>62</v>
      </c>
      <c r="M47" s="346">
        <f>INT((M51*100)/M53)</f>
        <v>61</v>
      </c>
      <c r="N47" s="345"/>
      <c r="Q47" s="331">
        <v>61</v>
      </c>
      <c r="R47" s="364">
        <v>24.72</v>
      </c>
      <c r="S47" s="364">
        <v>11.12</v>
      </c>
      <c r="T47" s="325">
        <v>5.4945054945054945</v>
      </c>
      <c r="U47" s="18">
        <v>0.182</v>
      </c>
    </row>
    <row r="48" spans="1:21" ht="16.5" x14ac:dyDescent="0.3">
      <c r="B48" s="22"/>
      <c r="H48" s="379" t="s">
        <v>57</v>
      </c>
      <c r="I48" s="494">
        <v>5</v>
      </c>
      <c r="J48" s="508" t="s">
        <v>289</v>
      </c>
      <c r="K48" s="508"/>
      <c r="L48" s="347" t="s">
        <v>63</v>
      </c>
      <c r="M48" s="495">
        <v>13.6</v>
      </c>
      <c r="N48" s="345"/>
      <c r="Q48" s="331">
        <v>70</v>
      </c>
      <c r="R48" s="364">
        <v>28.049999999999997</v>
      </c>
      <c r="S48" s="364">
        <v>14.45</v>
      </c>
      <c r="T48" s="325">
        <v>4.8780487804878048</v>
      </c>
      <c r="U48" s="18">
        <v>0.20499999999999999</v>
      </c>
    </row>
    <row r="49" spans="1:17" ht="16.5" x14ac:dyDescent="0.3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499" t="s">
        <v>58</v>
      </c>
      <c r="I49" s="507" t="str">
        <f>I45</f>
        <v>복현지구</v>
      </c>
      <c r="J49" s="507"/>
      <c r="K49" s="507"/>
      <c r="L49" s="340" t="s">
        <v>64</v>
      </c>
      <c r="M49" s="495">
        <v>26.1</v>
      </c>
      <c r="N49" s="345"/>
    </row>
    <row r="50" spans="1:17" ht="16.5" x14ac:dyDescent="0.3">
      <c r="A50" s="25" t="s">
        <v>27</v>
      </c>
      <c r="B50" s="17">
        <f>INT(2.25*A44*A47*1000)/1000</f>
        <v>5.8630000000000004</v>
      </c>
      <c r="C50" s="17">
        <f>B50</f>
        <v>5.8630000000000004</v>
      </c>
      <c r="H50" s="500"/>
      <c r="I50" s="507"/>
      <c r="J50" s="507"/>
      <c r="K50" s="507"/>
      <c r="L50" s="340" t="s">
        <v>65</v>
      </c>
      <c r="M50" s="348">
        <f>M49-M48</f>
        <v>12.500000000000002</v>
      </c>
      <c r="N50" s="345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501"/>
      <c r="I51" s="502" t="s">
        <v>113</v>
      </c>
      <c r="J51" s="503"/>
      <c r="K51" s="504"/>
      <c r="L51" s="349" t="s">
        <v>106</v>
      </c>
      <c r="M51" s="367">
        <v>55</v>
      </c>
      <c r="N51" s="345"/>
      <c r="Q51" s="18">
        <v>33</v>
      </c>
    </row>
    <row r="52" spans="1:17" ht="16.5" x14ac:dyDescent="0.3">
      <c r="A52" s="28" t="s">
        <v>41</v>
      </c>
      <c r="B52" s="17">
        <f>INT(10^((INT(5.46*A44*A46*1000))/1000)*1000)/1000</f>
        <v>8.222426499470704E+20</v>
      </c>
      <c r="C52" s="17">
        <f>INT(B52*B51*1000)/1000</f>
        <v>4.111213249735353E+17</v>
      </c>
      <c r="H52" s="350" t="s">
        <v>96</v>
      </c>
      <c r="I52" s="494">
        <v>18</v>
      </c>
      <c r="J52" s="350" t="s">
        <v>97</v>
      </c>
      <c r="K52" s="351">
        <v>0</v>
      </c>
      <c r="L52" s="352" t="s">
        <v>66</v>
      </c>
      <c r="M52" s="344">
        <f>INT(M50*0.89*100)/100</f>
        <v>11.12</v>
      </c>
      <c r="N52" s="353"/>
      <c r="Q52" s="18">
        <v>42</v>
      </c>
    </row>
    <row r="53" spans="1:17" ht="16.5" x14ac:dyDescent="0.3">
      <c r="H53" s="345"/>
      <c r="I53" s="497" t="s">
        <v>120</v>
      </c>
      <c r="J53" s="497"/>
      <c r="K53" s="497"/>
      <c r="L53" s="497"/>
      <c r="M53" s="481">
        <v>90</v>
      </c>
      <c r="N53" s="345"/>
      <c r="Q53" s="18">
        <v>52</v>
      </c>
    </row>
    <row r="54" spans="1:17" ht="18.75" customHeight="1" x14ac:dyDescent="0.15">
      <c r="A54" s="25" t="s">
        <v>40</v>
      </c>
      <c r="B54" s="17">
        <f>INT(C50/C52*1000)/1000</f>
        <v>0</v>
      </c>
      <c r="H54" s="332" t="s">
        <v>236</v>
      </c>
      <c r="I54" s="360" t="s">
        <v>282</v>
      </c>
      <c r="Q54" s="18">
        <v>61</v>
      </c>
    </row>
    <row r="55" spans="1:17" x14ac:dyDescent="0.15">
      <c r="A55" s="25"/>
      <c r="Q55" s="18">
        <v>70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518" t="s">
        <v>76</v>
      </c>
      <c r="E57" s="518"/>
      <c r="F57" s="518" t="s">
        <v>53</v>
      </c>
      <c r="G57" s="520"/>
      <c r="H57" s="48" t="s">
        <v>176</v>
      </c>
      <c r="I57" s="232">
        <f>M50</f>
        <v>12.500000000000002</v>
      </c>
      <c r="J57" s="43" t="s">
        <v>67</v>
      </c>
      <c r="K57" s="48" t="s">
        <v>68</v>
      </c>
      <c r="L57" s="506" t="s">
        <v>73</v>
      </c>
      <c r="M57" s="506"/>
      <c r="Q57" s="18">
        <v>18.72</v>
      </c>
    </row>
    <row r="58" spans="1:17" x14ac:dyDescent="0.15">
      <c r="A58" s="38" t="s">
        <v>47</v>
      </c>
      <c r="B58" s="39">
        <v>31.27</v>
      </c>
      <c r="C58" s="38"/>
      <c r="D58" s="518">
        <v>0.22439999999999999</v>
      </c>
      <c r="E58" s="518"/>
      <c r="F58" s="518"/>
      <c r="G58" s="520"/>
      <c r="H58" s="48" t="s">
        <v>177</v>
      </c>
      <c r="I58" s="233">
        <f>C62/M46</f>
        <v>6.2518672199170122E-2</v>
      </c>
      <c r="J58" s="49" t="s">
        <v>69</v>
      </c>
      <c r="K58" s="50">
        <f>INT((6*I57*I58*I60/I59)^0.5)</f>
        <v>3</v>
      </c>
      <c r="L58" s="48" t="s">
        <v>74</v>
      </c>
      <c r="M58" s="48" t="s">
        <v>75</v>
      </c>
      <c r="Q58" s="18">
        <v>20.43</v>
      </c>
    </row>
    <row r="59" spans="1:17" x14ac:dyDescent="0.15">
      <c r="A59" s="38" t="s">
        <v>48</v>
      </c>
      <c r="B59" s="39">
        <v>56.31</v>
      </c>
      <c r="C59" s="517">
        <f>B59</f>
        <v>56.31</v>
      </c>
      <c r="D59" s="521">
        <v>0.15190000000000001</v>
      </c>
      <c r="E59" s="522"/>
      <c r="F59" s="513">
        <f>INT((D59+D60)/1*10000000)/10000000</f>
        <v>0.15190000000000001</v>
      </c>
      <c r="G59" s="514"/>
      <c r="H59" s="51" t="s">
        <v>19</v>
      </c>
      <c r="I59" s="43">
        <f>F62</f>
        <v>0.15190000000000001</v>
      </c>
      <c r="J59" s="49" t="s">
        <v>70</v>
      </c>
      <c r="K59" s="50">
        <f>INT(3*(I57*I58*I60/I59)^0.5)</f>
        <v>4</v>
      </c>
      <c r="L59" s="50"/>
      <c r="M59" s="50"/>
      <c r="Q59" s="18">
        <v>22.53</v>
      </c>
    </row>
    <row r="60" spans="1:17" x14ac:dyDescent="0.15">
      <c r="A60" s="38" t="s">
        <v>49</v>
      </c>
      <c r="B60" s="39"/>
      <c r="C60" s="517"/>
      <c r="D60" s="521"/>
      <c r="E60" s="522"/>
      <c r="F60" s="515"/>
      <c r="G60" s="516"/>
      <c r="H60" s="254">
        <f>장기양수시험!AE33</f>
        <v>720</v>
      </c>
      <c r="I60" s="253">
        <f>INT(H60/1440*10000)/10000</f>
        <v>0.5</v>
      </c>
      <c r="J60" s="49" t="s">
        <v>71</v>
      </c>
      <c r="K60" s="50">
        <f>(2.25*I61*I60/I59)^0.5</f>
        <v>14.939145815028581</v>
      </c>
      <c r="L60" s="44"/>
      <c r="M60" s="44"/>
      <c r="Q60" s="18">
        <v>24.72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518"/>
      <c r="E61" s="518"/>
      <c r="F61" s="518"/>
      <c r="G61" s="520"/>
      <c r="H61" s="48" t="s">
        <v>16</v>
      </c>
      <c r="I61" s="43">
        <f>C62</f>
        <v>30.134</v>
      </c>
      <c r="J61" s="49" t="s">
        <v>72</v>
      </c>
      <c r="K61" s="50">
        <f>((K58+K59+K60)/3)</f>
        <v>7.3130486050095271</v>
      </c>
      <c r="L61" s="52"/>
      <c r="M61" s="44"/>
      <c r="Q61" s="18">
        <v>28.049999999999997</v>
      </c>
    </row>
    <row r="62" spans="1:17" x14ac:dyDescent="0.15">
      <c r="A62" s="40" t="s">
        <v>51</v>
      </c>
      <c r="B62" s="40"/>
      <c r="C62" s="229">
        <f>INT((C58+C59+C61)*1000/2)/1000</f>
        <v>30.134</v>
      </c>
      <c r="D62" s="519"/>
      <c r="E62" s="519"/>
      <c r="F62" s="512">
        <f>F59</f>
        <v>0.15190000000000001</v>
      </c>
      <c r="G62" s="512"/>
      <c r="H62" s="49" t="s">
        <v>77</v>
      </c>
      <c r="I62" s="44">
        <v>70.33</v>
      </c>
      <c r="J62" s="49" t="s">
        <v>178</v>
      </c>
      <c r="K62" s="234">
        <f>MAX(K58:K60)</f>
        <v>14.939145815028581</v>
      </c>
      <c r="L62" s="52"/>
      <c r="M62" s="45"/>
    </row>
    <row r="63" spans="1:17" x14ac:dyDescent="0.15">
      <c r="Q63" s="18">
        <v>5.12</v>
      </c>
    </row>
    <row r="64" spans="1:17" x14ac:dyDescent="0.15">
      <c r="Q64" s="18">
        <v>6.83</v>
      </c>
    </row>
    <row r="65" spans="17:17" x14ac:dyDescent="0.15">
      <c r="Q65" s="18">
        <v>8.93</v>
      </c>
    </row>
    <row r="66" spans="17:17" x14ac:dyDescent="0.15">
      <c r="Q66" s="18">
        <v>11.12</v>
      </c>
    </row>
    <row r="67" spans="17:17" x14ac:dyDescent="0.15">
      <c r="Q67" s="18">
        <v>14.45</v>
      </c>
    </row>
    <row r="69" spans="17:17" x14ac:dyDescent="0.15">
      <c r="Q69" s="325">
        <v>6.4516129032258069</v>
      </c>
    </row>
    <row r="70" spans="17:17" x14ac:dyDescent="0.15">
      <c r="Q70" s="325">
        <v>6.1728395061728394</v>
      </c>
    </row>
    <row r="71" spans="17:17" x14ac:dyDescent="0.15">
      <c r="Q71" s="325">
        <v>5.8139534883720936</v>
      </c>
    </row>
    <row r="72" spans="17:17" x14ac:dyDescent="0.15">
      <c r="Q72" s="325">
        <v>5.4945054945054945</v>
      </c>
    </row>
    <row r="73" spans="17:17" x14ac:dyDescent="0.15">
      <c r="Q73" s="325">
        <v>4.8780487804878048</v>
      </c>
    </row>
    <row r="75" spans="17:17" x14ac:dyDescent="0.15">
      <c r="Q75" s="18">
        <v>0.155</v>
      </c>
    </row>
    <row r="76" spans="17:17" x14ac:dyDescent="0.15">
      <c r="Q76" s="18">
        <v>0.16200000000000001</v>
      </c>
    </row>
    <row r="77" spans="17:17" x14ac:dyDescent="0.15">
      <c r="Q77" s="18">
        <v>0.17199999999999999</v>
      </c>
    </row>
    <row r="78" spans="17:17" x14ac:dyDescent="0.15">
      <c r="Q78" s="18">
        <v>0.182</v>
      </c>
    </row>
    <row r="79" spans="17:17" x14ac:dyDescent="0.15">
      <c r="Q79" s="18">
        <v>0.20499999999999999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6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7" r:id="rId4" name="CommandButton7">
          <controlPr defaultSize="0" autoLine="0" r:id="rId5">
            <anchor moveWithCells="1">
              <from>
                <xdr:col>13</xdr:col>
                <xdr:colOff>200025</xdr:colOff>
                <xdr:row>51</xdr:row>
                <xdr:rowOff>76200</xdr:rowOff>
              </from>
              <to>
                <xdr:col>15</xdr:col>
                <xdr:colOff>742950</xdr:colOff>
                <xdr:row>53</xdr:row>
                <xdr:rowOff>95250</xdr:rowOff>
              </to>
            </anchor>
          </controlPr>
        </control>
      </mc:Choice>
      <mc:Fallback>
        <control shapeId="2067" r:id="rId4" name="CommandButton7"/>
      </mc:Fallback>
    </mc:AlternateContent>
    <mc:AlternateContent xmlns:mc="http://schemas.openxmlformats.org/markup-compatibility/2006">
      <mc:Choice Requires="x14">
        <control shapeId="2057" r:id="rId6" name="CommandButton5">
          <controlPr defaultSize="0" autoLine="0" r:id="rId7">
            <anchor moveWithCells="1">
              <from>
                <xdr:col>13</xdr:col>
                <xdr:colOff>200025</xdr:colOff>
                <xdr:row>48</xdr:row>
                <xdr:rowOff>180975</xdr:rowOff>
              </from>
              <to>
                <xdr:col>15</xdr:col>
                <xdr:colOff>742950</xdr:colOff>
                <xdr:row>50</xdr:row>
                <xdr:rowOff>200025</xdr:rowOff>
              </to>
            </anchor>
          </controlPr>
        </control>
      </mc:Choice>
      <mc:Fallback>
        <control shapeId="2057" r:id="rId6" name="CommandButton5"/>
      </mc:Fallback>
    </mc:AlternateContent>
    <mc:AlternateContent xmlns:mc="http://schemas.openxmlformats.org/markup-compatibility/2006">
      <mc:Choice Requires="x14">
        <control shapeId="2055" r:id="rId8" name="CommandButton4">
          <controlPr defaultSize="0" autoLine="0" r:id="rId9">
            <anchor moveWithCells="1">
              <from>
                <xdr:col>13</xdr:col>
                <xdr:colOff>180975</xdr:colOff>
                <xdr:row>46</xdr:row>
                <xdr:rowOff>76200</xdr:rowOff>
              </from>
              <to>
                <xdr:col>15</xdr:col>
                <xdr:colOff>752475</xdr:colOff>
                <xdr:row>48</xdr:row>
                <xdr:rowOff>95250</xdr:rowOff>
              </to>
            </anchor>
          </controlPr>
        </control>
      </mc:Choice>
      <mc:Fallback>
        <control shapeId="2055" r:id="rId8" name="CommandButton4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13</xdr:col>
                <xdr:colOff>85725</xdr:colOff>
                <xdr:row>37</xdr:row>
                <xdr:rowOff>85725</xdr:rowOff>
              </from>
              <to>
                <xdr:col>14</xdr:col>
                <xdr:colOff>228600</xdr:colOff>
                <xdr:row>39</xdr:row>
                <xdr:rowOff>142875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3" r:id="rId12" name="CommandButton2">
          <controlPr defaultSize="0" autoLine="0" r:id="rId13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238125</xdr:colOff>
                <xdr:row>37</xdr:row>
                <xdr:rowOff>19050</xdr:rowOff>
              </to>
            </anchor>
          </controlPr>
        </control>
      </mc:Choice>
      <mc:Fallback>
        <control shapeId="2053" r:id="rId12" name="CommandButton2"/>
      </mc:Fallback>
    </mc:AlternateContent>
    <mc:AlternateContent xmlns:mc="http://schemas.openxmlformats.org/markup-compatibility/2006">
      <mc:Choice Requires="x14">
        <control shapeId="2052" r:id="rId14" name="CommandButton1">
          <controlPr defaultSize="0" autoLine="0" r:id="rId15">
            <anchor moveWithCells="1">
              <from>
                <xdr:col>16</xdr:col>
                <xdr:colOff>19050</xdr:colOff>
                <xdr:row>39</xdr:row>
                <xdr:rowOff>0</xdr:rowOff>
              </from>
              <to>
                <xdr:col>17</xdr:col>
                <xdr:colOff>647700</xdr:colOff>
                <xdr:row>41</xdr:row>
                <xdr:rowOff>66675</xdr:rowOff>
              </to>
            </anchor>
          </controlPr>
        </control>
      </mc:Choice>
      <mc:Fallback>
        <control shapeId="2052" r:id="rId14" name="CommandButton1"/>
      </mc:Fallback>
    </mc:AlternateContent>
    <mc:AlternateContent xmlns:mc="http://schemas.openxmlformats.org/markup-compatibility/2006">
      <mc:Choice Requires="x14">
        <control shapeId="2064" r:id="rId16" name="CommandButton6">
          <controlPr defaultSize="0" autoLine="0" r:id="rId17">
            <anchor moveWithCells="1">
              <from>
                <xdr:col>13</xdr:col>
                <xdr:colOff>76200</xdr:colOff>
                <xdr:row>40</xdr:row>
                <xdr:rowOff>38100</xdr:rowOff>
              </from>
              <to>
                <xdr:col>14</xdr:col>
                <xdr:colOff>238125</xdr:colOff>
                <xdr:row>42</xdr:row>
                <xdr:rowOff>104775</xdr:rowOff>
              </to>
            </anchor>
          </controlPr>
        </control>
      </mc:Choice>
      <mc:Fallback>
        <control shapeId="2064" r:id="rId16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A828F1-0D11-4E5E-A363-45FC2A2760D8}">
          <x14:formula1>
            <xm:f>REF!$G$4:$G$5</xm:f>
          </x14:formula1>
          <xm:sqref>A45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G14"/>
  <sheetViews>
    <sheetView workbookViewId="0"/>
  </sheetViews>
  <sheetFormatPr defaultRowHeight="18" customHeight="1" x14ac:dyDescent="0.15"/>
  <cols>
    <col min="1" max="2" width="11.88671875" style="361" customWidth="1"/>
    <col min="3" max="3" width="13.109375" style="361" customWidth="1"/>
    <col min="4" max="4" width="14.6640625" style="361" customWidth="1"/>
    <col min="5" max="5" width="10.5546875" style="361" customWidth="1"/>
    <col min="6" max="16384" width="8.88671875" style="361"/>
  </cols>
  <sheetData>
    <row r="3" spans="3:7" ht="18" customHeight="1" x14ac:dyDescent="0.15">
      <c r="C3" s="362" t="s">
        <v>57</v>
      </c>
      <c r="D3" s="362" t="s">
        <v>236</v>
      </c>
      <c r="E3" s="362" t="s">
        <v>243</v>
      </c>
      <c r="F3" s="362" t="s">
        <v>59</v>
      </c>
      <c r="G3" s="361" t="s">
        <v>273</v>
      </c>
    </row>
    <row r="4" spans="3:7" ht="18" customHeight="1" x14ac:dyDescent="0.15">
      <c r="C4" s="361">
        <v>1</v>
      </c>
      <c r="D4" s="363" t="s">
        <v>238</v>
      </c>
      <c r="E4" s="361" t="s">
        <v>237</v>
      </c>
      <c r="F4" s="361">
        <v>150</v>
      </c>
      <c r="G4" s="361">
        <v>5.0000000000000001E-4</v>
      </c>
    </row>
    <row r="5" spans="3:7" ht="18" customHeight="1" x14ac:dyDescent="0.15">
      <c r="C5" s="361">
        <v>2</v>
      </c>
      <c r="D5" s="361" t="s">
        <v>239</v>
      </c>
      <c r="E5" s="361" t="s">
        <v>244</v>
      </c>
      <c r="F5" s="361">
        <v>200</v>
      </c>
      <c r="G5" s="361">
        <v>0.1</v>
      </c>
    </row>
    <row r="6" spans="3:7" ht="18" customHeight="1" x14ac:dyDescent="0.15">
      <c r="C6" s="361">
        <v>3</v>
      </c>
      <c r="D6" s="361" t="s">
        <v>240</v>
      </c>
      <c r="E6" s="361" t="s">
        <v>245</v>
      </c>
      <c r="F6" s="361">
        <v>250</v>
      </c>
    </row>
    <row r="7" spans="3:7" ht="18" customHeight="1" x14ac:dyDescent="0.15">
      <c r="C7" s="361">
        <v>5</v>
      </c>
      <c r="D7" s="361" t="s">
        <v>241</v>
      </c>
      <c r="E7" s="361" t="s">
        <v>246</v>
      </c>
    </row>
    <row r="8" spans="3:7" ht="18" customHeight="1" x14ac:dyDescent="0.15">
      <c r="C8" s="361">
        <v>7.5</v>
      </c>
      <c r="D8" s="361" t="s">
        <v>242</v>
      </c>
      <c r="E8" s="361" t="s">
        <v>247</v>
      </c>
    </row>
    <row r="9" spans="3:7" ht="18" customHeight="1" x14ac:dyDescent="0.15">
      <c r="C9" s="361">
        <v>10</v>
      </c>
      <c r="D9" s="363" t="s">
        <v>250</v>
      </c>
      <c r="E9" s="361" t="s">
        <v>251</v>
      </c>
    </row>
    <row r="10" spans="3:7" ht="18" customHeight="1" x14ac:dyDescent="0.15">
      <c r="C10" s="361">
        <v>20</v>
      </c>
      <c r="D10" s="363" t="s">
        <v>277</v>
      </c>
      <c r="E10" s="361" t="s">
        <v>275</v>
      </c>
    </row>
    <row r="11" spans="3:7" ht="18" customHeight="1" x14ac:dyDescent="0.15">
      <c r="C11" s="361">
        <v>25</v>
      </c>
      <c r="D11" s="361" t="s">
        <v>278</v>
      </c>
      <c r="E11" s="361" t="s">
        <v>276</v>
      </c>
    </row>
    <row r="12" spans="3:7" ht="18" customHeight="1" x14ac:dyDescent="0.15">
      <c r="C12" s="361">
        <v>30</v>
      </c>
      <c r="D12" s="363" t="s">
        <v>279</v>
      </c>
      <c r="E12" s="361" t="s">
        <v>282</v>
      </c>
    </row>
    <row r="13" spans="3:7" ht="18" customHeight="1" x14ac:dyDescent="0.15">
      <c r="D13" s="363" t="s">
        <v>280</v>
      </c>
      <c r="E13" s="361" t="s">
        <v>283</v>
      </c>
    </row>
    <row r="14" spans="3:7" ht="18" customHeight="1" x14ac:dyDescent="0.15">
      <c r="D14" s="363" t="s">
        <v>281</v>
      </c>
      <c r="E14" s="361" t="s">
        <v>284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1"/>
  <sheetViews>
    <sheetView workbookViewId="0"/>
  </sheetViews>
  <sheetFormatPr defaultRowHeight="16.5" x14ac:dyDescent="0.15"/>
  <cols>
    <col min="1" max="1" width="18.44140625" style="313" bestFit="1" customWidth="1"/>
    <col min="2" max="2" width="7.5546875" style="314" bestFit="1" customWidth="1"/>
    <col min="3" max="16384" width="8.88671875" style="314"/>
  </cols>
  <sheetData>
    <row r="1" spans="1:2" ht="20.100000000000001" customHeight="1" x14ac:dyDescent="0.15"/>
    <row r="2" spans="1:2" ht="20.100000000000001" customHeight="1" x14ac:dyDescent="0.15">
      <c r="A2" s="313" t="s">
        <v>107</v>
      </c>
      <c r="B2" s="315">
        <f>단계양수시험!B12</f>
        <v>33</v>
      </c>
    </row>
    <row r="3" spans="1:2" ht="20.100000000000001" customHeight="1" x14ac:dyDescent="0.15">
      <c r="A3" s="316" t="s">
        <v>108</v>
      </c>
      <c r="B3" s="317">
        <f>단계양수시험!G31</f>
        <v>5.12</v>
      </c>
    </row>
    <row r="4" spans="1:2" ht="20.100000000000001" customHeight="1" x14ac:dyDescent="0.15">
      <c r="A4" s="316" t="s">
        <v>109</v>
      </c>
      <c r="B4" s="314">
        <f>단계양수시험!G46</f>
        <v>11.12</v>
      </c>
    </row>
    <row r="5" spans="1:2" ht="20.100000000000001" customHeight="1" x14ac:dyDescent="0.15">
      <c r="A5" s="318" t="s">
        <v>110</v>
      </c>
      <c r="B5" s="314">
        <f>2/3</f>
        <v>0.66666666666666663</v>
      </c>
    </row>
    <row r="6" spans="1:2" ht="20.100000000000001" customHeight="1" x14ac:dyDescent="0.15">
      <c r="A6" s="316"/>
    </row>
    <row r="7" spans="1:2" ht="20.100000000000001" customHeight="1" x14ac:dyDescent="0.15">
      <c r="A7" s="316" t="s">
        <v>111</v>
      </c>
      <c r="B7" s="314">
        <f>B2*(B4/B3)^(2/3)</f>
        <v>55.343993125483131</v>
      </c>
    </row>
    <row r="8" spans="1:2" ht="20.100000000000001" customHeight="1" x14ac:dyDescent="0.15">
      <c r="A8" s="316" t="s">
        <v>112</v>
      </c>
      <c r="B8" s="314">
        <f>INT(B7)</f>
        <v>55</v>
      </c>
    </row>
    <row r="9" spans="1:2" ht="24.75" customHeight="1" x14ac:dyDescent="0.15"/>
    <row r="10" spans="1:2" ht="24.75" customHeight="1" x14ac:dyDescent="0.15"/>
    <row r="11" spans="1:2" x14ac:dyDescent="0.15">
      <c r="B11" s="466">
        <f>B8/입력표!$D$23</f>
        <v>0.90163934426229508</v>
      </c>
    </row>
  </sheetData>
  <phoneticPr fontId="6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3"/>
  <sheetViews>
    <sheetView tabSelected="1" zoomScaleNormal="100" workbookViewId="0">
      <selection activeCell="N7" sqref="N7"/>
    </sheetView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5" max="5" width="12.88671875" customWidth="1"/>
    <col min="6" max="7" width="11.77734375" customWidth="1"/>
    <col min="8" max="8" width="16" style="74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79"/>
      <c r="B1" s="279" t="str">
        <f>입력표!I45</f>
        <v>복현지구</v>
      </c>
      <c r="C1" s="279"/>
      <c r="D1" s="279"/>
      <c r="E1" s="279"/>
      <c r="F1" s="279"/>
      <c r="G1" s="279"/>
      <c r="H1" s="429"/>
      <c r="I1" s="279"/>
      <c r="J1" s="279"/>
      <c r="K1" s="279"/>
      <c r="L1" s="279"/>
      <c r="M1" s="279"/>
      <c r="N1" s="279"/>
      <c r="O1" s="279"/>
    </row>
    <row r="2" spans="1:15" ht="22.7" customHeight="1" thickBot="1" x14ac:dyDescent="0.2">
      <c r="A2" s="279"/>
      <c r="B2" s="280" t="str">
        <f>입력표!J48</f>
        <v>공  번 : W - 9</v>
      </c>
      <c r="C2" s="281" t="str">
        <f>입력표!I46</f>
        <v>대구광역시 북구 복현동 573번지</v>
      </c>
      <c r="D2" s="279"/>
      <c r="E2" s="279"/>
      <c r="F2" s="279"/>
      <c r="G2" s="279"/>
      <c r="H2" s="429"/>
      <c r="I2" s="279"/>
      <c r="J2" s="279"/>
      <c r="K2" s="333"/>
      <c r="L2" s="336"/>
      <c r="M2" s="337"/>
      <c r="N2" s="334"/>
      <c r="O2" s="279"/>
    </row>
    <row r="3" spans="1:15" ht="22.7" customHeight="1" x14ac:dyDescent="0.15">
      <c r="A3" s="279"/>
      <c r="B3" s="453" t="s">
        <v>198</v>
      </c>
      <c r="C3" s="454" t="s">
        <v>199</v>
      </c>
      <c r="D3" s="454" t="s">
        <v>16</v>
      </c>
      <c r="E3" s="454" t="s">
        <v>224</v>
      </c>
      <c r="F3" s="454" t="s">
        <v>19</v>
      </c>
      <c r="G3" s="454" t="s">
        <v>196</v>
      </c>
      <c r="H3" s="455" t="s">
        <v>36</v>
      </c>
      <c r="I3" s="451" t="s">
        <v>225</v>
      </c>
      <c r="J3" s="279"/>
      <c r="K3" s="333"/>
      <c r="L3" s="336"/>
      <c r="M3" s="336"/>
      <c r="N3" s="333"/>
      <c r="O3" s="279"/>
    </row>
    <row r="4" spans="1:15" ht="22.7" customHeight="1" thickBot="1" x14ac:dyDescent="0.2">
      <c r="A4" s="279"/>
      <c r="B4" s="463">
        <f>장기양수시험!G10</f>
        <v>1.2158326699068436</v>
      </c>
      <c r="C4" s="464">
        <f>장기양수시험!B10</f>
        <v>55</v>
      </c>
      <c r="D4" s="489">
        <v>1.859</v>
      </c>
      <c r="E4" s="465">
        <f>입력표!M44/2000</f>
        <v>0.1</v>
      </c>
      <c r="F4" s="462">
        <v>5.0000000000000001E-4</v>
      </c>
      <c r="G4" s="462">
        <f>PI()</f>
        <v>3.1415926535897931</v>
      </c>
      <c r="H4" s="456">
        <f>입력표!$A$46</f>
        <v>0.122506</v>
      </c>
      <c r="I4" s="446">
        <f>입력표!M48</f>
        <v>13.6</v>
      </c>
      <c r="J4" s="279"/>
      <c r="K4" s="333"/>
      <c r="L4" s="336"/>
      <c r="M4" s="336"/>
      <c r="N4" s="333"/>
      <c r="O4" s="279"/>
    </row>
    <row r="5" spans="1:15" ht="22.7" customHeight="1" thickBot="1" x14ac:dyDescent="0.2">
      <c r="A5" s="279"/>
      <c r="B5" s="447"/>
      <c r="C5" s="448"/>
      <c r="D5" s="491">
        <v>2.6070000000000002</v>
      </c>
      <c r="E5" s="449" t="s">
        <v>268</v>
      </c>
      <c r="F5" s="450"/>
      <c r="G5" s="450"/>
      <c r="H5" s="430"/>
      <c r="I5" s="452" t="s">
        <v>64</v>
      </c>
      <c r="J5" s="279"/>
      <c r="K5" s="333"/>
      <c r="L5" s="336"/>
      <c r="M5" s="336"/>
      <c r="N5" s="333"/>
      <c r="O5" s="279"/>
    </row>
    <row r="6" spans="1:15" ht="22.7" customHeight="1" thickBot="1" x14ac:dyDescent="0.2">
      <c r="A6" s="279"/>
      <c r="B6" s="478" t="s">
        <v>200</v>
      </c>
      <c r="C6" s="479">
        <f>(2*G4*B4*D5)/(C4)</f>
        <v>0.36210291326175664</v>
      </c>
      <c r="D6" s="490">
        <v>1.8148</v>
      </c>
      <c r="E6" s="479">
        <f>1.15*LOG((2.25*D5*(1/1440))/(F4*E4^2))</f>
        <v>3.3476397107756863</v>
      </c>
      <c r="F6" s="480" t="s">
        <v>197</v>
      </c>
      <c r="G6" s="482">
        <f>C6-E6</f>
        <v>-2.9855367975139298</v>
      </c>
      <c r="H6" s="430"/>
      <c r="I6" s="446">
        <f>입력표!M49</f>
        <v>26.1</v>
      </c>
      <c r="J6" s="279"/>
      <c r="K6" s="333"/>
      <c r="L6" s="336"/>
      <c r="M6" s="338"/>
      <c r="N6" s="333"/>
      <c r="O6" s="279"/>
    </row>
    <row r="7" spans="1:15" ht="22.7" customHeight="1" x14ac:dyDescent="0.15">
      <c r="A7" s="279"/>
      <c r="B7" s="435" t="s">
        <v>265</v>
      </c>
      <c r="C7" s="440">
        <f>ROUND(2.25*D4*(120/1440),3)</f>
        <v>0.34899999999999998</v>
      </c>
      <c r="D7" s="282"/>
      <c r="E7" s="443" t="s">
        <v>266</v>
      </c>
      <c r="F7" s="436">
        <f>ROUND(F4*10^(5.46*D4*H4),3)</f>
        <v>8.9999999999999993E-3</v>
      </c>
      <c r="G7" s="437" t="s">
        <v>270</v>
      </c>
      <c r="H7" s="430">
        <f>F4*EXP(4*G4*D4*H4)</f>
        <v>8.7469157176523326E-3</v>
      </c>
      <c r="I7" s="452" t="s">
        <v>221</v>
      </c>
      <c r="J7" s="279"/>
      <c r="K7" s="333"/>
      <c r="L7" s="336"/>
      <c r="M7" s="338"/>
      <c r="N7" s="333"/>
      <c r="O7" s="279"/>
    </row>
    <row r="8" spans="1:15" ht="22.7" customHeight="1" thickBot="1" x14ac:dyDescent="0.2">
      <c r="A8" s="279"/>
      <c r="B8" s="439" t="s">
        <v>272</v>
      </c>
      <c r="C8" s="488">
        <f>ROUND(E4*EXP(-1*G6),3)</f>
        <v>1.98</v>
      </c>
      <c r="D8" s="441" t="s">
        <v>267</v>
      </c>
      <c r="E8" s="457">
        <f>ROUND(SQRT(C7/F7),3)</f>
        <v>6.2270000000000003</v>
      </c>
      <c r="F8" s="442" t="s">
        <v>269</v>
      </c>
      <c r="G8" s="444" t="s">
        <v>271</v>
      </c>
      <c r="H8" s="458">
        <f>ROUND(SQRT(C7/H7),3)</f>
        <v>6.3170000000000002</v>
      </c>
      <c r="I8" s="445">
        <f>입력표!M45</f>
        <v>500</v>
      </c>
      <c r="J8" s="279"/>
      <c r="K8" s="333"/>
      <c r="L8" s="336"/>
      <c r="M8" s="336"/>
      <c r="N8" s="335"/>
      <c r="O8" s="279"/>
    </row>
    <row r="9" spans="1:15" ht="22.7" customHeight="1" x14ac:dyDescent="0.15">
      <c r="A9" s="279"/>
      <c r="B9" s="279"/>
      <c r="C9" s="279"/>
      <c r="D9" s="279"/>
      <c r="E9" s="279"/>
      <c r="F9" s="279"/>
      <c r="G9" s="279"/>
      <c r="H9" s="429"/>
      <c r="I9" s="286" t="s">
        <v>201</v>
      </c>
      <c r="J9" s="279"/>
      <c r="K9" s="279"/>
      <c r="L9" s="279"/>
      <c r="M9" s="279"/>
      <c r="N9" s="279"/>
      <c r="O9" s="279"/>
    </row>
    <row r="10" spans="1:15" ht="22.7" customHeight="1" thickBot="1" x14ac:dyDescent="0.2">
      <c r="A10" s="279"/>
      <c r="B10" s="279" t="s">
        <v>231</v>
      </c>
      <c r="C10" s="328">
        <f>장기양수시험!F101</f>
        <v>15.257227008669993</v>
      </c>
      <c r="D10" s="311" t="s">
        <v>288</v>
      </c>
      <c r="E10" s="492">
        <v>0.2041</v>
      </c>
      <c r="F10" s="279"/>
      <c r="G10" s="279"/>
      <c r="H10" s="429"/>
      <c r="I10" s="288">
        <f>입력표!I52</f>
        <v>18</v>
      </c>
      <c r="J10" s="279"/>
      <c r="L10" s="279"/>
      <c r="M10" s="279"/>
      <c r="N10" s="279"/>
      <c r="O10" s="279"/>
    </row>
    <row r="11" spans="1:15" ht="22.7" customHeight="1" x14ac:dyDescent="0.15">
      <c r="A11" s="279"/>
      <c r="B11" s="279" t="s">
        <v>232</v>
      </c>
      <c r="C11" s="328">
        <f>I6-C10</f>
        <v>10.842772991330008</v>
      </c>
      <c r="D11" s="279"/>
      <c r="E11" s="279"/>
      <c r="F11" s="279"/>
      <c r="G11" s="279"/>
      <c r="H11" s="429"/>
      <c r="I11" s="279"/>
      <c r="J11" s="279"/>
      <c r="K11" s="279"/>
      <c r="L11" s="279"/>
      <c r="M11" s="279"/>
      <c r="N11" s="279"/>
      <c r="O11" s="279"/>
    </row>
    <row r="12" spans="1:15" ht="15" customHeight="1" thickBot="1" x14ac:dyDescent="0.2">
      <c r="A12" s="279"/>
      <c r="B12" s="279"/>
      <c r="C12" s="279"/>
      <c r="D12" s="279"/>
      <c r="E12" s="279"/>
      <c r="F12" s="279"/>
      <c r="G12" s="279"/>
      <c r="H12" s="429"/>
      <c r="I12" s="279"/>
      <c r="J12" s="279"/>
      <c r="K12" s="279"/>
      <c r="L12" s="279"/>
      <c r="M12" s="279"/>
      <c r="N12" s="279"/>
      <c r="O12" s="279"/>
    </row>
    <row r="13" spans="1:15" ht="22.7" customHeight="1" thickBot="1" x14ac:dyDescent="0.2">
      <c r="A13" s="279"/>
      <c r="B13" s="296" t="s">
        <v>202</v>
      </c>
      <c r="C13" s="461">
        <f>ROUND(SQRT(6*B16*E16*H16/I16),1)</f>
        <v>22.4</v>
      </c>
      <c r="D13" s="459"/>
      <c r="E13" s="290" t="s">
        <v>203</v>
      </c>
      <c r="F13" s="433">
        <f>D5</f>
        <v>2.6070000000000002</v>
      </c>
      <c r="G13" s="290" t="s">
        <v>204</v>
      </c>
      <c r="H13" s="487">
        <v>2.5270000000000001</v>
      </c>
      <c r="I13" s="291"/>
      <c r="J13" s="279"/>
      <c r="K13" s="279"/>
      <c r="L13" s="279"/>
      <c r="M13" s="279"/>
      <c r="N13" s="279"/>
      <c r="O13" s="279"/>
    </row>
    <row r="14" spans="1:15" ht="22.7" customHeight="1" x14ac:dyDescent="0.15">
      <c r="A14" s="279"/>
      <c r="B14" s="283"/>
      <c r="C14" s="282"/>
      <c r="D14" s="284"/>
      <c r="E14" s="284"/>
      <c r="F14" s="284"/>
      <c r="G14" s="284"/>
      <c r="H14" s="287"/>
      <c r="I14" s="285"/>
      <c r="J14" s="279"/>
      <c r="K14" s="279"/>
      <c r="L14" s="279"/>
      <c r="M14" s="279"/>
      <c r="N14" s="279"/>
      <c r="O14" s="279"/>
    </row>
    <row r="15" spans="1:15" ht="22.7" customHeight="1" thickBot="1" x14ac:dyDescent="0.2">
      <c r="A15" s="279"/>
      <c r="B15" s="292" t="s">
        <v>226</v>
      </c>
      <c r="C15" s="287" t="s">
        <v>227</v>
      </c>
      <c r="D15" s="287" t="s">
        <v>228</v>
      </c>
      <c r="E15" s="287" t="s">
        <v>177</v>
      </c>
      <c r="F15" s="287" t="s">
        <v>207</v>
      </c>
      <c r="G15" s="287" t="s">
        <v>223</v>
      </c>
      <c r="H15" s="287" t="s">
        <v>222</v>
      </c>
      <c r="I15" s="477" t="s">
        <v>19</v>
      </c>
      <c r="J15" s="279"/>
      <c r="K15" s="279"/>
      <c r="L15" s="279"/>
      <c r="M15" s="279"/>
      <c r="N15" s="279"/>
      <c r="O15" s="279"/>
    </row>
    <row r="16" spans="1:15" ht="22.7" customHeight="1" thickBot="1" x14ac:dyDescent="0.2">
      <c r="A16" s="279"/>
      <c r="B16" s="485">
        <f>I6-I4</f>
        <v>12.500000000000002</v>
      </c>
      <c r="C16" s="484">
        <f>I8-IF(I4&gt;I10,I4,I10)</f>
        <v>482</v>
      </c>
      <c r="D16" s="483">
        <f>(F13+H13)/2</f>
        <v>2.5670000000000002</v>
      </c>
      <c r="E16" s="294">
        <f>INT(D16/C16*100000)/100000</f>
        <v>5.3200000000000001E-3</v>
      </c>
      <c r="F16" s="295">
        <v>1440</v>
      </c>
      <c r="G16" s="428">
        <v>840</v>
      </c>
      <c r="H16" s="476">
        <f>INT(G16/F16*10000)/10000</f>
        <v>0.58330000000000004</v>
      </c>
      <c r="I16" s="486">
        <v>4.6309999999999998E-4</v>
      </c>
      <c r="J16" s="279"/>
      <c r="K16" s="279"/>
      <c r="L16" s="279"/>
      <c r="M16" s="279"/>
      <c r="N16" s="279"/>
      <c r="O16" s="279"/>
    </row>
    <row r="17" spans="1:15" ht="13.5" customHeight="1" thickBot="1" x14ac:dyDescent="0.2">
      <c r="A17" s="279"/>
      <c r="B17" s="279"/>
      <c r="C17" s="279"/>
      <c r="D17" s="279"/>
      <c r="E17" s="438"/>
      <c r="F17" s="279"/>
      <c r="G17" s="279"/>
      <c r="H17" s="429"/>
      <c r="I17" s="279"/>
      <c r="J17" s="279"/>
      <c r="K17" s="279"/>
      <c r="L17" s="279"/>
      <c r="M17" s="279"/>
      <c r="N17" s="279"/>
      <c r="O17" s="279"/>
    </row>
    <row r="18" spans="1:15" ht="22.7" customHeight="1" x14ac:dyDescent="0.15">
      <c r="A18" s="279"/>
      <c r="B18" s="296" t="s">
        <v>209</v>
      </c>
      <c r="C18" s="461">
        <f>ROUND(3*SQRT(B21*E21*H21/I21),1)</f>
        <v>27.5</v>
      </c>
      <c r="D18" s="297"/>
      <c r="E18" s="297"/>
      <c r="F18" s="297"/>
      <c r="G18" s="297"/>
      <c r="H18" s="431"/>
      <c r="I18" s="298"/>
      <c r="J18" s="279"/>
      <c r="K18" s="279"/>
      <c r="L18" s="279"/>
      <c r="M18" s="279"/>
      <c r="N18" s="279"/>
      <c r="O18" s="279"/>
    </row>
    <row r="19" spans="1:15" ht="22.7" customHeight="1" x14ac:dyDescent="0.15">
      <c r="A19" s="279"/>
      <c r="B19" s="299"/>
      <c r="C19" s="460"/>
      <c r="D19" s="300"/>
      <c r="E19" s="300"/>
      <c r="F19" s="300"/>
      <c r="G19" s="300"/>
      <c r="H19" s="303"/>
      <c r="I19" s="301"/>
      <c r="J19" s="279"/>
      <c r="K19" s="279"/>
      <c r="L19" s="279"/>
      <c r="M19" s="279"/>
      <c r="N19" s="279"/>
      <c r="O19" s="279"/>
    </row>
    <row r="20" spans="1:15" ht="22.7" customHeight="1" x14ac:dyDescent="0.15">
      <c r="A20" s="279"/>
      <c r="B20" s="302" t="s">
        <v>205</v>
      </c>
      <c r="C20" s="303" t="s">
        <v>61</v>
      </c>
      <c r="D20" s="303" t="s">
        <v>206</v>
      </c>
      <c r="E20" s="303" t="s">
        <v>210</v>
      </c>
      <c r="F20" s="303" t="s">
        <v>207</v>
      </c>
      <c r="G20" s="303" t="s">
        <v>208</v>
      </c>
      <c r="H20" s="303" t="s">
        <v>24</v>
      </c>
      <c r="I20" s="304" t="s">
        <v>19</v>
      </c>
      <c r="J20" s="279"/>
      <c r="K20" s="279"/>
      <c r="L20" s="279"/>
      <c r="M20" s="279"/>
      <c r="N20" s="279"/>
      <c r="O20" s="279"/>
    </row>
    <row r="21" spans="1:15" ht="22.7" customHeight="1" thickBot="1" x14ac:dyDescent="0.2">
      <c r="A21" s="279"/>
      <c r="B21" s="305">
        <f t="shared" ref="B21:I21" si="0">B16</f>
        <v>12.500000000000002</v>
      </c>
      <c r="C21" s="323">
        <f t="shared" si="0"/>
        <v>482</v>
      </c>
      <c r="D21" s="306">
        <f t="shared" si="0"/>
        <v>2.5670000000000002</v>
      </c>
      <c r="E21" s="324">
        <f t="shared" si="0"/>
        <v>5.3200000000000001E-3</v>
      </c>
      <c r="F21" s="306">
        <f t="shared" si="0"/>
        <v>1440</v>
      </c>
      <c r="G21" s="306">
        <f>G16</f>
        <v>840</v>
      </c>
      <c r="H21" s="323">
        <f t="shared" si="0"/>
        <v>0.58330000000000004</v>
      </c>
      <c r="I21" s="307">
        <f t="shared" si="0"/>
        <v>4.6309999999999998E-4</v>
      </c>
      <c r="J21" s="279"/>
      <c r="K21" s="279"/>
      <c r="L21" s="279"/>
      <c r="M21" s="279"/>
      <c r="N21" s="279"/>
      <c r="O21" s="279"/>
    </row>
    <row r="22" spans="1:15" ht="15" customHeight="1" thickBot="1" x14ac:dyDescent="0.2">
      <c r="A22" s="279"/>
      <c r="B22" s="279"/>
      <c r="C22" s="279"/>
      <c r="D22" s="279"/>
      <c r="E22" s="279"/>
      <c r="F22" s="279"/>
      <c r="G22" s="279"/>
      <c r="H22" s="429"/>
      <c r="I22" s="279"/>
      <c r="J22" s="279"/>
      <c r="K22" s="279"/>
      <c r="L22" s="279"/>
      <c r="M22" s="279"/>
      <c r="N22" s="279"/>
      <c r="O22" s="279"/>
    </row>
    <row r="23" spans="1:15" ht="22.7" customHeight="1" x14ac:dyDescent="0.15">
      <c r="A23" s="279"/>
      <c r="B23" s="296" t="s">
        <v>211</v>
      </c>
      <c r="C23" s="461">
        <f>ROUND(SQRT((2.25*D26*H26)/I26),1)</f>
        <v>85.3</v>
      </c>
      <c r="D23" s="459"/>
      <c r="E23" s="289"/>
      <c r="F23" s="289"/>
      <c r="G23" s="289"/>
      <c r="H23" s="432"/>
      <c r="I23" s="308"/>
      <c r="J23" s="279"/>
      <c r="K23" s="279"/>
      <c r="L23" s="279"/>
      <c r="M23" s="279"/>
      <c r="N23" s="279"/>
      <c r="O23" s="279"/>
    </row>
    <row r="24" spans="1:15" ht="22.7" customHeight="1" x14ac:dyDescent="0.15">
      <c r="A24" s="279"/>
      <c r="B24" s="283"/>
      <c r="C24" s="282"/>
      <c r="D24" s="284"/>
      <c r="E24" s="284"/>
      <c r="F24" s="284"/>
      <c r="G24" s="284"/>
      <c r="H24" s="287"/>
      <c r="I24" s="285"/>
      <c r="J24" s="279"/>
      <c r="K24" s="279"/>
      <c r="L24" s="279"/>
      <c r="M24" s="279"/>
      <c r="N24" s="279"/>
      <c r="O24" s="279"/>
    </row>
    <row r="25" spans="1:15" ht="22.7" customHeight="1" x14ac:dyDescent="0.15">
      <c r="A25" s="279"/>
      <c r="B25" s="292" t="s">
        <v>205</v>
      </c>
      <c r="C25" s="287" t="s">
        <v>212</v>
      </c>
      <c r="D25" s="287" t="s">
        <v>213</v>
      </c>
      <c r="E25" s="287" t="s">
        <v>210</v>
      </c>
      <c r="F25" s="287" t="s">
        <v>207</v>
      </c>
      <c r="G25" s="287" t="s">
        <v>214</v>
      </c>
      <c r="H25" s="287" t="s">
        <v>24</v>
      </c>
      <c r="I25" s="293" t="s">
        <v>215</v>
      </c>
      <c r="J25" s="279"/>
      <c r="K25" s="279"/>
      <c r="L25" s="279"/>
      <c r="M25" s="279"/>
      <c r="N25" s="279"/>
      <c r="O25" s="279"/>
    </row>
    <row r="26" spans="1:15" ht="22.7" customHeight="1" thickBot="1" x14ac:dyDescent="0.2">
      <c r="A26" s="279"/>
      <c r="B26" s="309">
        <f t="shared" ref="B26:I26" si="1">B21</f>
        <v>12.500000000000002</v>
      </c>
      <c r="C26" s="295">
        <f t="shared" si="1"/>
        <v>482</v>
      </c>
      <c r="D26" s="427">
        <f t="shared" si="1"/>
        <v>2.5670000000000002</v>
      </c>
      <c r="E26" s="294">
        <f t="shared" si="1"/>
        <v>5.3200000000000001E-3</v>
      </c>
      <c r="F26" s="295">
        <f t="shared" si="1"/>
        <v>1440</v>
      </c>
      <c r="G26" s="295">
        <f t="shared" si="1"/>
        <v>840</v>
      </c>
      <c r="H26" s="428">
        <f>INT(G16/F16*10000)/10000</f>
        <v>0.58330000000000004</v>
      </c>
      <c r="I26" s="310">
        <f t="shared" si="1"/>
        <v>4.6309999999999998E-4</v>
      </c>
      <c r="J26" s="279"/>
      <c r="K26" s="279"/>
      <c r="L26" s="279"/>
      <c r="M26" s="279"/>
      <c r="N26" s="279"/>
      <c r="O26" s="279"/>
    </row>
    <row r="27" spans="1:15" ht="22.7" customHeight="1" x14ac:dyDescent="0.15">
      <c r="A27" s="279"/>
      <c r="B27" s="311" t="s">
        <v>216</v>
      </c>
      <c r="C27" s="312">
        <f>D16</f>
        <v>2.5670000000000002</v>
      </c>
      <c r="D27" s="319">
        <f>(C27/C16)*(100/86400)</f>
        <v>6.1640348855079148E-6</v>
      </c>
      <c r="E27" s="279" t="s">
        <v>217</v>
      </c>
      <c r="F27" s="279"/>
      <c r="G27" s="279"/>
      <c r="H27" s="429"/>
      <c r="I27" s="279"/>
      <c r="J27" s="279" t="s">
        <v>18</v>
      </c>
      <c r="K27" s="279"/>
      <c r="L27" s="279"/>
      <c r="M27" s="279"/>
      <c r="N27" s="279"/>
      <c r="O27" s="279"/>
    </row>
    <row r="28" spans="1:15" ht="22.7" customHeight="1" x14ac:dyDescent="0.15">
      <c r="A28" s="279"/>
      <c r="B28" s="311" t="s">
        <v>218</v>
      </c>
      <c r="C28" s="279">
        <f>I21</f>
        <v>4.6309999999999998E-4</v>
      </c>
      <c r="D28" s="279">
        <f>C27/C16*100/86400</f>
        <v>6.1640348855079157E-6</v>
      </c>
      <c r="E28" s="279"/>
      <c r="F28" s="279"/>
      <c r="G28" s="279"/>
      <c r="H28" s="429"/>
      <c r="I28" s="279"/>
      <c r="J28" s="279"/>
      <c r="K28" s="279"/>
      <c r="L28" s="279"/>
      <c r="M28" s="279"/>
      <c r="N28" s="279"/>
      <c r="O28" s="279"/>
    </row>
    <row r="29" spans="1:15" ht="22.7" customHeight="1" x14ac:dyDescent="0.15">
      <c r="A29" s="279"/>
      <c r="B29" s="311" t="s">
        <v>219</v>
      </c>
      <c r="C29" s="330">
        <f>(C13+C18+C23)/3</f>
        <v>45.066666666666663</v>
      </c>
      <c r="D29" s="279"/>
      <c r="E29" s="279"/>
      <c r="F29" s="279"/>
      <c r="G29" s="279"/>
      <c r="H29" s="429"/>
      <c r="I29" s="279"/>
      <c r="J29" s="279"/>
      <c r="K29" s="279"/>
      <c r="L29" s="279"/>
      <c r="M29" s="279"/>
      <c r="N29" s="279"/>
      <c r="O29" s="279"/>
    </row>
    <row r="30" spans="1:15" ht="22.7" customHeight="1" x14ac:dyDescent="0.15">
      <c r="A30" s="279"/>
      <c r="F30" s="279"/>
      <c r="G30" s="279"/>
      <c r="H30" s="429"/>
      <c r="I30" s="279"/>
      <c r="J30" s="279"/>
      <c r="K30" s="279"/>
      <c r="L30" s="279"/>
      <c r="M30" s="279"/>
      <c r="N30" s="279"/>
      <c r="O30" s="279"/>
    </row>
    <row r="31" spans="1:15" ht="22.7" customHeight="1" x14ac:dyDescent="0.15">
      <c r="A31" s="279"/>
      <c r="B31" s="279"/>
      <c r="C31" s="279"/>
      <c r="D31" s="279"/>
      <c r="E31" s="279"/>
      <c r="F31" s="279"/>
      <c r="G31" s="279"/>
      <c r="H31" s="429"/>
      <c r="I31" s="279"/>
      <c r="J31" s="279"/>
      <c r="K31" s="279"/>
      <c r="L31" s="279"/>
      <c r="M31" s="279"/>
      <c r="N31" s="279"/>
      <c r="O31" s="279"/>
    </row>
    <row r="32" spans="1:15" ht="22.7" customHeight="1" x14ac:dyDescent="0.15">
      <c r="A32" s="279"/>
      <c r="D32" s="279"/>
      <c r="E32" s="279"/>
      <c r="F32" s="279"/>
      <c r="G32" s="279"/>
      <c r="H32" s="429"/>
      <c r="I32" s="279"/>
      <c r="J32" s="279"/>
      <c r="K32" s="279"/>
      <c r="L32" s="279"/>
      <c r="M32" s="279"/>
      <c r="N32" s="279"/>
      <c r="O32" s="279"/>
    </row>
    <row r="33" spans="1:15" ht="22.7" customHeight="1" x14ac:dyDescent="0.15">
      <c r="A33" s="279"/>
      <c r="B33" s="279"/>
      <c r="C33" s="279"/>
      <c r="D33" s="279"/>
      <c r="E33" s="279"/>
      <c r="F33" s="279"/>
      <c r="G33" s="279"/>
      <c r="H33" s="429"/>
      <c r="I33" s="279"/>
      <c r="J33" s="279"/>
      <c r="K33" s="279"/>
      <c r="L33" s="279"/>
      <c r="M33" s="279"/>
      <c r="N33" s="279"/>
      <c r="O33" s="279"/>
    </row>
    <row r="34" spans="1:15" ht="22.7" customHeight="1" x14ac:dyDescent="0.15">
      <c r="A34" s="279"/>
      <c r="B34" s="279"/>
      <c r="C34" s="279"/>
      <c r="D34" s="279"/>
      <c r="E34" s="279"/>
      <c r="F34" s="279"/>
      <c r="G34" s="279"/>
      <c r="H34" s="429"/>
      <c r="I34" s="279"/>
      <c r="J34" s="279"/>
      <c r="K34" s="279"/>
      <c r="L34" s="279"/>
      <c r="M34" s="279"/>
      <c r="N34" s="279"/>
      <c r="O34" s="279"/>
    </row>
    <row r="35" spans="1:15" ht="22.7" customHeight="1" x14ac:dyDescent="0.15">
      <c r="A35" s="279"/>
      <c r="B35" s="279"/>
      <c r="C35" s="279"/>
      <c r="D35" s="279"/>
      <c r="E35" s="279"/>
      <c r="F35" s="279"/>
      <c r="G35" s="279"/>
      <c r="H35" s="429"/>
      <c r="I35" s="279"/>
      <c r="J35" s="279"/>
      <c r="K35" s="279"/>
      <c r="L35" s="279"/>
      <c r="M35" s="279"/>
      <c r="N35" s="279"/>
      <c r="O35" s="279"/>
    </row>
    <row r="36" spans="1:15" ht="22.7" customHeight="1" x14ac:dyDescent="0.15">
      <c r="A36" s="279"/>
      <c r="B36" s="279"/>
      <c r="C36" s="279"/>
      <c r="D36" s="279"/>
      <c r="E36" s="279"/>
      <c r="F36" s="279"/>
      <c r="G36" s="279"/>
      <c r="H36" s="429"/>
      <c r="I36" s="279"/>
      <c r="J36" s="279"/>
      <c r="K36" s="279"/>
      <c r="L36" s="279"/>
      <c r="M36" s="279"/>
      <c r="N36" s="279"/>
      <c r="O36" s="279"/>
    </row>
    <row r="37" spans="1:15" ht="22.7" customHeight="1" x14ac:dyDescent="0.15">
      <c r="A37" s="279"/>
      <c r="B37" s="279"/>
      <c r="C37" s="279"/>
      <c r="D37" s="279"/>
      <c r="E37" s="279"/>
      <c r="F37" s="279"/>
      <c r="G37" s="279"/>
      <c r="H37" s="429"/>
      <c r="I37" s="279"/>
      <c r="J37" s="279"/>
      <c r="K37" s="279"/>
      <c r="L37" s="279"/>
      <c r="M37" s="279"/>
      <c r="N37" s="279"/>
      <c r="O37" s="279"/>
    </row>
    <row r="38" spans="1:15" ht="22.7" customHeight="1" x14ac:dyDescent="0.15">
      <c r="A38" s="279"/>
      <c r="B38" s="279"/>
      <c r="C38" s="279"/>
      <c r="D38" s="279"/>
      <c r="E38" s="279"/>
      <c r="F38" s="279"/>
      <c r="G38" s="279"/>
      <c r="H38" s="429"/>
      <c r="I38" s="279"/>
      <c r="J38" s="279"/>
      <c r="K38" s="279"/>
      <c r="L38" s="279"/>
      <c r="M38" s="279"/>
      <c r="N38" s="279"/>
      <c r="O38" s="279"/>
    </row>
    <row r="39" spans="1:15" ht="22.7" customHeight="1" x14ac:dyDescent="0.15">
      <c r="A39" s="279"/>
      <c r="B39" s="279"/>
      <c r="C39" s="279"/>
      <c r="D39" s="279"/>
      <c r="E39" s="279"/>
      <c r="F39" s="279"/>
      <c r="G39" s="279"/>
      <c r="H39" s="429"/>
      <c r="I39" s="279"/>
      <c r="J39" s="279"/>
      <c r="K39" s="279"/>
      <c r="L39" s="279"/>
      <c r="M39" s="279"/>
      <c r="N39" s="279"/>
      <c r="O39" s="279"/>
    </row>
    <row r="40" spans="1:15" ht="16.5" x14ac:dyDescent="0.15">
      <c r="A40" s="279"/>
      <c r="B40" s="279"/>
      <c r="C40" s="279"/>
      <c r="D40" s="279"/>
      <c r="E40" s="279"/>
      <c r="F40" s="279"/>
      <c r="G40" s="279"/>
      <c r="H40" s="429"/>
      <c r="I40" s="279"/>
      <c r="J40" s="279"/>
      <c r="K40" s="279"/>
      <c r="L40" s="279"/>
      <c r="M40" s="279"/>
      <c r="N40" s="279"/>
      <c r="O40" s="279"/>
    </row>
    <row r="41" spans="1:15" ht="16.5" x14ac:dyDescent="0.15">
      <c r="A41" s="279"/>
      <c r="B41" s="279"/>
      <c r="C41" s="279"/>
      <c r="D41" s="279"/>
      <c r="E41" s="279"/>
      <c r="F41" s="279"/>
      <c r="G41" s="279"/>
      <c r="H41" s="429"/>
      <c r="I41" s="279"/>
      <c r="J41" s="279"/>
      <c r="K41" s="279"/>
      <c r="L41" s="279"/>
      <c r="M41" s="279"/>
      <c r="N41" s="279"/>
      <c r="O41" s="279"/>
    </row>
    <row r="42" spans="1:15" ht="16.5" x14ac:dyDescent="0.15">
      <c r="A42" s="279"/>
      <c r="B42" s="279"/>
      <c r="C42" s="279"/>
      <c r="D42" s="279"/>
      <c r="E42" s="279"/>
      <c r="F42" s="279"/>
      <c r="G42" s="279"/>
      <c r="H42" s="429"/>
      <c r="I42" s="279"/>
      <c r="J42" s="279"/>
      <c r="K42" s="279"/>
      <c r="L42" s="279"/>
      <c r="M42" s="279"/>
      <c r="N42" s="279"/>
      <c r="O42" s="279"/>
    </row>
    <row r="43" spans="1:15" ht="16.5" x14ac:dyDescent="0.15">
      <c r="A43" s="279"/>
      <c r="B43" s="279"/>
      <c r="C43" s="279"/>
      <c r="D43" s="279"/>
      <c r="E43" s="279"/>
      <c r="F43" s="279"/>
      <c r="G43" s="279"/>
      <c r="H43" s="429"/>
      <c r="I43" s="279"/>
      <c r="J43" s="279"/>
      <c r="K43" s="279"/>
      <c r="L43" s="279"/>
      <c r="M43" s="279"/>
      <c r="N43" s="279"/>
      <c r="O43" s="279"/>
    </row>
    <row r="44" spans="1:15" ht="16.5" x14ac:dyDescent="0.15">
      <c r="A44" s="279"/>
      <c r="B44" s="279"/>
      <c r="C44" s="279"/>
      <c r="D44" s="279"/>
      <c r="E44" s="279"/>
      <c r="F44" s="279"/>
      <c r="G44" s="279"/>
      <c r="H44" s="429"/>
      <c r="I44" s="279"/>
      <c r="J44" s="279"/>
      <c r="K44" s="279"/>
      <c r="L44" s="279"/>
      <c r="M44" s="279"/>
      <c r="N44" s="279"/>
      <c r="O44" s="279"/>
    </row>
    <row r="45" spans="1:15" ht="16.5" x14ac:dyDescent="0.15">
      <c r="A45" s="279"/>
      <c r="B45" s="279"/>
      <c r="C45" s="279"/>
      <c r="D45" s="279"/>
      <c r="E45" s="279"/>
      <c r="F45" s="279"/>
      <c r="G45" s="279"/>
      <c r="H45" s="429"/>
      <c r="I45" s="279"/>
      <c r="J45" s="279"/>
      <c r="K45" s="279"/>
      <c r="L45" s="279"/>
      <c r="M45" s="279"/>
      <c r="N45" s="279"/>
      <c r="O45" s="279"/>
    </row>
    <row r="46" spans="1:15" ht="16.5" x14ac:dyDescent="0.15">
      <c r="A46" s="279"/>
      <c r="B46" s="279"/>
      <c r="C46" s="279"/>
      <c r="D46" s="279"/>
      <c r="E46" s="279"/>
      <c r="F46" s="279"/>
      <c r="G46" s="279"/>
      <c r="H46" s="429"/>
      <c r="I46" s="279"/>
      <c r="J46" s="279"/>
      <c r="K46" s="279"/>
      <c r="L46" s="279"/>
      <c r="M46" s="279"/>
      <c r="N46" s="279"/>
      <c r="O46" s="279"/>
    </row>
    <row r="47" spans="1:15" ht="16.5" x14ac:dyDescent="0.15">
      <c r="A47" s="279"/>
      <c r="B47" s="279"/>
      <c r="C47" s="279"/>
      <c r="D47" s="279"/>
      <c r="E47" s="279"/>
      <c r="F47" s="279"/>
      <c r="G47" s="279"/>
      <c r="H47" s="429"/>
      <c r="I47" s="279"/>
      <c r="J47" s="279"/>
      <c r="K47" s="279"/>
      <c r="L47" s="279"/>
      <c r="M47" s="279"/>
      <c r="N47" s="279"/>
      <c r="O47" s="279"/>
    </row>
    <row r="48" spans="1:15" ht="16.5" x14ac:dyDescent="0.15">
      <c r="A48" s="279"/>
      <c r="B48" s="279"/>
      <c r="C48" s="279"/>
      <c r="D48" s="279"/>
      <c r="E48" s="279"/>
      <c r="F48" s="279"/>
      <c r="G48" s="279"/>
      <c r="H48" s="429"/>
      <c r="I48" s="279"/>
      <c r="J48" s="279"/>
      <c r="K48" s="279"/>
      <c r="L48" s="279"/>
      <c r="M48" s="279"/>
      <c r="N48" s="279"/>
      <c r="O48" s="279"/>
    </row>
    <row r="49" spans="1:15" ht="16.5" x14ac:dyDescent="0.15">
      <c r="A49" s="279"/>
      <c r="B49" s="279"/>
      <c r="C49" s="279"/>
      <c r="D49" s="279"/>
      <c r="E49" s="279"/>
      <c r="F49" s="279"/>
      <c r="G49" s="279"/>
      <c r="H49" s="429"/>
      <c r="I49" s="279"/>
      <c r="J49" s="279"/>
      <c r="K49" s="279"/>
      <c r="L49" s="279"/>
      <c r="M49" s="279"/>
      <c r="N49" s="279"/>
      <c r="O49" s="279"/>
    </row>
    <row r="50" spans="1:15" ht="16.5" x14ac:dyDescent="0.15">
      <c r="A50" s="279"/>
      <c r="B50" s="279"/>
      <c r="C50" s="279"/>
      <c r="D50" s="279"/>
      <c r="E50" s="279"/>
      <c r="F50" s="279"/>
      <c r="G50" s="279"/>
      <c r="H50" s="429"/>
      <c r="I50" s="279"/>
      <c r="J50" s="279"/>
      <c r="K50" s="279"/>
      <c r="L50" s="279"/>
      <c r="M50" s="279"/>
      <c r="N50" s="279"/>
      <c r="O50" s="279"/>
    </row>
    <row r="51" spans="1:15" ht="16.5" x14ac:dyDescent="0.15">
      <c r="A51" s="279"/>
      <c r="B51" s="279"/>
      <c r="C51" s="279"/>
      <c r="D51" s="279"/>
      <c r="E51" s="279"/>
      <c r="F51" s="279"/>
      <c r="G51" s="279"/>
      <c r="H51" s="429"/>
      <c r="I51" s="279"/>
      <c r="J51" s="279"/>
      <c r="K51" s="279"/>
      <c r="L51" s="279"/>
      <c r="M51" s="279"/>
      <c r="N51" s="279"/>
      <c r="O51" s="279"/>
    </row>
    <row r="52" spans="1:15" ht="16.5" x14ac:dyDescent="0.15">
      <c r="A52" s="279"/>
      <c r="B52" s="279"/>
      <c r="C52" s="279"/>
      <c r="D52" s="279"/>
      <c r="E52" s="279"/>
      <c r="F52" s="279"/>
      <c r="G52" s="279"/>
      <c r="H52" s="429"/>
      <c r="I52" s="279"/>
      <c r="J52" s="279"/>
      <c r="K52" s="279"/>
      <c r="L52" s="279"/>
      <c r="M52" s="279"/>
      <c r="N52" s="279"/>
      <c r="O52" s="279"/>
    </row>
    <row r="53" spans="1:15" ht="16.5" x14ac:dyDescent="0.15">
      <c r="A53" s="279"/>
      <c r="B53" s="279"/>
      <c r="C53" s="279"/>
      <c r="D53" s="279"/>
      <c r="E53" s="279"/>
      <c r="F53" s="279"/>
      <c r="G53" s="279"/>
      <c r="H53" s="429"/>
      <c r="I53" s="279"/>
      <c r="J53" s="279"/>
      <c r="K53" s="279"/>
      <c r="L53" s="279"/>
      <c r="M53" s="279"/>
      <c r="N53" s="279"/>
      <c r="O53" s="279"/>
    </row>
    <row r="54" spans="1:15" ht="16.5" x14ac:dyDescent="0.15">
      <c r="A54" s="279"/>
      <c r="B54" s="279"/>
      <c r="C54" s="279"/>
      <c r="D54" s="279"/>
      <c r="E54" s="279"/>
      <c r="F54" s="279"/>
      <c r="G54" s="279"/>
      <c r="H54" s="429"/>
      <c r="I54" s="279"/>
      <c r="J54" s="279"/>
      <c r="K54" s="279"/>
      <c r="L54" s="279"/>
      <c r="M54" s="279"/>
      <c r="N54" s="279"/>
      <c r="O54" s="279"/>
    </row>
    <row r="55" spans="1:15" ht="16.5" x14ac:dyDescent="0.15">
      <c r="A55" s="279"/>
      <c r="B55" s="279"/>
      <c r="C55" s="279"/>
      <c r="D55" s="279"/>
      <c r="E55" s="279"/>
      <c r="F55" s="279"/>
      <c r="G55" s="279"/>
      <c r="H55" s="429"/>
      <c r="I55" s="279"/>
      <c r="J55" s="279"/>
      <c r="K55" s="279"/>
      <c r="L55" s="279"/>
      <c r="M55" s="279"/>
      <c r="N55" s="279"/>
      <c r="O55" s="279"/>
    </row>
    <row r="56" spans="1:15" ht="16.5" x14ac:dyDescent="0.15">
      <c r="A56" s="279"/>
      <c r="B56" s="279"/>
      <c r="C56" s="279"/>
      <c r="D56" s="279"/>
      <c r="E56" s="279"/>
      <c r="F56" s="279"/>
      <c r="G56" s="279"/>
      <c r="H56" s="429"/>
      <c r="I56" s="279"/>
      <c r="J56" s="279"/>
      <c r="K56" s="279"/>
      <c r="L56" s="279"/>
      <c r="M56" s="279"/>
      <c r="N56" s="279"/>
      <c r="O56" s="279"/>
    </row>
    <row r="57" spans="1:15" ht="16.5" x14ac:dyDescent="0.15">
      <c r="A57" s="279"/>
      <c r="B57" s="279"/>
      <c r="C57" s="279"/>
      <c r="D57" s="279"/>
      <c r="E57" s="279"/>
      <c r="F57" s="279"/>
      <c r="G57" s="279"/>
      <c r="H57" s="429"/>
      <c r="I57" s="279"/>
      <c r="J57" s="279"/>
      <c r="K57" s="279"/>
      <c r="L57" s="279"/>
      <c r="M57" s="279"/>
      <c r="N57" s="279"/>
      <c r="O57" s="279"/>
    </row>
    <row r="58" spans="1:15" ht="16.5" x14ac:dyDescent="0.15">
      <c r="A58" s="279"/>
      <c r="B58" s="279"/>
      <c r="C58" s="279"/>
      <c r="D58" s="279"/>
      <c r="E58" s="279"/>
      <c r="F58" s="279"/>
      <c r="G58" s="279"/>
      <c r="H58" s="429"/>
      <c r="I58" s="279"/>
      <c r="J58" s="279"/>
      <c r="K58" s="279"/>
      <c r="L58" s="279"/>
      <c r="M58" s="279"/>
      <c r="N58" s="279"/>
      <c r="O58" s="279"/>
    </row>
    <row r="59" spans="1:15" ht="16.5" x14ac:dyDescent="0.15">
      <c r="A59" s="279"/>
      <c r="B59" s="279"/>
      <c r="C59" s="279"/>
      <c r="D59" s="279"/>
      <c r="E59" s="279"/>
      <c r="F59" s="279"/>
      <c r="G59" s="279"/>
      <c r="H59" s="429"/>
      <c r="I59" s="279"/>
      <c r="J59" s="279"/>
      <c r="K59" s="279"/>
      <c r="L59" s="279"/>
      <c r="M59" s="279"/>
      <c r="N59" s="279"/>
      <c r="O59" s="279"/>
    </row>
    <row r="60" spans="1:15" ht="16.5" x14ac:dyDescent="0.15">
      <c r="A60" s="279"/>
      <c r="B60" s="279"/>
      <c r="C60" s="279"/>
      <c r="D60" s="279"/>
      <c r="E60" s="279"/>
      <c r="F60" s="279"/>
      <c r="G60" s="279"/>
      <c r="H60" s="429"/>
      <c r="I60" s="279"/>
      <c r="J60" s="279"/>
      <c r="K60" s="279"/>
      <c r="L60" s="279"/>
      <c r="M60" s="279"/>
      <c r="N60" s="279"/>
      <c r="O60" s="279"/>
    </row>
    <row r="61" spans="1:15" ht="16.5" x14ac:dyDescent="0.15">
      <c r="A61" s="279"/>
      <c r="B61" s="279"/>
      <c r="C61" s="279"/>
      <c r="D61" s="279"/>
      <c r="E61" s="279"/>
      <c r="F61" s="279"/>
      <c r="G61" s="279"/>
      <c r="H61" s="429"/>
      <c r="I61" s="279"/>
      <c r="J61" s="279"/>
      <c r="K61" s="279"/>
      <c r="L61" s="279"/>
      <c r="M61" s="279"/>
      <c r="N61" s="279"/>
      <c r="O61" s="279"/>
    </row>
    <row r="62" spans="1:15" ht="16.5" x14ac:dyDescent="0.15">
      <c r="A62" s="279"/>
      <c r="B62" s="279"/>
      <c r="C62" s="279"/>
      <c r="D62" s="279"/>
      <c r="E62" s="279"/>
      <c r="F62" s="279"/>
      <c r="G62" s="279"/>
      <c r="H62" s="429"/>
      <c r="I62" s="279"/>
      <c r="J62" s="279"/>
      <c r="K62" s="279"/>
      <c r="L62" s="279"/>
      <c r="M62" s="279"/>
      <c r="N62" s="279"/>
      <c r="O62" s="279"/>
    </row>
    <row r="63" spans="1:15" ht="16.5" x14ac:dyDescent="0.15">
      <c r="A63" s="279"/>
      <c r="B63" s="279"/>
      <c r="C63" s="279"/>
      <c r="D63" s="279"/>
      <c r="E63" s="279"/>
      <c r="F63" s="279"/>
      <c r="G63" s="279"/>
      <c r="H63" s="429"/>
      <c r="I63" s="279"/>
      <c r="J63" s="279"/>
      <c r="K63" s="279"/>
      <c r="L63" s="279"/>
      <c r="M63" s="279"/>
      <c r="N63" s="279"/>
      <c r="O63" s="279"/>
    </row>
    <row r="64" spans="1:15" ht="16.5" x14ac:dyDescent="0.15">
      <c r="A64" s="279"/>
      <c r="B64" s="279"/>
      <c r="C64" s="279"/>
      <c r="D64" s="279"/>
      <c r="E64" s="279"/>
      <c r="F64" s="279"/>
      <c r="G64" s="279"/>
      <c r="H64" s="429"/>
      <c r="I64" s="279"/>
      <c r="J64" s="279"/>
      <c r="K64" s="279"/>
      <c r="L64" s="279"/>
      <c r="M64" s="279"/>
      <c r="N64" s="279"/>
      <c r="O64" s="279"/>
    </row>
    <row r="65" spans="1:15" ht="16.5" x14ac:dyDescent="0.15">
      <c r="A65" s="279"/>
      <c r="B65" s="279"/>
      <c r="C65" s="279"/>
      <c r="D65" s="279"/>
      <c r="E65" s="279"/>
      <c r="F65" s="279"/>
      <c r="G65" s="279"/>
      <c r="H65" s="429"/>
      <c r="I65" s="279"/>
      <c r="J65" s="279"/>
      <c r="K65" s="279"/>
      <c r="L65" s="279"/>
      <c r="M65" s="279"/>
      <c r="N65" s="279"/>
      <c r="O65" s="279"/>
    </row>
    <row r="66" spans="1:15" ht="16.5" x14ac:dyDescent="0.15">
      <c r="A66" s="279"/>
      <c r="B66" s="279"/>
      <c r="C66" s="279"/>
      <c r="D66" s="279"/>
      <c r="E66" s="279"/>
      <c r="F66" s="279"/>
      <c r="G66" s="279"/>
      <c r="H66" s="429"/>
      <c r="I66" s="279"/>
      <c r="J66" s="279"/>
      <c r="K66" s="279"/>
      <c r="L66" s="279"/>
      <c r="M66" s="279"/>
      <c r="N66" s="279"/>
      <c r="O66" s="279"/>
    </row>
    <row r="67" spans="1:15" ht="16.5" x14ac:dyDescent="0.15">
      <c r="A67" s="279"/>
      <c r="B67" s="279"/>
      <c r="C67" s="279"/>
      <c r="D67" s="279"/>
      <c r="E67" s="279"/>
      <c r="F67" s="279"/>
      <c r="G67" s="279"/>
      <c r="H67" s="429"/>
      <c r="I67" s="279"/>
      <c r="J67" s="279"/>
      <c r="K67" s="279"/>
      <c r="L67" s="279"/>
      <c r="M67" s="279"/>
      <c r="N67" s="279"/>
      <c r="O67" s="279"/>
    </row>
    <row r="68" spans="1:15" ht="16.5" x14ac:dyDescent="0.15">
      <c r="A68" s="279"/>
      <c r="B68" s="279"/>
      <c r="C68" s="279"/>
      <c r="D68" s="279"/>
      <c r="E68" s="279"/>
      <c r="F68" s="279"/>
      <c r="G68" s="279"/>
      <c r="H68" s="429"/>
      <c r="I68" s="279"/>
      <c r="J68" s="279"/>
      <c r="K68" s="279"/>
      <c r="L68" s="279"/>
      <c r="M68" s="279"/>
      <c r="N68" s="279"/>
      <c r="O68" s="279"/>
    </row>
    <row r="69" spans="1:15" ht="16.5" x14ac:dyDescent="0.15">
      <c r="A69" s="279"/>
      <c r="B69" s="279"/>
      <c r="C69" s="279"/>
      <c r="D69" s="279"/>
      <c r="E69" s="279"/>
      <c r="F69" s="279"/>
      <c r="G69" s="279"/>
      <c r="H69" s="429"/>
      <c r="I69" s="279"/>
      <c r="J69" s="279"/>
      <c r="K69" s="279"/>
      <c r="L69" s="279"/>
      <c r="M69" s="279"/>
      <c r="N69" s="279"/>
      <c r="O69" s="279"/>
    </row>
    <row r="70" spans="1:15" ht="16.5" x14ac:dyDescent="0.15">
      <c r="A70" s="279"/>
      <c r="B70" s="279"/>
      <c r="C70" s="279"/>
      <c r="D70" s="279"/>
      <c r="E70" s="279"/>
      <c r="F70" s="279"/>
      <c r="G70" s="279"/>
      <c r="H70" s="429"/>
      <c r="I70" s="279"/>
      <c r="J70" s="279"/>
      <c r="K70" s="279"/>
      <c r="L70" s="279"/>
      <c r="M70" s="279"/>
      <c r="N70" s="279"/>
      <c r="O70" s="279"/>
    </row>
    <row r="71" spans="1:15" ht="16.5" x14ac:dyDescent="0.15">
      <c r="A71" s="279"/>
      <c r="B71" s="279"/>
      <c r="C71" s="279"/>
      <c r="D71" s="279"/>
      <c r="E71" s="279"/>
      <c r="F71" s="279"/>
      <c r="G71" s="279"/>
      <c r="H71" s="429"/>
      <c r="I71" s="279"/>
      <c r="J71" s="279"/>
      <c r="K71" s="279"/>
      <c r="L71" s="279"/>
      <c r="M71" s="279"/>
      <c r="N71" s="279"/>
      <c r="O71" s="279"/>
    </row>
    <row r="72" spans="1:15" ht="16.5" x14ac:dyDescent="0.15">
      <c r="A72" s="279"/>
      <c r="B72" s="279"/>
      <c r="C72" s="279"/>
      <c r="D72" s="279"/>
      <c r="E72" s="279"/>
      <c r="F72" s="279"/>
      <c r="G72" s="279"/>
      <c r="H72" s="429"/>
      <c r="I72" s="279"/>
      <c r="J72" s="279"/>
      <c r="K72" s="279"/>
      <c r="L72" s="279"/>
      <c r="M72" s="279"/>
      <c r="N72" s="279"/>
      <c r="O72" s="279"/>
    </row>
    <row r="73" spans="1:15" ht="16.5" x14ac:dyDescent="0.15">
      <c r="A73" s="279"/>
      <c r="B73" s="279"/>
      <c r="C73" s="279"/>
      <c r="D73" s="279"/>
      <c r="E73" s="279"/>
      <c r="F73" s="279"/>
      <c r="G73" s="279"/>
      <c r="H73" s="429"/>
      <c r="I73" s="279"/>
      <c r="J73" s="279"/>
      <c r="K73" s="279"/>
      <c r="L73" s="279"/>
      <c r="M73" s="279"/>
      <c r="N73" s="279"/>
      <c r="O73" s="279"/>
    </row>
    <row r="74" spans="1:15" ht="16.5" x14ac:dyDescent="0.15">
      <c r="A74" s="279"/>
      <c r="B74" s="279"/>
      <c r="C74" s="279"/>
      <c r="D74" s="279"/>
      <c r="E74" s="279"/>
      <c r="F74" s="279"/>
      <c r="G74" s="279"/>
      <c r="H74" s="429"/>
      <c r="I74" s="279"/>
      <c r="J74" s="279"/>
      <c r="K74" s="279"/>
      <c r="L74" s="279"/>
      <c r="M74" s="279"/>
      <c r="N74" s="279"/>
      <c r="O74" s="279"/>
    </row>
    <row r="75" spans="1:15" ht="16.5" x14ac:dyDescent="0.15">
      <c r="A75" s="279"/>
      <c r="B75" s="279"/>
      <c r="C75" s="279"/>
      <c r="D75" s="279"/>
      <c r="E75" s="279"/>
      <c r="F75" s="279"/>
      <c r="G75" s="279"/>
      <c r="H75" s="429"/>
      <c r="I75" s="279"/>
      <c r="J75" s="279"/>
      <c r="K75" s="279"/>
      <c r="L75" s="279"/>
      <c r="M75" s="279"/>
      <c r="N75" s="279"/>
      <c r="O75" s="279"/>
    </row>
    <row r="76" spans="1:15" ht="16.5" x14ac:dyDescent="0.15">
      <c r="A76" s="279"/>
      <c r="B76" s="279"/>
      <c r="C76" s="279"/>
      <c r="D76" s="279"/>
      <c r="E76" s="279"/>
      <c r="F76" s="279"/>
      <c r="G76" s="279"/>
      <c r="H76" s="429"/>
      <c r="I76" s="279"/>
      <c r="J76" s="279"/>
      <c r="K76" s="279"/>
      <c r="L76" s="279"/>
      <c r="M76" s="279"/>
      <c r="N76" s="279"/>
      <c r="O76" s="279"/>
    </row>
    <row r="77" spans="1:15" ht="16.5" x14ac:dyDescent="0.15">
      <c r="A77" s="279"/>
      <c r="B77" s="279"/>
      <c r="C77" s="279"/>
      <c r="D77" s="279"/>
      <c r="E77" s="279"/>
      <c r="F77" s="279"/>
      <c r="G77" s="279"/>
      <c r="H77" s="429"/>
      <c r="I77" s="279"/>
      <c r="J77" s="279"/>
      <c r="K77" s="279"/>
      <c r="L77" s="279"/>
      <c r="M77" s="279"/>
      <c r="N77" s="279"/>
      <c r="O77" s="279"/>
    </row>
    <row r="78" spans="1:15" ht="16.5" x14ac:dyDescent="0.15">
      <c r="A78" s="279"/>
      <c r="B78" s="279"/>
      <c r="C78" s="279"/>
      <c r="D78" s="279"/>
      <c r="E78" s="279"/>
      <c r="F78" s="279"/>
      <c r="G78" s="279"/>
      <c r="H78" s="429"/>
      <c r="I78" s="279"/>
      <c r="J78" s="279"/>
      <c r="K78" s="279"/>
      <c r="L78" s="279"/>
      <c r="M78" s="279"/>
      <c r="N78" s="279"/>
      <c r="O78" s="279"/>
    </row>
    <row r="79" spans="1:15" ht="16.5" x14ac:dyDescent="0.15">
      <c r="A79" s="279"/>
      <c r="B79" s="279"/>
      <c r="C79" s="279"/>
      <c r="D79" s="279"/>
      <c r="E79" s="279"/>
      <c r="F79" s="279"/>
      <c r="G79" s="279"/>
      <c r="H79" s="429"/>
      <c r="I79" s="279"/>
      <c r="J79" s="279"/>
      <c r="K79" s="279"/>
      <c r="L79" s="279"/>
      <c r="M79" s="279"/>
      <c r="N79" s="279"/>
      <c r="O79" s="279"/>
    </row>
    <row r="80" spans="1:15" ht="16.5" x14ac:dyDescent="0.15">
      <c r="A80" s="279"/>
      <c r="B80" s="279"/>
      <c r="C80" s="279"/>
      <c r="D80" s="279"/>
      <c r="E80" s="279"/>
      <c r="F80" s="279"/>
      <c r="G80" s="279"/>
      <c r="H80" s="429"/>
      <c r="I80" s="279"/>
      <c r="J80" s="279"/>
      <c r="K80" s="279"/>
      <c r="L80" s="279"/>
      <c r="M80" s="279"/>
      <c r="N80" s="279"/>
      <c r="O80" s="279"/>
    </row>
    <row r="81" spans="1:15" ht="16.5" x14ac:dyDescent="0.15">
      <c r="A81" s="279"/>
      <c r="B81" s="279"/>
      <c r="C81" s="279"/>
      <c r="D81" s="279"/>
      <c r="E81" s="279"/>
      <c r="F81" s="279"/>
      <c r="G81" s="279"/>
      <c r="H81" s="429"/>
      <c r="I81" s="279"/>
      <c r="J81" s="279"/>
      <c r="K81" s="279"/>
      <c r="L81" s="279"/>
      <c r="M81" s="279"/>
      <c r="N81" s="279"/>
      <c r="O81" s="279"/>
    </row>
    <row r="82" spans="1:15" ht="16.5" x14ac:dyDescent="0.15">
      <c r="A82" s="279"/>
      <c r="B82" s="279"/>
      <c r="C82" s="279"/>
      <c r="D82" s="279"/>
      <c r="E82" s="279"/>
      <c r="F82" s="279"/>
      <c r="G82" s="279"/>
      <c r="H82" s="429"/>
      <c r="I82" s="279"/>
      <c r="J82" s="279"/>
      <c r="K82" s="279"/>
      <c r="L82" s="279"/>
      <c r="M82" s="279"/>
      <c r="N82" s="279"/>
      <c r="O82" s="279"/>
    </row>
    <row r="83" spans="1:15" ht="16.5" x14ac:dyDescent="0.15">
      <c r="A83" s="279"/>
      <c r="B83" s="279"/>
      <c r="C83" s="279"/>
      <c r="D83" s="279"/>
      <c r="E83" s="279"/>
      <c r="F83" s="279"/>
      <c r="G83" s="279"/>
      <c r="H83" s="429"/>
      <c r="I83" s="279"/>
      <c r="J83" s="279"/>
      <c r="K83" s="279"/>
      <c r="L83" s="279"/>
      <c r="M83" s="279"/>
      <c r="N83" s="279"/>
      <c r="O83" s="279"/>
    </row>
    <row r="84" spans="1:15" ht="16.5" x14ac:dyDescent="0.15">
      <c r="A84" s="279"/>
      <c r="B84" s="279"/>
      <c r="C84" s="279"/>
      <c r="D84" s="279"/>
      <c r="E84" s="279"/>
      <c r="F84" s="279"/>
      <c r="G84" s="279"/>
      <c r="H84" s="429"/>
      <c r="I84" s="279"/>
      <c r="J84" s="279"/>
      <c r="K84" s="279"/>
      <c r="L84" s="279"/>
      <c r="M84" s="279"/>
      <c r="N84" s="279"/>
      <c r="O84" s="279"/>
    </row>
    <row r="85" spans="1:15" ht="16.5" x14ac:dyDescent="0.15">
      <c r="A85" s="279"/>
      <c r="B85" s="279"/>
      <c r="C85" s="279"/>
      <c r="D85" s="279"/>
      <c r="E85" s="279"/>
      <c r="F85" s="279"/>
      <c r="G85" s="279"/>
      <c r="H85" s="429"/>
      <c r="I85" s="279"/>
      <c r="J85" s="279"/>
      <c r="K85" s="279"/>
      <c r="L85" s="279"/>
      <c r="M85" s="279"/>
      <c r="N85" s="279"/>
      <c r="O85" s="279"/>
    </row>
    <row r="86" spans="1:15" ht="16.5" x14ac:dyDescent="0.15">
      <c r="A86" s="279"/>
      <c r="B86" s="279"/>
      <c r="C86" s="279"/>
      <c r="D86" s="279"/>
      <c r="E86" s="279"/>
      <c r="F86" s="279"/>
      <c r="G86" s="279"/>
      <c r="H86" s="429"/>
      <c r="I86" s="279"/>
      <c r="J86" s="279"/>
      <c r="K86" s="279"/>
      <c r="L86" s="279"/>
      <c r="M86" s="279"/>
      <c r="N86" s="279"/>
      <c r="O86" s="279"/>
    </row>
    <row r="87" spans="1:15" ht="16.5" x14ac:dyDescent="0.15">
      <c r="A87" s="279"/>
      <c r="B87" s="279"/>
      <c r="C87" s="279"/>
      <c r="D87" s="279"/>
      <c r="E87" s="279"/>
      <c r="F87" s="279"/>
      <c r="G87" s="279"/>
      <c r="H87" s="429"/>
      <c r="I87" s="279"/>
      <c r="J87" s="279"/>
      <c r="K87" s="279"/>
      <c r="L87" s="279"/>
      <c r="M87" s="279"/>
      <c r="N87" s="279"/>
      <c r="O87" s="279"/>
    </row>
    <row r="88" spans="1:15" ht="16.5" x14ac:dyDescent="0.15">
      <c r="A88" s="279"/>
      <c r="B88" s="279"/>
      <c r="C88" s="279"/>
      <c r="D88" s="279"/>
      <c r="E88" s="279"/>
      <c r="F88" s="279"/>
      <c r="G88" s="279"/>
      <c r="H88" s="429"/>
      <c r="I88" s="279"/>
      <c r="J88" s="279"/>
      <c r="K88" s="279"/>
      <c r="L88" s="279"/>
      <c r="M88" s="279"/>
      <c r="N88" s="279"/>
      <c r="O88" s="279"/>
    </row>
    <row r="89" spans="1:15" ht="16.5" x14ac:dyDescent="0.15">
      <c r="A89" s="279"/>
      <c r="B89" s="279"/>
      <c r="C89" s="279"/>
      <c r="D89" s="279"/>
      <c r="E89" s="279"/>
      <c r="F89" s="279"/>
      <c r="G89" s="279"/>
      <c r="H89" s="429"/>
      <c r="I89" s="279"/>
      <c r="J89" s="279"/>
      <c r="K89" s="279"/>
      <c r="L89" s="279"/>
      <c r="M89" s="279"/>
      <c r="N89" s="279"/>
      <c r="O89" s="279"/>
    </row>
    <row r="90" spans="1:15" ht="16.5" x14ac:dyDescent="0.15">
      <c r="A90" s="279"/>
      <c r="B90" s="279"/>
      <c r="C90" s="279"/>
      <c r="D90" s="279"/>
      <c r="E90" s="279"/>
      <c r="F90" s="279"/>
      <c r="G90" s="279"/>
      <c r="H90" s="429"/>
      <c r="I90" s="279"/>
      <c r="J90" s="279"/>
      <c r="K90" s="279"/>
      <c r="L90" s="279"/>
      <c r="M90" s="279"/>
      <c r="N90" s="279"/>
      <c r="O90" s="279"/>
    </row>
    <row r="91" spans="1:15" ht="16.5" x14ac:dyDescent="0.15">
      <c r="A91" s="279"/>
      <c r="B91" s="279"/>
      <c r="C91" s="279"/>
      <c r="D91" s="279"/>
      <c r="E91" s="279"/>
      <c r="F91" s="279"/>
      <c r="G91" s="279"/>
      <c r="H91" s="429"/>
      <c r="I91" s="279"/>
      <c r="J91" s="279"/>
      <c r="K91" s="279"/>
      <c r="L91" s="279"/>
      <c r="M91" s="279"/>
      <c r="N91" s="279"/>
      <c r="O91" s="279"/>
    </row>
    <row r="92" spans="1:15" ht="16.5" x14ac:dyDescent="0.15">
      <c r="A92" s="279"/>
      <c r="B92" s="279"/>
      <c r="C92" s="279"/>
      <c r="D92" s="279"/>
      <c r="E92" s="279"/>
      <c r="F92" s="279"/>
      <c r="G92" s="279"/>
      <c r="H92" s="429"/>
      <c r="I92" s="279"/>
      <c r="J92" s="279"/>
      <c r="K92" s="279"/>
      <c r="L92" s="279"/>
      <c r="M92" s="279"/>
      <c r="N92" s="279"/>
      <c r="O92" s="279"/>
    </row>
    <row r="93" spans="1:15" ht="16.5" x14ac:dyDescent="0.15">
      <c r="A93" s="279"/>
      <c r="B93" s="279"/>
      <c r="C93" s="279"/>
      <c r="D93" s="279"/>
      <c r="E93" s="279"/>
      <c r="F93" s="279"/>
      <c r="G93" s="279"/>
      <c r="H93" s="429"/>
      <c r="I93" s="279"/>
      <c r="J93" s="279"/>
      <c r="K93" s="279"/>
      <c r="L93" s="279"/>
      <c r="M93" s="279"/>
      <c r="N93" s="279"/>
      <c r="O93" s="279"/>
    </row>
    <row r="94" spans="1:15" ht="16.5" x14ac:dyDescent="0.15">
      <c r="A94" s="279"/>
      <c r="B94" s="279"/>
      <c r="C94" s="279"/>
      <c r="D94" s="279"/>
      <c r="E94" s="279"/>
      <c r="F94" s="279"/>
      <c r="G94" s="279"/>
      <c r="H94" s="429"/>
      <c r="I94" s="279"/>
      <c r="J94" s="279"/>
      <c r="K94" s="279"/>
      <c r="L94" s="279"/>
      <c r="M94" s="279"/>
      <c r="N94" s="279"/>
      <c r="O94" s="279"/>
    </row>
    <row r="95" spans="1:15" ht="16.5" x14ac:dyDescent="0.15">
      <c r="A95" s="279"/>
      <c r="B95" s="279"/>
      <c r="C95" s="279"/>
      <c r="D95" s="279"/>
      <c r="E95" s="279"/>
      <c r="F95" s="279"/>
      <c r="G95" s="279"/>
      <c r="H95" s="429"/>
      <c r="I95" s="279"/>
      <c r="J95" s="279"/>
      <c r="K95" s="279"/>
      <c r="L95" s="279"/>
      <c r="M95" s="279"/>
      <c r="N95" s="279"/>
      <c r="O95" s="279"/>
    </row>
    <row r="96" spans="1:15" ht="16.5" x14ac:dyDescent="0.15">
      <c r="A96" s="279"/>
      <c r="B96" s="279"/>
      <c r="C96" s="279"/>
      <c r="D96" s="279"/>
      <c r="E96" s="279"/>
      <c r="F96" s="279"/>
      <c r="G96" s="279"/>
      <c r="H96" s="429"/>
      <c r="I96" s="279"/>
      <c r="J96" s="279"/>
      <c r="K96" s="279"/>
      <c r="L96" s="279"/>
      <c r="M96" s="279"/>
      <c r="N96" s="279"/>
      <c r="O96" s="279"/>
    </row>
    <row r="97" spans="1:15" ht="16.5" x14ac:dyDescent="0.15">
      <c r="A97" s="279"/>
      <c r="B97" s="279"/>
      <c r="C97" s="279"/>
      <c r="D97" s="279"/>
      <c r="E97" s="279"/>
      <c r="F97" s="279"/>
      <c r="G97" s="279"/>
      <c r="H97" s="429"/>
      <c r="I97" s="279"/>
      <c r="J97" s="279"/>
      <c r="K97" s="279"/>
      <c r="L97" s="279"/>
      <c r="M97" s="279"/>
      <c r="N97" s="279"/>
      <c r="O97" s="279"/>
    </row>
    <row r="98" spans="1:15" ht="16.5" x14ac:dyDescent="0.15">
      <c r="A98" s="279"/>
      <c r="B98" s="279"/>
      <c r="C98" s="279"/>
      <c r="D98" s="279"/>
      <c r="E98" s="279"/>
      <c r="F98" s="279"/>
      <c r="G98" s="279"/>
      <c r="H98" s="429"/>
      <c r="I98" s="279"/>
      <c r="J98" s="279"/>
      <c r="K98" s="279"/>
      <c r="L98" s="279"/>
      <c r="M98" s="279"/>
      <c r="N98" s="279"/>
      <c r="O98" s="279"/>
    </row>
    <row r="99" spans="1:15" ht="16.5" x14ac:dyDescent="0.15">
      <c r="A99" s="279"/>
      <c r="B99" s="279"/>
      <c r="C99" s="279"/>
      <c r="D99" s="279"/>
      <c r="E99" s="279"/>
      <c r="F99" s="279"/>
      <c r="G99" s="279"/>
      <c r="H99" s="429"/>
      <c r="I99" s="279"/>
      <c r="J99" s="279"/>
      <c r="K99" s="279"/>
      <c r="L99" s="279"/>
      <c r="M99" s="279"/>
      <c r="N99" s="279"/>
      <c r="O99" s="279"/>
    </row>
    <row r="100" spans="1:15" ht="16.5" x14ac:dyDescent="0.15">
      <c r="A100" s="279"/>
      <c r="B100" s="279"/>
      <c r="C100" s="279"/>
      <c r="D100" s="279"/>
      <c r="E100" s="279"/>
      <c r="F100" s="279"/>
      <c r="G100" s="279"/>
      <c r="H100" s="429"/>
      <c r="I100" s="279"/>
      <c r="J100" s="279"/>
      <c r="K100" s="279"/>
      <c r="L100" s="279"/>
      <c r="M100" s="279"/>
      <c r="N100" s="279"/>
      <c r="O100" s="279"/>
    </row>
    <row r="101" spans="1:15" ht="16.5" x14ac:dyDescent="0.15">
      <c r="A101" s="279"/>
      <c r="B101" s="279"/>
      <c r="C101" s="279"/>
      <c r="D101" s="279"/>
      <c r="E101" s="279"/>
      <c r="F101" s="279"/>
      <c r="G101" s="279"/>
      <c r="H101" s="429"/>
      <c r="I101" s="279"/>
      <c r="J101" s="279"/>
      <c r="K101" s="279"/>
      <c r="L101" s="279"/>
      <c r="M101" s="279"/>
      <c r="N101" s="279"/>
      <c r="O101" s="279"/>
    </row>
    <row r="102" spans="1:15" ht="16.5" x14ac:dyDescent="0.15">
      <c r="A102" s="279"/>
      <c r="B102" s="279"/>
      <c r="C102" s="279"/>
      <c r="D102" s="279"/>
      <c r="E102" s="279"/>
      <c r="F102" s="279"/>
      <c r="G102" s="279"/>
      <c r="H102" s="429"/>
      <c r="I102" s="279"/>
      <c r="J102" s="279"/>
      <c r="K102" s="279"/>
      <c r="L102" s="279"/>
      <c r="M102" s="279"/>
      <c r="N102" s="279"/>
      <c r="O102" s="279"/>
    </row>
    <row r="103" spans="1:15" ht="16.5" x14ac:dyDescent="0.15">
      <c r="A103" s="279"/>
      <c r="B103" s="279"/>
      <c r="C103" s="279"/>
      <c r="D103" s="279"/>
      <c r="E103" s="279"/>
      <c r="F103" s="279"/>
      <c r="G103" s="279"/>
      <c r="H103" s="429"/>
      <c r="I103" s="279"/>
      <c r="J103" s="279"/>
      <c r="K103" s="279"/>
      <c r="L103" s="279"/>
      <c r="M103" s="279"/>
      <c r="N103" s="279"/>
      <c r="O103" s="279"/>
    </row>
    <row r="104" spans="1:15" ht="16.5" x14ac:dyDescent="0.15">
      <c r="A104" s="279"/>
      <c r="B104" s="279"/>
      <c r="C104" s="279"/>
      <c r="D104" s="279"/>
      <c r="E104" s="279"/>
      <c r="F104" s="279"/>
      <c r="G104" s="279"/>
      <c r="H104" s="429"/>
      <c r="I104" s="279"/>
      <c r="J104" s="279"/>
      <c r="K104" s="279"/>
      <c r="L104" s="279"/>
      <c r="M104" s="279"/>
      <c r="N104" s="279"/>
      <c r="O104" s="279"/>
    </row>
    <row r="105" spans="1:15" ht="16.5" x14ac:dyDescent="0.15">
      <c r="A105" s="279"/>
      <c r="B105" s="279"/>
      <c r="C105" s="279"/>
      <c r="D105" s="279"/>
      <c r="E105" s="279"/>
      <c r="F105" s="279"/>
      <c r="G105" s="279"/>
      <c r="H105" s="429"/>
      <c r="I105" s="279"/>
      <c r="J105" s="279"/>
      <c r="K105" s="279"/>
      <c r="L105" s="279"/>
      <c r="M105" s="279"/>
      <c r="N105" s="279"/>
      <c r="O105" s="279"/>
    </row>
    <row r="106" spans="1:15" ht="16.5" x14ac:dyDescent="0.15">
      <c r="A106" s="279"/>
      <c r="B106" s="279"/>
      <c r="C106" s="279"/>
      <c r="D106" s="279"/>
      <c r="E106" s="279"/>
      <c r="F106" s="279"/>
      <c r="G106" s="279"/>
      <c r="H106" s="429"/>
      <c r="I106" s="279"/>
      <c r="J106" s="279"/>
      <c r="K106" s="279"/>
      <c r="L106" s="279"/>
      <c r="M106" s="279"/>
      <c r="N106" s="279"/>
      <c r="O106" s="279"/>
    </row>
    <row r="107" spans="1:15" ht="16.5" x14ac:dyDescent="0.15">
      <c r="A107" s="279"/>
      <c r="B107" s="279"/>
      <c r="C107" s="279"/>
      <c r="D107" s="279"/>
      <c r="E107" s="279"/>
      <c r="F107" s="279"/>
      <c r="G107" s="279"/>
      <c r="H107" s="429"/>
      <c r="I107" s="279"/>
      <c r="J107" s="279"/>
      <c r="K107" s="279"/>
      <c r="L107" s="279"/>
      <c r="M107" s="279"/>
      <c r="N107" s="279"/>
      <c r="O107" s="279"/>
    </row>
    <row r="108" spans="1:15" ht="16.5" x14ac:dyDescent="0.15">
      <c r="A108" s="279"/>
      <c r="B108" s="279"/>
      <c r="C108" s="279"/>
      <c r="D108" s="279"/>
      <c r="E108" s="279"/>
      <c r="F108" s="279"/>
      <c r="G108" s="279"/>
      <c r="H108" s="429"/>
      <c r="I108" s="279"/>
      <c r="J108" s="279"/>
      <c r="K108" s="279"/>
      <c r="L108" s="279"/>
      <c r="M108" s="279"/>
      <c r="N108" s="279"/>
      <c r="O108" s="279"/>
    </row>
    <row r="109" spans="1:15" ht="16.5" x14ac:dyDescent="0.15">
      <c r="A109" s="279"/>
      <c r="B109" s="279"/>
      <c r="C109" s="279"/>
      <c r="D109" s="279"/>
      <c r="E109" s="279"/>
      <c r="F109" s="279"/>
      <c r="G109" s="279"/>
      <c r="H109" s="429"/>
      <c r="I109" s="279"/>
      <c r="J109" s="279"/>
      <c r="K109" s="279"/>
      <c r="L109" s="279"/>
      <c r="M109" s="279"/>
      <c r="N109" s="279"/>
      <c r="O109" s="279"/>
    </row>
    <row r="110" spans="1:15" ht="16.5" x14ac:dyDescent="0.15">
      <c r="A110" s="279"/>
      <c r="B110" s="279"/>
      <c r="C110" s="279"/>
      <c r="D110" s="279"/>
      <c r="E110" s="279"/>
      <c r="F110" s="279"/>
      <c r="G110" s="279"/>
      <c r="H110" s="429"/>
      <c r="I110" s="279"/>
      <c r="J110" s="279"/>
      <c r="K110" s="279"/>
      <c r="L110" s="279"/>
      <c r="M110" s="279"/>
      <c r="N110" s="279"/>
      <c r="O110" s="279"/>
    </row>
    <row r="111" spans="1:15" ht="16.5" x14ac:dyDescent="0.15">
      <c r="A111" s="279"/>
      <c r="B111" s="279"/>
      <c r="C111" s="279"/>
      <c r="D111" s="279"/>
      <c r="E111" s="279"/>
      <c r="F111" s="279"/>
      <c r="G111" s="279"/>
      <c r="H111" s="429"/>
      <c r="I111" s="279"/>
      <c r="J111" s="279"/>
      <c r="K111" s="279"/>
      <c r="L111" s="279"/>
      <c r="M111" s="279"/>
      <c r="N111" s="279"/>
      <c r="O111" s="279"/>
    </row>
    <row r="112" spans="1:15" ht="16.5" x14ac:dyDescent="0.15">
      <c r="A112" s="279"/>
      <c r="B112" s="279"/>
      <c r="C112" s="279"/>
      <c r="D112" s="279"/>
      <c r="E112" s="279"/>
      <c r="F112" s="279"/>
      <c r="G112" s="279"/>
      <c r="H112" s="429"/>
      <c r="I112" s="279"/>
      <c r="J112" s="279"/>
      <c r="K112" s="279"/>
      <c r="L112" s="279"/>
      <c r="M112" s="279"/>
      <c r="N112" s="279"/>
      <c r="O112" s="279"/>
    </row>
    <row r="113" spans="1:15" ht="16.5" x14ac:dyDescent="0.15">
      <c r="A113" s="279"/>
      <c r="B113" s="279"/>
      <c r="C113" s="279"/>
      <c r="D113" s="279"/>
      <c r="E113" s="279"/>
      <c r="F113" s="279"/>
      <c r="G113" s="279"/>
      <c r="H113" s="429"/>
      <c r="I113" s="279"/>
      <c r="J113" s="279"/>
      <c r="K113" s="279"/>
      <c r="L113" s="279"/>
      <c r="M113" s="279"/>
      <c r="N113" s="279"/>
      <c r="O113" s="279"/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4</xdr:row>
                <xdr:rowOff>19050</xdr:rowOff>
              </from>
              <to>
                <xdr:col>11</xdr:col>
                <xdr:colOff>552450</xdr:colOff>
                <xdr:row>6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68BF501-C310-4A22-A95B-18C51C3DA433}">
          <x14:formula1>
            <xm:f>REF!$G$4:$G$5</xm:f>
          </x14:formula1>
          <xm:sqref>F4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27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 x14ac:dyDescent="0.1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533" t="s">
        <v>192</v>
      </c>
      <c r="B4" s="533"/>
      <c r="C4" s="205" t="str">
        <f>입력표!I44</f>
        <v>경북대학교 융합교육정보관 신축 기계관급(지열시스템)구매설치</v>
      </c>
      <c r="D4" s="206"/>
      <c r="E4" s="206"/>
      <c r="F4" s="206"/>
      <c r="G4" s="206"/>
      <c r="H4" s="207"/>
      <c r="I4" s="208"/>
      <c r="P4" s="3">
        <v>1</v>
      </c>
      <c r="Q4" s="64"/>
      <c r="R4" s="14">
        <f>B12</f>
        <v>33</v>
      </c>
      <c r="S4" s="3">
        <f>$R$4</f>
        <v>33</v>
      </c>
      <c r="T4" s="339">
        <v>3.0498954350479797</v>
      </c>
      <c r="U4" s="89">
        <f>입력표!M44/2/1000</f>
        <v>0.1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5.8997979902364062</v>
      </c>
      <c r="Z4" s="13">
        <f>Z22</f>
        <v>4.8973520633880172</v>
      </c>
      <c r="AA4" s="10">
        <f>$Z$4</f>
        <v>4.8973520633880172</v>
      </c>
      <c r="AB4" s="10">
        <f>X4</f>
        <v>1</v>
      </c>
      <c r="AC4" s="10">
        <f>Y4-AA4</f>
        <v>1.002445926848389</v>
      </c>
      <c r="AD4" s="78">
        <f>INT((AC4-AE4)*100)/100</f>
        <v>1</v>
      </c>
      <c r="AE4" s="6">
        <f>Q4</f>
        <v>0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533" t="s">
        <v>45</v>
      </c>
      <c r="B5" s="533"/>
      <c r="C5" s="209" t="str">
        <f>입력표!I45</f>
        <v>복현지구</v>
      </c>
      <c r="D5" s="206"/>
      <c r="E5" s="206"/>
      <c r="F5" s="210"/>
      <c r="G5" s="206"/>
      <c r="H5" s="211" t="str">
        <f>입력표!J48</f>
        <v>공  번 : W - 9</v>
      </c>
      <c r="I5" s="212"/>
      <c r="P5" s="3">
        <v>2</v>
      </c>
      <c r="Q5" s="64"/>
      <c r="S5" s="3">
        <f t="shared" ref="S5:S23" si="3">$R$4</f>
        <v>33</v>
      </c>
      <c r="T5" s="3">
        <f>$T4</f>
        <v>3.0498954350479797</v>
      </c>
      <c r="U5" s="93">
        <f>$U4</f>
        <v>0.1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6.4959496182598171</v>
      </c>
      <c r="AA5" s="10">
        <f t="shared" ref="AA5:AA23" si="5">$Z$4</f>
        <v>4.8973520633880172</v>
      </c>
      <c r="AB5" s="10">
        <f t="shared" ref="AB5:AB43" si="6">X5</f>
        <v>2</v>
      </c>
      <c r="AC5" s="10">
        <f t="shared" ref="AC5:AC43" si="7">Y5-AA5</f>
        <v>1.5985975548717999</v>
      </c>
      <c r="AD5" s="78">
        <f t="shared" ref="AD5:AD16" si="8">INT((AC5-AE5)*100)/100</f>
        <v>1.59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533" t="s">
        <v>46</v>
      </c>
      <c r="B6" s="533"/>
      <c r="C6" s="213" t="str">
        <f>입력표!I46</f>
        <v>대구광역시 북구 복현동 573번지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33</v>
      </c>
      <c r="T6" s="3">
        <f t="shared" ref="T6:T51" si="10">$T5</f>
        <v>3.0498954350479797</v>
      </c>
      <c r="U6" s="93">
        <f t="shared" ref="U6:U51" si="11">$U5</f>
        <v>0.1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6.8446759653973812</v>
      </c>
      <c r="AA6" s="10">
        <f t="shared" si="5"/>
        <v>4.8973520633880172</v>
      </c>
      <c r="AB6" s="10">
        <f t="shared" si="6"/>
        <v>3</v>
      </c>
      <c r="AC6" s="10">
        <f t="shared" si="7"/>
        <v>1.947323902009364</v>
      </c>
      <c r="AD6" s="78">
        <f t="shared" si="8"/>
        <v>1.94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533" t="s">
        <v>165</v>
      </c>
      <c r="B7" s="533"/>
      <c r="C7" s="214" t="str">
        <f>입력표!I47</f>
        <v>주식회사 한일지하수</v>
      </c>
      <c r="D7" s="215"/>
      <c r="E7" s="206"/>
      <c r="F7" s="216"/>
      <c r="G7" s="217" t="str">
        <f>입력표!I49</f>
        <v>복현지구</v>
      </c>
      <c r="H7" s="218"/>
      <c r="I7" s="219"/>
      <c r="P7" s="3">
        <v>4</v>
      </c>
      <c r="Q7" s="64"/>
      <c r="S7" s="3">
        <f t="shared" si="3"/>
        <v>33</v>
      </c>
      <c r="T7" s="3">
        <f t="shared" si="10"/>
        <v>3.0498954350479797</v>
      </c>
      <c r="U7" s="93">
        <f t="shared" si="11"/>
        <v>0.1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7.0921012462832289</v>
      </c>
      <c r="AA7" s="10">
        <f t="shared" si="5"/>
        <v>4.8973520633880172</v>
      </c>
      <c r="AB7" s="10">
        <f t="shared" si="6"/>
        <v>4</v>
      </c>
      <c r="AC7" s="10">
        <f t="shared" si="7"/>
        <v>2.1947491828952117</v>
      </c>
      <c r="AD7" s="78">
        <f t="shared" si="8"/>
        <v>2.19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0" t="s">
        <v>5</v>
      </c>
      <c r="B8" s="220"/>
      <c r="C8" s="534">
        <f>입력표!I48</f>
        <v>5</v>
      </c>
      <c r="D8" s="535"/>
      <c r="E8" s="536"/>
      <c r="F8" s="221" t="s">
        <v>6</v>
      </c>
      <c r="G8" s="217" t="str">
        <f>G7</f>
        <v>복현지구</v>
      </c>
      <c r="H8" s="218"/>
      <c r="I8" s="222"/>
      <c r="K8" s="372"/>
      <c r="P8" s="3">
        <v>5</v>
      </c>
      <c r="Q8" s="64"/>
      <c r="S8" s="3">
        <f t="shared" si="3"/>
        <v>33</v>
      </c>
      <c r="T8" s="3">
        <f t="shared" si="10"/>
        <v>3.0498954350479797</v>
      </c>
      <c r="U8" s="93">
        <f t="shared" si="11"/>
        <v>0.1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7.2840192041568059</v>
      </c>
      <c r="AA8" s="10">
        <f t="shared" si="5"/>
        <v>4.8973520633880172</v>
      </c>
      <c r="AB8" s="10">
        <f t="shared" si="6"/>
        <v>5</v>
      </c>
      <c r="AC8" s="10">
        <f t="shared" si="7"/>
        <v>2.3866671407687887</v>
      </c>
      <c r="AD8" s="78">
        <f t="shared" si="8"/>
        <v>2.38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0" t="s">
        <v>7</v>
      </c>
      <c r="B9" s="220"/>
      <c r="C9" s="223" t="s">
        <v>168</v>
      </c>
      <c r="D9" s="537">
        <f>입력표!M44</f>
        <v>200</v>
      </c>
      <c r="E9" s="537"/>
      <c r="F9" s="204" t="s">
        <v>8</v>
      </c>
      <c r="G9" s="527">
        <f>입력표!M45</f>
        <v>500</v>
      </c>
      <c r="H9" s="527"/>
      <c r="I9" s="204"/>
      <c r="P9" s="3">
        <v>10</v>
      </c>
      <c r="Q9" s="64"/>
      <c r="S9" s="3">
        <f t="shared" si="3"/>
        <v>33</v>
      </c>
      <c r="T9" s="3">
        <f t="shared" si="10"/>
        <v>3.0498954350479797</v>
      </c>
      <c r="U9" s="93">
        <f t="shared" si="11"/>
        <v>0.1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7.8801708321802186</v>
      </c>
      <c r="AA9" s="10">
        <f t="shared" si="5"/>
        <v>4.8973520633880172</v>
      </c>
      <c r="AB9" s="10">
        <f t="shared" si="6"/>
        <v>10</v>
      </c>
      <c r="AC9" s="10">
        <f t="shared" si="7"/>
        <v>2.9828187687922014</v>
      </c>
      <c r="AD9" s="78">
        <f t="shared" si="8"/>
        <v>2.98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0" t="s">
        <v>4</v>
      </c>
      <c r="B10" s="220"/>
      <c r="C10" s="223" t="s">
        <v>169</v>
      </c>
      <c r="D10" s="530">
        <f>입력표!M48</f>
        <v>13.6</v>
      </c>
      <c r="E10" s="531"/>
      <c r="F10" s="224" t="s">
        <v>0</v>
      </c>
      <c r="G10" s="528" t="s">
        <v>0</v>
      </c>
      <c r="H10" s="528"/>
      <c r="I10" s="212"/>
      <c r="P10" s="3">
        <v>15</v>
      </c>
      <c r="Q10" s="64"/>
      <c r="S10" s="3">
        <f t="shared" si="3"/>
        <v>33</v>
      </c>
      <c r="T10" s="3">
        <f t="shared" si="10"/>
        <v>3.0498954350479797</v>
      </c>
      <c r="U10" s="93">
        <f t="shared" si="11"/>
        <v>0.1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8.2288971793177819</v>
      </c>
      <c r="AA10" s="10">
        <f t="shared" si="5"/>
        <v>4.8973520633880172</v>
      </c>
      <c r="AB10" s="10">
        <f t="shared" si="6"/>
        <v>15</v>
      </c>
      <c r="AC10" s="10">
        <f t="shared" si="7"/>
        <v>3.3315451159297647</v>
      </c>
      <c r="AD10" s="78">
        <f t="shared" si="8"/>
        <v>3.33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04" t="s">
        <v>10</v>
      </c>
      <c r="B11" s="225" t="s">
        <v>170</v>
      </c>
      <c r="C11" s="223" t="s">
        <v>171</v>
      </c>
      <c r="D11" s="532" t="s">
        <v>172</v>
      </c>
      <c r="E11" s="532"/>
      <c r="F11" s="225" t="s">
        <v>173</v>
      </c>
      <c r="G11" s="529" t="s">
        <v>174</v>
      </c>
      <c r="H11" s="529"/>
      <c r="I11" s="204" t="s">
        <v>164</v>
      </c>
      <c r="J11" s="371">
        <f>G12-J13</f>
        <v>0.40999999999999992</v>
      </c>
      <c r="P11" s="3">
        <v>20</v>
      </c>
      <c r="Q11" s="64"/>
      <c r="S11" s="3">
        <f t="shared" si="3"/>
        <v>33</v>
      </c>
      <c r="T11" s="3">
        <f t="shared" si="10"/>
        <v>3.0498954350479797</v>
      </c>
      <c r="U11" s="93">
        <f t="shared" si="11"/>
        <v>0.1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8.4763224602036296</v>
      </c>
      <c r="AA11" s="10">
        <f t="shared" si="5"/>
        <v>4.8973520633880172</v>
      </c>
      <c r="AB11" s="10">
        <f t="shared" si="6"/>
        <v>20</v>
      </c>
      <c r="AC11" s="10">
        <f t="shared" si="7"/>
        <v>3.5789703968156124</v>
      </c>
      <c r="AD11" s="78">
        <f t="shared" si="8"/>
        <v>3.57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199">
        <v>1</v>
      </c>
      <c r="B12" s="200">
        <f>입력표!D20</f>
        <v>33</v>
      </c>
      <c r="C12" s="201">
        <v>0.41736111111111113</v>
      </c>
      <c r="D12" s="526">
        <v>1</v>
      </c>
      <c r="E12" s="526"/>
      <c r="F12" s="202">
        <f>G12+$D$10</f>
        <v>14.6</v>
      </c>
      <c r="G12" s="525">
        <f>AD4</f>
        <v>1</v>
      </c>
      <c r="H12" s="525"/>
      <c r="I12" s="204" t="s">
        <v>12</v>
      </c>
      <c r="J12" s="8"/>
      <c r="P12" s="3">
        <v>25</v>
      </c>
      <c r="Q12" s="64"/>
      <c r="S12" s="3">
        <f t="shared" si="3"/>
        <v>33</v>
      </c>
      <c r="T12" s="3">
        <f t="shared" si="10"/>
        <v>3.0498954350479797</v>
      </c>
      <c r="U12" s="93">
        <f t="shared" si="11"/>
        <v>0.1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8.6682404180772057</v>
      </c>
      <c r="AA12" s="10">
        <f t="shared" si="5"/>
        <v>4.8973520633880172</v>
      </c>
      <c r="AB12" s="10">
        <f t="shared" si="6"/>
        <v>25</v>
      </c>
      <c r="AC12" s="10">
        <f t="shared" si="7"/>
        <v>3.7708883546891885</v>
      </c>
      <c r="AD12" s="78">
        <f t="shared" si="8"/>
        <v>3.77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199"/>
      <c r="B13" s="199"/>
      <c r="C13" s="201"/>
      <c r="D13" s="526">
        <v>2</v>
      </c>
      <c r="E13" s="526"/>
      <c r="F13" s="202">
        <f t="shared" ref="F13:F28" si="13">G13+$D$10</f>
        <v>15.19</v>
      </c>
      <c r="G13" s="525">
        <f t="shared" ref="G13:G51" si="14">AD5</f>
        <v>1.59</v>
      </c>
      <c r="H13" s="525"/>
      <c r="I13" s="203"/>
      <c r="J13" s="8">
        <f>G13-G12</f>
        <v>0.59000000000000008</v>
      </c>
      <c r="P13" s="3">
        <v>30</v>
      </c>
      <c r="Q13" s="64"/>
      <c r="S13" s="3">
        <f t="shared" si="3"/>
        <v>33</v>
      </c>
      <c r="T13" s="3">
        <f t="shared" si="10"/>
        <v>3.0498954350479797</v>
      </c>
      <c r="U13" s="93">
        <f t="shared" si="11"/>
        <v>0.1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8.8250488073411937</v>
      </c>
      <c r="AA13" s="10">
        <f t="shared" si="5"/>
        <v>4.8973520633880172</v>
      </c>
      <c r="AB13" s="10">
        <f t="shared" si="6"/>
        <v>30</v>
      </c>
      <c r="AC13" s="10">
        <f t="shared" si="7"/>
        <v>3.9276967439531765</v>
      </c>
      <c r="AD13" s="78">
        <f t="shared" si="8"/>
        <v>3.92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199"/>
      <c r="B14" s="199"/>
      <c r="C14" s="201"/>
      <c r="D14" s="526">
        <v>3</v>
      </c>
      <c r="E14" s="526"/>
      <c r="F14" s="202">
        <f t="shared" si="13"/>
        <v>15.54</v>
      </c>
      <c r="G14" s="525">
        <f t="shared" si="14"/>
        <v>1.94</v>
      </c>
      <c r="H14" s="525"/>
      <c r="I14" s="203"/>
      <c r="J14" s="8">
        <f t="shared" ref="J14:J51" si="15">G14-G13</f>
        <v>0.34999999999999987</v>
      </c>
      <c r="Q14" s="64"/>
      <c r="S14" s="3">
        <f t="shared" si="3"/>
        <v>33</v>
      </c>
      <c r="T14" s="3">
        <f t="shared" si="10"/>
        <v>3.0498954350479797</v>
      </c>
      <c r="U14" s="93">
        <f t="shared" si="11"/>
        <v>0.1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8.9576284113809859</v>
      </c>
      <c r="AA14" s="10">
        <f t="shared" si="5"/>
        <v>4.8973520633880172</v>
      </c>
      <c r="AB14" s="10">
        <f t="shared" si="6"/>
        <v>35</v>
      </c>
      <c r="AC14" s="10">
        <f t="shared" si="7"/>
        <v>4.0602763479929687</v>
      </c>
      <c r="AD14" s="78">
        <f t="shared" si="8"/>
        <v>4.0599999999999996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199"/>
      <c r="B15" s="199"/>
      <c r="C15" s="201"/>
      <c r="D15" s="526">
        <v>4</v>
      </c>
      <c r="E15" s="526"/>
      <c r="F15" s="202">
        <f t="shared" si="13"/>
        <v>15.79</v>
      </c>
      <c r="G15" s="525">
        <f t="shared" si="14"/>
        <v>2.19</v>
      </c>
      <c r="H15" s="525"/>
      <c r="I15" s="203"/>
      <c r="J15" s="8">
        <f t="shared" si="15"/>
        <v>0.25</v>
      </c>
      <c r="Q15" s="64"/>
      <c r="S15" s="3">
        <f t="shared" si="3"/>
        <v>33</v>
      </c>
      <c r="T15" s="3">
        <f t="shared" si="10"/>
        <v>3.0498954350479797</v>
      </c>
      <c r="U15" s="93">
        <f t="shared" si="11"/>
        <v>0.1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9.0724740882270414</v>
      </c>
      <c r="AA15" s="10">
        <f t="shared" si="5"/>
        <v>4.8973520633880172</v>
      </c>
      <c r="AB15" s="10">
        <f t="shared" si="6"/>
        <v>40</v>
      </c>
      <c r="AC15" s="10">
        <f t="shared" si="7"/>
        <v>4.1751220248390242</v>
      </c>
      <c r="AD15" s="78">
        <f t="shared" si="8"/>
        <v>4.17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199"/>
      <c r="B16" s="199"/>
      <c r="C16" s="201"/>
      <c r="D16" s="526">
        <v>5</v>
      </c>
      <c r="E16" s="526"/>
      <c r="F16" s="202">
        <f t="shared" si="13"/>
        <v>15.98</v>
      </c>
      <c r="G16" s="525">
        <f t="shared" si="14"/>
        <v>2.38</v>
      </c>
      <c r="H16" s="525"/>
      <c r="I16" s="203"/>
      <c r="J16" s="8">
        <f t="shared" si="15"/>
        <v>0.18999999999999995</v>
      </c>
      <c r="L16" s="11" t="s">
        <v>94</v>
      </c>
      <c r="M16" s="11" t="s">
        <v>95</v>
      </c>
      <c r="S16" s="3">
        <f t="shared" si="3"/>
        <v>33</v>
      </c>
      <c r="T16" s="3">
        <f t="shared" si="10"/>
        <v>3.0498954350479797</v>
      </c>
      <c r="U16" s="93">
        <f t="shared" si="11"/>
        <v>0.1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9.1737751544787578</v>
      </c>
      <c r="AA16" s="10">
        <f t="shared" si="5"/>
        <v>4.8973520633880172</v>
      </c>
      <c r="AB16" s="10">
        <f t="shared" si="6"/>
        <v>45</v>
      </c>
      <c r="AC16" s="10">
        <f t="shared" si="7"/>
        <v>4.2764230910907406</v>
      </c>
      <c r="AD16" s="78">
        <f t="shared" si="8"/>
        <v>4.2699999999999996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199"/>
      <c r="B17" s="199"/>
      <c r="C17" s="201"/>
      <c r="D17" s="526">
        <v>10</v>
      </c>
      <c r="E17" s="526"/>
      <c r="F17" s="202">
        <f t="shared" si="13"/>
        <v>16.579999999999998</v>
      </c>
      <c r="G17" s="525">
        <f t="shared" si="14"/>
        <v>2.98</v>
      </c>
      <c r="H17" s="525"/>
      <c r="I17" s="203"/>
      <c r="J17" s="8">
        <f t="shared" si="15"/>
        <v>0.60000000000000009</v>
      </c>
      <c r="K17" s="29">
        <f>D12</f>
        <v>1</v>
      </c>
      <c r="L17" s="3">
        <f>INT(B12/1440*10000)/10000</f>
        <v>2.29E-2</v>
      </c>
      <c r="M17" s="3">
        <f>K17*L17</f>
        <v>2.29E-2</v>
      </c>
      <c r="N17" s="3">
        <f>INT((8*2.54/2/100)^2*3.14159*100000)/100000</f>
        <v>3.2419999999999997E-2</v>
      </c>
      <c r="O17" s="3">
        <f>INT(M17/N17*100)/100</f>
        <v>0.7</v>
      </c>
      <c r="P17" s="13">
        <f>INT((G12-O17)*100)/100</f>
        <v>0.3</v>
      </c>
      <c r="S17" s="3">
        <f t="shared" si="3"/>
        <v>33</v>
      </c>
      <c r="T17" s="3">
        <f t="shared" si="10"/>
        <v>3.0498954350479797</v>
      </c>
      <c r="U17" s="93">
        <f t="shared" si="11"/>
        <v>0.1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9.2643920461006175</v>
      </c>
      <c r="AA17" s="10">
        <f t="shared" si="5"/>
        <v>4.8973520633880172</v>
      </c>
      <c r="AB17" s="10">
        <f t="shared" si="6"/>
        <v>50</v>
      </c>
      <c r="AC17" s="10">
        <f t="shared" si="7"/>
        <v>4.3670399827126003</v>
      </c>
      <c r="AD17" s="78">
        <f t="shared" ref="AD17:AD22" si="16">INT(AC17*100)/100</f>
        <v>4.3600000000000003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199"/>
      <c r="B18" s="199"/>
      <c r="C18" s="201"/>
      <c r="D18" s="526">
        <v>15</v>
      </c>
      <c r="E18" s="526"/>
      <c r="F18" s="202">
        <f t="shared" si="13"/>
        <v>16.93</v>
      </c>
      <c r="G18" s="525">
        <f t="shared" si="14"/>
        <v>3.33</v>
      </c>
      <c r="H18" s="525"/>
      <c r="I18" s="203"/>
      <c r="J18" s="8">
        <f t="shared" si="15"/>
        <v>0.35000000000000009</v>
      </c>
      <c r="K18" s="29">
        <f>D13</f>
        <v>2</v>
      </c>
      <c r="L18" s="3">
        <f>L17</f>
        <v>2.29E-2</v>
      </c>
      <c r="M18" s="3">
        <f t="shared" ref="M18:M32" si="17">K18*L18</f>
        <v>4.58E-2</v>
      </c>
      <c r="N18" s="3">
        <f>N17</f>
        <v>3.2419999999999997E-2</v>
      </c>
      <c r="O18" s="3">
        <f>INT(M18/N18*100)/100</f>
        <v>1.41</v>
      </c>
      <c r="P18" s="13">
        <f>INT((G13-O18)*100*0.98)/100</f>
        <v>0.17</v>
      </c>
      <c r="S18" s="3">
        <f t="shared" si="3"/>
        <v>33</v>
      </c>
      <c r="T18" s="3">
        <f t="shared" si="10"/>
        <v>3.0498954350479797</v>
      </c>
      <c r="U18" s="93">
        <f t="shared" si="11"/>
        <v>0.1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9.3463649956430981</v>
      </c>
      <c r="AA18" s="10">
        <f t="shared" si="5"/>
        <v>4.8973520633880172</v>
      </c>
      <c r="AB18" s="10">
        <f t="shared" si="6"/>
        <v>55</v>
      </c>
      <c r="AC18" s="10">
        <f t="shared" si="7"/>
        <v>4.4490129322550809</v>
      </c>
      <c r="AD18" s="78">
        <f t="shared" si="16"/>
        <v>4.4400000000000004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199"/>
      <c r="B19" s="199"/>
      <c r="C19" s="201"/>
      <c r="D19" s="526">
        <v>20</v>
      </c>
      <c r="E19" s="526"/>
      <c r="F19" s="202">
        <f t="shared" si="13"/>
        <v>17.169999999999998</v>
      </c>
      <c r="G19" s="525">
        <f t="shared" si="14"/>
        <v>3.57</v>
      </c>
      <c r="H19" s="525"/>
      <c r="I19" s="203"/>
      <c r="J19" s="8">
        <f t="shared" si="15"/>
        <v>0.23999999999999977</v>
      </c>
      <c r="K19" s="29">
        <f t="shared" ref="K19:K32" si="18">D14</f>
        <v>3</v>
      </c>
      <c r="L19" s="3">
        <f>L18</f>
        <v>2.29E-2</v>
      </c>
      <c r="M19" s="3">
        <f t="shared" si="17"/>
        <v>6.8699999999999997E-2</v>
      </c>
      <c r="N19" s="3">
        <f t="shared" ref="N19:N32" si="19">N18</f>
        <v>3.2419999999999997E-2</v>
      </c>
      <c r="O19" s="3">
        <f>INT(M19/N19*100)/100</f>
        <v>2.11</v>
      </c>
      <c r="P19" s="13">
        <f>INT((G14-O19)*100*0.95)/100</f>
        <v>-0.17</v>
      </c>
      <c r="S19" s="3">
        <f t="shared" si="3"/>
        <v>33</v>
      </c>
      <c r="T19" s="3">
        <f t="shared" si="10"/>
        <v>3.0498954350479797</v>
      </c>
      <c r="U19" s="93">
        <f t="shared" si="11"/>
        <v>0.1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9.4212004353646055</v>
      </c>
      <c r="AA19" s="10">
        <f t="shared" si="5"/>
        <v>4.8973520633880172</v>
      </c>
      <c r="AB19" s="10">
        <f t="shared" si="6"/>
        <v>60</v>
      </c>
      <c r="AC19" s="10">
        <f t="shared" si="7"/>
        <v>4.5238483719765883</v>
      </c>
      <c r="AD19" s="78">
        <f t="shared" si="16"/>
        <v>4.5199999999999996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199"/>
      <c r="B20" s="199"/>
      <c r="C20" s="201"/>
      <c r="D20" s="526">
        <v>25</v>
      </c>
      <c r="E20" s="526"/>
      <c r="F20" s="202">
        <f t="shared" si="13"/>
        <v>17.37</v>
      </c>
      <c r="G20" s="525">
        <f t="shared" si="14"/>
        <v>3.77</v>
      </c>
      <c r="H20" s="525"/>
      <c r="I20" s="203"/>
      <c r="J20" s="8">
        <f t="shared" si="15"/>
        <v>0.20000000000000018</v>
      </c>
      <c r="K20" s="29">
        <f t="shared" si="18"/>
        <v>4</v>
      </c>
      <c r="L20" s="3">
        <f>L19</f>
        <v>2.29E-2</v>
      </c>
      <c r="M20" s="3">
        <f t="shared" si="17"/>
        <v>9.1600000000000001E-2</v>
      </c>
      <c r="N20" s="3">
        <f t="shared" si="19"/>
        <v>3.2419999999999997E-2</v>
      </c>
      <c r="O20" s="3">
        <f>INT(M20/N20*100)/100</f>
        <v>2.82</v>
      </c>
      <c r="P20" s="13">
        <f>INT((G15-O20)*100*0.91)/100</f>
        <v>-0.57999999999999996</v>
      </c>
      <c r="S20" s="3">
        <f t="shared" si="3"/>
        <v>33</v>
      </c>
      <c r="T20" s="3">
        <f t="shared" si="10"/>
        <v>3.0498954350479797</v>
      </c>
      <c r="U20" s="93">
        <f t="shared" si="11"/>
        <v>0.1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9.6131183932381816</v>
      </c>
      <c r="AA20" s="10">
        <f t="shared" si="5"/>
        <v>4.8973520633880172</v>
      </c>
      <c r="AB20" s="10">
        <f t="shared" si="6"/>
        <v>75</v>
      </c>
      <c r="AC20" s="10">
        <f t="shared" si="7"/>
        <v>4.7157663298501644</v>
      </c>
      <c r="AD20" s="78">
        <f t="shared" si="16"/>
        <v>4.71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199"/>
      <c r="B21" s="199"/>
      <c r="C21" s="201"/>
      <c r="D21" s="526">
        <v>30</v>
      </c>
      <c r="E21" s="526"/>
      <c r="F21" s="202">
        <f t="shared" si="13"/>
        <v>17.52</v>
      </c>
      <c r="G21" s="525">
        <f t="shared" si="14"/>
        <v>3.92</v>
      </c>
      <c r="H21" s="525"/>
      <c r="I21" s="203"/>
      <c r="J21" s="8">
        <f t="shared" si="15"/>
        <v>0.14999999999999991</v>
      </c>
      <c r="K21" s="29">
        <f t="shared" si="18"/>
        <v>5</v>
      </c>
      <c r="L21" s="29">
        <f>L20</f>
        <v>2.29E-2</v>
      </c>
      <c r="M21" s="3">
        <f t="shared" si="17"/>
        <v>0.1145</v>
      </c>
      <c r="N21" s="3">
        <f t="shared" si="19"/>
        <v>3.2419999999999997E-2</v>
      </c>
      <c r="O21" s="29">
        <f>INT(M21/N21*100)/100</f>
        <v>3.53</v>
      </c>
      <c r="P21" s="13">
        <f>INT((G16-O21)*100*0.86)/100</f>
        <v>-0.99</v>
      </c>
      <c r="S21" s="3">
        <f t="shared" si="3"/>
        <v>33</v>
      </c>
      <c r="T21" s="3">
        <f t="shared" si="10"/>
        <v>3.0498954350479797</v>
      </c>
      <c r="U21" s="93">
        <f t="shared" si="11"/>
        <v>0.1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9.7699267825021696</v>
      </c>
      <c r="AA21" s="10">
        <f t="shared" si="5"/>
        <v>4.8973520633880172</v>
      </c>
      <c r="AB21" s="10">
        <f t="shared" si="6"/>
        <v>90</v>
      </c>
      <c r="AC21" s="10">
        <f t="shared" si="7"/>
        <v>4.8725747191141524</v>
      </c>
      <c r="AD21" s="78">
        <f t="shared" si="16"/>
        <v>4.87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199"/>
      <c r="B22" s="199"/>
      <c r="C22" s="201"/>
      <c r="D22" s="526">
        <v>35</v>
      </c>
      <c r="E22" s="526"/>
      <c r="F22" s="202">
        <f t="shared" si="13"/>
        <v>17.66</v>
      </c>
      <c r="G22" s="525">
        <f t="shared" si="14"/>
        <v>4.0599999999999996</v>
      </c>
      <c r="H22" s="525"/>
      <c r="I22" s="204"/>
      <c r="J22" s="8">
        <f t="shared" si="15"/>
        <v>0.13999999999999968</v>
      </c>
      <c r="K22" s="29">
        <f t="shared" si="18"/>
        <v>10</v>
      </c>
      <c r="L22" s="29">
        <f t="shared" ref="L22:L32" si="20">L21</f>
        <v>2.29E-2</v>
      </c>
      <c r="M22" s="3">
        <f t="shared" si="17"/>
        <v>0.22900000000000001</v>
      </c>
      <c r="N22" s="3">
        <f t="shared" si="19"/>
        <v>3.2419999999999997E-2</v>
      </c>
      <c r="O22" s="29">
        <f t="shared" ref="O22:O30" si="21">INT(M22/N22*100)/100</f>
        <v>7.06</v>
      </c>
      <c r="P22" s="13">
        <f>INT((G17-O22)*100*0.8)/100</f>
        <v>-3.27</v>
      </c>
      <c r="S22" s="3">
        <f t="shared" si="3"/>
        <v>33</v>
      </c>
      <c r="T22" s="3">
        <f t="shared" si="10"/>
        <v>3.0498954350479797</v>
      </c>
      <c r="U22" s="93">
        <f t="shared" si="11"/>
        <v>0.1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9.9025063865419618</v>
      </c>
      <c r="Z22" s="10">
        <f>Y23-Z23</f>
        <v>4.8973520633880172</v>
      </c>
      <c r="AA22" s="10">
        <f t="shared" si="5"/>
        <v>4.8973520633880172</v>
      </c>
      <c r="AB22" s="10">
        <f t="shared" si="6"/>
        <v>105</v>
      </c>
      <c r="AC22" s="10">
        <f t="shared" si="7"/>
        <v>5.0051543231539446</v>
      </c>
      <c r="AD22" s="78">
        <f t="shared" si="16"/>
        <v>5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199"/>
      <c r="B23" s="199"/>
      <c r="C23" s="201"/>
      <c r="D23" s="526">
        <v>40</v>
      </c>
      <c r="E23" s="526"/>
      <c r="F23" s="202">
        <f t="shared" si="13"/>
        <v>17.77</v>
      </c>
      <c r="G23" s="525">
        <f t="shared" si="14"/>
        <v>4.17</v>
      </c>
      <c r="H23" s="525"/>
      <c r="I23" s="204"/>
      <c r="J23" s="8">
        <f t="shared" si="15"/>
        <v>0.11000000000000032</v>
      </c>
      <c r="K23" s="29">
        <f t="shared" si="18"/>
        <v>15</v>
      </c>
      <c r="L23" s="29">
        <f t="shared" si="20"/>
        <v>2.29E-2</v>
      </c>
      <c r="M23" s="3">
        <f t="shared" si="17"/>
        <v>0.34350000000000003</v>
      </c>
      <c r="N23" s="3">
        <f t="shared" si="19"/>
        <v>3.2419999999999997E-2</v>
      </c>
      <c r="O23" s="29">
        <f t="shared" si="21"/>
        <v>10.59</v>
      </c>
      <c r="P23" s="13">
        <f t="shared" ref="P23:P32" si="22">INT((G18-O23)*100)/100</f>
        <v>-7.26</v>
      </c>
      <c r="S23" s="3">
        <f t="shared" si="3"/>
        <v>33</v>
      </c>
      <c r="T23" s="3">
        <f t="shared" si="10"/>
        <v>3.0498954350479797</v>
      </c>
      <c r="U23" s="93">
        <f t="shared" si="11"/>
        <v>0.1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10.017352063388017</v>
      </c>
      <c r="Z23" s="10">
        <f>입력표!B20</f>
        <v>5.12</v>
      </c>
      <c r="AA23" s="10">
        <f t="shared" si="5"/>
        <v>4.8973520633880172</v>
      </c>
      <c r="AB23" s="10">
        <f t="shared" si="6"/>
        <v>120</v>
      </c>
      <c r="AC23" s="10">
        <f t="shared" si="7"/>
        <v>5.12</v>
      </c>
      <c r="AD23" s="78">
        <f>INT((AC$3+AE23)*100)/100</f>
        <v>5.12</v>
      </c>
      <c r="AE23" s="10">
        <f>AG$23*AF23</f>
        <v>5.12</v>
      </c>
      <c r="AF23" s="10">
        <v>1</v>
      </c>
      <c r="AG23" s="10">
        <f>AC23-AC3</f>
        <v>5.12</v>
      </c>
      <c r="AH23" s="10"/>
      <c r="AI23" s="10"/>
      <c r="EF23" s="3">
        <v>10.02</v>
      </c>
    </row>
    <row r="24" spans="1:136" s="3" customFormat="1" ht="23.1" customHeight="1" x14ac:dyDescent="0.15">
      <c r="A24" s="199"/>
      <c r="B24" s="199"/>
      <c r="C24" s="201"/>
      <c r="D24" s="526">
        <v>45</v>
      </c>
      <c r="E24" s="526"/>
      <c r="F24" s="202">
        <f t="shared" si="13"/>
        <v>17.869999999999997</v>
      </c>
      <c r="G24" s="525">
        <f t="shared" si="14"/>
        <v>4.2699999999999996</v>
      </c>
      <c r="H24" s="525"/>
      <c r="I24" s="204"/>
      <c r="J24" s="8">
        <f t="shared" si="15"/>
        <v>9.9999999999999645E-2</v>
      </c>
      <c r="K24" s="29">
        <f t="shared" si="18"/>
        <v>20</v>
      </c>
      <c r="L24" s="29">
        <f t="shared" si="20"/>
        <v>2.29E-2</v>
      </c>
      <c r="M24" s="3">
        <f t="shared" si="17"/>
        <v>0.45800000000000002</v>
      </c>
      <c r="N24" s="3">
        <f t="shared" si="19"/>
        <v>3.2419999999999997E-2</v>
      </c>
      <c r="O24" s="29">
        <f t="shared" si="21"/>
        <v>14.12</v>
      </c>
      <c r="P24" s="13">
        <f t="shared" si="22"/>
        <v>-10.55</v>
      </c>
      <c r="R24" s="14">
        <f>B32</f>
        <v>42</v>
      </c>
      <c r="S24" s="3">
        <f>$R$24</f>
        <v>42</v>
      </c>
      <c r="T24" s="3">
        <f t="shared" si="10"/>
        <v>3.0498954350479797</v>
      </c>
      <c r="U24" s="93">
        <f t="shared" si="11"/>
        <v>0.1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12.836974174885034</v>
      </c>
      <c r="Z24" s="10">
        <f>Z27</f>
        <v>6.6780956072509117</v>
      </c>
      <c r="AA24" s="10">
        <f>$Z$24</f>
        <v>6.6780956072509117</v>
      </c>
      <c r="AB24" s="10">
        <f t="shared" si="6"/>
        <v>130</v>
      </c>
      <c r="AC24" s="10">
        <f t="shared" si="7"/>
        <v>6.1588785676341224</v>
      </c>
      <c r="AD24" s="78">
        <f>INT((AC$23+AE24)*100)/100</f>
        <v>6.14</v>
      </c>
      <c r="AE24" s="10">
        <f>AF24*AG$28</f>
        <v>1.026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199"/>
      <c r="B25" s="199"/>
      <c r="C25" s="201"/>
      <c r="D25" s="526">
        <v>50</v>
      </c>
      <c r="E25" s="526"/>
      <c r="F25" s="202">
        <f t="shared" si="13"/>
        <v>17.96</v>
      </c>
      <c r="G25" s="525">
        <f t="shared" si="14"/>
        <v>4.3600000000000003</v>
      </c>
      <c r="H25" s="525"/>
      <c r="I25" s="204"/>
      <c r="J25" s="8">
        <f t="shared" si="15"/>
        <v>9.0000000000000746E-2</v>
      </c>
      <c r="K25" s="29">
        <f t="shared" si="18"/>
        <v>25</v>
      </c>
      <c r="L25" s="29">
        <f t="shared" si="20"/>
        <v>2.29E-2</v>
      </c>
      <c r="M25" s="3">
        <f t="shared" si="17"/>
        <v>0.57250000000000001</v>
      </c>
      <c r="N25" s="3">
        <f t="shared" si="19"/>
        <v>3.2419999999999997E-2</v>
      </c>
      <c r="O25" s="29">
        <f t="shared" si="21"/>
        <v>17.649999999999999</v>
      </c>
      <c r="P25" s="13">
        <f t="shared" si="22"/>
        <v>-13.88</v>
      </c>
      <c r="S25" s="3">
        <f>$R$24</f>
        <v>42</v>
      </c>
      <c r="T25" s="3">
        <f t="shared" si="10"/>
        <v>3.0498954350479797</v>
      </c>
      <c r="U25" s="93">
        <f t="shared" si="11"/>
        <v>0.1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12.918094849453576</v>
      </c>
      <c r="AA25" s="10">
        <f>$Z$24</f>
        <v>6.6780956072509117</v>
      </c>
      <c r="AB25" s="10">
        <f t="shared" si="6"/>
        <v>140</v>
      </c>
      <c r="AC25" s="10">
        <f t="shared" si="7"/>
        <v>6.2399992422026642</v>
      </c>
      <c r="AD25" s="78">
        <f>INT((AC$23+AE25)*100)/100</f>
        <v>6.31</v>
      </c>
      <c r="AE25" s="10">
        <f>AF25*AG$28</f>
        <v>1.1969999999999998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199"/>
      <c r="B26" s="199"/>
      <c r="C26" s="201"/>
      <c r="D26" s="526">
        <v>55</v>
      </c>
      <c r="E26" s="526"/>
      <c r="F26" s="202">
        <f t="shared" si="13"/>
        <v>18.04</v>
      </c>
      <c r="G26" s="525">
        <f t="shared" si="14"/>
        <v>4.4400000000000004</v>
      </c>
      <c r="H26" s="525"/>
      <c r="I26" s="204"/>
      <c r="J26" s="8">
        <f t="shared" si="15"/>
        <v>8.0000000000000071E-2</v>
      </c>
      <c r="K26" s="29">
        <f t="shared" si="18"/>
        <v>30</v>
      </c>
      <c r="L26" s="29">
        <f t="shared" si="20"/>
        <v>2.29E-2</v>
      </c>
      <c r="M26" s="3">
        <f t="shared" si="17"/>
        <v>0.68700000000000006</v>
      </c>
      <c r="N26" s="3">
        <f t="shared" si="19"/>
        <v>3.2419999999999997E-2</v>
      </c>
      <c r="O26" s="3">
        <f t="shared" si="21"/>
        <v>21.19</v>
      </c>
      <c r="P26" s="13">
        <f t="shared" si="22"/>
        <v>-17.27</v>
      </c>
      <c r="S26" s="3">
        <f>$R$24</f>
        <v>42</v>
      </c>
      <c r="T26" s="3">
        <f t="shared" si="10"/>
        <v>3.0498954350479797</v>
      </c>
      <c r="U26" s="93">
        <f t="shared" si="11"/>
        <v>0.1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12.993616390696575</v>
      </c>
      <c r="AA26" s="10">
        <f>$Z$24</f>
        <v>6.6780956072509117</v>
      </c>
      <c r="AB26" s="10">
        <f t="shared" si="6"/>
        <v>150</v>
      </c>
      <c r="AC26" s="10">
        <f t="shared" si="7"/>
        <v>6.3155207834456633</v>
      </c>
      <c r="AD26" s="78">
        <f>INT((AC$23+AE26)*100)/100</f>
        <v>6.48</v>
      </c>
      <c r="AE26" s="10">
        <f>AF26*AG$28</f>
        <v>1.3680000000000001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199"/>
      <c r="B27" s="199"/>
      <c r="C27" s="201" t="s">
        <v>0</v>
      </c>
      <c r="D27" s="526">
        <v>60</v>
      </c>
      <c r="E27" s="526"/>
      <c r="F27" s="202">
        <f t="shared" si="13"/>
        <v>18.119999999999997</v>
      </c>
      <c r="G27" s="525">
        <f t="shared" si="14"/>
        <v>4.5199999999999996</v>
      </c>
      <c r="H27" s="525"/>
      <c r="I27" s="204"/>
      <c r="J27" s="8">
        <f t="shared" si="15"/>
        <v>7.9999999999999183E-2</v>
      </c>
      <c r="K27" s="29">
        <f t="shared" si="18"/>
        <v>35</v>
      </c>
      <c r="L27" s="29">
        <f t="shared" si="20"/>
        <v>2.29E-2</v>
      </c>
      <c r="M27" s="3">
        <f t="shared" si="17"/>
        <v>0.80149999999999999</v>
      </c>
      <c r="N27" s="3">
        <f t="shared" si="19"/>
        <v>3.2419999999999997E-2</v>
      </c>
      <c r="O27" s="3">
        <f t="shared" si="21"/>
        <v>24.72</v>
      </c>
      <c r="P27" s="13">
        <f t="shared" si="22"/>
        <v>-20.66</v>
      </c>
      <c r="S27" s="3">
        <f>$R$24</f>
        <v>42</v>
      </c>
      <c r="T27" s="3">
        <f t="shared" si="10"/>
        <v>3.0498954350479797</v>
      </c>
      <c r="U27" s="93">
        <f t="shared" si="11"/>
        <v>0.1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13.193190704305286</v>
      </c>
      <c r="Z27" s="10">
        <f>Y28-Z28</f>
        <v>6.6780956072509117</v>
      </c>
      <c r="AA27" s="10">
        <f>$Z$24</f>
        <v>6.6780956072509117</v>
      </c>
      <c r="AB27" s="10">
        <f t="shared" si="6"/>
        <v>180</v>
      </c>
      <c r="AC27" s="10">
        <f t="shared" si="7"/>
        <v>6.515095097054374</v>
      </c>
      <c r="AD27" s="78">
        <f>INT((AC$23+AE27)*100)/100</f>
        <v>6.65</v>
      </c>
      <c r="AE27" s="10">
        <f>AF27*AG$28</f>
        <v>1.5389999999999999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199"/>
      <c r="B28" s="199"/>
      <c r="C28" s="201"/>
      <c r="D28" s="526">
        <v>75</v>
      </c>
      <c r="E28" s="526"/>
      <c r="F28" s="202">
        <f t="shared" si="13"/>
        <v>18.309999999999999</v>
      </c>
      <c r="G28" s="525">
        <f t="shared" si="14"/>
        <v>4.71</v>
      </c>
      <c r="H28" s="525"/>
      <c r="I28" s="204"/>
      <c r="J28" s="8">
        <f t="shared" si="15"/>
        <v>0.19000000000000039</v>
      </c>
      <c r="K28" s="29">
        <f t="shared" si="18"/>
        <v>40</v>
      </c>
      <c r="L28" s="29">
        <f t="shared" si="20"/>
        <v>2.29E-2</v>
      </c>
      <c r="M28" s="3">
        <f t="shared" si="17"/>
        <v>0.91600000000000004</v>
      </c>
      <c r="N28" s="3">
        <f t="shared" si="19"/>
        <v>3.2419999999999997E-2</v>
      </c>
      <c r="O28" s="3">
        <f t="shared" si="21"/>
        <v>28.25</v>
      </c>
      <c r="P28" s="13">
        <f t="shared" si="22"/>
        <v>-24.08</v>
      </c>
      <c r="S28" s="3">
        <f>$R$24</f>
        <v>42</v>
      </c>
      <c r="T28" s="3">
        <f t="shared" si="10"/>
        <v>3.0498954350479797</v>
      </c>
      <c r="U28" s="93">
        <f t="shared" si="11"/>
        <v>0.1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13.508095607250912</v>
      </c>
      <c r="Z28" s="10">
        <f>입력표!B21</f>
        <v>6.83</v>
      </c>
      <c r="AA28" s="10">
        <f>$Z$24</f>
        <v>6.6780956072509117</v>
      </c>
      <c r="AB28" s="10">
        <f t="shared" si="6"/>
        <v>240</v>
      </c>
      <c r="AC28" s="10">
        <f t="shared" si="7"/>
        <v>6.83</v>
      </c>
      <c r="AD28" s="78">
        <f>INT((AC$23+AE28)*100)/100</f>
        <v>6.83</v>
      </c>
      <c r="AE28" s="10">
        <f>AF28*AG$28</f>
        <v>1.71</v>
      </c>
      <c r="AF28" s="10">
        <v>1</v>
      </c>
      <c r="AG28" s="10">
        <f>AC28-AC23</f>
        <v>1.71</v>
      </c>
      <c r="AH28" s="10"/>
      <c r="EF28" s="3">
        <v>10.15</v>
      </c>
    </row>
    <row r="29" spans="1:136" s="3" customFormat="1" ht="23.1" customHeight="1" x14ac:dyDescent="0.15">
      <c r="A29" s="199"/>
      <c r="B29" s="199"/>
      <c r="C29" s="201"/>
      <c r="D29" s="526">
        <v>90</v>
      </c>
      <c r="E29" s="526"/>
      <c r="F29" s="202">
        <f t="shared" ref="F29:F44" si="24">G29+$D$10</f>
        <v>18.47</v>
      </c>
      <c r="G29" s="525">
        <f t="shared" si="14"/>
        <v>4.87</v>
      </c>
      <c r="H29" s="525"/>
      <c r="I29" s="204"/>
      <c r="J29" s="8">
        <f t="shared" si="15"/>
        <v>0.16000000000000014</v>
      </c>
      <c r="K29" s="29">
        <f t="shared" si="18"/>
        <v>45</v>
      </c>
      <c r="L29" s="29">
        <f t="shared" si="20"/>
        <v>2.29E-2</v>
      </c>
      <c r="M29" s="3">
        <f t="shared" si="17"/>
        <v>1.0305</v>
      </c>
      <c r="N29" s="3">
        <f t="shared" si="19"/>
        <v>3.2419999999999997E-2</v>
      </c>
      <c r="O29" s="3">
        <f t="shared" si="21"/>
        <v>31.78</v>
      </c>
      <c r="P29" s="13">
        <f t="shared" si="22"/>
        <v>-27.51</v>
      </c>
      <c r="R29" s="14">
        <f>B37</f>
        <v>51.85</v>
      </c>
      <c r="S29" s="3">
        <f>$R$29</f>
        <v>51.85</v>
      </c>
      <c r="T29" s="3">
        <f t="shared" si="10"/>
        <v>3.0498954350479797</v>
      </c>
      <c r="U29" s="93">
        <f t="shared" si="11"/>
        <v>0.1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16.731230228245145</v>
      </c>
      <c r="Z29" s="10">
        <f>Z32</f>
        <v>8.2939887120837987</v>
      </c>
      <c r="AA29" s="10">
        <f>$Z$29</f>
        <v>8.2939887120837987</v>
      </c>
      <c r="AB29" s="10">
        <f t="shared" si="6"/>
        <v>250</v>
      </c>
      <c r="AC29" s="10">
        <f t="shared" si="7"/>
        <v>8.4372415161613468</v>
      </c>
      <c r="AD29" s="78">
        <f>INT((AC$28+AE29)*100)/100</f>
        <v>8.09</v>
      </c>
      <c r="AE29" s="10">
        <f>AF29*AG$33</f>
        <v>1.2599999999999998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199"/>
      <c r="B30" s="199"/>
      <c r="C30" s="201"/>
      <c r="D30" s="526">
        <v>105</v>
      </c>
      <c r="E30" s="526"/>
      <c r="F30" s="202">
        <f t="shared" si="24"/>
        <v>18.600000000000001</v>
      </c>
      <c r="G30" s="525">
        <f t="shared" si="14"/>
        <v>5</v>
      </c>
      <c r="H30" s="525"/>
      <c r="I30" s="204"/>
      <c r="J30" s="8">
        <f t="shared" si="15"/>
        <v>0.12999999999999989</v>
      </c>
      <c r="K30" s="29">
        <f t="shared" si="18"/>
        <v>50</v>
      </c>
      <c r="L30" s="29">
        <f t="shared" si="20"/>
        <v>2.29E-2</v>
      </c>
      <c r="M30" s="3">
        <f t="shared" si="17"/>
        <v>1.145</v>
      </c>
      <c r="N30" s="3">
        <f t="shared" si="19"/>
        <v>3.2419999999999997E-2</v>
      </c>
      <c r="O30" s="3">
        <f t="shared" si="21"/>
        <v>35.31</v>
      </c>
      <c r="P30" s="13">
        <f t="shared" si="22"/>
        <v>-30.95</v>
      </c>
      <c r="R30" s="3" t="s">
        <v>23</v>
      </c>
      <c r="S30" s="3">
        <f>$R$29</f>
        <v>51.85</v>
      </c>
      <c r="T30" s="3">
        <f t="shared" si="10"/>
        <v>3.0498954350479797</v>
      </c>
      <c r="U30" s="93">
        <f t="shared" si="11"/>
        <v>0.1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16.784230925168558</v>
      </c>
      <c r="AA30" s="10">
        <f>$Z$29</f>
        <v>8.2939887120837987</v>
      </c>
      <c r="AB30" s="10">
        <f t="shared" si="6"/>
        <v>260</v>
      </c>
      <c r="AC30" s="10">
        <f t="shared" si="7"/>
        <v>8.490242213084759</v>
      </c>
      <c r="AD30" s="78">
        <f>INT((AC$28+AE30)*100)/100</f>
        <v>8.3000000000000007</v>
      </c>
      <c r="AE30" s="10">
        <f>AF30*AG$33</f>
        <v>1.4699999999999998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199"/>
      <c r="B31" s="199"/>
      <c r="C31" s="201"/>
      <c r="D31" s="526">
        <v>120</v>
      </c>
      <c r="E31" s="526"/>
      <c r="F31" s="202">
        <f t="shared" si="24"/>
        <v>18.72</v>
      </c>
      <c r="G31" s="525">
        <f t="shared" si="14"/>
        <v>5.12</v>
      </c>
      <c r="H31" s="525"/>
      <c r="I31" s="204"/>
      <c r="J31" s="8">
        <f t="shared" si="15"/>
        <v>0.12000000000000011</v>
      </c>
      <c r="K31" s="29">
        <f t="shared" si="18"/>
        <v>55</v>
      </c>
      <c r="L31" s="29">
        <f t="shared" si="20"/>
        <v>2.29E-2</v>
      </c>
      <c r="M31" s="3">
        <f t="shared" si="17"/>
        <v>1.2595000000000001</v>
      </c>
      <c r="N31" s="3">
        <f t="shared" si="19"/>
        <v>3.2419999999999997E-2</v>
      </c>
      <c r="O31" s="3">
        <f>INT(M31/N31*100)/100</f>
        <v>38.840000000000003</v>
      </c>
      <c r="P31" s="13">
        <f t="shared" si="22"/>
        <v>-34.4</v>
      </c>
      <c r="S31" s="3">
        <f>$R$29</f>
        <v>51.85</v>
      </c>
      <c r="T31" s="3">
        <f t="shared" si="10"/>
        <v>3.0498954350479797</v>
      </c>
      <c r="U31" s="93">
        <f t="shared" si="11"/>
        <v>0.1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16.835231111661638</v>
      </c>
      <c r="AA31" s="10">
        <f>$Z$29</f>
        <v>8.2939887120837987</v>
      </c>
      <c r="AB31" s="10">
        <f t="shared" si="6"/>
        <v>270</v>
      </c>
      <c r="AC31" s="10">
        <f t="shared" si="7"/>
        <v>8.5412423995778397</v>
      </c>
      <c r="AD31" s="78">
        <f>INT((AC$28+AE31)*100)/100</f>
        <v>8.51</v>
      </c>
      <c r="AE31" s="10">
        <f>AF31*AG$33</f>
        <v>1.6799999999999997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199">
        <v>2</v>
      </c>
      <c r="B32" s="200">
        <f>입력표!D21</f>
        <v>42</v>
      </c>
      <c r="C32" s="201">
        <v>0.50694444444444442</v>
      </c>
      <c r="D32" s="526">
        <v>130</v>
      </c>
      <c r="E32" s="526"/>
      <c r="F32" s="202">
        <f t="shared" si="24"/>
        <v>19.739999999999998</v>
      </c>
      <c r="G32" s="525">
        <f t="shared" si="14"/>
        <v>6.14</v>
      </c>
      <c r="H32" s="525"/>
      <c r="I32" s="204"/>
      <c r="J32" s="8">
        <f t="shared" si="15"/>
        <v>1.0199999999999996</v>
      </c>
      <c r="K32" s="29">
        <f t="shared" si="18"/>
        <v>60</v>
      </c>
      <c r="L32" s="29">
        <f t="shared" si="20"/>
        <v>2.29E-2</v>
      </c>
      <c r="M32" s="3">
        <f t="shared" si="17"/>
        <v>1.3740000000000001</v>
      </c>
      <c r="N32" s="3">
        <f t="shared" si="19"/>
        <v>3.2419999999999997E-2</v>
      </c>
      <c r="O32" s="3">
        <f>INT(M32/N32*100)/100</f>
        <v>42.38</v>
      </c>
      <c r="P32" s="13">
        <f t="shared" si="22"/>
        <v>-37.86</v>
      </c>
      <c r="S32" s="3">
        <f>$R$29</f>
        <v>51.85</v>
      </c>
      <c r="T32" s="3">
        <f t="shared" si="10"/>
        <v>3.0498954350479797</v>
      </c>
      <c r="U32" s="93">
        <f t="shared" si="11"/>
        <v>0.1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16.97760947016447</v>
      </c>
      <c r="Z32" s="10">
        <f>Y33-Z33</f>
        <v>8.2939887120837987</v>
      </c>
      <c r="AA32" s="10">
        <f>$Z$29</f>
        <v>8.2939887120837987</v>
      </c>
      <c r="AB32" s="10">
        <f t="shared" si="6"/>
        <v>300</v>
      </c>
      <c r="AC32" s="10">
        <f t="shared" si="7"/>
        <v>8.6836207580806715</v>
      </c>
      <c r="AD32" s="78">
        <f>INT((AC$28+AE32)*100)/100</f>
        <v>8.7200000000000006</v>
      </c>
      <c r="AE32" s="10">
        <f>AF32*AG$33</f>
        <v>1.8899999999999997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199"/>
      <c r="B33" s="199"/>
      <c r="C33" s="201"/>
      <c r="D33" s="526">
        <v>140</v>
      </c>
      <c r="E33" s="526"/>
      <c r="F33" s="202">
        <f t="shared" si="24"/>
        <v>19.91</v>
      </c>
      <c r="G33" s="525">
        <f t="shared" si="14"/>
        <v>6.31</v>
      </c>
      <c r="H33" s="525"/>
      <c r="I33" s="204"/>
      <c r="J33" s="8">
        <f t="shared" si="15"/>
        <v>0.16999999999999993</v>
      </c>
      <c r="L33" s="7" t="s">
        <v>23</v>
      </c>
      <c r="P33" s="13"/>
      <c r="S33" s="3">
        <f>$R$29</f>
        <v>51.85</v>
      </c>
      <c r="T33" s="3">
        <f t="shared" si="10"/>
        <v>3.0498954350479797</v>
      </c>
      <c r="U33" s="93">
        <f t="shared" si="11"/>
        <v>0.1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17.223988712083798</v>
      </c>
      <c r="Z33" s="10">
        <f>입력표!B22</f>
        <v>8.93</v>
      </c>
      <c r="AA33" s="10">
        <f>$Z$29</f>
        <v>8.2939887120837987</v>
      </c>
      <c r="AB33" s="10">
        <f t="shared" si="6"/>
        <v>360</v>
      </c>
      <c r="AC33" s="10">
        <f t="shared" si="7"/>
        <v>8.93</v>
      </c>
      <c r="AD33" s="78">
        <f>INT((AC$28+AE33)*100)/100</f>
        <v>8.93</v>
      </c>
      <c r="AE33" s="10">
        <f>AF33*AG$33</f>
        <v>2.0999999999999996</v>
      </c>
      <c r="AF33" s="10">
        <v>1</v>
      </c>
      <c r="AG33" s="10">
        <f>AC33-AC28</f>
        <v>2.0999999999999996</v>
      </c>
      <c r="AH33" s="10"/>
      <c r="EF33" s="3">
        <v>15.41</v>
      </c>
    </row>
    <row r="34" spans="1:136" s="3" customFormat="1" ht="23.1" customHeight="1" x14ac:dyDescent="0.15">
      <c r="A34" s="199"/>
      <c r="B34" s="199"/>
      <c r="C34" s="201"/>
      <c r="D34" s="526">
        <v>150</v>
      </c>
      <c r="E34" s="526"/>
      <c r="F34" s="202">
        <f t="shared" si="24"/>
        <v>20.079999999999998</v>
      </c>
      <c r="G34" s="525">
        <f t="shared" si="14"/>
        <v>6.48</v>
      </c>
      <c r="H34" s="525"/>
      <c r="I34" s="204"/>
      <c r="J34" s="8">
        <f t="shared" si="15"/>
        <v>0.17000000000000082</v>
      </c>
      <c r="L34" s="7" t="s">
        <v>23</v>
      </c>
      <c r="R34" s="3">
        <f>B42</f>
        <v>61</v>
      </c>
      <c r="S34" s="3">
        <f>$R$34</f>
        <v>61</v>
      </c>
      <c r="T34" s="3">
        <f t="shared" si="10"/>
        <v>3.0498954350479797</v>
      </c>
      <c r="U34" s="93">
        <f t="shared" si="11"/>
        <v>0.1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20.307075489997864</v>
      </c>
      <c r="Z34" s="10">
        <f>Z37</f>
        <v>9.6008780147128885</v>
      </c>
      <c r="AA34" s="10">
        <f>$Z$34</f>
        <v>9.6008780147128885</v>
      </c>
      <c r="AB34" s="10">
        <f t="shared" si="6"/>
        <v>370</v>
      </c>
      <c r="AC34" s="10">
        <f t="shared" si="7"/>
        <v>10.706197475284975</v>
      </c>
      <c r="AD34" s="78">
        <f>INT((AC$33+AE34)*100)/100</f>
        <v>10.24</v>
      </c>
      <c r="AE34" s="10">
        <f>AG$38*AF34</f>
        <v>1.3139999999999996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199"/>
      <c r="B35" s="199"/>
      <c r="C35" s="201"/>
      <c r="D35" s="526">
        <v>180</v>
      </c>
      <c r="E35" s="526"/>
      <c r="F35" s="202">
        <f t="shared" si="24"/>
        <v>20.25</v>
      </c>
      <c r="G35" s="525">
        <f t="shared" si="14"/>
        <v>6.65</v>
      </c>
      <c r="H35" s="525"/>
      <c r="I35" s="204"/>
      <c r="J35" s="8">
        <f t="shared" si="15"/>
        <v>0.16999999999999993</v>
      </c>
      <c r="L35" s="7" t="s">
        <v>23</v>
      </c>
      <c r="S35" s="3">
        <f>$R$34</f>
        <v>61</v>
      </c>
      <c r="T35" s="3">
        <f t="shared" si="10"/>
        <v>3.0498954350479797</v>
      </c>
      <c r="U35" s="93">
        <f t="shared" si="11"/>
        <v>0.1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20.349473125672013</v>
      </c>
      <c r="AA35" s="10">
        <f>$Z$34</f>
        <v>9.6008780147128885</v>
      </c>
      <c r="AB35" s="10">
        <f t="shared" si="6"/>
        <v>380</v>
      </c>
      <c r="AC35" s="10">
        <f t="shared" si="7"/>
        <v>10.748595110959124</v>
      </c>
      <c r="AD35" s="78">
        <f>INT((AC$33+AE35)*100)/100</f>
        <v>10.46</v>
      </c>
      <c r="AE35" s="10">
        <f>AG$38*AF35</f>
        <v>1.5329999999999995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199"/>
      <c r="B36" s="199"/>
      <c r="C36" s="201"/>
      <c r="D36" s="526">
        <v>240</v>
      </c>
      <c r="E36" s="526"/>
      <c r="F36" s="202">
        <f t="shared" si="24"/>
        <v>20.43</v>
      </c>
      <c r="G36" s="525">
        <f t="shared" si="14"/>
        <v>6.83</v>
      </c>
      <c r="H36" s="525"/>
      <c r="I36" s="204"/>
      <c r="J36" s="8">
        <f t="shared" si="15"/>
        <v>0.17999999999999972</v>
      </c>
      <c r="L36" s="7" t="s">
        <v>23</v>
      </c>
      <c r="S36" s="3">
        <f>$R$34</f>
        <v>61</v>
      </c>
      <c r="T36" s="3">
        <f t="shared" si="10"/>
        <v>3.0498954350479797</v>
      </c>
      <c r="U36" s="93">
        <f t="shared" si="11"/>
        <v>0.1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20.390769398561321</v>
      </c>
      <c r="AA36" s="10">
        <f>$Z$34</f>
        <v>9.6008780147128885</v>
      </c>
      <c r="AB36" s="10">
        <f t="shared" si="6"/>
        <v>390</v>
      </c>
      <c r="AC36" s="10">
        <f t="shared" si="7"/>
        <v>10.789891383848433</v>
      </c>
      <c r="AD36" s="78">
        <f>INT((AC$33+AE36)*100)/100</f>
        <v>10.68</v>
      </c>
      <c r="AE36" s="10">
        <f>AG$38*AF36</f>
        <v>1.7519999999999998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199">
        <v>3</v>
      </c>
      <c r="B37" s="200">
        <f>입력표!D22</f>
        <v>51.85</v>
      </c>
      <c r="C37" s="201">
        <v>0.59027777777777779</v>
      </c>
      <c r="D37" s="526">
        <v>250</v>
      </c>
      <c r="E37" s="526"/>
      <c r="F37" s="202">
        <f t="shared" si="24"/>
        <v>21.689999999999998</v>
      </c>
      <c r="G37" s="525">
        <f t="shared" si="14"/>
        <v>8.09</v>
      </c>
      <c r="H37" s="525"/>
      <c r="I37" s="204"/>
      <c r="J37" s="8">
        <f t="shared" si="15"/>
        <v>1.2599999999999998</v>
      </c>
      <c r="L37" s="7" t="s">
        <v>23</v>
      </c>
      <c r="S37" s="3">
        <f>$R$34</f>
        <v>61</v>
      </c>
      <c r="T37" s="3">
        <f t="shared" si="10"/>
        <v>3.0498954350479797</v>
      </c>
      <c r="U37" s="93">
        <f t="shared" si="11"/>
        <v>0.1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20.508587521148964</v>
      </c>
      <c r="Z37" s="10">
        <f>Y38-Z38</f>
        <v>9.6008780147128885</v>
      </c>
      <c r="AA37" s="10">
        <f>$Z$34</f>
        <v>9.6008780147128885</v>
      </c>
      <c r="AB37" s="10">
        <f t="shared" si="6"/>
        <v>420</v>
      </c>
      <c r="AC37" s="10">
        <f t="shared" si="7"/>
        <v>10.907709506436076</v>
      </c>
      <c r="AD37" s="78">
        <f>INT((AC$33+AE37)*100)/100</f>
        <v>10.9</v>
      </c>
      <c r="AE37" s="10">
        <f>AG$38*AF37</f>
        <v>1.9709999999999996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199"/>
      <c r="B38" s="199"/>
      <c r="C38" s="201"/>
      <c r="D38" s="526">
        <v>260</v>
      </c>
      <c r="E38" s="526"/>
      <c r="F38" s="202">
        <f t="shared" si="24"/>
        <v>21.9</v>
      </c>
      <c r="G38" s="525">
        <f t="shared" si="14"/>
        <v>8.3000000000000007</v>
      </c>
      <c r="H38" s="525"/>
      <c r="I38" s="204"/>
      <c r="J38" s="8">
        <f t="shared" si="15"/>
        <v>0.21000000000000085</v>
      </c>
      <c r="L38" s="7" t="s">
        <v>23</v>
      </c>
      <c r="S38" s="3">
        <f>$R$34</f>
        <v>61</v>
      </c>
      <c r="T38" s="3">
        <f t="shared" si="10"/>
        <v>3.0498954350479797</v>
      </c>
      <c r="U38" s="93">
        <f t="shared" si="11"/>
        <v>0.1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20.720878014712888</v>
      </c>
      <c r="Z38" s="10">
        <f>입력표!B23</f>
        <v>11.12</v>
      </c>
      <c r="AA38" s="10">
        <f>$Z$34</f>
        <v>9.6008780147128885</v>
      </c>
      <c r="AB38" s="10">
        <f t="shared" si="6"/>
        <v>480</v>
      </c>
      <c r="AC38" s="10">
        <f t="shared" si="7"/>
        <v>11.12</v>
      </c>
      <c r="AD38" s="78">
        <f>INT((AC$33+AE38)*100)/100</f>
        <v>11.12</v>
      </c>
      <c r="AE38" s="10">
        <f>AG$38*AF38</f>
        <v>2.1899999999999995</v>
      </c>
      <c r="AF38" s="10">
        <v>1</v>
      </c>
      <c r="AG38" s="10">
        <f>AC38-AC33</f>
        <v>2.1899999999999995</v>
      </c>
      <c r="AH38" s="10"/>
      <c r="EF38" s="3">
        <v>20.059999999999999</v>
      </c>
    </row>
    <row r="39" spans="1:136" s="3" customFormat="1" ht="23.1" customHeight="1" x14ac:dyDescent="0.15">
      <c r="A39" s="199"/>
      <c r="B39" s="199"/>
      <c r="C39" s="201"/>
      <c r="D39" s="526">
        <v>270</v>
      </c>
      <c r="E39" s="526"/>
      <c r="F39" s="202">
        <f t="shared" si="24"/>
        <v>22.11</v>
      </c>
      <c r="G39" s="525">
        <f t="shared" si="14"/>
        <v>8.51</v>
      </c>
      <c r="H39" s="525"/>
      <c r="I39" s="204"/>
      <c r="J39" s="8">
        <f t="shared" si="15"/>
        <v>0.20999999999999908</v>
      </c>
      <c r="K39" s="6" t="s">
        <v>23</v>
      </c>
      <c r="L39" s="7" t="s">
        <v>23</v>
      </c>
      <c r="R39" s="14">
        <f>B47</f>
        <v>70.149999999999991</v>
      </c>
      <c r="S39" s="3">
        <f>$R$39</f>
        <v>70.149999999999991</v>
      </c>
      <c r="T39" s="3">
        <f t="shared" si="10"/>
        <v>3.0498954350479797</v>
      </c>
      <c r="U39" s="93">
        <f t="shared" si="11"/>
        <v>0.1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23.866707746999836</v>
      </c>
      <c r="Z39" s="10">
        <f>Z42</f>
        <v>9.7869807697934981</v>
      </c>
      <c r="AA39" s="10">
        <f>$Z$39</f>
        <v>9.7869807697934981</v>
      </c>
      <c r="AB39" s="10">
        <f t="shared" si="6"/>
        <v>490</v>
      </c>
      <c r="AC39" s="10">
        <f t="shared" si="7"/>
        <v>14.079726977206338</v>
      </c>
      <c r="AD39" s="78">
        <f>INT((AC$38+AE39)*100)/100</f>
        <v>12.45</v>
      </c>
      <c r="AE39" s="10">
        <f>AG$43*AF39</f>
        <v>1.3320000000000001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199"/>
      <c r="B40" s="199"/>
      <c r="C40" s="201"/>
      <c r="D40" s="526">
        <v>300</v>
      </c>
      <c r="E40" s="526"/>
      <c r="F40" s="202">
        <f t="shared" si="24"/>
        <v>22.32</v>
      </c>
      <c r="G40" s="525">
        <f t="shared" si="14"/>
        <v>8.7200000000000006</v>
      </c>
      <c r="H40" s="525"/>
      <c r="I40" s="204"/>
      <c r="J40" s="8">
        <f t="shared" si="15"/>
        <v>0.21000000000000085</v>
      </c>
      <c r="K40" s="6" t="s">
        <v>23</v>
      </c>
      <c r="L40" s="7" t="s">
        <v>23</v>
      </c>
      <c r="S40" s="3">
        <f>$R$39</f>
        <v>70.149999999999991</v>
      </c>
      <c r="T40" s="3">
        <f t="shared" si="10"/>
        <v>3.0498954350479797</v>
      </c>
      <c r="U40" s="93">
        <f t="shared" si="11"/>
        <v>0.1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23.903644148373232</v>
      </c>
      <c r="AA40" s="10">
        <f>$Z$39</f>
        <v>9.7869807697934981</v>
      </c>
      <c r="AB40" s="10">
        <f t="shared" si="6"/>
        <v>500</v>
      </c>
      <c r="AC40" s="10">
        <f t="shared" si="7"/>
        <v>14.116663378579734</v>
      </c>
      <c r="AD40" s="78">
        <f>INT((AC$38+AE40)*100)/100</f>
        <v>12.95</v>
      </c>
      <c r="AE40" s="10">
        <f>AG$43*AF40</f>
        <v>1.8315000000000001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199"/>
      <c r="B41" s="199"/>
      <c r="C41" s="201"/>
      <c r="D41" s="526">
        <v>360</v>
      </c>
      <c r="E41" s="526"/>
      <c r="F41" s="202">
        <f t="shared" si="24"/>
        <v>22.53</v>
      </c>
      <c r="G41" s="525">
        <f t="shared" si="14"/>
        <v>8.93</v>
      </c>
      <c r="H41" s="525"/>
      <c r="I41" s="204"/>
      <c r="J41" s="8">
        <f t="shared" si="15"/>
        <v>0.20999999999999908</v>
      </c>
      <c r="K41" s="6" t="s">
        <v>23</v>
      </c>
      <c r="L41" s="7" t="s">
        <v>23</v>
      </c>
      <c r="S41" s="3">
        <f>$R$39</f>
        <v>70.149999999999991</v>
      </c>
      <c r="T41" s="3">
        <f t="shared" si="10"/>
        <v>3.0498954350479797</v>
      </c>
      <c r="U41" s="93">
        <f t="shared" si="11"/>
        <v>0.1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23.939849087570924</v>
      </c>
      <c r="AA41" s="10">
        <f>$Z$39</f>
        <v>9.7869807697934981</v>
      </c>
      <c r="AB41" s="10">
        <f t="shared" si="6"/>
        <v>510</v>
      </c>
      <c r="AC41" s="10">
        <f t="shared" si="7"/>
        <v>14.152868317777425</v>
      </c>
      <c r="AD41" s="78">
        <f>INT((AC$38+AE41)*100)/100</f>
        <v>13.45</v>
      </c>
      <c r="AE41" s="10">
        <f>AG$43*AF41</f>
        <v>2.331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199">
        <v>4</v>
      </c>
      <c r="B42" s="200">
        <f>입력표!D23</f>
        <v>61</v>
      </c>
      <c r="C42" s="201">
        <v>0.67361111111111116</v>
      </c>
      <c r="D42" s="526">
        <v>370</v>
      </c>
      <c r="E42" s="526"/>
      <c r="F42" s="202">
        <f t="shared" si="24"/>
        <v>23.84</v>
      </c>
      <c r="G42" s="525">
        <f t="shared" si="14"/>
        <v>10.24</v>
      </c>
      <c r="H42" s="525"/>
      <c r="I42" s="204"/>
      <c r="J42" s="8">
        <f t="shared" si="15"/>
        <v>1.3100000000000005</v>
      </c>
      <c r="K42" s="6" t="s">
        <v>23</v>
      </c>
      <c r="L42" s="7" t="s">
        <v>23</v>
      </c>
      <c r="S42" s="3">
        <f>$R$39</f>
        <v>70.149999999999991</v>
      </c>
      <c r="T42" s="3">
        <f t="shared" si="10"/>
        <v>3.0498954350479797</v>
      </c>
      <c r="U42" s="93">
        <f t="shared" si="11"/>
        <v>0.1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24.044351225936726</v>
      </c>
      <c r="Z42" s="10">
        <f>Y43-Z43</f>
        <v>9.7869807697934981</v>
      </c>
      <c r="AA42" s="10">
        <f>$Z$39</f>
        <v>9.7869807697934981</v>
      </c>
      <c r="AB42" s="10">
        <f t="shared" si="6"/>
        <v>540</v>
      </c>
      <c r="AC42" s="10">
        <f t="shared" si="7"/>
        <v>14.257370456143228</v>
      </c>
      <c r="AD42" s="78">
        <f>INT((AC$38+AE42)*100)/100</f>
        <v>13.95</v>
      </c>
      <c r="AE42" s="10">
        <f>AG$43*AF42</f>
        <v>2.8304999999999998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199"/>
      <c r="B43" s="199"/>
      <c r="C43" s="201"/>
      <c r="D43" s="526">
        <v>380</v>
      </c>
      <c r="E43" s="526"/>
      <c r="F43" s="202">
        <f t="shared" si="24"/>
        <v>24.060000000000002</v>
      </c>
      <c r="G43" s="525">
        <f t="shared" si="14"/>
        <v>10.46</v>
      </c>
      <c r="H43" s="525"/>
      <c r="I43" s="204"/>
      <c r="J43" s="8">
        <f t="shared" si="15"/>
        <v>0.22000000000000064</v>
      </c>
      <c r="K43" s="6" t="s">
        <v>23</v>
      </c>
      <c r="L43" s="7" t="s">
        <v>23</v>
      </c>
      <c r="S43" s="3">
        <f>$R$39</f>
        <v>70.149999999999991</v>
      </c>
      <c r="T43" s="3">
        <f t="shared" si="10"/>
        <v>3.0498954350479797</v>
      </c>
      <c r="U43" s="93">
        <f t="shared" si="11"/>
        <v>0.1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24.236980769793497</v>
      </c>
      <c r="Z43" s="10">
        <f>입력표!B24</f>
        <v>14.45</v>
      </c>
      <c r="AA43" s="10">
        <f>$Z$39</f>
        <v>9.7869807697934981</v>
      </c>
      <c r="AB43" s="10">
        <f t="shared" si="6"/>
        <v>600</v>
      </c>
      <c r="AC43" s="10">
        <f t="shared" si="7"/>
        <v>14.45</v>
      </c>
      <c r="AD43" s="78">
        <f>INT((AC$38+AE43)*100)/100</f>
        <v>14.45</v>
      </c>
      <c r="AE43" s="10">
        <f>AG$43*AF43</f>
        <v>3.33</v>
      </c>
      <c r="AF43" s="10">
        <v>1</v>
      </c>
      <c r="AG43" s="10">
        <f>AC43-AC38</f>
        <v>3.33</v>
      </c>
      <c r="AH43" s="10"/>
      <c r="EF43" s="3">
        <v>31.81</v>
      </c>
    </row>
    <row r="44" spans="1:136" s="3" customFormat="1" ht="23.1" customHeight="1" x14ac:dyDescent="0.15">
      <c r="A44" s="199"/>
      <c r="B44" s="199"/>
      <c r="C44" s="201"/>
      <c r="D44" s="526">
        <v>390</v>
      </c>
      <c r="E44" s="526"/>
      <c r="F44" s="202">
        <f t="shared" si="24"/>
        <v>24.28</v>
      </c>
      <c r="G44" s="525">
        <f t="shared" si="14"/>
        <v>10.68</v>
      </c>
      <c r="H44" s="525"/>
      <c r="I44" s="204"/>
      <c r="J44" s="8">
        <f t="shared" si="15"/>
        <v>0.21999999999999886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199"/>
      <c r="B45" s="199"/>
      <c r="C45" s="201"/>
      <c r="D45" s="526">
        <v>420</v>
      </c>
      <c r="E45" s="526"/>
      <c r="F45" s="202">
        <f t="shared" ref="F45:F51" si="25">G45+$D$10</f>
        <v>24.5</v>
      </c>
      <c r="G45" s="525">
        <f t="shared" si="14"/>
        <v>10.9</v>
      </c>
      <c r="H45" s="525"/>
      <c r="I45" s="204"/>
      <c r="J45" s="8">
        <f t="shared" si="15"/>
        <v>0.22000000000000064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199"/>
      <c r="B46" s="199"/>
      <c r="C46" s="201"/>
      <c r="D46" s="526">
        <v>480</v>
      </c>
      <c r="E46" s="526"/>
      <c r="F46" s="202">
        <f t="shared" si="25"/>
        <v>24.72</v>
      </c>
      <c r="G46" s="525">
        <f t="shared" si="14"/>
        <v>11.12</v>
      </c>
      <c r="H46" s="525"/>
      <c r="I46" s="204"/>
      <c r="J46" s="8">
        <f t="shared" si="15"/>
        <v>0.21999999999999886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199">
        <v>5</v>
      </c>
      <c r="B47" s="200">
        <f>입력표!D24</f>
        <v>70.149999999999991</v>
      </c>
      <c r="C47" s="201">
        <v>0.75694444444444453</v>
      </c>
      <c r="D47" s="526">
        <v>490</v>
      </c>
      <c r="E47" s="526"/>
      <c r="F47" s="202">
        <f t="shared" si="25"/>
        <v>26.049999999999997</v>
      </c>
      <c r="G47" s="525">
        <f t="shared" si="14"/>
        <v>12.45</v>
      </c>
      <c r="H47" s="525"/>
      <c r="I47" s="204"/>
      <c r="J47" s="8">
        <f t="shared" si="15"/>
        <v>1.33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199"/>
      <c r="B48" s="199"/>
      <c r="C48" s="201"/>
      <c r="D48" s="526">
        <v>500</v>
      </c>
      <c r="E48" s="526"/>
      <c r="F48" s="202">
        <f t="shared" si="25"/>
        <v>26.549999999999997</v>
      </c>
      <c r="G48" s="525">
        <f t="shared" si="14"/>
        <v>12.95</v>
      </c>
      <c r="H48" s="525"/>
      <c r="I48" s="204"/>
      <c r="J48" s="8">
        <f t="shared" si="15"/>
        <v>0.5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199"/>
      <c r="B49" s="199"/>
      <c r="C49" s="201"/>
      <c r="D49" s="526">
        <v>510</v>
      </c>
      <c r="E49" s="526"/>
      <c r="F49" s="202">
        <f t="shared" si="25"/>
        <v>27.049999999999997</v>
      </c>
      <c r="G49" s="525">
        <f t="shared" si="14"/>
        <v>13.45</v>
      </c>
      <c r="H49" s="525"/>
      <c r="I49" s="204"/>
      <c r="J49" s="8">
        <f t="shared" si="15"/>
        <v>0.5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199"/>
      <c r="B50" s="199"/>
      <c r="C50" s="201"/>
      <c r="D50" s="526">
        <v>540</v>
      </c>
      <c r="E50" s="526"/>
      <c r="F50" s="202">
        <f t="shared" si="25"/>
        <v>27.549999999999997</v>
      </c>
      <c r="G50" s="525">
        <f t="shared" si="14"/>
        <v>13.95</v>
      </c>
      <c r="H50" s="525"/>
      <c r="I50" s="204"/>
      <c r="J50" s="8">
        <f t="shared" si="15"/>
        <v>0.5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199"/>
      <c r="B51" s="199"/>
      <c r="C51" s="201"/>
      <c r="D51" s="526">
        <v>600</v>
      </c>
      <c r="E51" s="526"/>
      <c r="F51" s="202">
        <f t="shared" si="25"/>
        <v>28.049999999999997</v>
      </c>
      <c r="G51" s="525">
        <f t="shared" si="14"/>
        <v>14.45</v>
      </c>
      <c r="H51" s="525"/>
      <c r="I51" s="204" t="s">
        <v>13</v>
      </c>
      <c r="J51" s="8">
        <f t="shared" si="15"/>
        <v>0.5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3"/>
      <c r="AE79" s="10"/>
      <c r="AF79" s="10"/>
    </row>
    <row r="80" spans="10:136" s="3" customFormat="1" ht="17.25" customHeight="1" x14ac:dyDescent="0.15">
      <c r="J80" s="3" t="s">
        <v>23</v>
      </c>
      <c r="U80" s="93"/>
      <c r="AE80" s="10"/>
      <c r="AF80" s="10"/>
    </row>
    <row r="81" spans="10:32" s="3" customFormat="1" ht="17.25" customHeight="1" x14ac:dyDescent="0.15">
      <c r="J81" s="3" t="s">
        <v>23</v>
      </c>
      <c r="U81" s="93"/>
      <c r="AE81" s="10"/>
      <c r="AF81" s="10"/>
    </row>
    <row r="82" spans="10:32" s="3" customFormat="1" ht="17.25" customHeight="1" x14ac:dyDescent="0.15">
      <c r="J82" s="3" t="s">
        <v>23</v>
      </c>
      <c r="U82" s="93"/>
      <c r="AE82" s="10"/>
      <c r="AF82" s="10"/>
    </row>
    <row r="83" spans="10:32" s="3" customFormat="1" ht="17.25" customHeight="1" x14ac:dyDescent="0.15">
      <c r="J83" s="3" t="s">
        <v>23</v>
      </c>
      <c r="U83" s="93"/>
      <c r="AE83" s="10"/>
      <c r="AF83" s="10"/>
    </row>
    <row r="84" spans="10:32" s="3" customFormat="1" ht="17.25" customHeight="1" x14ac:dyDescent="0.15">
      <c r="J84" s="3" t="s">
        <v>23</v>
      </c>
      <c r="U84" s="93"/>
      <c r="AE84" s="10"/>
      <c r="AF84" s="10"/>
    </row>
    <row r="85" spans="10:32" s="3" customFormat="1" ht="17.25" customHeight="1" x14ac:dyDescent="0.15">
      <c r="J85" s="3" t="s">
        <v>23</v>
      </c>
      <c r="U85" s="93"/>
      <c r="AE85" s="10"/>
      <c r="AF85" s="10"/>
    </row>
    <row r="86" spans="10:32" s="3" customFormat="1" ht="17.25" customHeight="1" x14ac:dyDescent="0.15">
      <c r="J86" s="3" t="s">
        <v>23</v>
      </c>
      <c r="U86" s="93"/>
      <c r="AE86" s="10"/>
      <c r="AF86" s="10"/>
    </row>
    <row r="87" spans="10:32" s="3" customFormat="1" ht="17.25" customHeight="1" x14ac:dyDescent="0.15">
      <c r="U87" s="93"/>
      <c r="AE87" s="10"/>
      <c r="AF87" s="10"/>
    </row>
    <row r="88" spans="10:32" s="3" customFormat="1" ht="17.25" customHeight="1" x14ac:dyDescent="0.15">
      <c r="U88" s="93"/>
      <c r="AE88" s="10"/>
      <c r="AF88" s="10"/>
    </row>
    <row r="89" spans="10:32" s="3" customFormat="1" ht="17.25" customHeight="1" x14ac:dyDescent="0.15">
      <c r="U89" s="93"/>
      <c r="AE89" s="10"/>
      <c r="AF89" s="10"/>
    </row>
    <row r="90" spans="10:32" s="3" customFormat="1" ht="17.25" customHeight="1" x14ac:dyDescent="0.15">
      <c r="U90" s="93"/>
      <c r="AE90" s="10"/>
      <c r="AF90" s="10"/>
    </row>
    <row r="91" spans="10:32" s="3" customFormat="1" ht="17.25" customHeight="1" x14ac:dyDescent="0.15">
      <c r="U91" s="93"/>
      <c r="AE91" s="10"/>
      <c r="AF91" s="10"/>
    </row>
    <row r="92" spans="10:32" s="3" customFormat="1" ht="17.25" customHeight="1" x14ac:dyDescent="0.15">
      <c r="U92" s="93"/>
      <c r="AE92" s="10"/>
      <c r="AF92" s="10"/>
    </row>
    <row r="93" spans="10:32" s="3" customFormat="1" ht="17.25" customHeight="1" x14ac:dyDescent="0.15">
      <c r="U93" s="93"/>
      <c r="AE93" s="10"/>
      <c r="AF93" s="10"/>
    </row>
    <row r="94" spans="10:32" s="3" customFormat="1" ht="17.25" customHeight="1" x14ac:dyDescent="0.15">
      <c r="U94" s="93"/>
      <c r="AE94" s="10"/>
      <c r="AF94" s="10"/>
    </row>
    <row r="95" spans="10:32" s="3" customFormat="1" ht="17.25" customHeight="1" x14ac:dyDescent="0.15">
      <c r="U95" s="93"/>
      <c r="AE95" s="10"/>
      <c r="AF95" s="10"/>
    </row>
    <row r="96" spans="10:32" s="3" customFormat="1" ht="17.25" customHeight="1" x14ac:dyDescent="0.15">
      <c r="U96" s="93"/>
      <c r="AE96" s="10"/>
      <c r="AF96" s="10"/>
    </row>
    <row r="97" spans="21:32" s="3" customFormat="1" ht="17.25" customHeight="1" x14ac:dyDescent="0.15">
      <c r="U97" s="93"/>
      <c r="AE97" s="10"/>
      <c r="AF97" s="10"/>
    </row>
    <row r="98" spans="21:32" s="3" customFormat="1" ht="17.25" customHeight="1" x14ac:dyDescent="0.15">
      <c r="U98" s="93"/>
      <c r="AE98" s="10"/>
      <c r="AF98" s="10"/>
    </row>
    <row r="99" spans="21:32" s="3" customFormat="1" ht="17.25" customHeight="1" x14ac:dyDescent="0.15">
      <c r="U99" s="93"/>
      <c r="AE99" s="10"/>
      <c r="AF99" s="10"/>
    </row>
    <row r="100" spans="21:32" s="3" customFormat="1" ht="17.25" customHeight="1" x14ac:dyDescent="0.15">
      <c r="U100" s="93"/>
      <c r="AE100" s="10"/>
      <c r="AF100" s="10"/>
    </row>
    <row r="101" spans="21:32" s="3" customFormat="1" ht="17.25" customHeight="1" x14ac:dyDescent="0.15">
      <c r="U101" s="93"/>
      <c r="AE101" s="10"/>
      <c r="AF101" s="10"/>
    </row>
    <row r="102" spans="21:32" s="3" customFormat="1" ht="17.25" customHeight="1" x14ac:dyDescent="0.15">
      <c r="U102" s="93"/>
      <c r="AE102" s="10"/>
      <c r="AF102" s="10"/>
    </row>
    <row r="103" spans="21:32" s="3" customFormat="1" ht="17.25" customHeight="1" x14ac:dyDescent="0.15">
      <c r="U103" s="93"/>
      <c r="AE103" s="10"/>
      <c r="AF103" s="10"/>
    </row>
    <row r="104" spans="21:32" s="3" customFormat="1" ht="17.25" customHeight="1" x14ac:dyDescent="0.15">
      <c r="U104" s="93"/>
      <c r="AE104" s="10"/>
      <c r="AF104" s="10"/>
    </row>
    <row r="105" spans="21:32" s="3" customFormat="1" ht="17.25" customHeight="1" x14ac:dyDescent="0.15">
      <c r="U105" s="93"/>
      <c r="AE105" s="10"/>
      <c r="AF105" s="10"/>
    </row>
    <row r="106" spans="21:32" s="3" customFormat="1" ht="17.25" customHeight="1" x14ac:dyDescent="0.15">
      <c r="U106" s="93"/>
      <c r="AE106" s="10"/>
      <c r="AF106" s="10"/>
    </row>
    <row r="107" spans="21:32" s="3" customFormat="1" ht="17.25" customHeight="1" x14ac:dyDescent="0.15">
      <c r="U107" s="93"/>
      <c r="AE107" s="10"/>
      <c r="AF107" s="10"/>
    </row>
    <row r="108" spans="21:32" s="3" customFormat="1" ht="17.25" customHeight="1" x14ac:dyDescent="0.15">
      <c r="U108" s="93"/>
      <c r="AE108" s="10"/>
      <c r="AF108" s="10"/>
    </row>
    <row r="109" spans="21:32" s="3" customFormat="1" ht="17.25" customHeight="1" x14ac:dyDescent="0.15">
      <c r="U109" s="93"/>
      <c r="AE109" s="10"/>
      <c r="AF109" s="10"/>
    </row>
    <row r="110" spans="21:32" s="3" customFormat="1" ht="17.25" customHeight="1" x14ac:dyDescent="0.15">
      <c r="U110" s="93"/>
      <c r="AE110" s="10"/>
      <c r="AF110" s="10"/>
    </row>
    <row r="111" spans="21:32" s="3" customFormat="1" ht="17.25" customHeight="1" x14ac:dyDescent="0.15">
      <c r="U111" s="93"/>
      <c r="AE111" s="10"/>
      <c r="AF111" s="10"/>
    </row>
    <row r="112" spans="21:32" s="3" customFormat="1" ht="17.25" customHeight="1" x14ac:dyDescent="0.15">
      <c r="U112" s="93"/>
      <c r="AE112" s="10"/>
      <c r="AF112" s="10"/>
    </row>
    <row r="113" spans="21:32" s="3" customFormat="1" ht="17.25" customHeight="1" x14ac:dyDescent="0.15">
      <c r="U113" s="93"/>
      <c r="AE113" s="10"/>
      <c r="AF113" s="10"/>
    </row>
    <row r="114" spans="21:32" s="3" customFormat="1" ht="17.25" customHeight="1" x14ac:dyDescent="0.15">
      <c r="U114" s="93"/>
      <c r="AE114" s="10"/>
      <c r="AF114" s="10"/>
    </row>
    <row r="115" spans="21:32" s="3" customFormat="1" ht="17.25" customHeight="1" x14ac:dyDescent="0.15">
      <c r="U115" s="93"/>
      <c r="AE115" s="10"/>
      <c r="AF115" s="10"/>
    </row>
    <row r="116" spans="21:32" s="3" customFormat="1" ht="17.25" customHeight="1" x14ac:dyDescent="0.15">
      <c r="U116" s="93"/>
      <c r="AE116" s="10"/>
      <c r="AF116" s="10"/>
    </row>
    <row r="117" spans="21:32" s="3" customFormat="1" ht="17.25" customHeight="1" x14ac:dyDescent="0.15">
      <c r="U117" s="93"/>
      <c r="AE117" s="10"/>
      <c r="AF117" s="10"/>
    </row>
    <row r="118" spans="21:32" s="3" customFormat="1" ht="17.25" customHeight="1" x14ac:dyDescent="0.15">
      <c r="U118" s="93"/>
      <c r="AE118" s="10"/>
      <c r="AF118" s="10"/>
    </row>
    <row r="119" spans="21:32" s="3" customFormat="1" ht="17.25" customHeight="1" x14ac:dyDescent="0.15">
      <c r="U119" s="93"/>
      <c r="AE119" s="10"/>
      <c r="AF119" s="10"/>
    </row>
    <row r="120" spans="21:32" s="3" customFormat="1" ht="17.25" customHeight="1" x14ac:dyDescent="0.15">
      <c r="U120" s="93"/>
      <c r="AE120" s="10"/>
      <c r="AF120" s="10"/>
    </row>
    <row r="121" spans="21:32" s="3" customFormat="1" ht="17.25" customHeight="1" x14ac:dyDescent="0.15">
      <c r="U121" s="93"/>
      <c r="AE121" s="10"/>
      <c r="AF121" s="10"/>
    </row>
    <row r="122" spans="21:32" s="3" customFormat="1" ht="17.25" customHeight="1" x14ac:dyDescent="0.15">
      <c r="U122" s="93"/>
      <c r="AE122" s="10"/>
      <c r="AF122" s="10"/>
    </row>
    <row r="123" spans="21:32" s="3" customFormat="1" ht="17.25" customHeight="1" x14ac:dyDescent="0.15">
      <c r="U123" s="93"/>
      <c r="AE123" s="10"/>
      <c r="AF123" s="10"/>
    </row>
    <row r="124" spans="21:32" s="3" customFormat="1" ht="17.25" customHeight="1" x14ac:dyDescent="0.15">
      <c r="U124" s="93"/>
      <c r="AE124" s="10"/>
      <c r="AF124" s="10"/>
    </row>
    <row r="125" spans="21:32" s="3" customFormat="1" ht="17.25" customHeight="1" x14ac:dyDescent="0.15">
      <c r="U125" s="93"/>
      <c r="AE125" s="10"/>
      <c r="AF125" s="10"/>
    </row>
    <row r="126" spans="21:32" s="3" customFormat="1" ht="17.25" customHeight="1" x14ac:dyDescent="0.15">
      <c r="U126" s="93"/>
      <c r="AE126" s="10"/>
      <c r="AF126" s="10"/>
    </row>
    <row r="127" spans="21:32" s="3" customFormat="1" ht="17.25" customHeight="1" x14ac:dyDescent="0.15">
      <c r="U127" s="93"/>
      <c r="AE127" s="10"/>
      <c r="AF127" s="10"/>
    </row>
    <row r="128" spans="21:32" s="3" customFormat="1" ht="17.25" customHeight="1" x14ac:dyDescent="0.15">
      <c r="U128" s="93"/>
      <c r="AE128" s="10"/>
      <c r="AF128" s="10"/>
    </row>
    <row r="129" spans="21:32" s="3" customFormat="1" ht="17.25" customHeight="1" x14ac:dyDescent="0.15">
      <c r="U129" s="93"/>
      <c r="AE129" s="10"/>
      <c r="AF129" s="10"/>
    </row>
    <row r="130" spans="21:32" s="3" customFormat="1" ht="17.25" customHeight="1" x14ac:dyDescent="0.15">
      <c r="U130" s="93"/>
      <c r="AE130" s="10"/>
      <c r="AF130" s="10"/>
    </row>
    <row r="131" spans="21:32" s="3" customFormat="1" ht="17.25" customHeight="1" x14ac:dyDescent="0.15">
      <c r="U131" s="93"/>
      <c r="AE131" s="10"/>
      <c r="AF131" s="10"/>
    </row>
    <row r="132" spans="21:32" s="3" customFormat="1" ht="17.25" customHeight="1" x14ac:dyDescent="0.15">
      <c r="U132" s="93"/>
      <c r="AE132" s="10"/>
      <c r="AF132" s="10"/>
    </row>
    <row r="133" spans="21:32" s="3" customFormat="1" ht="17.25" customHeight="1" x14ac:dyDescent="0.15">
      <c r="U133" s="93"/>
      <c r="AE133" s="10"/>
      <c r="AF133" s="10"/>
    </row>
    <row r="134" spans="21:32" s="3" customFormat="1" ht="17.25" customHeight="1" x14ac:dyDescent="0.15">
      <c r="U134" s="93"/>
      <c r="AE134" s="10"/>
      <c r="AF134" s="10"/>
    </row>
    <row r="135" spans="21:32" s="3" customFormat="1" ht="17.25" customHeight="1" x14ac:dyDescent="0.15">
      <c r="U135" s="93"/>
      <c r="AE135" s="10"/>
      <c r="AF135" s="10"/>
    </row>
    <row r="136" spans="21:32" s="3" customFormat="1" ht="17.25" customHeight="1" x14ac:dyDescent="0.15">
      <c r="U136" s="93"/>
      <c r="AE136" s="10"/>
      <c r="AF136" s="10"/>
    </row>
    <row r="137" spans="21:32" s="3" customFormat="1" ht="17.25" customHeight="1" x14ac:dyDescent="0.15">
      <c r="U137" s="93"/>
      <c r="AE137" s="10"/>
      <c r="AF137" s="10"/>
    </row>
    <row r="138" spans="21:32" s="3" customFormat="1" ht="17.25" customHeight="1" x14ac:dyDescent="0.15">
      <c r="U138" s="93"/>
      <c r="AE138" s="10"/>
      <c r="AF138" s="10"/>
    </row>
    <row r="139" spans="21:32" s="3" customFormat="1" ht="17.25" customHeight="1" x14ac:dyDescent="0.15">
      <c r="U139" s="93"/>
      <c r="AE139" s="10"/>
      <c r="AF139" s="10"/>
    </row>
    <row r="140" spans="21:32" s="3" customFormat="1" ht="17.25" customHeight="1" x14ac:dyDescent="0.15">
      <c r="U140" s="93"/>
      <c r="AE140" s="10"/>
      <c r="AF140" s="10"/>
    </row>
    <row r="141" spans="21:32" s="3" customFormat="1" ht="17.25" customHeight="1" x14ac:dyDescent="0.15">
      <c r="U141" s="93"/>
      <c r="AE141" s="10"/>
      <c r="AF141" s="10"/>
    </row>
    <row r="142" spans="21:32" s="3" customFormat="1" ht="17.25" customHeight="1" x14ac:dyDescent="0.15">
      <c r="U142" s="93"/>
      <c r="AE142" s="10"/>
      <c r="AF142" s="10"/>
    </row>
    <row r="143" spans="21:32" s="3" customFormat="1" ht="17.25" customHeight="1" x14ac:dyDescent="0.15">
      <c r="U143" s="93"/>
      <c r="AE143" s="10"/>
      <c r="AF143" s="10"/>
    </row>
    <row r="144" spans="21:32" s="3" customFormat="1" ht="17.25" customHeight="1" x14ac:dyDescent="0.15">
      <c r="U144" s="93"/>
      <c r="AE144" s="10"/>
      <c r="AF144" s="10"/>
    </row>
    <row r="145" spans="21:32" s="3" customFormat="1" ht="17.25" customHeight="1" x14ac:dyDescent="0.15">
      <c r="U145" s="93"/>
      <c r="AE145" s="10"/>
      <c r="AF145" s="10"/>
    </row>
    <row r="146" spans="21:32" s="3" customFormat="1" ht="17.25" customHeight="1" x14ac:dyDescent="0.15">
      <c r="U146" s="93"/>
      <c r="AE146" s="10"/>
      <c r="AF146" s="10"/>
    </row>
    <row r="147" spans="21:32" s="3" customFormat="1" ht="17.25" customHeight="1" x14ac:dyDescent="0.15">
      <c r="U147" s="93"/>
      <c r="AE147" s="10"/>
      <c r="AF147" s="10"/>
    </row>
    <row r="148" spans="21:32" s="3" customFormat="1" ht="17.25" customHeight="1" x14ac:dyDescent="0.15">
      <c r="U148" s="93"/>
      <c r="AE148" s="10"/>
      <c r="AF148" s="10"/>
    </row>
    <row r="149" spans="21:32" s="3" customFormat="1" ht="17.25" customHeight="1" x14ac:dyDescent="0.15">
      <c r="U149" s="93"/>
      <c r="AE149" s="10"/>
      <c r="AF149" s="10"/>
    </row>
    <row r="150" spans="21:32" s="3" customFormat="1" ht="17.25" customHeight="1" x14ac:dyDescent="0.15">
      <c r="U150" s="93"/>
      <c r="AE150" s="10"/>
      <c r="AF150" s="10"/>
    </row>
    <row r="151" spans="21:32" s="3" customFormat="1" ht="17.25" customHeight="1" x14ac:dyDescent="0.15">
      <c r="U151" s="93"/>
      <c r="AE151" s="10"/>
      <c r="AF151" s="10"/>
    </row>
    <row r="152" spans="21:32" s="3" customFormat="1" ht="17.25" customHeight="1" x14ac:dyDescent="0.15">
      <c r="U152" s="93"/>
      <c r="AE152" s="10"/>
      <c r="AF152" s="10"/>
    </row>
    <row r="153" spans="21:32" s="3" customFormat="1" ht="17.25" customHeight="1" x14ac:dyDescent="0.15">
      <c r="U153" s="93"/>
      <c r="AE153" s="10"/>
      <c r="AF153" s="10"/>
    </row>
    <row r="154" spans="21:32" s="3" customFormat="1" ht="17.25" customHeight="1" x14ac:dyDescent="0.15">
      <c r="U154" s="93"/>
      <c r="AE154" s="10"/>
      <c r="AF154" s="10"/>
    </row>
    <row r="155" spans="21:32" s="3" customFormat="1" ht="17.25" customHeight="1" x14ac:dyDescent="0.15">
      <c r="U155" s="93"/>
      <c r="AE155" s="10"/>
      <c r="AF155" s="10"/>
    </row>
    <row r="156" spans="21:32" s="3" customFormat="1" ht="17.25" customHeight="1" x14ac:dyDescent="0.15">
      <c r="U156" s="93"/>
      <c r="AE156" s="10"/>
      <c r="AF156" s="10"/>
    </row>
    <row r="157" spans="21:32" s="3" customFormat="1" ht="17.25" customHeight="1" x14ac:dyDescent="0.15">
      <c r="U157" s="93"/>
      <c r="AE157" s="10"/>
      <c r="AF157" s="10"/>
    </row>
    <row r="158" spans="21:32" s="3" customFormat="1" ht="17.25" customHeight="1" x14ac:dyDescent="0.15">
      <c r="U158" s="93"/>
      <c r="AE158" s="10"/>
      <c r="AF158" s="10"/>
    </row>
    <row r="159" spans="21:32" s="3" customFormat="1" ht="17.25" customHeight="1" x14ac:dyDescent="0.15">
      <c r="U159" s="93"/>
      <c r="AE159" s="10"/>
      <c r="AF159" s="10"/>
    </row>
    <row r="160" spans="21:32" s="3" customFormat="1" ht="17.25" customHeight="1" x14ac:dyDescent="0.15">
      <c r="U160" s="93"/>
      <c r="AE160" s="10"/>
      <c r="AF160" s="10"/>
    </row>
    <row r="161" spans="21:32" s="3" customFormat="1" ht="17.25" customHeight="1" x14ac:dyDescent="0.15">
      <c r="U161" s="93"/>
      <c r="AE161" s="10"/>
      <c r="AF161" s="10"/>
    </row>
    <row r="162" spans="21:32" s="3" customFormat="1" ht="17.25" customHeight="1" x14ac:dyDescent="0.15">
      <c r="U162" s="93"/>
      <c r="AE162" s="10"/>
      <c r="AF162" s="10"/>
    </row>
    <row r="163" spans="21:32" s="3" customFormat="1" ht="17.25" customHeight="1" x14ac:dyDescent="0.15">
      <c r="U163" s="93"/>
      <c r="AE163" s="10"/>
      <c r="AF163" s="10"/>
    </row>
    <row r="164" spans="21:32" s="3" customFormat="1" ht="17.25" customHeight="1" x14ac:dyDescent="0.15">
      <c r="U164" s="93"/>
      <c r="AE164" s="10"/>
      <c r="AF164" s="10"/>
    </row>
    <row r="165" spans="21:32" s="3" customFormat="1" ht="17.25" customHeight="1" x14ac:dyDescent="0.15">
      <c r="U165" s="93"/>
      <c r="AE165" s="10"/>
      <c r="AF165" s="10"/>
    </row>
    <row r="166" spans="21:32" s="3" customFormat="1" ht="17.25" customHeight="1" x14ac:dyDescent="0.15">
      <c r="U166" s="93"/>
      <c r="AE166" s="10"/>
      <c r="AF166" s="10"/>
    </row>
    <row r="167" spans="21:32" s="3" customFormat="1" ht="17.25" customHeight="1" x14ac:dyDescent="0.15">
      <c r="U167" s="93"/>
      <c r="AE167" s="10"/>
      <c r="AF167" s="10"/>
    </row>
    <row r="168" spans="21:32" s="3" customFormat="1" ht="17.25" customHeight="1" x14ac:dyDescent="0.15">
      <c r="U168" s="93"/>
      <c r="AE168" s="10"/>
      <c r="AF168" s="10"/>
    </row>
    <row r="169" spans="21:32" s="3" customFormat="1" ht="17.25" customHeight="1" x14ac:dyDescent="0.15">
      <c r="U169" s="93"/>
      <c r="AE169" s="10"/>
      <c r="AF169" s="10"/>
    </row>
    <row r="170" spans="21:32" s="3" customFormat="1" ht="17.25" customHeight="1" x14ac:dyDescent="0.15">
      <c r="U170" s="93"/>
      <c r="AE170" s="10"/>
      <c r="AF170" s="10"/>
    </row>
    <row r="171" spans="21:32" s="3" customFormat="1" ht="17.25" customHeight="1" x14ac:dyDescent="0.15">
      <c r="U171" s="93"/>
      <c r="AE171" s="10"/>
      <c r="AF171" s="10"/>
    </row>
    <row r="172" spans="21:32" s="3" customFormat="1" ht="17.25" customHeight="1" x14ac:dyDescent="0.15">
      <c r="U172" s="93"/>
      <c r="AE172" s="10"/>
      <c r="AF172" s="10"/>
    </row>
    <row r="173" spans="21:32" s="3" customFormat="1" ht="17.25" customHeight="1" x14ac:dyDescent="0.15">
      <c r="U173" s="93"/>
      <c r="AE173" s="10"/>
      <c r="AF173" s="10"/>
    </row>
    <row r="174" spans="21:32" s="3" customFormat="1" ht="17.25" customHeight="1" x14ac:dyDescent="0.15">
      <c r="U174" s="93"/>
      <c r="AE174" s="10"/>
      <c r="AF174" s="10"/>
    </row>
    <row r="175" spans="21:32" s="3" customFormat="1" ht="17.25" customHeight="1" x14ac:dyDescent="0.15">
      <c r="U175" s="93"/>
      <c r="AE175" s="10"/>
      <c r="AF175" s="10"/>
    </row>
    <row r="176" spans="21:32" s="3" customFormat="1" ht="17.25" customHeight="1" x14ac:dyDescent="0.15">
      <c r="U176" s="93"/>
      <c r="AE176" s="10"/>
      <c r="AF176" s="10"/>
    </row>
    <row r="177" spans="21:32" s="3" customFormat="1" ht="17.25" customHeight="1" x14ac:dyDescent="0.15">
      <c r="U177" s="93"/>
      <c r="AE177" s="10"/>
      <c r="AF177" s="10"/>
    </row>
    <row r="178" spans="21:32" s="3" customFormat="1" ht="17.25" customHeight="1" x14ac:dyDescent="0.15">
      <c r="U178" s="93"/>
      <c r="AE178" s="10"/>
      <c r="AF178" s="10"/>
    </row>
    <row r="179" spans="21:32" s="3" customFormat="1" ht="17.25" customHeight="1" x14ac:dyDescent="0.15">
      <c r="U179" s="93"/>
      <c r="AE179" s="10"/>
      <c r="AF179" s="10"/>
    </row>
    <row r="180" spans="21:32" s="3" customFormat="1" ht="17.25" customHeight="1" x14ac:dyDescent="0.15">
      <c r="U180" s="93"/>
      <c r="AE180" s="10"/>
      <c r="AF180" s="10"/>
    </row>
    <row r="181" spans="21:32" s="3" customFormat="1" ht="17.25" customHeight="1" x14ac:dyDescent="0.15">
      <c r="U181" s="93"/>
      <c r="AE181" s="10"/>
      <c r="AF181" s="10"/>
    </row>
    <row r="182" spans="21:32" s="3" customFormat="1" ht="17.25" customHeight="1" x14ac:dyDescent="0.15">
      <c r="U182" s="93"/>
      <c r="AE182" s="10"/>
      <c r="AF182" s="10"/>
    </row>
    <row r="183" spans="21:32" s="3" customFormat="1" ht="17.25" customHeight="1" x14ac:dyDescent="0.15">
      <c r="U183" s="93"/>
      <c r="AE183" s="10"/>
      <c r="AF183" s="10"/>
    </row>
    <row r="184" spans="21:32" s="3" customFormat="1" ht="17.25" customHeight="1" x14ac:dyDescent="0.15">
      <c r="U184" s="93"/>
      <c r="AE184" s="10"/>
      <c r="AF184" s="10"/>
    </row>
    <row r="185" spans="21:32" s="3" customFormat="1" ht="17.25" customHeight="1" x14ac:dyDescent="0.15">
      <c r="U185" s="93"/>
      <c r="AE185" s="10"/>
      <c r="AF185" s="10"/>
    </row>
    <row r="186" spans="21:32" s="3" customFormat="1" ht="17.25" customHeight="1" x14ac:dyDescent="0.15">
      <c r="U186" s="93"/>
      <c r="AE186" s="10"/>
      <c r="AF186" s="10"/>
    </row>
    <row r="187" spans="21:32" s="3" customFormat="1" ht="17.25" customHeight="1" x14ac:dyDescent="0.15">
      <c r="U187" s="93"/>
      <c r="AE187" s="10"/>
      <c r="AF187" s="10"/>
    </row>
    <row r="188" spans="21:32" s="3" customFormat="1" ht="17.25" customHeight="1" x14ac:dyDescent="0.15">
      <c r="U188" s="93"/>
      <c r="AE188" s="10"/>
      <c r="AF188" s="10"/>
    </row>
    <row r="189" spans="21:32" s="3" customFormat="1" ht="17.25" customHeight="1" x14ac:dyDescent="0.15">
      <c r="U189" s="93"/>
      <c r="AE189" s="10"/>
      <c r="AF189" s="10"/>
    </row>
    <row r="190" spans="21:32" s="3" customFormat="1" ht="17.25" customHeight="1" x14ac:dyDescent="0.15">
      <c r="U190" s="93"/>
      <c r="AE190" s="10"/>
      <c r="AF190" s="10"/>
    </row>
    <row r="191" spans="21:32" s="3" customFormat="1" ht="17.25" customHeight="1" x14ac:dyDescent="0.15">
      <c r="U191" s="93"/>
      <c r="AE191" s="10"/>
      <c r="AF191" s="10"/>
    </row>
    <row r="192" spans="21:32" s="3" customFormat="1" ht="17.25" customHeight="1" x14ac:dyDescent="0.15">
      <c r="U192" s="93"/>
      <c r="AE192" s="10"/>
      <c r="AF192" s="10"/>
    </row>
    <row r="193" spans="21:32" s="3" customFormat="1" ht="17.25" customHeight="1" x14ac:dyDescent="0.15">
      <c r="U193" s="93"/>
      <c r="AE193" s="10"/>
      <c r="AF193" s="10"/>
    </row>
    <row r="194" spans="21:32" s="3" customFormat="1" ht="17.25" customHeight="1" x14ac:dyDescent="0.15">
      <c r="U194" s="93"/>
      <c r="AE194" s="10"/>
      <c r="AF194" s="10"/>
    </row>
    <row r="195" spans="21:32" s="3" customFormat="1" ht="17.25" customHeight="1" x14ac:dyDescent="0.15">
      <c r="U195" s="93"/>
      <c r="AE195" s="10"/>
      <c r="AF195" s="10"/>
    </row>
    <row r="196" spans="21:32" s="3" customFormat="1" ht="17.25" customHeight="1" x14ac:dyDescent="0.15">
      <c r="U196" s="93"/>
      <c r="AE196" s="10"/>
      <c r="AF196" s="10"/>
    </row>
    <row r="197" spans="21:32" s="3" customFormat="1" ht="17.25" customHeight="1" x14ac:dyDescent="0.15">
      <c r="U197" s="93"/>
      <c r="AE197" s="10"/>
      <c r="AF197" s="10"/>
    </row>
    <row r="198" spans="21:32" s="3" customFormat="1" ht="17.25" customHeight="1" x14ac:dyDescent="0.15">
      <c r="U198" s="93"/>
      <c r="AE198" s="10"/>
      <c r="AF198" s="10"/>
    </row>
    <row r="199" spans="21:32" s="3" customFormat="1" ht="17.25" customHeight="1" x14ac:dyDescent="0.15">
      <c r="U199" s="93"/>
      <c r="AE199" s="10"/>
      <c r="AF199" s="10"/>
    </row>
    <row r="200" spans="21:32" s="3" customFormat="1" ht="17.25" customHeight="1" x14ac:dyDescent="0.15">
      <c r="U200" s="93"/>
      <c r="AE200" s="10"/>
      <c r="AF200" s="10"/>
    </row>
    <row r="201" spans="21:32" s="3" customFormat="1" ht="17.25" customHeight="1" x14ac:dyDescent="0.15">
      <c r="U201" s="93"/>
      <c r="AE201" s="10"/>
      <c r="AF201" s="10"/>
    </row>
    <row r="202" spans="21:32" s="3" customFormat="1" ht="17.25" customHeight="1" x14ac:dyDescent="0.15">
      <c r="U202" s="93"/>
      <c r="AE202" s="10"/>
      <c r="AF202" s="10"/>
    </row>
    <row r="203" spans="21:32" s="3" customFormat="1" ht="17.25" customHeight="1" x14ac:dyDescent="0.15">
      <c r="U203" s="93"/>
      <c r="AE203" s="10"/>
      <c r="AF203" s="10"/>
    </row>
    <row r="204" spans="21:32" s="3" customFormat="1" ht="17.25" customHeight="1" x14ac:dyDescent="0.15">
      <c r="U204" s="93"/>
      <c r="AE204" s="10"/>
      <c r="AF204" s="10"/>
    </row>
    <row r="205" spans="21:32" s="3" customFormat="1" ht="17.25" customHeight="1" x14ac:dyDescent="0.15">
      <c r="U205" s="93"/>
      <c r="AE205" s="10"/>
      <c r="AF205" s="10"/>
    </row>
    <row r="206" spans="21:32" s="3" customFormat="1" ht="17.25" customHeight="1" x14ac:dyDescent="0.15">
      <c r="U206" s="93"/>
      <c r="AE206" s="10"/>
      <c r="AF206" s="10"/>
    </row>
    <row r="207" spans="21:32" s="3" customFormat="1" ht="17.25" customHeight="1" x14ac:dyDescent="0.15">
      <c r="U207" s="93"/>
      <c r="AE207" s="10"/>
      <c r="AF207" s="10"/>
    </row>
    <row r="208" spans="21:32" s="3" customFormat="1" ht="17.25" customHeight="1" x14ac:dyDescent="0.15">
      <c r="U208" s="93"/>
      <c r="AE208" s="10"/>
      <c r="AF208" s="10"/>
    </row>
    <row r="209" spans="21:32" s="3" customFormat="1" ht="17.25" customHeight="1" x14ac:dyDescent="0.15">
      <c r="U209" s="93"/>
      <c r="AE209" s="10"/>
      <c r="AF209" s="10"/>
    </row>
    <row r="210" spans="21:32" s="3" customFormat="1" ht="17.25" customHeight="1" x14ac:dyDescent="0.15">
      <c r="U210" s="93"/>
      <c r="AE210" s="10"/>
      <c r="AF210" s="10"/>
    </row>
    <row r="211" spans="21:32" s="3" customFormat="1" ht="17.25" customHeight="1" x14ac:dyDescent="0.15">
      <c r="U211" s="93"/>
      <c r="AE211" s="10"/>
      <c r="AF211" s="10"/>
    </row>
    <row r="212" spans="21:32" s="3" customFormat="1" ht="17.25" customHeight="1" x14ac:dyDescent="0.15">
      <c r="U212" s="93"/>
      <c r="AE212" s="10"/>
      <c r="AF212" s="10"/>
    </row>
    <row r="213" spans="21:32" s="3" customFormat="1" ht="17.25" customHeight="1" x14ac:dyDescent="0.15">
      <c r="U213" s="93"/>
      <c r="AE213" s="10"/>
      <c r="AF213" s="10"/>
    </row>
    <row r="214" spans="21:32" s="3" customFormat="1" ht="17.25" customHeight="1" x14ac:dyDescent="0.15">
      <c r="U214" s="93"/>
      <c r="AE214" s="10"/>
      <c r="AF214" s="10"/>
    </row>
    <row r="215" spans="21:32" s="3" customFormat="1" ht="17.25" customHeight="1" x14ac:dyDescent="0.15">
      <c r="U215" s="93"/>
      <c r="AE215" s="10"/>
      <c r="AF215" s="10"/>
    </row>
    <row r="216" spans="21:32" s="3" customFormat="1" ht="17.25" customHeight="1" x14ac:dyDescent="0.15">
      <c r="U216" s="93"/>
      <c r="AE216" s="10"/>
      <c r="AF216" s="10"/>
    </row>
    <row r="217" spans="21:32" s="3" customFormat="1" ht="17.25" customHeight="1" x14ac:dyDescent="0.15">
      <c r="U217" s="93"/>
      <c r="AE217" s="10"/>
      <c r="AF217" s="10"/>
    </row>
    <row r="218" spans="21:32" s="3" customFormat="1" ht="17.25" customHeight="1" x14ac:dyDescent="0.15">
      <c r="U218" s="93"/>
      <c r="AE218" s="10"/>
      <c r="AF218" s="10"/>
    </row>
    <row r="219" spans="21:32" s="3" customFormat="1" ht="17.25" customHeight="1" x14ac:dyDescent="0.15">
      <c r="U219" s="93"/>
      <c r="AE219" s="10"/>
      <c r="AF219" s="10"/>
    </row>
    <row r="220" spans="21:32" s="3" customFormat="1" ht="17.25" customHeight="1" x14ac:dyDescent="0.15">
      <c r="U220" s="93"/>
      <c r="AE220" s="10"/>
      <c r="AF220" s="10"/>
    </row>
    <row r="221" spans="21:32" s="3" customFormat="1" ht="17.25" customHeight="1" x14ac:dyDescent="0.15">
      <c r="U221" s="93"/>
      <c r="AE221" s="10"/>
      <c r="AF221" s="10"/>
    </row>
    <row r="222" spans="21:32" s="3" customFormat="1" ht="17.25" customHeight="1" x14ac:dyDescent="0.15">
      <c r="U222" s="93"/>
      <c r="AE222" s="10"/>
      <c r="AF222" s="10"/>
    </row>
    <row r="223" spans="21:32" s="3" customFormat="1" ht="17.25" customHeight="1" x14ac:dyDescent="0.15">
      <c r="U223" s="93"/>
      <c r="AE223" s="10"/>
      <c r="AF223" s="10"/>
    </row>
    <row r="224" spans="21:32" s="3" customFormat="1" ht="17.25" customHeight="1" x14ac:dyDescent="0.15">
      <c r="U224" s="93"/>
      <c r="AE224" s="10"/>
      <c r="AF224" s="10"/>
    </row>
    <row r="225" spans="21:32" s="3" customFormat="1" ht="17.25" customHeight="1" x14ac:dyDescent="0.15">
      <c r="U225" s="93"/>
      <c r="AE225" s="10"/>
      <c r="AF225" s="10"/>
    </row>
    <row r="226" spans="21:32" s="3" customFormat="1" ht="17.25" customHeight="1" x14ac:dyDescent="0.15">
      <c r="U226" s="93"/>
      <c r="AE226" s="10"/>
      <c r="AF226" s="10"/>
    </row>
    <row r="227" spans="21:32" s="3" customFormat="1" ht="17.25" customHeight="1" x14ac:dyDescent="0.15">
      <c r="U227" s="93"/>
      <c r="AE227" s="10"/>
      <c r="AF227" s="10"/>
    </row>
    <row r="228" spans="21:32" s="3" customFormat="1" ht="17.25" customHeight="1" x14ac:dyDescent="0.15">
      <c r="U228" s="93"/>
      <c r="AE228" s="10"/>
      <c r="AF228" s="10"/>
    </row>
    <row r="229" spans="21:32" s="3" customFormat="1" ht="17.25" customHeight="1" x14ac:dyDescent="0.15">
      <c r="U229" s="93"/>
      <c r="AE229" s="10"/>
      <c r="AF229" s="10"/>
    </row>
    <row r="230" spans="21:32" s="3" customFormat="1" ht="17.25" customHeight="1" x14ac:dyDescent="0.15">
      <c r="U230" s="93"/>
      <c r="AE230" s="10"/>
      <c r="AF230" s="10"/>
    </row>
    <row r="231" spans="21:32" s="3" customFormat="1" ht="17.25" customHeight="1" x14ac:dyDescent="0.15">
      <c r="U231" s="93"/>
      <c r="AE231" s="10"/>
      <c r="AF231" s="10"/>
    </row>
    <row r="232" spans="21:32" s="3" customFormat="1" ht="17.25" customHeight="1" x14ac:dyDescent="0.15">
      <c r="U232" s="93"/>
      <c r="AE232" s="10"/>
      <c r="AF232" s="10"/>
    </row>
    <row r="233" spans="21:32" s="3" customFormat="1" ht="17.25" customHeight="1" x14ac:dyDescent="0.15">
      <c r="U233" s="93"/>
      <c r="AE233" s="10"/>
      <c r="AF233" s="10"/>
    </row>
    <row r="234" spans="21:32" s="3" customFormat="1" ht="17.25" customHeight="1" x14ac:dyDescent="0.15">
      <c r="U234" s="93"/>
      <c r="AE234" s="10"/>
      <c r="AF234" s="10"/>
    </row>
    <row r="235" spans="21:32" s="3" customFormat="1" ht="17.25" customHeight="1" x14ac:dyDescent="0.15">
      <c r="U235" s="93"/>
      <c r="AE235" s="10"/>
      <c r="AF235" s="10"/>
    </row>
    <row r="236" spans="21:32" s="3" customFormat="1" ht="17.25" customHeight="1" x14ac:dyDescent="0.15">
      <c r="U236" s="93"/>
      <c r="AE236" s="10"/>
      <c r="AF236" s="10"/>
    </row>
    <row r="237" spans="21:32" s="3" customFormat="1" ht="17.25" customHeight="1" x14ac:dyDescent="0.15">
      <c r="U237" s="93"/>
      <c r="AE237" s="10"/>
      <c r="AF237" s="10"/>
    </row>
    <row r="238" spans="21:32" s="3" customFormat="1" ht="17.25" customHeight="1" x14ac:dyDescent="0.15">
      <c r="U238" s="93"/>
      <c r="AE238" s="10"/>
      <c r="AF238" s="10"/>
    </row>
    <row r="239" spans="21:32" s="3" customFormat="1" ht="17.25" customHeight="1" x14ac:dyDescent="0.15">
      <c r="U239" s="93"/>
      <c r="AE239" s="10"/>
      <c r="AF239" s="10"/>
    </row>
    <row r="240" spans="21:32" s="3" customFormat="1" ht="17.25" customHeight="1" x14ac:dyDescent="0.15">
      <c r="U240" s="93"/>
      <c r="AE240" s="10"/>
      <c r="AF240" s="10"/>
    </row>
    <row r="241" spans="21:32" s="3" customFormat="1" ht="17.25" customHeight="1" x14ac:dyDescent="0.15">
      <c r="U241" s="93"/>
      <c r="AE241" s="10"/>
      <c r="AF241" s="10"/>
    </row>
    <row r="242" spans="21:32" s="3" customFormat="1" ht="17.25" customHeight="1" x14ac:dyDescent="0.15">
      <c r="U242" s="93"/>
      <c r="AE242" s="10"/>
      <c r="AF242" s="10"/>
    </row>
    <row r="243" spans="21:32" s="3" customFormat="1" ht="17.25" customHeight="1" x14ac:dyDescent="0.15">
      <c r="U243" s="93"/>
      <c r="AE243" s="10"/>
      <c r="AF243" s="10"/>
    </row>
    <row r="244" spans="21:32" s="3" customFormat="1" ht="17.25" customHeight="1" x14ac:dyDescent="0.15">
      <c r="U244" s="93"/>
      <c r="AE244" s="10"/>
      <c r="AF244" s="10"/>
    </row>
    <row r="245" spans="21:32" s="3" customFormat="1" ht="17.25" customHeight="1" x14ac:dyDescent="0.15">
      <c r="U245" s="93"/>
      <c r="AE245" s="10"/>
      <c r="AF245" s="10"/>
    </row>
    <row r="246" spans="21:32" s="3" customFormat="1" ht="17.25" customHeight="1" x14ac:dyDescent="0.15">
      <c r="U246" s="93"/>
      <c r="AE246" s="10"/>
      <c r="AF246" s="10"/>
    </row>
    <row r="247" spans="21:32" s="3" customFormat="1" ht="17.25" customHeight="1" x14ac:dyDescent="0.15">
      <c r="U247" s="93"/>
      <c r="AE247" s="10"/>
      <c r="AF247" s="10"/>
    </row>
    <row r="248" spans="21:32" s="3" customFormat="1" ht="17.25" customHeight="1" x14ac:dyDescent="0.15">
      <c r="U248" s="93"/>
      <c r="AE248" s="10"/>
      <c r="AF248" s="10"/>
    </row>
    <row r="249" spans="21:32" s="3" customFormat="1" ht="17.25" customHeight="1" x14ac:dyDescent="0.15">
      <c r="U249" s="93"/>
      <c r="AE249" s="10"/>
      <c r="AF249" s="10"/>
    </row>
    <row r="250" spans="21:32" s="3" customFormat="1" ht="17.25" customHeight="1" x14ac:dyDescent="0.15">
      <c r="U250" s="93"/>
      <c r="AE250" s="10"/>
      <c r="AF250" s="10"/>
    </row>
    <row r="251" spans="21:32" s="3" customFormat="1" ht="17.25" customHeight="1" x14ac:dyDescent="0.15">
      <c r="U251" s="93"/>
      <c r="AE251" s="10"/>
      <c r="AF251" s="10"/>
    </row>
    <row r="252" spans="21:32" s="3" customFormat="1" ht="17.25" customHeight="1" x14ac:dyDescent="0.15">
      <c r="U252" s="93"/>
      <c r="AE252" s="10"/>
      <c r="AF252" s="10"/>
    </row>
    <row r="253" spans="21:32" s="3" customFormat="1" ht="17.25" customHeight="1" x14ac:dyDescent="0.15">
      <c r="U253" s="93"/>
      <c r="AE253" s="10"/>
      <c r="AF253" s="10"/>
    </row>
    <row r="254" spans="21:32" s="3" customFormat="1" ht="17.25" customHeight="1" x14ac:dyDescent="0.15">
      <c r="U254" s="93"/>
      <c r="AE254" s="10"/>
      <c r="AF254" s="10"/>
    </row>
    <row r="255" spans="21:32" s="3" customFormat="1" ht="17.25" customHeight="1" x14ac:dyDescent="0.15">
      <c r="U255" s="93"/>
      <c r="AE255" s="10"/>
      <c r="AF255" s="10"/>
    </row>
    <row r="256" spans="21:32" s="3" customFormat="1" ht="17.25" customHeight="1" x14ac:dyDescent="0.15">
      <c r="U256" s="93"/>
      <c r="AE256" s="10"/>
      <c r="AF256" s="10"/>
    </row>
    <row r="257" spans="21:32" s="3" customFormat="1" ht="17.25" customHeight="1" x14ac:dyDescent="0.15">
      <c r="U257" s="93"/>
      <c r="AE257" s="10"/>
      <c r="AF257" s="10"/>
    </row>
    <row r="258" spans="21:32" s="3" customFormat="1" ht="17.25" customHeight="1" x14ac:dyDescent="0.15">
      <c r="U258" s="93"/>
      <c r="AE258" s="10"/>
      <c r="AF258" s="10"/>
    </row>
    <row r="259" spans="21:32" s="3" customFormat="1" ht="17.25" customHeight="1" x14ac:dyDescent="0.15">
      <c r="U259" s="93"/>
      <c r="AE259" s="10"/>
      <c r="AF259" s="10"/>
    </row>
    <row r="260" spans="21:32" s="3" customFormat="1" ht="17.25" customHeight="1" x14ac:dyDescent="0.15">
      <c r="U260" s="93"/>
      <c r="AE260" s="10"/>
      <c r="AF260" s="10"/>
    </row>
    <row r="261" spans="21:32" s="3" customFormat="1" ht="17.25" customHeight="1" x14ac:dyDescent="0.15">
      <c r="U261" s="93"/>
      <c r="AE261" s="10"/>
      <c r="AF261" s="10"/>
    </row>
    <row r="262" spans="21:32" s="3" customFormat="1" ht="17.25" customHeight="1" x14ac:dyDescent="0.15">
      <c r="U262" s="93"/>
      <c r="AE262" s="10"/>
      <c r="AF262" s="10"/>
    </row>
    <row r="263" spans="21:32" s="3" customFormat="1" ht="17.25" customHeight="1" x14ac:dyDescent="0.15">
      <c r="U263" s="93"/>
      <c r="AE263" s="10"/>
      <c r="AF263" s="10"/>
    </row>
    <row r="264" spans="21:32" s="3" customFormat="1" ht="17.25" customHeight="1" x14ac:dyDescent="0.15">
      <c r="U264" s="93"/>
      <c r="AE264" s="10"/>
      <c r="AF264" s="10"/>
    </row>
    <row r="265" spans="21:32" s="3" customFormat="1" ht="17.25" customHeight="1" x14ac:dyDescent="0.15">
      <c r="U265" s="93"/>
      <c r="AE265" s="10"/>
      <c r="AF265" s="10"/>
    </row>
    <row r="266" spans="21:32" s="3" customFormat="1" ht="17.25" customHeight="1" x14ac:dyDescent="0.15">
      <c r="U266" s="93"/>
      <c r="AE266" s="10"/>
      <c r="AF266" s="10"/>
    </row>
    <row r="267" spans="21:32" s="3" customFormat="1" ht="17.25" customHeight="1" x14ac:dyDescent="0.15">
      <c r="U267" s="93"/>
      <c r="AE267" s="10"/>
      <c r="AF267" s="10"/>
    </row>
    <row r="268" spans="21:32" s="3" customFormat="1" ht="17.25" customHeight="1" x14ac:dyDescent="0.15">
      <c r="U268" s="93"/>
      <c r="AE268" s="10"/>
      <c r="AF268" s="10"/>
    </row>
    <row r="269" spans="21:32" s="3" customFormat="1" ht="17.25" customHeight="1" x14ac:dyDescent="0.15">
      <c r="U269" s="93"/>
      <c r="AE269" s="10"/>
      <c r="AF269" s="10"/>
    </row>
    <row r="270" spans="21:32" s="3" customFormat="1" ht="17.25" customHeight="1" x14ac:dyDescent="0.15">
      <c r="U270" s="93"/>
      <c r="AE270" s="10"/>
      <c r="AF270" s="10"/>
    </row>
    <row r="271" spans="21:32" s="3" customFormat="1" ht="17.25" customHeight="1" x14ac:dyDescent="0.15">
      <c r="U271" s="93"/>
      <c r="AE271" s="10"/>
      <c r="AF271" s="10"/>
    </row>
    <row r="272" spans="21:32" s="3" customFormat="1" ht="17.25" customHeight="1" x14ac:dyDescent="0.15">
      <c r="U272" s="93"/>
      <c r="AE272" s="10"/>
      <c r="AF272" s="10"/>
    </row>
    <row r="273" spans="21:32" s="3" customFormat="1" ht="17.25" customHeight="1" x14ac:dyDescent="0.15">
      <c r="U273" s="93"/>
      <c r="AE273" s="10"/>
      <c r="AF273" s="10"/>
    </row>
    <row r="274" spans="21:32" s="3" customFormat="1" ht="17.25" customHeight="1" x14ac:dyDescent="0.15">
      <c r="U274" s="93"/>
      <c r="AE274" s="10"/>
      <c r="AF274" s="10"/>
    </row>
    <row r="275" spans="21:32" s="3" customFormat="1" ht="17.25" customHeight="1" x14ac:dyDescent="0.15">
      <c r="U275" s="93"/>
      <c r="AE275" s="10"/>
      <c r="AF275" s="10"/>
    </row>
    <row r="276" spans="21:32" s="3" customFormat="1" ht="17.25" customHeight="1" x14ac:dyDescent="0.15">
      <c r="U276" s="93"/>
      <c r="AE276" s="10"/>
      <c r="AF276" s="10"/>
    </row>
    <row r="277" spans="21:32" s="3" customFormat="1" ht="17.25" customHeight="1" x14ac:dyDescent="0.15">
      <c r="U277" s="93"/>
      <c r="AE277" s="10"/>
      <c r="AF277" s="10"/>
    </row>
    <row r="278" spans="21:32" s="3" customFormat="1" ht="17.25" customHeight="1" x14ac:dyDescent="0.15">
      <c r="U278" s="93"/>
      <c r="AE278" s="10"/>
      <c r="AF278" s="10"/>
    </row>
    <row r="279" spans="21:32" s="3" customFormat="1" ht="17.25" customHeight="1" x14ac:dyDescent="0.15">
      <c r="U279" s="93"/>
      <c r="AE279" s="10"/>
      <c r="AF279" s="10"/>
    </row>
    <row r="280" spans="21:32" s="3" customFormat="1" ht="17.25" customHeight="1" x14ac:dyDescent="0.15">
      <c r="U280" s="93"/>
      <c r="AE280" s="10"/>
      <c r="AF280" s="10"/>
    </row>
    <row r="281" spans="21:32" s="3" customFormat="1" ht="17.25" customHeight="1" x14ac:dyDescent="0.15">
      <c r="U281" s="93"/>
      <c r="AE281" s="10"/>
      <c r="AF281" s="10"/>
    </row>
    <row r="282" spans="21:32" s="3" customFormat="1" ht="17.25" customHeight="1" x14ac:dyDescent="0.15">
      <c r="U282" s="93"/>
      <c r="AE282" s="10"/>
      <c r="AF282" s="10"/>
    </row>
    <row r="283" spans="21:32" s="3" customFormat="1" ht="17.25" customHeight="1" x14ac:dyDescent="0.15">
      <c r="U283" s="93"/>
      <c r="AE283" s="10"/>
      <c r="AF283" s="10"/>
    </row>
    <row r="284" spans="21:32" s="3" customFormat="1" ht="17.25" customHeight="1" x14ac:dyDescent="0.15">
      <c r="U284" s="93"/>
      <c r="AE284" s="10"/>
      <c r="AF284" s="10"/>
    </row>
    <row r="285" spans="21:32" s="3" customFormat="1" ht="17.25" customHeight="1" x14ac:dyDescent="0.15">
      <c r="U285" s="93"/>
      <c r="AE285" s="10"/>
      <c r="AF285" s="10"/>
    </row>
    <row r="286" spans="21:32" s="3" customFormat="1" ht="17.25" customHeight="1" x14ac:dyDescent="0.15">
      <c r="U286" s="93"/>
      <c r="AE286" s="10"/>
      <c r="AF286" s="10"/>
    </row>
    <row r="287" spans="21:32" s="3" customFormat="1" ht="17.25" customHeight="1" x14ac:dyDescent="0.15">
      <c r="U287" s="93"/>
      <c r="AE287" s="10"/>
      <c r="AF287" s="10"/>
    </row>
    <row r="288" spans="21:32" s="3" customFormat="1" ht="17.25" customHeight="1" x14ac:dyDescent="0.15">
      <c r="U288" s="93"/>
      <c r="AE288" s="10"/>
      <c r="AF288" s="10"/>
    </row>
    <row r="289" spans="21:32" s="3" customFormat="1" ht="17.25" customHeight="1" x14ac:dyDescent="0.15">
      <c r="U289" s="93"/>
      <c r="AE289" s="10"/>
      <c r="AF289" s="10"/>
    </row>
    <row r="290" spans="21:32" s="3" customFormat="1" ht="17.25" customHeight="1" x14ac:dyDescent="0.15">
      <c r="U290" s="93"/>
      <c r="AE290" s="10"/>
      <c r="AF290" s="10"/>
    </row>
    <row r="291" spans="21:32" s="3" customFormat="1" ht="17.25" customHeight="1" x14ac:dyDescent="0.15">
      <c r="U291" s="93"/>
      <c r="AE291" s="10"/>
      <c r="AF291" s="10"/>
    </row>
    <row r="292" spans="21:32" s="3" customFormat="1" ht="17.25" customHeight="1" x14ac:dyDescent="0.15">
      <c r="U292" s="93"/>
      <c r="AE292" s="10"/>
      <c r="AF292" s="10"/>
    </row>
    <row r="293" spans="21:32" s="3" customFormat="1" ht="17.25" customHeight="1" x14ac:dyDescent="0.15">
      <c r="U293" s="93"/>
      <c r="AE293" s="10"/>
      <c r="AF293" s="10"/>
    </row>
    <row r="294" spans="21:32" s="3" customFormat="1" ht="17.25" customHeight="1" x14ac:dyDescent="0.15">
      <c r="U294" s="93"/>
      <c r="AE294" s="10"/>
      <c r="AF294" s="10"/>
    </row>
    <row r="295" spans="21:32" s="3" customFormat="1" ht="17.25" customHeight="1" x14ac:dyDescent="0.15">
      <c r="U295" s="93"/>
      <c r="AE295" s="10"/>
      <c r="AF295" s="10"/>
    </row>
    <row r="296" spans="21:32" s="3" customFormat="1" ht="17.25" customHeight="1" x14ac:dyDescent="0.15">
      <c r="U296" s="93"/>
      <c r="AE296" s="10"/>
      <c r="AF296" s="10"/>
    </row>
    <row r="297" spans="21:32" s="3" customFormat="1" ht="17.25" customHeight="1" x14ac:dyDescent="0.15">
      <c r="U297" s="93"/>
      <c r="AE297" s="10"/>
      <c r="AF297" s="10"/>
    </row>
    <row r="298" spans="21:32" s="3" customFormat="1" ht="17.25" customHeight="1" x14ac:dyDescent="0.15">
      <c r="U298" s="93"/>
      <c r="AE298" s="10"/>
      <c r="AF298" s="10"/>
    </row>
    <row r="299" spans="21:32" s="3" customFormat="1" ht="17.25" customHeight="1" x14ac:dyDescent="0.15">
      <c r="U299" s="93"/>
      <c r="AE299" s="10"/>
      <c r="AF299" s="10"/>
    </row>
    <row r="300" spans="21:32" s="3" customFormat="1" ht="17.25" customHeight="1" x14ac:dyDescent="0.15">
      <c r="U300" s="93"/>
      <c r="AE300" s="10"/>
      <c r="AF300" s="10"/>
    </row>
    <row r="301" spans="21:32" s="3" customFormat="1" ht="17.25" customHeight="1" x14ac:dyDescent="0.15">
      <c r="U301" s="93"/>
      <c r="AE301" s="10"/>
      <c r="AF301" s="10"/>
    </row>
    <row r="302" spans="21:32" s="3" customFormat="1" ht="17.25" customHeight="1" x14ac:dyDescent="0.15">
      <c r="U302" s="93"/>
      <c r="AE302" s="10"/>
      <c r="AF302" s="10"/>
    </row>
    <row r="303" spans="21:32" s="3" customFormat="1" ht="17.25" customHeight="1" x14ac:dyDescent="0.15">
      <c r="U303" s="93"/>
      <c r="AE303" s="10"/>
      <c r="AF303" s="10"/>
    </row>
    <row r="304" spans="21:32" s="3" customFormat="1" ht="17.25" customHeight="1" x14ac:dyDescent="0.15">
      <c r="U304" s="93"/>
      <c r="AE304" s="10"/>
      <c r="AF304" s="10"/>
    </row>
    <row r="305" spans="21:32" s="3" customFormat="1" ht="17.25" customHeight="1" x14ac:dyDescent="0.15">
      <c r="U305" s="93"/>
      <c r="AE305" s="10"/>
      <c r="AF305" s="10"/>
    </row>
    <row r="306" spans="21:32" s="3" customFormat="1" ht="17.25" customHeight="1" x14ac:dyDescent="0.15">
      <c r="U306" s="93"/>
      <c r="AE306" s="10"/>
      <c r="AF306" s="10"/>
    </row>
    <row r="307" spans="21:32" s="3" customFormat="1" ht="17.25" customHeight="1" x14ac:dyDescent="0.15">
      <c r="U307" s="93"/>
      <c r="AE307" s="10"/>
      <c r="AF307" s="10"/>
    </row>
    <row r="308" spans="21:32" s="3" customFormat="1" ht="17.25" customHeight="1" x14ac:dyDescent="0.15">
      <c r="U308" s="93"/>
      <c r="AE308" s="10"/>
      <c r="AF308" s="10"/>
    </row>
    <row r="309" spans="21:32" s="3" customFormat="1" ht="17.25" customHeight="1" x14ac:dyDescent="0.15">
      <c r="U309" s="93"/>
      <c r="AE309" s="10"/>
      <c r="AF309" s="10"/>
    </row>
    <row r="310" spans="21:32" s="3" customFormat="1" ht="17.25" customHeight="1" x14ac:dyDescent="0.15">
      <c r="U310" s="93"/>
      <c r="AE310" s="10"/>
      <c r="AF310" s="10"/>
    </row>
    <row r="311" spans="21:32" s="3" customFormat="1" ht="17.25" customHeight="1" x14ac:dyDescent="0.15">
      <c r="U311" s="93"/>
      <c r="AE311" s="10"/>
      <c r="AF311" s="10"/>
    </row>
    <row r="312" spans="21:32" s="3" customFormat="1" ht="17.25" customHeight="1" x14ac:dyDescent="0.15">
      <c r="U312" s="93"/>
      <c r="AE312" s="10"/>
      <c r="AF312" s="10"/>
    </row>
    <row r="313" spans="21:32" s="3" customFormat="1" ht="17.25" customHeight="1" x14ac:dyDescent="0.15">
      <c r="U313" s="93"/>
      <c r="AE313" s="10"/>
      <c r="AF313" s="10"/>
    </row>
    <row r="314" spans="21:32" s="3" customFormat="1" ht="17.25" customHeight="1" x14ac:dyDescent="0.15">
      <c r="U314" s="93"/>
      <c r="AE314" s="10"/>
      <c r="AF314" s="10"/>
    </row>
    <row r="315" spans="21:32" s="3" customFormat="1" ht="17.25" customHeight="1" x14ac:dyDescent="0.15">
      <c r="U315" s="93"/>
      <c r="AE315" s="10"/>
      <c r="AF315" s="10"/>
    </row>
    <row r="316" spans="21:32" s="3" customFormat="1" ht="17.25" customHeight="1" x14ac:dyDescent="0.15">
      <c r="U316" s="93"/>
      <c r="AE316" s="10"/>
      <c r="AF316" s="10"/>
    </row>
    <row r="317" spans="21:32" s="3" customFormat="1" ht="17.25" customHeight="1" x14ac:dyDescent="0.15">
      <c r="U317" s="93"/>
      <c r="AE317" s="10"/>
      <c r="AF317" s="10"/>
    </row>
    <row r="318" spans="21:32" s="3" customFormat="1" ht="17.25" customHeight="1" x14ac:dyDescent="0.15">
      <c r="U318" s="93"/>
      <c r="AE318" s="10"/>
      <c r="AF318" s="10"/>
    </row>
    <row r="319" spans="21:32" s="3" customFormat="1" ht="17.25" customHeight="1" x14ac:dyDescent="0.15">
      <c r="U319" s="93"/>
      <c r="AE319" s="10"/>
      <c r="AF319" s="10"/>
    </row>
    <row r="320" spans="21:32" s="3" customFormat="1" ht="17.25" customHeight="1" x14ac:dyDescent="0.15">
      <c r="U320" s="93"/>
      <c r="AE320" s="10"/>
      <c r="AF320" s="10"/>
    </row>
    <row r="321" spans="21:32" s="3" customFormat="1" ht="17.25" customHeight="1" x14ac:dyDescent="0.15">
      <c r="U321" s="93"/>
      <c r="AE321" s="10"/>
      <c r="AF321" s="10"/>
    </row>
    <row r="322" spans="21:32" s="3" customFormat="1" ht="17.25" customHeight="1" x14ac:dyDescent="0.15">
      <c r="U322" s="93"/>
      <c r="AE322" s="10"/>
      <c r="AF322" s="10"/>
    </row>
    <row r="323" spans="21:32" s="3" customFormat="1" ht="17.25" customHeight="1" x14ac:dyDescent="0.15">
      <c r="U323" s="93"/>
      <c r="AE323" s="10"/>
      <c r="AF323" s="10"/>
    </row>
    <row r="324" spans="21:32" s="3" customFormat="1" ht="17.25" customHeight="1" x14ac:dyDescent="0.15">
      <c r="U324" s="93"/>
      <c r="AE324" s="10"/>
      <c r="AF324" s="10"/>
    </row>
    <row r="325" spans="21:32" s="3" customFormat="1" ht="17.25" customHeight="1" x14ac:dyDescent="0.15">
      <c r="U325" s="93"/>
      <c r="AE325" s="10"/>
      <c r="AF325" s="10"/>
    </row>
    <row r="326" spans="21:32" s="3" customFormat="1" ht="17.25" customHeight="1" x14ac:dyDescent="0.15">
      <c r="U326" s="93"/>
      <c r="AE326" s="10"/>
      <c r="AF326" s="10"/>
    </row>
    <row r="327" spans="21:32" s="3" customFormat="1" ht="17.25" customHeight="1" x14ac:dyDescent="0.15">
      <c r="U327" s="93"/>
      <c r="AE327" s="10"/>
      <c r="AF327" s="10"/>
    </row>
    <row r="328" spans="21:32" s="3" customFormat="1" ht="17.25" customHeight="1" x14ac:dyDescent="0.15">
      <c r="U328" s="93"/>
      <c r="AE328" s="10"/>
      <c r="AF328" s="10"/>
    </row>
    <row r="329" spans="21:32" s="3" customFormat="1" ht="17.25" customHeight="1" x14ac:dyDescent="0.15">
      <c r="U329" s="93"/>
      <c r="AE329" s="10"/>
      <c r="AF329" s="10"/>
    </row>
    <row r="330" spans="21:32" s="3" customFormat="1" ht="17.25" customHeight="1" x14ac:dyDescent="0.15">
      <c r="U330" s="93"/>
      <c r="AE330" s="10"/>
      <c r="AF330" s="10"/>
    </row>
    <row r="331" spans="21:32" s="3" customFormat="1" ht="17.25" customHeight="1" x14ac:dyDescent="0.15">
      <c r="U331" s="93"/>
      <c r="AE331" s="10"/>
      <c r="AF331" s="10"/>
    </row>
    <row r="332" spans="21:32" s="3" customFormat="1" ht="17.25" customHeight="1" x14ac:dyDescent="0.15">
      <c r="U332" s="93"/>
      <c r="AE332" s="10"/>
      <c r="AF332" s="10"/>
    </row>
    <row r="333" spans="21:32" s="3" customFormat="1" ht="17.25" customHeight="1" x14ac:dyDescent="0.15">
      <c r="U333" s="93"/>
      <c r="AE333" s="10"/>
      <c r="AF333" s="10"/>
    </row>
    <row r="334" spans="21:32" s="3" customFormat="1" ht="17.25" customHeight="1" x14ac:dyDescent="0.15">
      <c r="U334" s="93"/>
      <c r="AE334" s="10"/>
      <c r="AF334" s="10"/>
    </row>
    <row r="335" spans="21:32" s="3" customFormat="1" ht="17.25" customHeight="1" x14ac:dyDescent="0.15">
      <c r="U335" s="93"/>
      <c r="AE335" s="10"/>
      <c r="AF335" s="10"/>
    </row>
    <row r="336" spans="21:32" s="3" customFormat="1" ht="17.25" customHeight="1" x14ac:dyDescent="0.15">
      <c r="U336" s="93"/>
      <c r="AE336" s="10"/>
      <c r="AF336" s="10"/>
    </row>
    <row r="337" spans="21:32" s="3" customFormat="1" ht="17.25" customHeight="1" x14ac:dyDescent="0.15">
      <c r="U337" s="93"/>
      <c r="AE337" s="10"/>
      <c r="AF337" s="10"/>
    </row>
    <row r="338" spans="21:32" s="3" customFormat="1" ht="17.25" customHeight="1" x14ac:dyDescent="0.15">
      <c r="U338" s="93"/>
      <c r="AE338" s="10"/>
      <c r="AF338" s="10"/>
    </row>
    <row r="339" spans="21:32" s="3" customFormat="1" ht="17.25" customHeight="1" x14ac:dyDescent="0.15">
      <c r="U339" s="93"/>
      <c r="AE339" s="10"/>
      <c r="AF339" s="10"/>
    </row>
    <row r="340" spans="21:32" s="3" customFormat="1" ht="17.25" customHeight="1" x14ac:dyDescent="0.15">
      <c r="U340" s="93"/>
      <c r="AE340" s="10"/>
      <c r="AF340" s="10"/>
    </row>
    <row r="341" spans="21:32" s="3" customFormat="1" ht="17.25" customHeight="1" x14ac:dyDescent="0.15">
      <c r="U341" s="93"/>
      <c r="AE341" s="10"/>
      <c r="AF341" s="10"/>
    </row>
    <row r="342" spans="21:32" s="3" customFormat="1" ht="17.25" customHeight="1" x14ac:dyDescent="0.15">
      <c r="U342" s="93"/>
      <c r="AE342" s="10"/>
      <c r="AF342" s="10"/>
    </row>
    <row r="343" spans="21:32" s="3" customFormat="1" ht="17.25" customHeight="1" x14ac:dyDescent="0.15">
      <c r="U343" s="93"/>
      <c r="AE343" s="10"/>
      <c r="AF343" s="10"/>
    </row>
    <row r="344" spans="21:32" s="3" customFormat="1" ht="17.25" customHeight="1" x14ac:dyDescent="0.15">
      <c r="U344" s="93"/>
      <c r="AE344" s="10"/>
      <c r="AF344" s="10"/>
    </row>
    <row r="345" spans="21:32" s="3" customFormat="1" ht="17.25" customHeight="1" x14ac:dyDescent="0.15">
      <c r="U345" s="93"/>
      <c r="AE345" s="10"/>
      <c r="AF345" s="10"/>
    </row>
    <row r="346" spans="21:32" s="3" customFormat="1" ht="17.25" customHeight="1" x14ac:dyDescent="0.15">
      <c r="U346" s="93"/>
      <c r="AE346" s="10"/>
      <c r="AF346" s="10"/>
    </row>
    <row r="347" spans="21:32" s="3" customFormat="1" ht="17.25" customHeight="1" x14ac:dyDescent="0.15">
      <c r="U347" s="93"/>
      <c r="AE347" s="10"/>
      <c r="AF347" s="10"/>
    </row>
    <row r="348" spans="21:32" s="3" customFormat="1" ht="17.25" customHeight="1" x14ac:dyDescent="0.15">
      <c r="U348" s="93"/>
      <c r="AE348" s="10"/>
      <c r="AF348" s="10"/>
    </row>
    <row r="349" spans="21:32" s="3" customFormat="1" ht="17.25" customHeight="1" x14ac:dyDescent="0.15">
      <c r="U349" s="93"/>
      <c r="AE349" s="10"/>
      <c r="AF349" s="10"/>
    </row>
    <row r="350" spans="21:32" s="3" customFormat="1" ht="17.25" customHeight="1" x14ac:dyDescent="0.15">
      <c r="U350" s="93"/>
      <c r="AE350" s="10"/>
      <c r="AF350" s="10"/>
    </row>
    <row r="351" spans="21:32" s="3" customFormat="1" ht="17.25" customHeight="1" x14ac:dyDescent="0.15">
      <c r="U351" s="93"/>
      <c r="AE351" s="10"/>
      <c r="AF351" s="10"/>
    </row>
    <row r="352" spans="21:32" s="3" customFormat="1" ht="17.25" customHeight="1" x14ac:dyDescent="0.15">
      <c r="U352" s="93"/>
      <c r="AE352" s="10"/>
      <c r="AF352" s="10"/>
    </row>
    <row r="353" spans="21:32" s="3" customFormat="1" ht="17.25" customHeight="1" x14ac:dyDescent="0.15">
      <c r="U353" s="93"/>
      <c r="AE353" s="10"/>
      <c r="AF353" s="10"/>
    </row>
    <row r="354" spans="21:32" s="3" customFormat="1" ht="17.25" customHeight="1" x14ac:dyDescent="0.15">
      <c r="U354" s="93"/>
      <c r="AE354" s="10"/>
      <c r="AF354" s="10"/>
    </row>
    <row r="355" spans="21:32" s="3" customFormat="1" ht="17.25" customHeight="1" x14ac:dyDescent="0.15">
      <c r="U355" s="93"/>
      <c r="AE355" s="10"/>
      <c r="AF355" s="10"/>
    </row>
    <row r="356" spans="21:32" s="3" customFormat="1" ht="17.25" customHeight="1" x14ac:dyDescent="0.15">
      <c r="U356" s="93"/>
      <c r="AE356" s="10"/>
      <c r="AF356" s="10"/>
    </row>
    <row r="357" spans="21:32" s="3" customFormat="1" ht="17.25" customHeight="1" x14ac:dyDescent="0.15">
      <c r="U357" s="93"/>
      <c r="AE357" s="10"/>
      <c r="AF357" s="10"/>
    </row>
    <row r="358" spans="21:32" s="3" customFormat="1" ht="17.25" customHeight="1" x14ac:dyDescent="0.15">
      <c r="U358" s="93"/>
      <c r="AE358" s="10"/>
      <c r="AF358" s="10"/>
    </row>
    <row r="359" spans="21:32" s="3" customFormat="1" ht="17.25" customHeight="1" x14ac:dyDescent="0.15">
      <c r="U359" s="93"/>
      <c r="AE359" s="10"/>
      <c r="AF359" s="10"/>
    </row>
    <row r="360" spans="21:32" s="3" customFormat="1" ht="17.25" customHeight="1" x14ac:dyDescent="0.15">
      <c r="U360" s="93"/>
      <c r="AE360" s="10"/>
      <c r="AF360" s="10"/>
    </row>
    <row r="361" spans="21:32" s="3" customFormat="1" ht="17.25" customHeight="1" x14ac:dyDescent="0.15">
      <c r="U361" s="93"/>
      <c r="AE361" s="10"/>
      <c r="AF361" s="10"/>
    </row>
    <row r="362" spans="21:32" s="3" customFormat="1" ht="17.25" customHeight="1" x14ac:dyDescent="0.15">
      <c r="U362" s="93"/>
      <c r="AE362" s="10"/>
      <c r="AF362" s="10"/>
    </row>
    <row r="363" spans="21:32" s="3" customFormat="1" ht="17.25" customHeight="1" x14ac:dyDescent="0.15">
      <c r="U363" s="93"/>
      <c r="AE363" s="10"/>
      <c r="AF363" s="10"/>
    </row>
    <row r="364" spans="21:32" s="3" customFormat="1" ht="17.25" customHeight="1" x14ac:dyDescent="0.15">
      <c r="U364" s="93"/>
      <c r="AE364" s="10"/>
      <c r="AF364" s="10"/>
    </row>
    <row r="365" spans="21:32" s="3" customFormat="1" ht="17.25" customHeight="1" x14ac:dyDescent="0.15">
      <c r="U365" s="93"/>
      <c r="AE365" s="10"/>
      <c r="AF365" s="10"/>
    </row>
    <row r="366" spans="21:32" s="3" customFormat="1" ht="17.25" customHeight="1" x14ac:dyDescent="0.15">
      <c r="U366" s="93"/>
      <c r="AE366" s="10"/>
      <c r="AF366" s="10"/>
    </row>
    <row r="367" spans="21:32" s="3" customFormat="1" ht="17.25" customHeight="1" x14ac:dyDescent="0.15">
      <c r="U367" s="93"/>
      <c r="AE367" s="10"/>
      <c r="AF367" s="10"/>
    </row>
    <row r="368" spans="21:32" s="3" customFormat="1" ht="17.25" customHeight="1" x14ac:dyDescent="0.15">
      <c r="U368" s="93"/>
      <c r="AE368" s="10"/>
      <c r="AF368" s="10"/>
    </row>
    <row r="369" spans="21:32" s="3" customFormat="1" ht="17.25" customHeight="1" x14ac:dyDescent="0.15">
      <c r="U369" s="93"/>
      <c r="AE369" s="10"/>
      <c r="AF369" s="10"/>
    </row>
    <row r="370" spans="21:32" s="3" customFormat="1" ht="17.25" customHeight="1" x14ac:dyDescent="0.15">
      <c r="U370" s="93"/>
      <c r="AE370" s="10"/>
      <c r="AF370" s="10"/>
    </row>
    <row r="371" spans="21:32" s="3" customFormat="1" ht="17.25" customHeight="1" x14ac:dyDescent="0.15">
      <c r="U371" s="93"/>
      <c r="AE371" s="10"/>
      <c r="AF371" s="10"/>
    </row>
    <row r="372" spans="21:32" s="3" customFormat="1" ht="17.25" customHeight="1" x14ac:dyDescent="0.15">
      <c r="U372" s="93"/>
      <c r="AE372" s="10"/>
      <c r="AF372" s="10"/>
    </row>
    <row r="373" spans="21:32" s="3" customFormat="1" ht="17.25" customHeight="1" x14ac:dyDescent="0.15">
      <c r="U373" s="93"/>
      <c r="AE373" s="10"/>
      <c r="AF373" s="10"/>
    </row>
    <row r="374" spans="21:32" s="3" customFormat="1" ht="17.25" customHeight="1" x14ac:dyDescent="0.15">
      <c r="U374" s="93"/>
      <c r="AE374" s="10"/>
      <c r="AF374" s="10"/>
    </row>
    <row r="375" spans="21:32" s="3" customFormat="1" ht="17.25" customHeight="1" x14ac:dyDescent="0.15">
      <c r="U375" s="93"/>
      <c r="AE375" s="10"/>
      <c r="AF375" s="10"/>
    </row>
    <row r="376" spans="21:32" s="3" customFormat="1" ht="17.25" customHeight="1" x14ac:dyDescent="0.15">
      <c r="U376" s="93"/>
      <c r="AE376" s="10"/>
      <c r="AF376" s="10"/>
    </row>
    <row r="377" spans="21:32" s="3" customFormat="1" ht="17.25" customHeight="1" x14ac:dyDescent="0.15">
      <c r="U377" s="93"/>
      <c r="AE377" s="10"/>
      <c r="AF377" s="10"/>
    </row>
    <row r="378" spans="21:32" s="3" customFormat="1" ht="17.25" customHeight="1" x14ac:dyDescent="0.15">
      <c r="U378" s="93"/>
      <c r="AE378" s="10"/>
      <c r="AF378" s="10"/>
    </row>
    <row r="379" spans="21:32" s="3" customFormat="1" ht="17.25" customHeight="1" x14ac:dyDescent="0.15">
      <c r="U379" s="93"/>
      <c r="AE379" s="10"/>
      <c r="AF379" s="10"/>
    </row>
    <row r="380" spans="21:32" s="3" customFormat="1" ht="17.25" customHeight="1" x14ac:dyDescent="0.15">
      <c r="U380" s="93"/>
      <c r="AE380" s="10"/>
      <c r="AF380" s="10"/>
    </row>
    <row r="381" spans="21:32" s="3" customFormat="1" ht="17.25" customHeight="1" x14ac:dyDescent="0.15">
      <c r="U381" s="93"/>
      <c r="AE381" s="10"/>
      <c r="AF381" s="10"/>
    </row>
    <row r="382" spans="21:32" s="3" customFormat="1" ht="17.25" customHeight="1" x14ac:dyDescent="0.15">
      <c r="U382" s="93"/>
      <c r="AE382" s="10"/>
      <c r="AF382" s="10"/>
    </row>
    <row r="383" spans="21:32" s="3" customFormat="1" ht="17.25" customHeight="1" x14ac:dyDescent="0.15">
      <c r="U383" s="93"/>
      <c r="AE383" s="10"/>
      <c r="AF383" s="10"/>
    </row>
    <row r="384" spans="21:32" s="3" customFormat="1" ht="17.25" customHeight="1" x14ac:dyDescent="0.15">
      <c r="U384" s="93"/>
      <c r="AE384" s="10"/>
      <c r="AF384" s="10"/>
    </row>
    <row r="385" spans="21:32" s="3" customFormat="1" ht="17.25" customHeight="1" x14ac:dyDescent="0.15">
      <c r="U385" s="93"/>
      <c r="AE385" s="10"/>
      <c r="AF385" s="10"/>
    </row>
    <row r="386" spans="21:32" s="3" customFormat="1" ht="17.25" customHeight="1" x14ac:dyDescent="0.15">
      <c r="U386" s="93"/>
      <c r="AE386" s="10"/>
      <c r="AF386" s="10"/>
    </row>
    <row r="387" spans="21:32" s="3" customFormat="1" ht="17.25" customHeight="1" x14ac:dyDescent="0.15">
      <c r="U387" s="93"/>
      <c r="AE387" s="10"/>
      <c r="AF387" s="10"/>
    </row>
    <row r="388" spans="21:32" s="3" customFormat="1" ht="17.25" customHeight="1" x14ac:dyDescent="0.15">
      <c r="U388" s="93"/>
      <c r="AE388" s="10"/>
      <c r="AF388" s="10"/>
    </row>
    <row r="389" spans="21:32" s="3" customFormat="1" ht="17.25" customHeight="1" x14ac:dyDescent="0.15">
      <c r="U389" s="93"/>
      <c r="AE389" s="10"/>
      <c r="AF389" s="10"/>
    </row>
    <row r="390" spans="21:32" s="3" customFormat="1" ht="17.25" customHeight="1" x14ac:dyDescent="0.15">
      <c r="U390" s="93"/>
      <c r="AE390" s="10"/>
      <c r="AF390" s="10"/>
    </row>
    <row r="391" spans="21:32" s="3" customFormat="1" ht="17.25" customHeight="1" x14ac:dyDescent="0.15">
      <c r="U391" s="93"/>
      <c r="AE391" s="10"/>
      <c r="AF391" s="10"/>
    </row>
    <row r="392" spans="21:32" s="3" customFormat="1" ht="17.25" customHeight="1" x14ac:dyDescent="0.15">
      <c r="U392" s="93"/>
      <c r="AE392" s="10"/>
      <c r="AF392" s="10"/>
    </row>
    <row r="393" spans="21:32" s="3" customFormat="1" ht="17.25" customHeight="1" x14ac:dyDescent="0.15">
      <c r="U393" s="93"/>
      <c r="AE393" s="10"/>
      <c r="AF393" s="10"/>
    </row>
    <row r="394" spans="21:32" s="3" customFormat="1" ht="17.25" customHeight="1" x14ac:dyDescent="0.15">
      <c r="U394" s="93"/>
      <c r="AE394" s="10"/>
      <c r="AF394" s="10"/>
    </row>
    <row r="395" spans="21:32" s="3" customFormat="1" ht="17.25" customHeight="1" x14ac:dyDescent="0.15">
      <c r="U395" s="93"/>
      <c r="AE395" s="10"/>
      <c r="AF395" s="10"/>
    </row>
    <row r="396" spans="21:32" s="3" customFormat="1" ht="17.25" customHeight="1" x14ac:dyDescent="0.15">
      <c r="U396" s="93"/>
      <c r="AE396" s="10"/>
      <c r="AF396" s="10"/>
    </row>
    <row r="397" spans="21:32" s="3" customFormat="1" ht="17.25" customHeight="1" x14ac:dyDescent="0.15">
      <c r="U397" s="93"/>
      <c r="AE397" s="10"/>
      <c r="AF397" s="10"/>
    </row>
    <row r="398" spans="21:32" s="3" customFormat="1" ht="17.25" customHeight="1" x14ac:dyDescent="0.15">
      <c r="U398" s="93"/>
      <c r="AE398" s="10"/>
      <c r="AF398" s="10"/>
    </row>
    <row r="399" spans="21:32" s="3" customFormat="1" ht="17.25" customHeight="1" x14ac:dyDescent="0.15">
      <c r="U399" s="93"/>
      <c r="AE399" s="10"/>
      <c r="AF399" s="10"/>
    </row>
    <row r="400" spans="21:32" s="3" customFormat="1" ht="17.25" customHeight="1" x14ac:dyDescent="0.15">
      <c r="U400" s="93"/>
      <c r="AE400" s="10"/>
      <c r="AF400" s="10"/>
    </row>
    <row r="401" spans="21:32" s="3" customFormat="1" ht="17.25" customHeight="1" x14ac:dyDescent="0.15">
      <c r="U401" s="93"/>
      <c r="AE401" s="10"/>
      <c r="AF401" s="10"/>
    </row>
    <row r="402" spans="21:32" s="3" customFormat="1" ht="17.25" customHeight="1" x14ac:dyDescent="0.15">
      <c r="U402" s="93"/>
      <c r="AE402" s="10"/>
      <c r="AF402" s="10"/>
    </row>
    <row r="403" spans="21:32" s="3" customFormat="1" ht="17.25" customHeight="1" x14ac:dyDescent="0.15">
      <c r="U403" s="93"/>
      <c r="AE403" s="10"/>
      <c r="AF403" s="10"/>
    </row>
    <row r="404" spans="21:32" s="3" customFormat="1" ht="17.25" customHeight="1" x14ac:dyDescent="0.15">
      <c r="U404" s="93"/>
      <c r="AE404" s="10"/>
      <c r="AF404" s="10"/>
    </row>
    <row r="405" spans="21:32" s="3" customFormat="1" ht="17.25" customHeight="1" x14ac:dyDescent="0.15">
      <c r="U405" s="93"/>
      <c r="AE405" s="10"/>
      <c r="AF405" s="10"/>
    </row>
    <row r="406" spans="21:32" s="3" customFormat="1" ht="17.25" customHeight="1" x14ac:dyDescent="0.15">
      <c r="U406" s="93"/>
      <c r="AE406" s="10"/>
      <c r="AF406" s="10"/>
    </row>
    <row r="407" spans="21:32" s="3" customFormat="1" ht="17.25" customHeight="1" x14ac:dyDescent="0.15">
      <c r="U407" s="93"/>
      <c r="AE407" s="10"/>
      <c r="AF407" s="10"/>
    </row>
    <row r="408" spans="21:32" s="3" customFormat="1" ht="17.25" customHeight="1" x14ac:dyDescent="0.15">
      <c r="U408" s="93"/>
      <c r="AE408" s="10"/>
      <c r="AF408" s="10"/>
    </row>
    <row r="409" spans="21:32" s="3" customFormat="1" ht="17.25" customHeight="1" x14ac:dyDescent="0.15">
      <c r="U409" s="93"/>
      <c r="AE409" s="10"/>
      <c r="AF409" s="10"/>
    </row>
    <row r="410" spans="21:32" s="3" customFormat="1" ht="17.25" customHeight="1" x14ac:dyDescent="0.15">
      <c r="U410" s="93"/>
      <c r="AE410" s="10"/>
      <c r="AF410" s="10"/>
    </row>
    <row r="411" spans="21:32" s="3" customFormat="1" ht="17.25" customHeight="1" x14ac:dyDescent="0.15">
      <c r="U411" s="93"/>
      <c r="AE411" s="10"/>
      <c r="AF411" s="10"/>
    </row>
    <row r="412" spans="21:32" s="3" customFormat="1" ht="17.25" customHeight="1" x14ac:dyDescent="0.15">
      <c r="U412" s="93"/>
      <c r="AE412" s="10"/>
      <c r="AF412" s="10"/>
    </row>
    <row r="413" spans="21:32" s="3" customFormat="1" ht="17.25" customHeight="1" x14ac:dyDescent="0.15">
      <c r="U413" s="93"/>
      <c r="AE413" s="10"/>
      <c r="AF413" s="10"/>
    </row>
    <row r="414" spans="21:32" s="3" customFormat="1" ht="17.25" customHeight="1" x14ac:dyDescent="0.15">
      <c r="U414" s="93"/>
      <c r="AE414" s="10"/>
      <c r="AF414" s="10"/>
    </row>
    <row r="415" spans="21:32" s="3" customFormat="1" ht="12" x14ac:dyDescent="0.15">
      <c r="U415" s="93"/>
      <c r="AE415" s="10"/>
      <c r="AF415" s="10"/>
    </row>
    <row r="416" spans="21:32" s="3" customFormat="1" ht="12" x14ac:dyDescent="0.15">
      <c r="U416" s="93"/>
      <c r="AE416" s="10"/>
      <c r="AF416" s="10"/>
    </row>
    <row r="417" spans="21:32" s="3" customFormat="1" ht="12" x14ac:dyDescent="0.15">
      <c r="U417" s="93"/>
      <c r="AE417" s="10"/>
      <c r="AF417" s="10"/>
    </row>
    <row r="418" spans="21:32" s="3" customFormat="1" ht="12" x14ac:dyDescent="0.15">
      <c r="U418" s="93"/>
      <c r="AE418" s="10"/>
      <c r="AF418" s="10"/>
    </row>
    <row r="419" spans="21:32" s="3" customFormat="1" ht="12" x14ac:dyDescent="0.15">
      <c r="U419" s="93"/>
      <c r="AE419" s="10"/>
      <c r="AF419" s="10"/>
    </row>
    <row r="420" spans="21:32" s="3" customFormat="1" ht="12" x14ac:dyDescent="0.15">
      <c r="U420" s="93"/>
      <c r="AE420" s="10"/>
      <c r="AF420" s="10"/>
    </row>
    <row r="421" spans="21:32" s="3" customFormat="1" ht="12" x14ac:dyDescent="0.15">
      <c r="U421" s="93"/>
      <c r="AE421" s="10"/>
      <c r="AF421" s="10"/>
    </row>
    <row r="422" spans="21:32" s="3" customFormat="1" ht="12" x14ac:dyDescent="0.15">
      <c r="U422" s="93"/>
      <c r="AE422" s="10"/>
      <c r="AF422" s="10"/>
    </row>
    <row r="423" spans="21:32" s="3" customFormat="1" ht="12" x14ac:dyDescent="0.15">
      <c r="U423" s="93"/>
      <c r="AE423" s="10"/>
      <c r="AF423" s="10"/>
    </row>
    <row r="424" spans="21:32" s="3" customFormat="1" ht="12" x14ac:dyDescent="0.15">
      <c r="U424" s="93"/>
      <c r="AE424" s="10"/>
      <c r="AF424" s="10"/>
    </row>
    <row r="425" spans="21:32" s="3" customFormat="1" ht="12" x14ac:dyDescent="0.15">
      <c r="U425" s="93"/>
      <c r="AE425" s="10"/>
      <c r="AF425" s="10"/>
    </row>
    <row r="426" spans="21:32" s="3" customFormat="1" ht="12" x14ac:dyDescent="0.15">
      <c r="U426" s="93"/>
      <c r="AE426" s="10"/>
      <c r="AF426" s="10"/>
    </row>
    <row r="427" spans="21:32" s="3" customFormat="1" ht="12" x14ac:dyDescent="0.15">
      <c r="U427" s="93"/>
      <c r="AE427" s="10"/>
      <c r="AF427" s="10"/>
    </row>
    <row r="428" spans="21:32" s="3" customFormat="1" ht="12" x14ac:dyDescent="0.15">
      <c r="U428" s="93"/>
      <c r="AE428" s="10"/>
      <c r="AF428" s="10"/>
    </row>
    <row r="429" spans="21:32" s="3" customFormat="1" ht="12" x14ac:dyDescent="0.15">
      <c r="U429" s="93"/>
      <c r="AE429" s="10"/>
      <c r="AF429" s="10"/>
    </row>
    <row r="430" spans="21:32" s="3" customFormat="1" ht="12" x14ac:dyDescent="0.15">
      <c r="U430" s="93"/>
      <c r="AE430" s="10"/>
      <c r="AF430" s="10"/>
    </row>
    <row r="431" spans="21:32" s="3" customFormat="1" ht="12" x14ac:dyDescent="0.15">
      <c r="U431" s="93"/>
      <c r="AE431" s="10"/>
      <c r="AF431" s="10"/>
    </row>
    <row r="432" spans="21:32" s="3" customFormat="1" ht="12" x14ac:dyDescent="0.15">
      <c r="U432" s="93"/>
      <c r="AE432" s="10"/>
      <c r="AF432" s="10"/>
    </row>
    <row r="433" spans="21:32" s="3" customFormat="1" ht="12" x14ac:dyDescent="0.15">
      <c r="U433" s="93"/>
      <c r="AE433" s="10"/>
      <c r="AF433" s="10"/>
    </row>
    <row r="434" spans="21:32" s="3" customFormat="1" ht="12" x14ac:dyDescent="0.15">
      <c r="U434" s="93"/>
      <c r="AE434" s="10"/>
      <c r="AF434" s="10"/>
    </row>
    <row r="435" spans="21:32" s="3" customFormat="1" ht="12" x14ac:dyDescent="0.15">
      <c r="U435" s="93"/>
      <c r="AE435" s="10"/>
      <c r="AF435" s="10"/>
    </row>
    <row r="436" spans="21:32" s="3" customFormat="1" ht="12" x14ac:dyDescent="0.15">
      <c r="U436" s="93"/>
      <c r="AE436" s="10"/>
      <c r="AF436" s="10"/>
    </row>
    <row r="437" spans="21:32" s="3" customFormat="1" ht="12" x14ac:dyDescent="0.15">
      <c r="U437" s="93"/>
      <c r="AE437" s="10"/>
      <c r="AF437" s="10"/>
    </row>
    <row r="438" spans="21:32" s="3" customFormat="1" ht="12" x14ac:dyDescent="0.15">
      <c r="U438" s="93"/>
      <c r="AE438" s="10"/>
      <c r="AF438" s="10"/>
    </row>
    <row r="439" spans="21:32" s="3" customFormat="1" ht="12" x14ac:dyDescent="0.15">
      <c r="U439" s="93"/>
      <c r="AE439" s="10"/>
      <c r="AF439" s="10"/>
    </row>
    <row r="440" spans="21:32" s="3" customFormat="1" ht="12" x14ac:dyDescent="0.15">
      <c r="U440" s="93"/>
      <c r="AE440" s="10"/>
      <c r="AF440" s="10"/>
    </row>
    <row r="441" spans="21:32" s="3" customFormat="1" ht="12" x14ac:dyDescent="0.15">
      <c r="U441" s="93"/>
      <c r="AE441" s="10"/>
      <c r="AF441" s="10"/>
    </row>
    <row r="442" spans="21:32" s="3" customFormat="1" ht="12" x14ac:dyDescent="0.15">
      <c r="U442" s="93"/>
      <c r="AE442" s="10"/>
      <c r="AF442" s="10"/>
    </row>
    <row r="443" spans="21:32" s="3" customFormat="1" ht="12" x14ac:dyDescent="0.15">
      <c r="U443" s="93"/>
      <c r="AE443" s="10"/>
      <c r="AF443" s="10"/>
    </row>
    <row r="444" spans="21:32" s="3" customFormat="1" ht="12" x14ac:dyDescent="0.15">
      <c r="U444" s="93"/>
      <c r="AE444" s="10"/>
      <c r="AF444" s="10"/>
    </row>
    <row r="445" spans="21:32" s="3" customFormat="1" ht="12" x14ac:dyDescent="0.15">
      <c r="U445" s="93"/>
      <c r="AE445" s="10"/>
      <c r="AF445" s="10"/>
    </row>
    <row r="446" spans="21:32" s="3" customFormat="1" ht="12" x14ac:dyDescent="0.15">
      <c r="U446" s="93"/>
      <c r="AE446" s="10"/>
      <c r="AF446" s="10"/>
    </row>
    <row r="447" spans="21:32" s="3" customFormat="1" ht="12" x14ac:dyDescent="0.15">
      <c r="U447" s="93"/>
      <c r="AE447" s="10"/>
      <c r="AF447" s="10"/>
    </row>
    <row r="448" spans="21:32" s="3" customFormat="1" ht="12" x14ac:dyDescent="0.15">
      <c r="U448" s="93"/>
      <c r="AE448" s="10"/>
      <c r="AF448" s="10"/>
    </row>
    <row r="449" spans="21:32" s="3" customFormat="1" ht="12" x14ac:dyDescent="0.15">
      <c r="U449" s="93"/>
      <c r="AE449" s="10"/>
      <c r="AF449" s="10"/>
    </row>
    <row r="450" spans="21:32" s="3" customFormat="1" ht="12" x14ac:dyDescent="0.15">
      <c r="U450" s="93"/>
      <c r="AE450" s="10"/>
      <c r="AF450" s="10"/>
    </row>
    <row r="451" spans="21:32" s="3" customFormat="1" ht="12" x14ac:dyDescent="0.15">
      <c r="U451" s="93"/>
      <c r="AE451" s="10"/>
      <c r="AF451" s="10"/>
    </row>
    <row r="452" spans="21:32" s="3" customFormat="1" ht="12" x14ac:dyDescent="0.15">
      <c r="U452" s="93"/>
      <c r="AE452" s="10"/>
      <c r="AF452" s="10"/>
    </row>
    <row r="453" spans="21:32" s="3" customFormat="1" ht="12" x14ac:dyDescent="0.15">
      <c r="U453" s="93"/>
      <c r="AE453" s="10"/>
      <c r="AF453" s="10"/>
    </row>
    <row r="454" spans="21:32" s="3" customFormat="1" ht="12" x14ac:dyDescent="0.15">
      <c r="U454" s="93"/>
      <c r="AE454" s="10"/>
      <c r="AF454" s="10"/>
    </row>
    <row r="455" spans="21:32" s="3" customFormat="1" ht="12" x14ac:dyDescent="0.15">
      <c r="U455" s="93"/>
      <c r="AE455" s="10"/>
      <c r="AF455" s="10"/>
    </row>
    <row r="456" spans="21:32" s="3" customFormat="1" ht="12" x14ac:dyDescent="0.15">
      <c r="U456" s="93"/>
      <c r="AE456" s="10"/>
      <c r="AF456" s="10"/>
    </row>
    <row r="457" spans="21:32" s="3" customFormat="1" ht="12" x14ac:dyDescent="0.15">
      <c r="U457" s="93"/>
      <c r="AE457" s="10"/>
      <c r="AF457" s="10"/>
    </row>
    <row r="458" spans="21:32" s="3" customFormat="1" ht="12" x14ac:dyDescent="0.15">
      <c r="U458" s="93"/>
      <c r="AE458" s="10"/>
      <c r="AF458" s="10"/>
    </row>
    <row r="459" spans="21:32" s="3" customFormat="1" ht="12" x14ac:dyDescent="0.15">
      <c r="U459" s="93"/>
      <c r="AE459" s="10"/>
      <c r="AF459" s="10"/>
    </row>
    <row r="460" spans="21:32" s="3" customFormat="1" ht="12" x14ac:dyDescent="0.15">
      <c r="U460" s="93"/>
      <c r="AE460" s="10"/>
      <c r="AF460" s="10"/>
    </row>
    <row r="461" spans="21:32" s="3" customFormat="1" ht="12" x14ac:dyDescent="0.15">
      <c r="U461" s="93"/>
      <c r="AE461" s="10"/>
      <c r="AF461" s="10"/>
    </row>
    <row r="462" spans="21:32" s="3" customFormat="1" ht="12" x14ac:dyDescent="0.15">
      <c r="U462" s="93"/>
      <c r="AE462" s="10"/>
      <c r="AF462" s="10"/>
    </row>
    <row r="463" spans="21:32" s="3" customFormat="1" ht="12" x14ac:dyDescent="0.15">
      <c r="U463" s="93"/>
    </row>
    <row r="464" spans="21:32" s="3" customFormat="1" ht="12" x14ac:dyDescent="0.15">
      <c r="U464" s="93"/>
    </row>
    <row r="465" spans="21:21" s="3" customFormat="1" ht="12" x14ac:dyDescent="0.15">
      <c r="U465" s="93"/>
    </row>
    <row r="466" spans="21:21" s="3" customFormat="1" ht="12" x14ac:dyDescent="0.15">
      <c r="U466" s="93"/>
    </row>
    <row r="467" spans="21:21" s="3" customFormat="1" ht="12" x14ac:dyDescent="0.15">
      <c r="U467" s="93"/>
    </row>
    <row r="468" spans="21:21" s="3" customFormat="1" ht="12" x14ac:dyDescent="0.15">
      <c r="U468" s="93"/>
    </row>
    <row r="469" spans="21:21" s="3" customFormat="1" ht="12" x14ac:dyDescent="0.15">
      <c r="U469" s="93"/>
    </row>
    <row r="470" spans="21:21" s="3" customFormat="1" ht="12" x14ac:dyDescent="0.15">
      <c r="U470" s="93"/>
    </row>
    <row r="471" spans="21:21" s="3" customFormat="1" ht="12" x14ac:dyDescent="0.15">
      <c r="U471" s="93"/>
    </row>
    <row r="472" spans="21:21" s="3" customFormat="1" ht="12" x14ac:dyDescent="0.15">
      <c r="U472" s="93"/>
    </row>
    <row r="473" spans="21:21" s="3" customFormat="1" ht="12" x14ac:dyDescent="0.15">
      <c r="U473" s="93"/>
    </row>
    <row r="474" spans="21:21" s="3" customFormat="1" ht="12" x14ac:dyDescent="0.15">
      <c r="U474" s="93"/>
    </row>
    <row r="475" spans="21:21" s="3" customFormat="1" ht="12" x14ac:dyDescent="0.15">
      <c r="U475" s="93"/>
    </row>
    <row r="476" spans="21:21" s="3" customFormat="1" ht="12" x14ac:dyDescent="0.15">
      <c r="U476" s="93"/>
    </row>
    <row r="477" spans="21:21" s="3" customFormat="1" ht="12" x14ac:dyDescent="0.15">
      <c r="U477" s="93"/>
    </row>
    <row r="478" spans="21:21" s="3" customFormat="1" ht="12" x14ac:dyDescent="0.15">
      <c r="U478" s="93"/>
    </row>
    <row r="479" spans="21:21" s="3" customFormat="1" ht="12" x14ac:dyDescent="0.15">
      <c r="U479" s="93"/>
    </row>
    <row r="480" spans="21:21" s="3" customFormat="1" ht="12" x14ac:dyDescent="0.15">
      <c r="U480" s="93"/>
    </row>
    <row r="481" spans="21:21" s="3" customFormat="1" ht="12" x14ac:dyDescent="0.15">
      <c r="U481" s="93"/>
    </row>
    <row r="482" spans="21:21" s="3" customFormat="1" ht="12" x14ac:dyDescent="0.15">
      <c r="U482" s="93"/>
    </row>
    <row r="483" spans="21:21" s="3" customFormat="1" ht="12" x14ac:dyDescent="0.15">
      <c r="U483" s="93"/>
    </row>
    <row r="484" spans="21:21" s="3" customFormat="1" ht="12" x14ac:dyDescent="0.15">
      <c r="U484" s="93"/>
    </row>
    <row r="485" spans="21:21" s="3" customFormat="1" ht="12" x14ac:dyDescent="0.15">
      <c r="U485" s="93"/>
    </row>
    <row r="486" spans="21:21" s="3" customFormat="1" ht="12" x14ac:dyDescent="0.15">
      <c r="U486" s="93"/>
    </row>
    <row r="487" spans="21:21" s="3" customFormat="1" ht="12" x14ac:dyDescent="0.15">
      <c r="U487" s="93"/>
    </row>
    <row r="488" spans="21:21" s="3" customFormat="1" ht="12" x14ac:dyDescent="0.15">
      <c r="U488" s="93"/>
    </row>
    <row r="489" spans="21:21" s="3" customFormat="1" ht="12" x14ac:dyDescent="0.15">
      <c r="U489" s="93"/>
    </row>
    <row r="490" spans="21:21" s="3" customFormat="1" ht="12" x14ac:dyDescent="0.15">
      <c r="U490" s="93"/>
    </row>
    <row r="491" spans="21:21" s="3" customFormat="1" ht="12" x14ac:dyDescent="0.15">
      <c r="U491" s="93"/>
    </row>
    <row r="492" spans="21:21" s="3" customFormat="1" ht="12" x14ac:dyDescent="0.15">
      <c r="U492" s="93"/>
    </row>
    <row r="493" spans="21:21" s="3" customFormat="1" ht="12" x14ac:dyDescent="0.15">
      <c r="U493" s="93"/>
    </row>
    <row r="494" spans="21:21" s="3" customFormat="1" ht="12" x14ac:dyDescent="0.15">
      <c r="U494" s="93"/>
    </row>
    <row r="495" spans="21:21" s="3" customFormat="1" ht="12" x14ac:dyDescent="0.15">
      <c r="U495" s="93"/>
    </row>
    <row r="496" spans="21:21" s="3" customFormat="1" ht="12" x14ac:dyDescent="0.15">
      <c r="U496" s="93"/>
    </row>
    <row r="497" spans="21:21" s="3" customFormat="1" ht="12" x14ac:dyDescent="0.15">
      <c r="U497" s="93"/>
    </row>
    <row r="498" spans="21:21" s="3" customFormat="1" ht="12" x14ac:dyDescent="0.15">
      <c r="U498" s="93"/>
    </row>
    <row r="499" spans="21:21" s="3" customFormat="1" ht="12" x14ac:dyDescent="0.15">
      <c r="U499" s="93"/>
    </row>
    <row r="500" spans="21:21" s="3" customFormat="1" ht="12" x14ac:dyDescent="0.15">
      <c r="U500" s="93"/>
    </row>
    <row r="501" spans="21:21" s="3" customFormat="1" ht="12" x14ac:dyDescent="0.15">
      <c r="U501" s="93"/>
    </row>
    <row r="502" spans="21:21" s="3" customFormat="1" ht="12" x14ac:dyDescent="0.15">
      <c r="U502" s="93"/>
    </row>
    <row r="503" spans="21:21" s="3" customFormat="1" ht="12" x14ac:dyDescent="0.15">
      <c r="U503" s="93"/>
    </row>
    <row r="504" spans="21:21" s="3" customFormat="1" ht="12" x14ac:dyDescent="0.15">
      <c r="U504" s="93"/>
    </row>
    <row r="505" spans="21:21" s="3" customFormat="1" ht="12" x14ac:dyDescent="0.15">
      <c r="U505" s="93"/>
    </row>
    <row r="506" spans="21:21" s="3" customFormat="1" ht="12" x14ac:dyDescent="0.15">
      <c r="U506" s="93"/>
    </row>
    <row r="507" spans="21:21" s="3" customFormat="1" ht="12" x14ac:dyDescent="0.15">
      <c r="U507" s="93"/>
    </row>
    <row r="508" spans="21:21" s="3" customFormat="1" ht="12" x14ac:dyDescent="0.15">
      <c r="U508" s="93"/>
    </row>
    <row r="509" spans="21:21" s="3" customFormat="1" ht="12" x14ac:dyDescent="0.15">
      <c r="U509" s="93"/>
    </row>
    <row r="510" spans="21:21" s="3" customFormat="1" ht="12" x14ac:dyDescent="0.15">
      <c r="U510" s="93"/>
    </row>
    <row r="511" spans="21:21" s="3" customFormat="1" ht="12" x14ac:dyDescent="0.15">
      <c r="U511" s="93"/>
    </row>
    <row r="512" spans="21:21" s="3" customFormat="1" ht="12" x14ac:dyDescent="0.15">
      <c r="U512" s="93"/>
    </row>
    <row r="513" spans="21:21" s="3" customFormat="1" ht="12" x14ac:dyDescent="0.15">
      <c r="U513" s="93"/>
    </row>
    <row r="514" spans="21:21" s="3" customFormat="1" ht="12" x14ac:dyDescent="0.15">
      <c r="U514" s="93"/>
    </row>
    <row r="515" spans="21:21" s="3" customFormat="1" ht="12" x14ac:dyDescent="0.15">
      <c r="U515" s="93"/>
    </row>
    <row r="516" spans="21:21" s="3" customFormat="1" ht="12" x14ac:dyDescent="0.15">
      <c r="U516" s="93"/>
    </row>
    <row r="517" spans="21:21" s="3" customFormat="1" ht="12" x14ac:dyDescent="0.15">
      <c r="U517" s="93"/>
    </row>
    <row r="518" spans="21:21" s="3" customFormat="1" ht="12" x14ac:dyDescent="0.15">
      <c r="U518" s="93"/>
    </row>
    <row r="519" spans="21:21" s="3" customFormat="1" ht="12" x14ac:dyDescent="0.15">
      <c r="U519" s="93"/>
    </row>
    <row r="520" spans="21:21" s="3" customFormat="1" ht="12" x14ac:dyDescent="0.15">
      <c r="U520" s="93"/>
    </row>
    <row r="521" spans="21:21" s="3" customFormat="1" ht="12" x14ac:dyDescent="0.15">
      <c r="U521" s="93"/>
    </row>
    <row r="522" spans="21:21" s="3" customFormat="1" ht="12" x14ac:dyDescent="0.15">
      <c r="U522" s="93"/>
    </row>
    <row r="523" spans="21:21" s="3" customFormat="1" ht="12" x14ac:dyDescent="0.15">
      <c r="U523" s="93"/>
    </row>
    <row r="524" spans="21:21" s="3" customFormat="1" ht="12" x14ac:dyDescent="0.15">
      <c r="U524" s="93"/>
    </row>
    <row r="525" spans="21:21" s="3" customFormat="1" ht="12" x14ac:dyDescent="0.15">
      <c r="U525" s="93"/>
    </row>
    <row r="526" spans="21:21" s="3" customFormat="1" ht="12" x14ac:dyDescent="0.15">
      <c r="U526" s="93"/>
    </row>
    <row r="527" spans="21:21" s="3" customFormat="1" ht="12" x14ac:dyDescent="0.15">
      <c r="U527" s="93"/>
    </row>
    <row r="528" spans="21:21" s="3" customFormat="1" ht="12" x14ac:dyDescent="0.15">
      <c r="U528" s="93"/>
    </row>
    <row r="529" spans="21:21" s="3" customFormat="1" ht="12" x14ac:dyDescent="0.15">
      <c r="U529" s="93"/>
    </row>
    <row r="530" spans="21:21" s="3" customFormat="1" ht="12" x14ac:dyDescent="0.15">
      <c r="U530" s="93"/>
    </row>
    <row r="531" spans="21:21" s="3" customFormat="1" ht="12" x14ac:dyDescent="0.15">
      <c r="U531" s="93"/>
    </row>
    <row r="532" spans="21:21" s="3" customFormat="1" ht="12" x14ac:dyDescent="0.15">
      <c r="U532" s="93"/>
    </row>
    <row r="533" spans="21:21" s="3" customFormat="1" ht="12" x14ac:dyDescent="0.15">
      <c r="U533" s="93"/>
    </row>
    <row r="534" spans="21:21" s="3" customFormat="1" ht="12" x14ac:dyDescent="0.15">
      <c r="U534" s="93"/>
    </row>
    <row r="535" spans="21:21" s="3" customFormat="1" ht="12" x14ac:dyDescent="0.15">
      <c r="U535" s="93"/>
    </row>
    <row r="536" spans="21:21" s="3" customFormat="1" ht="12" x14ac:dyDescent="0.15">
      <c r="U536" s="93"/>
    </row>
    <row r="537" spans="21:21" s="3" customFormat="1" ht="12" x14ac:dyDescent="0.15">
      <c r="U537" s="93"/>
    </row>
    <row r="538" spans="21:21" s="3" customFormat="1" ht="12" x14ac:dyDescent="0.15">
      <c r="U538" s="93"/>
    </row>
    <row r="539" spans="21:21" s="3" customFormat="1" ht="12" x14ac:dyDescent="0.15">
      <c r="U539" s="93"/>
    </row>
    <row r="540" spans="21:21" s="3" customFormat="1" ht="12" x14ac:dyDescent="0.15">
      <c r="U540" s="93"/>
    </row>
    <row r="541" spans="21:21" s="3" customFormat="1" ht="12" x14ac:dyDescent="0.15">
      <c r="U541" s="93"/>
    </row>
    <row r="542" spans="21:21" s="3" customFormat="1" ht="12" x14ac:dyDescent="0.15">
      <c r="U542" s="93"/>
    </row>
    <row r="543" spans="21:21" s="3" customFormat="1" ht="12" x14ac:dyDescent="0.15">
      <c r="U543" s="93"/>
    </row>
    <row r="544" spans="21:21" s="3" customFormat="1" ht="12" x14ac:dyDescent="0.15">
      <c r="U544" s="93"/>
    </row>
    <row r="545" spans="21:21" s="3" customFormat="1" ht="12" x14ac:dyDescent="0.15">
      <c r="U545" s="93"/>
    </row>
    <row r="546" spans="21:21" s="3" customFormat="1" ht="12" x14ac:dyDescent="0.15">
      <c r="U546" s="93"/>
    </row>
    <row r="547" spans="21:21" s="3" customFormat="1" ht="12" x14ac:dyDescent="0.15">
      <c r="U547" s="93"/>
    </row>
    <row r="548" spans="21:21" s="3" customFormat="1" ht="12" x14ac:dyDescent="0.15">
      <c r="U548" s="93"/>
    </row>
    <row r="549" spans="21:21" s="3" customFormat="1" ht="12" x14ac:dyDescent="0.15">
      <c r="U549" s="93"/>
    </row>
    <row r="550" spans="21:21" s="3" customFormat="1" ht="12" x14ac:dyDescent="0.15">
      <c r="U550" s="93"/>
    </row>
    <row r="551" spans="21:21" s="3" customFormat="1" ht="12" x14ac:dyDescent="0.15">
      <c r="U551" s="93"/>
    </row>
    <row r="552" spans="21:21" s="3" customFormat="1" ht="12" x14ac:dyDescent="0.15">
      <c r="U552" s="93"/>
    </row>
    <row r="553" spans="21:21" s="3" customFormat="1" ht="12" x14ac:dyDescent="0.15">
      <c r="U553" s="93"/>
    </row>
    <row r="554" spans="21:21" s="3" customFormat="1" ht="12" x14ac:dyDescent="0.15">
      <c r="U554" s="93"/>
    </row>
    <row r="555" spans="21:21" s="3" customFormat="1" ht="12" x14ac:dyDescent="0.15">
      <c r="U555" s="93"/>
    </row>
    <row r="556" spans="21:21" s="3" customFormat="1" ht="12" x14ac:dyDescent="0.15">
      <c r="U556" s="93"/>
    </row>
    <row r="557" spans="21:21" s="3" customFormat="1" ht="12" x14ac:dyDescent="0.15">
      <c r="U557" s="93"/>
    </row>
    <row r="558" spans="21:21" s="3" customFormat="1" ht="12" x14ac:dyDescent="0.15">
      <c r="U558" s="93"/>
    </row>
    <row r="559" spans="21:21" s="3" customFormat="1" ht="12" x14ac:dyDescent="0.15">
      <c r="U559" s="93"/>
    </row>
    <row r="560" spans="21:21" s="3" customFormat="1" ht="12" x14ac:dyDescent="0.15">
      <c r="U560" s="93"/>
    </row>
    <row r="561" spans="21:21" s="3" customFormat="1" ht="12" x14ac:dyDescent="0.15">
      <c r="U561" s="93"/>
    </row>
    <row r="562" spans="21:21" s="3" customFormat="1" ht="12" x14ac:dyDescent="0.15">
      <c r="U562" s="93"/>
    </row>
    <row r="563" spans="21:21" s="3" customFormat="1" ht="12" x14ac:dyDescent="0.15">
      <c r="U563" s="93"/>
    </row>
    <row r="564" spans="21:21" s="3" customFormat="1" ht="12" x14ac:dyDescent="0.15">
      <c r="U564" s="93"/>
    </row>
    <row r="565" spans="21:21" s="3" customFormat="1" ht="12" x14ac:dyDescent="0.15">
      <c r="U565" s="93"/>
    </row>
    <row r="566" spans="21:21" s="3" customFormat="1" ht="12" x14ac:dyDescent="0.15">
      <c r="U566" s="93"/>
    </row>
    <row r="567" spans="21:21" s="3" customFormat="1" ht="12" x14ac:dyDescent="0.15">
      <c r="U567" s="93"/>
    </row>
    <row r="568" spans="21:21" s="3" customFormat="1" ht="12" x14ac:dyDescent="0.15">
      <c r="U568" s="93"/>
    </row>
    <row r="569" spans="21:21" s="3" customFormat="1" ht="12" x14ac:dyDescent="0.15">
      <c r="U569" s="93"/>
    </row>
    <row r="570" spans="21:21" s="3" customFormat="1" ht="12" x14ac:dyDescent="0.15">
      <c r="U570" s="93"/>
    </row>
    <row r="571" spans="21:21" s="3" customFormat="1" ht="12" x14ac:dyDescent="0.15">
      <c r="U571" s="93"/>
    </row>
    <row r="572" spans="21:21" s="3" customFormat="1" ht="12" x14ac:dyDescent="0.15">
      <c r="U572" s="93"/>
    </row>
    <row r="573" spans="21:21" s="3" customFormat="1" ht="12" x14ac:dyDescent="0.15">
      <c r="U573" s="93"/>
    </row>
    <row r="574" spans="21:21" s="3" customFormat="1" ht="12" x14ac:dyDescent="0.15">
      <c r="U574" s="93"/>
    </row>
    <row r="575" spans="21:21" s="3" customFormat="1" ht="12" x14ac:dyDescent="0.15">
      <c r="U575" s="93"/>
    </row>
    <row r="576" spans="21:21" s="3" customFormat="1" ht="12" x14ac:dyDescent="0.15">
      <c r="U576" s="93"/>
    </row>
    <row r="577" spans="21:21" s="3" customFormat="1" ht="12" x14ac:dyDescent="0.15">
      <c r="U577" s="93"/>
    </row>
    <row r="578" spans="21:21" s="3" customFormat="1" ht="12" x14ac:dyDescent="0.15">
      <c r="U578" s="93"/>
    </row>
    <row r="579" spans="21:21" s="3" customFormat="1" ht="12" x14ac:dyDescent="0.15">
      <c r="U579" s="93"/>
    </row>
    <row r="580" spans="21:21" s="3" customFormat="1" ht="12" x14ac:dyDescent="0.15">
      <c r="U580" s="93"/>
    </row>
    <row r="581" spans="21:21" s="3" customFormat="1" ht="12" x14ac:dyDescent="0.15">
      <c r="U581" s="93"/>
    </row>
    <row r="582" spans="21:21" s="3" customFormat="1" ht="12" x14ac:dyDescent="0.15">
      <c r="U582" s="93"/>
    </row>
    <row r="583" spans="21:21" s="3" customFormat="1" ht="12" x14ac:dyDescent="0.15">
      <c r="U583" s="93"/>
    </row>
    <row r="584" spans="21:21" s="3" customFormat="1" ht="12" x14ac:dyDescent="0.15">
      <c r="U584" s="93"/>
    </row>
    <row r="585" spans="21:21" s="3" customFormat="1" ht="12" x14ac:dyDescent="0.15">
      <c r="U585" s="93"/>
    </row>
    <row r="586" spans="21:21" s="3" customFormat="1" ht="12" x14ac:dyDescent="0.15">
      <c r="U586" s="93"/>
    </row>
    <row r="587" spans="21:21" s="3" customFormat="1" ht="12" x14ac:dyDescent="0.15">
      <c r="U587" s="93"/>
    </row>
    <row r="588" spans="21:21" s="3" customFormat="1" ht="12" x14ac:dyDescent="0.15">
      <c r="U588" s="93"/>
    </row>
    <row r="589" spans="21:21" s="3" customFormat="1" ht="12" x14ac:dyDescent="0.15">
      <c r="U589" s="93"/>
    </row>
    <row r="590" spans="21:21" s="3" customFormat="1" ht="12" x14ac:dyDescent="0.15">
      <c r="U590" s="93"/>
    </row>
    <row r="591" spans="21:21" s="3" customFormat="1" ht="12" x14ac:dyDescent="0.15">
      <c r="U591" s="93"/>
    </row>
    <row r="592" spans="21:21" s="3" customFormat="1" ht="12" x14ac:dyDescent="0.15">
      <c r="U592" s="93"/>
    </row>
    <row r="593" spans="21:21" s="3" customFormat="1" ht="12" x14ac:dyDescent="0.15">
      <c r="U593" s="93"/>
    </row>
    <row r="594" spans="21:21" s="3" customFormat="1" ht="12" x14ac:dyDescent="0.15">
      <c r="U594" s="93"/>
    </row>
    <row r="595" spans="21:21" s="3" customFormat="1" ht="12" x14ac:dyDescent="0.15">
      <c r="U595" s="93"/>
    </row>
    <row r="596" spans="21:21" s="3" customFormat="1" ht="12" x14ac:dyDescent="0.15">
      <c r="U596" s="93"/>
    </row>
    <row r="597" spans="21:21" s="3" customFormat="1" ht="12" x14ac:dyDescent="0.15">
      <c r="U597" s="93"/>
    </row>
    <row r="598" spans="21:21" s="3" customFormat="1" ht="12" x14ac:dyDescent="0.15">
      <c r="U598" s="93"/>
    </row>
    <row r="599" spans="21:21" s="3" customFormat="1" ht="12" x14ac:dyDescent="0.15">
      <c r="U599" s="93"/>
    </row>
    <row r="600" spans="21:21" s="3" customFormat="1" ht="12" x14ac:dyDescent="0.15">
      <c r="U600" s="93"/>
    </row>
    <row r="601" spans="21:21" s="3" customFormat="1" ht="12" x14ac:dyDescent="0.15">
      <c r="U601" s="93"/>
    </row>
    <row r="602" spans="21:21" s="3" customFormat="1" ht="12" x14ac:dyDescent="0.15">
      <c r="U602" s="93"/>
    </row>
    <row r="603" spans="21:21" s="3" customFormat="1" ht="12" x14ac:dyDescent="0.15">
      <c r="U603" s="93"/>
    </row>
    <row r="604" spans="21:21" s="3" customFormat="1" ht="12" x14ac:dyDescent="0.15">
      <c r="U604" s="93"/>
    </row>
    <row r="605" spans="21:21" s="3" customFormat="1" ht="12" x14ac:dyDescent="0.15">
      <c r="U605" s="93"/>
    </row>
    <row r="606" spans="21:21" s="3" customFormat="1" ht="12" x14ac:dyDescent="0.15">
      <c r="U606" s="93"/>
    </row>
    <row r="607" spans="21:21" s="3" customFormat="1" ht="12" x14ac:dyDescent="0.15">
      <c r="U607" s="93"/>
    </row>
    <row r="608" spans="21:21" s="3" customFormat="1" ht="12" x14ac:dyDescent="0.15">
      <c r="U608" s="93"/>
    </row>
    <row r="609" spans="12:21" s="3" customFormat="1" ht="12" x14ac:dyDescent="0.15">
      <c r="U609" s="93"/>
    </row>
    <row r="610" spans="12:21" s="3" customFormat="1" ht="12" x14ac:dyDescent="0.15">
      <c r="L610" s="4"/>
      <c r="M610" s="4"/>
      <c r="N610" s="4"/>
      <c r="O610" s="4"/>
      <c r="P610" s="4"/>
      <c r="U610" s="93"/>
    </row>
    <row r="611" spans="12:21" s="3" customFormat="1" ht="12" x14ac:dyDescent="0.15">
      <c r="L611" s="4"/>
      <c r="M611" s="4"/>
      <c r="N611" s="4"/>
      <c r="O611" s="4"/>
      <c r="P611" s="4"/>
      <c r="U611" s="93"/>
    </row>
    <row r="612" spans="12:21" s="3" customFormat="1" ht="12" x14ac:dyDescent="0.15">
      <c r="L612" s="4"/>
      <c r="M612" s="4"/>
      <c r="N612" s="4"/>
      <c r="O612" s="4"/>
      <c r="P612" s="4"/>
      <c r="U612" s="93"/>
    </row>
    <row r="613" spans="12:21" s="3" customFormat="1" ht="12" x14ac:dyDescent="0.15">
      <c r="L613" s="4"/>
      <c r="M613" s="4"/>
      <c r="N613" s="4"/>
      <c r="O613" s="4"/>
      <c r="P613" s="4"/>
      <c r="U613" s="93"/>
    </row>
    <row r="614" spans="12:21" s="3" customFormat="1" ht="12" x14ac:dyDescent="0.15">
      <c r="L614" s="4"/>
      <c r="M614" s="4"/>
      <c r="N614" s="4"/>
      <c r="O614" s="4"/>
      <c r="P614" s="4"/>
      <c r="U614" s="93"/>
    </row>
    <row r="615" spans="12:21" s="3" customFormat="1" ht="12" x14ac:dyDescent="0.15">
      <c r="L615" s="4"/>
      <c r="M615" s="4"/>
      <c r="N615" s="4"/>
      <c r="O615" s="4"/>
      <c r="P615" s="4"/>
      <c r="U615" s="93"/>
    </row>
    <row r="616" spans="12:21" s="3" customFormat="1" ht="12" x14ac:dyDescent="0.15">
      <c r="L616" s="4"/>
      <c r="M616" s="4"/>
      <c r="N616" s="4"/>
      <c r="O616" s="4"/>
      <c r="P616" s="4"/>
      <c r="U616" s="93"/>
    </row>
    <row r="617" spans="12:21" s="3" customFormat="1" ht="12" x14ac:dyDescent="0.15">
      <c r="L617" s="4"/>
      <c r="M617" s="4"/>
      <c r="N617" s="4"/>
      <c r="O617" s="4"/>
      <c r="P617" s="4"/>
      <c r="U617" s="93"/>
    </row>
    <row r="618" spans="12:21" s="3" customFormat="1" ht="12" x14ac:dyDescent="0.15">
      <c r="L618" s="4"/>
      <c r="M618" s="4"/>
      <c r="N618" s="4"/>
      <c r="O618" s="4"/>
      <c r="P618" s="4"/>
      <c r="U618" s="93"/>
    </row>
    <row r="619" spans="12:21" s="3" customFormat="1" ht="12" x14ac:dyDescent="0.15">
      <c r="L619" s="4"/>
      <c r="M619" s="4"/>
      <c r="N619" s="4"/>
      <c r="O619" s="4"/>
      <c r="P619" s="4"/>
      <c r="U619" s="93"/>
    </row>
    <row r="620" spans="12:21" s="3" customFormat="1" ht="12" x14ac:dyDescent="0.15">
      <c r="L620" s="4"/>
      <c r="M620" s="4"/>
      <c r="N620" s="4"/>
      <c r="O620" s="4"/>
      <c r="P620" s="4"/>
      <c r="U620" s="93"/>
    </row>
    <row r="621" spans="12:21" s="3" customFormat="1" ht="12" x14ac:dyDescent="0.15">
      <c r="L621" s="4"/>
      <c r="M621" s="4"/>
      <c r="N621" s="4"/>
      <c r="O621" s="4"/>
      <c r="P621" s="4"/>
      <c r="U621" s="93"/>
    </row>
    <row r="622" spans="12:21" s="3" customFormat="1" ht="12" x14ac:dyDescent="0.15">
      <c r="L622" s="4"/>
      <c r="M622" s="4"/>
      <c r="N622" s="4"/>
      <c r="O622" s="4"/>
      <c r="P622" s="4"/>
      <c r="Q622" s="4"/>
      <c r="U622" s="93"/>
    </row>
    <row r="623" spans="12:21" s="3" customFormat="1" ht="12" x14ac:dyDescent="0.15">
      <c r="L623" s="4"/>
      <c r="M623" s="4"/>
      <c r="N623" s="4"/>
      <c r="O623" s="4"/>
      <c r="P623" s="4"/>
      <c r="Q623" s="4"/>
      <c r="U623" s="93"/>
    </row>
    <row r="624" spans="12:21" s="3" customFormat="1" ht="12" x14ac:dyDescent="0.15">
      <c r="L624" s="4"/>
      <c r="M624" s="4"/>
      <c r="N624" s="4"/>
      <c r="O624" s="4"/>
      <c r="P624" s="4"/>
      <c r="Q624" s="4"/>
      <c r="U624" s="93"/>
    </row>
    <row r="625" spans="11:21" s="3" customFormat="1" ht="12" x14ac:dyDescent="0.15">
      <c r="L625" s="4"/>
      <c r="M625" s="4"/>
      <c r="N625" s="4"/>
      <c r="O625" s="4"/>
      <c r="P625" s="4"/>
      <c r="Q625" s="4"/>
      <c r="U625" s="93"/>
    </row>
    <row r="626" spans="11:21" s="3" customFormat="1" ht="12" x14ac:dyDescent="0.15">
      <c r="L626" s="4"/>
      <c r="M626" s="4"/>
      <c r="N626" s="4"/>
      <c r="O626" s="4"/>
      <c r="P626" s="4"/>
      <c r="Q626" s="4"/>
      <c r="U626" s="93"/>
    </row>
    <row r="627" spans="11:21" s="3" customFormat="1" ht="12" x14ac:dyDescent="0.15">
      <c r="L627" s="4"/>
      <c r="M627" s="4"/>
      <c r="N627" s="4"/>
      <c r="O627" s="4"/>
      <c r="P627" s="4"/>
      <c r="Q627" s="4"/>
      <c r="U627" s="93"/>
    </row>
    <row r="628" spans="11:21" s="3" customFormat="1" ht="12" x14ac:dyDescent="0.15">
      <c r="L628" s="4"/>
      <c r="M628" s="4"/>
      <c r="N628" s="4"/>
      <c r="O628" s="4"/>
      <c r="P628" s="4"/>
      <c r="Q628" s="4"/>
      <c r="U628" s="93"/>
    </row>
    <row r="629" spans="11:21" s="3" customFormat="1" ht="12" x14ac:dyDescent="0.15">
      <c r="L629" s="4"/>
      <c r="M629" s="4"/>
      <c r="N629" s="4"/>
      <c r="O629" s="4"/>
      <c r="P629" s="4"/>
      <c r="Q629" s="4"/>
      <c r="U629" s="93"/>
    </row>
    <row r="630" spans="11:21" s="3" customFormat="1" ht="12" x14ac:dyDescent="0.15">
      <c r="L630" s="4"/>
      <c r="M630" s="4"/>
      <c r="N630" s="4"/>
      <c r="O630" s="4"/>
      <c r="P630" s="4"/>
      <c r="Q630" s="4"/>
      <c r="U630" s="93"/>
    </row>
    <row r="631" spans="11:21" s="3" customFormat="1" ht="12" x14ac:dyDescent="0.15">
      <c r="L631" s="4"/>
      <c r="M631" s="4"/>
      <c r="N631" s="4"/>
      <c r="O631" s="4"/>
      <c r="P631" s="4"/>
      <c r="Q631" s="4"/>
      <c r="U631" s="93"/>
    </row>
    <row r="632" spans="11:21" s="3" customFormat="1" ht="12" x14ac:dyDescent="0.15">
      <c r="L632" s="4"/>
      <c r="M632" s="4"/>
      <c r="N632" s="4"/>
      <c r="O632" s="4"/>
      <c r="P632" s="4"/>
      <c r="Q632" s="4"/>
      <c r="U632" s="93"/>
    </row>
    <row r="633" spans="11:21" s="3" customFormat="1" ht="12" x14ac:dyDescent="0.15">
      <c r="L633" s="4"/>
      <c r="M633" s="4"/>
      <c r="N633" s="4"/>
      <c r="O633" s="4"/>
      <c r="P633" s="4"/>
      <c r="Q633" s="4"/>
      <c r="U633" s="93"/>
    </row>
    <row r="634" spans="11:21" s="3" customFormat="1" ht="12" x14ac:dyDescent="0.15">
      <c r="L634" s="4"/>
      <c r="M634" s="4"/>
      <c r="N634" s="4"/>
      <c r="O634" s="4"/>
      <c r="P634" s="4"/>
      <c r="Q634" s="4"/>
      <c r="U634" s="93"/>
    </row>
    <row r="635" spans="11:21" s="3" customFormat="1" ht="12" x14ac:dyDescent="0.15">
      <c r="L635" s="4"/>
      <c r="M635" s="4"/>
      <c r="N635" s="4"/>
      <c r="O635" s="4"/>
      <c r="P635" s="4"/>
      <c r="Q635" s="4"/>
      <c r="U635" s="93"/>
    </row>
    <row r="636" spans="11:21" s="3" customFormat="1" ht="12" x14ac:dyDescent="0.15">
      <c r="L636" s="4"/>
      <c r="M636" s="4"/>
      <c r="N636" s="4"/>
      <c r="O636" s="4"/>
      <c r="P636" s="4"/>
      <c r="Q636" s="4"/>
      <c r="U636" s="93"/>
    </row>
    <row r="637" spans="11:21" s="3" customFormat="1" ht="12" x14ac:dyDescent="0.15">
      <c r="L637" s="4"/>
      <c r="M637" s="4"/>
      <c r="N637" s="4"/>
      <c r="O637" s="4"/>
      <c r="P637" s="4"/>
      <c r="Q637" s="4"/>
      <c r="U637" s="93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3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6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L822"/>
  <sheetViews>
    <sheetView showGridLines="0" zoomScaleNormal="100" workbookViewId="0"/>
  </sheetViews>
  <sheetFormatPr defaultRowHeight="12" x14ac:dyDescent="0.15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7.33203125" style="4" bestFit="1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 x14ac:dyDescent="0.15">
      <c r="A1" s="269" t="s">
        <v>190</v>
      </c>
      <c r="B1" s="270"/>
      <c r="C1" s="270"/>
      <c r="D1" s="270"/>
      <c r="E1" s="270"/>
      <c r="F1" s="270"/>
      <c r="G1" s="270"/>
      <c r="H1" s="270"/>
      <c r="I1" s="270"/>
      <c r="J1" s="270"/>
      <c r="L1" s="373" t="s">
        <v>137</v>
      </c>
      <c r="M1" s="264">
        <f>P1-R1</f>
        <v>-2.150056412995399</v>
      </c>
      <c r="N1" s="542" t="s">
        <v>136</v>
      </c>
      <c r="O1" s="542"/>
      <c r="P1" s="265">
        <f>단계양수시험!G41</f>
        <v>8.93</v>
      </c>
      <c r="Q1" s="434" t="s">
        <v>125</v>
      </c>
      <c r="R1" s="266">
        <f>G35</f>
        <v>11.080056412995399</v>
      </c>
      <c r="S1" s="267">
        <f>D7/2000</f>
        <v>0.1</v>
      </c>
      <c r="T1" s="268">
        <v>1.8147722865770699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 x14ac:dyDescent="0.15">
      <c r="A2" s="53" t="str">
        <f>단계양수시험!A4</f>
        <v>조 사 명</v>
      </c>
      <c r="B2" s="183"/>
      <c r="C2" s="56" t="str">
        <f>단계양수시험!C4</f>
        <v>경북대학교 융합교육정보관 신축 기계관급(지열시스템)구매설치</v>
      </c>
      <c r="D2" s="57"/>
      <c r="E2" s="57"/>
      <c r="F2" s="184"/>
      <c r="G2" s="184"/>
      <c r="H2" s="184"/>
      <c r="I2" s="184"/>
      <c r="J2" s="185"/>
      <c r="O2" s="3" t="s">
        <v>249</v>
      </c>
      <c r="P2" s="9">
        <f>G8</f>
        <v>26.1</v>
      </c>
      <c r="T2" s="3">
        <v>0</v>
      </c>
      <c r="U2" s="14">
        <f>B10</f>
        <v>55</v>
      </c>
      <c r="V2" s="14">
        <f>U2</f>
        <v>55</v>
      </c>
      <c r="W2" s="3">
        <f>T1</f>
        <v>1.8147722865770699</v>
      </c>
      <c r="X2" s="3">
        <f>단계양수시험!U4</f>
        <v>0.1</v>
      </c>
      <c r="Y2" s="3">
        <f>입력표!A45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10.625830978620581</v>
      </c>
      <c r="AC2" s="10">
        <f>1.6*V2/(4*PI()*W2)*LOG10((2.25*W2*Z2)/(X2*X2*Y2))</f>
        <v>10.625830978620581</v>
      </c>
      <c r="AD2" s="15">
        <v>0</v>
      </c>
      <c r="AE2" s="12">
        <f>AA2</f>
        <v>1</v>
      </c>
      <c r="AF2" s="10">
        <f>AC2-$P$3-O3</f>
        <v>1.2158326699068436</v>
      </c>
      <c r="AG2" s="10">
        <f>AC2</f>
        <v>10.625830978620581</v>
      </c>
    </row>
    <row r="3" spans="1:38" s="3" customFormat="1" ht="21.6" customHeight="1" x14ac:dyDescent="0.15">
      <c r="A3" s="53" t="str">
        <f>단계양수시험!A5</f>
        <v>지 구 명</v>
      </c>
      <c r="B3" s="183"/>
      <c r="C3" s="56" t="str">
        <f>단계양수시험!C5</f>
        <v>복현지구</v>
      </c>
      <c r="D3" s="57"/>
      <c r="E3" s="57"/>
      <c r="F3" s="186"/>
      <c r="G3" s="184"/>
      <c r="H3" s="187" t="str">
        <f>단계양수시험!H5</f>
        <v>공  번 : W - 9</v>
      </c>
      <c r="I3" s="187"/>
      <c r="J3" s="188"/>
      <c r="L3" s="374" t="s">
        <v>182</v>
      </c>
      <c r="M3" s="13">
        <f t="shared" ref="M3:M10" si="1">Q17</f>
        <v>0</v>
      </c>
      <c r="N3" s="62"/>
      <c r="O3" s="366"/>
      <c r="P3" s="365">
        <v>9.4099983087137371</v>
      </c>
      <c r="V3" s="14">
        <f>V2</f>
        <v>55</v>
      </c>
      <c r="W3" s="3">
        <f>W$2</f>
        <v>1.8147722865770699</v>
      </c>
      <c r="X3" s="3">
        <f>X2</f>
        <v>0.1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11.787441245683731</v>
      </c>
      <c r="AC3" s="10">
        <f t="shared" ref="AC3:AC35" si="4">1.6*V3/(4*PI()*W3)*LOG10((2.25*W3*Z3)/(X3*X3*Y3))</f>
        <v>11.787441245683731</v>
      </c>
      <c r="AD3" s="10">
        <f>AB69</f>
        <v>21.909998308713739</v>
      </c>
      <c r="AE3" s="12">
        <f t="shared" ref="AE3:AE66" si="5">AA3</f>
        <v>2</v>
      </c>
      <c r="AF3" s="10">
        <f t="shared" ref="AF3:AF16" si="6">AC3-$P$3-O4</f>
        <v>2.3774429369699934</v>
      </c>
      <c r="AG3" s="10">
        <f t="shared" ref="AG3:AG16" si="7">AC3</f>
        <v>11.787441245683731</v>
      </c>
    </row>
    <row r="4" spans="1:38" s="3" customFormat="1" ht="21.6" customHeight="1" x14ac:dyDescent="0.15">
      <c r="A4" s="53" t="str">
        <f>단계양수시험!A6</f>
        <v>위    치</v>
      </c>
      <c r="B4" s="183"/>
      <c r="C4" s="56" t="str">
        <f>단계양수시험!C6</f>
        <v>대구광역시 북구 복현동 573번지</v>
      </c>
      <c r="D4" s="58"/>
      <c r="E4" s="58"/>
      <c r="F4" s="184"/>
      <c r="G4" s="184"/>
      <c r="H4" s="184"/>
      <c r="I4" s="184"/>
      <c r="J4" s="185"/>
      <c r="L4" s="374" t="s">
        <v>183</v>
      </c>
      <c r="M4" s="13">
        <f t="shared" si="1"/>
        <v>-0.05</v>
      </c>
      <c r="N4" s="62"/>
      <c r="O4" s="29"/>
      <c r="P4" s="29"/>
      <c r="V4" s="14">
        <f t="shared" ref="V4:V67" si="8">V3</f>
        <v>55</v>
      </c>
      <c r="W4" s="3">
        <f t="shared" ref="W4:W67" si="9">W$2</f>
        <v>1.8147722865770699</v>
      </c>
      <c r="X4" s="3">
        <f t="shared" ref="X4:X67" si="10">X3</f>
        <v>0.1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12.466939692368362</v>
      </c>
      <c r="AC4" s="10">
        <f t="shared" si="4"/>
        <v>12.466939692368362</v>
      </c>
      <c r="AD4" s="10">
        <f>AC69</f>
        <v>21.909998308713739</v>
      </c>
      <c r="AE4" s="12">
        <f t="shared" si="5"/>
        <v>3</v>
      </c>
      <c r="AF4" s="10">
        <f t="shared" si="6"/>
        <v>3.0569413836546246</v>
      </c>
      <c r="AG4" s="10">
        <f t="shared" si="7"/>
        <v>12.466939692368362</v>
      </c>
    </row>
    <row r="5" spans="1:38" s="3" customFormat="1" ht="21.6" customHeight="1" x14ac:dyDescent="0.15">
      <c r="A5" s="53" t="str">
        <f>단계양수시험!A7</f>
        <v>조 사 자</v>
      </c>
      <c r="B5" s="183"/>
      <c r="C5" s="59" t="str">
        <f>단계양수시험!C7</f>
        <v>주식회사 한일지하수</v>
      </c>
      <c r="E5" s="57"/>
      <c r="F5" s="189" t="s">
        <v>4</v>
      </c>
      <c r="G5" s="190">
        <f>입력표!I50</f>
        <v>0</v>
      </c>
      <c r="H5" s="191"/>
      <c r="I5" s="191"/>
      <c r="J5" s="191"/>
      <c r="L5" s="374" t="s">
        <v>184</v>
      </c>
      <c r="M5" s="13">
        <f t="shared" si="1"/>
        <v>-0.57999999999999996</v>
      </c>
      <c r="N5" s="62"/>
      <c r="O5" s="29"/>
      <c r="P5" s="29"/>
      <c r="V5" s="14">
        <f t="shared" si="8"/>
        <v>55</v>
      </c>
      <c r="W5" s="3">
        <f t="shared" si="9"/>
        <v>1.8147722865770699</v>
      </c>
      <c r="X5" s="3">
        <f t="shared" si="10"/>
        <v>0.1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12.949051512746882</v>
      </c>
      <c r="AC5" s="10">
        <f t="shared" si="4"/>
        <v>12.949051512746882</v>
      </c>
      <c r="AD5" s="10">
        <f>AF69</f>
        <v>12.500000000000002</v>
      </c>
      <c r="AE5" s="12">
        <f t="shared" si="5"/>
        <v>4</v>
      </c>
      <c r="AF5" s="10">
        <f t="shared" si="6"/>
        <v>3.5390532040331451</v>
      </c>
      <c r="AG5" s="10">
        <f t="shared" si="7"/>
        <v>12.949051512746882</v>
      </c>
    </row>
    <row r="6" spans="1:38" s="3" customFormat="1" ht="21.6" customHeight="1" x14ac:dyDescent="0.15">
      <c r="A6" s="53" t="str">
        <f>단계양수시험!A8</f>
        <v>수중모타</v>
      </c>
      <c r="B6" s="183"/>
      <c r="C6" s="538">
        <f>단계양수시험!C8</f>
        <v>5</v>
      </c>
      <c r="D6" s="538"/>
      <c r="E6" s="539"/>
      <c r="F6" s="189" t="s">
        <v>6</v>
      </c>
      <c r="G6" s="190" t="str">
        <f>입력표!I51</f>
        <v>개발시 적정채수량으로 적용 =</v>
      </c>
      <c r="H6" s="191"/>
      <c r="I6" s="191"/>
      <c r="J6" s="191"/>
      <c r="K6" s="3">
        <v>0.2</v>
      </c>
      <c r="L6" s="369">
        <v>0.2</v>
      </c>
      <c r="M6" s="13">
        <f t="shared" si="1"/>
        <v>-1.32</v>
      </c>
      <c r="N6" s="62"/>
      <c r="O6" s="29"/>
      <c r="P6" s="29"/>
      <c r="V6" s="14">
        <f t="shared" si="8"/>
        <v>55</v>
      </c>
      <c r="W6" s="3">
        <f t="shared" si="9"/>
        <v>1.8147722865770699</v>
      </c>
      <c r="X6" s="3">
        <f t="shared" si="10"/>
        <v>0.1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13.323006493024124</v>
      </c>
      <c r="AC6" s="10">
        <f t="shared" si="4"/>
        <v>13.323006493024124</v>
      </c>
      <c r="AE6" s="12">
        <f t="shared" si="5"/>
        <v>5</v>
      </c>
      <c r="AF6" s="10">
        <f t="shared" si="6"/>
        <v>3.913008184310387</v>
      </c>
      <c r="AG6" s="10">
        <f t="shared" si="7"/>
        <v>13.323006493024124</v>
      </c>
      <c r="AL6" s="3">
        <f>10*(2.54/2/100)</f>
        <v>0.127</v>
      </c>
    </row>
    <row r="7" spans="1:38" s="3" customFormat="1" ht="21.6" customHeight="1" x14ac:dyDescent="0.15">
      <c r="A7" s="53" t="str">
        <f>단계양수시험!A9</f>
        <v>우물현황</v>
      </c>
      <c r="B7" s="183"/>
      <c r="C7" s="192" t="str">
        <f>단계양수시험!C9</f>
        <v>직     경</v>
      </c>
      <c r="D7" s="193">
        <f>단계양수시험!D9</f>
        <v>200</v>
      </c>
      <c r="E7" s="194"/>
      <c r="F7" s="195" t="s">
        <v>8</v>
      </c>
      <c r="G7" s="250">
        <f>단계양수시험!G9</f>
        <v>500</v>
      </c>
      <c r="H7" s="184"/>
      <c r="I7" s="184"/>
      <c r="J7" s="185"/>
      <c r="M7" s="13">
        <f t="shared" si="1"/>
        <v>-2.15</v>
      </c>
      <c r="N7" s="62"/>
      <c r="O7" s="29"/>
      <c r="P7" s="29"/>
      <c r="V7" s="14">
        <f t="shared" si="8"/>
        <v>55</v>
      </c>
      <c r="W7" s="3">
        <f t="shared" si="9"/>
        <v>1.8147722865770699</v>
      </c>
      <c r="X7" s="3">
        <f t="shared" si="10"/>
        <v>0.1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14.484616760087274</v>
      </c>
      <c r="AC7" s="10">
        <f t="shared" si="4"/>
        <v>14.484616760087274</v>
      </c>
      <c r="AE7" s="12">
        <f t="shared" si="5"/>
        <v>10</v>
      </c>
      <c r="AF7" s="10">
        <f t="shared" si="6"/>
        <v>5.0746184513735368</v>
      </c>
      <c r="AG7" s="10">
        <f t="shared" si="7"/>
        <v>14.484616760087274</v>
      </c>
      <c r="AL7" s="3">
        <f>AL6*2</f>
        <v>0.254</v>
      </c>
    </row>
    <row r="8" spans="1:38" s="3" customFormat="1" ht="21.6" customHeight="1" x14ac:dyDescent="0.15">
      <c r="A8" s="53" t="str">
        <f>단계양수시험!A10</f>
        <v>양수시험</v>
      </c>
      <c r="B8" s="183"/>
      <c r="C8" s="196" t="s">
        <v>9</v>
      </c>
      <c r="D8" s="197">
        <f>단계양수시험!D10</f>
        <v>13.6</v>
      </c>
      <c r="E8" s="194"/>
      <c r="F8" s="195" t="s">
        <v>14</v>
      </c>
      <c r="G8" s="198">
        <f>F77</f>
        <v>26.1</v>
      </c>
      <c r="H8" s="191">
        <f>입력표!C40</f>
        <v>55</v>
      </c>
      <c r="I8" s="191"/>
      <c r="J8" s="183"/>
      <c r="K8" s="386">
        <f>입력표!M50</f>
        <v>12.500000000000002</v>
      </c>
      <c r="L8" s="370">
        <f>G10-K11</f>
        <v>5.4222402843693729E-2</v>
      </c>
      <c r="M8" s="13">
        <f t="shared" si="1"/>
        <v>-7.05</v>
      </c>
      <c r="N8" s="62"/>
      <c r="O8" s="29"/>
      <c r="P8" s="29"/>
      <c r="V8" s="14">
        <f t="shared" si="8"/>
        <v>55</v>
      </c>
      <c r="W8" s="3">
        <f t="shared" si="9"/>
        <v>1.8147722865770699</v>
      </c>
      <c r="X8" s="3">
        <f t="shared" si="10"/>
        <v>0.1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15.164115206771903</v>
      </c>
      <c r="AC8" s="10">
        <f t="shared" si="4"/>
        <v>15.164115206771903</v>
      </c>
      <c r="AE8" s="12">
        <f t="shared" si="5"/>
        <v>15</v>
      </c>
      <c r="AF8" s="10">
        <f t="shared" si="6"/>
        <v>5.7541168980581663</v>
      </c>
      <c r="AG8" s="10">
        <f t="shared" si="7"/>
        <v>15.164115206771903</v>
      </c>
    </row>
    <row r="9" spans="1:38" s="3" customFormat="1" ht="21.6" customHeight="1" x14ac:dyDescent="0.15">
      <c r="A9" s="195" t="s">
        <v>10</v>
      </c>
      <c r="B9" s="180" t="s">
        <v>160</v>
      </c>
      <c r="C9" s="196" t="s">
        <v>11</v>
      </c>
      <c r="D9" s="541" t="s">
        <v>161</v>
      </c>
      <c r="E9" s="541"/>
      <c r="F9" s="180" t="s">
        <v>162</v>
      </c>
      <c r="G9" s="180" t="s">
        <v>163</v>
      </c>
      <c r="H9" s="385"/>
      <c r="I9" s="385"/>
      <c r="J9" s="385"/>
      <c r="K9" s="9">
        <f>G8-D8</f>
        <v>12.500000000000002</v>
      </c>
      <c r="M9" s="13">
        <f t="shared" si="1"/>
        <v>-12.44</v>
      </c>
      <c r="N9" s="62"/>
      <c r="O9" s="29"/>
      <c r="P9" s="29"/>
      <c r="V9" s="14">
        <f t="shared" si="8"/>
        <v>55</v>
      </c>
      <c r="W9" s="3">
        <f t="shared" si="9"/>
        <v>1.8147722865770699</v>
      </c>
      <c r="X9" s="3">
        <f t="shared" si="10"/>
        <v>0.1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15.646227027150426</v>
      </c>
      <c r="AC9" s="10">
        <f t="shared" si="4"/>
        <v>15.646227027150426</v>
      </c>
      <c r="AE9" s="12">
        <f t="shared" si="5"/>
        <v>20</v>
      </c>
      <c r="AF9" s="10">
        <f t="shared" si="6"/>
        <v>6.2362287184366885</v>
      </c>
      <c r="AG9" s="10">
        <f t="shared" si="7"/>
        <v>15.646227027150426</v>
      </c>
    </row>
    <row r="10" spans="1:38" s="3" customFormat="1" ht="21" customHeight="1" x14ac:dyDescent="0.15">
      <c r="A10" s="54">
        <v>1</v>
      </c>
      <c r="B10" s="61">
        <f>입력표!C26</f>
        <v>55</v>
      </c>
      <c r="C10" s="55">
        <v>44291.402777777781</v>
      </c>
      <c r="D10" s="181">
        <v>1</v>
      </c>
      <c r="E10" s="249">
        <f>D10/1440</f>
        <v>6.9444444444444447E-4</v>
      </c>
      <c r="F10" s="182">
        <f>G10+D$8</f>
        <v>14.815832669906843</v>
      </c>
      <c r="G10" s="277">
        <f>AF2</f>
        <v>1.2158326699068436</v>
      </c>
      <c r="H10" s="384"/>
      <c r="I10" s="384"/>
      <c r="J10" s="384"/>
      <c r="K10" s="263">
        <f>K8-K9</f>
        <v>0</v>
      </c>
      <c r="L10" s="9">
        <f>K10+Q17</f>
        <v>0</v>
      </c>
      <c r="M10" s="13">
        <f t="shared" si="1"/>
        <v>-18.02</v>
      </c>
      <c r="N10" s="62"/>
      <c r="O10" s="29"/>
      <c r="P10" s="29"/>
      <c r="V10" s="14">
        <f t="shared" si="8"/>
        <v>55</v>
      </c>
      <c r="W10" s="3">
        <f t="shared" si="9"/>
        <v>1.8147722865770699</v>
      </c>
      <c r="X10" s="3">
        <f t="shared" si="10"/>
        <v>0.1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16.020182007427664</v>
      </c>
      <c r="AC10" s="10">
        <f t="shared" si="4"/>
        <v>16.020182007427664</v>
      </c>
      <c r="AE10" s="12">
        <f t="shared" si="5"/>
        <v>25</v>
      </c>
      <c r="AF10" s="10">
        <f t="shared" si="6"/>
        <v>6.6101836987139269</v>
      </c>
      <c r="AG10" s="10">
        <f t="shared" si="7"/>
        <v>16.020182007427664</v>
      </c>
    </row>
    <row r="11" spans="1:38" s="3" customFormat="1" ht="21" customHeight="1" x14ac:dyDescent="0.15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15.977442936969993</v>
      </c>
      <c r="G11" s="182">
        <f>AF3</f>
        <v>2.3774429369699934</v>
      </c>
      <c r="H11" s="384"/>
      <c r="I11" s="384"/>
      <c r="J11" s="384"/>
      <c r="K11" s="63">
        <f>G11-G10</f>
        <v>1.1616102670631498</v>
      </c>
      <c r="L11" s="9" t="s">
        <v>18</v>
      </c>
      <c r="N11" s="62"/>
      <c r="O11" s="29"/>
      <c r="V11" s="14">
        <f t="shared" si="8"/>
        <v>55</v>
      </c>
      <c r="W11" s="3">
        <f t="shared" si="9"/>
        <v>1.8147722865770699</v>
      </c>
      <c r="X11" s="3">
        <f t="shared" si="10"/>
        <v>0.1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16.325725473835057</v>
      </c>
      <c r="AC11" s="10">
        <f t="shared" si="4"/>
        <v>16.325725473835057</v>
      </c>
      <c r="AE11" s="12">
        <f t="shared" si="5"/>
        <v>30</v>
      </c>
      <c r="AF11" s="10">
        <f t="shared" si="6"/>
        <v>6.9157271651213197</v>
      </c>
      <c r="AG11" s="10">
        <f t="shared" si="7"/>
        <v>16.325725473835057</v>
      </c>
    </row>
    <row r="12" spans="1:38" s="3" customFormat="1" ht="21" customHeight="1" x14ac:dyDescent="0.15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16.656941383654626</v>
      </c>
      <c r="G12" s="182">
        <f t="shared" ref="G12:G74" si="15">AF4</f>
        <v>3.0569413836546246</v>
      </c>
      <c r="H12" s="384"/>
      <c r="I12" s="384"/>
      <c r="J12" s="384"/>
      <c r="K12" s="63">
        <f t="shared" ref="K12:K47" si="16">G12-G11</f>
        <v>0.67949844668463122</v>
      </c>
      <c r="L12" s="9" t="s">
        <v>18</v>
      </c>
      <c r="N12" s="62"/>
      <c r="O12" s="29"/>
      <c r="V12" s="14">
        <f t="shared" si="8"/>
        <v>55</v>
      </c>
      <c r="W12" s="3">
        <f t="shared" si="9"/>
        <v>1.8147722865770699</v>
      </c>
      <c r="X12" s="3">
        <f t="shared" si="10"/>
        <v>0.1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16.584058793776506</v>
      </c>
      <c r="AC12" s="10">
        <f t="shared" si="4"/>
        <v>16.584058793776506</v>
      </c>
      <c r="AE12" s="12">
        <f t="shared" si="5"/>
        <v>35</v>
      </c>
      <c r="AF12" s="10">
        <f t="shared" si="6"/>
        <v>7.1740604850627694</v>
      </c>
      <c r="AG12" s="10">
        <f t="shared" si="7"/>
        <v>16.584058793776506</v>
      </c>
    </row>
    <row r="13" spans="1:38" s="3" customFormat="1" ht="21" customHeight="1" x14ac:dyDescent="0.15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17.139053204033146</v>
      </c>
      <c r="G13" s="182">
        <f t="shared" si="15"/>
        <v>3.5390532040331451</v>
      </c>
      <c r="H13" s="384"/>
      <c r="I13" s="384"/>
      <c r="J13" s="384"/>
      <c r="K13" s="63">
        <f t="shared" si="16"/>
        <v>0.48211182037852041</v>
      </c>
      <c r="L13" s="9" t="s">
        <v>18</v>
      </c>
      <c r="N13" s="62"/>
      <c r="O13" s="29"/>
      <c r="V13" s="14">
        <f t="shared" si="8"/>
        <v>55</v>
      </c>
      <c r="W13" s="3">
        <f t="shared" si="9"/>
        <v>1.8147722865770699</v>
      </c>
      <c r="X13" s="3">
        <f t="shared" si="10"/>
        <v>0.1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16.807837294213577</v>
      </c>
      <c r="AC13" s="10">
        <f t="shared" si="4"/>
        <v>16.807837294213577</v>
      </c>
      <c r="AE13" s="12">
        <f t="shared" si="5"/>
        <v>40</v>
      </c>
      <c r="AF13" s="10">
        <f t="shared" si="6"/>
        <v>7.3978389854998401</v>
      </c>
      <c r="AG13" s="10">
        <f t="shared" si="7"/>
        <v>16.807837294213577</v>
      </c>
    </row>
    <row r="14" spans="1:38" s="3" customFormat="1" ht="21" customHeight="1" x14ac:dyDescent="0.15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17.513008184310387</v>
      </c>
      <c r="G14" s="182">
        <f t="shared" si="15"/>
        <v>3.913008184310387</v>
      </c>
      <c r="H14" s="384"/>
      <c r="I14" s="384"/>
      <c r="J14" s="384"/>
      <c r="K14" s="63">
        <f t="shared" si="16"/>
        <v>0.37395498027724194</v>
      </c>
      <c r="L14" s="9" t="s">
        <v>18</v>
      </c>
      <c r="N14" s="62"/>
      <c r="O14" s="29"/>
      <c r="V14" s="14">
        <f t="shared" si="8"/>
        <v>55</v>
      </c>
      <c r="W14" s="3">
        <f t="shared" si="9"/>
        <v>1.8147722865770699</v>
      </c>
      <c r="X14" s="3">
        <f t="shared" si="10"/>
        <v>0.1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17.005223920519683</v>
      </c>
      <c r="AC14" s="10">
        <f t="shared" si="4"/>
        <v>17.005223920519683</v>
      </c>
      <c r="AE14" s="12">
        <f t="shared" si="5"/>
        <v>45</v>
      </c>
      <c r="AF14" s="10">
        <f t="shared" si="6"/>
        <v>7.5952256118059456</v>
      </c>
      <c r="AG14" s="10">
        <f t="shared" si="7"/>
        <v>17.005223920519683</v>
      </c>
    </row>
    <row r="15" spans="1:38" s="3" customFormat="1" ht="21" customHeight="1" x14ac:dyDescent="0.15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18.674618451373536</v>
      </c>
      <c r="G15" s="182">
        <f t="shared" si="15"/>
        <v>5.0746184513735368</v>
      </c>
      <c r="H15" s="384"/>
      <c r="I15" s="384"/>
      <c r="J15" s="384"/>
      <c r="K15" s="63">
        <f t="shared" si="16"/>
        <v>1.1616102670631498</v>
      </c>
      <c r="L15" s="9" t="s">
        <v>18</v>
      </c>
      <c r="N15" s="68"/>
      <c r="O15" s="368"/>
      <c r="V15" s="14">
        <f t="shared" si="8"/>
        <v>55</v>
      </c>
      <c r="W15" s="3">
        <f t="shared" si="9"/>
        <v>1.8147722865770699</v>
      </c>
      <c r="X15" s="3">
        <f t="shared" si="10"/>
        <v>0.1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17.181792274490817</v>
      </c>
      <c r="AC15" s="10">
        <f t="shared" si="4"/>
        <v>17.181792274490817</v>
      </c>
      <c r="AE15" s="12">
        <f t="shared" si="5"/>
        <v>50</v>
      </c>
      <c r="AF15" s="10">
        <f t="shared" si="6"/>
        <v>7.7717939657770803</v>
      </c>
      <c r="AG15" s="10">
        <f t="shared" si="7"/>
        <v>17.181792274490817</v>
      </c>
    </row>
    <row r="16" spans="1:38" s="3" customFormat="1" ht="21" customHeight="1" x14ac:dyDescent="0.15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19.354116898058166</v>
      </c>
      <c r="G16" s="182">
        <f t="shared" si="15"/>
        <v>5.7541168980581663</v>
      </c>
      <c r="H16" s="384"/>
      <c r="I16" s="384"/>
      <c r="J16" s="384"/>
      <c r="K16" s="63">
        <f t="shared" si="16"/>
        <v>0.67949844668462944</v>
      </c>
      <c r="L16" s="65"/>
      <c r="N16" s="66"/>
      <c r="O16" s="15"/>
      <c r="Q16" s="13"/>
      <c r="V16" s="14">
        <f t="shared" si="8"/>
        <v>55</v>
      </c>
      <c r="W16" s="3">
        <f t="shared" si="9"/>
        <v>1.8147722865770699</v>
      </c>
      <c r="X16" s="3">
        <f t="shared" si="10"/>
        <v>0.1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17.341517779436103</v>
      </c>
      <c r="AC16" s="10">
        <f t="shared" si="4"/>
        <v>17.341517779436103</v>
      </c>
      <c r="AE16" s="12">
        <f t="shared" si="5"/>
        <v>55</v>
      </c>
      <c r="AF16" s="10">
        <f t="shared" si="6"/>
        <v>7.9001094707223656</v>
      </c>
      <c r="AG16" s="10">
        <f t="shared" si="7"/>
        <v>17.341517779436103</v>
      </c>
    </row>
    <row r="17" spans="1:32" s="3" customFormat="1" ht="21" customHeight="1" x14ac:dyDescent="0.15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19.836228718436686</v>
      </c>
      <c r="G17" s="182">
        <f t="shared" si="15"/>
        <v>6.2362287184366885</v>
      </c>
      <c r="H17" s="384"/>
      <c r="I17" s="384"/>
      <c r="J17" s="384"/>
      <c r="K17" s="63">
        <f t="shared" si="16"/>
        <v>0.48211182037852218</v>
      </c>
      <c r="L17" s="29">
        <f>D10</f>
        <v>1</v>
      </c>
      <c r="M17" s="3">
        <f>INT(B10/1440*10000)/10000</f>
        <v>3.8100000000000002E-2</v>
      </c>
      <c r="N17" s="3">
        <f>L17*M17</f>
        <v>3.8100000000000002E-2</v>
      </c>
      <c r="O17" s="3">
        <f>INT((D7/2/1000)^2*PI()*100000)/100000</f>
        <v>3.141E-2</v>
      </c>
      <c r="P17" s="3">
        <f>INT(N17/O17*100)/100</f>
        <v>1.21</v>
      </c>
      <c r="Q17" s="13">
        <f>INT((G10-P17)*100)/100</f>
        <v>0</v>
      </c>
      <c r="V17" s="14">
        <f t="shared" si="8"/>
        <v>55</v>
      </c>
      <c r="W17" s="3">
        <f t="shared" si="9"/>
        <v>1.8147722865770699</v>
      </c>
      <c r="X17" s="3">
        <f t="shared" si="10"/>
        <v>0.1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17.487335740898207</v>
      </c>
      <c r="AC17" s="10">
        <f t="shared" si="4"/>
        <v>17.487335740898207</v>
      </c>
      <c r="AE17" s="12">
        <f t="shared" si="5"/>
        <v>60</v>
      </c>
      <c r="AF17" s="10">
        <f t="shared" ref="AF17:AF48" si="17">AC17-$P$3</f>
        <v>8.0773374321844695</v>
      </c>
    </row>
    <row r="18" spans="1:32" s="3" customFormat="1" ht="21" customHeight="1" x14ac:dyDescent="0.15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20.210183698713927</v>
      </c>
      <c r="G18" s="182">
        <f t="shared" si="15"/>
        <v>6.6101836987139269</v>
      </c>
      <c r="H18" s="384"/>
      <c r="I18" s="384"/>
      <c r="J18" s="384"/>
      <c r="K18" s="63">
        <f t="shared" si="16"/>
        <v>0.37395498027723839</v>
      </c>
      <c r="L18" s="29">
        <f t="shared" ref="L18:L31" si="18">D11</f>
        <v>2</v>
      </c>
      <c r="M18" s="3">
        <f>M17</f>
        <v>3.8100000000000002E-2</v>
      </c>
      <c r="N18" s="3">
        <f t="shared" ref="N18:N27" si="19">L18*M18</f>
        <v>7.6200000000000004E-2</v>
      </c>
      <c r="O18" s="3">
        <f>O17</f>
        <v>3.141E-2</v>
      </c>
      <c r="P18" s="3">
        <f>INT(N18/O18*100)/100</f>
        <v>2.42</v>
      </c>
      <c r="Q18" s="13">
        <f t="shared" ref="Q18:Q27" si="20">INT((G11-P18)*100)/100</f>
        <v>-0.05</v>
      </c>
      <c r="V18" s="14">
        <f t="shared" si="8"/>
        <v>55</v>
      </c>
      <c r="W18" s="3">
        <f t="shared" si="9"/>
        <v>1.8147722865770699</v>
      </c>
      <c r="X18" s="3">
        <f t="shared" si="10"/>
        <v>0.1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17.861290721175447</v>
      </c>
      <c r="AC18" s="10">
        <f t="shared" si="4"/>
        <v>17.861290721175447</v>
      </c>
      <c r="AE18" s="12">
        <f t="shared" si="5"/>
        <v>75</v>
      </c>
      <c r="AF18" s="10">
        <f t="shared" si="17"/>
        <v>8.4512924124617097</v>
      </c>
    </row>
    <row r="19" spans="1:32" s="3" customFormat="1" ht="21" customHeight="1" x14ac:dyDescent="0.15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20.515727165121319</v>
      </c>
      <c r="G19" s="182">
        <f t="shared" si="15"/>
        <v>6.9157271651213197</v>
      </c>
      <c r="H19" s="384"/>
      <c r="I19" s="384"/>
      <c r="J19" s="384"/>
      <c r="K19" s="63">
        <f t="shared" si="16"/>
        <v>0.30554346640739283</v>
      </c>
      <c r="L19" s="29">
        <f t="shared" si="18"/>
        <v>3</v>
      </c>
      <c r="M19" s="3">
        <f>M18</f>
        <v>3.8100000000000002E-2</v>
      </c>
      <c r="N19" s="3">
        <f t="shared" si="19"/>
        <v>0.11430000000000001</v>
      </c>
      <c r="O19" s="3">
        <f t="shared" ref="O19:O31" si="21">O18</f>
        <v>3.141E-2</v>
      </c>
      <c r="P19" s="3">
        <f>INT(N19/O19*100)/100</f>
        <v>3.63</v>
      </c>
      <c r="Q19" s="13">
        <f t="shared" si="20"/>
        <v>-0.57999999999999996</v>
      </c>
      <c r="V19" s="14">
        <f t="shared" si="8"/>
        <v>55</v>
      </c>
      <c r="W19" s="3">
        <f t="shared" si="9"/>
        <v>1.8147722865770699</v>
      </c>
      <c r="X19" s="3">
        <f t="shared" si="10"/>
        <v>0.1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18.166834187582836</v>
      </c>
      <c r="AC19" s="10">
        <f t="shared" si="4"/>
        <v>18.166834187582836</v>
      </c>
      <c r="AE19" s="12">
        <f t="shared" si="5"/>
        <v>90</v>
      </c>
      <c r="AF19" s="10">
        <f t="shared" si="17"/>
        <v>8.756835878869099</v>
      </c>
    </row>
    <row r="20" spans="1:32" s="3" customFormat="1" ht="21" customHeight="1" x14ac:dyDescent="0.15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20.774060485062769</v>
      </c>
      <c r="G20" s="182">
        <f t="shared" si="15"/>
        <v>7.1740604850627694</v>
      </c>
      <c r="H20" s="384"/>
      <c r="I20" s="384"/>
      <c r="J20" s="384"/>
      <c r="K20" s="63">
        <f t="shared" si="16"/>
        <v>0.2583333199414497</v>
      </c>
      <c r="L20" s="29">
        <f t="shared" si="18"/>
        <v>4</v>
      </c>
      <c r="M20" s="3">
        <f>M19</f>
        <v>3.8100000000000002E-2</v>
      </c>
      <c r="N20" s="3">
        <f t="shared" si="19"/>
        <v>0.15240000000000001</v>
      </c>
      <c r="O20" s="3">
        <f>O19</f>
        <v>3.141E-2</v>
      </c>
      <c r="P20" s="3">
        <f>INT(N20/O20*100)/100</f>
        <v>4.8499999999999996</v>
      </c>
      <c r="Q20" s="13">
        <f t="shared" si="20"/>
        <v>-1.32</v>
      </c>
      <c r="V20" s="14">
        <f t="shared" si="8"/>
        <v>55</v>
      </c>
      <c r="W20" s="3">
        <f t="shared" si="9"/>
        <v>1.8147722865770699</v>
      </c>
      <c r="X20" s="3">
        <f t="shared" si="10"/>
        <v>0.1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18.425167507524289</v>
      </c>
      <c r="AC20" s="10">
        <f t="shared" si="4"/>
        <v>18.425167507524289</v>
      </c>
      <c r="AE20" s="12">
        <f t="shared" si="5"/>
        <v>105</v>
      </c>
      <c r="AF20" s="10">
        <f t="shared" si="17"/>
        <v>9.0151691988105522</v>
      </c>
    </row>
    <row r="21" spans="1:32" s="3" customFormat="1" ht="21" customHeight="1" x14ac:dyDescent="0.15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20.99783898549984</v>
      </c>
      <c r="G21" s="182">
        <f t="shared" si="15"/>
        <v>7.3978389854998401</v>
      </c>
      <c r="H21" s="384"/>
      <c r="I21" s="384"/>
      <c r="J21" s="384"/>
      <c r="K21" s="63">
        <f t="shared" si="16"/>
        <v>0.2237785004370707</v>
      </c>
      <c r="L21" s="29">
        <f t="shared" si="18"/>
        <v>5</v>
      </c>
      <c r="M21" s="3">
        <f>M20</f>
        <v>3.8100000000000002E-2</v>
      </c>
      <c r="N21" s="3">
        <f t="shared" si="19"/>
        <v>0.1905</v>
      </c>
      <c r="O21" s="3">
        <f t="shared" si="21"/>
        <v>3.141E-2</v>
      </c>
      <c r="P21" s="3">
        <f>INT(N21/O21*100)/100</f>
        <v>6.06</v>
      </c>
      <c r="Q21" s="13">
        <f t="shared" si="20"/>
        <v>-2.15</v>
      </c>
      <c r="V21" s="14">
        <f t="shared" si="8"/>
        <v>55</v>
      </c>
      <c r="W21" s="3">
        <f t="shared" si="9"/>
        <v>1.8147722865770699</v>
      </c>
      <c r="X21" s="3">
        <f t="shared" si="10"/>
        <v>0.1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18.64894600796136</v>
      </c>
      <c r="AC21" s="10">
        <f t="shared" si="4"/>
        <v>18.64894600796136</v>
      </c>
      <c r="AE21" s="12">
        <f t="shared" si="5"/>
        <v>120</v>
      </c>
      <c r="AF21" s="10">
        <f t="shared" si="17"/>
        <v>9.2389476992476229</v>
      </c>
    </row>
    <row r="22" spans="1:32" s="3" customFormat="1" ht="21" customHeight="1" x14ac:dyDescent="0.15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21.195225611805945</v>
      </c>
      <c r="G22" s="182">
        <f t="shared" si="15"/>
        <v>7.5952256118059456</v>
      </c>
      <c r="H22" s="384"/>
      <c r="I22" s="384"/>
      <c r="J22" s="384"/>
      <c r="K22" s="63">
        <f t="shared" si="16"/>
        <v>0.19738662630610548</v>
      </c>
      <c r="L22" s="29">
        <f t="shared" si="18"/>
        <v>10</v>
      </c>
      <c r="M22" s="3">
        <f t="shared" ref="M22:M31" si="22">M21</f>
        <v>3.8100000000000002E-2</v>
      </c>
      <c r="N22" s="3">
        <f t="shared" si="19"/>
        <v>0.38100000000000001</v>
      </c>
      <c r="O22" s="3">
        <f t="shared" si="21"/>
        <v>3.141E-2</v>
      </c>
      <c r="P22" s="3">
        <f t="shared" ref="P22:P27" si="23">INT(N22/O22*100)/100</f>
        <v>12.12</v>
      </c>
      <c r="Q22" s="13">
        <f t="shared" si="20"/>
        <v>-7.05</v>
      </c>
      <c r="V22" s="14">
        <f t="shared" si="8"/>
        <v>55</v>
      </c>
      <c r="W22" s="3">
        <f t="shared" si="9"/>
        <v>1.8147722865770699</v>
      </c>
      <c r="X22" s="3">
        <f t="shared" si="10"/>
        <v>0.1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18.90727932790281</v>
      </c>
      <c r="AC22" s="10">
        <f t="shared" si="4"/>
        <v>18.90727932790281</v>
      </c>
      <c r="AE22" s="12">
        <f t="shared" si="5"/>
        <v>140</v>
      </c>
      <c r="AF22" s="10">
        <f t="shared" si="17"/>
        <v>9.4972810191890726</v>
      </c>
    </row>
    <row r="23" spans="1:32" s="3" customFormat="1" ht="21" customHeight="1" x14ac:dyDescent="0.15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21.37179396577708</v>
      </c>
      <c r="G23" s="182">
        <f t="shared" si="15"/>
        <v>7.7717939657770803</v>
      </c>
      <c r="H23" s="384"/>
      <c r="I23" s="384"/>
      <c r="J23" s="384"/>
      <c r="K23" s="63">
        <f t="shared" si="16"/>
        <v>0.17656835397113468</v>
      </c>
      <c r="L23" s="29">
        <f t="shared" si="18"/>
        <v>15</v>
      </c>
      <c r="M23" s="3">
        <f t="shared" si="22"/>
        <v>3.8100000000000002E-2</v>
      </c>
      <c r="N23" s="3">
        <f t="shared" si="19"/>
        <v>0.57150000000000001</v>
      </c>
      <c r="O23" s="3">
        <f t="shared" si="21"/>
        <v>3.141E-2</v>
      </c>
      <c r="P23" s="3">
        <f t="shared" si="23"/>
        <v>18.190000000000001</v>
      </c>
      <c r="Q23" s="13">
        <f t="shared" si="20"/>
        <v>-12.44</v>
      </c>
      <c r="V23" s="14">
        <f t="shared" si="8"/>
        <v>55</v>
      </c>
      <c r="W23" s="3">
        <f t="shared" si="9"/>
        <v>1.8147722865770699</v>
      </c>
      <c r="X23" s="3">
        <f t="shared" si="10"/>
        <v>0.1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19.131057828339877</v>
      </c>
      <c r="AC23" s="10">
        <f t="shared" si="4"/>
        <v>19.131057828339877</v>
      </c>
      <c r="AE23" s="12">
        <f t="shared" si="5"/>
        <v>160</v>
      </c>
      <c r="AF23" s="10">
        <f t="shared" si="17"/>
        <v>9.7210595196261398</v>
      </c>
    </row>
    <row r="24" spans="1:32" s="3" customFormat="1" ht="21" customHeight="1" x14ac:dyDescent="0.15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21.500109470722364</v>
      </c>
      <c r="G24" s="182">
        <f t="shared" si="15"/>
        <v>7.9001094707223656</v>
      </c>
      <c r="H24" s="384"/>
      <c r="I24" s="384"/>
      <c r="J24" s="384"/>
      <c r="K24" s="63">
        <f t="shared" si="16"/>
        <v>0.12831550494528532</v>
      </c>
      <c r="L24" s="29">
        <f t="shared" si="18"/>
        <v>20</v>
      </c>
      <c r="M24" s="3">
        <f t="shared" si="22"/>
        <v>3.8100000000000002E-2</v>
      </c>
      <c r="N24" s="3">
        <f t="shared" si="19"/>
        <v>0.76200000000000001</v>
      </c>
      <c r="O24" s="3">
        <f t="shared" si="21"/>
        <v>3.141E-2</v>
      </c>
      <c r="P24" s="3">
        <f t="shared" si="23"/>
        <v>24.25</v>
      </c>
      <c r="Q24" s="13">
        <f t="shared" si="20"/>
        <v>-18.02</v>
      </c>
      <c r="V24" s="14">
        <f t="shared" si="8"/>
        <v>55</v>
      </c>
      <c r="W24" s="3">
        <f t="shared" si="9"/>
        <v>1.8147722865770699</v>
      </c>
      <c r="X24" s="3">
        <f t="shared" si="10"/>
        <v>0.1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19.328444454645986</v>
      </c>
      <c r="AC24" s="10">
        <f t="shared" si="4"/>
        <v>19.328444454645986</v>
      </c>
      <c r="AE24" s="12">
        <f t="shared" si="5"/>
        <v>180</v>
      </c>
      <c r="AF24" s="10">
        <f t="shared" si="17"/>
        <v>9.9184461459322488</v>
      </c>
    </row>
    <row r="25" spans="1:32" s="3" customFormat="1" ht="21" customHeight="1" x14ac:dyDescent="0.15">
      <c r="A25" s="54"/>
      <c r="B25" s="54"/>
      <c r="C25" s="55">
        <f>$C$10+D25/1440</f>
        <v>44291.444444444445</v>
      </c>
      <c r="D25" s="181">
        <v>60</v>
      </c>
      <c r="E25" s="249">
        <f t="shared" si="13"/>
        <v>4.1666666666666664E-2</v>
      </c>
      <c r="F25" s="182">
        <f t="shared" si="14"/>
        <v>21.677337432184469</v>
      </c>
      <c r="G25" s="182">
        <f t="shared" si="15"/>
        <v>8.0773374321844695</v>
      </c>
      <c r="H25" s="384"/>
      <c r="I25" s="384"/>
      <c r="J25" s="384"/>
      <c r="K25" s="63">
        <f t="shared" si="16"/>
        <v>0.17722796146210396</v>
      </c>
      <c r="L25" s="29">
        <f t="shared" si="18"/>
        <v>25</v>
      </c>
      <c r="M25" s="3">
        <f t="shared" si="22"/>
        <v>3.8100000000000002E-2</v>
      </c>
      <c r="N25" s="3">
        <f t="shared" si="19"/>
        <v>0.95250000000000001</v>
      </c>
      <c r="O25" s="3">
        <f t="shared" si="21"/>
        <v>3.141E-2</v>
      </c>
      <c r="P25" s="3">
        <f t="shared" si="23"/>
        <v>30.32</v>
      </c>
      <c r="Q25" s="13">
        <f t="shared" si="20"/>
        <v>-23.71</v>
      </c>
      <c r="V25" s="14">
        <f t="shared" si="8"/>
        <v>55</v>
      </c>
      <c r="W25" s="3">
        <f t="shared" si="9"/>
        <v>1.8147722865770699</v>
      </c>
      <c r="X25" s="3">
        <f t="shared" si="10"/>
        <v>0.1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19.810556275024506</v>
      </c>
      <c r="AC25" s="10">
        <f t="shared" si="4"/>
        <v>19.810556275024506</v>
      </c>
      <c r="AE25" s="12">
        <f t="shared" si="5"/>
        <v>240</v>
      </c>
      <c r="AF25" s="10">
        <f t="shared" si="17"/>
        <v>10.400557966310769</v>
      </c>
    </row>
    <row r="26" spans="1:32" s="3" customFormat="1" ht="21" customHeight="1" x14ac:dyDescent="0.15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22.051292412461709</v>
      </c>
      <c r="G26" s="182">
        <f t="shared" si="15"/>
        <v>8.4512924124617097</v>
      </c>
      <c r="H26" s="384"/>
      <c r="I26" s="384"/>
      <c r="J26" s="384"/>
      <c r="K26" s="63">
        <f t="shared" si="16"/>
        <v>0.37395498027724017</v>
      </c>
      <c r="L26" s="29">
        <f t="shared" si="18"/>
        <v>30</v>
      </c>
      <c r="M26" s="3">
        <f t="shared" si="22"/>
        <v>3.8100000000000002E-2</v>
      </c>
      <c r="N26" s="3">
        <f t="shared" si="19"/>
        <v>1.143</v>
      </c>
      <c r="O26" s="3">
        <f t="shared" si="21"/>
        <v>3.141E-2</v>
      </c>
      <c r="P26" s="3">
        <f t="shared" si="23"/>
        <v>36.380000000000003</v>
      </c>
      <c r="Q26" s="13">
        <f t="shared" si="20"/>
        <v>-29.47</v>
      </c>
      <c r="V26" s="14">
        <f t="shared" si="8"/>
        <v>55</v>
      </c>
      <c r="W26" s="3">
        <f t="shared" si="9"/>
        <v>1.8147722865770699</v>
      </c>
      <c r="X26" s="3">
        <f t="shared" si="10"/>
        <v>0.1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20.18451125530175</v>
      </c>
      <c r="AC26" s="10">
        <f t="shared" si="4"/>
        <v>20.18451125530175</v>
      </c>
      <c r="AE26" s="12">
        <f t="shared" si="5"/>
        <v>300</v>
      </c>
      <c r="AF26" s="10">
        <f t="shared" si="17"/>
        <v>10.774512946588013</v>
      </c>
    </row>
    <row r="27" spans="1:32" s="3" customFormat="1" ht="21" customHeight="1" x14ac:dyDescent="0.15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22.356835878869099</v>
      </c>
      <c r="G27" s="182">
        <f t="shared" si="15"/>
        <v>8.756835878869099</v>
      </c>
      <c r="H27" s="384"/>
      <c r="I27" s="384"/>
      <c r="J27" s="384"/>
      <c r="K27" s="63">
        <f t="shared" si="16"/>
        <v>0.30554346640738927</v>
      </c>
      <c r="L27" s="29">
        <f t="shared" si="18"/>
        <v>35</v>
      </c>
      <c r="M27" s="3">
        <f t="shared" si="22"/>
        <v>3.8100000000000002E-2</v>
      </c>
      <c r="N27" s="3">
        <f t="shared" si="19"/>
        <v>1.3335000000000001</v>
      </c>
      <c r="O27" s="3">
        <f t="shared" si="21"/>
        <v>3.141E-2</v>
      </c>
      <c r="P27" s="3">
        <f t="shared" si="23"/>
        <v>42.45</v>
      </c>
      <c r="Q27" s="13">
        <f t="shared" si="20"/>
        <v>-35.28</v>
      </c>
      <c r="V27" s="14">
        <f t="shared" si="8"/>
        <v>55</v>
      </c>
      <c r="W27" s="3">
        <f t="shared" si="9"/>
        <v>1.8147722865770699</v>
      </c>
      <c r="X27" s="3">
        <f t="shared" si="10"/>
        <v>0.1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20.490054721709136</v>
      </c>
      <c r="AC27" s="10">
        <f t="shared" si="4"/>
        <v>20.490054721709136</v>
      </c>
      <c r="AE27" s="12">
        <f t="shared" si="5"/>
        <v>360</v>
      </c>
      <c r="AF27" s="10">
        <f t="shared" si="17"/>
        <v>11.080056412995399</v>
      </c>
    </row>
    <row r="28" spans="1:32" s="3" customFormat="1" ht="21" customHeight="1" x14ac:dyDescent="0.15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22.615169198810552</v>
      </c>
      <c r="G28" s="182">
        <f t="shared" si="15"/>
        <v>9.0151691988105522</v>
      </c>
      <c r="H28" s="384"/>
      <c r="I28" s="384"/>
      <c r="J28" s="384"/>
      <c r="K28" s="63">
        <f t="shared" si="16"/>
        <v>0.25833331994145325</v>
      </c>
      <c r="L28" s="29">
        <f t="shared" si="18"/>
        <v>40</v>
      </c>
      <c r="M28" s="3">
        <f t="shared" si="22"/>
        <v>3.8100000000000002E-2</v>
      </c>
      <c r="N28" s="3">
        <f>L28*M28</f>
        <v>1.524</v>
      </c>
      <c r="O28" s="3">
        <f t="shared" si="21"/>
        <v>3.141E-2</v>
      </c>
      <c r="P28" s="3">
        <f>INT(N28/O28*100)/100</f>
        <v>48.51</v>
      </c>
      <c r="Q28" s="13">
        <f>INT((G21-P28)*100)/100</f>
        <v>-41.12</v>
      </c>
      <c r="V28" s="14">
        <f t="shared" si="8"/>
        <v>55</v>
      </c>
      <c r="W28" s="3">
        <f t="shared" si="9"/>
        <v>1.8147722865770699</v>
      </c>
      <c r="X28" s="3">
        <f t="shared" si="10"/>
        <v>0.1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20.748388041650589</v>
      </c>
      <c r="AC28" s="10">
        <f t="shared" si="4"/>
        <v>20.748388041650589</v>
      </c>
      <c r="AE28" s="12">
        <f t="shared" si="5"/>
        <v>420</v>
      </c>
      <c r="AF28" s="10">
        <f t="shared" si="17"/>
        <v>11.338389732936852</v>
      </c>
    </row>
    <row r="29" spans="1:32" s="3" customFormat="1" ht="21" customHeight="1" x14ac:dyDescent="0.15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22.838947699247623</v>
      </c>
      <c r="G29" s="182">
        <f t="shared" si="15"/>
        <v>9.2389476992476229</v>
      </c>
      <c r="H29" s="384"/>
      <c r="I29" s="384"/>
      <c r="J29" s="384"/>
      <c r="K29" s="63">
        <f t="shared" si="16"/>
        <v>0.2237785004370707</v>
      </c>
      <c r="L29" s="29">
        <f t="shared" si="18"/>
        <v>45</v>
      </c>
      <c r="M29" s="3">
        <f t="shared" si="22"/>
        <v>3.8100000000000002E-2</v>
      </c>
      <c r="N29" s="3">
        <f>L29*M29</f>
        <v>1.7145000000000001</v>
      </c>
      <c r="O29" s="3">
        <f t="shared" si="21"/>
        <v>3.141E-2</v>
      </c>
      <c r="P29" s="3">
        <f>INT(N29/O29*100)/100</f>
        <v>54.58</v>
      </c>
      <c r="Q29" s="13">
        <f>INT((G22-P29)*100)/100</f>
        <v>-46.99</v>
      </c>
      <c r="V29" s="14">
        <f t="shared" si="8"/>
        <v>55</v>
      </c>
      <c r="W29" s="3">
        <f t="shared" si="9"/>
        <v>1.8147722865770699</v>
      </c>
      <c r="X29" s="3">
        <f t="shared" si="10"/>
        <v>0.1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20.972166542087656</v>
      </c>
      <c r="AC29" s="10">
        <f t="shared" si="4"/>
        <v>20.972166542087656</v>
      </c>
      <c r="AE29" s="12">
        <f t="shared" si="5"/>
        <v>480</v>
      </c>
      <c r="AF29" s="10">
        <f t="shared" si="17"/>
        <v>11.562168233373919</v>
      </c>
    </row>
    <row r="30" spans="1:32" s="3" customFormat="1" ht="21" customHeight="1" x14ac:dyDescent="0.15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23.097281019189072</v>
      </c>
      <c r="G30" s="182">
        <f t="shared" si="15"/>
        <v>9.4972810191890726</v>
      </c>
      <c r="H30" s="384"/>
      <c r="I30" s="384"/>
      <c r="J30" s="384"/>
      <c r="K30" s="63">
        <f t="shared" si="16"/>
        <v>0.2583333199414497</v>
      </c>
      <c r="L30" s="29">
        <f t="shared" si="18"/>
        <v>50</v>
      </c>
      <c r="M30" s="3">
        <f t="shared" si="22"/>
        <v>3.8100000000000002E-2</v>
      </c>
      <c r="N30" s="3">
        <f>L30*M30</f>
        <v>1.905</v>
      </c>
      <c r="O30" s="3">
        <f t="shared" si="21"/>
        <v>3.141E-2</v>
      </c>
      <c r="P30" s="3">
        <f>INT(N30/O30*100)/100</f>
        <v>60.64</v>
      </c>
      <c r="Q30" s="13">
        <f>INT((G23-P30)*100)/100</f>
        <v>-52.87</v>
      </c>
      <c r="V30" s="14">
        <f t="shared" si="8"/>
        <v>55</v>
      </c>
      <c r="W30" s="3">
        <f t="shared" si="9"/>
        <v>1.8147722865770699</v>
      </c>
      <c r="X30" s="3">
        <f t="shared" si="10"/>
        <v>0.1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21.169553168393769</v>
      </c>
      <c r="AC30" s="10">
        <f t="shared" si="4"/>
        <v>21.169553168393769</v>
      </c>
      <c r="AE30" s="12">
        <f t="shared" si="5"/>
        <v>540</v>
      </c>
      <c r="AF30" s="10">
        <f t="shared" si="17"/>
        <v>11.759554859680032</v>
      </c>
    </row>
    <row r="31" spans="1:32" s="3" customFormat="1" ht="21" customHeight="1" x14ac:dyDescent="0.15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23.321059519626139</v>
      </c>
      <c r="G31" s="182">
        <f t="shared" si="15"/>
        <v>9.7210595196261398</v>
      </c>
      <c r="H31" s="384"/>
      <c r="I31" s="384"/>
      <c r="J31" s="384"/>
      <c r="K31" s="63">
        <f t="shared" si="16"/>
        <v>0.22377850043706715</v>
      </c>
      <c r="L31" s="29">
        <f t="shared" si="18"/>
        <v>55</v>
      </c>
      <c r="M31" s="3">
        <f t="shared" si="22"/>
        <v>3.8100000000000002E-2</v>
      </c>
      <c r="N31" s="3">
        <f>L31*M31</f>
        <v>2.0954999999999999</v>
      </c>
      <c r="O31" s="3">
        <f t="shared" si="21"/>
        <v>3.141E-2</v>
      </c>
      <c r="P31" s="3">
        <f>INT(N31/O31*100)/100</f>
        <v>66.709999999999994</v>
      </c>
      <c r="Q31" s="13">
        <f>INT((G24-P31)*100)/100</f>
        <v>-58.81</v>
      </c>
      <c r="V31" s="14">
        <f t="shared" si="8"/>
        <v>55</v>
      </c>
      <c r="W31" s="3">
        <f t="shared" si="9"/>
        <v>1.8147722865770699</v>
      </c>
      <c r="X31" s="3">
        <f t="shared" si="10"/>
        <v>0.1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21.3461215223649</v>
      </c>
      <c r="AC31" s="10">
        <f t="shared" si="4"/>
        <v>21.3461215223649</v>
      </c>
      <c r="AE31" s="12">
        <f t="shared" si="5"/>
        <v>600</v>
      </c>
      <c r="AF31" s="10">
        <f t="shared" si="17"/>
        <v>11.936123213651163</v>
      </c>
    </row>
    <row r="32" spans="1:32" s="3" customFormat="1" ht="21" customHeight="1" x14ac:dyDescent="0.15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23.518446145932248</v>
      </c>
      <c r="G32" s="182">
        <f t="shared" si="15"/>
        <v>9.9184461459322488</v>
      </c>
      <c r="H32" s="384"/>
      <c r="I32" s="384"/>
      <c r="J32" s="384"/>
      <c r="K32" s="63">
        <f t="shared" si="16"/>
        <v>0.19738662630610904</v>
      </c>
      <c r="L32" s="65" t="s">
        <v>18</v>
      </c>
      <c r="O32" s="67"/>
      <c r="V32" s="14">
        <f t="shared" si="8"/>
        <v>55</v>
      </c>
      <c r="W32" s="3">
        <f t="shared" si="9"/>
        <v>1.8147722865770699</v>
      </c>
      <c r="X32" s="3">
        <f t="shared" si="10"/>
        <v>0.1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21.505847027310185</v>
      </c>
      <c r="AC32" s="10">
        <f t="shared" si="4"/>
        <v>21.505847027310185</v>
      </c>
      <c r="AE32" s="12">
        <f t="shared" si="5"/>
        <v>660</v>
      </c>
      <c r="AF32" s="10">
        <f t="shared" si="17"/>
        <v>12.095848718596448</v>
      </c>
    </row>
    <row r="33" spans="1:32" s="3" customFormat="1" ht="21" customHeight="1" x14ac:dyDescent="0.15">
      <c r="A33" s="54"/>
      <c r="B33" s="54"/>
      <c r="C33" s="55">
        <f>$C$10+D33/1440</f>
        <v>44291.569444444445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24.000557966310769</v>
      </c>
      <c r="G33" s="182">
        <f t="shared" si="15"/>
        <v>10.400557966310769</v>
      </c>
      <c r="H33" s="384"/>
      <c r="I33" s="384"/>
      <c r="J33" s="384"/>
      <c r="K33" s="63">
        <f t="shared" si="16"/>
        <v>0.48211182037852041</v>
      </c>
      <c r="L33" s="9" t="s">
        <v>18</v>
      </c>
      <c r="O33" s="67"/>
      <c r="V33" s="14">
        <f t="shared" si="8"/>
        <v>55</v>
      </c>
      <c r="W33" s="3">
        <f t="shared" si="9"/>
        <v>1.8147722865770699</v>
      </c>
      <c r="X33" s="3">
        <f t="shared" si="10"/>
        <v>0.1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21.651664988772289</v>
      </c>
      <c r="AC33" s="10">
        <f t="shared" si="4"/>
        <v>21.651664988772289</v>
      </c>
      <c r="AE33" s="12">
        <f t="shared" si="5"/>
        <v>720</v>
      </c>
      <c r="AF33" s="10">
        <f t="shared" si="17"/>
        <v>12.241666680058552</v>
      </c>
    </row>
    <row r="34" spans="1:32" s="3" customFormat="1" ht="21" customHeight="1" x14ac:dyDescent="0.15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24.374512946588013</v>
      </c>
      <c r="G34" s="182">
        <f t="shared" si="15"/>
        <v>10.774512946588013</v>
      </c>
      <c r="H34" s="384"/>
      <c r="I34" s="384"/>
      <c r="J34" s="384"/>
      <c r="K34" s="63">
        <f t="shared" si="16"/>
        <v>0.37395498027724372</v>
      </c>
      <c r="L34" s="9" t="s">
        <v>18</v>
      </c>
      <c r="P34" s="67"/>
      <c r="V34" s="14">
        <f t="shared" si="8"/>
        <v>55</v>
      </c>
      <c r="W34" s="3">
        <f t="shared" si="9"/>
        <v>1.8147722865770699</v>
      </c>
      <c r="X34" s="3">
        <f t="shared" si="10"/>
        <v>0.1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21.785804510139169</v>
      </c>
      <c r="AC34" s="10">
        <f t="shared" si="4"/>
        <v>21.785804510139169</v>
      </c>
      <c r="AE34" s="12">
        <f t="shared" si="5"/>
        <v>780</v>
      </c>
      <c r="AF34" s="10">
        <f t="shared" si="17"/>
        <v>12.375806201425432</v>
      </c>
    </row>
    <row r="35" spans="1:32" s="3" customFormat="1" ht="21" customHeight="1" x14ac:dyDescent="0.15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24.680056412995398</v>
      </c>
      <c r="G35" s="182">
        <f t="shared" si="15"/>
        <v>11.080056412995399</v>
      </c>
      <c r="H35" s="384"/>
      <c r="I35" s="384"/>
      <c r="J35" s="384"/>
      <c r="K35" s="63">
        <f t="shared" si="16"/>
        <v>0.30554346640738572</v>
      </c>
      <c r="L35" s="9" t="s">
        <v>18</v>
      </c>
      <c r="O35" s="67"/>
      <c r="V35" s="14">
        <f t="shared" si="8"/>
        <v>55</v>
      </c>
      <c r="W35" s="3">
        <f t="shared" si="9"/>
        <v>1.8147722865770699</v>
      </c>
      <c r="X35" s="3">
        <f t="shared" si="10"/>
        <v>0.1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21.909998308713739</v>
      </c>
      <c r="AC35" s="10">
        <f t="shared" si="4"/>
        <v>21.909998308713739</v>
      </c>
      <c r="AE35" s="12">
        <f t="shared" si="5"/>
        <v>840</v>
      </c>
      <c r="AF35" s="10">
        <f t="shared" si="17"/>
        <v>12.500000000000002</v>
      </c>
    </row>
    <row r="36" spans="1:32" s="3" customFormat="1" ht="21" customHeight="1" x14ac:dyDescent="0.15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24.938389732936852</v>
      </c>
      <c r="G36" s="182">
        <f t="shared" si="15"/>
        <v>11.338389732936852</v>
      </c>
      <c r="H36" s="384"/>
      <c r="I36" s="384"/>
      <c r="J36" s="384"/>
      <c r="K36" s="63">
        <f t="shared" si="16"/>
        <v>0.25833331994145325</v>
      </c>
      <c r="L36" s="9" t="s">
        <v>18</v>
      </c>
      <c r="V36" s="14">
        <f t="shared" si="8"/>
        <v>55</v>
      </c>
      <c r="W36" s="3">
        <f t="shared" si="9"/>
        <v>1.8147722865770699</v>
      </c>
      <c r="X36" s="3">
        <f t="shared" si="10"/>
        <v>0.1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21.909998308713739</v>
      </c>
      <c r="AC36" s="10">
        <f t="shared" ref="AC36:AC41" si="27">AC35</f>
        <v>21.909998308713739</v>
      </c>
      <c r="AE36" s="12">
        <f t="shared" si="5"/>
        <v>900</v>
      </c>
      <c r="AF36" s="10">
        <f t="shared" si="17"/>
        <v>12.500000000000002</v>
      </c>
    </row>
    <row r="37" spans="1:32" s="3" customFormat="1" ht="21" customHeight="1" x14ac:dyDescent="0.15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25.162168233373919</v>
      </c>
      <c r="G37" s="182">
        <f t="shared" si="15"/>
        <v>11.562168233373919</v>
      </c>
      <c r="H37" s="384"/>
      <c r="I37" s="384"/>
      <c r="J37" s="384"/>
      <c r="K37" s="63">
        <f t="shared" si="16"/>
        <v>0.22377850043706715</v>
      </c>
      <c r="L37" s="9" t="s">
        <v>18</v>
      </c>
      <c r="V37" s="14">
        <f t="shared" si="8"/>
        <v>55</v>
      </c>
      <c r="W37" s="3">
        <f t="shared" si="9"/>
        <v>1.8147722865770699</v>
      </c>
      <c r="X37" s="3">
        <f t="shared" si="10"/>
        <v>0.1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21.909998308713739</v>
      </c>
      <c r="AC37" s="10">
        <f t="shared" si="27"/>
        <v>21.909998308713739</v>
      </c>
      <c r="AD37" s="3">
        <v>37</v>
      </c>
      <c r="AE37" s="12">
        <f t="shared" si="5"/>
        <v>960</v>
      </c>
      <c r="AF37" s="10">
        <f t="shared" si="17"/>
        <v>12.500000000000002</v>
      </c>
    </row>
    <row r="38" spans="1:32" s="3" customFormat="1" ht="21" customHeight="1" x14ac:dyDescent="0.15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25.359554859680031</v>
      </c>
      <c r="G38" s="182">
        <f t="shared" si="15"/>
        <v>11.759554859680032</v>
      </c>
      <c r="H38" s="384"/>
      <c r="I38" s="384"/>
      <c r="J38" s="384"/>
      <c r="K38" s="63">
        <f t="shared" si="16"/>
        <v>0.19738662630611259</v>
      </c>
      <c r="L38" s="9" t="s">
        <v>18</v>
      </c>
      <c r="V38" s="14">
        <f t="shared" si="8"/>
        <v>55</v>
      </c>
      <c r="W38" s="3">
        <f t="shared" si="9"/>
        <v>1.8147722865770699</v>
      </c>
      <c r="X38" s="3">
        <f t="shared" si="10"/>
        <v>0.1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21.909998308713739</v>
      </c>
      <c r="AC38" s="10">
        <f t="shared" si="27"/>
        <v>21.909998308713739</v>
      </c>
      <c r="AD38" s="29" t="s">
        <v>28</v>
      </c>
      <c r="AE38" s="12">
        <f t="shared" si="5"/>
        <v>1020</v>
      </c>
      <c r="AF38" s="10">
        <f t="shared" si="17"/>
        <v>12.500000000000002</v>
      </c>
    </row>
    <row r="39" spans="1:32" s="3" customFormat="1" ht="21" customHeight="1" x14ac:dyDescent="0.15">
      <c r="A39" s="54"/>
      <c r="B39" s="54"/>
      <c r="C39" s="55">
        <f>$C$10+D39/1440</f>
        <v>44291.819444444445</v>
      </c>
      <c r="D39" s="181">
        <f t="shared" si="25"/>
        <v>600</v>
      </c>
      <c r="E39" s="249">
        <f t="shared" si="24"/>
        <v>0.41666666666666669</v>
      </c>
      <c r="F39" s="182">
        <f t="shared" si="14"/>
        <v>25.536123213651162</v>
      </c>
      <c r="G39" s="182">
        <f t="shared" si="15"/>
        <v>11.936123213651163</v>
      </c>
      <c r="H39" s="384"/>
      <c r="I39" s="384"/>
      <c r="J39" s="384"/>
      <c r="K39" s="63">
        <f t="shared" si="16"/>
        <v>0.17656835397113113</v>
      </c>
      <c r="L39" s="9" t="s">
        <v>18</v>
      </c>
      <c r="V39" s="14">
        <f t="shared" si="8"/>
        <v>55</v>
      </c>
      <c r="W39" s="3">
        <f t="shared" si="9"/>
        <v>1.8147722865770699</v>
      </c>
      <c r="X39" s="3">
        <f t="shared" si="10"/>
        <v>0.1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21.909998308713739</v>
      </c>
      <c r="AC39" s="10">
        <f t="shared" si="27"/>
        <v>21.909998308713739</v>
      </c>
      <c r="AD39" s="358">
        <v>39</v>
      </c>
      <c r="AE39" s="12">
        <f t="shared" si="5"/>
        <v>1080</v>
      </c>
      <c r="AF39" s="10">
        <f t="shared" si="17"/>
        <v>12.500000000000002</v>
      </c>
    </row>
    <row r="40" spans="1:32" s="3" customFormat="1" ht="21" customHeight="1" x14ac:dyDescent="0.15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25.695848718596448</v>
      </c>
      <c r="G40" s="182">
        <f t="shared" si="15"/>
        <v>12.095848718596448</v>
      </c>
      <c r="H40" s="384"/>
      <c r="I40" s="384"/>
      <c r="J40" s="384"/>
      <c r="K40" s="63">
        <f t="shared" si="16"/>
        <v>0.15972550494528548</v>
      </c>
      <c r="L40" s="9" t="s">
        <v>18</v>
      </c>
      <c r="V40" s="14">
        <f t="shared" si="8"/>
        <v>55</v>
      </c>
      <c r="W40" s="3">
        <f t="shared" si="9"/>
        <v>1.8147722865770699</v>
      </c>
      <c r="X40" s="3">
        <f t="shared" si="10"/>
        <v>0.1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21.909998308713739</v>
      </c>
      <c r="AC40" s="10">
        <f t="shared" si="27"/>
        <v>21.909998308713739</v>
      </c>
      <c r="AD40" s="358">
        <v>40</v>
      </c>
      <c r="AE40" s="12">
        <f t="shared" si="5"/>
        <v>1140</v>
      </c>
      <c r="AF40" s="10">
        <f t="shared" si="17"/>
        <v>12.500000000000002</v>
      </c>
    </row>
    <row r="41" spans="1:32" s="3" customFormat="1" ht="21" customHeight="1" x14ac:dyDescent="0.15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25.841666680058552</v>
      </c>
      <c r="G41" s="182">
        <f t="shared" si="15"/>
        <v>12.241666680058552</v>
      </c>
      <c r="H41" s="384"/>
      <c r="I41" s="384"/>
      <c r="J41" s="384"/>
      <c r="K41" s="63">
        <f t="shared" si="16"/>
        <v>0.1458179614621038</v>
      </c>
      <c r="L41" s="9" t="s">
        <v>18</v>
      </c>
      <c r="V41" s="355">
        <f t="shared" si="8"/>
        <v>55</v>
      </c>
      <c r="W41" s="354">
        <f t="shared" si="9"/>
        <v>1.8147722865770699</v>
      </c>
      <c r="X41" s="354">
        <f t="shared" si="10"/>
        <v>0.1</v>
      </c>
      <c r="Y41" s="354">
        <f t="shared" si="11"/>
        <v>5.0000000000000001E-4</v>
      </c>
      <c r="Z41" s="354">
        <f t="shared" si="2"/>
        <v>0.83333333333333337</v>
      </c>
      <c r="AA41" s="356">
        <f t="shared" si="12"/>
        <v>1200</v>
      </c>
      <c r="AB41" s="357">
        <f t="shared" si="26"/>
        <v>21.909998308713739</v>
      </c>
      <c r="AC41" s="10">
        <f t="shared" si="27"/>
        <v>21.909998308713739</v>
      </c>
      <c r="AD41" s="359">
        <v>41</v>
      </c>
      <c r="AE41" s="12">
        <f t="shared" si="5"/>
        <v>1200</v>
      </c>
      <c r="AF41" s="10">
        <f t="shared" si="17"/>
        <v>12.500000000000002</v>
      </c>
    </row>
    <row r="42" spans="1:32" s="3" customFormat="1" ht="21" customHeight="1" x14ac:dyDescent="0.15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25.975806201425431</v>
      </c>
      <c r="G42" s="182">
        <f t="shared" si="15"/>
        <v>12.375806201425432</v>
      </c>
      <c r="H42" s="384"/>
      <c r="I42" s="384"/>
      <c r="J42" s="384"/>
      <c r="K42" s="63">
        <f t="shared" si="16"/>
        <v>0.13413952136687968</v>
      </c>
      <c r="L42" s="9" t="s">
        <v>18</v>
      </c>
      <c r="V42" s="14">
        <f t="shared" si="8"/>
        <v>55</v>
      </c>
      <c r="W42" s="3">
        <f t="shared" si="9"/>
        <v>1.8147722865770699</v>
      </c>
      <c r="X42" s="3">
        <f t="shared" si="10"/>
        <v>0.1</v>
      </c>
      <c r="Y42" s="3">
        <f t="shared" si="11"/>
        <v>5.0000000000000001E-4</v>
      </c>
      <c r="Z42" s="3">
        <f t="shared" si="2"/>
        <v>0.875</v>
      </c>
      <c r="AA42" s="12">
        <f t="shared" ref="AA42:AA79" si="28">D50</f>
        <v>1260</v>
      </c>
      <c r="AB42" s="256">
        <f t="shared" si="26"/>
        <v>21.909998308713739</v>
      </c>
      <c r="AC42" s="10">
        <f t="shared" ref="AC42:AC46" si="29">AC41</f>
        <v>21.909998308713739</v>
      </c>
      <c r="AD42" s="358">
        <v>42</v>
      </c>
      <c r="AE42" s="12">
        <f t="shared" si="5"/>
        <v>1260</v>
      </c>
      <c r="AF42" s="10">
        <f t="shared" si="17"/>
        <v>12.500000000000002</v>
      </c>
    </row>
    <row r="43" spans="1:32" s="3" customFormat="1" ht="21" customHeight="1" x14ac:dyDescent="0.15">
      <c r="A43" s="54"/>
      <c r="B43" s="54"/>
      <c r="C43" s="55"/>
      <c r="D43" s="181">
        <f t="shared" si="25"/>
        <v>840</v>
      </c>
      <c r="E43" s="249">
        <f t="shared" ref="E43:E58" si="30">D43/1440</f>
        <v>0.58333333333333337</v>
      </c>
      <c r="F43" s="182">
        <f t="shared" si="14"/>
        <v>26.1</v>
      </c>
      <c r="G43" s="182">
        <f t="shared" si="15"/>
        <v>12.500000000000002</v>
      </c>
      <c r="H43" s="384"/>
      <c r="I43" s="384"/>
      <c r="J43" s="384"/>
      <c r="K43" s="63">
        <f t="shared" si="16"/>
        <v>0.12419379857457002</v>
      </c>
      <c r="L43" s="9" t="s">
        <v>18</v>
      </c>
      <c r="V43" s="355">
        <f t="shared" si="8"/>
        <v>55</v>
      </c>
      <c r="W43" s="354">
        <f t="shared" si="9"/>
        <v>1.8147722865770699</v>
      </c>
      <c r="X43" s="354">
        <f t="shared" si="10"/>
        <v>0.1</v>
      </c>
      <c r="Y43" s="354">
        <f t="shared" si="11"/>
        <v>5.0000000000000001E-4</v>
      </c>
      <c r="Z43" s="354">
        <f t="shared" si="2"/>
        <v>0.91666666666666663</v>
      </c>
      <c r="AA43" s="356">
        <f t="shared" si="28"/>
        <v>1320</v>
      </c>
      <c r="AB43" s="357">
        <f t="shared" si="26"/>
        <v>21.909998308713739</v>
      </c>
      <c r="AC43" s="10">
        <f t="shared" si="29"/>
        <v>21.909998308713739</v>
      </c>
      <c r="AD43" s="359">
        <v>43</v>
      </c>
      <c r="AE43" s="12">
        <f t="shared" si="5"/>
        <v>1320</v>
      </c>
      <c r="AF43" s="10">
        <f t="shared" si="17"/>
        <v>12.500000000000002</v>
      </c>
    </row>
    <row r="44" spans="1:32" s="3" customFormat="1" ht="21" customHeight="1" x14ac:dyDescent="0.15">
      <c r="A44" s="54"/>
      <c r="B44" s="54"/>
      <c r="C44" s="55"/>
      <c r="D44" s="181">
        <f t="shared" si="25"/>
        <v>900</v>
      </c>
      <c r="E44" s="249">
        <f t="shared" si="30"/>
        <v>0.625</v>
      </c>
      <c r="F44" s="182">
        <f t="shared" si="14"/>
        <v>26.1</v>
      </c>
      <c r="G44" s="182">
        <f t="shared" si="15"/>
        <v>12.500000000000002</v>
      </c>
      <c r="H44" s="384"/>
      <c r="I44" s="384"/>
      <c r="J44" s="384"/>
      <c r="K44" s="63">
        <f t="shared" si="16"/>
        <v>0</v>
      </c>
      <c r="L44" s="9" t="s">
        <v>18</v>
      </c>
      <c r="V44" s="14">
        <f t="shared" si="8"/>
        <v>55</v>
      </c>
      <c r="W44" s="3">
        <f t="shared" si="9"/>
        <v>1.8147722865770699</v>
      </c>
      <c r="X44" s="3">
        <f t="shared" si="10"/>
        <v>0.1</v>
      </c>
      <c r="Y44" s="3">
        <f t="shared" si="11"/>
        <v>5.0000000000000001E-4</v>
      </c>
      <c r="Z44" s="3">
        <f t="shared" si="2"/>
        <v>0.95833333333333337</v>
      </c>
      <c r="AA44" s="12">
        <f t="shared" si="28"/>
        <v>1380</v>
      </c>
      <c r="AB44" s="256">
        <f t="shared" si="26"/>
        <v>21.909998308713739</v>
      </c>
      <c r="AC44" s="10">
        <f t="shared" si="29"/>
        <v>21.909998308713739</v>
      </c>
      <c r="AD44" s="358">
        <v>44</v>
      </c>
      <c r="AE44" s="12">
        <f t="shared" si="5"/>
        <v>1380</v>
      </c>
      <c r="AF44" s="10">
        <f t="shared" si="17"/>
        <v>12.500000000000002</v>
      </c>
    </row>
    <row r="45" spans="1:32" s="3" customFormat="1" ht="21" customHeight="1" x14ac:dyDescent="0.15">
      <c r="A45" s="54" t="s">
        <v>0</v>
      </c>
      <c r="B45" s="54" t="s">
        <v>0</v>
      </c>
      <c r="C45" s="55">
        <f>$C$10+D45/1440</f>
        <v>44292.069444444445</v>
      </c>
      <c r="D45" s="181">
        <f t="shared" si="25"/>
        <v>960</v>
      </c>
      <c r="E45" s="249">
        <f t="shared" si="30"/>
        <v>0.66666666666666663</v>
      </c>
      <c r="F45" s="182">
        <f t="shared" si="14"/>
        <v>26.1</v>
      </c>
      <c r="G45" s="182">
        <f t="shared" si="15"/>
        <v>12.500000000000002</v>
      </c>
      <c r="H45" s="384"/>
      <c r="I45" s="384"/>
      <c r="J45" s="384"/>
      <c r="K45" s="63">
        <f t="shared" si="16"/>
        <v>0</v>
      </c>
      <c r="L45" s="9" t="s">
        <v>18</v>
      </c>
      <c r="V45" s="355">
        <f t="shared" si="8"/>
        <v>55</v>
      </c>
      <c r="W45" s="354">
        <f t="shared" si="9"/>
        <v>1.8147722865770699</v>
      </c>
      <c r="X45" s="354">
        <f t="shared" si="10"/>
        <v>0.1</v>
      </c>
      <c r="Y45" s="354">
        <f t="shared" si="11"/>
        <v>5.0000000000000001E-4</v>
      </c>
      <c r="Z45" s="354">
        <f t="shared" si="2"/>
        <v>1</v>
      </c>
      <c r="AA45" s="356">
        <f t="shared" si="28"/>
        <v>1440</v>
      </c>
      <c r="AB45" s="357">
        <f t="shared" si="26"/>
        <v>21.909998308713739</v>
      </c>
      <c r="AC45" s="10">
        <f t="shared" si="29"/>
        <v>21.909998308713739</v>
      </c>
      <c r="AD45" s="359">
        <v>45</v>
      </c>
      <c r="AE45" s="12">
        <f t="shared" si="5"/>
        <v>1440</v>
      </c>
      <c r="AF45" s="10">
        <f t="shared" si="17"/>
        <v>12.500000000000002</v>
      </c>
    </row>
    <row r="46" spans="1:32" s="3" customFormat="1" ht="21" customHeight="1" x14ac:dyDescent="0.15">
      <c r="A46" s="54"/>
      <c r="B46" s="54"/>
      <c r="C46" s="54"/>
      <c r="D46" s="278">
        <f t="shared" si="25"/>
        <v>1020</v>
      </c>
      <c r="E46" s="249">
        <f t="shared" si="30"/>
        <v>0.70833333333333337</v>
      </c>
      <c r="F46" s="182">
        <f t="shared" si="14"/>
        <v>26.1</v>
      </c>
      <c r="G46" s="182">
        <f t="shared" si="15"/>
        <v>12.500000000000002</v>
      </c>
      <c r="H46" s="384"/>
      <c r="I46" s="384"/>
      <c r="J46" s="384"/>
      <c r="K46" s="63">
        <f t="shared" si="16"/>
        <v>0</v>
      </c>
      <c r="L46" s="9" t="s">
        <v>18</v>
      </c>
      <c r="V46" s="14">
        <f t="shared" si="8"/>
        <v>55</v>
      </c>
      <c r="W46" s="3">
        <f t="shared" si="9"/>
        <v>1.8147722865770699</v>
      </c>
      <c r="X46" s="3">
        <f t="shared" si="10"/>
        <v>0.1</v>
      </c>
      <c r="Y46" s="3">
        <f t="shared" si="11"/>
        <v>5.0000000000000001E-4</v>
      </c>
      <c r="Z46" s="3">
        <f t="shared" si="2"/>
        <v>1.0416666666666667</v>
      </c>
      <c r="AA46" s="320">
        <f t="shared" si="28"/>
        <v>1500</v>
      </c>
      <c r="AB46" s="321">
        <f t="shared" si="26"/>
        <v>21.909998308713739</v>
      </c>
      <c r="AC46" s="10">
        <f t="shared" si="29"/>
        <v>21.909998308713739</v>
      </c>
      <c r="AD46" s="358">
        <v>46</v>
      </c>
      <c r="AE46" s="320">
        <f t="shared" si="5"/>
        <v>1500</v>
      </c>
      <c r="AF46" s="322">
        <f t="shared" si="17"/>
        <v>12.500000000000002</v>
      </c>
    </row>
    <row r="47" spans="1:32" s="3" customFormat="1" ht="21" customHeight="1" x14ac:dyDescent="0.15">
      <c r="A47" s="54"/>
      <c r="B47" s="54"/>
      <c r="C47" s="55"/>
      <c r="D47" s="181">
        <f t="shared" ref="D47:D62" si="31">D46+60</f>
        <v>1080</v>
      </c>
      <c r="E47" s="249">
        <f t="shared" si="30"/>
        <v>0.75</v>
      </c>
      <c r="F47" s="182">
        <f t="shared" si="14"/>
        <v>26.1</v>
      </c>
      <c r="G47" s="182">
        <f t="shared" si="15"/>
        <v>12.500000000000002</v>
      </c>
      <c r="H47" s="384"/>
      <c r="I47" s="384"/>
      <c r="J47" s="384"/>
      <c r="K47" s="63">
        <f t="shared" si="16"/>
        <v>0</v>
      </c>
      <c r="L47" s="9" t="s">
        <v>18</v>
      </c>
      <c r="V47" s="14">
        <f t="shared" si="8"/>
        <v>55</v>
      </c>
      <c r="W47" s="3">
        <f t="shared" si="9"/>
        <v>1.8147722865770699</v>
      </c>
      <c r="X47" s="3">
        <f t="shared" si="10"/>
        <v>0.1</v>
      </c>
      <c r="Y47" s="3">
        <f t="shared" si="11"/>
        <v>5.0000000000000001E-4</v>
      </c>
      <c r="Z47" s="3">
        <f t="shared" si="2"/>
        <v>1.0833333333333333</v>
      </c>
      <c r="AA47" s="12">
        <f t="shared" si="28"/>
        <v>1560</v>
      </c>
      <c r="AB47" s="256">
        <f t="shared" si="26"/>
        <v>21.909998308713739</v>
      </c>
      <c r="AC47" s="10">
        <f t="shared" ref="AC47" si="32">AC46</f>
        <v>21.909998308713739</v>
      </c>
      <c r="AE47" s="12">
        <f t="shared" si="5"/>
        <v>1560</v>
      </c>
      <c r="AF47" s="10">
        <f t="shared" si="17"/>
        <v>12.500000000000002</v>
      </c>
    </row>
    <row r="48" spans="1:32" s="3" customFormat="1" ht="21" customHeight="1" x14ac:dyDescent="0.15">
      <c r="A48" s="54"/>
      <c r="B48" s="54"/>
      <c r="C48" s="55"/>
      <c r="D48" s="181">
        <f t="shared" si="31"/>
        <v>1140</v>
      </c>
      <c r="E48" s="249">
        <f t="shared" si="30"/>
        <v>0.79166666666666663</v>
      </c>
      <c r="F48" s="182">
        <f t="shared" si="14"/>
        <v>26.1</v>
      </c>
      <c r="G48" s="182">
        <f t="shared" si="15"/>
        <v>12.500000000000002</v>
      </c>
      <c r="H48" s="384"/>
      <c r="I48" s="384"/>
      <c r="J48" s="384"/>
      <c r="K48" s="3" t="s">
        <v>18</v>
      </c>
      <c r="L48" s="9" t="s">
        <v>18</v>
      </c>
      <c r="V48" s="14">
        <f t="shared" si="8"/>
        <v>55</v>
      </c>
      <c r="W48" s="3">
        <f t="shared" si="9"/>
        <v>1.8147722865770699</v>
      </c>
      <c r="X48" s="3">
        <f t="shared" si="10"/>
        <v>0.1</v>
      </c>
      <c r="Y48" s="3">
        <f t="shared" si="11"/>
        <v>5.0000000000000001E-4</v>
      </c>
      <c r="Z48" s="3">
        <f t="shared" si="2"/>
        <v>1.125</v>
      </c>
      <c r="AA48" s="12">
        <f t="shared" si="28"/>
        <v>1620</v>
      </c>
      <c r="AB48" s="256">
        <f t="shared" si="26"/>
        <v>21.909998308713739</v>
      </c>
      <c r="AC48" s="10">
        <f t="shared" ref="AC48:AC52" si="33">AC47</f>
        <v>21.909998308713739</v>
      </c>
      <c r="AE48" s="12">
        <f t="shared" si="5"/>
        <v>1620</v>
      </c>
      <c r="AF48" s="10">
        <f t="shared" si="17"/>
        <v>12.500000000000002</v>
      </c>
    </row>
    <row r="49" spans="1:32" s="3" customFormat="1" ht="21" customHeight="1" x14ac:dyDescent="0.15">
      <c r="A49" s="54"/>
      <c r="B49" s="54"/>
      <c r="C49" s="55"/>
      <c r="D49" s="181">
        <f t="shared" si="31"/>
        <v>1200</v>
      </c>
      <c r="E49" s="249">
        <f t="shared" si="30"/>
        <v>0.83333333333333337</v>
      </c>
      <c r="F49" s="182">
        <f t="shared" si="14"/>
        <v>26.1</v>
      </c>
      <c r="G49" s="182">
        <f t="shared" si="15"/>
        <v>12.500000000000002</v>
      </c>
      <c r="H49" s="384"/>
      <c r="I49" s="384"/>
      <c r="J49" s="384"/>
      <c r="K49" s="3" t="s">
        <v>18</v>
      </c>
      <c r="L49" s="9" t="s">
        <v>18</v>
      </c>
      <c r="V49" s="14">
        <f t="shared" si="8"/>
        <v>55</v>
      </c>
      <c r="W49" s="3">
        <f t="shared" si="9"/>
        <v>1.8147722865770699</v>
      </c>
      <c r="X49" s="3">
        <f t="shared" si="10"/>
        <v>0.1</v>
      </c>
      <c r="Y49" s="3">
        <f t="shared" si="11"/>
        <v>5.0000000000000001E-4</v>
      </c>
      <c r="Z49" s="3">
        <f t="shared" si="2"/>
        <v>1.1666666666666667</v>
      </c>
      <c r="AA49" s="12">
        <f t="shared" si="28"/>
        <v>1680</v>
      </c>
      <c r="AB49" s="256">
        <f t="shared" si="26"/>
        <v>21.909998308713739</v>
      </c>
      <c r="AC49" s="10">
        <f t="shared" si="33"/>
        <v>21.909998308713739</v>
      </c>
      <c r="AE49" s="12">
        <f t="shared" si="5"/>
        <v>1680</v>
      </c>
      <c r="AF49" s="10">
        <f t="shared" ref="AF49:AF69" si="34">AC49-$P$3</f>
        <v>12.500000000000002</v>
      </c>
    </row>
    <row r="50" spans="1:32" s="3" customFormat="1" ht="21" customHeight="1" x14ac:dyDescent="0.15">
      <c r="A50" s="54"/>
      <c r="B50" s="54"/>
      <c r="C50" s="55"/>
      <c r="D50" s="181">
        <f t="shared" si="31"/>
        <v>1260</v>
      </c>
      <c r="E50" s="249">
        <f t="shared" si="30"/>
        <v>0.875</v>
      </c>
      <c r="F50" s="182">
        <f t="shared" si="14"/>
        <v>26.1</v>
      </c>
      <c r="G50" s="182">
        <f t="shared" si="15"/>
        <v>12.500000000000002</v>
      </c>
      <c r="H50" s="384"/>
      <c r="I50" s="384"/>
      <c r="J50" s="384"/>
      <c r="K50" s="3" t="s">
        <v>18</v>
      </c>
      <c r="L50" s="9" t="s">
        <v>18</v>
      </c>
      <c r="V50" s="14">
        <f t="shared" si="8"/>
        <v>55</v>
      </c>
      <c r="W50" s="3">
        <f t="shared" si="9"/>
        <v>1.8147722865770699</v>
      </c>
      <c r="X50" s="3">
        <f t="shared" si="10"/>
        <v>0.1</v>
      </c>
      <c r="Y50" s="3">
        <f t="shared" si="11"/>
        <v>5.0000000000000001E-4</v>
      </c>
      <c r="Z50" s="3">
        <f t="shared" si="2"/>
        <v>1.2083333333333333</v>
      </c>
      <c r="AA50" s="12">
        <f t="shared" si="28"/>
        <v>1740</v>
      </c>
      <c r="AB50" s="256">
        <f t="shared" si="26"/>
        <v>21.909998308713739</v>
      </c>
      <c r="AC50" s="10">
        <f t="shared" si="33"/>
        <v>21.909998308713739</v>
      </c>
      <c r="AE50" s="12">
        <f t="shared" si="5"/>
        <v>1740</v>
      </c>
      <c r="AF50" s="10">
        <f t="shared" si="34"/>
        <v>12.500000000000002</v>
      </c>
    </row>
    <row r="51" spans="1:32" s="3" customFormat="1" ht="21" customHeight="1" x14ac:dyDescent="0.15">
      <c r="A51" s="54"/>
      <c r="B51" s="54"/>
      <c r="C51" s="55">
        <f>$C$10+D51/1440</f>
        <v>44292.319444444445</v>
      </c>
      <c r="D51" s="181">
        <f t="shared" si="31"/>
        <v>1320</v>
      </c>
      <c r="E51" s="249">
        <f t="shared" si="30"/>
        <v>0.91666666666666663</v>
      </c>
      <c r="F51" s="182">
        <f t="shared" si="14"/>
        <v>26.1</v>
      </c>
      <c r="G51" s="182">
        <f t="shared" si="15"/>
        <v>12.500000000000002</v>
      </c>
      <c r="H51" s="384"/>
      <c r="I51" s="384"/>
      <c r="J51" s="384"/>
      <c r="K51" s="3" t="s">
        <v>18</v>
      </c>
      <c r="L51" s="9" t="s">
        <v>18</v>
      </c>
      <c r="V51" s="14">
        <f t="shared" si="8"/>
        <v>55</v>
      </c>
      <c r="W51" s="3">
        <f t="shared" si="9"/>
        <v>1.8147722865770699</v>
      </c>
      <c r="X51" s="3">
        <f t="shared" si="10"/>
        <v>0.1</v>
      </c>
      <c r="Y51" s="3">
        <f t="shared" si="11"/>
        <v>5.0000000000000001E-4</v>
      </c>
      <c r="Z51" s="3">
        <f t="shared" si="2"/>
        <v>1.25</v>
      </c>
      <c r="AA51" s="12">
        <f t="shared" si="28"/>
        <v>1800</v>
      </c>
      <c r="AB51" s="256">
        <f t="shared" si="26"/>
        <v>21.909998308713739</v>
      </c>
      <c r="AC51" s="10">
        <f t="shared" si="33"/>
        <v>21.909998308713739</v>
      </c>
      <c r="AE51" s="12">
        <f t="shared" si="5"/>
        <v>1800</v>
      </c>
      <c r="AF51" s="10">
        <f t="shared" si="34"/>
        <v>12.500000000000002</v>
      </c>
    </row>
    <row r="52" spans="1:32" s="3" customFormat="1" ht="21" customHeight="1" x14ac:dyDescent="0.15">
      <c r="A52" s="54"/>
      <c r="B52" s="54"/>
      <c r="C52" s="55"/>
      <c r="D52" s="181">
        <f t="shared" si="31"/>
        <v>1380</v>
      </c>
      <c r="E52" s="249">
        <f t="shared" si="30"/>
        <v>0.95833333333333337</v>
      </c>
      <c r="F52" s="182">
        <f t="shared" si="14"/>
        <v>26.1</v>
      </c>
      <c r="G52" s="182">
        <f t="shared" si="15"/>
        <v>12.500000000000002</v>
      </c>
      <c r="H52" s="384"/>
      <c r="I52" s="384"/>
      <c r="J52" s="384"/>
      <c r="K52" s="3" t="s">
        <v>18</v>
      </c>
      <c r="L52" s="9" t="s">
        <v>18</v>
      </c>
      <c r="V52" s="14">
        <f t="shared" si="8"/>
        <v>55</v>
      </c>
      <c r="W52" s="3">
        <f t="shared" si="9"/>
        <v>1.8147722865770699</v>
      </c>
      <c r="X52" s="3">
        <f t="shared" si="10"/>
        <v>0.1</v>
      </c>
      <c r="Y52" s="3">
        <f t="shared" si="11"/>
        <v>5.0000000000000001E-4</v>
      </c>
      <c r="Z52" s="3">
        <f t="shared" si="2"/>
        <v>1.2916666666666667</v>
      </c>
      <c r="AA52" s="12">
        <f t="shared" si="28"/>
        <v>1860</v>
      </c>
      <c r="AB52" s="256">
        <f t="shared" si="26"/>
        <v>21.909998308713739</v>
      </c>
      <c r="AC52" s="10">
        <f t="shared" si="33"/>
        <v>21.909998308713739</v>
      </c>
      <c r="AE52" s="12">
        <f t="shared" si="5"/>
        <v>1860</v>
      </c>
      <c r="AF52" s="10">
        <f t="shared" si="34"/>
        <v>12.500000000000002</v>
      </c>
    </row>
    <row r="53" spans="1:32" s="3" customFormat="1" ht="21" customHeight="1" x14ac:dyDescent="0.15">
      <c r="A53" s="54"/>
      <c r="B53" s="54"/>
      <c r="C53" s="55"/>
      <c r="D53" s="181">
        <f t="shared" si="31"/>
        <v>1440</v>
      </c>
      <c r="E53" s="249">
        <f t="shared" si="30"/>
        <v>1</v>
      </c>
      <c r="F53" s="182">
        <f t="shared" si="14"/>
        <v>26.1</v>
      </c>
      <c r="G53" s="182">
        <f t="shared" si="15"/>
        <v>12.500000000000002</v>
      </c>
      <c r="H53" s="384"/>
      <c r="I53" s="384"/>
      <c r="J53" s="384"/>
      <c r="K53" s="3" t="s">
        <v>18</v>
      </c>
      <c r="L53" s="9" t="s">
        <v>18</v>
      </c>
      <c r="V53" s="14">
        <f t="shared" si="8"/>
        <v>55</v>
      </c>
      <c r="W53" s="3">
        <f t="shared" si="9"/>
        <v>1.8147722865770699</v>
      </c>
      <c r="X53" s="3">
        <f t="shared" si="10"/>
        <v>0.1</v>
      </c>
      <c r="Y53" s="3">
        <f t="shared" si="11"/>
        <v>5.0000000000000001E-4</v>
      </c>
      <c r="Z53" s="3">
        <f t="shared" si="2"/>
        <v>1.3333333333333333</v>
      </c>
      <c r="AA53" s="12">
        <f t="shared" si="28"/>
        <v>1920</v>
      </c>
      <c r="AB53" s="256">
        <f t="shared" si="26"/>
        <v>21.909998308713739</v>
      </c>
      <c r="AC53" s="10">
        <f t="shared" ref="AC53:AC69" si="35">AC52</f>
        <v>21.909998308713739</v>
      </c>
      <c r="AE53" s="12">
        <f t="shared" si="5"/>
        <v>1920</v>
      </c>
      <c r="AF53" s="10">
        <f t="shared" si="34"/>
        <v>12.500000000000002</v>
      </c>
    </row>
    <row r="54" spans="1:32" s="3" customFormat="1" ht="21" customHeight="1" x14ac:dyDescent="0.15">
      <c r="A54" s="54"/>
      <c r="B54" s="54"/>
      <c r="C54" s="55"/>
      <c r="D54" s="181">
        <f t="shared" si="31"/>
        <v>1500</v>
      </c>
      <c r="E54" s="249">
        <f t="shared" si="30"/>
        <v>1.0416666666666667</v>
      </c>
      <c r="F54" s="182">
        <f t="shared" si="14"/>
        <v>26.1</v>
      </c>
      <c r="G54" s="182">
        <f t="shared" si="15"/>
        <v>12.500000000000002</v>
      </c>
      <c r="H54" s="384"/>
      <c r="I54" s="384"/>
      <c r="J54" s="384"/>
      <c r="K54" s="3" t="s">
        <v>18</v>
      </c>
      <c r="L54" s="9" t="s">
        <v>18</v>
      </c>
      <c r="V54" s="14">
        <f t="shared" si="8"/>
        <v>55</v>
      </c>
      <c r="W54" s="3">
        <f t="shared" si="9"/>
        <v>1.8147722865770699</v>
      </c>
      <c r="X54" s="3">
        <f t="shared" si="10"/>
        <v>0.1</v>
      </c>
      <c r="Y54" s="3">
        <f t="shared" si="11"/>
        <v>5.0000000000000001E-4</v>
      </c>
      <c r="Z54" s="3">
        <f t="shared" si="2"/>
        <v>1.375</v>
      </c>
      <c r="AA54" s="12">
        <f t="shared" si="28"/>
        <v>1980</v>
      </c>
      <c r="AB54" s="256">
        <f t="shared" si="26"/>
        <v>21.909998308713739</v>
      </c>
      <c r="AC54" s="10">
        <f t="shared" si="35"/>
        <v>21.909998308713739</v>
      </c>
      <c r="AE54" s="12">
        <f t="shared" si="5"/>
        <v>1980</v>
      </c>
      <c r="AF54" s="10">
        <f t="shared" si="34"/>
        <v>12.500000000000002</v>
      </c>
    </row>
    <row r="55" spans="1:32" s="3" customFormat="1" ht="21" customHeight="1" x14ac:dyDescent="0.15">
      <c r="A55" s="54"/>
      <c r="B55" s="54"/>
      <c r="C55" s="55" t="s">
        <v>0</v>
      </c>
      <c r="D55" s="181">
        <f t="shared" si="31"/>
        <v>1560</v>
      </c>
      <c r="E55" s="249">
        <f t="shared" si="30"/>
        <v>1.0833333333333333</v>
      </c>
      <c r="F55" s="182">
        <f t="shared" si="14"/>
        <v>26.1</v>
      </c>
      <c r="G55" s="182">
        <f t="shared" si="15"/>
        <v>12.500000000000002</v>
      </c>
      <c r="H55" s="384"/>
      <c r="I55" s="384"/>
      <c r="J55" s="384"/>
      <c r="K55" s="3" t="s">
        <v>18</v>
      </c>
      <c r="L55" s="9" t="s">
        <v>18</v>
      </c>
      <c r="V55" s="14">
        <f t="shared" si="8"/>
        <v>55</v>
      </c>
      <c r="W55" s="3">
        <f t="shared" si="9"/>
        <v>1.8147722865770699</v>
      </c>
      <c r="X55" s="3">
        <f t="shared" si="10"/>
        <v>0.1</v>
      </c>
      <c r="Y55" s="3">
        <f t="shared" si="11"/>
        <v>5.0000000000000001E-4</v>
      </c>
      <c r="Z55" s="3">
        <f t="shared" si="2"/>
        <v>1.4166666666666667</v>
      </c>
      <c r="AA55" s="12">
        <f t="shared" si="28"/>
        <v>2040</v>
      </c>
      <c r="AB55" s="256">
        <f t="shared" si="26"/>
        <v>21.909998308713739</v>
      </c>
      <c r="AC55" s="10">
        <f t="shared" si="35"/>
        <v>21.909998308713739</v>
      </c>
      <c r="AE55" s="12">
        <f t="shared" si="5"/>
        <v>2040</v>
      </c>
      <c r="AF55" s="10">
        <f t="shared" si="34"/>
        <v>12.500000000000002</v>
      </c>
    </row>
    <row r="56" spans="1:32" s="3" customFormat="1" ht="21.6" customHeight="1" x14ac:dyDescent="0.15">
      <c r="A56" s="54"/>
      <c r="B56" s="54"/>
      <c r="C56" s="55">
        <f>$C$10+D56/1440</f>
        <v>44292.527777777781</v>
      </c>
      <c r="D56" s="181">
        <f t="shared" si="31"/>
        <v>1620</v>
      </c>
      <c r="E56" s="249">
        <f t="shared" si="30"/>
        <v>1.125</v>
      </c>
      <c r="F56" s="182">
        <f t="shared" si="14"/>
        <v>26.1</v>
      </c>
      <c r="G56" s="182">
        <f t="shared" si="15"/>
        <v>12.500000000000002</v>
      </c>
      <c r="H56" s="384"/>
      <c r="I56" s="384"/>
      <c r="J56" s="384"/>
      <c r="K56" s="3" t="s">
        <v>18</v>
      </c>
      <c r="L56" s="9" t="s">
        <v>18</v>
      </c>
      <c r="V56" s="14">
        <f t="shared" si="8"/>
        <v>55</v>
      </c>
      <c r="W56" s="3">
        <f t="shared" si="9"/>
        <v>1.8147722865770699</v>
      </c>
      <c r="X56" s="3">
        <f t="shared" si="10"/>
        <v>0.1</v>
      </c>
      <c r="Y56" s="3">
        <f t="shared" si="11"/>
        <v>5.0000000000000001E-4</v>
      </c>
      <c r="Z56" s="3">
        <f t="shared" si="2"/>
        <v>1.4583333333333333</v>
      </c>
      <c r="AA56" s="12">
        <f t="shared" si="28"/>
        <v>2100</v>
      </c>
      <c r="AB56" s="256">
        <f t="shared" si="26"/>
        <v>21.909998308713739</v>
      </c>
      <c r="AC56" s="10">
        <f t="shared" si="35"/>
        <v>21.909998308713739</v>
      </c>
      <c r="AE56" s="12">
        <f t="shared" si="5"/>
        <v>2100</v>
      </c>
      <c r="AF56" s="10">
        <f t="shared" si="34"/>
        <v>12.500000000000002</v>
      </c>
    </row>
    <row r="57" spans="1:32" s="3" customFormat="1" ht="21.6" customHeight="1" x14ac:dyDescent="0.15">
      <c r="A57" s="54"/>
      <c r="B57" s="54"/>
      <c r="C57" s="55"/>
      <c r="D57" s="181">
        <f t="shared" si="31"/>
        <v>1680</v>
      </c>
      <c r="E57" s="249">
        <f t="shared" si="30"/>
        <v>1.1666666666666667</v>
      </c>
      <c r="F57" s="182">
        <f t="shared" si="14"/>
        <v>26.1</v>
      </c>
      <c r="G57" s="182">
        <f t="shared" si="15"/>
        <v>12.500000000000002</v>
      </c>
      <c r="H57" s="384"/>
      <c r="I57" s="384"/>
      <c r="J57" s="384"/>
      <c r="K57" s="3" t="s">
        <v>18</v>
      </c>
      <c r="L57" s="9" t="s">
        <v>18</v>
      </c>
      <c r="V57" s="14">
        <f t="shared" si="8"/>
        <v>55</v>
      </c>
      <c r="W57" s="3">
        <f t="shared" si="9"/>
        <v>1.8147722865770699</v>
      </c>
      <c r="X57" s="3">
        <f t="shared" si="10"/>
        <v>0.1</v>
      </c>
      <c r="Y57" s="3">
        <f t="shared" si="11"/>
        <v>5.0000000000000001E-4</v>
      </c>
      <c r="Z57" s="3">
        <f t="shared" si="2"/>
        <v>1.5</v>
      </c>
      <c r="AA57" s="12">
        <f t="shared" si="28"/>
        <v>2160</v>
      </c>
      <c r="AB57" s="256">
        <f t="shared" si="26"/>
        <v>21.909998308713739</v>
      </c>
      <c r="AC57" s="10">
        <f t="shared" si="35"/>
        <v>21.909998308713739</v>
      </c>
      <c r="AE57" s="12">
        <f t="shared" si="5"/>
        <v>2160</v>
      </c>
      <c r="AF57" s="10">
        <f t="shared" si="34"/>
        <v>12.500000000000002</v>
      </c>
    </row>
    <row r="58" spans="1:32" s="3" customFormat="1" ht="21.6" customHeight="1" x14ac:dyDescent="0.15">
      <c r="A58" s="54"/>
      <c r="B58" s="54"/>
      <c r="C58" s="55"/>
      <c r="D58" s="181">
        <f t="shared" si="31"/>
        <v>1740</v>
      </c>
      <c r="E58" s="249">
        <f t="shared" si="30"/>
        <v>1.2083333333333333</v>
      </c>
      <c r="F58" s="182">
        <f t="shared" si="14"/>
        <v>26.1</v>
      </c>
      <c r="G58" s="182">
        <f t="shared" si="15"/>
        <v>12.500000000000002</v>
      </c>
      <c r="H58" s="384"/>
      <c r="I58" s="384"/>
      <c r="J58" s="384"/>
      <c r="K58" s="3" t="s">
        <v>18</v>
      </c>
      <c r="L58" s="9" t="s">
        <v>18</v>
      </c>
      <c r="V58" s="14">
        <f t="shared" si="8"/>
        <v>55</v>
      </c>
      <c r="W58" s="3">
        <f t="shared" si="9"/>
        <v>1.8147722865770699</v>
      </c>
      <c r="X58" s="3">
        <f t="shared" si="10"/>
        <v>0.1</v>
      </c>
      <c r="Y58" s="3">
        <f t="shared" si="11"/>
        <v>5.0000000000000001E-4</v>
      </c>
      <c r="Z58" s="3">
        <f t="shared" si="2"/>
        <v>1.5416666666666667</v>
      </c>
      <c r="AA58" s="12">
        <f t="shared" si="28"/>
        <v>2220</v>
      </c>
      <c r="AB58" s="256">
        <f t="shared" si="26"/>
        <v>21.909998308713739</v>
      </c>
      <c r="AC58" s="10">
        <f t="shared" si="35"/>
        <v>21.909998308713739</v>
      </c>
      <c r="AE58" s="12">
        <f t="shared" si="5"/>
        <v>2220</v>
      </c>
      <c r="AF58" s="10">
        <f t="shared" si="34"/>
        <v>12.500000000000002</v>
      </c>
    </row>
    <row r="59" spans="1:32" s="3" customFormat="1" ht="21.6" customHeight="1" x14ac:dyDescent="0.15">
      <c r="A59" s="54"/>
      <c r="B59" s="54"/>
      <c r="C59" s="55"/>
      <c r="D59" s="181">
        <f t="shared" si="31"/>
        <v>1800</v>
      </c>
      <c r="E59" s="249">
        <f t="shared" ref="E59:E74" si="36">D59/1440</f>
        <v>1.25</v>
      </c>
      <c r="F59" s="182">
        <f t="shared" si="14"/>
        <v>26.1</v>
      </c>
      <c r="G59" s="182">
        <f t="shared" si="15"/>
        <v>12.500000000000002</v>
      </c>
      <c r="H59" s="384"/>
      <c r="I59" s="384"/>
      <c r="J59" s="384"/>
      <c r="K59" s="3" t="s">
        <v>18</v>
      </c>
      <c r="L59" s="9" t="s">
        <v>18</v>
      </c>
      <c r="V59" s="14">
        <f t="shared" si="8"/>
        <v>55</v>
      </c>
      <c r="W59" s="3">
        <f t="shared" si="9"/>
        <v>1.8147722865770699</v>
      </c>
      <c r="X59" s="3">
        <f t="shared" si="10"/>
        <v>0.1</v>
      </c>
      <c r="Y59" s="3">
        <f t="shared" si="11"/>
        <v>5.0000000000000001E-4</v>
      </c>
      <c r="Z59" s="3">
        <f t="shared" si="2"/>
        <v>1.5833333333333333</v>
      </c>
      <c r="AA59" s="12">
        <f t="shared" si="28"/>
        <v>2280</v>
      </c>
      <c r="AB59" s="256">
        <f t="shared" si="26"/>
        <v>21.909998308713739</v>
      </c>
      <c r="AC59" s="10">
        <f t="shared" si="35"/>
        <v>21.909998308713739</v>
      </c>
      <c r="AE59" s="12">
        <f t="shared" si="5"/>
        <v>2280</v>
      </c>
      <c r="AF59" s="10">
        <f t="shared" si="34"/>
        <v>12.500000000000002</v>
      </c>
    </row>
    <row r="60" spans="1:32" s="3" customFormat="1" ht="21.6" customHeight="1" x14ac:dyDescent="0.15">
      <c r="A60" s="54"/>
      <c r="B60" s="54"/>
      <c r="C60" s="55"/>
      <c r="D60" s="181">
        <f t="shared" si="31"/>
        <v>1860</v>
      </c>
      <c r="E60" s="249">
        <f t="shared" si="36"/>
        <v>1.2916666666666667</v>
      </c>
      <c r="F60" s="182">
        <f t="shared" si="14"/>
        <v>26.1</v>
      </c>
      <c r="G60" s="182">
        <f t="shared" si="15"/>
        <v>12.500000000000002</v>
      </c>
      <c r="H60" s="384"/>
      <c r="I60" s="384"/>
      <c r="J60" s="384"/>
      <c r="K60" s="3" t="s">
        <v>18</v>
      </c>
      <c r="L60" s="9" t="s">
        <v>18</v>
      </c>
      <c r="V60" s="14">
        <f t="shared" si="8"/>
        <v>55</v>
      </c>
      <c r="W60" s="3">
        <f t="shared" si="9"/>
        <v>1.8147722865770699</v>
      </c>
      <c r="X60" s="3">
        <f t="shared" si="10"/>
        <v>0.1</v>
      </c>
      <c r="Y60" s="3">
        <f t="shared" si="11"/>
        <v>5.0000000000000001E-4</v>
      </c>
      <c r="Z60" s="3">
        <f t="shared" si="2"/>
        <v>1.625</v>
      </c>
      <c r="AA60" s="12">
        <f t="shared" si="28"/>
        <v>2340</v>
      </c>
      <c r="AB60" s="256">
        <f t="shared" si="26"/>
        <v>21.909998308713739</v>
      </c>
      <c r="AC60" s="10">
        <f t="shared" si="35"/>
        <v>21.909998308713739</v>
      </c>
      <c r="AE60" s="12">
        <f t="shared" si="5"/>
        <v>2340</v>
      </c>
      <c r="AF60" s="10">
        <f t="shared" si="34"/>
        <v>12.500000000000002</v>
      </c>
    </row>
    <row r="61" spans="1:32" s="3" customFormat="1" ht="21.6" customHeight="1" x14ac:dyDescent="0.15">
      <c r="A61" s="54"/>
      <c r="B61" s="54"/>
      <c r="C61" s="55">
        <f>$C$10+D61/1440</f>
        <v>44292.736111111117</v>
      </c>
      <c r="D61" s="181">
        <f t="shared" si="31"/>
        <v>1920</v>
      </c>
      <c r="E61" s="249">
        <f t="shared" si="36"/>
        <v>1.3333333333333333</v>
      </c>
      <c r="F61" s="182">
        <f t="shared" si="14"/>
        <v>26.1</v>
      </c>
      <c r="G61" s="182">
        <f t="shared" si="15"/>
        <v>12.500000000000002</v>
      </c>
      <c r="H61" s="384"/>
      <c r="I61" s="384"/>
      <c r="J61" s="384"/>
      <c r="K61" s="3" t="s">
        <v>18</v>
      </c>
      <c r="L61" s="9" t="s">
        <v>18</v>
      </c>
      <c r="V61" s="14">
        <f t="shared" si="8"/>
        <v>55</v>
      </c>
      <c r="W61" s="3">
        <f t="shared" si="9"/>
        <v>1.8147722865770699</v>
      </c>
      <c r="X61" s="3">
        <f t="shared" si="10"/>
        <v>0.1</v>
      </c>
      <c r="Y61" s="3">
        <f t="shared" si="11"/>
        <v>5.0000000000000001E-4</v>
      </c>
      <c r="Z61" s="3">
        <f t="shared" si="2"/>
        <v>1.6666666666666667</v>
      </c>
      <c r="AA61" s="12">
        <f t="shared" si="28"/>
        <v>2400</v>
      </c>
      <c r="AB61" s="256">
        <f t="shared" si="26"/>
        <v>21.909998308713739</v>
      </c>
      <c r="AC61" s="10">
        <f t="shared" si="35"/>
        <v>21.909998308713739</v>
      </c>
      <c r="AE61" s="12">
        <f t="shared" si="5"/>
        <v>2400</v>
      </c>
      <c r="AF61" s="10">
        <f t="shared" si="34"/>
        <v>12.500000000000002</v>
      </c>
    </row>
    <row r="62" spans="1:32" s="3" customFormat="1" ht="21.6" customHeight="1" x14ac:dyDescent="0.15">
      <c r="A62" s="54"/>
      <c r="B62" s="54"/>
      <c r="C62" s="55"/>
      <c r="D62" s="181">
        <f t="shared" si="31"/>
        <v>1980</v>
      </c>
      <c r="E62" s="249">
        <f t="shared" si="36"/>
        <v>1.375</v>
      </c>
      <c r="F62" s="182">
        <f t="shared" si="14"/>
        <v>26.1</v>
      </c>
      <c r="G62" s="182">
        <f t="shared" si="15"/>
        <v>12.500000000000002</v>
      </c>
      <c r="H62" s="384"/>
      <c r="I62" s="384"/>
      <c r="J62" s="384"/>
      <c r="K62" s="3" t="s">
        <v>18</v>
      </c>
      <c r="L62" s="9" t="s">
        <v>18</v>
      </c>
      <c r="V62" s="14">
        <f t="shared" si="8"/>
        <v>55</v>
      </c>
      <c r="W62" s="3">
        <f t="shared" si="9"/>
        <v>1.8147722865770699</v>
      </c>
      <c r="X62" s="3">
        <f t="shared" si="10"/>
        <v>0.1</v>
      </c>
      <c r="Y62" s="3">
        <f t="shared" si="11"/>
        <v>5.0000000000000001E-4</v>
      </c>
      <c r="Z62" s="3">
        <f t="shared" si="2"/>
        <v>1.7083333333333333</v>
      </c>
      <c r="AA62" s="12">
        <f t="shared" si="28"/>
        <v>2460</v>
      </c>
      <c r="AB62" s="256">
        <f t="shared" si="26"/>
        <v>21.909998308713739</v>
      </c>
      <c r="AC62" s="10">
        <f t="shared" si="35"/>
        <v>21.909998308713739</v>
      </c>
      <c r="AE62" s="12">
        <f t="shared" si="5"/>
        <v>2460</v>
      </c>
      <c r="AF62" s="10">
        <f t="shared" si="34"/>
        <v>12.500000000000002</v>
      </c>
    </row>
    <row r="63" spans="1:32" s="3" customFormat="1" ht="21.6" customHeight="1" x14ac:dyDescent="0.15">
      <c r="A63" s="54"/>
      <c r="B63" s="54"/>
      <c r="C63" s="55"/>
      <c r="D63" s="181">
        <f t="shared" ref="D63:D76" si="37">D62+60</f>
        <v>2040</v>
      </c>
      <c r="E63" s="249">
        <f t="shared" si="36"/>
        <v>1.4166666666666667</v>
      </c>
      <c r="F63" s="182">
        <f>F62</f>
        <v>26.1</v>
      </c>
      <c r="G63" s="182">
        <f t="shared" si="15"/>
        <v>12.500000000000002</v>
      </c>
      <c r="H63" s="384"/>
      <c r="I63" s="384"/>
      <c r="J63" s="384"/>
      <c r="K63" s="3" t="s">
        <v>18</v>
      </c>
      <c r="L63" s="9" t="s">
        <v>18</v>
      </c>
      <c r="V63" s="14">
        <f t="shared" si="8"/>
        <v>55</v>
      </c>
      <c r="W63" s="3">
        <f t="shared" si="9"/>
        <v>1.8147722865770699</v>
      </c>
      <c r="X63" s="3">
        <f t="shared" si="10"/>
        <v>0.1</v>
      </c>
      <c r="Y63" s="3">
        <f t="shared" si="11"/>
        <v>5.0000000000000001E-4</v>
      </c>
      <c r="Z63" s="3">
        <f t="shared" si="2"/>
        <v>1.75</v>
      </c>
      <c r="AA63" s="12">
        <f t="shared" si="28"/>
        <v>2520</v>
      </c>
      <c r="AB63" s="256">
        <f t="shared" si="26"/>
        <v>21.909998308713739</v>
      </c>
      <c r="AC63" s="10">
        <f t="shared" si="35"/>
        <v>21.909998308713739</v>
      </c>
      <c r="AE63" s="12">
        <f t="shared" si="5"/>
        <v>2520</v>
      </c>
      <c r="AF63" s="10">
        <f t="shared" si="34"/>
        <v>12.500000000000002</v>
      </c>
    </row>
    <row r="64" spans="1:32" s="3" customFormat="1" ht="21.6" customHeight="1" x14ac:dyDescent="0.15">
      <c r="A64" s="54"/>
      <c r="B64" s="54"/>
      <c r="C64" s="55"/>
      <c r="D64" s="181">
        <f t="shared" si="37"/>
        <v>2100</v>
      </c>
      <c r="E64" s="249">
        <f t="shared" si="36"/>
        <v>1.4583333333333333</v>
      </c>
      <c r="F64" s="182">
        <f t="shared" ref="F64:F77" si="38">F63</f>
        <v>26.1</v>
      </c>
      <c r="G64" s="182">
        <f t="shared" si="15"/>
        <v>12.500000000000002</v>
      </c>
      <c r="H64" s="384"/>
      <c r="I64" s="384"/>
      <c r="J64" s="384"/>
      <c r="K64" s="3" t="s">
        <v>18</v>
      </c>
      <c r="L64" s="9" t="s">
        <v>18</v>
      </c>
      <c r="V64" s="14">
        <f t="shared" si="8"/>
        <v>55</v>
      </c>
      <c r="W64" s="3">
        <f t="shared" si="9"/>
        <v>1.8147722865770699</v>
      </c>
      <c r="X64" s="3">
        <f t="shared" si="10"/>
        <v>0.1</v>
      </c>
      <c r="Y64" s="3">
        <f t="shared" si="11"/>
        <v>5.0000000000000001E-4</v>
      </c>
      <c r="Z64" s="3">
        <f t="shared" si="2"/>
        <v>1.7916666666666667</v>
      </c>
      <c r="AA64" s="12">
        <f t="shared" si="28"/>
        <v>2580</v>
      </c>
      <c r="AB64" s="256">
        <f t="shared" si="26"/>
        <v>21.909998308713739</v>
      </c>
      <c r="AC64" s="10">
        <f t="shared" si="35"/>
        <v>21.909998308713739</v>
      </c>
      <c r="AE64" s="12">
        <f t="shared" si="5"/>
        <v>2580</v>
      </c>
      <c r="AF64" s="10">
        <f t="shared" si="34"/>
        <v>12.500000000000002</v>
      </c>
    </row>
    <row r="65" spans="1:32" s="3" customFormat="1" ht="21.6" customHeight="1" x14ac:dyDescent="0.15">
      <c r="A65" s="54"/>
      <c r="B65" s="54"/>
      <c r="C65" s="55"/>
      <c r="D65" s="181">
        <f t="shared" si="37"/>
        <v>2160</v>
      </c>
      <c r="E65" s="249">
        <f t="shared" si="36"/>
        <v>1.5</v>
      </c>
      <c r="F65" s="182">
        <f t="shared" si="38"/>
        <v>26.1</v>
      </c>
      <c r="G65" s="182">
        <f t="shared" si="15"/>
        <v>12.500000000000002</v>
      </c>
      <c r="H65" s="384"/>
      <c r="I65" s="384"/>
      <c r="J65" s="384"/>
      <c r="K65" s="3" t="s">
        <v>18</v>
      </c>
      <c r="L65" s="9" t="s">
        <v>18</v>
      </c>
      <c r="V65" s="14">
        <f t="shared" si="8"/>
        <v>55</v>
      </c>
      <c r="W65" s="3">
        <f t="shared" si="9"/>
        <v>1.8147722865770699</v>
      </c>
      <c r="X65" s="3">
        <f t="shared" si="10"/>
        <v>0.1</v>
      </c>
      <c r="Y65" s="3">
        <f t="shared" si="11"/>
        <v>5.0000000000000001E-4</v>
      </c>
      <c r="Z65" s="3">
        <f t="shared" si="2"/>
        <v>1.8333333333333333</v>
      </c>
      <c r="AA65" s="12">
        <f t="shared" si="28"/>
        <v>2640</v>
      </c>
      <c r="AB65" s="256">
        <f t="shared" si="26"/>
        <v>21.909998308713739</v>
      </c>
      <c r="AC65" s="10">
        <f t="shared" si="35"/>
        <v>21.909998308713739</v>
      </c>
      <c r="AE65" s="12">
        <f t="shared" si="5"/>
        <v>2640</v>
      </c>
      <c r="AF65" s="10">
        <f t="shared" si="34"/>
        <v>12.500000000000002</v>
      </c>
    </row>
    <row r="66" spans="1:32" s="3" customFormat="1" ht="21.6" customHeight="1" x14ac:dyDescent="0.15">
      <c r="A66" s="54"/>
      <c r="B66" s="54"/>
      <c r="C66" s="55">
        <f>$C$10+D66/1440</f>
        <v>44292.944444444445</v>
      </c>
      <c r="D66" s="181">
        <f t="shared" si="37"/>
        <v>2220</v>
      </c>
      <c r="E66" s="249">
        <f t="shared" si="36"/>
        <v>1.5416666666666667</v>
      </c>
      <c r="F66" s="182">
        <f t="shared" si="38"/>
        <v>26.1</v>
      </c>
      <c r="G66" s="182">
        <f t="shared" si="15"/>
        <v>12.500000000000002</v>
      </c>
      <c r="H66" s="384"/>
      <c r="I66" s="384"/>
      <c r="J66" s="384"/>
      <c r="K66" s="3" t="s">
        <v>18</v>
      </c>
      <c r="L66" s="9" t="s">
        <v>18</v>
      </c>
      <c r="V66" s="14">
        <f t="shared" si="8"/>
        <v>55</v>
      </c>
      <c r="W66" s="3">
        <f t="shared" si="9"/>
        <v>1.8147722865770699</v>
      </c>
      <c r="X66" s="3">
        <f t="shared" si="10"/>
        <v>0.1</v>
      </c>
      <c r="Y66" s="3">
        <f t="shared" si="11"/>
        <v>5.0000000000000001E-4</v>
      </c>
      <c r="Z66" s="3">
        <f t="shared" si="2"/>
        <v>1.875</v>
      </c>
      <c r="AA66" s="12">
        <f t="shared" si="28"/>
        <v>2700</v>
      </c>
      <c r="AB66" s="256">
        <f>AC66+AD$2</f>
        <v>21.909998308713739</v>
      </c>
      <c r="AC66" s="10">
        <f t="shared" si="35"/>
        <v>21.909998308713739</v>
      </c>
      <c r="AE66" s="12">
        <f t="shared" si="5"/>
        <v>2700</v>
      </c>
      <c r="AF66" s="10">
        <f t="shared" si="34"/>
        <v>12.500000000000002</v>
      </c>
    </row>
    <row r="67" spans="1:32" s="3" customFormat="1" ht="21.6" customHeight="1" x14ac:dyDescent="0.15">
      <c r="A67" s="54"/>
      <c r="B67" s="54"/>
      <c r="C67" s="55"/>
      <c r="D67" s="181">
        <f t="shared" si="37"/>
        <v>2280</v>
      </c>
      <c r="E67" s="249">
        <f t="shared" si="36"/>
        <v>1.5833333333333333</v>
      </c>
      <c r="F67" s="182">
        <f t="shared" si="38"/>
        <v>26.1</v>
      </c>
      <c r="G67" s="182">
        <f t="shared" si="15"/>
        <v>12.500000000000002</v>
      </c>
      <c r="H67" s="384"/>
      <c r="I67" s="384"/>
      <c r="J67" s="384"/>
      <c r="K67" s="3" t="s">
        <v>18</v>
      </c>
      <c r="L67" s="9" t="s">
        <v>18</v>
      </c>
      <c r="V67" s="14">
        <f t="shared" si="8"/>
        <v>55</v>
      </c>
      <c r="W67" s="3">
        <f t="shared" si="9"/>
        <v>1.8147722865770699</v>
      </c>
      <c r="X67" s="3">
        <f t="shared" si="10"/>
        <v>0.1</v>
      </c>
      <c r="Y67" s="3">
        <f t="shared" si="11"/>
        <v>5.0000000000000001E-4</v>
      </c>
      <c r="Z67" s="3">
        <f t="shared" ref="Z67:Z79" si="39">E75</f>
        <v>1.9166666666666667</v>
      </c>
      <c r="AA67" s="12">
        <f t="shared" si="28"/>
        <v>2760</v>
      </c>
      <c r="AB67" s="256">
        <f>AC67+AD$2</f>
        <v>21.909998308713739</v>
      </c>
      <c r="AC67" s="10">
        <f t="shared" si="35"/>
        <v>21.909998308713739</v>
      </c>
      <c r="AE67" s="12">
        <f>AA67</f>
        <v>2760</v>
      </c>
      <c r="AF67" s="10">
        <f t="shared" si="34"/>
        <v>12.500000000000002</v>
      </c>
    </row>
    <row r="68" spans="1:32" s="3" customFormat="1" ht="21.6" customHeight="1" x14ac:dyDescent="0.15">
      <c r="A68" s="54"/>
      <c r="B68" s="54"/>
      <c r="C68" s="55" t="s">
        <v>0</v>
      </c>
      <c r="D68" s="181">
        <f t="shared" si="37"/>
        <v>2340</v>
      </c>
      <c r="E68" s="249">
        <f t="shared" si="36"/>
        <v>1.625</v>
      </c>
      <c r="F68" s="182">
        <f t="shared" si="38"/>
        <v>26.1</v>
      </c>
      <c r="G68" s="182">
        <f t="shared" si="15"/>
        <v>12.500000000000002</v>
      </c>
      <c r="H68" s="384"/>
      <c r="I68" s="384"/>
      <c r="J68" s="384"/>
      <c r="K68" s="3" t="s">
        <v>18</v>
      </c>
      <c r="L68" s="9" t="s">
        <v>18</v>
      </c>
      <c r="V68" s="14">
        <f>V67</f>
        <v>55</v>
      </c>
      <c r="W68" s="3">
        <f t="shared" ref="W68:W83" si="40">W$2</f>
        <v>1.8147722865770699</v>
      </c>
      <c r="X68" s="3">
        <f t="shared" ref="X68:X83" si="41">X67</f>
        <v>0.1</v>
      </c>
      <c r="Y68" s="3">
        <f t="shared" ref="Y68:Y83" si="42">Y$2</f>
        <v>5.0000000000000001E-4</v>
      </c>
      <c r="Z68" s="3">
        <f t="shared" si="39"/>
        <v>1.9583333333333333</v>
      </c>
      <c r="AA68" s="12">
        <f t="shared" si="28"/>
        <v>2820</v>
      </c>
      <c r="AB68" s="256">
        <f>AC68+AD$2</f>
        <v>21.909998308713739</v>
      </c>
      <c r="AC68" s="10">
        <f t="shared" si="35"/>
        <v>21.909998308713739</v>
      </c>
      <c r="AE68" s="12">
        <f>AA68</f>
        <v>2820</v>
      </c>
      <c r="AF68" s="10">
        <f t="shared" si="34"/>
        <v>12.500000000000002</v>
      </c>
    </row>
    <row r="69" spans="1:32" s="3" customFormat="1" ht="21.6" customHeight="1" x14ac:dyDescent="0.15">
      <c r="A69" s="54"/>
      <c r="B69" s="54"/>
      <c r="C69" s="55"/>
      <c r="D69" s="181">
        <f t="shared" si="37"/>
        <v>2400</v>
      </c>
      <c r="E69" s="249">
        <f t="shared" si="36"/>
        <v>1.6666666666666667</v>
      </c>
      <c r="F69" s="182">
        <f t="shared" si="38"/>
        <v>26.1</v>
      </c>
      <c r="G69" s="182">
        <f t="shared" si="15"/>
        <v>12.500000000000002</v>
      </c>
      <c r="H69" s="384"/>
      <c r="I69" s="384"/>
      <c r="J69" s="384"/>
      <c r="K69" s="3" t="s">
        <v>18</v>
      </c>
      <c r="L69" s="9" t="s">
        <v>18</v>
      </c>
      <c r="V69" s="14">
        <f>V68</f>
        <v>55</v>
      </c>
      <c r="W69" s="3">
        <f t="shared" si="40"/>
        <v>1.8147722865770699</v>
      </c>
      <c r="X69" s="3">
        <f t="shared" si="41"/>
        <v>0.1</v>
      </c>
      <c r="Y69" s="3">
        <f t="shared" si="42"/>
        <v>5.0000000000000001E-4</v>
      </c>
      <c r="Z69" s="3">
        <f t="shared" si="39"/>
        <v>2</v>
      </c>
      <c r="AA69" s="12">
        <f t="shared" si="28"/>
        <v>2880</v>
      </c>
      <c r="AB69" s="256">
        <f>AC69+AD$2</f>
        <v>21.909998308713739</v>
      </c>
      <c r="AC69" s="10">
        <f t="shared" si="35"/>
        <v>21.909998308713739</v>
      </c>
      <c r="AE69" s="12">
        <f>AA69</f>
        <v>2880</v>
      </c>
      <c r="AF69" s="10">
        <f t="shared" si="34"/>
        <v>12.500000000000002</v>
      </c>
    </row>
    <row r="70" spans="1:32" s="3" customFormat="1" ht="21.6" customHeight="1" x14ac:dyDescent="0.15">
      <c r="A70" s="54"/>
      <c r="B70" s="54"/>
      <c r="C70" s="55"/>
      <c r="D70" s="181">
        <f t="shared" si="37"/>
        <v>2460</v>
      </c>
      <c r="E70" s="249">
        <f t="shared" si="36"/>
        <v>1.7083333333333333</v>
      </c>
      <c r="F70" s="182">
        <f t="shared" si="38"/>
        <v>26.1</v>
      </c>
      <c r="G70" s="182">
        <f t="shared" si="15"/>
        <v>12.500000000000002</v>
      </c>
      <c r="H70" s="384"/>
      <c r="I70" s="384"/>
      <c r="J70" s="384"/>
      <c r="K70" s="3" t="s">
        <v>18</v>
      </c>
      <c r="L70" s="9" t="s">
        <v>18</v>
      </c>
      <c r="V70" s="14"/>
      <c r="W70" s="3">
        <f t="shared" si="40"/>
        <v>1.8147722865770699</v>
      </c>
      <c r="X70" s="3">
        <f t="shared" si="41"/>
        <v>0.1</v>
      </c>
      <c r="Y70" s="3">
        <f t="shared" si="42"/>
        <v>5.0000000000000001E-4</v>
      </c>
      <c r="Z70" s="3">
        <f t="shared" si="39"/>
        <v>6.9444444444444447E-4</v>
      </c>
      <c r="AA70" s="12">
        <f t="shared" si="28"/>
        <v>1</v>
      </c>
      <c r="AB70" s="256"/>
      <c r="AC70" s="10"/>
      <c r="AF70" s="10"/>
    </row>
    <row r="71" spans="1:32" s="3" customFormat="1" ht="21.6" customHeight="1" x14ac:dyDescent="0.15">
      <c r="A71" s="54"/>
      <c r="B71" s="54"/>
      <c r="C71" s="55">
        <f>$C$10+D71/1440</f>
        <v>44293.152777777781</v>
      </c>
      <c r="D71" s="181">
        <f t="shared" si="37"/>
        <v>2520</v>
      </c>
      <c r="E71" s="249">
        <f t="shared" si="36"/>
        <v>1.75</v>
      </c>
      <c r="F71" s="182">
        <f t="shared" si="38"/>
        <v>26.1</v>
      </c>
      <c r="G71" s="182">
        <f t="shared" si="15"/>
        <v>12.500000000000002</v>
      </c>
      <c r="H71" s="384"/>
      <c r="I71" s="384"/>
      <c r="J71" s="384"/>
      <c r="K71" s="3" t="s">
        <v>18</v>
      </c>
      <c r="L71" s="9" t="s">
        <v>18</v>
      </c>
      <c r="V71" s="14"/>
      <c r="W71" s="3">
        <f t="shared" si="40"/>
        <v>1.8147722865770699</v>
      </c>
      <c r="X71" s="3">
        <f t="shared" si="41"/>
        <v>0.1</v>
      </c>
      <c r="Y71" s="3">
        <f t="shared" si="42"/>
        <v>5.0000000000000001E-4</v>
      </c>
      <c r="Z71" s="3">
        <f t="shared" si="39"/>
        <v>1.3888888888888889E-3</v>
      </c>
      <c r="AA71" s="12">
        <f t="shared" si="28"/>
        <v>2</v>
      </c>
      <c r="AB71" s="256"/>
      <c r="AC71" s="10"/>
      <c r="AF71" s="10"/>
    </row>
    <row r="72" spans="1:32" s="3" customFormat="1" ht="21.6" customHeight="1" x14ac:dyDescent="0.15">
      <c r="A72" s="54"/>
      <c r="B72" s="54"/>
      <c r="C72" s="55"/>
      <c r="D72" s="181">
        <f t="shared" si="37"/>
        <v>2580</v>
      </c>
      <c r="E72" s="249">
        <f t="shared" si="36"/>
        <v>1.7916666666666667</v>
      </c>
      <c r="F72" s="182">
        <f t="shared" si="38"/>
        <v>26.1</v>
      </c>
      <c r="G72" s="182">
        <f t="shared" si="15"/>
        <v>12.500000000000002</v>
      </c>
      <c r="H72" s="384"/>
      <c r="I72" s="384"/>
      <c r="J72" s="384"/>
      <c r="K72" s="3" t="s">
        <v>18</v>
      </c>
      <c r="L72" s="9" t="s">
        <v>18</v>
      </c>
      <c r="V72" s="14"/>
      <c r="W72" s="3">
        <f t="shared" si="40"/>
        <v>1.8147722865770699</v>
      </c>
      <c r="X72" s="3">
        <f t="shared" si="41"/>
        <v>0.1</v>
      </c>
      <c r="Y72" s="3">
        <f t="shared" si="42"/>
        <v>5.0000000000000001E-4</v>
      </c>
      <c r="Z72" s="3">
        <f t="shared" si="39"/>
        <v>2.0833333333333333E-3</v>
      </c>
      <c r="AA72" s="12">
        <f t="shared" si="28"/>
        <v>3</v>
      </c>
      <c r="AB72" s="256"/>
      <c r="AC72" s="10"/>
      <c r="AF72" s="10"/>
    </row>
    <row r="73" spans="1:32" s="3" customFormat="1" ht="21.6" customHeight="1" x14ac:dyDescent="0.15">
      <c r="A73" s="54"/>
      <c r="B73" s="54"/>
      <c r="C73" s="55"/>
      <c r="D73" s="181">
        <f t="shared" si="37"/>
        <v>2640</v>
      </c>
      <c r="E73" s="249">
        <f t="shared" si="36"/>
        <v>1.8333333333333333</v>
      </c>
      <c r="F73" s="182">
        <f t="shared" si="38"/>
        <v>26.1</v>
      </c>
      <c r="G73" s="182">
        <f t="shared" si="15"/>
        <v>12.500000000000002</v>
      </c>
      <c r="H73" s="384"/>
      <c r="I73" s="384"/>
      <c r="J73" s="384"/>
      <c r="K73" s="3" t="s">
        <v>18</v>
      </c>
      <c r="L73" s="9" t="s">
        <v>18</v>
      </c>
      <c r="V73" s="14"/>
      <c r="W73" s="3">
        <f t="shared" si="40"/>
        <v>1.8147722865770699</v>
      </c>
      <c r="X73" s="3">
        <f t="shared" si="41"/>
        <v>0.1</v>
      </c>
      <c r="Y73" s="3">
        <f t="shared" si="42"/>
        <v>5.0000000000000001E-4</v>
      </c>
      <c r="Z73" s="3">
        <f t="shared" si="39"/>
        <v>2.7777777777777779E-3</v>
      </c>
      <c r="AA73" s="12">
        <f t="shared" si="28"/>
        <v>4</v>
      </c>
      <c r="AB73" s="256"/>
      <c r="AC73" s="10"/>
      <c r="AF73" s="10"/>
    </row>
    <row r="74" spans="1:32" s="3" customFormat="1" ht="21.6" customHeight="1" x14ac:dyDescent="0.15">
      <c r="A74" s="54"/>
      <c r="B74" s="54"/>
      <c r="C74" s="55"/>
      <c r="D74" s="181">
        <f t="shared" si="37"/>
        <v>2700</v>
      </c>
      <c r="E74" s="249">
        <f t="shared" si="36"/>
        <v>1.875</v>
      </c>
      <c r="F74" s="182">
        <f t="shared" si="38"/>
        <v>26.1</v>
      </c>
      <c r="G74" s="182">
        <f t="shared" si="15"/>
        <v>12.500000000000002</v>
      </c>
      <c r="H74" s="384"/>
      <c r="I74" s="384"/>
      <c r="J74" s="384"/>
      <c r="K74" s="3" t="s">
        <v>18</v>
      </c>
      <c r="L74" s="9" t="s">
        <v>18</v>
      </c>
      <c r="V74" s="14"/>
      <c r="W74" s="3">
        <f t="shared" si="40"/>
        <v>1.8147722865770699</v>
      </c>
      <c r="X74" s="3">
        <f t="shared" si="41"/>
        <v>0.1</v>
      </c>
      <c r="Y74" s="3">
        <f t="shared" si="42"/>
        <v>5.0000000000000001E-4</v>
      </c>
      <c r="Z74" s="3">
        <f t="shared" si="39"/>
        <v>3.472222222222222E-3</v>
      </c>
      <c r="AA74" s="12">
        <f t="shared" si="28"/>
        <v>5</v>
      </c>
      <c r="AB74" s="256"/>
      <c r="AC74" s="10"/>
      <c r="AF74" s="10"/>
    </row>
    <row r="75" spans="1:32" s="3" customFormat="1" ht="21.6" customHeight="1" x14ac:dyDescent="0.15">
      <c r="A75" s="54"/>
      <c r="B75" s="54"/>
      <c r="C75" s="55"/>
      <c r="D75" s="181">
        <f t="shared" si="37"/>
        <v>2760</v>
      </c>
      <c r="E75" s="249">
        <f>D75/1440</f>
        <v>1.9166666666666667</v>
      </c>
      <c r="F75" s="182">
        <f t="shared" si="38"/>
        <v>26.1</v>
      </c>
      <c r="G75" s="182">
        <f>AF67</f>
        <v>12.500000000000002</v>
      </c>
      <c r="H75" s="384"/>
      <c r="I75" s="384"/>
      <c r="J75" s="384"/>
      <c r="K75" s="3" t="s">
        <v>18</v>
      </c>
      <c r="L75" s="9" t="s">
        <v>18</v>
      </c>
      <c r="V75" s="14"/>
      <c r="W75" s="3">
        <f t="shared" si="40"/>
        <v>1.8147722865770699</v>
      </c>
      <c r="X75" s="3">
        <f t="shared" si="41"/>
        <v>0.1</v>
      </c>
      <c r="Y75" s="3">
        <f t="shared" si="42"/>
        <v>5.0000000000000001E-4</v>
      </c>
      <c r="Z75" s="3">
        <f t="shared" si="39"/>
        <v>6.9444444444444441E-3</v>
      </c>
      <c r="AA75" s="12">
        <f t="shared" si="28"/>
        <v>10</v>
      </c>
      <c r="AB75" s="256"/>
      <c r="AC75" s="10"/>
      <c r="AF75" s="10"/>
    </row>
    <row r="76" spans="1:32" s="3" customFormat="1" ht="21.6" customHeight="1" x14ac:dyDescent="0.15">
      <c r="A76" s="54"/>
      <c r="B76" s="54"/>
      <c r="C76" s="55"/>
      <c r="D76" s="181">
        <f t="shared" si="37"/>
        <v>2820</v>
      </c>
      <c r="E76" s="249">
        <f>D76/1440</f>
        <v>1.9583333333333333</v>
      </c>
      <c r="F76" s="182">
        <f t="shared" si="38"/>
        <v>26.1</v>
      </c>
      <c r="G76" s="182">
        <f>AF68</f>
        <v>12.500000000000002</v>
      </c>
      <c r="H76" s="384"/>
      <c r="I76" s="384"/>
      <c r="J76" s="384"/>
      <c r="K76" s="3" t="s">
        <v>18</v>
      </c>
      <c r="L76" s="9" t="s">
        <v>18</v>
      </c>
      <c r="V76" s="14"/>
      <c r="W76" s="3">
        <f t="shared" si="40"/>
        <v>1.8147722865770699</v>
      </c>
      <c r="X76" s="3">
        <f t="shared" si="41"/>
        <v>0.1</v>
      </c>
      <c r="Y76" s="3">
        <f t="shared" si="42"/>
        <v>5.0000000000000001E-4</v>
      </c>
      <c r="Z76" s="3">
        <f t="shared" si="39"/>
        <v>1.0416666666666666E-2</v>
      </c>
      <c r="AA76" s="12">
        <f t="shared" si="28"/>
        <v>15</v>
      </c>
      <c r="AB76" s="256"/>
      <c r="AC76" s="10"/>
      <c r="AF76" s="10"/>
    </row>
    <row r="77" spans="1:32" s="3" customFormat="1" ht="21.6" customHeight="1" x14ac:dyDescent="0.15">
      <c r="A77" s="54"/>
      <c r="B77" s="54"/>
      <c r="C77" s="55">
        <f>$C$10+D77/1440</f>
        <v>44293.402777777781</v>
      </c>
      <c r="D77" s="181">
        <f>D76+60</f>
        <v>2880</v>
      </c>
      <c r="E77" s="249">
        <f>D77/1440</f>
        <v>2</v>
      </c>
      <c r="F77" s="277">
        <f t="shared" si="38"/>
        <v>26.1</v>
      </c>
      <c r="G77" s="182">
        <f>AF69</f>
        <v>12.500000000000002</v>
      </c>
      <c r="H77" s="384" t="s">
        <v>13</v>
      </c>
      <c r="I77" s="384"/>
      <c r="J77" s="384"/>
      <c r="K77" s="3" t="s">
        <v>18</v>
      </c>
      <c r="L77" s="9" t="s">
        <v>18</v>
      </c>
      <c r="V77" s="14"/>
      <c r="W77" s="3">
        <f t="shared" si="40"/>
        <v>1.8147722865770699</v>
      </c>
      <c r="X77" s="3">
        <f t="shared" si="41"/>
        <v>0.1</v>
      </c>
      <c r="Y77" s="3">
        <f t="shared" si="42"/>
        <v>5.0000000000000001E-4</v>
      </c>
      <c r="Z77" s="3">
        <f t="shared" si="39"/>
        <v>1.3888888888888888E-2</v>
      </c>
      <c r="AA77" s="12">
        <f t="shared" si="28"/>
        <v>20</v>
      </c>
      <c r="AB77" s="256"/>
      <c r="AC77" s="10"/>
      <c r="AF77" s="10"/>
    </row>
    <row r="78" spans="1:32" s="3" customFormat="1" ht="20.45" customHeight="1" x14ac:dyDescent="0.15">
      <c r="A78" s="54">
        <v>2</v>
      </c>
      <c r="B78" s="54">
        <v>0</v>
      </c>
      <c r="C78" s="55">
        <f>$C$10+(D78+2880)/1440</f>
        <v>44293.403472222228</v>
      </c>
      <c r="D78" s="181">
        <v>1</v>
      </c>
      <c r="E78" s="249">
        <f t="shared" ref="E78:E101" si="43">D78/1440</f>
        <v>6.9444444444444447E-4</v>
      </c>
      <c r="F78" s="182">
        <f>G78+D$8</f>
        <v>22.376929525318602</v>
      </c>
      <c r="G78" s="182">
        <f>H114</f>
        <v>8.7769295253186019</v>
      </c>
      <c r="H78" s="540" t="s">
        <v>248</v>
      </c>
      <c r="I78" s="540"/>
      <c r="J78" s="540"/>
      <c r="K78" s="3" t="s">
        <v>18</v>
      </c>
      <c r="L78" s="9"/>
      <c r="V78" s="14"/>
      <c r="W78" s="3">
        <f t="shared" si="40"/>
        <v>1.8147722865770699</v>
      </c>
      <c r="X78" s="3">
        <f t="shared" si="41"/>
        <v>0.1</v>
      </c>
      <c r="Y78" s="3">
        <f t="shared" si="42"/>
        <v>5.0000000000000001E-4</v>
      </c>
      <c r="Z78" s="3">
        <f t="shared" si="39"/>
        <v>1.7361111111111112E-2</v>
      </c>
      <c r="AA78" s="12">
        <f t="shared" si="28"/>
        <v>25</v>
      </c>
      <c r="AB78" s="256"/>
      <c r="AC78" s="10"/>
      <c r="AF78" s="10"/>
    </row>
    <row r="79" spans="1:32" s="3" customFormat="1" ht="20.45" customHeight="1" x14ac:dyDescent="0.15">
      <c r="A79" s="54"/>
      <c r="B79" s="54"/>
      <c r="C79" s="54" t="s">
        <v>229</v>
      </c>
      <c r="D79" s="181">
        <v>2</v>
      </c>
      <c r="E79" s="249">
        <f t="shared" si="43"/>
        <v>1.3888888888888889E-3</v>
      </c>
      <c r="F79" s="182">
        <f t="shared" ref="F79:F101" si="44">G79+D$8</f>
        <v>21.73645657282718</v>
      </c>
      <c r="G79" s="182">
        <f>H115</f>
        <v>8.1364565728271785</v>
      </c>
      <c r="H79" s="540"/>
      <c r="I79" s="540"/>
      <c r="J79" s="540"/>
      <c r="K79" s="3" t="s">
        <v>18</v>
      </c>
      <c r="L79" s="9" t="s">
        <v>18</v>
      </c>
      <c r="V79" s="14"/>
      <c r="W79" s="3">
        <f t="shared" si="40"/>
        <v>1.8147722865770699</v>
      </c>
      <c r="X79" s="3">
        <f t="shared" si="41"/>
        <v>0.1</v>
      </c>
      <c r="Y79" s="3">
        <f t="shared" si="42"/>
        <v>5.0000000000000001E-4</v>
      </c>
      <c r="Z79" s="3">
        <f t="shared" si="39"/>
        <v>2.0833333333333332E-2</v>
      </c>
      <c r="AA79" s="12">
        <f t="shared" si="28"/>
        <v>30</v>
      </c>
      <c r="AB79" s="256"/>
      <c r="AC79" s="10"/>
      <c r="AF79" s="10"/>
    </row>
    <row r="80" spans="1:32" s="3" customFormat="1" ht="20.45" customHeight="1" x14ac:dyDescent="0.15">
      <c r="A80" s="54"/>
      <c r="B80" s="54"/>
      <c r="C80" s="55" t="s">
        <v>229</v>
      </c>
      <c r="D80" s="181">
        <v>3</v>
      </c>
      <c r="E80" s="249">
        <f t="shared" si="43"/>
        <v>2.0833333333333333E-3</v>
      </c>
      <c r="F80" s="182">
        <f t="shared" si="44"/>
        <v>21.142720420681453</v>
      </c>
      <c r="G80" s="182">
        <f>H116</f>
        <v>7.5427204206814542</v>
      </c>
      <c r="H80" s="540"/>
      <c r="I80" s="540"/>
      <c r="J80" s="540"/>
      <c r="K80" s="3" t="s">
        <v>18</v>
      </c>
      <c r="L80" s="9" t="s">
        <v>18</v>
      </c>
      <c r="V80" s="14"/>
      <c r="W80" s="3">
        <f t="shared" si="40"/>
        <v>1.8147722865770699</v>
      </c>
      <c r="X80" s="3">
        <f t="shared" si="41"/>
        <v>0.1</v>
      </c>
      <c r="Y80" s="3">
        <f t="shared" si="42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 x14ac:dyDescent="0.15">
      <c r="A81" s="54"/>
      <c r="B81" s="54"/>
      <c r="C81" s="55" t="s">
        <v>229</v>
      </c>
      <c r="D81" s="181">
        <v>4</v>
      </c>
      <c r="E81" s="249">
        <f t="shared" si="43"/>
        <v>2.7777777777777779E-3</v>
      </c>
      <c r="F81" s="182">
        <f t="shared" si="44"/>
        <v>20.592310575904236</v>
      </c>
      <c r="G81" s="182">
        <f>H117</f>
        <v>6.992310575904237</v>
      </c>
      <c r="H81" s="540"/>
      <c r="I81" s="540"/>
      <c r="J81" s="540"/>
      <c r="K81" s="3" t="s">
        <v>18</v>
      </c>
      <c r="L81" s="9" t="s">
        <v>18</v>
      </c>
      <c r="V81" s="14"/>
      <c r="W81" s="3">
        <f t="shared" si="40"/>
        <v>1.8147722865770699</v>
      </c>
      <c r="X81" s="3">
        <f t="shared" si="41"/>
        <v>0.1</v>
      </c>
      <c r="Y81" s="3">
        <f t="shared" si="42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 x14ac:dyDescent="0.15">
      <c r="A82" s="54"/>
      <c r="B82" s="54"/>
      <c r="C82" s="55" t="s">
        <v>229</v>
      </c>
      <c r="D82" s="181">
        <v>5</v>
      </c>
      <c r="E82" s="249">
        <f t="shared" si="43"/>
        <v>3.472222222222222E-3</v>
      </c>
      <c r="F82" s="182">
        <f t="shared" si="44"/>
        <v>20.082065417119757</v>
      </c>
      <c r="G82" s="182">
        <f>H118</f>
        <v>6.482065417119756</v>
      </c>
      <c r="H82" s="540"/>
      <c r="I82" s="540"/>
      <c r="J82" s="540"/>
      <c r="K82" s="3" t="s">
        <v>18</v>
      </c>
      <c r="L82" s="9" t="s">
        <v>18</v>
      </c>
      <c r="V82" s="14"/>
      <c r="W82" s="3">
        <f t="shared" si="40"/>
        <v>1.8147722865770699</v>
      </c>
      <c r="X82" s="3">
        <f t="shared" si="41"/>
        <v>0.1</v>
      </c>
      <c r="Y82" s="3">
        <f t="shared" si="42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 x14ac:dyDescent="0.15">
      <c r="A83" s="54"/>
      <c r="B83" s="54"/>
      <c r="C83" s="55" t="s">
        <v>18</v>
      </c>
      <c r="D83" s="181">
        <v>10</v>
      </c>
      <c r="E83" s="249">
        <f t="shared" si="43"/>
        <v>6.9444444444444441E-3</v>
      </c>
      <c r="F83" s="182">
        <f t="shared" si="44"/>
        <v>18.764062721374568</v>
      </c>
      <c r="G83" s="182">
        <f>H121</f>
        <v>5.1640627213745693</v>
      </c>
      <c r="H83" s="540"/>
      <c r="I83" s="540"/>
      <c r="J83" s="540"/>
      <c r="K83" s="3" t="s">
        <v>18</v>
      </c>
      <c r="L83" s="9" t="s">
        <v>18</v>
      </c>
      <c r="V83" s="14"/>
      <c r="W83" s="3">
        <f t="shared" si="40"/>
        <v>1.8147722865770699</v>
      </c>
      <c r="X83" s="3">
        <f t="shared" si="41"/>
        <v>0.1</v>
      </c>
      <c r="Y83" s="3">
        <f t="shared" si="42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 x14ac:dyDescent="0.15">
      <c r="A84" s="54"/>
      <c r="B84" s="54"/>
      <c r="C84" s="55" t="s">
        <v>230</v>
      </c>
      <c r="D84" s="181">
        <v>15</v>
      </c>
      <c r="E84" s="249">
        <f t="shared" si="43"/>
        <v>1.0416666666666666E-2</v>
      </c>
      <c r="F84" s="182">
        <f t="shared" si="44"/>
        <v>18.509681371508112</v>
      </c>
      <c r="G84" s="182">
        <f>H124</f>
        <v>4.9096813715081113</v>
      </c>
      <c r="H84" s="540"/>
      <c r="I84" s="540"/>
      <c r="J84" s="540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 x14ac:dyDescent="0.15">
      <c r="A85" s="54"/>
      <c r="B85" s="54"/>
      <c r="C85" s="55" t="s">
        <v>18</v>
      </c>
      <c r="D85" s="181">
        <v>20</v>
      </c>
      <c r="E85" s="249">
        <f t="shared" si="43"/>
        <v>1.3888888888888888E-2</v>
      </c>
      <c r="F85" s="182">
        <f t="shared" si="44"/>
        <v>17.819283501489583</v>
      </c>
      <c r="G85" s="182">
        <f>H126</f>
        <v>4.2192835014895822</v>
      </c>
      <c r="H85" s="540"/>
      <c r="I85" s="540"/>
      <c r="J85" s="540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 x14ac:dyDescent="0.15">
      <c r="A86" s="54"/>
      <c r="B86" s="54"/>
      <c r="C86" s="55" t="s">
        <v>230</v>
      </c>
      <c r="D86" s="181">
        <v>25</v>
      </c>
      <c r="E86" s="249">
        <f t="shared" si="43"/>
        <v>1.7361111111111112E-2</v>
      </c>
      <c r="F86" s="182">
        <f t="shared" si="44"/>
        <v>17.511392575192179</v>
      </c>
      <c r="G86" s="182">
        <f t="shared" ref="G86:G92" si="45">H127</f>
        <v>3.911392575192179</v>
      </c>
      <c r="H86" s="540"/>
      <c r="I86" s="540"/>
      <c r="J86" s="540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 x14ac:dyDescent="0.15">
      <c r="A87" s="54"/>
      <c r="B87" s="54"/>
      <c r="C87" s="55" t="s">
        <v>18</v>
      </c>
      <c r="D87" s="181">
        <v>30</v>
      </c>
      <c r="E87" s="249">
        <f t="shared" si="43"/>
        <v>2.0833333333333332E-2</v>
      </c>
      <c r="F87" s="182">
        <f t="shared" si="44"/>
        <v>17.225969165586367</v>
      </c>
      <c r="G87" s="182">
        <f t="shared" si="45"/>
        <v>3.6259691655863664</v>
      </c>
      <c r="H87" s="540"/>
      <c r="I87" s="540"/>
      <c r="J87" s="540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 x14ac:dyDescent="0.15">
      <c r="A88" s="54"/>
      <c r="B88" s="54"/>
      <c r="C88" s="55"/>
      <c r="D88" s="181">
        <v>35</v>
      </c>
      <c r="E88" s="249">
        <f t="shared" si="43"/>
        <v>2.4305555555555556E-2</v>
      </c>
      <c r="F88" s="182">
        <f t="shared" si="44"/>
        <v>17.135533905932739</v>
      </c>
      <c r="G88" s="182">
        <f t="shared" si="45"/>
        <v>3.5355339059327378</v>
      </c>
      <c r="H88" s="540"/>
      <c r="I88" s="540"/>
      <c r="J88" s="540"/>
      <c r="L88" s="9"/>
      <c r="V88" s="14"/>
      <c r="AA88" s="12"/>
      <c r="AB88" s="257"/>
    </row>
    <row r="89" spans="1:32" s="3" customFormat="1" ht="20.45" customHeight="1" x14ac:dyDescent="0.15">
      <c r="A89" s="54"/>
      <c r="B89" s="54"/>
      <c r="C89" s="55"/>
      <c r="D89" s="181">
        <v>40</v>
      </c>
      <c r="E89" s="249">
        <f t="shared" si="43"/>
        <v>2.7777777777777776E-2</v>
      </c>
      <c r="F89" s="182">
        <f t="shared" si="44"/>
        <v>17.047354191159698</v>
      </c>
      <c r="G89" s="182">
        <f t="shared" si="45"/>
        <v>3.4473541911597003</v>
      </c>
      <c r="H89" s="540"/>
      <c r="I89" s="540"/>
      <c r="J89" s="540"/>
      <c r="L89" s="9"/>
      <c r="V89" s="14"/>
      <c r="AA89" s="12"/>
      <c r="AB89" s="257"/>
    </row>
    <row r="90" spans="1:32" s="3" customFormat="1" ht="20.45" customHeight="1" x14ac:dyDescent="0.15">
      <c r="A90" s="54"/>
      <c r="B90" s="54"/>
      <c r="C90" s="55" t="s">
        <v>230</v>
      </c>
      <c r="D90" s="181">
        <v>45</v>
      </c>
      <c r="E90" s="249">
        <f t="shared" si="43"/>
        <v>3.125E-2</v>
      </c>
      <c r="F90" s="182">
        <f t="shared" si="44"/>
        <v>16.961373765745591</v>
      </c>
      <c r="G90" s="182">
        <f t="shared" si="45"/>
        <v>3.3613737657455935</v>
      </c>
      <c r="H90" s="540"/>
      <c r="I90" s="540"/>
      <c r="J90" s="540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 x14ac:dyDescent="0.15">
      <c r="A91" s="54"/>
      <c r="B91" s="54"/>
      <c r="C91" s="55"/>
      <c r="D91" s="181">
        <v>50</v>
      </c>
      <c r="E91" s="249">
        <f t="shared" si="43"/>
        <v>3.4722222222222224E-2</v>
      </c>
      <c r="F91" s="182">
        <f t="shared" si="44"/>
        <v>16.877537777237141</v>
      </c>
      <c r="G91" s="182">
        <f t="shared" si="45"/>
        <v>3.2775377772371419</v>
      </c>
      <c r="H91" s="540"/>
      <c r="I91" s="540"/>
      <c r="J91" s="540"/>
      <c r="L91" s="9"/>
      <c r="V91" s="14"/>
      <c r="AA91" s="12"/>
      <c r="AB91" s="257"/>
    </row>
    <row r="92" spans="1:32" s="3" customFormat="1" ht="20.45" customHeight="1" x14ac:dyDescent="0.15">
      <c r="A92" s="54"/>
      <c r="B92" s="54"/>
      <c r="C92" s="55"/>
      <c r="D92" s="181">
        <v>55</v>
      </c>
      <c r="E92" s="249">
        <f t="shared" si="43"/>
        <v>3.8194444444444448E-2</v>
      </c>
      <c r="F92" s="182">
        <f t="shared" si="44"/>
        <v>16.795792741255546</v>
      </c>
      <c r="G92" s="182">
        <f t="shared" si="45"/>
        <v>3.1957927412555458</v>
      </c>
      <c r="H92" s="540"/>
      <c r="I92" s="540"/>
      <c r="J92" s="540"/>
      <c r="L92" s="9"/>
      <c r="V92" s="14"/>
      <c r="AA92" s="12"/>
      <c r="AB92" s="257"/>
    </row>
    <row r="93" spans="1:32" s="3" customFormat="1" ht="20.45" customHeight="1" x14ac:dyDescent="0.15">
      <c r="A93" s="54"/>
      <c r="B93" s="54"/>
      <c r="C93" s="55">
        <f>$C$10+(D93+2880)/1440</f>
        <v>44293.444444444445</v>
      </c>
      <c r="D93" s="181">
        <v>60</v>
      </c>
      <c r="E93" s="249">
        <f t="shared" si="43"/>
        <v>4.1666666666666664E-2</v>
      </c>
      <c r="F93" s="182">
        <f t="shared" si="44"/>
        <v>16.716086507375344</v>
      </c>
      <c r="G93" s="182">
        <f>H134</f>
        <v>3.116086507375345</v>
      </c>
      <c r="H93" s="540"/>
      <c r="I93" s="540"/>
      <c r="J93" s="540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 x14ac:dyDescent="0.15">
      <c r="A94" s="54"/>
      <c r="B94" s="54"/>
      <c r="C94" s="55"/>
      <c r="D94" s="181">
        <v>75</v>
      </c>
      <c r="E94" s="249">
        <f t="shared" si="43"/>
        <v>5.2083333333333336E-2</v>
      </c>
      <c r="F94" s="182">
        <f t="shared" si="44"/>
        <v>16.638368225854304</v>
      </c>
      <c r="G94" s="182">
        <f>H135</f>
        <v>3.038368225854303</v>
      </c>
      <c r="H94" s="540"/>
      <c r="I94" s="540"/>
      <c r="J94" s="540"/>
      <c r="L94" s="9"/>
      <c r="V94" s="14"/>
      <c r="AA94" s="12"/>
      <c r="AB94" s="257"/>
    </row>
    <row r="95" spans="1:32" s="3" customFormat="1" ht="20.45" customHeight="1" x14ac:dyDescent="0.15">
      <c r="A95" s="54"/>
      <c r="B95" s="54"/>
      <c r="C95" s="55"/>
      <c r="D95" s="181">
        <v>90</v>
      </c>
      <c r="E95" s="249">
        <f t="shared" si="43"/>
        <v>6.25E-2</v>
      </c>
      <c r="F95" s="182">
        <f t="shared" si="44"/>
        <v>16.562588315193086</v>
      </c>
      <c r="G95" s="182">
        <f>H136</f>
        <v>2.9625883151930852</v>
      </c>
      <c r="H95" s="540"/>
      <c r="I95" s="540"/>
      <c r="J95" s="540"/>
      <c r="L95" s="9"/>
      <c r="V95" s="14"/>
      <c r="AA95" s="12"/>
      <c r="AB95" s="257"/>
    </row>
    <row r="96" spans="1:32" s="3" customFormat="1" ht="20.45" customHeight="1" x14ac:dyDescent="0.15">
      <c r="A96" s="54"/>
      <c r="B96" s="54"/>
      <c r="C96" s="55"/>
      <c r="D96" s="181">
        <v>105</v>
      </c>
      <c r="E96" s="249">
        <f t="shared" si="43"/>
        <v>7.2916666666666671E-2</v>
      </c>
      <c r="F96" s="182">
        <f t="shared" si="44"/>
        <v>16.488698430504016</v>
      </c>
      <c r="G96" s="182">
        <f>H137</f>
        <v>2.8886984305040171</v>
      </c>
      <c r="H96" s="540"/>
      <c r="I96" s="540"/>
      <c r="J96" s="540"/>
      <c r="L96" s="9"/>
      <c r="V96" s="14"/>
      <c r="AA96" s="12"/>
      <c r="AB96" s="257"/>
    </row>
    <row r="97" spans="1:28" s="3" customFormat="1" ht="20.45" customHeight="1" x14ac:dyDescent="0.15">
      <c r="A97" s="54"/>
      <c r="B97" s="54"/>
      <c r="C97" s="55">
        <f>$C$10+(D97+2880)/1440</f>
        <v>44293.486111111117</v>
      </c>
      <c r="D97" s="181">
        <v>120</v>
      </c>
      <c r="E97" s="249">
        <f t="shared" si="43"/>
        <v>8.3333333333333329E-2</v>
      </c>
      <c r="F97" s="182">
        <f t="shared" si="44"/>
        <v>16.277903390244756</v>
      </c>
      <c r="G97" s="182">
        <f>H138</f>
        <v>2.6779033902447549</v>
      </c>
      <c r="H97" s="540"/>
      <c r="I97" s="540"/>
      <c r="J97" s="540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 x14ac:dyDescent="0.15">
      <c r="A98" s="54"/>
      <c r="B98" s="54"/>
      <c r="C98" s="55" t="s">
        <v>230</v>
      </c>
      <c r="D98" s="181">
        <v>180</v>
      </c>
      <c r="E98" s="249">
        <f t="shared" si="43"/>
        <v>0.125</v>
      </c>
      <c r="F98" s="182">
        <f t="shared" si="44"/>
        <v>16.211113829339883</v>
      </c>
      <c r="G98" s="182">
        <f>H140</f>
        <v>2.6111138293398835</v>
      </c>
      <c r="H98" s="540"/>
      <c r="I98" s="540"/>
      <c r="J98" s="540"/>
      <c r="K98" s="63"/>
      <c r="L98" s="9" t="s">
        <v>18</v>
      </c>
      <c r="V98" s="14" t="str">
        <f t="shared" ref="V98:V103" si="46">V97</f>
        <v xml:space="preserve"> </v>
      </c>
      <c r="AA98" s="12" t="s">
        <v>23</v>
      </c>
      <c r="AB98" s="257"/>
    </row>
    <row r="99" spans="1:28" s="3" customFormat="1" ht="20.45" customHeight="1" x14ac:dyDescent="0.15">
      <c r="A99" s="54"/>
      <c r="B99" s="54"/>
      <c r="C99" s="55">
        <f>$C$10+(D99+2880)/1440</f>
        <v>44293.569444444445</v>
      </c>
      <c r="D99" s="181">
        <v>240</v>
      </c>
      <c r="E99" s="249">
        <f t="shared" si="43"/>
        <v>0.16666666666666666</v>
      </c>
      <c r="F99" s="182">
        <f t="shared" si="44"/>
        <v>15.843939813401972</v>
      </c>
      <c r="G99" s="182">
        <f>H142</f>
        <v>2.243939813401973</v>
      </c>
      <c r="H99" s="540"/>
      <c r="I99" s="540"/>
      <c r="J99" s="540"/>
      <c r="V99" s="14" t="str">
        <f t="shared" si="46"/>
        <v xml:space="preserve"> </v>
      </c>
      <c r="AA99" s="12" t="s">
        <v>23</v>
      </c>
      <c r="AB99" s="257"/>
    </row>
    <row r="100" spans="1:28" s="3" customFormat="1" ht="20.45" customHeight="1" x14ac:dyDescent="0.15">
      <c r="A100" s="54"/>
      <c r="B100" s="54"/>
      <c r="C100" s="55" t="s">
        <v>230</v>
      </c>
      <c r="D100" s="181">
        <v>300</v>
      </c>
      <c r="E100" s="249">
        <f t="shared" si="43"/>
        <v>0.20833333333333334</v>
      </c>
      <c r="F100" s="182">
        <f t="shared" si="44"/>
        <v>15.5283976935787</v>
      </c>
      <c r="G100" s="182">
        <f>H144</f>
        <v>1.9283976935787015</v>
      </c>
      <c r="H100" s="540"/>
      <c r="I100" s="540"/>
      <c r="J100" s="540"/>
      <c r="V100" s="14" t="str">
        <f t="shared" si="46"/>
        <v xml:space="preserve"> </v>
      </c>
      <c r="AA100" s="12" t="s">
        <v>23</v>
      </c>
      <c r="AB100" s="257"/>
    </row>
    <row r="101" spans="1:28" s="3" customFormat="1" ht="20.45" customHeight="1" x14ac:dyDescent="0.15">
      <c r="A101" s="54"/>
      <c r="B101" s="54"/>
      <c r="C101" s="55">
        <f>$C$10+(D101+2880)/1440</f>
        <v>44293.652777777781</v>
      </c>
      <c r="D101" s="181">
        <v>360</v>
      </c>
      <c r="E101" s="249">
        <f t="shared" si="43"/>
        <v>0.25</v>
      </c>
      <c r="F101" s="277">
        <f t="shared" si="44"/>
        <v>15.257227008669993</v>
      </c>
      <c r="G101" s="242">
        <f>H146</f>
        <v>1.6572270086699934</v>
      </c>
      <c r="H101" s="540"/>
      <c r="I101" s="540"/>
      <c r="J101" s="540"/>
      <c r="V101" s="14" t="str">
        <f t="shared" si="46"/>
        <v xml:space="preserve"> </v>
      </c>
      <c r="AA101" s="12" t="s">
        <v>23</v>
      </c>
      <c r="AB101" s="257"/>
    </row>
    <row r="102" spans="1:28" s="3" customFormat="1" ht="17.25" customHeight="1" x14ac:dyDescent="0.15">
      <c r="D102" s="16"/>
      <c r="V102" s="14" t="str">
        <f t="shared" si="46"/>
        <v xml:space="preserve"> </v>
      </c>
      <c r="AA102" s="12" t="s">
        <v>23</v>
      </c>
      <c r="AB102" s="257"/>
    </row>
    <row r="103" spans="1:28" s="3" customFormat="1" ht="17.25" customHeight="1" x14ac:dyDescent="0.15">
      <c r="D103" s="16"/>
      <c r="V103" s="14" t="str">
        <f t="shared" si="46"/>
        <v xml:space="preserve"> </v>
      </c>
      <c r="AA103" s="12"/>
      <c r="AB103" s="257"/>
    </row>
    <row r="104" spans="1:28" s="3" customFormat="1" ht="17.25" customHeight="1" x14ac:dyDescent="0.15">
      <c r="D104" s="16"/>
      <c r="AA104" s="12"/>
      <c r="AB104" s="257"/>
    </row>
    <row r="105" spans="1:28" s="3" customFormat="1" ht="17.25" customHeight="1" x14ac:dyDescent="0.15">
      <c r="D105" s="16"/>
      <c r="AA105" s="12"/>
      <c r="AB105" s="257"/>
    </row>
    <row r="106" spans="1:28" s="3" customFormat="1" ht="17.25" customHeight="1" x14ac:dyDescent="0.15">
      <c r="AA106" s="12"/>
      <c r="AB106" s="257"/>
    </row>
    <row r="107" spans="1:28" s="3" customFormat="1" ht="17.25" customHeight="1" x14ac:dyDescent="0.15">
      <c r="AA107" s="12"/>
      <c r="AB107" s="257"/>
    </row>
    <row r="108" spans="1:28" s="3" customFormat="1" ht="17.25" customHeight="1" x14ac:dyDescent="0.15">
      <c r="AA108" s="12"/>
      <c r="AB108" s="257"/>
    </row>
    <row r="109" spans="1:28" s="3" customFormat="1" ht="17.25" customHeight="1" x14ac:dyDescent="0.15">
      <c r="AA109" s="12"/>
      <c r="AB109" s="257"/>
    </row>
    <row r="110" spans="1:28" s="3" customFormat="1" ht="17.25" customHeight="1" x14ac:dyDescent="0.15">
      <c r="C110" s="29">
        <v>3</v>
      </c>
      <c r="D110" s="34">
        <f>G77</f>
        <v>12.500000000000002</v>
      </c>
      <c r="F110" s="243" t="s">
        <v>180</v>
      </c>
      <c r="H110" s="245" t="s">
        <v>181</v>
      </c>
      <c r="I110" s="380"/>
      <c r="AA110" s="12"/>
      <c r="AB110" s="257"/>
    </row>
    <row r="111" spans="1:28" s="3" customFormat="1" ht="17.25" hidden="1" customHeight="1" x14ac:dyDescent="0.15">
      <c r="B111" s="3">
        <v>1</v>
      </c>
      <c r="C111" s="3">
        <v>95</v>
      </c>
      <c r="D111" s="33">
        <f>D110</f>
        <v>12.500000000000002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7">D111^E111</f>
        <v>11.017029500645057</v>
      </c>
      <c r="I111" s="381"/>
      <c r="AA111" s="12"/>
      <c r="AB111" s="257"/>
    </row>
    <row r="112" spans="1:28" s="3" customFormat="1" ht="17.25" hidden="1" customHeight="1" x14ac:dyDescent="0.15">
      <c r="B112" s="3">
        <v>2</v>
      </c>
      <c r="C112" s="3">
        <f t="shared" ref="C112:C119" si="48">C111-C$110</f>
        <v>92</v>
      </c>
      <c r="D112" s="35">
        <f>D111</f>
        <v>12.500000000000002</v>
      </c>
      <c r="E112" s="15">
        <f t="shared" ref="E112:E141" si="49">C112/100</f>
        <v>0.92</v>
      </c>
      <c r="F112" s="244"/>
      <c r="G112" s="3">
        <v>2</v>
      </c>
      <c r="H112" s="246">
        <f t="shared" si="47"/>
        <v>10.213091245061637</v>
      </c>
      <c r="I112" s="381"/>
      <c r="J112" s="13">
        <f>H111-H112</f>
        <v>0.8039382555834198</v>
      </c>
      <c r="AA112" s="12"/>
      <c r="AB112" s="257"/>
    </row>
    <row r="113" spans="1:28" s="3" customFormat="1" ht="17.25" hidden="1" customHeight="1" x14ac:dyDescent="0.15">
      <c r="B113" s="3">
        <v>3</v>
      </c>
      <c r="C113" s="3">
        <f t="shared" si="48"/>
        <v>89</v>
      </c>
      <c r="D113" s="35">
        <f t="shared" ref="D113:D146" si="50">D112</f>
        <v>12.500000000000002</v>
      </c>
      <c r="E113" s="15">
        <f t="shared" si="49"/>
        <v>0.89</v>
      </c>
      <c r="F113" s="54" t="s">
        <v>18</v>
      </c>
      <c r="G113" s="3">
        <v>3</v>
      </c>
      <c r="H113" s="246">
        <f t="shared" si="47"/>
        <v>9.4678182330225571</v>
      </c>
      <c r="I113" s="381"/>
      <c r="J113" s="13">
        <f t="shared" ref="J113:J146" si="51">H112-H113</f>
        <v>0.74527301203908003</v>
      </c>
      <c r="AA113" s="12"/>
      <c r="AB113" s="257"/>
    </row>
    <row r="114" spans="1:28" s="3" customFormat="1" ht="17.25" customHeight="1" x14ac:dyDescent="0.15">
      <c r="B114" s="3">
        <v>4</v>
      </c>
      <c r="C114" s="3">
        <f t="shared" si="48"/>
        <v>86</v>
      </c>
      <c r="D114" s="35">
        <f t="shared" si="50"/>
        <v>12.500000000000002</v>
      </c>
      <c r="E114" s="15">
        <f t="shared" si="49"/>
        <v>0.86</v>
      </c>
      <c r="F114" s="244">
        <v>1</v>
      </c>
      <c r="G114" s="36">
        <v>4</v>
      </c>
      <c r="H114" s="247">
        <f t="shared" si="47"/>
        <v>8.7769295253186019</v>
      </c>
      <c r="I114" s="382"/>
      <c r="J114" s="13">
        <f t="shared" si="51"/>
        <v>0.69088870770395516</v>
      </c>
      <c r="AA114" s="12"/>
      <c r="AB114" s="257"/>
    </row>
    <row r="115" spans="1:28" s="3" customFormat="1" ht="17.25" customHeight="1" x14ac:dyDescent="0.15">
      <c r="B115" s="3">
        <v>5</v>
      </c>
      <c r="C115" s="3">
        <f t="shared" si="48"/>
        <v>83</v>
      </c>
      <c r="D115" s="35">
        <f t="shared" si="50"/>
        <v>12.500000000000002</v>
      </c>
      <c r="E115" s="15">
        <f t="shared" si="49"/>
        <v>0.83</v>
      </c>
      <c r="F115" s="244">
        <v>2</v>
      </c>
      <c r="G115" s="36">
        <v>5</v>
      </c>
      <c r="H115" s="247">
        <f t="shared" si="47"/>
        <v>8.1364565728271785</v>
      </c>
      <c r="I115" s="382"/>
      <c r="J115" s="13">
        <f t="shared" si="51"/>
        <v>0.64047295249142344</v>
      </c>
      <c r="AA115" s="12"/>
      <c r="AB115" s="257"/>
    </row>
    <row r="116" spans="1:28" s="3" customFormat="1" ht="17.25" customHeight="1" x14ac:dyDescent="0.15">
      <c r="B116" s="3">
        <v>6</v>
      </c>
      <c r="C116" s="3">
        <f t="shared" si="48"/>
        <v>80</v>
      </c>
      <c r="D116" s="35">
        <f t="shared" si="50"/>
        <v>12.500000000000002</v>
      </c>
      <c r="E116" s="15">
        <f t="shared" si="49"/>
        <v>0.8</v>
      </c>
      <c r="F116" s="244">
        <v>3</v>
      </c>
      <c r="G116" s="36">
        <v>6</v>
      </c>
      <c r="H116" s="247">
        <f t="shared" si="47"/>
        <v>7.5427204206814542</v>
      </c>
      <c r="I116" s="382"/>
      <c r="J116" s="13">
        <f t="shared" si="51"/>
        <v>0.59373615214572428</v>
      </c>
      <c r="AA116" s="12"/>
      <c r="AB116" s="257"/>
    </row>
    <row r="117" spans="1:28" s="3" customFormat="1" ht="17.25" customHeight="1" x14ac:dyDescent="0.15">
      <c r="B117" s="3">
        <v>7</v>
      </c>
      <c r="C117" s="3">
        <f t="shared" si="48"/>
        <v>77</v>
      </c>
      <c r="D117" s="35">
        <f t="shared" si="50"/>
        <v>12.500000000000002</v>
      </c>
      <c r="E117" s="15">
        <f t="shared" si="49"/>
        <v>0.77</v>
      </c>
      <c r="F117" s="244">
        <v>4</v>
      </c>
      <c r="G117" s="36">
        <v>7</v>
      </c>
      <c r="H117" s="247">
        <f t="shared" si="47"/>
        <v>6.992310575904237</v>
      </c>
      <c r="I117" s="382"/>
      <c r="J117" s="13">
        <f t="shared" si="51"/>
        <v>0.55040984477721722</v>
      </c>
      <c r="AA117" s="12"/>
      <c r="AB117" s="257"/>
    </row>
    <row r="118" spans="1:28" s="3" customFormat="1" ht="17.25" customHeight="1" x14ac:dyDescent="0.15">
      <c r="B118" s="3">
        <v>8</v>
      </c>
      <c r="C118" s="3">
        <f t="shared" si="48"/>
        <v>74</v>
      </c>
      <c r="D118" s="35">
        <f t="shared" si="50"/>
        <v>12.500000000000002</v>
      </c>
      <c r="E118" s="15">
        <f t="shared" si="49"/>
        <v>0.74</v>
      </c>
      <c r="F118" s="244">
        <v>5</v>
      </c>
      <c r="G118" s="36">
        <v>8</v>
      </c>
      <c r="H118" s="247">
        <f t="shared" si="47"/>
        <v>6.482065417119756</v>
      </c>
      <c r="I118" s="382"/>
      <c r="J118" s="13">
        <f t="shared" si="51"/>
        <v>0.51024515878448096</v>
      </c>
      <c r="AA118" s="12"/>
      <c r="AB118" s="257"/>
    </row>
    <row r="119" spans="1:28" s="3" customFormat="1" ht="17.25" hidden="1" customHeight="1" x14ac:dyDescent="0.15">
      <c r="B119" s="3">
        <v>9</v>
      </c>
      <c r="C119" s="3">
        <f t="shared" si="48"/>
        <v>71</v>
      </c>
      <c r="D119" s="35">
        <f t="shared" si="50"/>
        <v>12.500000000000002</v>
      </c>
      <c r="E119" s="15">
        <f t="shared" si="49"/>
        <v>0.71</v>
      </c>
      <c r="F119" s="54"/>
      <c r="G119" s="3">
        <v>9</v>
      </c>
      <c r="H119" s="248">
        <f t="shared" si="47"/>
        <v>6.0090540338143255</v>
      </c>
      <c r="I119" s="383"/>
      <c r="J119" s="13">
        <f t="shared" si="51"/>
        <v>0.47301138330543058</v>
      </c>
      <c r="AA119" s="12"/>
      <c r="AB119" s="257"/>
    </row>
    <row r="120" spans="1:28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0"/>
        <v>12.500000000000002</v>
      </c>
      <c r="E120" s="15">
        <f t="shared" si="49"/>
        <v>0.68</v>
      </c>
      <c r="F120" s="54" t="s">
        <v>18</v>
      </c>
      <c r="G120" s="3">
        <v>10</v>
      </c>
      <c r="H120" s="246">
        <f t="shared" si="47"/>
        <v>5.5705593908283619</v>
      </c>
      <c r="I120" s="381"/>
      <c r="J120" s="13">
        <f t="shared" si="51"/>
        <v>0.43849464298596352</v>
      </c>
      <c r="AA120" s="12"/>
      <c r="AB120" s="257"/>
    </row>
    <row r="121" spans="1:28" s="3" customFormat="1" ht="17.25" customHeight="1" x14ac:dyDescent="0.15">
      <c r="B121" s="3">
        <v>11</v>
      </c>
      <c r="C121" s="3">
        <f t="shared" ref="C121:C128" si="52">C120-A$120</f>
        <v>65</v>
      </c>
      <c r="D121" s="35">
        <f t="shared" si="50"/>
        <v>12.500000000000002</v>
      </c>
      <c r="E121" s="15">
        <f t="shared" si="49"/>
        <v>0.65</v>
      </c>
      <c r="F121" s="244">
        <v>10</v>
      </c>
      <c r="G121" s="36">
        <v>12</v>
      </c>
      <c r="H121" s="247">
        <f t="shared" si="47"/>
        <v>5.1640627213745693</v>
      </c>
      <c r="I121" s="382"/>
      <c r="J121" s="13">
        <f t="shared" si="51"/>
        <v>0.40649666945379259</v>
      </c>
      <c r="AA121" s="12"/>
      <c r="AB121" s="257"/>
    </row>
    <row r="122" spans="1:28" s="3" customFormat="1" ht="17.25" hidden="1" customHeight="1" x14ac:dyDescent="0.15">
      <c r="B122" s="3">
        <v>12</v>
      </c>
      <c r="C122" s="3">
        <f t="shared" si="52"/>
        <v>62</v>
      </c>
      <c r="D122" s="35">
        <f t="shared" si="50"/>
        <v>12.500000000000002</v>
      </c>
      <c r="E122" s="15">
        <f t="shared" si="49"/>
        <v>0.62</v>
      </c>
      <c r="F122" s="54"/>
      <c r="G122" s="3">
        <v>14</v>
      </c>
      <c r="H122" s="246">
        <f t="shared" si="47"/>
        <v>4.7872290589338773</v>
      </c>
      <c r="I122" s="381"/>
      <c r="J122" s="13">
        <f t="shared" si="51"/>
        <v>0.37683366244069205</v>
      </c>
      <c r="AA122" s="12"/>
      <c r="AB122" s="257"/>
    </row>
    <row r="123" spans="1:28" s="3" customFormat="1" ht="17.25" hidden="1" customHeight="1" x14ac:dyDescent="0.15">
      <c r="C123" s="3">
        <v>37</v>
      </c>
      <c r="D123" s="35">
        <f t="shared" si="50"/>
        <v>12.500000000000002</v>
      </c>
      <c r="E123" s="15">
        <f t="shared" si="49"/>
        <v>0.37</v>
      </c>
      <c r="F123" s="54"/>
      <c r="G123" s="3">
        <v>15</v>
      </c>
      <c r="H123" s="246">
        <f t="shared" si="47"/>
        <v>2.5459900661863855</v>
      </c>
      <c r="I123" s="381"/>
      <c r="J123" s="13">
        <f t="shared" si="51"/>
        <v>2.2412389927474918</v>
      </c>
      <c r="AA123" s="12"/>
      <c r="AB123" s="257"/>
    </row>
    <row r="124" spans="1:28" s="3" customFormat="1" ht="17.25" customHeight="1" x14ac:dyDescent="0.15">
      <c r="B124" s="3">
        <v>13</v>
      </c>
      <c r="C124" s="3">
        <v>63</v>
      </c>
      <c r="D124" s="35">
        <f t="shared" si="50"/>
        <v>12.500000000000002</v>
      </c>
      <c r="E124" s="15">
        <f t="shared" si="49"/>
        <v>0.63</v>
      </c>
      <c r="F124" s="244">
        <v>15</v>
      </c>
      <c r="G124" s="36">
        <v>16</v>
      </c>
      <c r="H124" s="247">
        <f t="shared" si="47"/>
        <v>4.9096813715081113</v>
      </c>
      <c r="I124" s="382"/>
      <c r="J124" s="13">
        <f t="shared" si="51"/>
        <v>-2.3636913053217259</v>
      </c>
      <c r="AA124" s="12"/>
      <c r="AB124" s="257"/>
    </row>
    <row r="125" spans="1:28" s="3" customFormat="1" ht="17.25" hidden="1" customHeight="1" x14ac:dyDescent="0.15">
      <c r="B125" s="3">
        <v>14</v>
      </c>
      <c r="C125" s="3">
        <f t="shared" si="52"/>
        <v>60</v>
      </c>
      <c r="D125" s="35">
        <f t="shared" si="50"/>
        <v>12.500000000000002</v>
      </c>
      <c r="E125" s="15">
        <f t="shared" si="49"/>
        <v>0.6</v>
      </c>
      <c r="F125" s="54"/>
      <c r="G125" s="3">
        <v>18</v>
      </c>
      <c r="H125" s="246">
        <f t="shared" si="47"/>
        <v>4.5514105075652012</v>
      </c>
      <c r="I125" s="381"/>
      <c r="J125" s="13">
        <f t="shared" si="51"/>
        <v>0.35827086394291019</v>
      </c>
      <c r="AA125" s="12"/>
      <c r="AB125" s="257"/>
    </row>
    <row r="126" spans="1:28" s="3" customFormat="1" ht="17.25" customHeight="1" x14ac:dyDescent="0.15">
      <c r="B126" s="3">
        <v>15</v>
      </c>
      <c r="C126" s="3">
        <f t="shared" si="52"/>
        <v>57</v>
      </c>
      <c r="D126" s="35">
        <f t="shared" si="50"/>
        <v>12.500000000000002</v>
      </c>
      <c r="E126" s="15">
        <f t="shared" si="49"/>
        <v>0.56999999999999995</v>
      </c>
      <c r="F126" s="244">
        <v>20</v>
      </c>
      <c r="G126" s="36">
        <v>20</v>
      </c>
      <c r="H126" s="247">
        <f t="shared" si="47"/>
        <v>4.2192835014895822</v>
      </c>
      <c r="I126" s="382"/>
      <c r="J126" s="13">
        <f t="shared" si="51"/>
        <v>0.33212700607561896</v>
      </c>
      <c r="AA126" s="12"/>
      <c r="AB126" s="257"/>
    </row>
    <row r="127" spans="1:28" s="3" customFormat="1" ht="17.25" customHeight="1" x14ac:dyDescent="0.15">
      <c r="B127" s="3">
        <v>16</v>
      </c>
      <c r="C127" s="3">
        <f t="shared" si="52"/>
        <v>54</v>
      </c>
      <c r="D127" s="35">
        <f t="shared" si="50"/>
        <v>12.500000000000002</v>
      </c>
      <c r="E127" s="15">
        <f t="shared" si="49"/>
        <v>0.54</v>
      </c>
      <c r="F127" s="244">
        <v>25</v>
      </c>
      <c r="G127" s="36">
        <v>25</v>
      </c>
      <c r="H127" s="247">
        <f t="shared" si="47"/>
        <v>3.911392575192179</v>
      </c>
      <c r="I127" s="382"/>
      <c r="J127" s="13">
        <f t="shared" si="51"/>
        <v>0.30789092629740322</v>
      </c>
      <c r="AA127" s="12"/>
      <c r="AB127" s="257"/>
    </row>
    <row r="128" spans="1:28" s="3" customFormat="1" ht="17.25" customHeight="1" x14ac:dyDescent="0.15">
      <c r="B128" s="3">
        <v>17</v>
      </c>
      <c r="C128" s="3">
        <f t="shared" si="52"/>
        <v>51</v>
      </c>
      <c r="D128" s="35">
        <f t="shared" si="50"/>
        <v>12.500000000000002</v>
      </c>
      <c r="E128" s="15">
        <f t="shared" si="49"/>
        <v>0.51</v>
      </c>
      <c r="F128" s="244">
        <v>30</v>
      </c>
      <c r="G128" s="36">
        <v>30</v>
      </c>
      <c r="H128" s="247">
        <f t="shared" si="47"/>
        <v>3.6259691655863664</v>
      </c>
      <c r="I128" s="382"/>
      <c r="J128" s="13">
        <f t="shared" si="51"/>
        <v>0.28542340960581258</v>
      </c>
      <c r="AA128" s="12"/>
      <c r="AB128" s="257"/>
    </row>
    <row r="129" spans="1:28" s="3" customFormat="1" ht="17.25" customHeight="1" x14ac:dyDescent="0.15">
      <c r="C129" s="3">
        <v>50</v>
      </c>
      <c r="D129" s="35">
        <f t="shared" si="50"/>
        <v>12.500000000000002</v>
      </c>
      <c r="E129" s="15">
        <f t="shared" si="49"/>
        <v>0.5</v>
      </c>
      <c r="F129" s="244">
        <v>35</v>
      </c>
      <c r="G129" s="36">
        <v>35</v>
      </c>
      <c r="H129" s="247">
        <f t="shared" si="47"/>
        <v>3.5355339059327378</v>
      </c>
      <c r="I129" s="382"/>
      <c r="J129" s="13">
        <f t="shared" si="51"/>
        <v>9.0435259653628641E-2</v>
      </c>
      <c r="AA129" s="12"/>
      <c r="AB129" s="257"/>
    </row>
    <row r="130" spans="1:28" s="3" customFormat="1" ht="17.25" customHeight="1" x14ac:dyDescent="0.15">
      <c r="C130" s="3">
        <v>49</v>
      </c>
      <c r="D130" s="35">
        <f t="shared" si="50"/>
        <v>12.500000000000002</v>
      </c>
      <c r="E130" s="15">
        <f t="shared" si="49"/>
        <v>0.49</v>
      </c>
      <c r="F130" s="244">
        <v>40</v>
      </c>
      <c r="G130" s="36">
        <v>40</v>
      </c>
      <c r="H130" s="247">
        <f t="shared" si="47"/>
        <v>3.4473541911597003</v>
      </c>
      <c r="I130" s="382"/>
      <c r="J130" s="13">
        <f t="shared" si="51"/>
        <v>8.8179714773037432E-2</v>
      </c>
      <c r="AA130" s="12"/>
      <c r="AB130" s="257"/>
    </row>
    <row r="131" spans="1:28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0"/>
        <v>12.500000000000002</v>
      </c>
      <c r="E131" s="15">
        <f t="shared" si="49"/>
        <v>0.48</v>
      </c>
      <c r="F131" s="244">
        <v>45</v>
      </c>
      <c r="G131" s="36">
        <v>45</v>
      </c>
      <c r="H131" s="247">
        <f t="shared" si="47"/>
        <v>3.3613737657455935</v>
      </c>
      <c r="I131" s="382"/>
      <c r="J131" s="13">
        <f t="shared" si="51"/>
        <v>8.5980425414106776E-2</v>
      </c>
      <c r="AA131" s="12"/>
      <c r="AB131" s="257"/>
    </row>
    <row r="132" spans="1:28" s="3" customFormat="1" ht="17.25" customHeight="1" x14ac:dyDescent="0.15">
      <c r="C132" s="3">
        <v>47</v>
      </c>
      <c r="D132" s="35">
        <f t="shared" si="50"/>
        <v>12.500000000000002</v>
      </c>
      <c r="E132" s="15">
        <f t="shared" si="49"/>
        <v>0.47</v>
      </c>
      <c r="F132" s="244">
        <v>50</v>
      </c>
      <c r="G132" s="36">
        <v>50</v>
      </c>
      <c r="H132" s="247">
        <f t="shared" si="47"/>
        <v>3.2775377772371419</v>
      </c>
      <c r="I132" s="382"/>
      <c r="J132" s="13">
        <f t="shared" si="51"/>
        <v>8.3835988508451642E-2</v>
      </c>
      <c r="AA132" s="12"/>
      <c r="AB132" s="257"/>
    </row>
    <row r="133" spans="1:28" s="3" customFormat="1" ht="17.25" customHeight="1" x14ac:dyDescent="0.15">
      <c r="C133" s="3">
        <v>46</v>
      </c>
      <c r="D133" s="35">
        <f t="shared" si="50"/>
        <v>12.500000000000002</v>
      </c>
      <c r="E133" s="15">
        <f t="shared" si="49"/>
        <v>0.46</v>
      </c>
      <c r="F133" s="244">
        <v>55</v>
      </c>
      <c r="G133" s="36">
        <v>55</v>
      </c>
      <c r="H133" s="247">
        <f t="shared" si="47"/>
        <v>3.1957927412555458</v>
      </c>
      <c r="I133" s="382"/>
      <c r="J133" s="13">
        <f t="shared" si="51"/>
        <v>8.1745035981596104E-2</v>
      </c>
      <c r="AA133" s="12"/>
      <c r="AB133" s="257"/>
    </row>
    <row r="134" spans="1:28" s="3" customFormat="1" ht="17.25" customHeight="1" x14ac:dyDescent="0.15">
      <c r="B134" s="3">
        <v>19</v>
      </c>
      <c r="C134" s="3">
        <f>C131-A$131</f>
        <v>45</v>
      </c>
      <c r="D134" s="35">
        <f t="shared" si="50"/>
        <v>12.500000000000002</v>
      </c>
      <c r="E134" s="15">
        <f t="shared" si="49"/>
        <v>0.45</v>
      </c>
      <c r="F134" s="244">
        <v>60</v>
      </c>
      <c r="G134" s="36">
        <v>60</v>
      </c>
      <c r="H134" s="247">
        <f t="shared" si="47"/>
        <v>3.116086507375345</v>
      </c>
      <c r="I134" s="382"/>
      <c r="J134" s="13">
        <f t="shared" si="51"/>
        <v>7.9706233880200816E-2</v>
      </c>
      <c r="AA134" s="12"/>
      <c r="AB134" s="257"/>
    </row>
    <row r="135" spans="1:28" s="3" customFormat="1" ht="17.25" customHeight="1" x14ac:dyDescent="0.15">
      <c r="C135" s="3">
        <v>44</v>
      </c>
      <c r="D135" s="35">
        <f t="shared" si="50"/>
        <v>12.500000000000002</v>
      </c>
      <c r="E135" s="15">
        <f t="shared" si="49"/>
        <v>0.44</v>
      </c>
      <c r="F135" s="244">
        <v>75</v>
      </c>
      <c r="G135" s="36">
        <v>75</v>
      </c>
      <c r="H135" s="247">
        <f t="shared" si="47"/>
        <v>3.038368225854303</v>
      </c>
      <c r="I135" s="382"/>
      <c r="J135" s="13">
        <f t="shared" si="51"/>
        <v>7.7718281521041988E-2</v>
      </c>
      <c r="AA135" s="12"/>
      <c r="AB135" s="257"/>
    </row>
    <row r="136" spans="1:28" s="3" customFormat="1" ht="17.25" customHeight="1" x14ac:dyDescent="0.15">
      <c r="C136" s="3">
        <v>43</v>
      </c>
      <c r="D136" s="35">
        <f t="shared" si="50"/>
        <v>12.500000000000002</v>
      </c>
      <c r="E136" s="15">
        <f t="shared" si="49"/>
        <v>0.43</v>
      </c>
      <c r="F136" s="244">
        <v>90</v>
      </c>
      <c r="G136" s="36">
        <v>90</v>
      </c>
      <c r="H136" s="247">
        <f t="shared" si="47"/>
        <v>2.9625883151930852</v>
      </c>
      <c r="I136" s="382"/>
      <c r="J136" s="13">
        <f t="shared" si="51"/>
        <v>7.5779910661217809E-2</v>
      </c>
      <c r="AA136" s="12"/>
      <c r="AB136" s="257"/>
    </row>
    <row r="137" spans="1:28" s="3" customFormat="1" ht="17.25" customHeight="1" x14ac:dyDescent="0.15">
      <c r="B137" s="3">
        <v>20</v>
      </c>
      <c r="C137" s="3">
        <f>C134-A$131</f>
        <v>42</v>
      </c>
      <c r="D137" s="35">
        <f t="shared" si="50"/>
        <v>12.500000000000002</v>
      </c>
      <c r="E137" s="15">
        <f t="shared" si="49"/>
        <v>0.42</v>
      </c>
      <c r="F137" s="244">
        <v>105</v>
      </c>
      <c r="G137" s="36">
        <v>105</v>
      </c>
      <c r="H137" s="247">
        <f t="shared" si="47"/>
        <v>2.8886984305040171</v>
      </c>
      <c r="I137" s="382"/>
      <c r="J137" s="13">
        <f t="shared" si="51"/>
        <v>7.3889884689068097E-2</v>
      </c>
      <c r="AA137" s="12"/>
      <c r="AB137" s="257"/>
    </row>
    <row r="138" spans="1:28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0"/>
        <v>12.500000000000002</v>
      </c>
      <c r="E138" s="15">
        <f t="shared" si="49"/>
        <v>0.39</v>
      </c>
      <c r="F138" s="244">
        <v>120</v>
      </c>
      <c r="G138" s="36">
        <v>120</v>
      </c>
      <c r="H138" s="247">
        <f t="shared" si="47"/>
        <v>2.6779033902447549</v>
      </c>
      <c r="I138" s="382"/>
      <c r="J138" s="13">
        <f t="shared" si="51"/>
        <v>0.21079504025926221</v>
      </c>
      <c r="AA138" s="12"/>
      <c r="AB138" s="257"/>
    </row>
    <row r="139" spans="1:28" s="3" customFormat="1" ht="17.25" hidden="1" customHeight="1" x14ac:dyDescent="0.15">
      <c r="C139" s="3">
        <f t="shared" ref="C139:C146" si="53">C138-A$138</f>
        <v>36</v>
      </c>
      <c r="D139" s="35">
        <f t="shared" si="50"/>
        <v>12.500000000000002</v>
      </c>
      <c r="E139" s="15">
        <f t="shared" si="49"/>
        <v>0.36</v>
      </c>
      <c r="F139" s="54"/>
      <c r="G139" s="3">
        <v>150</v>
      </c>
      <c r="H139" s="246">
        <f t="shared" si="47"/>
        <v>2.4824905541396829</v>
      </c>
      <c r="I139" s="381"/>
      <c r="J139" s="13">
        <f t="shared" si="51"/>
        <v>0.19541283610507199</v>
      </c>
      <c r="AA139" s="12"/>
      <c r="AB139" s="257"/>
    </row>
    <row r="140" spans="1:28" s="3" customFormat="1" ht="17.25" customHeight="1" x14ac:dyDescent="0.15">
      <c r="C140" s="3">
        <v>38</v>
      </c>
      <c r="D140" s="35">
        <f t="shared" si="50"/>
        <v>12.500000000000002</v>
      </c>
      <c r="E140" s="15">
        <f t="shared" si="49"/>
        <v>0.38</v>
      </c>
      <c r="F140" s="244">
        <v>180</v>
      </c>
      <c r="G140" s="36">
        <v>180</v>
      </c>
      <c r="H140" s="247">
        <f t="shared" si="47"/>
        <v>2.6111138293398835</v>
      </c>
      <c r="I140" s="382"/>
      <c r="J140" s="13">
        <f t="shared" si="51"/>
        <v>-0.12862327520020056</v>
      </c>
      <c r="AA140" s="12"/>
      <c r="AB140" s="257"/>
    </row>
    <row r="141" spans="1:28" s="3" customFormat="1" ht="17.25" hidden="1" customHeight="1" x14ac:dyDescent="0.15">
      <c r="C141" s="3">
        <f t="shared" si="53"/>
        <v>35</v>
      </c>
      <c r="D141" s="35">
        <f t="shared" si="50"/>
        <v>12.500000000000002</v>
      </c>
      <c r="E141" s="15">
        <f t="shared" si="49"/>
        <v>0.35</v>
      </c>
      <c r="F141" s="54"/>
      <c r="G141" s="3">
        <v>210</v>
      </c>
      <c r="H141" s="246">
        <f t="shared" si="47"/>
        <v>2.4205747827696316</v>
      </c>
      <c r="I141" s="381"/>
      <c r="J141" s="13">
        <f t="shared" si="51"/>
        <v>0.19053904657025189</v>
      </c>
      <c r="AA141" s="12"/>
      <c r="AB141" s="257"/>
    </row>
    <row r="142" spans="1:28" s="3" customFormat="1" ht="17.25" customHeight="1" x14ac:dyDescent="0.15">
      <c r="C142" s="3">
        <f t="shared" si="53"/>
        <v>32</v>
      </c>
      <c r="D142" s="35">
        <f t="shared" si="50"/>
        <v>12.500000000000002</v>
      </c>
      <c r="E142" s="15">
        <f>C142/100</f>
        <v>0.32</v>
      </c>
      <c r="F142" s="244">
        <v>240</v>
      </c>
      <c r="G142" s="36">
        <v>240</v>
      </c>
      <c r="H142" s="247">
        <f t="shared" si="47"/>
        <v>2.243939813401973</v>
      </c>
      <c r="I142" s="382"/>
      <c r="J142" s="13">
        <f t="shared" si="51"/>
        <v>0.17663496936765855</v>
      </c>
      <c r="AA142" s="12"/>
      <c r="AB142" s="257"/>
    </row>
    <row r="143" spans="1:28" s="3" customFormat="1" ht="17.25" hidden="1" customHeight="1" x14ac:dyDescent="0.15">
      <c r="C143" s="3">
        <f t="shared" si="53"/>
        <v>29</v>
      </c>
      <c r="D143" s="35">
        <f t="shared" si="50"/>
        <v>12.500000000000002</v>
      </c>
      <c r="E143" s="15">
        <f>C143/100</f>
        <v>0.28999999999999998</v>
      </c>
      <c r="F143" s="54"/>
      <c r="G143" s="3">
        <v>270</v>
      </c>
      <c r="H143" s="246">
        <f t="shared" si="47"/>
        <v>2.0801943083985655</v>
      </c>
      <c r="I143" s="381"/>
      <c r="J143" s="13">
        <f t="shared" si="51"/>
        <v>0.16374550500340757</v>
      </c>
      <c r="AA143" s="12"/>
      <c r="AB143" s="257"/>
    </row>
    <row r="144" spans="1:28" s="3" customFormat="1" ht="17.25" customHeight="1" x14ac:dyDescent="0.15">
      <c r="C144" s="3">
        <f t="shared" si="53"/>
        <v>26</v>
      </c>
      <c r="D144" s="35">
        <f t="shared" si="50"/>
        <v>12.500000000000002</v>
      </c>
      <c r="E144" s="15">
        <f>C144/100</f>
        <v>0.26</v>
      </c>
      <c r="F144" s="244">
        <v>300</v>
      </c>
      <c r="G144" s="36">
        <v>300</v>
      </c>
      <c r="H144" s="247">
        <f t="shared" si="47"/>
        <v>1.9283976935787015</v>
      </c>
      <c r="I144" s="382"/>
      <c r="J144" s="13">
        <f t="shared" si="51"/>
        <v>0.15179661481986395</v>
      </c>
      <c r="AA144" s="12"/>
      <c r="AB144" s="257"/>
    </row>
    <row r="145" spans="3:28" s="3" customFormat="1" ht="17.25" hidden="1" customHeight="1" x14ac:dyDescent="0.15">
      <c r="C145" s="3">
        <f t="shared" si="53"/>
        <v>23</v>
      </c>
      <c r="D145" s="35">
        <f t="shared" si="50"/>
        <v>12.500000000000002</v>
      </c>
      <c r="E145" s="15">
        <f>C145/100</f>
        <v>0.23</v>
      </c>
      <c r="F145" s="54"/>
      <c r="G145" s="3">
        <v>330</v>
      </c>
      <c r="H145" s="246">
        <f t="shared" si="47"/>
        <v>1.7876780306463314</v>
      </c>
      <c r="I145" s="381"/>
      <c r="J145" s="13">
        <f t="shared" si="51"/>
        <v>0.14071966293237015</v>
      </c>
      <c r="AA145" s="12"/>
      <c r="AB145" s="257"/>
    </row>
    <row r="146" spans="3:28" s="3" customFormat="1" ht="17.25" customHeight="1" x14ac:dyDescent="0.15">
      <c r="C146" s="3">
        <f t="shared" si="53"/>
        <v>20</v>
      </c>
      <c r="D146" s="35">
        <f t="shared" si="50"/>
        <v>12.500000000000002</v>
      </c>
      <c r="E146" s="15">
        <f>C146/100</f>
        <v>0.2</v>
      </c>
      <c r="F146" s="244">
        <v>360</v>
      </c>
      <c r="G146" s="36">
        <v>360</v>
      </c>
      <c r="H146" s="247">
        <f t="shared" si="47"/>
        <v>1.6572270086699934</v>
      </c>
      <c r="I146" s="382"/>
      <c r="J146" s="13">
        <f t="shared" si="51"/>
        <v>0.13045102197633796</v>
      </c>
      <c r="AA146" s="12"/>
      <c r="AB146" s="257"/>
    </row>
    <row r="147" spans="3:28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 x14ac:dyDescent="0.15">
      <c r="AB228" s="257"/>
    </row>
    <row r="229" spans="3:28" s="3" customFormat="1" ht="17.25" customHeight="1" x14ac:dyDescent="0.15">
      <c r="AB229" s="257"/>
    </row>
    <row r="230" spans="3:28" s="3" customFormat="1" ht="17.25" customHeight="1" x14ac:dyDescent="0.15">
      <c r="AB230" s="257"/>
    </row>
    <row r="231" spans="3:28" s="3" customFormat="1" ht="17.25" customHeight="1" x14ac:dyDescent="0.15">
      <c r="AB231" s="257"/>
    </row>
    <row r="232" spans="3:28" s="3" customFormat="1" ht="17.25" customHeight="1" x14ac:dyDescent="0.15">
      <c r="AB232" s="257"/>
    </row>
    <row r="233" spans="3:28" s="3" customFormat="1" ht="17.25" customHeight="1" x14ac:dyDescent="0.15">
      <c r="AB233" s="257"/>
    </row>
    <row r="234" spans="3:28" s="3" customFormat="1" ht="17.25" customHeight="1" x14ac:dyDescent="0.15">
      <c r="AB234" s="257"/>
    </row>
    <row r="235" spans="3:28" s="3" customFormat="1" ht="17.25" customHeight="1" x14ac:dyDescent="0.15">
      <c r="AB235" s="257"/>
    </row>
    <row r="236" spans="3:28" s="3" customFormat="1" ht="17.25" customHeight="1" x14ac:dyDescent="0.15">
      <c r="AB236" s="257"/>
    </row>
    <row r="237" spans="3:28" s="3" customFormat="1" ht="17.25" customHeight="1" x14ac:dyDescent="0.15">
      <c r="AB237" s="257"/>
    </row>
    <row r="238" spans="3:28" s="3" customFormat="1" ht="17.25" customHeight="1" x14ac:dyDescent="0.15">
      <c r="AB238" s="257"/>
    </row>
    <row r="239" spans="3:28" s="3" customFormat="1" ht="17.25" customHeight="1" x14ac:dyDescent="0.15">
      <c r="AB239" s="257"/>
    </row>
    <row r="240" spans="3:28" s="3" customFormat="1" ht="17.25" customHeight="1" x14ac:dyDescent="0.15">
      <c r="AB240" s="257"/>
    </row>
    <row r="241" spans="28:28" s="3" customFormat="1" ht="17.25" customHeight="1" x14ac:dyDescent="0.15">
      <c r="AB241" s="257"/>
    </row>
    <row r="242" spans="28:28" s="3" customFormat="1" ht="17.25" customHeight="1" x14ac:dyDescent="0.15">
      <c r="AB242" s="257"/>
    </row>
    <row r="243" spans="28:28" s="3" customFormat="1" ht="17.25" customHeight="1" x14ac:dyDescent="0.15">
      <c r="AB243" s="257"/>
    </row>
    <row r="244" spans="28:28" s="3" customFormat="1" ht="17.25" customHeight="1" x14ac:dyDescent="0.15">
      <c r="AB244" s="257"/>
    </row>
    <row r="245" spans="28:28" s="3" customFormat="1" ht="17.25" customHeight="1" x14ac:dyDescent="0.15">
      <c r="AB245" s="257"/>
    </row>
    <row r="246" spans="28:28" s="3" customFormat="1" ht="17.25" customHeight="1" x14ac:dyDescent="0.15">
      <c r="AB246" s="257"/>
    </row>
    <row r="247" spans="28:28" s="3" customFormat="1" ht="17.25" customHeight="1" x14ac:dyDescent="0.15">
      <c r="AB247" s="257"/>
    </row>
    <row r="248" spans="28:28" s="3" customFormat="1" ht="17.25" customHeight="1" x14ac:dyDescent="0.15">
      <c r="AB248" s="257"/>
    </row>
    <row r="249" spans="28:28" s="3" customFormat="1" ht="17.25" customHeight="1" x14ac:dyDescent="0.15">
      <c r="AB249" s="257"/>
    </row>
    <row r="250" spans="28:28" s="3" customFormat="1" ht="17.25" customHeight="1" x14ac:dyDescent="0.15">
      <c r="AB250" s="257"/>
    </row>
    <row r="251" spans="28:28" s="3" customFormat="1" ht="17.25" customHeight="1" x14ac:dyDescent="0.15">
      <c r="AB251" s="257"/>
    </row>
    <row r="252" spans="28:28" s="3" customFormat="1" ht="17.25" customHeight="1" x14ac:dyDescent="0.15">
      <c r="AB252" s="257"/>
    </row>
    <row r="253" spans="28:28" s="3" customFormat="1" ht="17.25" customHeight="1" x14ac:dyDescent="0.15">
      <c r="AB253" s="257"/>
    </row>
    <row r="254" spans="28:28" s="3" customFormat="1" ht="17.25" customHeight="1" x14ac:dyDescent="0.15">
      <c r="AB254" s="257"/>
    </row>
    <row r="255" spans="28:28" s="3" customFormat="1" ht="17.25" customHeight="1" x14ac:dyDescent="0.15">
      <c r="AB255" s="257"/>
    </row>
    <row r="256" spans="28:28" s="3" customFormat="1" ht="17.25" customHeight="1" x14ac:dyDescent="0.15">
      <c r="AB256" s="257"/>
    </row>
    <row r="257" spans="28:28" s="3" customFormat="1" ht="17.25" customHeight="1" x14ac:dyDescent="0.15">
      <c r="AB257" s="257"/>
    </row>
    <row r="258" spans="28:28" s="3" customFormat="1" ht="17.25" customHeight="1" x14ac:dyDescent="0.15">
      <c r="AB258" s="257"/>
    </row>
    <row r="259" spans="28:28" s="3" customFormat="1" ht="17.25" customHeight="1" x14ac:dyDescent="0.15">
      <c r="AB259" s="257"/>
    </row>
    <row r="260" spans="28:28" s="3" customFormat="1" ht="17.25" customHeight="1" x14ac:dyDescent="0.15">
      <c r="AB260" s="257"/>
    </row>
    <row r="261" spans="28:28" s="3" customFormat="1" ht="17.25" customHeight="1" x14ac:dyDescent="0.15">
      <c r="AB261" s="257"/>
    </row>
    <row r="262" spans="28:28" s="3" customFormat="1" ht="17.25" customHeight="1" x14ac:dyDescent="0.15">
      <c r="AB262" s="257"/>
    </row>
    <row r="263" spans="28:28" s="3" customFormat="1" ht="17.25" customHeight="1" x14ac:dyDescent="0.15">
      <c r="AB263" s="257"/>
    </row>
    <row r="264" spans="28:28" s="3" customFormat="1" ht="17.25" customHeight="1" x14ac:dyDescent="0.15">
      <c r="AB264" s="257"/>
    </row>
    <row r="265" spans="28:28" s="3" customFormat="1" ht="17.25" customHeight="1" x14ac:dyDescent="0.15">
      <c r="AB265" s="257"/>
    </row>
    <row r="266" spans="28:28" s="3" customFormat="1" ht="17.25" customHeight="1" x14ac:dyDescent="0.15">
      <c r="AB266" s="257"/>
    </row>
    <row r="267" spans="28:28" s="3" customFormat="1" ht="17.25" customHeight="1" x14ac:dyDescent="0.15">
      <c r="AB267" s="257"/>
    </row>
    <row r="268" spans="28:28" s="3" customFormat="1" ht="17.25" customHeight="1" x14ac:dyDescent="0.15">
      <c r="AB268" s="257"/>
    </row>
    <row r="269" spans="28:28" s="3" customFormat="1" ht="17.25" customHeight="1" x14ac:dyDescent="0.15">
      <c r="AB269" s="257"/>
    </row>
    <row r="270" spans="28:28" s="3" customFormat="1" ht="17.25" customHeight="1" x14ac:dyDescent="0.15">
      <c r="AB270" s="257"/>
    </row>
    <row r="271" spans="28:28" s="3" customFormat="1" ht="17.25" customHeight="1" x14ac:dyDescent="0.15">
      <c r="AB271" s="257"/>
    </row>
    <row r="272" spans="28:28" s="3" customFormat="1" ht="17.25" customHeight="1" x14ac:dyDescent="0.15">
      <c r="AB272" s="257"/>
    </row>
    <row r="273" spans="28:28" s="3" customFormat="1" ht="17.25" customHeight="1" x14ac:dyDescent="0.15">
      <c r="AB273" s="257"/>
    </row>
    <row r="274" spans="28:28" s="3" customFormat="1" ht="17.25" customHeight="1" x14ac:dyDescent="0.15">
      <c r="AB274" s="257"/>
    </row>
    <row r="275" spans="28:28" s="3" customFormat="1" ht="17.25" customHeight="1" x14ac:dyDescent="0.15">
      <c r="AB275" s="257"/>
    </row>
    <row r="276" spans="28:28" s="3" customFormat="1" ht="17.25" customHeight="1" x14ac:dyDescent="0.15">
      <c r="AB276" s="257"/>
    </row>
    <row r="277" spans="28:28" s="3" customFormat="1" ht="17.25" customHeight="1" x14ac:dyDescent="0.15">
      <c r="AB277" s="257"/>
    </row>
    <row r="278" spans="28:28" s="3" customFormat="1" ht="17.25" customHeight="1" x14ac:dyDescent="0.15">
      <c r="AB278" s="257"/>
    </row>
    <row r="279" spans="28:28" s="3" customFormat="1" ht="17.25" customHeight="1" x14ac:dyDescent="0.15">
      <c r="AB279" s="257"/>
    </row>
    <row r="280" spans="28:28" s="3" customFormat="1" ht="17.25" customHeight="1" x14ac:dyDescent="0.15">
      <c r="AB280" s="257"/>
    </row>
    <row r="281" spans="28:28" s="3" customFormat="1" ht="17.25" customHeight="1" x14ac:dyDescent="0.15">
      <c r="AB281" s="257"/>
    </row>
    <row r="282" spans="28:28" s="3" customFormat="1" ht="17.25" customHeight="1" x14ac:dyDescent="0.15">
      <c r="AB282" s="257"/>
    </row>
    <row r="283" spans="28:28" s="3" customFormat="1" ht="17.25" customHeight="1" x14ac:dyDescent="0.15">
      <c r="AB283" s="257"/>
    </row>
    <row r="284" spans="28:28" s="3" customFormat="1" ht="17.25" customHeight="1" x14ac:dyDescent="0.15">
      <c r="AB284" s="257"/>
    </row>
    <row r="285" spans="28:28" s="3" customFormat="1" ht="17.25" customHeight="1" x14ac:dyDescent="0.15">
      <c r="AB285" s="257"/>
    </row>
    <row r="286" spans="28:28" s="3" customFormat="1" ht="17.25" customHeight="1" x14ac:dyDescent="0.15">
      <c r="AB286" s="257"/>
    </row>
    <row r="287" spans="28:28" s="3" customFormat="1" ht="17.25" customHeight="1" x14ac:dyDescent="0.15">
      <c r="AB287" s="257"/>
    </row>
    <row r="288" spans="28:28" s="3" customFormat="1" ht="17.25" customHeight="1" x14ac:dyDescent="0.15">
      <c r="AB288" s="257"/>
    </row>
    <row r="289" spans="28:28" s="3" customFormat="1" ht="17.25" customHeight="1" x14ac:dyDescent="0.15">
      <c r="AB289" s="257"/>
    </row>
    <row r="290" spans="28:28" s="3" customFormat="1" ht="17.25" customHeight="1" x14ac:dyDescent="0.15">
      <c r="AB290" s="257"/>
    </row>
    <row r="291" spans="28:28" s="3" customFormat="1" ht="17.25" customHeight="1" x14ac:dyDescent="0.15">
      <c r="AB291" s="257"/>
    </row>
    <row r="292" spans="28:28" s="3" customFormat="1" ht="17.25" customHeight="1" x14ac:dyDescent="0.15">
      <c r="AB292" s="257"/>
    </row>
    <row r="293" spans="28:28" s="3" customFormat="1" ht="17.25" customHeight="1" x14ac:dyDescent="0.15">
      <c r="AB293" s="257"/>
    </row>
    <row r="294" spans="28:28" s="3" customFormat="1" ht="17.25" customHeight="1" x14ac:dyDescent="0.15">
      <c r="AB294" s="257"/>
    </row>
    <row r="295" spans="28:28" s="3" customFormat="1" ht="17.25" customHeight="1" x14ac:dyDescent="0.15">
      <c r="AB295" s="257"/>
    </row>
    <row r="296" spans="28:28" s="3" customFormat="1" ht="17.25" customHeight="1" x14ac:dyDescent="0.15">
      <c r="AB296" s="257"/>
    </row>
    <row r="297" spans="28:28" s="3" customFormat="1" ht="17.25" customHeight="1" x14ac:dyDescent="0.15">
      <c r="AB297" s="257"/>
    </row>
    <row r="298" spans="28:28" s="3" customFormat="1" ht="17.25" customHeight="1" x14ac:dyDescent="0.15">
      <c r="AB298" s="257"/>
    </row>
    <row r="299" spans="28:28" s="3" customFormat="1" ht="17.25" customHeight="1" x14ac:dyDescent="0.15">
      <c r="AB299" s="257"/>
    </row>
    <row r="300" spans="28:28" s="3" customFormat="1" ht="17.25" customHeight="1" x14ac:dyDescent="0.15">
      <c r="AB300" s="257"/>
    </row>
    <row r="301" spans="28:28" s="3" customFormat="1" ht="17.25" customHeight="1" x14ac:dyDescent="0.15">
      <c r="AB301" s="257"/>
    </row>
    <row r="302" spans="28:28" s="3" customFormat="1" ht="17.25" customHeight="1" x14ac:dyDescent="0.15">
      <c r="AB302" s="257"/>
    </row>
    <row r="303" spans="28:28" s="3" customFormat="1" ht="17.25" customHeight="1" x14ac:dyDescent="0.15">
      <c r="AB303" s="257"/>
    </row>
    <row r="304" spans="28:28" s="3" customFormat="1" ht="17.25" customHeight="1" x14ac:dyDescent="0.15">
      <c r="AB304" s="257"/>
    </row>
    <row r="305" spans="28:28" s="3" customFormat="1" ht="17.25" customHeight="1" x14ac:dyDescent="0.15">
      <c r="AB305" s="257"/>
    </row>
    <row r="306" spans="28:28" s="3" customFormat="1" ht="17.25" customHeight="1" x14ac:dyDescent="0.15">
      <c r="AB306" s="257"/>
    </row>
    <row r="307" spans="28:28" s="3" customFormat="1" ht="17.25" customHeight="1" x14ac:dyDescent="0.15">
      <c r="AB307" s="257"/>
    </row>
    <row r="308" spans="28:28" s="3" customFormat="1" ht="17.25" customHeight="1" x14ac:dyDescent="0.15">
      <c r="AB308" s="257"/>
    </row>
    <row r="309" spans="28:28" s="3" customFormat="1" ht="17.25" customHeight="1" x14ac:dyDescent="0.15">
      <c r="AB309" s="257"/>
    </row>
    <row r="310" spans="28:28" s="3" customFormat="1" ht="17.25" customHeight="1" x14ac:dyDescent="0.15">
      <c r="AB310" s="257"/>
    </row>
    <row r="311" spans="28:28" s="3" customFormat="1" ht="17.25" customHeight="1" x14ac:dyDescent="0.15">
      <c r="AB311" s="257"/>
    </row>
    <row r="312" spans="28:28" s="3" customFormat="1" ht="17.25" customHeight="1" x14ac:dyDescent="0.15">
      <c r="AB312" s="257"/>
    </row>
    <row r="313" spans="28:28" s="3" customFormat="1" ht="17.25" customHeight="1" x14ac:dyDescent="0.15">
      <c r="AB313" s="257"/>
    </row>
    <row r="314" spans="28:28" s="3" customFormat="1" ht="17.25" customHeight="1" x14ac:dyDescent="0.15">
      <c r="AB314" s="257"/>
    </row>
    <row r="315" spans="28:28" s="3" customFormat="1" ht="17.25" customHeight="1" x14ac:dyDescent="0.15">
      <c r="AB315" s="257"/>
    </row>
    <row r="316" spans="28:28" s="3" customFormat="1" ht="17.25" customHeight="1" x14ac:dyDescent="0.15">
      <c r="AB316" s="257"/>
    </row>
    <row r="317" spans="28:28" s="3" customFormat="1" ht="17.25" customHeight="1" x14ac:dyDescent="0.15">
      <c r="AB317" s="257"/>
    </row>
    <row r="318" spans="28:28" s="3" customFormat="1" ht="17.25" customHeight="1" x14ac:dyDescent="0.15">
      <c r="AB318" s="257"/>
    </row>
    <row r="319" spans="28:28" s="3" customFormat="1" ht="17.25" customHeight="1" x14ac:dyDescent="0.15">
      <c r="AB319" s="257"/>
    </row>
    <row r="320" spans="28:28" s="3" customFormat="1" ht="17.25" customHeight="1" x14ac:dyDescent="0.15">
      <c r="AB320" s="257"/>
    </row>
    <row r="321" spans="28:28" s="3" customFormat="1" ht="17.25" customHeight="1" x14ac:dyDescent="0.15">
      <c r="AB321" s="257"/>
    </row>
    <row r="322" spans="28:28" s="3" customFormat="1" ht="17.25" customHeight="1" x14ac:dyDescent="0.15">
      <c r="AB322" s="257"/>
    </row>
    <row r="323" spans="28:28" s="3" customFormat="1" ht="17.25" customHeight="1" x14ac:dyDescent="0.15">
      <c r="AB323" s="257"/>
    </row>
    <row r="324" spans="28:28" s="3" customFormat="1" ht="17.25" customHeight="1" x14ac:dyDescent="0.15">
      <c r="AB324" s="257"/>
    </row>
    <row r="325" spans="28:28" s="3" customFormat="1" ht="17.25" customHeight="1" x14ac:dyDescent="0.15">
      <c r="AB325" s="257"/>
    </row>
    <row r="326" spans="28:28" s="3" customFormat="1" ht="17.25" customHeight="1" x14ac:dyDescent="0.15">
      <c r="AB326" s="257"/>
    </row>
    <row r="327" spans="28:28" s="3" customFormat="1" ht="17.25" customHeight="1" x14ac:dyDescent="0.15">
      <c r="AB327" s="257"/>
    </row>
    <row r="328" spans="28:28" s="3" customFormat="1" ht="17.25" customHeight="1" x14ac:dyDescent="0.15">
      <c r="AB328" s="257"/>
    </row>
    <row r="329" spans="28:28" s="3" customFormat="1" ht="17.25" customHeight="1" x14ac:dyDescent="0.15">
      <c r="AB329" s="257"/>
    </row>
    <row r="330" spans="28:28" s="3" customFormat="1" ht="17.25" customHeight="1" x14ac:dyDescent="0.15">
      <c r="AB330" s="257"/>
    </row>
    <row r="331" spans="28:28" s="3" customFormat="1" ht="17.25" customHeight="1" x14ac:dyDescent="0.15">
      <c r="AB331" s="257"/>
    </row>
    <row r="332" spans="28:28" s="3" customFormat="1" ht="17.25" customHeight="1" x14ac:dyDescent="0.15">
      <c r="AB332" s="257"/>
    </row>
    <row r="333" spans="28:28" s="3" customFormat="1" ht="17.25" customHeight="1" x14ac:dyDescent="0.15">
      <c r="AB333" s="257"/>
    </row>
    <row r="334" spans="28:28" s="3" customFormat="1" ht="17.25" customHeight="1" x14ac:dyDescent="0.15">
      <c r="AB334" s="257"/>
    </row>
    <row r="335" spans="28:28" s="3" customFormat="1" ht="17.25" customHeight="1" x14ac:dyDescent="0.15">
      <c r="AB335" s="257"/>
    </row>
    <row r="336" spans="28:28" s="3" customFormat="1" ht="17.25" customHeight="1" x14ac:dyDescent="0.15">
      <c r="AB336" s="257"/>
    </row>
    <row r="337" spans="28:28" s="3" customFormat="1" ht="17.25" customHeight="1" x14ac:dyDescent="0.15">
      <c r="AB337" s="257"/>
    </row>
    <row r="338" spans="28:28" s="3" customFormat="1" ht="17.25" customHeight="1" x14ac:dyDescent="0.15">
      <c r="AB338" s="257"/>
    </row>
    <row r="339" spans="28:28" s="3" customFormat="1" ht="17.25" customHeight="1" x14ac:dyDescent="0.15">
      <c r="AB339" s="257"/>
    </row>
    <row r="340" spans="28:28" s="3" customFormat="1" ht="17.25" customHeight="1" x14ac:dyDescent="0.15">
      <c r="AB340" s="257"/>
    </row>
    <row r="341" spans="28:28" s="3" customFormat="1" ht="17.25" customHeight="1" x14ac:dyDescent="0.15">
      <c r="AB341" s="257"/>
    </row>
    <row r="342" spans="28:28" s="3" customFormat="1" ht="17.25" customHeight="1" x14ac:dyDescent="0.15">
      <c r="AB342" s="257"/>
    </row>
    <row r="343" spans="28:28" s="3" customFormat="1" ht="17.25" customHeight="1" x14ac:dyDescent="0.15">
      <c r="AB343" s="257"/>
    </row>
    <row r="344" spans="28:28" s="3" customFormat="1" ht="17.25" customHeight="1" x14ac:dyDescent="0.15">
      <c r="AB344" s="257"/>
    </row>
    <row r="345" spans="28:28" s="3" customFormat="1" ht="17.25" customHeight="1" x14ac:dyDescent="0.15">
      <c r="AB345" s="257"/>
    </row>
    <row r="346" spans="28:28" s="3" customFormat="1" ht="17.25" customHeight="1" x14ac:dyDescent="0.15">
      <c r="AB346" s="257"/>
    </row>
    <row r="347" spans="28:28" s="3" customFormat="1" ht="17.25" customHeight="1" x14ac:dyDescent="0.15">
      <c r="AB347" s="257"/>
    </row>
    <row r="348" spans="28:28" s="3" customFormat="1" ht="17.25" customHeight="1" x14ac:dyDescent="0.15">
      <c r="AB348" s="257"/>
    </row>
    <row r="349" spans="28:28" s="3" customFormat="1" ht="17.25" customHeight="1" x14ac:dyDescent="0.15">
      <c r="AB349" s="257"/>
    </row>
    <row r="350" spans="28:28" s="3" customFormat="1" ht="17.25" customHeight="1" x14ac:dyDescent="0.15">
      <c r="AB350" s="257"/>
    </row>
    <row r="351" spans="28:28" s="3" customFormat="1" ht="17.25" customHeight="1" x14ac:dyDescent="0.15">
      <c r="AB351" s="257"/>
    </row>
    <row r="352" spans="28:28" s="3" customFormat="1" ht="17.25" customHeight="1" x14ac:dyDescent="0.15">
      <c r="AB352" s="257"/>
    </row>
    <row r="353" spans="28:28" s="3" customFormat="1" ht="17.25" customHeight="1" x14ac:dyDescent="0.15">
      <c r="AB353" s="257"/>
    </row>
    <row r="354" spans="28:28" s="3" customFormat="1" ht="17.25" customHeight="1" x14ac:dyDescent="0.15">
      <c r="AB354" s="257"/>
    </row>
    <row r="355" spans="28:28" s="3" customFormat="1" ht="17.25" customHeight="1" x14ac:dyDescent="0.15">
      <c r="AB355" s="257"/>
    </row>
    <row r="356" spans="28:28" s="3" customFormat="1" ht="17.25" customHeight="1" x14ac:dyDescent="0.15">
      <c r="AB356" s="257"/>
    </row>
    <row r="357" spans="28:28" s="3" customFormat="1" ht="17.25" customHeight="1" x14ac:dyDescent="0.15">
      <c r="AB357" s="257"/>
    </row>
    <row r="358" spans="28:28" s="3" customFormat="1" ht="17.25" customHeight="1" x14ac:dyDescent="0.15">
      <c r="AB358" s="257"/>
    </row>
    <row r="359" spans="28:28" s="3" customFormat="1" ht="17.25" customHeight="1" x14ac:dyDescent="0.15">
      <c r="AB359" s="257"/>
    </row>
    <row r="360" spans="28:28" s="3" customFormat="1" ht="17.25" customHeight="1" x14ac:dyDescent="0.15">
      <c r="AB360" s="257"/>
    </row>
    <row r="361" spans="28:28" s="3" customFormat="1" ht="17.25" customHeight="1" x14ac:dyDescent="0.15">
      <c r="AB361" s="257"/>
    </row>
    <row r="362" spans="28:28" s="3" customFormat="1" ht="17.25" customHeight="1" x14ac:dyDescent="0.15">
      <c r="AB362" s="257"/>
    </row>
    <row r="363" spans="28:28" s="3" customFormat="1" ht="17.25" customHeight="1" x14ac:dyDescent="0.15">
      <c r="AB363" s="257"/>
    </row>
    <row r="364" spans="28:28" s="3" customFormat="1" ht="17.25" customHeight="1" x14ac:dyDescent="0.15">
      <c r="AB364" s="257"/>
    </row>
    <row r="365" spans="28:28" s="3" customFormat="1" ht="17.25" customHeight="1" x14ac:dyDescent="0.15">
      <c r="AB365" s="257"/>
    </row>
    <row r="366" spans="28:28" s="3" customFormat="1" ht="17.25" customHeight="1" x14ac:dyDescent="0.15">
      <c r="AB366" s="257"/>
    </row>
    <row r="367" spans="28:28" s="3" customFormat="1" ht="17.25" customHeight="1" x14ac:dyDescent="0.15">
      <c r="AB367" s="257"/>
    </row>
    <row r="368" spans="28:28" s="3" customFormat="1" ht="17.25" customHeight="1" x14ac:dyDescent="0.15">
      <c r="AB368" s="257"/>
    </row>
    <row r="369" spans="28:28" s="3" customFormat="1" ht="17.25" customHeight="1" x14ac:dyDescent="0.15">
      <c r="AB369" s="257"/>
    </row>
    <row r="370" spans="28:28" s="3" customFormat="1" ht="17.25" customHeight="1" x14ac:dyDescent="0.15">
      <c r="AB370" s="257"/>
    </row>
    <row r="371" spans="28:28" s="3" customFormat="1" ht="17.25" customHeight="1" x14ac:dyDescent="0.15">
      <c r="AB371" s="257"/>
    </row>
    <row r="372" spans="28:28" s="3" customFormat="1" ht="17.25" customHeight="1" x14ac:dyDescent="0.15">
      <c r="AB372" s="257"/>
    </row>
    <row r="373" spans="28:28" s="3" customFormat="1" ht="17.25" customHeight="1" x14ac:dyDescent="0.15">
      <c r="AB373" s="257"/>
    </row>
    <row r="374" spans="28:28" s="3" customFormat="1" ht="17.25" customHeight="1" x14ac:dyDescent="0.15">
      <c r="AB374" s="257"/>
    </row>
    <row r="375" spans="28:28" s="3" customFormat="1" ht="17.25" customHeight="1" x14ac:dyDescent="0.15">
      <c r="AB375" s="257"/>
    </row>
    <row r="376" spans="28:28" s="3" customFormat="1" ht="17.25" customHeight="1" x14ac:dyDescent="0.15">
      <c r="AB376" s="257"/>
    </row>
    <row r="377" spans="28:28" s="3" customFormat="1" ht="17.25" customHeight="1" x14ac:dyDescent="0.15">
      <c r="AB377" s="257"/>
    </row>
    <row r="378" spans="28:28" s="3" customFormat="1" ht="17.25" customHeight="1" x14ac:dyDescent="0.15">
      <c r="AB378" s="257"/>
    </row>
    <row r="379" spans="28:28" s="3" customFormat="1" ht="17.25" customHeight="1" x14ac:dyDescent="0.15">
      <c r="AB379" s="257"/>
    </row>
    <row r="380" spans="28:28" s="3" customFormat="1" ht="17.25" customHeight="1" x14ac:dyDescent="0.15">
      <c r="AB380" s="257"/>
    </row>
    <row r="381" spans="28:28" s="3" customFormat="1" ht="17.25" customHeight="1" x14ac:dyDescent="0.15">
      <c r="AB381" s="257"/>
    </row>
    <row r="382" spans="28:28" s="3" customFormat="1" ht="17.25" customHeight="1" x14ac:dyDescent="0.15">
      <c r="AB382" s="257"/>
    </row>
    <row r="383" spans="28:28" s="3" customFormat="1" ht="17.25" customHeight="1" x14ac:dyDescent="0.15">
      <c r="AB383" s="257"/>
    </row>
    <row r="384" spans="28:28" s="3" customFormat="1" ht="17.25" customHeight="1" x14ac:dyDescent="0.15">
      <c r="AB384" s="257"/>
    </row>
    <row r="385" spans="28:28" s="3" customFormat="1" ht="17.25" customHeight="1" x14ac:dyDescent="0.15">
      <c r="AB385" s="257"/>
    </row>
    <row r="386" spans="28:28" s="3" customFormat="1" ht="17.25" customHeight="1" x14ac:dyDescent="0.15">
      <c r="AB386" s="257"/>
    </row>
    <row r="387" spans="28:28" s="3" customFormat="1" ht="17.25" customHeight="1" x14ac:dyDescent="0.15">
      <c r="AB387" s="257"/>
    </row>
    <row r="388" spans="28:28" s="3" customFormat="1" ht="17.25" customHeight="1" x14ac:dyDescent="0.15">
      <c r="AB388" s="257"/>
    </row>
    <row r="389" spans="28:28" s="3" customFormat="1" ht="17.25" customHeight="1" x14ac:dyDescent="0.15">
      <c r="AB389" s="257"/>
    </row>
    <row r="390" spans="28:28" s="3" customFormat="1" ht="17.25" customHeight="1" x14ac:dyDescent="0.15">
      <c r="AB390" s="257"/>
    </row>
    <row r="391" spans="28:28" s="3" customFormat="1" ht="17.25" customHeight="1" x14ac:dyDescent="0.15">
      <c r="AB391" s="257"/>
    </row>
    <row r="392" spans="28:28" s="3" customFormat="1" ht="17.25" customHeight="1" x14ac:dyDescent="0.15">
      <c r="AB392" s="257"/>
    </row>
    <row r="393" spans="28:28" s="3" customFormat="1" ht="17.25" customHeight="1" x14ac:dyDescent="0.15">
      <c r="AB393" s="257"/>
    </row>
    <row r="394" spans="28:28" s="3" customFormat="1" ht="17.25" customHeight="1" x14ac:dyDescent="0.15">
      <c r="AB394" s="257"/>
    </row>
    <row r="395" spans="28:28" s="3" customFormat="1" ht="17.25" customHeight="1" x14ac:dyDescent="0.15">
      <c r="AB395" s="257"/>
    </row>
    <row r="396" spans="28:28" s="3" customFormat="1" ht="17.25" customHeight="1" x14ac:dyDescent="0.15">
      <c r="AB396" s="257"/>
    </row>
    <row r="397" spans="28:28" s="3" customFormat="1" ht="17.25" customHeight="1" x14ac:dyDescent="0.15">
      <c r="AB397" s="257"/>
    </row>
    <row r="398" spans="28:28" s="3" customFormat="1" ht="17.25" customHeight="1" x14ac:dyDescent="0.15">
      <c r="AB398" s="257"/>
    </row>
    <row r="399" spans="28:28" s="3" customFormat="1" ht="17.25" customHeight="1" x14ac:dyDescent="0.15">
      <c r="AB399" s="257"/>
    </row>
    <row r="400" spans="28:28" s="3" customFormat="1" ht="17.25" customHeight="1" x14ac:dyDescent="0.15">
      <c r="AB400" s="257"/>
    </row>
    <row r="401" spans="28:28" s="3" customFormat="1" ht="17.25" customHeight="1" x14ac:dyDescent="0.15">
      <c r="AB401" s="257"/>
    </row>
    <row r="402" spans="28:28" s="3" customFormat="1" ht="17.25" customHeight="1" x14ac:dyDescent="0.15">
      <c r="AB402" s="257"/>
    </row>
    <row r="403" spans="28:28" s="3" customFormat="1" ht="17.25" customHeight="1" x14ac:dyDescent="0.15">
      <c r="AB403" s="257"/>
    </row>
    <row r="404" spans="28:28" s="3" customFormat="1" ht="17.25" customHeight="1" x14ac:dyDescent="0.15">
      <c r="AB404" s="257"/>
    </row>
    <row r="405" spans="28:28" s="3" customFormat="1" ht="17.25" customHeight="1" x14ac:dyDescent="0.15">
      <c r="AB405" s="257"/>
    </row>
    <row r="406" spans="28:28" s="3" customFormat="1" ht="17.25" customHeight="1" x14ac:dyDescent="0.15">
      <c r="AB406" s="257"/>
    </row>
    <row r="407" spans="28:28" s="3" customFormat="1" ht="17.25" customHeight="1" x14ac:dyDescent="0.15">
      <c r="AB407" s="257"/>
    </row>
    <row r="408" spans="28:28" s="3" customFormat="1" ht="17.25" customHeight="1" x14ac:dyDescent="0.15">
      <c r="AB408" s="257"/>
    </row>
    <row r="409" spans="28:28" s="3" customFormat="1" ht="17.25" customHeight="1" x14ac:dyDescent="0.15">
      <c r="AB409" s="257"/>
    </row>
    <row r="410" spans="28:28" s="3" customFormat="1" ht="17.25" customHeight="1" x14ac:dyDescent="0.15">
      <c r="AB410" s="257"/>
    </row>
    <row r="411" spans="28:28" s="3" customFormat="1" ht="17.25" customHeight="1" x14ac:dyDescent="0.15">
      <c r="AB411" s="257"/>
    </row>
    <row r="412" spans="28:28" s="3" customFormat="1" ht="17.25" customHeight="1" x14ac:dyDescent="0.15">
      <c r="AB412" s="257"/>
    </row>
    <row r="413" spans="28:28" s="3" customFormat="1" ht="17.25" customHeight="1" x14ac:dyDescent="0.15">
      <c r="AB413" s="257"/>
    </row>
    <row r="414" spans="28:28" s="3" customFormat="1" ht="17.25" customHeight="1" x14ac:dyDescent="0.15">
      <c r="AB414" s="257"/>
    </row>
    <row r="415" spans="28:28" s="3" customFormat="1" ht="17.25" customHeight="1" x14ac:dyDescent="0.15">
      <c r="AB415" s="257"/>
    </row>
    <row r="416" spans="28:28" s="3" customFormat="1" ht="17.25" customHeight="1" x14ac:dyDescent="0.15">
      <c r="AB416" s="257"/>
    </row>
    <row r="417" spans="28:28" s="3" customFormat="1" ht="17.25" customHeight="1" x14ac:dyDescent="0.15">
      <c r="AB417" s="257"/>
    </row>
    <row r="418" spans="28:28" s="3" customFormat="1" ht="17.25" customHeight="1" x14ac:dyDescent="0.15">
      <c r="AB418" s="257"/>
    </row>
    <row r="419" spans="28:28" s="3" customFormat="1" ht="17.25" customHeight="1" x14ac:dyDescent="0.15">
      <c r="AB419" s="257"/>
    </row>
    <row r="420" spans="28:28" s="3" customFormat="1" ht="17.25" customHeight="1" x14ac:dyDescent="0.15">
      <c r="AB420" s="257"/>
    </row>
    <row r="421" spans="28:28" s="3" customFormat="1" ht="17.25" customHeight="1" x14ac:dyDescent="0.15">
      <c r="AB421" s="257"/>
    </row>
    <row r="422" spans="28:28" s="3" customFormat="1" ht="17.25" customHeight="1" x14ac:dyDescent="0.15">
      <c r="AB422" s="257"/>
    </row>
    <row r="423" spans="28:28" s="3" customFormat="1" ht="17.25" customHeight="1" x14ac:dyDescent="0.15">
      <c r="AB423" s="257"/>
    </row>
    <row r="424" spans="28:28" s="3" customFormat="1" ht="17.25" customHeight="1" x14ac:dyDescent="0.15">
      <c r="AB424" s="257"/>
    </row>
    <row r="425" spans="28:28" s="3" customFormat="1" ht="17.25" customHeight="1" x14ac:dyDescent="0.15">
      <c r="AB425" s="257"/>
    </row>
    <row r="426" spans="28:28" s="3" customFormat="1" ht="17.25" customHeight="1" x14ac:dyDescent="0.15">
      <c r="AB426" s="257"/>
    </row>
    <row r="427" spans="28:28" s="3" customFormat="1" ht="17.25" customHeight="1" x14ac:dyDescent="0.15">
      <c r="AB427" s="257"/>
    </row>
    <row r="428" spans="28:28" s="3" customFormat="1" ht="17.25" customHeight="1" x14ac:dyDescent="0.15">
      <c r="AB428" s="257"/>
    </row>
    <row r="429" spans="28:28" s="3" customFormat="1" ht="17.25" customHeight="1" x14ac:dyDescent="0.15">
      <c r="AB429" s="257"/>
    </row>
    <row r="430" spans="28:28" s="3" customFormat="1" ht="17.25" customHeight="1" x14ac:dyDescent="0.15">
      <c r="AB430" s="257"/>
    </row>
    <row r="431" spans="28:28" s="3" customFormat="1" ht="17.25" customHeight="1" x14ac:dyDescent="0.15">
      <c r="AB431" s="257"/>
    </row>
    <row r="432" spans="28:28" s="3" customFormat="1" ht="17.25" customHeight="1" x14ac:dyDescent="0.15">
      <c r="AB432" s="257"/>
    </row>
    <row r="433" spans="28:28" s="3" customFormat="1" ht="17.25" customHeight="1" x14ac:dyDescent="0.15">
      <c r="AB433" s="257"/>
    </row>
    <row r="434" spans="28:28" s="3" customFormat="1" ht="17.25" customHeight="1" x14ac:dyDescent="0.15">
      <c r="AB434" s="257"/>
    </row>
    <row r="435" spans="28:28" s="3" customFormat="1" ht="17.25" customHeight="1" x14ac:dyDescent="0.15">
      <c r="AB435" s="257"/>
    </row>
    <row r="436" spans="28:28" s="3" customFormat="1" ht="17.25" customHeight="1" x14ac:dyDescent="0.15">
      <c r="AB436" s="257"/>
    </row>
    <row r="437" spans="28:28" s="3" customFormat="1" ht="17.25" customHeight="1" x14ac:dyDescent="0.15">
      <c r="AB437" s="257"/>
    </row>
    <row r="438" spans="28:28" s="3" customFormat="1" ht="17.25" customHeight="1" x14ac:dyDescent="0.15">
      <c r="AB438" s="257"/>
    </row>
    <row r="439" spans="28:28" s="3" customFormat="1" ht="17.25" customHeight="1" x14ac:dyDescent="0.15">
      <c r="AB439" s="257"/>
    </row>
    <row r="440" spans="28:28" s="3" customFormat="1" ht="17.25" customHeight="1" x14ac:dyDescent="0.15">
      <c r="AB440" s="257"/>
    </row>
    <row r="441" spans="28:28" s="3" customFormat="1" ht="17.25" customHeight="1" x14ac:dyDescent="0.15">
      <c r="AB441" s="257"/>
    </row>
    <row r="442" spans="28:28" s="3" customFormat="1" ht="17.25" customHeight="1" x14ac:dyDescent="0.15">
      <c r="AB442" s="257"/>
    </row>
    <row r="443" spans="28:28" s="3" customFormat="1" ht="17.25" customHeight="1" x14ac:dyDescent="0.15">
      <c r="AB443" s="257"/>
    </row>
    <row r="444" spans="28:28" s="3" customFormat="1" ht="17.25" customHeight="1" x14ac:dyDescent="0.15">
      <c r="AB444" s="257"/>
    </row>
    <row r="445" spans="28:28" s="3" customFormat="1" ht="17.25" customHeight="1" x14ac:dyDescent="0.15">
      <c r="AB445" s="257"/>
    </row>
    <row r="446" spans="28:28" s="3" customFormat="1" ht="17.25" customHeight="1" x14ac:dyDescent="0.15">
      <c r="AB446" s="257"/>
    </row>
    <row r="447" spans="28:28" s="3" customFormat="1" ht="17.25" customHeight="1" x14ac:dyDescent="0.15">
      <c r="AB447" s="257"/>
    </row>
    <row r="448" spans="28:28" s="3" customFormat="1" ht="17.25" customHeight="1" x14ac:dyDescent="0.15">
      <c r="AB448" s="257"/>
    </row>
    <row r="449" spans="28:28" s="3" customFormat="1" ht="17.25" customHeight="1" x14ac:dyDescent="0.15">
      <c r="AB449" s="257"/>
    </row>
    <row r="450" spans="28:28" s="3" customFormat="1" ht="17.25" customHeight="1" x14ac:dyDescent="0.15">
      <c r="AB450" s="257"/>
    </row>
    <row r="451" spans="28:28" s="3" customFormat="1" ht="17.25" customHeight="1" x14ac:dyDescent="0.15">
      <c r="AB451" s="257"/>
    </row>
    <row r="452" spans="28:28" s="3" customFormat="1" ht="17.25" customHeight="1" x14ac:dyDescent="0.15">
      <c r="AB452" s="257"/>
    </row>
    <row r="453" spans="28:28" s="3" customFormat="1" ht="17.25" customHeight="1" x14ac:dyDescent="0.15">
      <c r="AB453" s="257"/>
    </row>
    <row r="454" spans="28:28" s="3" customFormat="1" ht="17.25" customHeight="1" x14ac:dyDescent="0.15">
      <c r="AB454" s="257"/>
    </row>
    <row r="455" spans="28:28" s="3" customFormat="1" ht="17.25" customHeight="1" x14ac:dyDescent="0.15">
      <c r="AB455" s="257"/>
    </row>
    <row r="456" spans="28:28" s="3" customFormat="1" ht="17.25" customHeight="1" x14ac:dyDescent="0.15">
      <c r="AB456" s="257"/>
    </row>
    <row r="457" spans="28:28" s="3" customFormat="1" x14ac:dyDescent="0.15">
      <c r="AB457" s="257"/>
    </row>
    <row r="458" spans="28:28" s="3" customFormat="1" x14ac:dyDescent="0.15">
      <c r="AB458" s="257"/>
    </row>
    <row r="459" spans="28:28" s="3" customFormat="1" x14ac:dyDescent="0.15">
      <c r="AB459" s="257"/>
    </row>
    <row r="460" spans="28:28" s="3" customFormat="1" x14ac:dyDescent="0.15">
      <c r="AB460" s="257"/>
    </row>
    <row r="461" spans="28:28" s="3" customFormat="1" x14ac:dyDescent="0.15">
      <c r="AB461" s="257"/>
    </row>
    <row r="462" spans="28:28" s="3" customFormat="1" x14ac:dyDescent="0.15">
      <c r="AB462" s="257"/>
    </row>
    <row r="463" spans="28:28" s="3" customFormat="1" x14ac:dyDescent="0.15">
      <c r="AB463" s="257"/>
    </row>
    <row r="464" spans="28:28" s="3" customFormat="1" x14ac:dyDescent="0.15">
      <c r="AB464" s="257"/>
    </row>
    <row r="465" spans="28:28" s="3" customFormat="1" x14ac:dyDescent="0.15">
      <c r="AB465" s="257"/>
    </row>
    <row r="466" spans="28:28" s="3" customFormat="1" x14ac:dyDescent="0.15">
      <c r="AB466" s="257"/>
    </row>
    <row r="467" spans="28:28" s="3" customFormat="1" x14ac:dyDescent="0.15">
      <c r="AB467" s="257"/>
    </row>
    <row r="468" spans="28:28" s="3" customFormat="1" x14ac:dyDescent="0.15">
      <c r="AB468" s="257"/>
    </row>
    <row r="469" spans="28:28" s="3" customFormat="1" x14ac:dyDescent="0.15">
      <c r="AB469" s="257"/>
    </row>
    <row r="470" spans="28:28" s="3" customFormat="1" x14ac:dyDescent="0.15">
      <c r="AB470" s="257"/>
    </row>
    <row r="471" spans="28:28" s="3" customFormat="1" x14ac:dyDescent="0.15">
      <c r="AB471" s="257"/>
    </row>
    <row r="472" spans="28:28" s="3" customFormat="1" x14ac:dyDescent="0.15">
      <c r="AB472" s="257"/>
    </row>
    <row r="473" spans="28:28" s="3" customFormat="1" x14ac:dyDescent="0.15">
      <c r="AB473" s="257"/>
    </row>
    <row r="474" spans="28:28" s="3" customFormat="1" x14ac:dyDescent="0.15">
      <c r="AB474" s="257"/>
    </row>
    <row r="475" spans="28:28" s="3" customFormat="1" x14ac:dyDescent="0.15">
      <c r="AB475" s="257"/>
    </row>
    <row r="476" spans="28:28" s="3" customFormat="1" x14ac:dyDescent="0.15">
      <c r="AB476" s="257"/>
    </row>
    <row r="477" spans="28:28" s="3" customFormat="1" x14ac:dyDescent="0.15">
      <c r="AB477" s="257"/>
    </row>
    <row r="478" spans="28:28" s="3" customFormat="1" x14ac:dyDescent="0.15">
      <c r="AB478" s="257"/>
    </row>
    <row r="479" spans="28:28" s="3" customFormat="1" x14ac:dyDescent="0.15">
      <c r="AB479" s="257"/>
    </row>
    <row r="480" spans="28:28" s="3" customFormat="1" x14ac:dyDescent="0.15">
      <c r="AB480" s="257"/>
    </row>
    <row r="481" spans="28:28" s="3" customFormat="1" x14ac:dyDescent="0.15">
      <c r="AB481" s="257"/>
    </row>
    <row r="482" spans="28:28" s="3" customFormat="1" x14ac:dyDescent="0.15">
      <c r="AB482" s="257"/>
    </row>
    <row r="483" spans="28:28" s="3" customFormat="1" x14ac:dyDescent="0.15">
      <c r="AB483" s="257"/>
    </row>
    <row r="484" spans="28:28" s="3" customFormat="1" x14ac:dyDescent="0.15">
      <c r="AB484" s="257"/>
    </row>
    <row r="485" spans="28:28" s="3" customFormat="1" x14ac:dyDescent="0.15">
      <c r="AB485" s="257"/>
    </row>
    <row r="486" spans="28:28" s="3" customFormat="1" x14ac:dyDescent="0.15">
      <c r="AB486" s="257"/>
    </row>
    <row r="487" spans="28:28" s="3" customFormat="1" x14ac:dyDescent="0.15">
      <c r="AB487" s="257"/>
    </row>
    <row r="488" spans="28:28" s="3" customFormat="1" x14ac:dyDescent="0.15">
      <c r="AB488" s="257"/>
    </row>
    <row r="489" spans="28:28" s="3" customFormat="1" x14ac:dyDescent="0.15">
      <c r="AB489" s="257"/>
    </row>
    <row r="490" spans="28:28" s="3" customFormat="1" x14ac:dyDescent="0.15">
      <c r="AB490" s="257"/>
    </row>
    <row r="491" spans="28:28" s="3" customFormat="1" x14ac:dyDescent="0.15">
      <c r="AB491" s="257"/>
    </row>
    <row r="492" spans="28:28" s="3" customFormat="1" x14ac:dyDescent="0.15">
      <c r="AB492" s="257"/>
    </row>
    <row r="493" spans="28:28" s="3" customFormat="1" x14ac:dyDescent="0.15">
      <c r="AB493" s="257"/>
    </row>
    <row r="494" spans="28:28" s="3" customFormat="1" x14ac:dyDescent="0.15">
      <c r="AB494" s="257"/>
    </row>
    <row r="495" spans="28:28" s="3" customFormat="1" x14ac:dyDescent="0.15">
      <c r="AB495" s="257"/>
    </row>
    <row r="496" spans="28:28" s="3" customFormat="1" x14ac:dyDescent="0.15">
      <c r="AB496" s="257"/>
    </row>
    <row r="497" spans="28:28" s="3" customFormat="1" x14ac:dyDescent="0.15">
      <c r="AB497" s="257"/>
    </row>
    <row r="498" spans="28:28" s="3" customFormat="1" x14ac:dyDescent="0.15">
      <c r="AB498" s="257"/>
    </row>
    <row r="499" spans="28:28" s="3" customFormat="1" x14ac:dyDescent="0.15">
      <c r="AB499" s="257"/>
    </row>
    <row r="500" spans="28:28" s="3" customFormat="1" x14ac:dyDescent="0.15">
      <c r="AB500" s="257"/>
    </row>
    <row r="501" spans="28:28" s="3" customFormat="1" x14ac:dyDescent="0.15">
      <c r="AB501" s="257"/>
    </row>
    <row r="502" spans="28:28" s="3" customFormat="1" x14ac:dyDescent="0.15">
      <c r="AB502" s="257"/>
    </row>
    <row r="503" spans="28:28" s="3" customFormat="1" x14ac:dyDescent="0.15">
      <c r="AB503" s="257"/>
    </row>
    <row r="504" spans="28:28" s="3" customFormat="1" x14ac:dyDescent="0.15">
      <c r="AB504" s="257"/>
    </row>
    <row r="505" spans="28:28" s="3" customFormat="1" x14ac:dyDescent="0.15">
      <c r="AB505" s="257"/>
    </row>
    <row r="506" spans="28:28" s="3" customFormat="1" x14ac:dyDescent="0.15">
      <c r="AB506" s="257"/>
    </row>
    <row r="507" spans="28:28" s="3" customFormat="1" x14ac:dyDescent="0.15">
      <c r="AB507" s="257"/>
    </row>
    <row r="508" spans="28:28" s="3" customFormat="1" x14ac:dyDescent="0.15">
      <c r="AB508" s="257"/>
    </row>
    <row r="509" spans="28:28" s="3" customFormat="1" x14ac:dyDescent="0.15">
      <c r="AB509" s="257"/>
    </row>
    <row r="510" spans="28:28" s="3" customFormat="1" x14ac:dyDescent="0.15">
      <c r="AB510" s="257"/>
    </row>
    <row r="511" spans="28:28" s="3" customFormat="1" x14ac:dyDescent="0.15">
      <c r="AB511" s="257"/>
    </row>
    <row r="512" spans="28:28" s="3" customFormat="1" x14ac:dyDescent="0.15">
      <c r="AB512" s="257"/>
    </row>
    <row r="513" spans="28:28" s="3" customFormat="1" x14ac:dyDescent="0.15">
      <c r="AB513" s="257"/>
    </row>
    <row r="514" spans="28:28" s="3" customFormat="1" x14ac:dyDescent="0.15">
      <c r="AB514" s="257"/>
    </row>
    <row r="515" spans="28:28" s="3" customFormat="1" x14ac:dyDescent="0.15">
      <c r="AB515" s="257"/>
    </row>
    <row r="516" spans="28:28" s="3" customFormat="1" x14ac:dyDescent="0.15">
      <c r="AB516" s="257"/>
    </row>
    <row r="517" spans="28:28" s="3" customFormat="1" x14ac:dyDescent="0.15">
      <c r="AB517" s="257"/>
    </row>
    <row r="518" spans="28:28" s="3" customFormat="1" x14ac:dyDescent="0.15">
      <c r="AB518" s="257"/>
    </row>
    <row r="519" spans="28:28" s="3" customFormat="1" x14ac:dyDescent="0.15">
      <c r="AB519" s="257"/>
    </row>
    <row r="520" spans="28:28" s="3" customFormat="1" x14ac:dyDescent="0.15">
      <c r="AB520" s="257"/>
    </row>
    <row r="521" spans="28:28" s="3" customFormat="1" x14ac:dyDescent="0.15">
      <c r="AB521" s="257"/>
    </row>
    <row r="522" spans="28:28" s="3" customFormat="1" x14ac:dyDescent="0.15">
      <c r="AB522" s="257"/>
    </row>
    <row r="523" spans="28:28" s="3" customFormat="1" x14ac:dyDescent="0.15">
      <c r="AB523" s="257"/>
    </row>
    <row r="524" spans="28:28" s="3" customFormat="1" x14ac:dyDescent="0.15">
      <c r="AB524" s="257"/>
    </row>
    <row r="525" spans="28:28" s="3" customFormat="1" x14ac:dyDescent="0.15">
      <c r="AB525" s="257"/>
    </row>
    <row r="526" spans="28:28" s="3" customFormat="1" x14ac:dyDescent="0.15">
      <c r="AB526" s="257"/>
    </row>
    <row r="527" spans="28:28" s="3" customFormat="1" x14ac:dyDescent="0.15">
      <c r="AB527" s="257"/>
    </row>
    <row r="528" spans="28:28" s="3" customFormat="1" x14ac:dyDescent="0.15">
      <c r="AB528" s="257"/>
    </row>
    <row r="529" spans="28:28" s="3" customFormat="1" x14ac:dyDescent="0.15">
      <c r="AB529" s="257"/>
    </row>
    <row r="530" spans="28:28" s="3" customFormat="1" x14ac:dyDescent="0.15">
      <c r="AB530" s="257"/>
    </row>
    <row r="531" spans="28:28" s="3" customFormat="1" x14ac:dyDescent="0.15">
      <c r="AB531" s="257"/>
    </row>
    <row r="532" spans="28:28" s="3" customFormat="1" x14ac:dyDescent="0.15">
      <c r="AB532" s="257"/>
    </row>
    <row r="533" spans="28:28" s="3" customFormat="1" x14ac:dyDescent="0.15">
      <c r="AB533" s="257"/>
    </row>
    <row r="534" spans="28:28" s="3" customFormat="1" x14ac:dyDescent="0.15">
      <c r="AB534" s="257"/>
    </row>
    <row r="535" spans="28:28" s="3" customFormat="1" x14ac:dyDescent="0.15">
      <c r="AB535" s="257"/>
    </row>
    <row r="536" spans="28:28" s="3" customFormat="1" x14ac:dyDescent="0.15">
      <c r="AB536" s="257"/>
    </row>
    <row r="537" spans="28:28" s="3" customFormat="1" x14ac:dyDescent="0.15">
      <c r="AB537" s="257"/>
    </row>
    <row r="538" spans="28:28" s="3" customFormat="1" x14ac:dyDescent="0.15">
      <c r="AB538" s="257"/>
    </row>
    <row r="539" spans="28:28" s="3" customFormat="1" x14ac:dyDescent="0.15">
      <c r="AB539" s="257"/>
    </row>
    <row r="540" spans="28:28" s="3" customFormat="1" x14ac:dyDescent="0.15">
      <c r="AB540" s="257"/>
    </row>
    <row r="541" spans="28:28" s="3" customFormat="1" x14ac:dyDescent="0.15">
      <c r="AB541" s="257"/>
    </row>
    <row r="542" spans="28:28" s="3" customFormat="1" x14ac:dyDescent="0.15">
      <c r="AB542" s="257"/>
    </row>
    <row r="543" spans="28:28" s="3" customFormat="1" x14ac:dyDescent="0.15">
      <c r="AB543" s="257"/>
    </row>
    <row r="544" spans="28:28" s="3" customFormat="1" x14ac:dyDescent="0.15">
      <c r="AB544" s="257"/>
    </row>
    <row r="545" spans="28:28" s="3" customFormat="1" x14ac:dyDescent="0.15">
      <c r="AB545" s="257"/>
    </row>
    <row r="546" spans="28:28" s="3" customFormat="1" x14ac:dyDescent="0.15">
      <c r="AB546" s="257"/>
    </row>
    <row r="547" spans="28:28" s="3" customFormat="1" x14ac:dyDescent="0.15">
      <c r="AB547" s="257"/>
    </row>
    <row r="548" spans="28:28" s="3" customFormat="1" x14ac:dyDescent="0.15">
      <c r="AB548" s="257"/>
    </row>
    <row r="549" spans="28:28" s="3" customFormat="1" x14ac:dyDescent="0.15">
      <c r="AB549" s="257"/>
    </row>
    <row r="550" spans="28:28" s="3" customFormat="1" x14ac:dyDescent="0.15">
      <c r="AB550" s="257"/>
    </row>
    <row r="551" spans="28:28" s="3" customFormat="1" x14ac:dyDescent="0.15">
      <c r="AB551" s="257"/>
    </row>
    <row r="552" spans="28:28" s="3" customFormat="1" x14ac:dyDescent="0.15">
      <c r="AB552" s="257"/>
    </row>
    <row r="553" spans="28:28" s="3" customFormat="1" x14ac:dyDescent="0.15">
      <c r="AB553" s="257"/>
    </row>
    <row r="554" spans="28:28" s="3" customFormat="1" x14ac:dyDescent="0.15">
      <c r="AB554" s="257"/>
    </row>
    <row r="555" spans="28:28" s="3" customFormat="1" x14ac:dyDescent="0.15">
      <c r="AB555" s="257"/>
    </row>
    <row r="556" spans="28:28" s="3" customFormat="1" x14ac:dyDescent="0.15">
      <c r="AB556" s="257"/>
    </row>
    <row r="557" spans="28:28" s="3" customFormat="1" x14ac:dyDescent="0.15">
      <c r="AB557" s="257"/>
    </row>
    <row r="558" spans="28:28" s="3" customFormat="1" x14ac:dyDescent="0.15">
      <c r="AB558" s="257"/>
    </row>
    <row r="559" spans="28:28" s="3" customFormat="1" x14ac:dyDescent="0.15">
      <c r="AB559" s="257"/>
    </row>
    <row r="560" spans="28:28" s="3" customFormat="1" x14ac:dyDescent="0.15">
      <c r="AB560" s="257"/>
    </row>
    <row r="561" spans="28:28" s="3" customFormat="1" x14ac:dyDescent="0.15">
      <c r="AB561" s="257"/>
    </row>
    <row r="562" spans="28:28" s="3" customFormat="1" x14ac:dyDescent="0.15">
      <c r="AB562" s="257"/>
    </row>
    <row r="563" spans="28:28" s="3" customFormat="1" x14ac:dyDescent="0.15">
      <c r="AB563" s="257"/>
    </row>
    <row r="564" spans="28:28" s="3" customFormat="1" x14ac:dyDescent="0.15">
      <c r="AB564" s="257"/>
    </row>
    <row r="565" spans="28:28" s="3" customFormat="1" x14ac:dyDescent="0.15">
      <c r="AB565" s="257"/>
    </row>
    <row r="566" spans="28:28" s="3" customFormat="1" x14ac:dyDescent="0.15">
      <c r="AB566" s="257"/>
    </row>
    <row r="567" spans="28:28" s="3" customFormat="1" x14ac:dyDescent="0.15">
      <c r="AB567" s="257"/>
    </row>
    <row r="568" spans="28:28" s="3" customFormat="1" x14ac:dyDescent="0.15">
      <c r="AB568" s="257"/>
    </row>
    <row r="569" spans="28:28" s="3" customFormat="1" x14ac:dyDescent="0.15">
      <c r="AB569" s="257"/>
    </row>
    <row r="570" spans="28:28" s="3" customFormat="1" x14ac:dyDescent="0.15">
      <c r="AB570" s="257"/>
    </row>
    <row r="571" spans="28:28" s="3" customFormat="1" x14ac:dyDescent="0.15">
      <c r="AB571" s="257"/>
    </row>
    <row r="572" spans="28:28" s="3" customFormat="1" x14ac:dyDescent="0.15">
      <c r="AB572" s="257"/>
    </row>
    <row r="573" spans="28:28" s="3" customFormat="1" x14ac:dyDescent="0.15">
      <c r="AB573" s="257"/>
    </row>
    <row r="574" spans="28:28" s="3" customFormat="1" x14ac:dyDescent="0.15">
      <c r="AB574" s="257"/>
    </row>
    <row r="575" spans="28:28" s="3" customFormat="1" x14ac:dyDescent="0.15">
      <c r="AB575" s="257"/>
    </row>
    <row r="576" spans="28:28" s="3" customFormat="1" x14ac:dyDescent="0.15">
      <c r="AB576" s="257"/>
    </row>
    <row r="577" spans="28:28" s="3" customFormat="1" x14ac:dyDescent="0.15">
      <c r="AB577" s="257"/>
    </row>
    <row r="578" spans="28:28" s="3" customFormat="1" x14ac:dyDescent="0.15">
      <c r="AB578" s="257"/>
    </row>
    <row r="579" spans="28:28" s="3" customFormat="1" x14ac:dyDescent="0.15">
      <c r="AB579" s="257"/>
    </row>
    <row r="580" spans="28:28" s="3" customFormat="1" x14ac:dyDescent="0.15">
      <c r="AB580" s="257"/>
    </row>
    <row r="581" spans="28:28" s="3" customFormat="1" x14ac:dyDescent="0.15">
      <c r="AB581" s="257"/>
    </row>
    <row r="582" spans="28:28" s="3" customFormat="1" x14ac:dyDescent="0.15">
      <c r="AB582" s="257"/>
    </row>
    <row r="583" spans="28:28" s="3" customFormat="1" x14ac:dyDescent="0.15">
      <c r="AB583" s="257"/>
    </row>
    <row r="584" spans="28:28" s="3" customFormat="1" x14ac:dyDescent="0.15">
      <c r="AB584" s="257"/>
    </row>
    <row r="585" spans="28:28" s="3" customFormat="1" x14ac:dyDescent="0.15">
      <c r="AB585" s="257"/>
    </row>
    <row r="586" spans="28:28" s="3" customFormat="1" x14ac:dyDescent="0.15">
      <c r="AB586" s="257"/>
    </row>
    <row r="587" spans="28:28" s="3" customFormat="1" x14ac:dyDescent="0.15">
      <c r="AB587" s="257"/>
    </row>
    <row r="588" spans="28:28" s="3" customFormat="1" x14ac:dyDescent="0.15">
      <c r="AB588" s="257"/>
    </row>
    <row r="589" spans="28:28" s="3" customFormat="1" x14ac:dyDescent="0.15">
      <c r="AB589" s="257"/>
    </row>
    <row r="590" spans="28:28" s="3" customFormat="1" x14ac:dyDescent="0.15">
      <c r="AB590" s="257"/>
    </row>
    <row r="591" spans="28:28" s="3" customFormat="1" x14ac:dyDescent="0.15">
      <c r="AB591" s="257"/>
    </row>
    <row r="592" spans="28:28" s="3" customFormat="1" x14ac:dyDescent="0.15">
      <c r="AB592" s="257"/>
    </row>
    <row r="593" spans="28:28" s="3" customFormat="1" x14ac:dyDescent="0.15">
      <c r="AB593" s="257"/>
    </row>
    <row r="594" spans="28:28" s="3" customFormat="1" x14ac:dyDescent="0.15">
      <c r="AB594" s="257"/>
    </row>
    <row r="595" spans="28:28" s="3" customFormat="1" x14ac:dyDescent="0.15">
      <c r="AB595" s="257"/>
    </row>
    <row r="596" spans="28:28" s="3" customFormat="1" x14ac:dyDescent="0.15">
      <c r="AB596" s="257"/>
    </row>
    <row r="597" spans="28:28" s="3" customFormat="1" x14ac:dyDescent="0.15">
      <c r="AB597" s="257"/>
    </row>
    <row r="598" spans="28:28" s="3" customFormat="1" x14ac:dyDescent="0.15">
      <c r="AB598" s="257"/>
    </row>
    <row r="599" spans="28:28" s="3" customFormat="1" x14ac:dyDescent="0.15">
      <c r="AB599" s="257"/>
    </row>
    <row r="600" spans="28:28" s="3" customFormat="1" x14ac:dyDescent="0.15">
      <c r="AB600" s="257"/>
    </row>
    <row r="601" spans="28:28" s="3" customFormat="1" x14ac:dyDescent="0.15">
      <c r="AB601" s="257"/>
    </row>
    <row r="602" spans="28:28" s="3" customFormat="1" x14ac:dyDescent="0.15">
      <c r="AB602" s="257"/>
    </row>
    <row r="603" spans="28:28" s="3" customFormat="1" x14ac:dyDescent="0.15">
      <c r="AB603" s="257"/>
    </row>
    <row r="604" spans="28:28" s="3" customFormat="1" x14ac:dyDescent="0.15">
      <c r="AB604" s="257"/>
    </row>
    <row r="605" spans="28:28" s="3" customFormat="1" x14ac:dyDescent="0.15">
      <c r="AB605" s="257"/>
    </row>
    <row r="606" spans="28:28" s="3" customFormat="1" x14ac:dyDescent="0.15">
      <c r="AB606" s="257"/>
    </row>
    <row r="607" spans="28:28" s="3" customFormat="1" x14ac:dyDescent="0.15">
      <c r="AB607" s="257"/>
    </row>
    <row r="608" spans="28:28" s="3" customFormat="1" x14ac:dyDescent="0.15">
      <c r="AB608" s="257"/>
    </row>
    <row r="609" spans="28:28" s="3" customFormat="1" x14ac:dyDescent="0.15">
      <c r="AB609" s="257"/>
    </row>
    <row r="610" spans="28:28" s="3" customFormat="1" x14ac:dyDescent="0.15">
      <c r="AB610" s="257"/>
    </row>
    <row r="611" spans="28:28" s="3" customFormat="1" x14ac:dyDescent="0.15">
      <c r="AB611" s="257"/>
    </row>
    <row r="612" spans="28:28" s="3" customFormat="1" x14ac:dyDescent="0.15">
      <c r="AB612" s="257"/>
    </row>
    <row r="613" spans="28:28" s="3" customFormat="1" x14ac:dyDescent="0.15">
      <c r="AB613" s="257"/>
    </row>
    <row r="614" spans="28:28" s="3" customFormat="1" x14ac:dyDescent="0.15">
      <c r="AB614" s="257"/>
    </row>
    <row r="615" spans="28:28" s="3" customFormat="1" x14ac:dyDescent="0.15">
      <c r="AB615" s="257"/>
    </row>
    <row r="616" spans="28:28" s="3" customFormat="1" x14ac:dyDescent="0.15">
      <c r="AB616" s="257"/>
    </row>
    <row r="617" spans="28:28" s="3" customFormat="1" x14ac:dyDescent="0.15">
      <c r="AB617" s="257"/>
    </row>
    <row r="618" spans="28:28" s="3" customFormat="1" x14ac:dyDescent="0.15">
      <c r="AB618" s="257"/>
    </row>
    <row r="619" spans="28:28" s="3" customFormat="1" x14ac:dyDescent="0.15">
      <c r="AB619" s="257"/>
    </row>
    <row r="620" spans="28:28" s="3" customFormat="1" x14ac:dyDescent="0.15">
      <c r="AB620" s="257"/>
    </row>
    <row r="621" spans="28:28" s="3" customFormat="1" x14ac:dyDescent="0.15">
      <c r="AB621" s="257"/>
    </row>
    <row r="622" spans="28:28" s="3" customFormat="1" x14ac:dyDescent="0.15">
      <c r="AB622" s="257"/>
    </row>
    <row r="623" spans="28:28" s="3" customFormat="1" x14ac:dyDescent="0.15">
      <c r="AB623" s="257"/>
    </row>
    <row r="624" spans="28:28" s="3" customFormat="1" x14ac:dyDescent="0.15">
      <c r="AB624" s="257"/>
    </row>
    <row r="625" spans="28:28" s="3" customFormat="1" x14ac:dyDescent="0.15">
      <c r="AB625" s="257"/>
    </row>
    <row r="626" spans="28:28" s="3" customFormat="1" x14ac:dyDescent="0.15">
      <c r="AB626" s="257"/>
    </row>
    <row r="627" spans="28:28" s="3" customFormat="1" x14ac:dyDescent="0.15">
      <c r="AB627" s="257"/>
    </row>
    <row r="628" spans="28:28" s="3" customFormat="1" x14ac:dyDescent="0.15">
      <c r="AB628" s="257"/>
    </row>
    <row r="629" spans="28:28" s="3" customFormat="1" x14ac:dyDescent="0.15">
      <c r="AB629" s="257"/>
    </row>
    <row r="630" spans="28:28" s="3" customFormat="1" x14ac:dyDescent="0.15">
      <c r="AB630" s="257"/>
    </row>
    <row r="631" spans="28:28" s="3" customFormat="1" x14ac:dyDescent="0.15">
      <c r="AB631" s="257"/>
    </row>
    <row r="632" spans="28:28" s="3" customFormat="1" x14ac:dyDescent="0.15">
      <c r="AB632" s="257"/>
    </row>
    <row r="633" spans="28:28" s="3" customFormat="1" x14ac:dyDescent="0.15">
      <c r="AB633" s="257"/>
    </row>
    <row r="634" spans="28:28" s="3" customFormat="1" x14ac:dyDescent="0.15">
      <c r="AB634" s="257"/>
    </row>
    <row r="635" spans="28:28" s="3" customFormat="1" x14ac:dyDescent="0.15">
      <c r="AB635" s="257"/>
    </row>
    <row r="636" spans="28:28" s="3" customFormat="1" x14ac:dyDescent="0.15">
      <c r="AB636" s="257"/>
    </row>
    <row r="637" spans="28:28" s="3" customFormat="1" x14ac:dyDescent="0.15">
      <c r="AB637" s="257"/>
    </row>
    <row r="638" spans="28:28" s="3" customFormat="1" x14ac:dyDescent="0.15">
      <c r="AB638" s="257"/>
    </row>
    <row r="639" spans="28:28" s="3" customFormat="1" x14ac:dyDescent="0.15">
      <c r="AB639" s="257"/>
    </row>
    <row r="640" spans="28:28" s="3" customFormat="1" x14ac:dyDescent="0.15">
      <c r="AB640" s="257"/>
    </row>
    <row r="641" spans="28:28" s="3" customFormat="1" x14ac:dyDescent="0.15">
      <c r="AB641" s="257"/>
    </row>
    <row r="642" spans="28:28" s="3" customFormat="1" x14ac:dyDescent="0.15">
      <c r="AB642" s="257"/>
    </row>
    <row r="643" spans="28:28" s="3" customFormat="1" x14ac:dyDescent="0.15">
      <c r="AB643" s="257"/>
    </row>
    <row r="644" spans="28:28" s="3" customFormat="1" x14ac:dyDescent="0.15">
      <c r="AB644" s="257"/>
    </row>
    <row r="645" spans="28:28" s="3" customFormat="1" x14ac:dyDescent="0.15">
      <c r="AB645" s="257"/>
    </row>
    <row r="646" spans="28:28" s="3" customFormat="1" x14ac:dyDescent="0.15">
      <c r="AB646" s="257"/>
    </row>
    <row r="647" spans="28:28" s="3" customFormat="1" x14ac:dyDescent="0.15">
      <c r="AB647" s="257"/>
    </row>
    <row r="648" spans="28:28" s="3" customFormat="1" x14ac:dyDescent="0.15">
      <c r="AB648" s="257"/>
    </row>
    <row r="649" spans="28:28" s="3" customFormat="1" x14ac:dyDescent="0.15">
      <c r="AB649" s="257"/>
    </row>
    <row r="650" spans="28:28" s="3" customFormat="1" x14ac:dyDescent="0.15">
      <c r="AB650" s="257"/>
    </row>
    <row r="651" spans="28:28" s="3" customFormat="1" x14ac:dyDescent="0.15">
      <c r="AB651" s="257"/>
    </row>
    <row r="652" spans="28:28" s="3" customFormat="1" x14ac:dyDescent="0.15">
      <c r="AB652" s="257"/>
    </row>
    <row r="653" spans="28:28" s="3" customFormat="1" x14ac:dyDescent="0.15">
      <c r="AB653" s="257"/>
    </row>
    <row r="654" spans="28:28" s="3" customFormat="1" x14ac:dyDescent="0.15">
      <c r="AB654" s="257"/>
    </row>
    <row r="655" spans="28:28" s="3" customFormat="1" x14ac:dyDescent="0.15">
      <c r="AB655" s="257"/>
    </row>
    <row r="656" spans="28:28" s="3" customFormat="1" x14ac:dyDescent="0.15">
      <c r="AB656" s="257"/>
    </row>
    <row r="657" spans="28:28" s="3" customFormat="1" x14ac:dyDescent="0.15">
      <c r="AB657" s="257"/>
    </row>
    <row r="658" spans="28:28" s="3" customFormat="1" x14ac:dyDescent="0.15">
      <c r="AB658" s="257"/>
    </row>
    <row r="659" spans="28:28" s="3" customFormat="1" x14ac:dyDescent="0.15">
      <c r="AB659" s="257"/>
    </row>
    <row r="660" spans="28:28" s="3" customFormat="1" x14ac:dyDescent="0.15">
      <c r="AB660" s="257"/>
    </row>
    <row r="661" spans="28:28" s="3" customFormat="1" x14ac:dyDescent="0.15">
      <c r="AB661" s="257"/>
    </row>
    <row r="662" spans="28:28" s="3" customFormat="1" x14ac:dyDescent="0.15">
      <c r="AB662" s="257"/>
    </row>
    <row r="663" spans="28:28" s="3" customFormat="1" x14ac:dyDescent="0.15">
      <c r="AB663" s="257"/>
    </row>
    <row r="664" spans="28:28" s="3" customFormat="1" x14ac:dyDescent="0.15">
      <c r="AB664" s="257"/>
    </row>
    <row r="665" spans="28:28" s="3" customFormat="1" x14ac:dyDescent="0.15">
      <c r="AB665" s="257"/>
    </row>
    <row r="666" spans="28:28" s="3" customFormat="1" x14ac:dyDescent="0.15">
      <c r="AB666" s="257"/>
    </row>
    <row r="667" spans="28:28" s="3" customFormat="1" x14ac:dyDescent="0.15">
      <c r="AB667" s="257"/>
    </row>
    <row r="668" spans="28:28" s="3" customFormat="1" x14ac:dyDescent="0.15">
      <c r="AB668" s="257"/>
    </row>
    <row r="669" spans="28:28" s="3" customFormat="1" x14ac:dyDescent="0.15">
      <c r="AB669" s="257"/>
    </row>
    <row r="670" spans="28:28" s="3" customFormat="1" x14ac:dyDescent="0.15">
      <c r="AB670" s="257"/>
    </row>
    <row r="671" spans="28:28" s="3" customFormat="1" x14ac:dyDescent="0.15">
      <c r="AB671" s="257"/>
    </row>
    <row r="672" spans="28:28" s="3" customFormat="1" x14ac:dyDescent="0.15">
      <c r="AB672" s="257"/>
    </row>
    <row r="673" spans="28:28" s="3" customFormat="1" x14ac:dyDescent="0.15">
      <c r="AB673" s="257"/>
    </row>
    <row r="674" spans="28:28" s="3" customFormat="1" x14ac:dyDescent="0.15">
      <c r="AB674" s="257"/>
    </row>
    <row r="675" spans="28:28" s="3" customFormat="1" x14ac:dyDescent="0.15">
      <c r="AB675" s="257"/>
    </row>
    <row r="676" spans="28:28" s="3" customFormat="1" x14ac:dyDescent="0.15">
      <c r="AB676" s="257"/>
    </row>
    <row r="677" spans="28:28" s="3" customFormat="1" x14ac:dyDescent="0.15">
      <c r="AB677" s="257"/>
    </row>
    <row r="678" spans="28:28" s="3" customFormat="1" x14ac:dyDescent="0.15">
      <c r="AB678" s="257"/>
    </row>
    <row r="679" spans="28:28" s="3" customFormat="1" x14ac:dyDescent="0.15">
      <c r="AB679" s="257"/>
    </row>
    <row r="680" spans="28:28" s="3" customFormat="1" x14ac:dyDescent="0.15">
      <c r="AB680" s="257"/>
    </row>
    <row r="681" spans="28:28" s="3" customFormat="1" x14ac:dyDescent="0.15">
      <c r="AB681" s="257"/>
    </row>
    <row r="682" spans="28:28" s="3" customFormat="1" x14ac:dyDescent="0.15">
      <c r="AB682" s="257"/>
    </row>
    <row r="683" spans="28:28" s="3" customFormat="1" x14ac:dyDescent="0.15">
      <c r="AB683" s="257"/>
    </row>
    <row r="684" spans="28:28" s="3" customFormat="1" x14ac:dyDescent="0.15">
      <c r="AB684" s="257"/>
    </row>
    <row r="685" spans="28:28" s="3" customFormat="1" x14ac:dyDescent="0.15">
      <c r="AB685" s="257"/>
    </row>
    <row r="686" spans="28:28" s="3" customFormat="1" x14ac:dyDescent="0.15">
      <c r="AB686" s="257"/>
    </row>
    <row r="687" spans="28:28" s="3" customFormat="1" x14ac:dyDescent="0.15">
      <c r="AB687" s="257"/>
    </row>
    <row r="688" spans="28:28" s="3" customFormat="1" x14ac:dyDescent="0.15">
      <c r="AB688" s="257"/>
    </row>
    <row r="689" spans="1:28" s="3" customFormat="1" x14ac:dyDescent="0.15">
      <c r="AB689" s="257"/>
    </row>
    <row r="690" spans="1:28" s="3" customFormat="1" x14ac:dyDescent="0.15">
      <c r="AB690" s="257"/>
    </row>
    <row r="691" spans="1:28" s="3" customFormat="1" x14ac:dyDescent="0.15">
      <c r="AB691" s="257"/>
    </row>
    <row r="692" spans="1:28" x14ac:dyDescent="0.15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 x14ac:dyDescent="0.15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 x14ac:dyDescent="0.15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 x14ac:dyDescent="0.15">
      <c r="J695" s="4"/>
    </row>
    <row r="696" spans="1:28" x14ac:dyDescent="0.15">
      <c r="J696" s="4"/>
    </row>
    <row r="697" spans="1:28" x14ac:dyDescent="0.15">
      <c r="J697" s="4"/>
    </row>
    <row r="698" spans="1:28" x14ac:dyDescent="0.15">
      <c r="J698" s="4"/>
    </row>
    <row r="699" spans="1:28" x14ac:dyDescent="0.15">
      <c r="J699" s="4"/>
    </row>
    <row r="700" spans="1:28" x14ac:dyDescent="0.15">
      <c r="J700" s="4"/>
    </row>
    <row r="701" spans="1:28" x14ac:dyDescent="0.15">
      <c r="J701" s="4"/>
    </row>
    <row r="702" spans="1:28" x14ac:dyDescent="0.15">
      <c r="J702" s="4"/>
    </row>
    <row r="703" spans="1:28" x14ac:dyDescent="0.15">
      <c r="J703" s="4"/>
    </row>
    <row r="704" spans="1:28" x14ac:dyDescent="0.15">
      <c r="J704" s="4"/>
    </row>
    <row r="705" spans="10:10" x14ac:dyDescent="0.15">
      <c r="J705" s="4"/>
    </row>
    <row r="706" spans="10:10" x14ac:dyDescent="0.15">
      <c r="J706" s="4"/>
    </row>
    <row r="707" spans="10:10" x14ac:dyDescent="0.15">
      <c r="J707" s="4"/>
    </row>
    <row r="708" spans="10:10" x14ac:dyDescent="0.15">
      <c r="J708" s="4"/>
    </row>
    <row r="709" spans="10:10" x14ac:dyDescent="0.15">
      <c r="J709" s="4"/>
    </row>
    <row r="710" spans="10:10" x14ac:dyDescent="0.15">
      <c r="J710" s="4"/>
    </row>
    <row r="711" spans="10:10" x14ac:dyDescent="0.15">
      <c r="J711" s="4"/>
    </row>
    <row r="712" spans="10:10" x14ac:dyDescent="0.15">
      <c r="J712" s="4"/>
    </row>
    <row r="713" spans="10:10" x14ac:dyDescent="0.15">
      <c r="J713" s="4"/>
    </row>
    <row r="714" spans="10:10" x14ac:dyDescent="0.15">
      <c r="J714" s="4"/>
    </row>
    <row r="715" spans="10:10" x14ac:dyDescent="0.15">
      <c r="J715" s="4"/>
    </row>
    <row r="716" spans="10:10" x14ac:dyDescent="0.15">
      <c r="J716" s="4"/>
    </row>
    <row r="717" spans="10:10" x14ac:dyDescent="0.15">
      <c r="J717" s="4"/>
    </row>
    <row r="718" spans="10:10" x14ac:dyDescent="0.15">
      <c r="J718" s="4"/>
    </row>
    <row r="719" spans="10:10" x14ac:dyDescent="0.15">
      <c r="J719" s="4"/>
    </row>
    <row r="720" spans="10:10" x14ac:dyDescent="0.15">
      <c r="J720" s="4"/>
    </row>
    <row r="721" spans="10:10" x14ac:dyDescent="0.15">
      <c r="J721" s="4"/>
    </row>
    <row r="722" spans="10:10" x14ac:dyDescent="0.15">
      <c r="J722" s="4"/>
    </row>
    <row r="723" spans="10:10" x14ac:dyDescent="0.15">
      <c r="J723" s="4"/>
    </row>
    <row r="724" spans="10:10" x14ac:dyDescent="0.15">
      <c r="J724" s="4"/>
    </row>
    <row r="725" spans="10:10" x14ac:dyDescent="0.15">
      <c r="J725" s="4"/>
    </row>
    <row r="726" spans="10:10" x14ac:dyDescent="0.15">
      <c r="J726" s="4"/>
    </row>
    <row r="727" spans="10:10" x14ac:dyDescent="0.15">
      <c r="J727" s="4"/>
    </row>
    <row r="728" spans="10:10" x14ac:dyDescent="0.15">
      <c r="J728" s="4"/>
    </row>
    <row r="729" spans="10:10" x14ac:dyDescent="0.15">
      <c r="J729" s="4"/>
    </row>
    <row r="730" spans="10:10" x14ac:dyDescent="0.15">
      <c r="J730" s="4"/>
    </row>
    <row r="731" spans="10:10" x14ac:dyDescent="0.15">
      <c r="J731" s="4"/>
    </row>
    <row r="732" spans="10:10" x14ac:dyDescent="0.15">
      <c r="J732" s="4"/>
    </row>
    <row r="733" spans="10:10" x14ac:dyDescent="0.15">
      <c r="J733" s="4"/>
    </row>
    <row r="734" spans="10:10" x14ac:dyDescent="0.15">
      <c r="J734" s="4"/>
    </row>
    <row r="735" spans="10:10" x14ac:dyDescent="0.15">
      <c r="J735" s="4"/>
    </row>
    <row r="736" spans="10:10" x14ac:dyDescent="0.15">
      <c r="J736" s="4"/>
    </row>
    <row r="737" spans="10:10" x14ac:dyDescent="0.15">
      <c r="J737" s="4"/>
    </row>
    <row r="738" spans="10:10" x14ac:dyDescent="0.15">
      <c r="J738" s="4"/>
    </row>
    <row r="739" spans="10:10" x14ac:dyDescent="0.15">
      <c r="J739" s="4"/>
    </row>
    <row r="740" spans="10:10" x14ac:dyDescent="0.15">
      <c r="J740" s="4"/>
    </row>
    <row r="741" spans="10:10" x14ac:dyDescent="0.15">
      <c r="J741" s="4"/>
    </row>
    <row r="742" spans="10:10" x14ac:dyDescent="0.15">
      <c r="J742" s="4"/>
    </row>
    <row r="743" spans="10:10" x14ac:dyDescent="0.15">
      <c r="J743" s="4"/>
    </row>
    <row r="744" spans="10:10" x14ac:dyDescent="0.15">
      <c r="J744" s="4"/>
    </row>
    <row r="745" spans="10:10" x14ac:dyDescent="0.15">
      <c r="J745" s="4"/>
    </row>
    <row r="746" spans="10:10" x14ac:dyDescent="0.15">
      <c r="J746" s="4"/>
    </row>
    <row r="747" spans="10:10" x14ac:dyDescent="0.15">
      <c r="J747" s="4"/>
    </row>
    <row r="748" spans="10:10" x14ac:dyDescent="0.15">
      <c r="J748" s="4"/>
    </row>
    <row r="749" spans="10:10" x14ac:dyDescent="0.15">
      <c r="J749" s="4"/>
    </row>
    <row r="750" spans="10:10" x14ac:dyDescent="0.15">
      <c r="J750" s="4"/>
    </row>
    <row r="751" spans="10:10" x14ac:dyDescent="0.15">
      <c r="J751" s="4"/>
    </row>
    <row r="752" spans="10:10" x14ac:dyDescent="0.15">
      <c r="J752" s="4"/>
    </row>
    <row r="753" spans="10:10" x14ac:dyDescent="0.15">
      <c r="J753" s="4"/>
    </row>
    <row r="754" spans="10:10" x14ac:dyDescent="0.15">
      <c r="J754" s="4"/>
    </row>
    <row r="755" spans="10:10" x14ac:dyDescent="0.15">
      <c r="J755" s="4"/>
    </row>
    <row r="756" spans="10:10" x14ac:dyDescent="0.15">
      <c r="J756" s="4"/>
    </row>
    <row r="757" spans="10:10" x14ac:dyDescent="0.15">
      <c r="J757" s="4"/>
    </row>
    <row r="758" spans="10:10" x14ac:dyDescent="0.15">
      <c r="J758" s="4"/>
    </row>
    <row r="759" spans="10:10" x14ac:dyDescent="0.15">
      <c r="J759" s="4"/>
    </row>
    <row r="760" spans="10:10" x14ac:dyDescent="0.15">
      <c r="J760" s="4"/>
    </row>
    <row r="761" spans="10:10" x14ac:dyDescent="0.15">
      <c r="J761" s="4"/>
    </row>
    <row r="762" spans="10:10" x14ac:dyDescent="0.15">
      <c r="J762" s="4"/>
    </row>
    <row r="763" spans="10:10" x14ac:dyDescent="0.15">
      <c r="J763" s="4"/>
    </row>
    <row r="764" spans="10:10" x14ac:dyDescent="0.15">
      <c r="J764" s="4"/>
    </row>
    <row r="765" spans="10:10" x14ac:dyDescent="0.15">
      <c r="J765" s="4"/>
    </row>
    <row r="766" spans="10:10" x14ac:dyDescent="0.15">
      <c r="J766" s="4"/>
    </row>
    <row r="767" spans="10:10" x14ac:dyDescent="0.15">
      <c r="J767" s="4"/>
    </row>
    <row r="768" spans="10:10" x14ac:dyDescent="0.15">
      <c r="J768" s="4"/>
    </row>
    <row r="769" spans="10:10" x14ac:dyDescent="0.15">
      <c r="J769" s="4"/>
    </row>
    <row r="770" spans="10:10" x14ac:dyDescent="0.15">
      <c r="J770" s="4"/>
    </row>
    <row r="771" spans="10:10" x14ac:dyDescent="0.15">
      <c r="J771" s="4"/>
    </row>
    <row r="772" spans="10:10" x14ac:dyDescent="0.15">
      <c r="J772" s="4"/>
    </row>
    <row r="773" spans="10:10" x14ac:dyDescent="0.15">
      <c r="J773" s="4"/>
    </row>
    <row r="774" spans="10:10" x14ac:dyDescent="0.15">
      <c r="J774" s="4"/>
    </row>
    <row r="775" spans="10:10" x14ac:dyDescent="0.15">
      <c r="J775" s="4"/>
    </row>
    <row r="776" spans="10:10" x14ac:dyDescent="0.15">
      <c r="J776" s="4"/>
    </row>
    <row r="777" spans="10:10" x14ac:dyDescent="0.15">
      <c r="J777" s="4"/>
    </row>
    <row r="778" spans="10:10" x14ac:dyDescent="0.15">
      <c r="J778" s="4"/>
    </row>
    <row r="779" spans="10:10" x14ac:dyDescent="0.15">
      <c r="J779" s="4"/>
    </row>
    <row r="780" spans="10:10" x14ac:dyDescent="0.15">
      <c r="J780" s="4"/>
    </row>
    <row r="781" spans="10:10" x14ac:dyDescent="0.15">
      <c r="J781" s="4"/>
    </row>
    <row r="782" spans="10:10" x14ac:dyDescent="0.15">
      <c r="J782" s="4"/>
    </row>
    <row r="783" spans="10:10" x14ac:dyDescent="0.15">
      <c r="J783" s="4"/>
    </row>
    <row r="784" spans="10:10" x14ac:dyDescent="0.15">
      <c r="J784" s="4"/>
    </row>
    <row r="785" spans="10:10" x14ac:dyDescent="0.15">
      <c r="J785" s="4"/>
    </row>
    <row r="786" spans="10:10" x14ac:dyDescent="0.15">
      <c r="J786" s="4"/>
    </row>
    <row r="787" spans="10:10" x14ac:dyDescent="0.15">
      <c r="J787" s="4"/>
    </row>
    <row r="788" spans="10:10" x14ac:dyDescent="0.15">
      <c r="J788" s="4"/>
    </row>
    <row r="789" spans="10:10" x14ac:dyDescent="0.15">
      <c r="J789" s="4"/>
    </row>
    <row r="790" spans="10:10" x14ac:dyDescent="0.15">
      <c r="J790" s="4"/>
    </row>
    <row r="791" spans="10:10" x14ac:dyDescent="0.15">
      <c r="J791" s="4"/>
    </row>
    <row r="792" spans="10:10" x14ac:dyDescent="0.15">
      <c r="J792" s="4"/>
    </row>
    <row r="793" spans="10:10" x14ac:dyDescent="0.15">
      <c r="J793" s="4"/>
    </row>
    <row r="794" spans="10:10" x14ac:dyDescent="0.15">
      <c r="J794" s="4"/>
    </row>
    <row r="795" spans="10:10" x14ac:dyDescent="0.15">
      <c r="J795" s="4"/>
    </row>
    <row r="796" spans="10:10" x14ac:dyDescent="0.15">
      <c r="J796" s="4"/>
    </row>
    <row r="797" spans="10:10" x14ac:dyDescent="0.15">
      <c r="J797" s="4"/>
    </row>
    <row r="798" spans="10:10" x14ac:dyDescent="0.15">
      <c r="J798" s="4"/>
    </row>
    <row r="799" spans="10:10" x14ac:dyDescent="0.15">
      <c r="J799" s="4"/>
    </row>
    <row r="800" spans="10:10" x14ac:dyDescent="0.15">
      <c r="J800" s="4"/>
    </row>
    <row r="801" spans="10:10" x14ac:dyDescent="0.15">
      <c r="J801" s="4"/>
    </row>
    <row r="802" spans="10:10" x14ac:dyDescent="0.15">
      <c r="J802" s="4"/>
    </row>
    <row r="803" spans="10:10" x14ac:dyDescent="0.15">
      <c r="J803" s="4"/>
    </row>
    <row r="804" spans="10:10" x14ac:dyDescent="0.15">
      <c r="J804" s="4"/>
    </row>
    <row r="805" spans="10:10" x14ac:dyDescent="0.15">
      <c r="J805" s="4"/>
    </row>
    <row r="806" spans="10:10" x14ac:dyDescent="0.15">
      <c r="J806" s="4"/>
    </row>
    <row r="807" spans="10:10" x14ac:dyDescent="0.15">
      <c r="J807" s="4"/>
    </row>
    <row r="808" spans="10:10" x14ac:dyDescent="0.15">
      <c r="J808" s="4"/>
    </row>
    <row r="809" spans="10:10" x14ac:dyDescent="0.15">
      <c r="J809" s="4"/>
    </row>
    <row r="810" spans="10:10" x14ac:dyDescent="0.15">
      <c r="J810" s="4"/>
    </row>
    <row r="811" spans="10:10" x14ac:dyDescent="0.15">
      <c r="J811" s="4"/>
    </row>
    <row r="812" spans="10:10" x14ac:dyDescent="0.15">
      <c r="J812" s="4"/>
    </row>
    <row r="813" spans="10:10" x14ac:dyDescent="0.15">
      <c r="J813" s="4"/>
    </row>
    <row r="814" spans="10:10" x14ac:dyDescent="0.15">
      <c r="J814" s="4"/>
    </row>
    <row r="815" spans="10:10" x14ac:dyDescent="0.15">
      <c r="J815" s="4"/>
    </row>
    <row r="816" spans="10:10" x14ac:dyDescent="0.15">
      <c r="J816" s="4"/>
    </row>
    <row r="817" spans="10:10" x14ac:dyDescent="0.15">
      <c r="J817" s="4"/>
    </row>
    <row r="818" spans="10:10" x14ac:dyDescent="0.15">
      <c r="J818" s="4"/>
    </row>
    <row r="819" spans="10:10" x14ac:dyDescent="0.15">
      <c r="J819" s="4"/>
    </row>
    <row r="820" spans="10:10" x14ac:dyDescent="0.15">
      <c r="J820" s="4"/>
    </row>
    <row r="821" spans="10:10" x14ac:dyDescent="0.15">
      <c r="J821" s="4"/>
    </row>
    <row r="822" spans="10:10" x14ac:dyDescent="0.15">
      <c r="J822" s="4"/>
    </row>
  </sheetData>
  <dataConsolidate/>
  <mergeCells count="27"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</mergeCells>
  <phoneticPr fontId="6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r:id="rId9">
            <anchor moveWithCells="1">
              <from>
                <xdr:col>17</xdr:col>
                <xdr:colOff>266700</xdr:colOff>
                <xdr:row>22</xdr:row>
                <xdr:rowOff>257175</xdr:rowOff>
              </from>
              <to>
                <xdr:col>19</xdr:col>
                <xdr:colOff>66675</xdr:colOff>
                <xdr:row>36</xdr:row>
                <xdr:rowOff>209550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14</xdr:col>
                <xdr:colOff>76200</xdr:colOff>
                <xdr:row>31</xdr:row>
                <xdr:rowOff>123825</xdr:rowOff>
              </from>
              <to>
                <xdr:col>17</xdr:col>
                <xdr:colOff>66675</xdr:colOff>
                <xdr:row>33</xdr:row>
                <xdr:rowOff>9525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66" r:id="rId12" name="CommandButton4">
          <controlPr defaultSize="0" autoLine="0" r:id="rId13">
            <anchor moveWithCells="1">
              <from>
                <xdr:col>17</xdr:col>
                <xdr:colOff>219075</xdr:colOff>
                <xdr:row>19</xdr:row>
                <xdr:rowOff>9525</xdr:rowOff>
              </from>
              <to>
                <xdr:col>19</xdr:col>
                <xdr:colOff>590550</xdr:colOff>
                <xdr:row>20</xdr:row>
                <xdr:rowOff>161925</xdr:rowOff>
              </to>
            </anchor>
          </controlPr>
        </control>
      </mc:Choice>
      <mc:Fallback>
        <control shapeId="10266" r:id="rId12" name="CommandButton4"/>
      </mc:Fallback>
    </mc:AlternateContent>
    <mc:AlternateContent xmlns:mc="http://schemas.openxmlformats.org/markup-compatibility/2006">
      <mc:Choice Requires="x14">
        <control shapeId="10267" r:id="rId14" name="CommandButton5">
          <controlPr defaultSize="0" autoLine="0" r:id="rId15">
            <anchor moveWithCells="1">
              <from>
                <xdr:col>17</xdr:col>
                <xdr:colOff>219075</xdr:colOff>
                <xdr:row>17</xdr:row>
                <xdr:rowOff>47625</xdr:rowOff>
              </from>
              <to>
                <xdr:col>19</xdr:col>
                <xdr:colOff>590550</xdr:colOff>
                <xdr:row>18</xdr:row>
                <xdr:rowOff>200025</xdr:rowOff>
              </to>
            </anchor>
          </controlPr>
        </control>
      </mc:Choice>
      <mc:Fallback>
        <control shapeId="10267" r:id="rId14" name="CommandButton5"/>
      </mc:Fallback>
    </mc:AlternateContent>
    <mc:AlternateContent xmlns:mc="http://schemas.openxmlformats.org/markup-compatibility/2006">
      <mc:Choice Requires="x14">
        <control shapeId="10272" r:id="rId16" name="CommandButton7">
          <controlPr defaultSize="0" autoLine="0" r:id="rId17">
            <anchor moveWithCells="1">
              <from>
                <xdr:col>17</xdr:col>
                <xdr:colOff>219075</xdr:colOff>
                <xdr:row>20</xdr:row>
                <xdr:rowOff>238125</xdr:rowOff>
              </from>
              <to>
                <xdr:col>19</xdr:col>
                <xdr:colOff>590550</xdr:colOff>
                <xdr:row>22</xdr:row>
                <xdr:rowOff>123825</xdr:rowOff>
              </to>
            </anchor>
          </controlPr>
        </control>
      </mc:Choice>
      <mc:Fallback>
        <control shapeId="10272" r:id="rId16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55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0.46</v>
      </c>
      <c r="C8" t="s">
        <v>88</v>
      </c>
      <c r="D8" s="69" t="s">
        <v>78</v>
      </c>
      <c r="E8" s="70">
        <f>입력표!C26</f>
        <v>55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286.8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88">
        <f>입력표!M49+6</f>
        <v>32.1</v>
      </c>
      <c r="F10" t="s">
        <v>85</v>
      </c>
    </row>
    <row r="11" spans="1:17" ht="27" customHeight="1" x14ac:dyDescent="0.15">
      <c r="A11" s="260" t="s">
        <v>193</v>
      </c>
      <c r="B11" s="261">
        <f>INT((B5*B3*B6/100)/B4*10)/10</f>
        <v>587.70000000000005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0.58399999999999996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274.5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6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6.5" x14ac:dyDescent="0.3"/>
  <cols>
    <col min="1" max="1" width="8.88671875" style="422"/>
    <col min="2" max="3" width="8.88671875" style="423"/>
    <col min="4" max="16384" width="8.88671875" style="422"/>
  </cols>
  <sheetData>
    <row r="1" spans="1:2" x14ac:dyDescent="0.3">
      <c r="B1" s="422"/>
    </row>
    <row r="2" spans="1:2" x14ac:dyDescent="0.3">
      <c r="A2" s="422" t="s">
        <v>98</v>
      </c>
      <c r="B2" s="422"/>
    </row>
    <row r="3" spans="1:2" x14ac:dyDescent="0.3">
      <c r="A3" s="422">
        <v>2</v>
      </c>
      <c r="B3" s="422"/>
    </row>
    <row r="4" spans="1:2" x14ac:dyDescent="0.3">
      <c r="A4" s="422">
        <v>1</v>
      </c>
      <c r="B4" s="422"/>
    </row>
    <row r="5" spans="1:2" x14ac:dyDescent="0.3">
      <c r="A5" s="422">
        <v>6</v>
      </c>
      <c r="B5" s="422"/>
    </row>
    <row r="6" spans="1:2" x14ac:dyDescent="0.3">
      <c r="A6" s="422" t="s">
        <v>99</v>
      </c>
      <c r="B6" s="422"/>
    </row>
    <row r="7" spans="1:2" x14ac:dyDescent="0.3">
      <c r="A7" s="422">
        <f>입력표!M46</f>
        <v>482</v>
      </c>
      <c r="B7" s="422"/>
    </row>
    <row r="8" spans="1:2" x14ac:dyDescent="0.3">
      <c r="A8" s="422" t="s">
        <v>100</v>
      </c>
      <c r="B8" s="422"/>
    </row>
    <row r="9" spans="1:2" x14ac:dyDescent="0.3">
      <c r="A9" s="422">
        <v>1</v>
      </c>
      <c r="B9" s="422"/>
    </row>
    <row r="10" spans="1:2" x14ac:dyDescent="0.3">
      <c r="A10" s="422" t="s">
        <v>101</v>
      </c>
      <c r="B10" s="422"/>
    </row>
    <row r="11" spans="1:2" x14ac:dyDescent="0.3">
      <c r="A11" s="422">
        <v>1</v>
      </c>
      <c r="B11" s="422"/>
    </row>
    <row r="12" spans="1:2" x14ac:dyDescent="0.3">
      <c r="A12" s="422" t="s">
        <v>102</v>
      </c>
      <c r="B12" s="422"/>
    </row>
    <row r="13" spans="1:2" x14ac:dyDescent="0.3">
      <c r="A13" s="422">
        <v>1</v>
      </c>
      <c r="B13" s="422"/>
    </row>
    <row r="14" spans="1:2" x14ac:dyDescent="0.3">
      <c r="A14" s="422" t="s">
        <v>103</v>
      </c>
      <c r="B14" s="422"/>
    </row>
    <row r="15" spans="1:2" x14ac:dyDescent="0.3">
      <c r="A15" s="422" t="str">
        <f>입력표!I54</f>
        <v>W-9</v>
      </c>
      <c r="B15" s="422"/>
    </row>
    <row r="16" spans="1:2" x14ac:dyDescent="0.3">
      <c r="A16" s="422">
        <v>0</v>
      </c>
      <c r="B16" s="422"/>
    </row>
    <row r="17" spans="1:2" x14ac:dyDescent="0.3">
      <c r="A17" s="422">
        <v>0</v>
      </c>
      <c r="B17" s="422"/>
    </row>
    <row r="18" spans="1:2" x14ac:dyDescent="0.3">
      <c r="A18" s="422">
        <f>입력표!N45/2/1000</f>
        <v>0.1</v>
      </c>
      <c r="B18" s="422"/>
    </row>
    <row r="19" spans="1:2" x14ac:dyDescent="0.3">
      <c r="A19" s="422">
        <f>입력표!M44/2/1000</f>
        <v>0.1</v>
      </c>
      <c r="B19" s="422"/>
    </row>
    <row r="20" spans="1:2" x14ac:dyDescent="0.3">
      <c r="A20" s="422">
        <v>0</v>
      </c>
      <c r="B20" s="422"/>
    </row>
    <row r="21" spans="1:2" x14ac:dyDescent="0.3">
      <c r="A21" s="422">
        <v>0</v>
      </c>
      <c r="B21" s="422"/>
    </row>
    <row r="22" spans="1:2" x14ac:dyDescent="0.3">
      <c r="A22" s="422">
        <v>1</v>
      </c>
      <c r="B22" s="422"/>
    </row>
    <row r="23" spans="1:2" x14ac:dyDescent="0.3">
      <c r="A23" s="422">
        <v>5</v>
      </c>
      <c r="B23" s="422"/>
    </row>
    <row r="24" spans="1:2" x14ac:dyDescent="0.3">
      <c r="A24" s="424">
        <v>0</v>
      </c>
      <c r="B24" s="424">
        <f>입력표!D3</f>
        <v>33</v>
      </c>
    </row>
    <row r="25" spans="1:2" x14ac:dyDescent="0.3">
      <c r="A25" s="424">
        <f>단계양수시험!D31</f>
        <v>120</v>
      </c>
      <c r="B25" s="424">
        <f>입력표!D4</f>
        <v>42</v>
      </c>
    </row>
    <row r="26" spans="1:2" x14ac:dyDescent="0.3">
      <c r="A26" s="424">
        <f>단계양수시험!D36</f>
        <v>240</v>
      </c>
      <c r="B26" s="424">
        <f>입력표!D5</f>
        <v>51.85</v>
      </c>
    </row>
    <row r="27" spans="1:2" x14ac:dyDescent="0.3">
      <c r="A27" s="424">
        <f>단계양수시험!D41</f>
        <v>360</v>
      </c>
      <c r="B27" s="424">
        <f>입력표!D6</f>
        <v>61</v>
      </c>
    </row>
    <row r="28" spans="1:2" x14ac:dyDescent="0.3">
      <c r="A28" s="424">
        <f>단계양수시험!D46</f>
        <v>480</v>
      </c>
      <c r="B28" s="424">
        <f>입력표!D7</f>
        <v>70.149999999999991</v>
      </c>
    </row>
    <row r="29" spans="1:2" x14ac:dyDescent="0.3">
      <c r="A29" s="422" t="s">
        <v>104</v>
      </c>
      <c r="B29" s="422"/>
    </row>
    <row r="30" spans="1:2" x14ac:dyDescent="0.3">
      <c r="A30" s="422" t="str">
        <f>A15</f>
        <v>W-9</v>
      </c>
      <c r="B30" s="422"/>
    </row>
    <row r="31" spans="1:2" x14ac:dyDescent="0.3">
      <c r="A31" s="425">
        <f>A19</f>
        <v>0.1</v>
      </c>
      <c r="B31" s="422"/>
    </row>
    <row r="32" spans="1:2" x14ac:dyDescent="0.3">
      <c r="A32" s="422">
        <v>0</v>
      </c>
      <c r="B32" s="422"/>
    </row>
    <row r="33" spans="1:3" x14ac:dyDescent="0.3">
      <c r="A33" s="422">
        <v>0</v>
      </c>
      <c r="B33" s="422"/>
    </row>
    <row r="34" spans="1:3" x14ac:dyDescent="0.3">
      <c r="A34" s="424">
        <f>SUM(C35:C134)</f>
        <v>100</v>
      </c>
      <c r="B34" s="422"/>
    </row>
    <row r="35" spans="1:3" x14ac:dyDescent="0.3">
      <c r="A35" s="422">
        <f>Sheet1!A1</f>
        <v>1</v>
      </c>
      <c r="B35" s="423">
        <f>Sheet1!B1</f>
        <v>1</v>
      </c>
      <c r="C35" s="424">
        <v>1</v>
      </c>
    </row>
    <row r="36" spans="1:3" x14ac:dyDescent="0.3">
      <c r="A36" s="422">
        <f>Sheet1!A2</f>
        <v>2</v>
      </c>
      <c r="B36" s="423">
        <f>Sheet1!B2</f>
        <v>1.59</v>
      </c>
      <c r="C36" s="424">
        <v>1</v>
      </c>
    </row>
    <row r="37" spans="1:3" x14ac:dyDescent="0.3">
      <c r="A37" s="422">
        <f>Sheet1!A3</f>
        <v>3</v>
      </c>
      <c r="B37" s="423">
        <f>Sheet1!B3</f>
        <v>1.94</v>
      </c>
      <c r="C37" s="424">
        <v>1</v>
      </c>
    </row>
    <row r="38" spans="1:3" x14ac:dyDescent="0.3">
      <c r="A38" s="422">
        <f>Sheet1!A4</f>
        <v>4</v>
      </c>
      <c r="B38" s="423">
        <f>Sheet1!B4</f>
        <v>2.19</v>
      </c>
      <c r="C38" s="424">
        <v>1</v>
      </c>
    </row>
    <row r="39" spans="1:3" x14ac:dyDescent="0.3">
      <c r="A39" s="422">
        <f>Sheet1!A5</f>
        <v>5</v>
      </c>
      <c r="B39" s="423">
        <f>Sheet1!B5</f>
        <v>2.38</v>
      </c>
      <c r="C39" s="424">
        <v>1</v>
      </c>
    </row>
    <row r="40" spans="1:3" x14ac:dyDescent="0.3">
      <c r="A40" s="422">
        <f>Sheet1!A6</f>
        <v>10</v>
      </c>
      <c r="B40" s="423">
        <f>Sheet1!B6</f>
        <v>2.98</v>
      </c>
      <c r="C40" s="424">
        <v>1</v>
      </c>
    </row>
    <row r="41" spans="1:3" x14ac:dyDescent="0.3">
      <c r="A41" s="422">
        <f>Sheet1!A7</f>
        <v>15</v>
      </c>
      <c r="B41" s="423">
        <f>Sheet1!B7</f>
        <v>3.33</v>
      </c>
      <c r="C41" s="424">
        <v>1</v>
      </c>
    </row>
    <row r="42" spans="1:3" x14ac:dyDescent="0.3">
      <c r="A42" s="422">
        <f>Sheet1!A8</f>
        <v>20</v>
      </c>
      <c r="B42" s="423">
        <f>Sheet1!B8</f>
        <v>3.57</v>
      </c>
      <c r="C42" s="424">
        <v>1</v>
      </c>
    </row>
    <row r="43" spans="1:3" x14ac:dyDescent="0.3">
      <c r="A43" s="422">
        <f>Sheet1!A9</f>
        <v>25</v>
      </c>
      <c r="B43" s="423">
        <f>Sheet1!B9</f>
        <v>3.77</v>
      </c>
      <c r="C43" s="424">
        <v>1</v>
      </c>
    </row>
    <row r="44" spans="1:3" x14ac:dyDescent="0.3">
      <c r="A44" s="422">
        <f>Sheet1!A10</f>
        <v>30</v>
      </c>
      <c r="B44" s="423">
        <f>Sheet1!B10</f>
        <v>3.92</v>
      </c>
      <c r="C44" s="424">
        <v>1</v>
      </c>
    </row>
    <row r="45" spans="1:3" x14ac:dyDescent="0.3">
      <c r="A45" s="422">
        <f>Sheet1!A11</f>
        <v>35</v>
      </c>
      <c r="B45" s="423">
        <f>Sheet1!B11</f>
        <v>4.0599999999999996</v>
      </c>
      <c r="C45" s="424">
        <v>1</v>
      </c>
    </row>
    <row r="46" spans="1:3" x14ac:dyDescent="0.3">
      <c r="A46" s="422">
        <f>Sheet1!A12</f>
        <v>40</v>
      </c>
      <c r="B46" s="423">
        <f>Sheet1!B12</f>
        <v>4.17</v>
      </c>
      <c r="C46" s="424">
        <v>1</v>
      </c>
    </row>
    <row r="47" spans="1:3" x14ac:dyDescent="0.3">
      <c r="A47" s="422">
        <f>Sheet1!A13</f>
        <v>45</v>
      </c>
      <c r="B47" s="423">
        <f>Sheet1!B13</f>
        <v>4.2699999999999996</v>
      </c>
      <c r="C47" s="424">
        <v>1</v>
      </c>
    </row>
    <row r="48" spans="1:3" x14ac:dyDescent="0.3">
      <c r="A48" s="422">
        <f>Sheet1!A14</f>
        <v>50</v>
      </c>
      <c r="B48" s="423">
        <f>Sheet1!B14</f>
        <v>4.3600000000000003</v>
      </c>
      <c r="C48" s="424">
        <v>1</v>
      </c>
    </row>
    <row r="49" spans="1:3" x14ac:dyDescent="0.3">
      <c r="A49" s="422">
        <f>Sheet1!A15</f>
        <v>55</v>
      </c>
      <c r="B49" s="423">
        <f>Sheet1!B15</f>
        <v>4.4400000000000004</v>
      </c>
      <c r="C49" s="424">
        <v>1</v>
      </c>
    </row>
    <row r="50" spans="1:3" x14ac:dyDescent="0.3">
      <c r="A50" s="422">
        <f>Sheet1!A16</f>
        <v>60</v>
      </c>
      <c r="B50" s="423">
        <f>Sheet1!B16</f>
        <v>4.5199999999999996</v>
      </c>
      <c r="C50" s="424">
        <v>1</v>
      </c>
    </row>
    <row r="51" spans="1:3" x14ac:dyDescent="0.3">
      <c r="A51" s="422">
        <f>Sheet1!A17</f>
        <v>75</v>
      </c>
      <c r="B51" s="423">
        <f>Sheet1!B17</f>
        <v>4.71</v>
      </c>
      <c r="C51" s="424">
        <v>1</v>
      </c>
    </row>
    <row r="52" spans="1:3" x14ac:dyDescent="0.3">
      <c r="A52" s="422">
        <f>Sheet1!A18</f>
        <v>90</v>
      </c>
      <c r="B52" s="423">
        <f>Sheet1!B18</f>
        <v>4.87</v>
      </c>
      <c r="C52" s="424">
        <v>1</v>
      </c>
    </row>
    <row r="53" spans="1:3" x14ac:dyDescent="0.3">
      <c r="A53" s="422">
        <f>Sheet1!A19</f>
        <v>105</v>
      </c>
      <c r="B53" s="423">
        <f>Sheet1!B19</f>
        <v>5</v>
      </c>
      <c r="C53" s="424">
        <v>1</v>
      </c>
    </row>
    <row r="54" spans="1:3" x14ac:dyDescent="0.3">
      <c r="A54" s="422">
        <f>Sheet1!A20</f>
        <v>120</v>
      </c>
      <c r="B54" s="423">
        <f>Sheet1!B20</f>
        <v>5.12</v>
      </c>
      <c r="C54" s="424">
        <v>1</v>
      </c>
    </row>
    <row r="55" spans="1:3" x14ac:dyDescent="0.3">
      <c r="A55" s="422">
        <f>Sheet1!A21</f>
        <v>121</v>
      </c>
      <c r="B55" s="423">
        <f>Sheet1!B21</f>
        <v>5.28</v>
      </c>
      <c r="C55" s="424">
        <v>1</v>
      </c>
    </row>
    <row r="56" spans="1:3" x14ac:dyDescent="0.3">
      <c r="A56" s="422">
        <f>Sheet1!A22</f>
        <v>122</v>
      </c>
      <c r="B56" s="423">
        <f>Sheet1!B22</f>
        <v>5.4300000000000006</v>
      </c>
      <c r="C56" s="424">
        <v>1</v>
      </c>
    </row>
    <row r="57" spans="1:3" x14ac:dyDescent="0.3">
      <c r="A57" s="422">
        <f>Sheet1!A23</f>
        <v>123</v>
      </c>
      <c r="B57" s="423">
        <f>Sheet1!B23</f>
        <v>5.57</v>
      </c>
      <c r="C57" s="424">
        <v>1</v>
      </c>
    </row>
    <row r="58" spans="1:3" x14ac:dyDescent="0.3">
      <c r="A58" s="422">
        <f>Sheet1!A24</f>
        <v>124</v>
      </c>
      <c r="B58" s="423">
        <f>Sheet1!B24</f>
        <v>5.7</v>
      </c>
      <c r="C58" s="424">
        <v>1</v>
      </c>
    </row>
    <row r="59" spans="1:3" x14ac:dyDescent="0.3">
      <c r="A59" s="422">
        <f>Sheet1!A25</f>
        <v>125</v>
      </c>
      <c r="B59" s="423">
        <f>Sheet1!B25</f>
        <v>5.83</v>
      </c>
      <c r="C59" s="424">
        <v>1</v>
      </c>
    </row>
    <row r="60" spans="1:3" x14ac:dyDescent="0.3">
      <c r="A60" s="422">
        <f>Sheet1!A26</f>
        <v>130</v>
      </c>
      <c r="B60" s="423">
        <f>Sheet1!B26</f>
        <v>6.14</v>
      </c>
      <c r="C60" s="424">
        <v>1</v>
      </c>
    </row>
    <row r="61" spans="1:3" x14ac:dyDescent="0.3">
      <c r="A61" s="422">
        <f>Sheet1!A27</f>
        <v>135</v>
      </c>
      <c r="B61" s="423">
        <f>Sheet1!B27</f>
        <v>6.25</v>
      </c>
      <c r="C61" s="424">
        <v>1</v>
      </c>
    </row>
    <row r="62" spans="1:3" x14ac:dyDescent="0.3">
      <c r="A62" s="422">
        <f>Sheet1!A28</f>
        <v>140</v>
      </c>
      <c r="B62" s="423">
        <f>Sheet1!B28</f>
        <v>6.31</v>
      </c>
      <c r="C62" s="424">
        <v>1</v>
      </c>
    </row>
    <row r="63" spans="1:3" x14ac:dyDescent="0.3">
      <c r="A63" s="422">
        <f>Sheet1!A29</f>
        <v>145</v>
      </c>
      <c r="B63" s="423">
        <f>Sheet1!B29</f>
        <v>6.4099999999999993</v>
      </c>
      <c r="C63" s="424">
        <v>1</v>
      </c>
    </row>
    <row r="64" spans="1:3" x14ac:dyDescent="0.3">
      <c r="A64" s="422">
        <f>Sheet1!A30</f>
        <v>150</v>
      </c>
      <c r="B64" s="423">
        <f>Sheet1!B30</f>
        <v>6.48</v>
      </c>
      <c r="C64" s="424">
        <v>1</v>
      </c>
    </row>
    <row r="65" spans="1:3" x14ac:dyDescent="0.3">
      <c r="A65" s="422">
        <f>Sheet1!A31</f>
        <v>155</v>
      </c>
      <c r="B65" s="423">
        <f>Sheet1!B31</f>
        <v>6.54</v>
      </c>
      <c r="C65" s="424">
        <v>1</v>
      </c>
    </row>
    <row r="66" spans="1:3" x14ac:dyDescent="0.3">
      <c r="A66" s="422">
        <f>Sheet1!A32</f>
        <v>160</v>
      </c>
      <c r="B66" s="423">
        <f>Sheet1!B32</f>
        <v>6.59</v>
      </c>
      <c r="C66" s="424">
        <v>1</v>
      </c>
    </row>
    <row r="67" spans="1:3" x14ac:dyDescent="0.3">
      <c r="A67" s="422">
        <f>Sheet1!A33</f>
        <v>165</v>
      </c>
      <c r="B67" s="423">
        <f>Sheet1!B33</f>
        <v>6.63</v>
      </c>
      <c r="C67" s="424">
        <v>1</v>
      </c>
    </row>
    <row r="68" spans="1:3" x14ac:dyDescent="0.3">
      <c r="A68" s="422">
        <f>Sheet1!A34</f>
        <v>170</v>
      </c>
      <c r="B68" s="423">
        <f>Sheet1!B34</f>
        <v>6.66</v>
      </c>
      <c r="C68" s="424">
        <v>1</v>
      </c>
    </row>
    <row r="69" spans="1:3" x14ac:dyDescent="0.3">
      <c r="A69" s="422">
        <f>Sheet1!A35</f>
        <v>175</v>
      </c>
      <c r="B69" s="423">
        <f>Sheet1!B35</f>
        <v>6.68</v>
      </c>
      <c r="C69" s="424">
        <v>1</v>
      </c>
    </row>
    <row r="70" spans="1:3" x14ac:dyDescent="0.3">
      <c r="A70" s="422">
        <f>Sheet1!A36</f>
        <v>180</v>
      </c>
      <c r="B70" s="423">
        <f>Sheet1!B36</f>
        <v>6.65</v>
      </c>
      <c r="C70" s="424">
        <v>1</v>
      </c>
    </row>
    <row r="71" spans="1:3" x14ac:dyDescent="0.3">
      <c r="A71" s="422">
        <f>Sheet1!A37</f>
        <v>195</v>
      </c>
      <c r="B71" s="423">
        <f>Sheet1!B37</f>
        <v>6.7200000000000006</v>
      </c>
      <c r="C71" s="424">
        <v>1</v>
      </c>
    </row>
    <row r="72" spans="1:3" x14ac:dyDescent="0.3">
      <c r="A72" s="422">
        <f>Sheet1!A38</f>
        <v>210</v>
      </c>
      <c r="B72" s="423">
        <f>Sheet1!B38</f>
        <v>6.78</v>
      </c>
      <c r="C72" s="424">
        <v>1</v>
      </c>
    </row>
    <row r="73" spans="1:3" x14ac:dyDescent="0.3">
      <c r="A73" s="422">
        <f>Sheet1!A39</f>
        <v>225</v>
      </c>
      <c r="B73" s="423">
        <f>Sheet1!B39</f>
        <v>6.83</v>
      </c>
      <c r="C73" s="424">
        <v>1</v>
      </c>
    </row>
    <row r="74" spans="1:3" x14ac:dyDescent="0.3">
      <c r="A74" s="422">
        <f>Sheet1!A40</f>
        <v>240</v>
      </c>
      <c r="B74" s="423">
        <f>Sheet1!B40</f>
        <v>6.83</v>
      </c>
      <c r="C74" s="424">
        <v>1</v>
      </c>
    </row>
    <row r="75" spans="1:3" x14ac:dyDescent="0.3">
      <c r="A75" s="422">
        <f>Sheet1!A41</f>
        <v>241</v>
      </c>
      <c r="B75" s="423">
        <f>Sheet1!B41</f>
        <v>7.01</v>
      </c>
      <c r="C75" s="424">
        <v>1</v>
      </c>
    </row>
    <row r="76" spans="1:3" x14ac:dyDescent="0.3">
      <c r="A76" s="422">
        <f>Sheet1!A42</f>
        <v>242</v>
      </c>
      <c r="B76" s="423">
        <f>Sheet1!B42</f>
        <v>7.17</v>
      </c>
      <c r="C76" s="424">
        <v>1</v>
      </c>
    </row>
    <row r="77" spans="1:3" x14ac:dyDescent="0.3">
      <c r="A77" s="422">
        <f>Sheet1!A43</f>
        <v>243</v>
      </c>
      <c r="B77" s="423">
        <f>Sheet1!B43</f>
        <v>7.32</v>
      </c>
      <c r="C77" s="424">
        <v>1</v>
      </c>
    </row>
    <row r="78" spans="1:3" x14ac:dyDescent="0.3">
      <c r="A78" s="422">
        <f>Sheet1!A44</f>
        <v>244</v>
      </c>
      <c r="B78" s="423">
        <f>Sheet1!B44</f>
        <v>7.46</v>
      </c>
      <c r="C78" s="424">
        <v>1</v>
      </c>
    </row>
    <row r="79" spans="1:3" x14ac:dyDescent="0.3">
      <c r="A79" s="422">
        <f>Sheet1!A45</f>
        <v>245</v>
      </c>
      <c r="B79" s="423">
        <f>Sheet1!B45</f>
        <v>7.59</v>
      </c>
      <c r="C79" s="424">
        <v>1</v>
      </c>
    </row>
    <row r="80" spans="1:3" x14ac:dyDescent="0.3">
      <c r="A80" s="422">
        <f>Sheet1!A46</f>
        <v>250</v>
      </c>
      <c r="B80" s="423">
        <f>Sheet1!B46</f>
        <v>8.09</v>
      </c>
      <c r="C80" s="424">
        <v>1</v>
      </c>
    </row>
    <row r="81" spans="1:3" x14ac:dyDescent="0.3">
      <c r="A81" s="422">
        <f>Sheet1!A47</f>
        <v>255</v>
      </c>
      <c r="B81" s="423">
        <f>Sheet1!B47</f>
        <v>8.1999999999999993</v>
      </c>
      <c r="C81" s="424">
        <v>1</v>
      </c>
    </row>
    <row r="82" spans="1:3" x14ac:dyDescent="0.3">
      <c r="A82" s="422">
        <f>Sheet1!A48</f>
        <v>260</v>
      </c>
      <c r="B82" s="423">
        <f>Sheet1!B48</f>
        <v>8.3000000000000007</v>
      </c>
      <c r="C82" s="424">
        <v>1</v>
      </c>
    </row>
    <row r="83" spans="1:3" x14ac:dyDescent="0.3">
      <c r="A83" s="422">
        <f>Sheet1!A49</f>
        <v>265</v>
      </c>
      <c r="B83" s="423">
        <f>Sheet1!B49</f>
        <v>8.41</v>
      </c>
      <c r="C83" s="424">
        <v>1</v>
      </c>
    </row>
    <row r="84" spans="1:3" x14ac:dyDescent="0.3">
      <c r="A84" s="422">
        <f>Sheet1!A50</f>
        <v>270</v>
      </c>
      <c r="B84" s="423">
        <f>Sheet1!B50</f>
        <v>8.51</v>
      </c>
      <c r="C84" s="424">
        <v>1</v>
      </c>
    </row>
    <row r="85" spans="1:3" x14ac:dyDescent="0.3">
      <c r="A85" s="422">
        <f>Sheet1!A51</f>
        <v>275</v>
      </c>
      <c r="B85" s="423">
        <f>Sheet1!B51</f>
        <v>8.58</v>
      </c>
      <c r="C85" s="424">
        <v>1</v>
      </c>
    </row>
    <row r="86" spans="1:3" x14ac:dyDescent="0.3">
      <c r="A86" s="422">
        <f>Sheet1!A52</f>
        <v>280</v>
      </c>
      <c r="B86" s="423">
        <f>Sheet1!B52</f>
        <v>8.6300000000000008</v>
      </c>
      <c r="C86" s="424">
        <v>1</v>
      </c>
    </row>
    <row r="87" spans="1:3" x14ac:dyDescent="0.3">
      <c r="A87" s="422">
        <f>Sheet1!A53</f>
        <v>285</v>
      </c>
      <c r="B87" s="423">
        <f>Sheet1!B53</f>
        <v>8.67</v>
      </c>
      <c r="C87" s="424">
        <v>1</v>
      </c>
    </row>
    <row r="88" spans="1:3" x14ac:dyDescent="0.3">
      <c r="A88" s="422">
        <f>Sheet1!A54</f>
        <v>290</v>
      </c>
      <c r="B88" s="423">
        <f>Sheet1!B54</f>
        <v>8.6999999999999993</v>
      </c>
      <c r="C88" s="424">
        <v>1</v>
      </c>
    </row>
    <row r="89" spans="1:3" x14ac:dyDescent="0.3">
      <c r="A89" s="422">
        <f>Sheet1!A55</f>
        <v>295</v>
      </c>
      <c r="B89" s="423">
        <f>Sheet1!B55</f>
        <v>8.7199999999999989</v>
      </c>
      <c r="C89" s="424">
        <v>1</v>
      </c>
    </row>
    <row r="90" spans="1:3" x14ac:dyDescent="0.3">
      <c r="A90" s="422">
        <f>Sheet1!A56</f>
        <v>300</v>
      </c>
      <c r="B90" s="423">
        <f>Sheet1!B56</f>
        <v>8.7200000000000006</v>
      </c>
      <c r="C90" s="424">
        <v>1</v>
      </c>
    </row>
    <row r="91" spans="1:3" x14ac:dyDescent="0.3">
      <c r="A91" s="422">
        <f>Sheet1!A57</f>
        <v>315</v>
      </c>
      <c r="B91" s="423">
        <f>Sheet1!B57</f>
        <v>8.8000000000000007</v>
      </c>
      <c r="C91" s="424">
        <v>1</v>
      </c>
    </row>
    <row r="92" spans="1:3" x14ac:dyDescent="0.3">
      <c r="A92" s="422">
        <f>Sheet1!A58</f>
        <v>330</v>
      </c>
      <c r="B92" s="423">
        <f>Sheet1!B58</f>
        <v>8.8600000000000012</v>
      </c>
      <c r="C92" s="424">
        <v>1</v>
      </c>
    </row>
    <row r="93" spans="1:3" x14ac:dyDescent="0.3">
      <c r="A93" s="422">
        <f>Sheet1!A59</f>
        <v>345</v>
      </c>
      <c r="B93" s="423">
        <f>Sheet1!B59</f>
        <v>8.9100000000000019</v>
      </c>
      <c r="C93" s="424">
        <v>1</v>
      </c>
    </row>
    <row r="94" spans="1:3" x14ac:dyDescent="0.3">
      <c r="A94" s="422">
        <f>Sheet1!A60</f>
        <v>360</v>
      </c>
      <c r="B94" s="423">
        <f>Sheet1!B60</f>
        <v>8.93</v>
      </c>
      <c r="C94" s="424">
        <v>1</v>
      </c>
    </row>
    <row r="95" spans="1:3" x14ac:dyDescent="0.3">
      <c r="A95" s="422">
        <f>Sheet1!A61</f>
        <v>361</v>
      </c>
      <c r="B95" s="423">
        <f>Sheet1!B61</f>
        <v>9.1199999999999992</v>
      </c>
      <c r="C95" s="424">
        <v>1</v>
      </c>
    </row>
    <row r="96" spans="1:3" x14ac:dyDescent="0.3">
      <c r="A96" s="422">
        <f>Sheet1!A62</f>
        <v>362</v>
      </c>
      <c r="B96" s="423">
        <f>Sheet1!B62</f>
        <v>9.2899999999999991</v>
      </c>
      <c r="C96" s="424">
        <v>1</v>
      </c>
    </row>
    <row r="97" spans="1:3" x14ac:dyDescent="0.3">
      <c r="A97" s="422">
        <f>Sheet1!A63</f>
        <v>363</v>
      </c>
      <c r="B97" s="423">
        <f>Sheet1!B63</f>
        <v>9.4499999999999993</v>
      </c>
      <c r="C97" s="424">
        <v>1</v>
      </c>
    </row>
    <row r="98" spans="1:3" x14ac:dyDescent="0.3">
      <c r="A98" s="422">
        <f>Sheet1!A64</f>
        <v>364</v>
      </c>
      <c r="B98" s="423">
        <f>Sheet1!B64</f>
        <v>9.6</v>
      </c>
      <c r="C98" s="424">
        <v>1</v>
      </c>
    </row>
    <row r="99" spans="1:3" x14ac:dyDescent="0.3">
      <c r="A99" s="422">
        <f>Sheet1!A65</f>
        <v>365</v>
      </c>
      <c r="B99" s="423">
        <f>Sheet1!B65</f>
        <v>9.74</v>
      </c>
      <c r="C99" s="424">
        <v>1</v>
      </c>
    </row>
    <row r="100" spans="1:3" x14ac:dyDescent="0.3">
      <c r="A100" s="422">
        <f>Sheet1!A66</f>
        <v>370</v>
      </c>
      <c r="B100" s="423">
        <f>Sheet1!B66</f>
        <v>10.24</v>
      </c>
      <c r="C100" s="424">
        <v>1</v>
      </c>
    </row>
    <row r="101" spans="1:3" x14ac:dyDescent="0.3">
      <c r="A101" s="422">
        <f>Sheet1!A67</f>
        <v>375</v>
      </c>
      <c r="B101" s="423">
        <f>Sheet1!B67</f>
        <v>10.36</v>
      </c>
      <c r="C101" s="424">
        <v>1</v>
      </c>
    </row>
    <row r="102" spans="1:3" x14ac:dyDescent="0.3">
      <c r="A102" s="422">
        <f>Sheet1!A68</f>
        <v>380</v>
      </c>
      <c r="B102" s="423">
        <f>Sheet1!B68</f>
        <v>10.46</v>
      </c>
      <c r="C102" s="424">
        <v>1</v>
      </c>
    </row>
    <row r="103" spans="1:3" x14ac:dyDescent="0.3">
      <c r="A103" s="422">
        <f>Sheet1!A69</f>
        <v>385</v>
      </c>
      <c r="B103" s="423">
        <f>Sheet1!B69</f>
        <v>10.58</v>
      </c>
      <c r="C103" s="424">
        <v>1</v>
      </c>
    </row>
    <row r="104" spans="1:3" x14ac:dyDescent="0.3">
      <c r="A104" s="422">
        <f>Sheet1!A70</f>
        <v>390</v>
      </c>
      <c r="B104" s="423">
        <f>Sheet1!B70</f>
        <v>10.68</v>
      </c>
      <c r="C104" s="424">
        <v>1</v>
      </c>
    </row>
    <row r="105" spans="1:3" x14ac:dyDescent="0.3">
      <c r="A105" s="422">
        <f>Sheet1!A71</f>
        <v>395</v>
      </c>
      <c r="B105" s="423">
        <f>Sheet1!B71</f>
        <v>10.75</v>
      </c>
      <c r="C105" s="424">
        <v>1</v>
      </c>
    </row>
    <row r="106" spans="1:3" x14ac:dyDescent="0.3">
      <c r="A106" s="422">
        <f>Sheet1!A72</f>
        <v>400</v>
      </c>
      <c r="B106" s="423">
        <f>Sheet1!B72</f>
        <v>10.8</v>
      </c>
      <c r="C106" s="424">
        <v>1</v>
      </c>
    </row>
    <row r="107" spans="1:3" x14ac:dyDescent="0.3">
      <c r="A107" s="422">
        <f>Sheet1!A73</f>
        <v>405</v>
      </c>
      <c r="B107" s="423">
        <f>Sheet1!B73</f>
        <v>10.84</v>
      </c>
      <c r="C107" s="424">
        <v>1</v>
      </c>
    </row>
    <row r="108" spans="1:3" x14ac:dyDescent="0.3">
      <c r="A108" s="422">
        <f>Sheet1!A74</f>
        <v>410</v>
      </c>
      <c r="B108" s="423">
        <f>Sheet1!B74</f>
        <v>10.87</v>
      </c>
      <c r="C108" s="424">
        <v>1</v>
      </c>
    </row>
    <row r="109" spans="1:3" x14ac:dyDescent="0.3">
      <c r="A109" s="422">
        <f>Sheet1!A75</f>
        <v>415</v>
      </c>
      <c r="B109" s="423">
        <f>Sheet1!B75</f>
        <v>10.899999999999999</v>
      </c>
      <c r="C109" s="424">
        <v>1</v>
      </c>
    </row>
    <row r="110" spans="1:3" x14ac:dyDescent="0.3">
      <c r="A110" s="422">
        <f>Sheet1!A76</f>
        <v>420</v>
      </c>
      <c r="B110" s="423">
        <f>Sheet1!B76</f>
        <v>10.9</v>
      </c>
      <c r="C110" s="424">
        <v>1</v>
      </c>
    </row>
    <row r="111" spans="1:3" x14ac:dyDescent="0.3">
      <c r="A111" s="422">
        <f>Sheet1!A77</f>
        <v>435</v>
      </c>
      <c r="B111" s="423">
        <f>Sheet1!B77</f>
        <v>10.99</v>
      </c>
      <c r="C111" s="424">
        <v>1</v>
      </c>
    </row>
    <row r="112" spans="1:3" x14ac:dyDescent="0.3">
      <c r="A112" s="422">
        <f>Sheet1!A78</f>
        <v>450</v>
      </c>
      <c r="B112" s="423">
        <f>Sheet1!B78</f>
        <v>11.06</v>
      </c>
      <c r="C112" s="424">
        <v>1</v>
      </c>
    </row>
    <row r="113" spans="1:3" x14ac:dyDescent="0.3">
      <c r="A113" s="422">
        <f>Sheet1!A79</f>
        <v>465</v>
      </c>
      <c r="B113" s="423">
        <f>Sheet1!B79</f>
        <v>11.110000000000001</v>
      </c>
      <c r="C113" s="424">
        <v>1</v>
      </c>
    </row>
    <row r="114" spans="1:3" x14ac:dyDescent="0.3">
      <c r="A114" s="422">
        <f>Sheet1!A80</f>
        <v>480</v>
      </c>
      <c r="B114" s="423">
        <f>Sheet1!B80</f>
        <v>11.12</v>
      </c>
      <c r="C114" s="424">
        <v>1</v>
      </c>
    </row>
    <row r="115" spans="1:3" x14ac:dyDescent="0.3">
      <c r="A115" s="422">
        <f>Sheet1!A81</f>
        <v>481</v>
      </c>
      <c r="B115" s="423">
        <f>Sheet1!B81</f>
        <v>11.33</v>
      </c>
      <c r="C115" s="424">
        <v>1</v>
      </c>
    </row>
    <row r="116" spans="1:3" x14ac:dyDescent="0.3">
      <c r="A116" s="422">
        <f>Sheet1!A82</f>
        <v>482</v>
      </c>
      <c r="B116" s="423">
        <f>Sheet1!B82</f>
        <v>11.52</v>
      </c>
      <c r="C116" s="424">
        <v>1</v>
      </c>
    </row>
    <row r="117" spans="1:3" x14ac:dyDescent="0.3">
      <c r="A117" s="422">
        <f>Sheet1!A83</f>
        <v>483</v>
      </c>
      <c r="B117" s="423">
        <f>Sheet1!B83</f>
        <v>11.69</v>
      </c>
      <c r="C117" s="424">
        <v>1</v>
      </c>
    </row>
    <row r="118" spans="1:3" x14ac:dyDescent="0.3">
      <c r="A118" s="422">
        <f>Sheet1!A84</f>
        <v>484</v>
      </c>
      <c r="B118" s="423">
        <f>Sheet1!B84</f>
        <v>11.85</v>
      </c>
      <c r="C118" s="424">
        <v>1</v>
      </c>
    </row>
    <row r="119" spans="1:3" x14ac:dyDescent="0.3">
      <c r="A119" s="422">
        <f>Sheet1!A85</f>
        <v>485</v>
      </c>
      <c r="B119" s="423">
        <f>Sheet1!B85</f>
        <v>11.99</v>
      </c>
      <c r="C119" s="424">
        <v>1</v>
      </c>
    </row>
    <row r="120" spans="1:3" x14ac:dyDescent="0.3">
      <c r="A120" s="422">
        <f>Sheet1!A86</f>
        <v>490</v>
      </c>
      <c r="B120" s="423">
        <f>Sheet1!B86</f>
        <v>12.45</v>
      </c>
      <c r="C120" s="424">
        <v>1</v>
      </c>
    </row>
    <row r="121" spans="1:3" x14ac:dyDescent="0.3">
      <c r="A121" s="422">
        <f>Sheet1!A87</f>
        <v>495</v>
      </c>
      <c r="B121" s="423">
        <f>Sheet1!B87</f>
        <v>12.76</v>
      </c>
      <c r="C121" s="424">
        <v>1</v>
      </c>
    </row>
    <row r="122" spans="1:3" x14ac:dyDescent="0.3">
      <c r="A122" s="422">
        <f>Sheet1!A88</f>
        <v>500</v>
      </c>
      <c r="B122" s="423">
        <f>Sheet1!B88</f>
        <v>12.95</v>
      </c>
      <c r="C122" s="424">
        <v>1</v>
      </c>
    </row>
    <row r="123" spans="1:3" x14ac:dyDescent="0.3">
      <c r="A123" s="422">
        <f>Sheet1!A89</f>
        <v>505</v>
      </c>
      <c r="B123" s="423">
        <f>Sheet1!B89</f>
        <v>13.25</v>
      </c>
      <c r="C123" s="424">
        <v>1</v>
      </c>
    </row>
    <row r="124" spans="1:3" x14ac:dyDescent="0.3">
      <c r="A124" s="422">
        <f>Sheet1!A90</f>
        <v>510</v>
      </c>
      <c r="B124" s="423">
        <f>Sheet1!B90</f>
        <v>13.45</v>
      </c>
      <c r="C124" s="424">
        <v>1</v>
      </c>
    </row>
    <row r="125" spans="1:3" x14ac:dyDescent="0.3">
      <c r="A125" s="422">
        <f>Sheet1!A91</f>
        <v>515</v>
      </c>
      <c r="B125" s="423">
        <f>Sheet1!B91</f>
        <v>13.6</v>
      </c>
      <c r="C125" s="424">
        <v>1</v>
      </c>
    </row>
    <row r="126" spans="1:3" x14ac:dyDescent="0.3">
      <c r="A126" s="422">
        <f>Sheet1!A92</f>
        <v>520</v>
      </c>
      <c r="B126" s="423">
        <f>Sheet1!B92</f>
        <v>13.73</v>
      </c>
      <c r="C126" s="424">
        <v>1</v>
      </c>
    </row>
    <row r="127" spans="1:3" x14ac:dyDescent="0.3">
      <c r="A127" s="422">
        <f>Sheet1!A93</f>
        <v>525</v>
      </c>
      <c r="B127" s="423">
        <f>Sheet1!B93</f>
        <v>13.84</v>
      </c>
      <c r="C127" s="424">
        <v>1</v>
      </c>
    </row>
    <row r="128" spans="1:3" x14ac:dyDescent="0.3">
      <c r="A128" s="422">
        <f>Sheet1!A94</f>
        <v>530</v>
      </c>
      <c r="B128" s="423">
        <f>Sheet1!B94</f>
        <v>13.92</v>
      </c>
      <c r="C128" s="424">
        <v>1</v>
      </c>
    </row>
    <row r="129" spans="1:3" x14ac:dyDescent="0.3">
      <c r="A129" s="422">
        <f>Sheet1!A95</f>
        <v>535</v>
      </c>
      <c r="B129" s="423">
        <f>Sheet1!B95</f>
        <v>13.99</v>
      </c>
      <c r="C129" s="424">
        <v>1</v>
      </c>
    </row>
    <row r="130" spans="1:3" x14ac:dyDescent="0.3">
      <c r="A130" s="422">
        <f>Sheet1!A96</f>
        <v>540</v>
      </c>
      <c r="B130" s="423">
        <f>Sheet1!B96</f>
        <v>13.95</v>
      </c>
      <c r="C130" s="424">
        <v>1</v>
      </c>
    </row>
    <row r="131" spans="1:3" x14ac:dyDescent="0.3">
      <c r="A131" s="422">
        <f>Sheet1!A97</f>
        <v>555</v>
      </c>
      <c r="B131" s="423">
        <f>Sheet1!B97</f>
        <v>14.139999999999999</v>
      </c>
      <c r="C131" s="424">
        <v>1</v>
      </c>
    </row>
    <row r="132" spans="1:3" x14ac:dyDescent="0.3">
      <c r="A132" s="422">
        <f>Sheet1!A98</f>
        <v>570</v>
      </c>
      <c r="B132" s="423">
        <f>Sheet1!B98</f>
        <v>14.299999999999999</v>
      </c>
      <c r="C132" s="424">
        <v>1</v>
      </c>
    </row>
    <row r="133" spans="1:3" x14ac:dyDescent="0.3">
      <c r="A133" s="422">
        <f>Sheet1!A99</f>
        <v>585</v>
      </c>
      <c r="B133" s="423">
        <f>Sheet1!B99</f>
        <v>14.44</v>
      </c>
      <c r="C133" s="424">
        <v>1</v>
      </c>
    </row>
    <row r="134" spans="1:3" x14ac:dyDescent="0.3">
      <c r="A134" s="422">
        <f>Sheet1!A100</f>
        <v>600</v>
      </c>
      <c r="B134" s="423">
        <f>Sheet1!B100</f>
        <v>14.45</v>
      </c>
      <c r="C134" s="424">
        <v>1</v>
      </c>
    </row>
    <row r="135" spans="1:3" x14ac:dyDescent="0.3">
      <c r="A135" s="422" t="s">
        <v>105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6.5" x14ac:dyDescent="0.3"/>
  <cols>
    <col min="1" max="1" width="8.88671875" style="422"/>
    <col min="2" max="3" width="8.88671875" style="423"/>
    <col min="4" max="16384" width="8.88671875" style="422"/>
  </cols>
  <sheetData>
    <row r="1" spans="1:2" x14ac:dyDescent="0.3">
      <c r="B1" s="422"/>
    </row>
    <row r="2" spans="1:2" x14ac:dyDescent="0.3">
      <c r="A2" s="422" t="s">
        <v>98</v>
      </c>
      <c r="B2" s="422"/>
    </row>
    <row r="3" spans="1:2" x14ac:dyDescent="0.3">
      <c r="A3" s="422">
        <v>2</v>
      </c>
      <c r="B3" s="422"/>
    </row>
    <row r="4" spans="1:2" x14ac:dyDescent="0.3">
      <c r="A4" s="422">
        <v>1</v>
      </c>
      <c r="B4" s="422"/>
    </row>
    <row r="5" spans="1:2" x14ac:dyDescent="0.3">
      <c r="A5" s="422">
        <v>6</v>
      </c>
      <c r="B5" s="422"/>
    </row>
    <row r="6" spans="1:2" x14ac:dyDescent="0.3">
      <c r="A6" s="422" t="s">
        <v>99</v>
      </c>
      <c r="B6" s="422"/>
    </row>
    <row r="7" spans="1:2" x14ac:dyDescent="0.3">
      <c r="A7" s="422">
        <f>Step.Select!A7</f>
        <v>482</v>
      </c>
      <c r="B7" s="422"/>
    </row>
    <row r="8" spans="1:2" x14ac:dyDescent="0.3">
      <c r="A8" s="422" t="s">
        <v>100</v>
      </c>
      <c r="B8" s="422"/>
    </row>
    <row r="9" spans="1:2" x14ac:dyDescent="0.3">
      <c r="A9" s="422">
        <v>1</v>
      </c>
      <c r="B9" s="422"/>
    </row>
    <row r="10" spans="1:2" x14ac:dyDescent="0.3">
      <c r="A10" s="422" t="s">
        <v>101</v>
      </c>
      <c r="B10" s="422"/>
    </row>
    <row r="11" spans="1:2" x14ac:dyDescent="0.3">
      <c r="A11" s="422">
        <v>1</v>
      </c>
      <c r="B11" s="422"/>
    </row>
    <row r="12" spans="1:2" x14ac:dyDescent="0.3">
      <c r="A12" s="422" t="s">
        <v>102</v>
      </c>
      <c r="B12" s="422"/>
    </row>
    <row r="13" spans="1:2" x14ac:dyDescent="0.3">
      <c r="A13" s="422">
        <v>1</v>
      </c>
      <c r="B13" s="422"/>
    </row>
    <row r="14" spans="1:2" x14ac:dyDescent="0.3">
      <c r="A14" s="422" t="s">
        <v>103</v>
      </c>
      <c r="B14" s="422"/>
    </row>
    <row r="15" spans="1:2" x14ac:dyDescent="0.3">
      <c r="A15" s="422" t="str">
        <f>입력표!I54</f>
        <v>W-9</v>
      </c>
      <c r="B15" s="422"/>
    </row>
    <row r="16" spans="1:2" x14ac:dyDescent="0.3">
      <c r="A16" s="422">
        <v>0</v>
      </c>
      <c r="B16" s="422"/>
    </row>
    <row r="17" spans="1:3" x14ac:dyDescent="0.3">
      <c r="A17" s="422">
        <v>0</v>
      </c>
      <c r="B17" s="422"/>
    </row>
    <row r="18" spans="1:3" x14ac:dyDescent="0.3">
      <c r="A18" s="422">
        <f>Step.Select!A18</f>
        <v>0.1</v>
      </c>
      <c r="B18" s="422"/>
    </row>
    <row r="19" spans="1:3" x14ac:dyDescent="0.3">
      <c r="A19" s="422">
        <f>Step.Select!A19</f>
        <v>0.1</v>
      </c>
      <c r="B19" s="422"/>
    </row>
    <row r="20" spans="1:3" x14ac:dyDescent="0.3">
      <c r="A20" s="422">
        <v>0</v>
      </c>
      <c r="B20" s="422"/>
    </row>
    <row r="21" spans="1:3" x14ac:dyDescent="0.3">
      <c r="A21" s="422">
        <v>0</v>
      </c>
      <c r="B21" s="422"/>
    </row>
    <row r="22" spans="1:3" x14ac:dyDescent="0.3">
      <c r="A22" s="422">
        <v>1</v>
      </c>
      <c r="B22" s="422"/>
    </row>
    <row r="23" spans="1:3" x14ac:dyDescent="0.3">
      <c r="A23" s="422">
        <v>1</v>
      </c>
      <c r="B23" s="422"/>
    </row>
    <row r="24" spans="1:3" x14ac:dyDescent="0.3">
      <c r="A24" s="424">
        <v>0</v>
      </c>
      <c r="B24" s="424">
        <f>입력표!M51</f>
        <v>55</v>
      </c>
    </row>
    <row r="25" spans="1:3" x14ac:dyDescent="0.3">
      <c r="A25" s="422" t="s">
        <v>104</v>
      </c>
      <c r="B25" s="422"/>
    </row>
    <row r="26" spans="1:3" x14ac:dyDescent="0.3">
      <c r="A26" s="422" t="str">
        <f>A15</f>
        <v>W-9</v>
      </c>
      <c r="B26" s="422"/>
    </row>
    <row r="27" spans="1:3" x14ac:dyDescent="0.3">
      <c r="A27" s="425">
        <f>스킨팩터!C8</f>
        <v>1.98</v>
      </c>
      <c r="B27" s="422"/>
    </row>
    <row r="28" spans="1:3" x14ac:dyDescent="0.3">
      <c r="A28" s="422">
        <v>0</v>
      </c>
      <c r="B28" s="422"/>
    </row>
    <row r="29" spans="1:3" x14ac:dyDescent="0.3">
      <c r="A29" s="422">
        <v>0</v>
      </c>
      <c r="B29" s="422"/>
    </row>
    <row r="30" spans="1:3" x14ac:dyDescent="0.3">
      <c r="A30" s="424">
        <f>SUM(C31:C98)</f>
        <v>68</v>
      </c>
      <c r="B30" s="422"/>
    </row>
    <row r="31" spans="1:3" x14ac:dyDescent="0.3">
      <c r="A31" s="422">
        <f>장기양수시험!D10</f>
        <v>1</v>
      </c>
      <c r="B31" s="426">
        <f>장기양수시험!G10</f>
        <v>1.2158326699068436</v>
      </c>
      <c r="C31" s="424">
        <v>1</v>
      </c>
    </row>
    <row r="32" spans="1:3" x14ac:dyDescent="0.3">
      <c r="A32" s="422">
        <f>장기양수시험!D11</f>
        <v>2</v>
      </c>
      <c r="B32" s="426">
        <f>장기양수시험!G11</f>
        <v>2.3774429369699934</v>
      </c>
      <c r="C32" s="424">
        <v>1</v>
      </c>
    </row>
    <row r="33" spans="1:3" x14ac:dyDescent="0.3">
      <c r="A33" s="422">
        <f>장기양수시험!D12</f>
        <v>3</v>
      </c>
      <c r="B33" s="426">
        <f>장기양수시험!G12</f>
        <v>3.0569413836546246</v>
      </c>
      <c r="C33" s="424">
        <v>1</v>
      </c>
    </row>
    <row r="34" spans="1:3" x14ac:dyDescent="0.3">
      <c r="A34" s="422">
        <f>장기양수시험!D13</f>
        <v>4</v>
      </c>
      <c r="B34" s="426">
        <f>장기양수시험!G13</f>
        <v>3.5390532040331451</v>
      </c>
      <c r="C34" s="424">
        <v>1</v>
      </c>
    </row>
    <row r="35" spans="1:3" x14ac:dyDescent="0.3">
      <c r="A35" s="422">
        <f>장기양수시험!D14</f>
        <v>5</v>
      </c>
      <c r="B35" s="426">
        <f>장기양수시험!G14</f>
        <v>3.913008184310387</v>
      </c>
      <c r="C35" s="424">
        <v>1</v>
      </c>
    </row>
    <row r="36" spans="1:3" x14ac:dyDescent="0.3">
      <c r="A36" s="422">
        <f>장기양수시험!D15</f>
        <v>10</v>
      </c>
      <c r="B36" s="426">
        <f>장기양수시험!G15</f>
        <v>5.0746184513735368</v>
      </c>
      <c r="C36" s="424">
        <v>1</v>
      </c>
    </row>
    <row r="37" spans="1:3" x14ac:dyDescent="0.3">
      <c r="A37" s="422">
        <f>장기양수시험!D16</f>
        <v>15</v>
      </c>
      <c r="B37" s="426">
        <f>장기양수시험!G16</f>
        <v>5.7541168980581663</v>
      </c>
      <c r="C37" s="424">
        <v>1</v>
      </c>
    </row>
    <row r="38" spans="1:3" x14ac:dyDescent="0.3">
      <c r="A38" s="422">
        <f>장기양수시험!D17</f>
        <v>20</v>
      </c>
      <c r="B38" s="426">
        <f>장기양수시험!G17</f>
        <v>6.2362287184366885</v>
      </c>
      <c r="C38" s="424">
        <v>1</v>
      </c>
    </row>
    <row r="39" spans="1:3" x14ac:dyDescent="0.3">
      <c r="A39" s="422">
        <f>장기양수시험!D18</f>
        <v>25</v>
      </c>
      <c r="B39" s="426">
        <f>장기양수시험!G18</f>
        <v>6.6101836987139269</v>
      </c>
      <c r="C39" s="424">
        <v>1</v>
      </c>
    </row>
    <row r="40" spans="1:3" x14ac:dyDescent="0.3">
      <c r="A40" s="422">
        <f>장기양수시험!D19</f>
        <v>30</v>
      </c>
      <c r="B40" s="426">
        <f>장기양수시험!G19</f>
        <v>6.9157271651213197</v>
      </c>
      <c r="C40" s="424">
        <v>1</v>
      </c>
    </row>
    <row r="41" spans="1:3" x14ac:dyDescent="0.3">
      <c r="A41" s="422">
        <f>장기양수시험!D20</f>
        <v>35</v>
      </c>
      <c r="B41" s="426">
        <f>장기양수시험!G20</f>
        <v>7.1740604850627694</v>
      </c>
      <c r="C41" s="424">
        <v>1</v>
      </c>
    </row>
    <row r="42" spans="1:3" x14ac:dyDescent="0.3">
      <c r="A42" s="422">
        <f>장기양수시험!D21</f>
        <v>40</v>
      </c>
      <c r="B42" s="426">
        <f>장기양수시험!G21</f>
        <v>7.3978389854998401</v>
      </c>
      <c r="C42" s="424">
        <v>1</v>
      </c>
    </row>
    <row r="43" spans="1:3" x14ac:dyDescent="0.3">
      <c r="A43" s="422">
        <f>장기양수시험!D22</f>
        <v>45</v>
      </c>
      <c r="B43" s="426">
        <f>장기양수시험!G22</f>
        <v>7.5952256118059456</v>
      </c>
      <c r="C43" s="424">
        <v>1</v>
      </c>
    </row>
    <row r="44" spans="1:3" x14ac:dyDescent="0.3">
      <c r="A44" s="422">
        <f>장기양수시험!D23</f>
        <v>50</v>
      </c>
      <c r="B44" s="426">
        <f>장기양수시험!G23</f>
        <v>7.7717939657770803</v>
      </c>
      <c r="C44" s="424">
        <v>1</v>
      </c>
    </row>
    <row r="45" spans="1:3" x14ac:dyDescent="0.3">
      <c r="A45" s="422">
        <f>장기양수시험!D24</f>
        <v>55</v>
      </c>
      <c r="B45" s="426">
        <f>장기양수시험!G24</f>
        <v>7.9001094707223656</v>
      </c>
      <c r="C45" s="424">
        <v>1</v>
      </c>
    </row>
    <row r="46" spans="1:3" x14ac:dyDescent="0.3">
      <c r="A46" s="422">
        <f>장기양수시험!D25</f>
        <v>60</v>
      </c>
      <c r="B46" s="426">
        <f>장기양수시험!G25</f>
        <v>8.0773374321844695</v>
      </c>
      <c r="C46" s="424">
        <v>1</v>
      </c>
    </row>
    <row r="47" spans="1:3" x14ac:dyDescent="0.3">
      <c r="A47" s="422">
        <f>장기양수시험!D26</f>
        <v>75</v>
      </c>
      <c r="B47" s="426">
        <f>장기양수시험!G26</f>
        <v>8.4512924124617097</v>
      </c>
      <c r="C47" s="424">
        <v>1</v>
      </c>
    </row>
    <row r="48" spans="1:3" x14ac:dyDescent="0.3">
      <c r="A48" s="422">
        <f>장기양수시험!D27</f>
        <v>90</v>
      </c>
      <c r="B48" s="426">
        <f>장기양수시험!G27</f>
        <v>8.756835878869099</v>
      </c>
      <c r="C48" s="424">
        <v>1</v>
      </c>
    </row>
    <row r="49" spans="1:3" x14ac:dyDescent="0.3">
      <c r="A49" s="422">
        <f>장기양수시험!D28</f>
        <v>105</v>
      </c>
      <c r="B49" s="426">
        <f>장기양수시험!G28</f>
        <v>9.0151691988105522</v>
      </c>
      <c r="C49" s="424">
        <v>1</v>
      </c>
    </row>
    <row r="50" spans="1:3" x14ac:dyDescent="0.3">
      <c r="A50" s="422">
        <f>장기양수시험!D29</f>
        <v>120</v>
      </c>
      <c r="B50" s="426">
        <f>장기양수시험!G29</f>
        <v>9.2389476992476229</v>
      </c>
      <c r="C50" s="424">
        <v>1</v>
      </c>
    </row>
    <row r="51" spans="1:3" x14ac:dyDescent="0.3">
      <c r="A51" s="422">
        <f>장기양수시험!D30</f>
        <v>140</v>
      </c>
      <c r="B51" s="426">
        <f>장기양수시험!G30</f>
        <v>9.4972810191890726</v>
      </c>
      <c r="C51" s="424">
        <v>1</v>
      </c>
    </row>
    <row r="52" spans="1:3" x14ac:dyDescent="0.3">
      <c r="A52" s="422">
        <f>장기양수시험!D31</f>
        <v>160</v>
      </c>
      <c r="B52" s="426">
        <f>장기양수시험!G31</f>
        <v>9.7210595196261398</v>
      </c>
      <c r="C52" s="424">
        <v>1</v>
      </c>
    </row>
    <row r="53" spans="1:3" x14ac:dyDescent="0.3">
      <c r="A53" s="422">
        <f>장기양수시험!D32</f>
        <v>180</v>
      </c>
      <c r="B53" s="426">
        <f>장기양수시험!G32</f>
        <v>9.9184461459322488</v>
      </c>
      <c r="C53" s="424">
        <v>1</v>
      </c>
    </row>
    <row r="54" spans="1:3" x14ac:dyDescent="0.3">
      <c r="A54" s="422">
        <f>장기양수시험!D33</f>
        <v>240</v>
      </c>
      <c r="B54" s="426">
        <f>장기양수시험!G33</f>
        <v>10.400557966310769</v>
      </c>
      <c r="C54" s="424">
        <v>1</v>
      </c>
    </row>
    <row r="55" spans="1:3" x14ac:dyDescent="0.3">
      <c r="A55" s="422">
        <f>장기양수시험!D34</f>
        <v>300</v>
      </c>
      <c r="B55" s="426">
        <f>장기양수시험!G34</f>
        <v>10.774512946588013</v>
      </c>
      <c r="C55" s="424">
        <v>1</v>
      </c>
    </row>
    <row r="56" spans="1:3" x14ac:dyDescent="0.3">
      <c r="A56" s="422">
        <f>장기양수시험!D35</f>
        <v>360</v>
      </c>
      <c r="B56" s="426">
        <f>장기양수시험!G35</f>
        <v>11.080056412995399</v>
      </c>
      <c r="C56" s="424">
        <v>1</v>
      </c>
    </row>
    <row r="57" spans="1:3" x14ac:dyDescent="0.3">
      <c r="A57" s="422">
        <f>장기양수시험!D36</f>
        <v>420</v>
      </c>
      <c r="B57" s="426">
        <f>장기양수시험!G36</f>
        <v>11.338389732936852</v>
      </c>
      <c r="C57" s="424">
        <v>1</v>
      </c>
    </row>
    <row r="58" spans="1:3" x14ac:dyDescent="0.3">
      <c r="A58" s="422">
        <f>장기양수시험!D37</f>
        <v>480</v>
      </c>
      <c r="B58" s="426">
        <f>장기양수시험!G37</f>
        <v>11.562168233373919</v>
      </c>
      <c r="C58" s="424">
        <v>1</v>
      </c>
    </row>
    <row r="59" spans="1:3" x14ac:dyDescent="0.3">
      <c r="A59" s="422">
        <f>장기양수시험!D38</f>
        <v>540</v>
      </c>
      <c r="B59" s="426">
        <f>장기양수시험!G38</f>
        <v>11.759554859680032</v>
      </c>
      <c r="C59" s="424">
        <v>1</v>
      </c>
    </row>
    <row r="60" spans="1:3" x14ac:dyDescent="0.3">
      <c r="A60" s="422">
        <f>장기양수시험!D39</f>
        <v>600</v>
      </c>
      <c r="B60" s="426">
        <f>장기양수시험!G39</f>
        <v>11.936123213651163</v>
      </c>
      <c r="C60" s="424">
        <v>1</v>
      </c>
    </row>
    <row r="61" spans="1:3" x14ac:dyDescent="0.3">
      <c r="A61" s="422">
        <f>장기양수시험!D40</f>
        <v>660</v>
      </c>
      <c r="B61" s="426">
        <f>장기양수시험!G40</f>
        <v>12.095848718596448</v>
      </c>
      <c r="C61" s="424">
        <v>1</v>
      </c>
    </row>
    <row r="62" spans="1:3" x14ac:dyDescent="0.3">
      <c r="A62" s="422">
        <f>장기양수시험!D41</f>
        <v>720</v>
      </c>
      <c r="B62" s="426">
        <f>장기양수시험!G41</f>
        <v>12.241666680058552</v>
      </c>
      <c r="C62" s="424">
        <v>1</v>
      </c>
    </row>
    <row r="63" spans="1:3" x14ac:dyDescent="0.3">
      <c r="A63" s="422">
        <f>장기양수시험!D42</f>
        <v>780</v>
      </c>
      <c r="B63" s="426">
        <f>장기양수시험!G42</f>
        <v>12.375806201425432</v>
      </c>
      <c r="C63" s="424">
        <v>1</v>
      </c>
    </row>
    <row r="64" spans="1:3" x14ac:dyDescent="0.3">
      <c r="A64" s="422">
        <f>장기양수시험!D43</f>
        <v>840</v>
      </c>
      <c r="B64" s="426">
        <f>장기양수시험!G43</f>
        <v>12.500000000000002</v>
      </c>
      <c r="C64" s="424">
        <v>1</v>
      </c>
    </row>
    <row r="65" spans="1:3" x14ac:dyDescent="0.3">
      <c r="A65" s="422">
        <f>장기양수시험!D44</f>
        <v>900</v>
      </c>
      <c r="B65" s="426">
        <f>장기양수시험!G44</f>
        <v>12.500000000000002</v>
      </c>
      <c r="C65" s="424">
        <v>1</v>
      </c>
    </row>
    <row r="66" spans="1:3" x14ac:dyDescent="0.3">
      <c r="A66" s="422">
        <f>장기양수시험!D45</f>
        <v>960</v>
      </c>
      <c r="B66" s="426">
        <f>장기양수시험!G45</f>
        <v>12.500000000000002</v>
      </c>
      <c r="C66" s="424">
        <v>1</v>
      </c>
    </row>
    <row r="67" spans="1:3" x14ac:dyDescent="0.3">
      <c r="A67" s="422">
        <f>장기양수시험!D46</f>
        <v>1020</v>
      </c>
      <c r="B67" s="426">
        <f>장기양수시험!G46</f>
        <v>12.500000000000002</v>
      </c>
      <c r="C67" s="424">
        <v>1</v>
      </c>
    </row>
    <row r="68" spans="1:3" x14ac:dyDescent="0.3">
      <c r="A68" s="422">
        <f>장기양수시험!D47</f>
        <v>1080</v>
      </c>
      <c r="B68" s="426">
        <f>장기양수시험!G47</f>
        <v>12.500000000000002</v>
      </c>
      <c r="C68" s="424">
        <v>1</v>
      </c>
    </row>
    <row r="69" spans="1:3" x14ac:dyDescent="0.3">
      <c r="A69" s="422">
        <f>장기양수시험!D48</f>
        <v>1140</v>
      </c>
      <c r="B69" s="426">
        <f>장기양수시험!G48</f>
        <v>12.500000000000002</v>
      </c>
      <c r="C69" s="424">
        <v>1</v>
      </c>
    </row>
    <row r="70" spans="1:3" x14ac:dyDescent="0.3">
      <c r="A70" s="422">
        <f>장기양수시험!D49</f>
        <v>1200</v>
      </c>
      <c r="B70" s="426">
        <f>장기양수시험!G49</f>
        <v>12.500000000000002</v>
      </c>
      <c r="C70" s="424">
        <v>1</v>
      </c>
    </row>
    <row r="71" spans="1:3" x14ac:dyDescent="0.3">
      <c r="A71" s="422">
        <f>장기양수시험!D50</f>
        <v>1260</v>
      </c>
      <c r="B71" s="426">
        <f>장기양수시험!G50</f>
        <v>12.500000000000002</v>
      </c>
      <c r="C71" s="424">
        <v>1</v>
      </c>
    </row>
    <row r="72" spans="1:3" x14ac:dyDescent="0.3">
      <c r="A72" s="422">
        <f>장기양수시험!D51</f>
        <v>1320</v>
      </c>
      <c r="B72" s="426">
        <f>장기양수시험!G51</f>
        <v>12.500000000000002</v>
      </c>
      <c r="C72" s="424">
        <v>1</v>
      </c>
    </row>
    <row r="73" spans="1:3" x14ac:dyDescent="0.3">
      <c r="A73" s="422">
        <f>장기양수시험!D52</f>
        <v>1380</v>
      </c>
      <c r="B73" s="426">
        <f>장기양수시험!G52</f>
        <v>12.500000000000002</v>
      </c>
      <c r="C73" s="424">
        <v>1</v>
      </c>
    </row>
    <row r="74" spans="1:3" x14ac:dyDescent="0.3">
      <c r="A74" s="422">
        <f>장기양수시험!D53</f>
        <v>1440</v>
      </c>
      <c r="B74" s="426">
        <f>장기양수시험!G53</f>
        <v>12.500000000000002</v>
      </c>
      <c r="C74" s="424">
        <v>1</v>
      </c>
    </row>
    <row r="75" spans="1:3" x14ac:dyDescent="0.3">
      <c r="A75" s="422">
        <f>장기양수시험!D54</f>
        <v>1500</v>
      </c>
      <c r="B75" s="426">
        <f>장기양수시험!G54</f>
        <v>12.500000000000002</v>
      </c>
      <c r="C75" s="424">
        <v>1</v>
      </c>
    </row>
    <row r="76" spans="1:3" x14ac:dyDescent="0.3">
      <c r="A76" s="422">
        <f>장기양수시험!D55</f>
        <v>1560</v>
      </c>
      <c r="B76" s="426">
        <f>장기양수시험!G55</f>
        <v>12.500000000000002</v>
      </c>
      <c r="C76" s="424">
        <v>1</v>
      </c>
    </row>
    <row r="77" spans="1:3" x14ac:dyDescent="0.3">
      <c r="A77" s="422">
        <f>장기양수시험!D56</f>
        <v>1620</v>
      </c>
      <c r="B77" s="426">
        <f>장기양수시험!G56</f>
        <v>12.500000000000002</v>
      </c>
      <c r="C77" s="424">
        <v>1</v>
      </c>
    </row>
    <row r="78" spans="1:3" x14ac:dyDescent="0.3">
      <c r="A78" s="422">
        <f>장기양수시험!D57</f>
        <v>1680</v>
      </c>
      <c r="B78" s="426">
        <f>장기양수시험!G57</f>
        <v>12.500000000000002</v>
      </c>
      <c r="C78" s="424">
        <v>1</v>
      </c>
    </row>
    <row r="79" spans="1:3" x14ac:dyDescent="0.3">
      <c r="A79" s="422">
        <f>장기양수시험!D58</f>
        <v>1740</v>
      </c>
      <c r="B79" s="426">
        <f>장기양수시험!G58</f>
        <v>12.500000000000002</v>
      </c>
      <c r="C79" s="424">
        <v>1</v>
      </c>
    </row>
    <row r="80" spans="1:3" x14ac:dyDescent="0.3">
      <c r="A80" s="422">
        <f>장기양수시험!D59</f>
        <v>1800</v>
      </c>
      <c r="B80" s="426">
        <f>장기양수시험!G59</f>
        <v>12.500000000000002</v>
      </c>
      <c r="C80" s="424">
        <v>1</v>
      </c>
    </row>
    <row r="81" spans="1:3" x14ac:dyDescent="0.3">
      <c r="A81" s="422">
        <f>장기양수시험!D60</f>
        <v>1860</v>
      </c>
      <c r="B81" s="426">
        <f>장기양수시험!G60</f>
        <v>12.500000000000002</v>
      </c>
      <c r="C81" s="424">
        <v>1</v>
      </c>
    </row>
    <row r="82" spans="1:3" x14ac:dyDescent="0.3">
      <c r="A82" s="422">
        <f>장기양수시험!D61</f>
        <v>1920</v>
      </c>
      <c r="B82" s="426">
        <f>장기양수시험!G61</f>
        <v>12.500000000000002</v>
      </c>
      <c r="C82" s="424">
        <v>1</v>
      </c>
    </row>
    <row r="83" spans="1:3" x14ac:dyDescent="0.3">
      <c r="A83" s="422">
        <f>장기양수시험!D62</f>
        <v>1980</v>
      </c>
      <c r="B83" s="426">
        <f>장기양수시험!G62</f>
        <v>12.500000000000002</v>
      </c>
      <c r="C83" s="424">
        <v>1</v>
      </c>
    </row>
    <row r="84" spans="1:3" x14ac:dyDescent="0.3">
      <c r="A84" s="422">
        <f>장기양수시험!D63</f>
        <v>2040</v>
      </c>
      <c r="B84" s="426">
        <f>장기양수시험!G63</f>
        <v>12.500000000000002</v>
      </c>
      <c r="C84" s="424">
        <v>1</v>
      </c>
    </row>
    <row r="85" spans="1:3" x14ac:dyDescent="0.3">
      <c r="A85" s="422">
        <f>장기양수시험!D64</f>
        <v>2100</v>
      </c>
      <c r="B85" s="426">
        <f>장기양수시험!G64</f>
        <v>12.500000000000002</v>
      </c>
      <c r="C85" s="424">
        <v>1</v>
      </c>
    </row>
    <row r="86" spans="1:3" x14ac:dyDescent="0.3">
      <c r="A86" s="422">
        <f>장기양수시험!D65</f>
        <v>2160</v>
      </c>
      <c r="B86" s="426">
        <f>장기양수시험!G65</f>
        <v>12.500000000000002</v>
      </c>
      <c r="C86" s="424">
        <v>1</v>
      </c>
    </row>
    <row r="87" spans="1:3" x14ac:dyDescent="0.3">
      <c r="A87" s="422">
        <f>장기양수시험!D66</f>
        <v>2220</v>
      </c>
      <c r="B87" s="426">
        <f>장기양수시험!G66</f>
        <v>12.500000000000002</v>
      </c>
      <c r="C87" s="424">
        <v>1</v>
      </c>
    </row>
    <row r="88" spans="1:3" x14ac:dyDescent="0.3">
      <c r="A88" s="422">
        <f>장기양수시험!D67</f>
        <v>2280</v>
      </c>
      <c r="B88" s="426">
        <f>장기양수시험!G67</f>
        <v>12.500000000000002</v>
      </c>
      <c r="C88" s="424">
        <v>1</v>
      </c>
    </row>
    <row r="89" spans="1:3" x14ac:dyDescent="0.3">
      <c r="A89" s="422">
        <f>장기양수시험!D68</f>
        <v>2340</v>
      </c>
      <c r="B89" s="426">
        <f>장기양수시험!G68</f>
        <v>12.500000000000002</v>
      </c>
      <c r="C89" s="424">
        <v>1</v>
      </c>
    </row>
    <row r="90" spans="1:3" x14ac:dyDescent="0.3">
      <c r="A90" s="422">
        <f>장기양수시험!D69</f>
        <v>2400</v>
      </c>
      <c r="B90" s="426">
        <f>장기양수시험!G69</f>
        <v>12.500000000000002</v>
      </c>
      <c r="C90" s="424">
        <v>1</v>
      </c>
    </row>
    <row r="91" spans="1:3" x14ac:dyDescent="0.3">
      <c r="A91" s="422">
        <f>장기양수시험!D70</f>
        <v>2460</v>
      </c>
      <c r="B91" s="426">
        <f>장기양수시험!G70</f>
        <v>12.500000000000002</v>
      </c>
      <c r="C91" s="424">
        <v>1</v>
      </c>
    </row>
    <row r="92" spans="1:3" x14ac:dyDescent="0.3">
      <c r="A92" s="422">
        <f>장기양수시험!D71</f>
        <v>2520</v>
      </c>
      <c r="B92" s="426">
        <f>장기양수시험!G71</f>
        <v>12.500000000000002</v>
      </c>
      <c r="C92" s="424">
        <v>1</v>
      </c>
    </row>
    <row r="93" spans="1:3" x14ac:dyDescent="0.3">
      <c r="A93" s="422">
        <f>장기양수시험!D72</f>
        <v>2580</v>
      </c>
      <c r="B93" s="426">
        <f>장기양수시험!G72</f>
        <v>12.500000000000002</v>
      </c>
      <c r="C93" s="424">
        <v>1</v>
      </c>
    </row>
    <row r="94" spans="1:3" x14ac:dyDescent="0.3">
      <c r="A94" s="422">
        <f>장기양수시험!D73</f>
        <v>2640</v>
      </c>
      <c r="B94" s="426">
        <f>장기양수시험!G73</f>
        <v>12.500000000000002</v>
      </c>
      <c r="C94" s="424">
        <v>1</v>
      </c>
    </row>
    <row r="95" spans="1:3" x14ac:dyDescent="0.3">
      <c r="A95" s="422">
        <f>장기양수시험!D74</f>
        <v>2700</v>
      </c>
      <c r="B95" s="426">
        <f>장기양수시험!G74</f>
        <v>12.500000000000002</v>
      </c>
      <c r="C95" s="424">
        <v>1</v>
      </c>
    </row>
    <row r="96" spans="1:3" x14ac:dyDescent="0.3">
      <c r="A96" s="422">
        <f>장기양수시험!D75</f>
        <v>2760</v>
      </c>
      <c r="B96" s="426">
        <f>장기양수시험!G75</f>
        <v>12.500000000000002</v>
      </c>
      <c r="C96" s="424">
        <v>1</v>
      </c>
    </row>
    <row r="97" spans="1:3" x14ac:dyDescent="0.3">
      <c r="A97" s="422">
        <f>장기양수시험!D76</f>
        <v>2820</v>
      </c>
      <c r="B97" s="426">
        <f>장기양수시험!G76</f>
        <v>12.500000000000002</v>
      </c>
      <c r="C97" s="424">
        <v>1</v>
      </c>
    </row>
    <row r="98" spans="1:3" x14ac:dyDescent="0.3">
      <c r="A98" s="422">
        <f>장기양수시험!D77</f>
        <v>2880</v>
      </c>
      <c r="B98" s="426">
        <f>장기양수시험!G77</f>
        <v>12.500000000000002</v>
      </c>
      <c r="C98" s="424">
        <v>1</v>
      </c>
    </row>
    <row r="99" spans="1:3" x14ac:dyDescent="0.3">
      <c r="A99" s="422" t="s">
        <v>105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8" name="CommandButton3"/>
      </mc:Fallback>
    </mc:AlternateContent>
    <mc:AlternateContent xmlns:mc="http://schemas.openxmlformats.org/markup-compatibility/2006">
      <mc:Choice Requires="x14">
        <control shapeId="20485" r:id="rId10" name="CommandButton4">
          <controlPr defaultSize="0" autoLine="0" autoPict="0" r:id="rId11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10</xdr:col>
                <xdr:colOff>285750</xdr:colOff>
                <xdr:row>21</xdr:row>
                <xdr:rowOff>19050</xdr:rowOff>
              </to>
            </anchor>
          </controlPr>
        </control>
      </mc:Choice>
      <mc:Fallback>
        <control shapeId="20485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6.5" x14ac:dyDescent="0.3"/>
  <cols>
    <col min="1" max="1" width="8.88671875" style="422"/>
    <col min="2" max="3" width="8.88671875" style="423"/>
    <col min="4" max="16384" width="8.88671875" style="422"/>
  </cols>
  <sheetData>
    <row r="1" spans="1:2" x14ac:dyDescent="0.3">
      <c r="B1" s="422"/>
    </row>
    <row r="2" spans="1:2" x14ac:dyDescent="0.3">
      <c r="A2" s="422" t="s">
        <v>98</v>
      </c>
      <c r="B2" s="422"/>
    </row>
    <row r="3" spans="1:2" x14ac:dyDescent="0.3">
      <c r="A3" s="422">
        <v>2</v>
      </c>
      <c r="B3" s="422"/>
    </row>
    <row r="4" spans="1:2" x14ac:dyDescent="0.3">
      <c r="A4" s="422">
        <v>1</v>
      </c>
      <c r="B4" s="422"/>
    </row>
    <row r="5" spans="1:2" x14ac:dyDescent="0.3">
      <c r="A5" s="422">
        <v>6</v>
      </c>
      <c r="B5" s="422"/>
    </row>
    <row r="6" spans="1:2" x14ac:dyDescent="0.3">
      <c r="A6" s="422" t="s">
        <v>99</v>
      </c>
      <c r="B6" s="422"/>
    </row>
    <row r="7" spans="1:2" x14ac:dyDescent="0.3">
      <c r="A7" s="422">
        <f>Step.Select!A7</f>
        <v>482</v>
      </c>
      <c r="B7" s="422"/>
    </row>
    <row r="8" spans="1:2" x14ac:dyDescent="0.3">
      <c r="A8" s="422" t="s">
        <v>100</v>
      </c>
      <c r="B8" s="422"/>
    </row>
    <row r="9" spans="1:2" x14ac:dyDescent="0.3">
      <c r="A9" s="422">
        <v>1</v>
      </c>
      <c r="B9" s="422"/>
    </row>
    <row r="10" spans="1:2" x14ac:dyDescent="0.3">
      <c r="A10" s="422" t="s">
        <v>101</v>
      </c>
      <c r="B10" s="422"/>
    </row>
    <row r="11" spans="1:2" x14ac:dyDescent="0.3">
      <c r="A11" s="422">
        <v>1</v>
      </c>
      <c r="B11" s="422"/>
    </row>
    <row r="12" spans="1:2" x14ac:dyDescent="0.3">
      <c r="A12" s="422" t="s">
        <v>102</v>
      </c>
      <c r="B12" s="422"/>
    </row>
    <row r="13" spans="1:2" x14ac:dyDescent="0.3">
      <c r="A13" s="422">
        <v>1</v>
      </c>
      <c r="B13" s="422"/>
    </row>
    <row r="14" spans="1:2" x14ac:dyDescent="0.3">
      <c r="A14" s="422" t="s">
        <v>103</v>
      </c>
      <c r="B14" s="422"/>
    </row>
    <row r="15" spans="1:2" x14ac:dyDescent="0.3">
      <c r="A15" s="422" t="str">
        <f>입력표!I54</f>
        <v>W-9</v>
      </c>
      <c r="B15" s="422"/>
    </row>
    <row r="16" spans="1:2" x14ac:dyDescent="0.3">
      <c r="A16" s="422">
        <v>0</v>
      </c>
      <c r="B16" s="422"/>
    </row>
    <row r="17" spans="1:3" x14ac:dyDescent="0.3">
      <c r="A17" s="422">
        <v>0</v>
      </c>
      <c r="B17" s="422"/>
    </row>
    <row r="18" spans="1:3" x14ac:dyDescent="0.3">
      <c r="A18" s="422">
        <f>Step.Select!A18</f>
        <v>0.1</v>
      </c>
      <c r="B18" s="422"/>
    </row>
    <row r="19" spans="1:3" x14ac:dyDescent="0.3">
      <c r="A19" s="422">
        <f>Step.Select!A19</f>
        <v>0.1</v>
      </c>
      <c r="B19" s="422"/>
    </row>
    <row r="20" spans="1:3" x14ac:dyDescent="0.3">
      <c r="A20" s="422">
        <v>0</v>
      </c>
      <c r="B20" s="422"/>
    </row>
    <row r="21" spans="1:3" x14ac:dyDescent="0.3">
      <c r="A21" s="422">
        <v>0</v>
      </c>
      <c r="B21" s="422"/>
    </row>
    <row r="22" spans="1:3" x14ac:dyDescent="0.3">
      <c r="A22" s="422">
        <v>1</v>
      </c>
      <c r="B22" s="422"/>
    </row>
    <row r="23" spans="1:3" x14ac:dyDescent="0.3">
      <c r="A23" s="422">
        <v>2</v>
      </c>
      <c r="B23" s="422"/>
    </row>
    <row r="24" spans="1:3" x14ac:dyDescent="0.3">
      <c r="A24" s="424">
        <v>0</v>
      </c>
      <c r="B24" s="424">
        <f>입력표!M51</f>
        <v>55</v>
      </c>
    </row>
    <row r="25" spans="1:3" x14ac:dyDescent="0.3">
      <c r="A25" s="424">
        <v>2880</v>
      </c>
      <c r="B25" s="424">
        <v>0</v>
      </c>
    </row>
    <row r="26" spans="1:3" x14ac:dyDescent="0.3">
      <c r="A26" s="422" t="s">
        <v>104</v>
      </c>
      <c r="B26" s="422"/>
    </row>
    <row r="27" spans="1:3" x14ac:dyDescent="0.3">
      <c r="A27" s="422" t="str">
        <f>A15</f>
        <v>W-9</v>
      </c>
      <c r="B27" s="422"/>
    </row>
    <row r="28" spans="1:3" x14ac:dyDescent="0.3">
      <c r="A28" s="425">
        <f>스킨팩터!C8</f>
        <v>1.98</v>
      </c>
      <c r="B28" s="422"/>
    </row>
    <row r="29" spans="1:3" x14ac:dyDescent="0.3">
      <c r="A29" s="422">
        <v>0</v>
      </c>
      <c r="B29" s="422"/>
    </row>
    <row r="30" spans="1:3" x14ac:dyDescent="0.3">
      <c r="A30" s="422">
        <v>0</v>
      </c>
      <c r="B30" s="422"/>
    </row>
    <row r="31" spans="1:3" x14ac:dyDescent="0.3">
      <c r="A31" s="424">
        <f>SUM(C32:C56)</f>
        <v>25</v>
      </c>
      <c r="B31" s="422"/>
    </row>
    <row r="32" spans="1:3" x14ac:dyDescent="0.3">
      <c r="A32" s="422">
        <f>장기양수시험!D77</f>
        <v>2880</v>
      </c>
      <c r="B32" s="423">
        <f>장기양수시험!G77</f>
        <v>12.500000000000002</v>
      </c>
      <c r="C32" s="424">
        <v>1</v>
      </c>
    </row>
    <row r="33" spans="1:3" x14ac:dyDescent="0.3">
      <c r="A33" s="422">
        <f>$A$32+장기양수시험!D78</f>
        <v>2881</v>
      </c>
      <c r="B33" s="423">
        <f>장기양수시험!G78</f>
        <v>8.7769295253186019</v>
      </c>
      <c r="C33" s="424">
        <v>1</v>
      </c>
    </row>
    <row r="34" spans="1:3" x14ac:dyDescent="0.3">
      <c r="A34" s="422">
        <f>$A$32+장기양수시험!D79</f>
        <v>2882</v>
      </c>
      <c r="B34" s="423">
        <f>장기양수시험!G79</f>
        <v>8.1364565728271785</v>
      </c>
      <c r="C34" s="424">
        <v>1</v>
      </c>
    </row>
    <row r="35" spans="1:3" x14ac:dyDescent="0.3">
      <c r="A35" s="422">
        <f>$A$32+장기양수시험!D80</f>
        <v>2883</v>
      </c>
      <c r="B35" s="423">
        <f>장기양수시험!G80</f>
        <v>7.5427204206814542</v>
      </c>
      <c r="C35" s="424">
        <v>1</v>
      </c>
    </row>
    <row r="36" spans="1:3" x14ac:dyDescent="0.3">
      <c r="A36" s="422">
        <f>$A$32+장기양수시험!D81</f>
        <v>2884</v>
      </c>
      <c r="B36" s="423">
        <f>장기양수시험!G81</f>
        <v>6.992310575904237</v>
      </c>
      <c r="C36" s="424">
        <v>1</v>
      </c>
    </row>
    <row r="37" spans="1:3" x14ac:dyDescent="0.3">
      <c r="A37" s="422">
        <f>$A$32+장기양수시험!D82</f>
        <v>2885</v>
      </c>
      <c r="B37" s="423">
        <f>장기양수시험!G82</f>
        <v>6.482065417119756</v>
      </c>
      <c r="C37" s="424">
        <v>1</v>
      </c>
    </row>
    <row r="38" spans="1:3" x14ac:dyDescent="0.3">
      <c r="A38" s="422">
        <f>$A$32+장기양수시험!D83</f>
        <v>2890</v>
      </c>
      <c r="B38" s="423">
        <f>장기양수시험!G83</f>
        <v>5.1640627213745693</v>
      </c>
      <c r="C38" s="424">
        <v>1</v>
      </c>
    </row>
    <row r="39" spans="1:3" x14ac:dyDescent="0.3">
      <c r="A39" s="422">
        <f>$A$32+장기양수시험!D84</f>
        <v>2895</v>
      </c>
      <c r="B39" s="423">
        <f>장기양수시험!G84</f>
        <v>4.9096813715081113</v>
      </c>
      <c r="C39" s="424">
        <v>1</v>
      </c>
    </row>
    <row r="40" spans="1:3" x14ac:dyDescent="0.3">
      <c r="A40" s="422">
        <f>$A$32+장기양수시험!D85</f>
        <v>2900</v>
      </c>
      <c r="B40" s="423">
        <f>장기양수시험!G85</f>
        <v>4.2192835014895822</v>
      </c>
      <c r="C40" s="424">
        <v>1</v>
      </c>
    </row>
    <row r="41" spans="1:3" x14ac:dyDescent="0.3">
      <c r="A41" s="422">
        <f>$A$32+장기양수시험!D86</f>
        <v>2905</v>
      </c>
      <c r="B41" s="423">
        <f>장기양수시험!G86</f>
        <v>3.911392575192179</v>
      </c>
      <c r="C41" s="424">
        <v>1</v>
      </c>
    </row>
    <row r="42" spans="1:3" x14ac:dyDescent="0.3">
      <c r="A42" s="422">
        <f>$A$32+장기양수시험!D87</f>
        <v>2910</v>
      </c>
      <c r="B42" s="423">
        <f>장기양수시험!G87</f>
        <v>3.6259691655863664</v>
      </c>
      <c r="C42" s="424">
        <v>1</v>
      </c>
    </row>
    <row r="43" spans="1:3" x14ac:dyDescent="0.3">
      <c r="A43" s="422">
        <f>$A$32+장기양수시험!D88</f>
        <v>2915</v>
      </c>
      <c r="B43" s="423">
        <f>장기양수시험!G88</f>
        <v>3.5355339059327378</v>
      </c>
      <c r="C43" s="424">
        <v>1</v>
      </c>
    </row>
    <row r="44" spans="1:3" x14ac:dyDescent="0.3">
      <c r="A44" s="422">
        <f>$A$32+장기양수시험!D89</f>
        <v>2920</v>
      </c>
      <c r="B44" s="423">
        <f>장기양수시험!G89</f>
        <v>3.4473541911597003</v>
      </c>
      <c r="C44" s="424">
        <v>1</v>
      </c>
    </row>
    <row r="45" spans="1:3" x14ac:dyDescent="0.3">
      <c r="A45" s="422">
        <f>$A$32+장기양수시험!D90</f>
        <v>2925</v>
      </c>
      <c r="B45" s="423">
        <f>장기양수시험!G90</f>
        <v>3.3613737657455935</v>
      </c>
      <c r="C45" s="424">
        <v>1</v>
      </c>
    </row>
    <row r="46" spans="1:3" x14ac:dyDescent="0.3">
      <c r="A46" s="422">
        <f>$A$32+장기양수시험!D91</f>
        <v>2930</v>
      </c>
      <c r="B46" s="423">
        <f>장기양수시험!G91</f>
        <v>3.2775377772371419</v>
      </c>
      <c r="C46" s="424">
        <v>1</v>
      </c>
    </row>
    <row r="47" spans="1:3" x14ac:dyDescent="0.3">
      <c r="A47" s="422">
        <f>$A$32+장기양수시험!D92</f>
        <v>2935</v>
      </c>
      <c r="B47" s="423">
        <f>장기양수시험!G92</f>
        <v>3.1957927412555458</v>
      </c>
      <c r="C47" s="424">
        <v>1</v>
      </c>
    </row>
    <row r="48" spans="1:3" x14ac:dyDescent="0.3">
      <c r="A48" s="422">
        <f>$A$32+장기양수시험!D93</f>
        <v>2940</v>
      </c>
      <c r="B48" s="423">
        <f>장기양수시험!G93</f>
        <v>3.116086507375345</v>
      </c>
      <c r="C48" s="424">
        <v>1</v>
      </c>
    </row>
    <row r="49" spans="1:3" x14ac:dyDescent="0.3">
      <c r="A49" s="422">
        <f>$A$32+장기양수시험!D94</f>
        <v>2955</v>
      </c>
      <c r="B49" s="423">
        <f>장기양수시험!G94</f>
        <v>3.038368225854303</v>
      </c>
      <c r="C49" s="424">
        <v>1</v>
      </c>
    </row>
    <row r="50" spans="1:3" x14ac:dyDescent="0.3">
      <c r="A50" s="422">
        <f>$A$32+장기양수시험!D95</f>
        <v>2970</v>
      </c>
      <c r="B50" s="423">
        <f>장기양수시험!G95</f>
        <v>2.9625883151930852</v>
      </c>
      <c r="C50" s="424">
        <v>1</v>
      </c>
    </row>
    <row r="51" spans="1:3" x14ac:dyDescent="0.3">
      <c r="A51" s="422">
        <f>$A$32+장기양수시험!D96</f>
        <v>2985</v>
      </c>
      <c r="B51" s="423">
        <f>장기양수시험!G96</f>
        <v>2.8886984305040171</v>
      </c>
      <c r="C51" s="424">
        <v>1</v>
      </c>
    </row>
    <row r="52" spans="1:3" x14ac:dyDescent="0.3">
      <c r="A52" s="422">
        <f>$A$32+장기양수시험!D97</f>
        <v>3000</v>
      </c>
      <c r="B52" s="423">
        <f>장기양수시험!G97</f>
        <v>2.6779033902447549</v>
      </c>
      <c r="C52" s="424">
        <v>1</v>
      </c>
    </row>
    <row r="53" spans="1:3" x14ac:dyDescent="0.3">
      <c r="A53" s="422">
        <f>$A$32+장기양수시험!D98</f>
        <v>3060</v>
      </c>
      <c r="B53" s="423">
        <f>장기양수시험!G98</f>
        <v>2.6111138293398835</v>
      </c>
      <c r="C53" s="424">
        <v>1</v>
      </c>
    </row>
    <row r="54" spans="1:3" x14ac:dyDescent="0.3">
      <c r="A54" s="422">
        <f>$A$32+장기양수시험!D99</f>
        <v>3120</v>
      </c>
      <c r="B54" s="423">
        <f>장기양수시험!G99</f>
        <v>2.243939813401973</v>
      </c>
      <c r="C54" s="424">
        <v>1</v>
      </c>
    </row>
    <row r="55" spans="1:3" x14ac:dyDescent="0.3">
      <c r="A55" s="422">
        <f>$A$32+장기양수시험!D100</f>
        <v>3180</v>
      </c>
      <c r="B55" s="423">
        <f>장기양수시험!G100</f>
        <v>1.9283976935787015</v>
      </c>
      <c r="C55" s="424">
        <v>1</v>
      </c>
    </row>
    <row r="56" spans="1:3" x14ac:dyDescent="0.3">
      <c r="A56" s="422">
        <f>$A$32+장기양수시험!D101</f>
        <v>3240</v>
      </c>
      <c r="B56" s="423">
        <f>장기양수시험!G101</f>
        <v>1.6572270086699934</v>
      </c>
      <c r="C56" s="424">
        <v>1</v>
      </c>
    </row>
    <row r="57" spans="1:3" x14ac:dyDescent="0.3">
      <c r="A57" s="422" t="s">
        <v>179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/>
  <dimension ref="B1:P44"/>
  <sheetViews>
    <sheetView workbookViewId="0"/>
  </sheetViews>
  <sheetFormatPr defaultColWidth="8.88671875" defaultRowHeight="16.5" x14ac:dyDescent="0.3"/>
  <cols>
    <col min="1" max="1" width="8.88671875" style="345"/>
    <col min="2" max="2" width="16.6640625" style="345" customWidth="1"/>
    <col min="3" max="4" width="14.6640625" style="345" customWidth="1"/>
    <col min="5" max="5" width="12" style="421" customWidth="1"/>
    <col min="6" max="6" width="12.33203125" style="421" customWidth="1"/>
    <col min="7" max="7" width="8.88671875" style="345"/>
    <col min="8" max="8" width="10.33203125" style="345" customWidth="1"/>
    <col min="9" max="9" width="9.44140625" style="345" customWidth="1"/>
    <col min="10" max="10" width="10.21875" style="345" customWidth="1"/>
    <col min="11" max="11" width="8.88671875" style="345"/>
    <col min="12" max="12" width="10" style="345" customWidth="1"/>
    <col min="13" max="15" width="8.88671875" style="345"/>
    <col min="16" max="16" width="10" style="345" customWidth="1"/>
    <col min="17" max="16384" width="8.88671875" style="345"/>
  </cols>
  <sheetData>
    <row r="1" spans="2:16" s="387" customFormat="1" ht="18" customHeight="1" x14ac:dyDescent="0.15">
      <c r="E1" s="388"/>
      <c r="F1" s="388"/>
    </row>
    <row r="2" spans="2:16" s="387" customFormat="1" ht="18" customHeight="1" x14ac:dyDescent="0.15">
      <c r="B2" s="387" t="s">
        <v>252</v>
      </c>
      <c r="E2" s="388"/>
      <c r="F2" s="388"/>
    </row>
    <row r="3" spans="2:16" s="387" customFormat="1" ht="18" customHeight="1" x14ac:dyDescent="0.15">
      <c r="E3" s="388"/>
      <c r="F3" s="388"/>
    </row>
    <row r="4" spans="2:16" s="391" customFormat="1" ht="26.25" customHeight="1" x14ac:dyDescent="0.15">
      <c r="B4" s="389" t="s">
        <v>253</v>
      </c>
      <c r="C4" s="390" t="s">
        <v>237</v>
      </c>
      <c r="E4" s="390"/>
      <c r="F4" s="390"/>
    </row>
    <row r="5" spans="2:16" s="387" customFormat="1" ht="18" customHeight="1" thickBot="1" x14ac:dyDescent="0.2">
      <c r="E5" s="388"/>
      <c r="F5" s="388"/>
    </row>
    <row r="6" spans="2:16" s="387" customFormat="1" ht="26.1" customHeight="1" thickBot="1" x14ac:dyDescent="0.2">
      <c r="B6" s="392" t="s">
        <v>254</v>
      </c>
      <c r="C6" s="393">
        <f>장기양수시험!C10</f>
        <v>44291.402777777781</v>
      </c>
      <c r="D6" s="394"/>
      <c r="E6" s="388"/>
      <c r="F6" s="388"/>
    </row>
    <row r="7" spans="2:16" s="387" customFormat="1" ht="26.1" customHeight="1" thickBot="1" x14ac:dyDescent="0.2">
      <c r="B7" s="392" t="s">
        <v>255</v>
      </c>
      <c r="C7" s="395">
        <v>14.8</v>
      </c>
      <c r="D7" s="394"/>
      <c r="E7" s="388"/>
      <c r="F7" s="388"/>
    </row>
    <row r="8" spans="2:16" s="387" customFormat="1" ht="26.1" customHeight="1" x14ac:dyDescent="0.15">
      <c r="B8" s="396" t="s">
        <v>256</v>
      </c>
      <c r="C8" s="397">
        <v>215</v>
      </c>
      <c r="D8" s="394"/>
      <c r="E8" s="388"/>
      <c r="F8" s="388"/>
    </row>
    <row r="9" spans="2:16" s="387" customFormat="1" ht="26.1" customHeight="1" x14ac:dyDescent="0.15">
      <c r="B9" s="396" t="s">
        <v>257</v>
      </c>
      <c r="C9" s="398">
        <v>8</v>
      </c>
      <c r="D9" s="394"/>
      <c r="E9" s="388"/>
      <c r="F9" s="388"/>
    </row>
    <row r="10" spans="2:16" s="387" customFormat="1" ht="26.1" customHeight="1" x14ac:dyDescent="0.15">
      <c r="B10" s="396"/>
      <c r="C10" s="397"/>
      <c r="D10" s="394"/>
      <c r="E10" s="388"/>
      <c r="F10" s="388"/>
    </row>
    <row r="11" spans="2:16" s="387" customFormat="1" ht="18" customHeight="1" thickBot="1" x14ac:dyDescent="0.2">
      <c r="E11" s="388"/>
      <c r="F11" s="388"/>
      <c r="L11"/>
      <c r="M11"/>
      <c r="N11"/>
      <c r="O11"/>
      <c r="P11"/>
    </row>
    <row r="12" spans="2:16" s="388" customFormat="1" ht="26.1" customHeight="1" x14ac:dyDescent="0.15">
      <c r="B12" s="548" t="s">
        <v>258</v>
      </c>
      <c r="C12" s="549"/>
      <c r="D12" s="550" t="s">
        <v>237</v>
      </c>
      <c r="E12" s="551"/>
      <c r="F12" s="549"/>
      <c r="H12" s="548" t="s">
        <v>237</v>
      </c>
      <c r="I12" s="551"/>
      <c r="J12" s="549"/>
      <c r="L12" s="543" t="s">
        <v>237</v>
      </c>
      <c r="M12" s="544"/>
      <c r="N12" s="545"/>
      <c r="O12"/>
      <c r="P12"/>
    </row>
    <row r="13" spans="2:16" s="388" customFormat="1" ht="26.1" customHeight="1" x14ac:dyDescent="0.15">
      <c r="B13" s="399" t="s">
        <v>254</v>
      </c>
      <c r="C13" s="400" t="s">
        <v>259</v>
      </c>
      <c r="D13" s="401" t="s">
        <v>260</v>
      </c>
      <c r="E13" s="402" t="s">
        <v>261</v>
      </c>
      <c r="F13" s="400" t="s">
        <v>262</v>
      </c>
      <c r="H13" s="467" t="s">
        <v>260</v>
      </c>
      <c r="I13" s="402" t="s">
        <v>261</v>
      </c>
      <c r="J13" s="468" t="s">
        <v>262</v>
      </c>
      <c r="L13" s="470" t="s">
        <v>260</v>
      </c>
      <c r="M13" s="471" t="s">
        <v>261</v>
      </c>
      <c r="N13" s="472" t="s">
        <v>262</v>
      </c>
      <c r="O13"/>
      <c r="P13"/>
    </row>
    <row r="14" spans="2:16" s="388" customFormat="1" ht="26.1" customHeight="1" x14ac:dyDescent="0.15">
      <c r="B14" s="403">
        <f>$C$6+C14/1440</f>
        <v>44291.40625</v>
      </c>
      <c r="C14" s="404">
        <v>5</v>
      </c>
      <c r="D14" s="405">
        <f t="shared" ref="D14:D23" si="0">baseTemp+H14</f>
        <v>14.700000000000001</v>
      </c>
      <c r="E14" s="406">
        <f>$C$8+I14</f>
        <v>218</v>
      </c>
      <c r="F14" s="407">
        <f>$C$9+J14</f>
        <v>8.08</v>
      </c>
      <c r="H14" s="408">
        <v>-0.1</v>
      </c>
      <c r="I14" s="409">
        <v>3</v>
      </c>
      <c r="J14" s="410">
        <v>0.08</v>
      </c>
      <c r="L14" s="470">
        <f ca="1">ROUND(myRandBetween(1,3,10), 1)</f>
        <v>0.2</v>
      </c>
      <c r="M14" s="471">
        <f ca="1">myRandBetween(1,3,1)</f>
        <v>2</v>
      </c>
      <c r="N14" s="472">
        <f ca="1">ROUND(myRandBetween(7,12,100), 2)</f>
        <v>-0.1</v>
      </c>
      <c r="O14"/>
      <c r="P14"/>
    </row>
    <row r="15" spans="2:16" s="388" customFormat="1" ht="26.1" customHeight="1" x14ac:dyDescent="0.15">
      <c r="B15" s="411">
        <f t="shared" ref="B15:B23" si="1">$C$6+C15/1440</f>
        <v>44291.423611111117</v>
      </c>
      <c r="C15" s="410">
        <v>30</v>
      </c>
      <c r="D15" s="412">
        <f t="shared" si="0"/>
        <v>14.600000000000001</v>
      </c>
      <c r="E15" s="413">
        <f t="shared" ref="E15:E23" si="2">$C$8+I15</f>
        <v>218</v>
      </c>
      <c r="F15" s="414">
        <f t="shared" ref="F15:F23" si="3">$C$9+J15</f>
        <v>7.89</v>
      </c>
      <c r="H15" s="408">
        <v>-0.2</v>
      </c>
      <c r="I15" s="409">
        <v>3</v>
      </c>
      <c r="J15" s="410">
        <v>-0.11</v>
      </c>
      <c r="L15" s="470">
        <f t="shared" ref="L15:L23" ca="1" si="4">ROUND(myRandBetween(1,3,10), 1)</f>
        <v>-0.1</v>
      </c>
      <c r="M15" s="471">
        <f t="shared" ref="M15:M23" ca="1" si="5">myRandBetween(1,3,1)</f>
        <v>-1</v>
      </c>
      <c r="N15" s="472">
        <f t="shared" ref="N15:N23" ca="1" si="6">ROUND(myRandBetween(7,12,100), 2)</f>
        <v>-0.12</v>
      </c>
      <c r="O15"/>
      <c r="P15"/>
    </row>
    <row r="16" spans="2:16" s="388" customFormat="1" ht="26.1" customHeight="1" x14ac:dyDescent="0.15">
      <c r="B16" s="411">
        <f t="shared" si="1"/>
        <v>44291.444444444445</v>
      </c>
      <c r="C16" s="410">
        <v>60</v>
      </c>
      <c r="D16" s="412">
        <f t="shared" si="0"/>
        <v>14.5</v>
      </c>
      <c r="E16" s="413">
        <f t="shared" si="2"/>
        <v>217</v>
      </c>
      <c r="F16" s="414">
        <f t="shared" si="3"/>
        <v>8.08</v>
      </c>
      <c r="H16" s="408">
        <v>-0.3</v>
      </c>
      <c r="I16" s="409">
        <v>2</v>
      </c>
      <c r="J16" s="410">
        <v>0.08</v>
      </c>
      <c r="L16" s="470">
        <f t="shared" ca="1" si="4"/>
        <v>-0.2</v>
      </c>
      <c r="M16" s="471">
        <f t="shared" ca="1" si="5"/>
        <v>-2</v>
      </c>
      <c r="N16" s="472">
        <f t="shared" ca="1" si="6"/>
        <v>-0.11</v>
      </c>
      <c r="O16"/>
      <c r="P16"/>
    </row>
    <row r="17" spans="2:16" s="388" customFormat="1" ht="26.1" customHeight="1" x14ac:dyDescent="0.15">
      <c r="B17" s="411">
        <f t="shared" si="1"/>
        <v>44291.486111111117</v>
      </c>
      <c r="C17" s="410">
        <v>120</v>
      </c>
      <c r="D17" s="412">
        <f t="shared" si="0"/>
        <v>14.700000000000001</v>
      </c>
      <c r="E17" s="413">
        <f t="shared" si="2"/>
        <v>217</v>
      </c>
      <c r="F17" s="414">
        <f t="shared" si="3"/>
        <v>7.89</v>
      </c>
      <c r="H17" s="408">
        <v>-0.1</v>
      </c>
      <c r="I17" s="409">
        <v>2</v>
      </c>
      <c r="J17" s="410">
        <v>-0.11</v>
      </c>
      <c r="L17" s="470">
        <f t="shared" ca="1" si="4"/>
        <v>-0.3</v>
      </c>
      <c r="M17" s="471">
        <f t="shared" ca="1" si="5"/>
        <v>3</v>
      </c>
      <c r="N17" s="472">
        <f t="shared" ca="1" si="6"/>
        <v>-0.1</v>
      </c>
      <c r="O17"/>
      <c r="P17"/>
    </row>
    <row r="18" spans="2:16" s="388" customFormat="1" ht="26.1" customHeight="1" x14ac:dyDescent="0.15">
      <c r="B18" s="411">
        <f t="shared" si="1"/>
        <v>44291.569444444445</v>
      </c>
      <c r="C18" s="410">
        <v>240</v>
      </c>
      <c r="D18" s="412">
        <f t="shared" si="0"/>
        <v>15</v>
      </c>
      <c r="E18" s="413">
        <f t="shared" si="2"/>
        <v>217</v>
      </c>
      <c r="F18" s="414">
        <f t="shared" si="3"/>
        <v>8.07</v>
      </c>
      <c r="H18" s="408">
        <v>0.2</v>
      </c>
      <c r="I18" s="409">
        <v>2</v>
      </c>
      <c r="J18" s="410">
        <v>7.0000000000000007E-2</v>
      </c>
      <c r="L18" s="470">
        <f t="shared" ca="1" si="4"/>
        <v>-0.2</v>
      </c>
      <c r="M18" s="471">
        <f t="shared" ca="1" si="5"/>
        <v>1</v>
      </c>
      <c r="N18" s="472">
        <f t="shared" ca="1" si="6"/>
        <v>-0.1</v>
      </c>
      <c r="O18"/>
      <c r="P18"/>
    </row>
    <row r="19" spans="2:16" s="388" customFormat="1" ht="26.1" customHeight="1" x14ac:dyDescent="0.15">
      <c r="B19" s="411">
        <f t="shared" si="1"/>
        <v>44291.736111111117</v>
      </c>
      <c r="C19" s="410">
        <v>480</v>
      </c>
      <c r="D19" s="415">
        <f t="shared" si="0"/>
        <v>14.700000000000001</v>
      </c>
      <c r="E19" s="413">
        <f t="shared" si="2"/>
        <v>212</v>
      </c>
      <c r="F19" s="414">
        <f t="shared" si="3"/>
        <v>7.9</v>
      </c>
      <c r="H19" s="408">
        <v>-0.1</v>
      </c>
      <c r="I19" s="409">
        <v>-3</v>
      </c>
      <c r="J19" s="410">
        <v>-0.1</v>
      </c>
      <c r="L19" s="470">
        <f t="shared" ca="1" si="4"/>
        <v>-0.1</v>
      </c>
      <c r="M19" s="471">
        <f t="shared" ca="1" si="5"/>
        <v>-1</v>
      </c>
      <c r="N19" s="472">
        <f t="shared" ca="1" si="6"/>
        <v>0.11</v>
      </c>
      <c r="O19"/>
      <c r="P19"/>
    </row>
    <row r="20" spans="2:16" s="387" customFormat="1" ht="26.1" customHeight="1" x14ac:dyDescent="0.15">
      <c r="B20" s="411">
        <f t="shared" si="1"/>
        <v>44292.402777777781</v>
      </c>
      <c r="C20" s="410">
        <v>1440</v>
      </c>
      <c r="D20" s="412">
        <f t="shared" si="0"/>
        <v>15.100000000000001</v>
      </c>
      <c r="E20" s="413">
        <f t="shared" si="2"/>
        <v>216</v>
      </c>
      <c r="F20" s="414">
        <f t="shared" si="3"/>
        <v>7.89</v>
      </c>
      <c r="H20" s="408">
        <v>0.3</v>
      </c>
      <c r="I20" s="409">
        <v>1</v>
      </c>
      <c r="J20" s="410">
        <v>-0.11</v>
      </c>
      <c r="L20" s="470">
        <f t="shared" ca="1" si="4"/>
        <v>-0.1</v>
      </c>
      <c r="M20" s="471">
        <f t="shared" ca="1" si="5"/>
        <v>2</v>
      </c>
      <c r="N20" s="472">
        <f t="shared" ca="1" si="6"/>
        <v>0.1</v>
      </c>
      <c r="O20"/>
      <c r="P20"/>
    </row>
    <row r="21" spans="2:16" s="387" customFormat="1" ht="26.1" customHeight="1" x14ac:dyDescent="0.15">
      <c r="B21" s="411">
        <f t="shared" si="1"/>
        <v>44292.569444444445</v>
      </c>
      <c r="C21" s="410">
        <v>1680</v>
      </c>
      <c r="D21" s="412">
        <f t="shared" si="0"/>
        <v>15</v>
      </c>
      <c r="E21" s="413">
        <f t="shared" si="2"/>
        <v>217</v>
      </c>
      <c r="F21" s="414">
        <f t="shared" si="3"/>
        <v>8.1</v>
      </c>
      <c r="H21" s="408">
        <v>0.2</v>
      </c>
      <c r="I21" s="409">
        <v>2</v>
      </c>
      <c r="J21" s="410">
        <v>0.1</v>
      </c>
      <c r="L21" s="470">
        <f t="shared" ca="1" si="4"/>
        <v>0.3</v>
      </c>
      <c r="M21" s="471">
        <f t="shared" ca="1" si="5"/>
        <v>-3</v>
      </c>
      <c r="N21" s="472">
        <f t="shared" ca="1" si="6"/>
        <v>-0.11</v>
      </c>
      <c r="O21"/>
      <c r="P21"/>
    </row>
    <row r="22" spans="2:16" s="387" customFormat="1" ht="26.1" customHeight="1" x14ac:dyDescent="0.15">
      <c r="B22" s="411">
        <f t="shared" si="1"/>
        <v>44292.736111111117</v>
      </c>
      <c r="C22" s="410">
        <v>1920</v>
      </c>
      <c r="D22" s="412">
        <f t="shared" si="0"/>
        <v>14.5</v>
      </c>
      <c r="E22" s="413">
        <f t="shared" si="2"/>
        <v>218</v>
      </c>
      <c r="F22" s="414">
        <f t="shared" si="3"/>
        <v>8.1199999999999992</v>
      </c>
      <c r="H22" s="408">
        <v>-0.3</v>
      </c>
      <c r="I22" s="409">
        <v>3</v>
      </c>
      <c r="J22" s="410">
        <v>0.12</v>
      </c>
      <c r="L22" s="470">
        <f t="shared" ca="1" si="4"/>
        <v>0.2</v>
      </c>
      <c r="M22" s="471">
        <f t="shared" ca="1" si="5"/>
        <v>-3</v>
      </c>
      <c r="N22" s="472">
        <f t="shared" ca="1" si="6"/>
        <v>-0.09</v>
      </c>
      <c r="O22"/>
      <c r="P22"/>
    </row>
    <row r="23" spans="2:16" s="387" customFormat="1" ht="26.1" customHeight="1" thickBot="1" x14ac:dyDescent="0.2">
      <c r="B23" s="411">
        <f t="shared" si="1"/>
        <v>44293.402777777781</v>
      </c>
      <c r="C23" s="410">
        <v>2880</v>
      </c>
      <c r="D23" s="412">
        <f t="shared" si="0"/>
        <v>14.600000000000001</v>
      </c>
      <c r="E23" s="413">
        <f t="shared" si="2"/>
        <v>216</v>
      </c>
      <c r="F23" s="414">
        <f t="shared" si="3"/>
        <v>7.93</v>
      </c>
      <c r="H23" s="416">
        <v>-0.2</v>
      </c>
      <c r="I23" s="469">
        <v>1</v>
      </c>
      <c r="J23" s="417">
        <v>-7.0000000000000007E-2</v>
      </c>
      <c r="L23" s="473">
        <f t="shared" ca="1" si="4"/>
        <v>0.1</v>
      </c>
      <c r="M23" s="474">
        <f t="shared" ca="1" si="5"/>
        <v>3</v>
      </c>
      <c r="N23" s="475">
        <f t="shared" ca="1" si="6"/>
        <v>0.11</v>
      </c>
      <c r="O23"/>
      <c r="P23"/>
    </row>
    <row r="24" spans="2:16" s="387" customFormat="1" ht="26.1" customHeight="1" x14ac:dyDescent="0.15">
      <c r="B24" s="552" t="s">
        <v>178</v>
      </c>
      <c r="C24" s="553"/>
      <c r="D24" s="401">
        <f>MAX(D14:D23)</f>
        <v>15.100000000000001</v>
      </c>
      <c r="E24" s="402">
        <f t="shared" ref="E24:F24" si="7">MAX(E14:E23)</f>
        <v>218</v>
      </c>
      <c r="F24" s="400">
        <f t="shared" si="7"/>
        <v>8.1199999999999992</v>
      </c>
      <c r="H24" s="388"/>
      <c r="I24" s="388"/>
      <c r="J24" s="388"/>
      <c r="L24"/>
      <c r="M24"/>
      <c r="N24"/>
      <c r="O24"/>
      <c r="P24"/>
    </row>
    <row r="25" spans="2:16" s="387" customFormat="1" ht="26.1" customHeight="1" x14ac:dyDescent="0.15">
      <c r="B25" s="552" t="s">
        <v>263</v>
      </c>
      <c r="C25" s="553"/>
      <c r="D25" s="401">
        <f>MIN(D14:D23)</f>
        <v>14.5</v>
      </c>
      <c r="E25" s="402">
        <f t="shared" ref="E25:F25" si="8">MIN(E14:E23)</f>
        <v>212</v>
      </c>
      <c r="F25" s="400">
        <f t="shared" si="8"/>
        <v>7.89</v>
      </c>
      <c r="H25" s="388"/>
      <c r="I25" s="388"/>
      <c r="J25" s="388"/>
      <c r="L25"/>
      <c r="M25"/>
      <c r="N25"/>
      <c r="O25"/>
      <c r="P25"/>
    </row>
    <row r="26" spans="2:16" s="387" customFormat="1" ht="26.1" customHeight="1" thickBot="1" x14ac:dyDescent="0.2">
      <c r="B26" s="546" t="s">
        <v>264</v>
      </c>
      <c r="C26" s="547"/>
      <c r="D26" s="418">
        <f>D24-D25</f>
        <v>0.60000000000000142</v>
      </c>
      <c r="E26" s="419">
        <f t="shared" ref="E26:F26" si="9">E24-E25</f>
        <v>6</v>
      </c>
      <c r="F26" s="420">
        <f t="shared" si="9"/>
        <v>0.22999999999999954</v>
      </c>
      <c r="H26" s="388"/>
      <c r="I26" s="388"/>
      <c r="J26" s="388"/>
      <c r="L26"/>
      <c r="M26"/>
      <c r="N26"/>
      <c r="O26"/>
      <c r="P26"/>
    </row>
    <row r="27" spans="2:16" s="387" customFormat="1" ht="18" customHeight="1" x14ac:dyDescent="0.15">
      <c r="E27" s="388"/>
      <c r="F27" s="388"/>
      <c r="L27"/>
      <c r="M27"/>
      <c r="N27"/>
      <c r="O27"/>
      <c r="P27"/>
    </row>
    <row r="28" spans="2:16" s="387" customFormat="1" ht="18" customHeight="1" x14ac:dyDescent="0.15">
      <c r="E28" s="388"/>
      <c r="F28" s="388"/>
      <c r="L28"/>
      <c r="M28"/>
      <c r="N28"/>
      <c r="O28"/>
      <c r="P28"/>
    </row>
    <row r="29" spans="2:16" s="387" customFormat="1" ht="18" customHeight="1" x14ac:dyDescent="0.15">
      <c r="E29" s="388"/>
      <c r="F29" s="388"/>
    </row>
    <row r="30" spans="2:16" s="387" customFormat="1" ht="18" customHeight="1" x14ac:dyDescent="0.15">
      <c r="E30" s="388"/>
      <c r="F30" s="388"/>
    </row>
    <row r="31" spans="2:16" s="387" customFormat="1" ht="18" customHeight="1" x14ac:dyDescent="0.15">
      <c r="E31" s="388"/>
      <c r="F31" s="388"/>
    </row>
    <row r="32" spans="2:16" s="387" customFormat="1" ht="18" customHeight="1" x14ac:dyDescent="0.15">
      <c r="E32" s="388"/>
      <c r="F32" s="388"/>
    </row>
    <row r="33" spans="5:6" s="387" customFormat="1" ht="18" customHeight="1" x14ac:dyDescent="0.15">
      <c r="E33" s="388"/>
      <c r="F33" s="388"/>
    </row>
    <row r="34" spans="5:6" s="387" customFormat="1" ht="18" customHeight="1" x14ac:dyDescent="0.15">
      <c r="E34" s="388"/>
      <c r="F34" s="388"/>
    </row>
    <row r="35" spans="5:6" s="387" customFormat="1" ht="18" customHeight="1" x14ac:dyDescent="0.15">
      <c r="E35" s="388"/>
      <c r="F35" s="388"/>
    </row>
    <row r="36" spans="5:6" s="387" customFormat="1" ht="18" customHeight="1" x14ac:dyDescent="0.15">
      <c r="E36" s="388"/>
      <c r="F36" s="388"/>
    </row>
    <row r="37" spans="5:6" s="387" customFormat="1" ht="18" customHeight="1" x14ac:dyDescent="0.15">
      <c r="E37" s="388"/>
      <c r="F37" s="388"/>
    </row>
    <row r="38" spans="5:6" ht="18" customHeight="1" x14ac:dyDescent="0.3"/>
    <row r="39" spans="5:6" ht="18" customHeight="1" x14ac:dyDescent="0.3"/>
    <row r="40" spans="5:6" ht="18" customHeight="1" x14ac:dyDescent="0.3"/>
    <row r="41" spans="5:6" ht="18" customHeight="1" x14ac:dyDescent="0.3"/>
    <row r="42" spans="5:6" ht="18" customHeight="1" x14ac:dyDescent="0.3"/>
    <row r="43" spans="5:6" ht="18" customHeight="1" x14ac:dyDescent="0.3"/>
    <row r="44" spans="5:6" ht="18" customHeight="1" x14ac:dyDescent="0.3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2" r:id="rId4" name="CommandButton2">
          <controlPr defaultSize="0" autoLine="0" autoPict="0" r:id="rId5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4" name="CommandButton2"/>
      </mc:Fallback>
    </mc:AlternateContent>
    <mc:AlternateContent xmlns:mc="http://schemas.openxmlformats.org/markup-compatibility/2006">
      <mc:Choice Requires="x14">
        <control shapeId="30721" r:id="rId6" name="CommandButton1">
          <controlPr defaultSize="0" autoLine="0" r:id="rId7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 x14ac:dyDescent="0.15">
      <c r="A1" s="554" t="s">
        <v>152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</row>
    <row r="2" spans="1:11" s="110" customFormat="1" ht="20.100000000000001" customHeight="1" thickBot="1" x14ac:dyDescent="0.2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 x14ac:dyDescent="0.15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 x14ac:dyDescent="0.15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 x14ac:dyDescent="0.15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 x14ac:dyDescent="0.15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 x14ac:dyDescent="0.15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 x14ac:dyDescent="0.15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 x14ac:dyDescent="0.15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 x14ac:dyDescent="0.15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 x14ac:dyDescent="0.15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 x14ac:dyDescent="0.15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 x14ac:dyDescent="0.15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 x14ac:dyDescent="0.2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8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13</vt:i4>
      </vt:variant>
    </vt:vector>
  </HeadingPairs>
  <TitlesOfParts>
    <vt:vector size="26" baseType="lpstr">
      <vt:lpstr>Sheet1</vt:lpstr>
      <vt:lpstr>입력표</vt:lpstr>
      <vt:lpstr>REF</vt:lpstr>
      <vt:lpstr>가채수량</vt:lpstr>
      <vt:lpstr>스킨팩터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w1</vt:lpstr>
      <vt:lpstr>시추주상</vt:lpstr>
      <vt:lpstr>'w1'!baseTemp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2021-03-23T08:52:19Z</cp:lastPrinted>
  <dcterms:created xsi:type="dcterms:W3CDTF">1998-04-14T02:17:03Z</dcterms:created>
  <dcterms:modified xsi:type="dcterms:W3CDTF">2021-04-06T07:41:05Z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