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D38E4100-2DD2-42E5-A20F-2B767DBB2327}" xr6:coauthVersionLast="46" xr6:coauthVersionMax="46" xr10:uidLastSave="{00000000-0000-0000-0000-000000000000}"/>
  <bookViews>
    <workbookView xWindow="6180" yWindow="2070" windowWidth="26085" windowHeight="17220" tabRatio="619" firstSheet="2" activeTab="9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m1_step_01" sheetId="20" r:id="rId10"/>
    <sheet name="m1_janggi_02" sheetId="21" r:id="rId11"/>
    <sheet name="m1_recover_01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A31" i="20" l="1"/>
  <c r="F13" i="27" l="1"/>
  <c r="C7" i="27"/>
  <c r="H60" i="1"/>
  <c r="H16" i="27"/>
  <c r="M21" i="33"/>
  <c r="L22" i="33"/>
  <c r="L23" i="33"/>
  <c r="N23" i="33"/>
  <c r="M19" i="33"/>
  <c r="M22" i="33"/>
  <c r="L21" i="33"/>
  <c r="L18" i="33"/>
  <c r="M16" i="33"/>
  <c r="N19" i="33"/>
  <c r="N22" i="33"/>
  <c r="M20" i="33"/>
  <c r="M15" i="33"/>
  <c r="L14" i="33"/>
  <c r="L16" i="33"/>
  <c r="N14" i="33"/>
  <c r="L19" i="33"/>
  <c r="N15" i="33"/>
  <c r="L15" i="33"/>
  <c r="M14" i="33"/>
  <c r="N16" i="33"/>
  <c r="L20" i="33"/>
  <c r="M18" i="33"/>
  <c r="M17" i="33"/>
  <c r="N21" i="33"/>
  <c r="N17" i="33"/>
  <c r="N20" i="33"/>
  <c r="N18" i="33"/>
  <c r="L17" i="33"/>
  <c r="M23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7" i="3" s="1"/>
  <c r="AC38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<sst xmlns="http://schemas.openxmlformats.org/spreadsheetml/2006/main" count="1140" uniqueCount="290">
  <si>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</si>
  <si>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</si>
  <si>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</si>
  <si>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</si>
  <si>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</si>
  <si>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</si>
  <si>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</si>
  <si>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</si>
  <si>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</si>
  <si>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</si>
  <si>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</si>
  <si>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</si>
  <si>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</si>
  <si>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</si>
  <si>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</si>
  <si>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</si>
  <si>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</si>
  <si>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</si>
  <si>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</si>
  <si>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</si>
  <si>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</si>
  <si>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</si>
  <si>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</si>
  <si>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</si>
  <si>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</si>
  <si>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</si>
  <si>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</si>
  <si>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</si>
  <si>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</si>
  <si>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</si>
  <si>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</si>
  <si>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</si>
  <si>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</si>
  <si>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</si>
  <si>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</si>
  <si>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</si>
  <si>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</si>
  <si>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</si>
  <si>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</si>
  <si>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</si>
  <si>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</si>
  <si>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</si>
  <si>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</si>
  <si>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</si>
  <si>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</si>
  <si>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</si>
  <si>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</si>
  <si>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</si>
  <si>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</si>
  <si>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</si>
  <si>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</si>
  <si>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</si>
  <si>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</si>
  <si>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</si>
  <si>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</si>
  <si>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</si>
  <si>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</si>
  <si>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</si>
  <si>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</si>
  <si>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</si>
  <si>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</si>
  <si>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</si>
  <si>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</si>
  <si>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</si>
  <si>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</si>
  <si>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</si>
  <si>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</si>
  <si>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</si>
  <si>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</si>
  <si>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</si>
  <si>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</si>
  <si>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</si>
  <si>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</si>
  <si>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</si>
  <si>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</si>
  <si>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</si>
  <si>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</si>
  <si>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</si>
  <si>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</si>
  <si>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</si>
  <si>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</si>
  <si>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</si>
  <si>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</si>
  <si>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</si>
  <si>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</si>
  <si>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</si>
  <si>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</si>
  <si>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</si>
  <si>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</si>
  <si>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</si>
  <si>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</si>
  <si>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</si>
  <si>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</si>
  <si>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</si>
  <si>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</si>
  <si>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</si>
  <si>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</si>
  <si>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</si>
  <si>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</si>
  <si>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</si>
  <si>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</si>
  <si>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</si>
  <si>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</si>
  <si>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</si>
  <si>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</si>
  <si>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</si>
  <si>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</si>
  <si>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</si>
  <si>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</si>
  <si>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</si>
  <si>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</si>
  <si>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</si>
  <si>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</si>
  <si>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</si>
  <si>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</si>
  <si>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</si>
  <si>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</si>
  <si>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</si>
  <si>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</si>
  <si>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</si>
  <si>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</si>
  <si>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</si>
  <si>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</si>
  <si>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</si>
  <si>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</si>
  <si>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</si>
  <si>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</si>
  <si>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</si>
  <si>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</si>
  <si>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</si>
  <si>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</si>
  <si>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</si>
  <si>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</si>
  <si>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</si>
  <si>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</si>
  <si>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</si>
  <si>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</si>
  <si>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</si>
  <si>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</si>
  <si>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</si>
  <si>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</si>
  <si>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</si>
  <si>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</si>
  <si>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</si>
  <si>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</si>
  <si>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</si>
  <si>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</si>
  <si>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</si>
  <si>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</si>
  <si>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</si>
  <si>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</si>
  <si>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</si>
  <si>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</si>
  <si>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</si>
  <si>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</si>
  <si>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</si>
  <si>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</si>
  <si>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</si>
  <si>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</si>
  <si>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</si>
  <si>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</si>
  <si>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</si>
  <si>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</si>
  <si>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</si>
  <si>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</si>
  <si>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</si>
  <si>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</si>
  <si>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</si>
  <si>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</si>
  <si>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</si>
  <si>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</si>
  <si>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</si>
  <si>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</si>
  <si>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</si>
  <si>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</si>
  <si>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</si>
  <si>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</si>
  <si>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</si>
  <si>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</si>
  <si>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</si>
  <si>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</si>
  <si>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</si>
  <si>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</si>
  <si>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</si>
  <si>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</si>
  <si>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</si>
  <si>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</si>
  <si>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</si>
  <si>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</si>
  <si>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</si>
  <si>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</si>
  <si>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</si>
  <si>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</si>
  <si>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</si>
  <si>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</si>
  <si>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</si>
  <si>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</si>
  <si>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</si>
  <si>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</si>
  <si>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</si>
  <si>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</si>
  <si>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</si>
  <si>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</si>
  <si>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</si>
  <si>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</si>
  <si>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</si>
  <si>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</si>
  <si>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</si>
  <si>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</si>
  <si>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</si>
  <si>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</si>
  <si>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</si>
  <si>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</si>
  <si>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</si>
  <si>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</si>
  <si>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</si>
  <si>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</si>
  <si>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</si>
  <si>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</si>
  <si>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</si>
  <si>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</si>
  <si>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</si>
  <si>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</si>
  <si>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</si>
  <si>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</si>
  <si>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</si>
  <si>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</si>
  <si>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</si>
  <si>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</si>
  <si>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</si>
  <si>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</si>
  <si>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</si>
  <si>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</si>
  <si>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</si>
  <si>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</si>
  <si>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</si>
  <si>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</si>
  <si>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</si>
  <si>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</si>
  <si>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</si>
  <si>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</si>
  <si>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</si>
  <si>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</si>
  <si>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</si>
  <si>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</si>
  <si>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</si>
  <si>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</si>
  <si>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</si>
  <si>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</si>
  <si>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</si>
  <si>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</si>
  <si>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</si>
  <si>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</si>
  <si>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</si>
  <si>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</si>
  <si>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</si>
  <si>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</si>
  <si>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</si>
  <si>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</si>
  <si>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</si>
  <si>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</si>
  <si>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</si>
  <si>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</si>
  <si>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</si>
  <si>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</si>
  <si>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</si>
  <si>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</si>
  <si>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</si>
  <si>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</si>
  <si>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</si>
  <si>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</si>
  <si>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</si>
  <si>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</si>
  <si>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---</t>
    <phoneticPr fontId="6" type="noConversion"/>
  </si>
  <si>
    <t>저류계수</t>
    <phoneticPr fontId="6" type="noConversion"/>
  </si>
  <si>
    <t>주식회사 한일지하수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</si>
  <si>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</si>
  <si>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</si>
  <si>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</si>
  <si>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</si>
  <si>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</si>
  <si>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</si>
  <si>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</si>
  <si>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</si>
  <si>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</si>
  <si>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</si>
  <si>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공  번 : W - 1</t>
  </si>
  <si>
    <t>경북대학교 융합교육정보관 신축 기계관급(지열시스템)구매설치</t>
    <phoneticPr fontId="6" type="noConversion"/>
  </si>
  <si>
    <t>복현지구</t>
    <phoneticPr fontId="6" type="noConversion"/>
  </si>
  <si>
    <t>대구광역시 북구 복현동 573번지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</si>
</sst>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51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2" borderId="40" xfId="15" applyFont="1" applyFill="1" applyBorder="1" applyAlignment="1">
      <alignment horizontal="right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2" borderId="3" xfId="0" applyNumberFormat="1" applyFont="1" applyFill="1" applyBorder="1"/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220" fontId="54" fillId="2" borderId="3" xfId="0" applyNumberFormat="1" applyFont="1" applyFill="1" applyBorder="1" applyAlignment="1" applyProtection="1">
      <alignment horizontal="center" vertical="center"/>
    </xf>
    <xf numFmtId="0" fontId="5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8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5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201" fontId="36" fillId="2" borderId="25" xfId="15" applyNumberFormat="1" applyFont="1" applyFill="1" applyBorder="1" applyAlignment="1">
      <alignment horizontal="right" vertical="center"/>
    </xf>
    <xf numFmtId="195" fontId="38" fillId="2" borderId="25" xfId="15" applyNumberFormat="1" applyFont="1" applyFill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209" fontId="38" fillId="28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59" xfId="17" applyBorder="1" applyAlignment="1">
      <alignment horizontal="center" vertical="center"/>
    </xf>
    <xf numFmtId="0" fontId="66" fillId="30" borderId="70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66" fillId="30" borderId="76" xfId="17" applyBorder="1" applyAlignment="1">
      <alignment horizontal="center" vertical="center"/>
    </xf>
    <xf numFmtId="0" fontId="66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quotePrefix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6" fillId="28" borderId="3" xfId="0" applyFont="1" applyFill="1" applyBorder="1"/>
    <xf numFmtId="0" fontId="38" fillId="32" borderId="0" xfId="0" applyFont="1" applyFill="1"/>
    <xf numFmtId="0" fontId="62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Alignment="1">
      <alignment horizontal="center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91" fontId="23" fillId="0" borderId="3" xfId="0" applyNumberFormat="1" applyFont="1" applyBorder="1" applyAlignment="1">
      <alignment horizontal="center" vertical="center"/>
    </xf>
    <xf numFmtId="0" fontId="16" fillId="4" borderId="0" xfId="0" applyFont="1" applyFill="1" applyAlignment="1">
      <alignment horizontal="right" vertical="center" wrapText="1"/>
    </xf>
    <xf numFmtId="219" fontId="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0" fontId="21" fillId="0" borderId="3" xfId="0" applyFont="1" applyBorder="1" applyAlignment="1">
      <alignment horizontal="center" vertical="center" wrapText="1"/>
    </xf>
    <xf numFmtId="0" fontId="66" fillId="30" borderId="65" xfId="17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  <xf numFmtId="209" fontId="58" fillId="33" borderId="87" xfId="15" applyNumberFormat="1" applyFont="1" applyFill="1" applyBorder="1" applyAlignment="1">
      <alignment horizontal="center" vertical="center"/>
    </xf>
    <xf numFmtId="209" fontId="58" fillId="33" borderId="91" xfId="15" applyNumberFormat="1" applyFont="1" applyFill="1" applyBorder="1" applyAlignment="1">
      <alignment horizontal="center" vertical="center"/>
    </xf>
    <xf numFmtId="215" fontId="58" fillId="33" borderId="91" xfId="15" applyNumberFormat="1" applyFont="1" applyFill="1" applyBorder="1" applyAlignment="1">
      <alignment horizontal="center" vertical="center"/>
    </xf>
    <xf numFmtId="215" fontId="58" fillId="33" borderId="93" xfId="15" applyNumberFormat="1" applyFont="1" applyFill="1" applyBorder="1" applyAlignment="1">
      <alignment horizontal="center" vertical="center"/>
    </xf>
    <xf numFmtId="205" fontId="58" fillId="33" borderId="88" xfId="15" applyNumberFormat="1" applyFont="1" applyFill="1" applyBorder="1" applyAlignment="1">
      <alignment horizontal="center" vertical="center"/>
    </xf>
    <xf numFmtId="209" fontId="58" fillId="33" borderId="23" xfId="15" applyNumberFormat="1" applyFont="1" applyFill="1" applyBorder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 formatCode="\ 0.00\ ">
                  <c:v>4.58</c:v>
                </c:pt>
                <c:pt idx="21" formatCode="\ 0.00\ ">
                  <c:v>4.7300000000000004</c:v>
                </c:pt>
                <c:pt idx="22" formatCode="\ 0.00\ ">
                  <c:v>4.87</c:v>
                </c:pt>
                <c:pt idx="23" formatCode="\ 0.00\ ">
                  <c:v>5</c:v>
                </c:pt>
                <c:pt idx="24" formatCode="\ 0.00\ ">
                  <c:v>5.13</c:v>
                </c:pt>
                <c:pt idx="25">
                  <c:v>5.32</c:v>
                </c:pt>
                <c:pt idx="26" formatCode="\ 0.00\ ">
                  <c:v>5.4300000000000006</c:v>
                </c:pt>
                <c:pt idx="27">
                  <c:v>5.47</c:v>
                </c:pt>
                <c:pt idx="28" formatCode="\ 0.00\ ">
                  <c:v>5.5699999999999994</c:v>
                </c:pt>
                <c:pt idx="29">
                  <c:v>5.62</c:v>
                </c:pt>
                <c:pt idx="30" formatCode="\ 0.00\ ">
                  <c:v>5.68</c:v>
                </c:pt>
                <c:pt idx="31" formatCode="\ 0.00\ ">
                  <c:v>5.7299999999999995</c:v>
                </c:pt>
                <c:pt idx="32" formatCode="\ 0.00\ ">
                  <c:v>5.77</c:v>
                </c:pt>
                <c:pt idx="33" formatCode="\ 0.00\ ">
                  <c:v>5.8</c:v>
                </c:pt>
                <c:pt idx="34" formatCode="\ 0.00\ ">
                  <c:v>5.8199999999999994</c:v>
                </c:pt>
                <c:pt idx="35">
                  <c:v>5.77</c:v>
                </c:pt>
                <c:pt idx="36" formatCode="\ 0.00\ ">
                  <c:v>5.84</c:v>
                </c:pt>
                <c:pt idx="37" formatCode="\ 0.00\ ">
                  <c:v>5.8999999999999995</c:v>
                </c:pt>
                <c:pt idx="38" formatCode="\ 0.00\ ">
                  <c:v>5.9499999999999993</c:v>
                </c:pt>
                <c:pt idx="39">
                  <c:v>5.93</c:v>
                </c:pt>
                <c:pt idx="40" formatCode="\ 0.00\ ">
                  <c:v>6.1099999999999994</c:v>
                </c:pt>
                <c:pt idx="41" formatCode="\ 0.00\ ">
                  <c:v>6.27</c:v>
                </c:pt>
                <c:pt idx="42" formatCode="\ 0.00\ ">
                  <c:v>6.42</c:v>
                </c:pt>
                <c:pt idx="43" formatCode="\ 0.00\ ">
                  <c:v>6.56</c:v>
                </c:pt>
                <c:pt idx="44" formatCode="\ 0.00\ ">
                  <c:v>6.6899999999999995</c:v>
                </c:pt>
                <c:pt idx="45">
                  <c:v>7</c:v>
                </c:pt>
                <c:pt idx="46" formatCode="\ 0.00\ ">
                  <c:v>7.11</c:v>
                </c:pt>
                <c:pt idx="47">
                  <c:v>7.18</c:v>
                </c:pt>
                <c:pt idx="48" formatCode="\ 0.00\ ">
                  <c:v>7.29</c:v>
                </c:pt>
                <c:pt idx="49">
                  <c:v>7.36</c:v>
                </c:pt>
                <c:pt idx="50" formatCode="\ 0.00\ ">
                  <c:v>7.4300000000000006</c:v>
                </c:pt>
                <c:pt idx="51" formatCode="\ 0.00\ ">
                  <c:v>7.48</c:v>
                </c:pt>
                <c:pt idx="52" formatCode="\ 0.00\ ">
                  <c:v>7.5200000000000005</c:v>
                </c:pt>
                <c:pt idx="53" formatCode="\ 0.00\ ">
                  <c:v>7.5500000000000007</c:v>
                </c:pt>
                <c:pt idx="54" formatCode="\ 0.00\ ">
                  <c:v>7.57</c:v>
                </c:pt>
                <c:pt idx="55">
                  <c:v>7.54</c:v>
                </c:pt>
                <c:pt idx="56" formatCode="\ 0.00\ ">
                  <c:v>7.62</c:v>
                </c:pt>
                <c:pt idx="57" formatCode="\ 0.00\ ">
                  <c:v>7.68</c:v>
                </c:pt>
                <c:pt idx="58" formatCode="\ 0.00\ ">
                  <c:v>7.7299999999999995</c:v>
                </c:pt>
                <c:pt idx="59">
                  <c:v>7.72</c:v>
                </c:pt>
                <c:pt idx="60" formatCode="\ 0.00\ ">
                  <c:v>7.91</c:v>
                </c:pt>
                <c:pt idx="61" formatCode="\ 0.00\ ">
                  <c:v>8.08</c:v>
                </c:pt>
                <c:pt idx="62" formatCode="\ 0.00\ ">
                  <c:v>8.24</c:v>
                </c:pt>
                <c:pt idx="63" formatCode="\ 0.00\ ">
                  <c:v>8.39</c:v>
                </c:pt>
                <c:pt idx="64" formatCode="\ 0.00\ ">
                  <c:v>8.5300000000000011</c:v>
                </c:pt>
                <c:pt idx="65">
                  <c:v>8.85</c:v>
                </c:pt>
                <c:pt idx="66" formatCode="\ 0.00\ ">
                  <c:v>8.9699999999999989</c:v>
                </c:pt>
                <c:pt idx="67" formatCode="\ 0.00\ ">
                  <c:v>9.0399999999999991</c:v>
                </c:pt>
                <c:pt idx="68" formatCode="\ 0.00\ ">
                  <c:v>9.1599999999999984</c:v>
                </c:pt>
                <c:pt idx="69" formatCode="\ 0.00\ ">
                  <c:v>9.23</c:v>
                </c:pt>
                <c:pt idx="70" formatCode="\ 0.00\ ">
                  <c:v>9.3000000000000007</c:v>
                </c:pt>
                <c:pt idx="71" formatCode="\ 0.00\ ">
                  <c:v>9.3500000000000014</c:v>
                </c:pt>
                <c:pt idx="72" formatCode="\ 0.00\ ">
                  <c:v>9.39</c:v>
                </c:pt>
                <c:pt idx="73" formatCode="\ 0.00\ ">
                  <c:v>9.42</c:v>
                </c:pt>
                <c:pt idx="74" formatCode="\ 0.00\ ">
                  <c:v>9.4499999999999993</c:v>
                </c:pt>
                <c:pt idx="75" formatCode="\ 0.00\ ">
                  <c:v>9.42</c:v>
                </c:pt>
                <c:pt idx="76" formatCode="\ 0.00\ ">
                  <c:v>9.51</c:v>
                </c:pt>
                <c:pt idx="77" formatCode="\ 0.00\ ">
                  <c:v>9.58</c:v>
                </c:pt>
                <c:pt idx="78" formatCode="\ 0.00\ ">
                  <c:v>9.6300000000000008</c:v>
                </c:pt>
                <c:pt idx="79" formatCode="\ 0.00\ ">
                  <c:v>9.61</c:v>
                </c:pt>
                <c:pt idx="80" formatCode="\ 0.00\ ">
                  <c:v>9.82</c:v>
                </c:pt>
                <c:pt idx="81" formatCode="\ 0.00\ ">
                  <c:v>10.01</c:v>
                </c:pt>
                <c:pt idx="82" formatCode="\ 0.00\ ">
                  <c:v>10.18</c:v>
                </c:pt>
                <c:pt idx="83" formatCode="\ 0.00\ ">
                  <c:v>10.34</c:v>
                </c:pt>
                <c:pt idx="84" formatCode="\ 0.00\ ">
                  <c:v>10.48</c:v>
                </c:pt>
                <c:pt idx="85" formatCode="\ 0.00\ ">
                  <c:v>10.76</c:v>
                </c:pt>
                <c:pt idx="86" formatCode="\ 0.00\ ">
                  <c:v>11.07</c:v>
                </c:pt>
                <c:pt idx="87" formatCode="\ 0.00\ ">
                  <c:v>11.19</c:v>
                </c:pt>
                <c:pt idx="88" formatCode="\ 0.00\ ">
                  <c:v>11.49</c:v>
                </c:pt>
                <c:pt idx="89" formatCode="\ 0.00\ ">
                  <c:v>11.62</c:v>
                </c:pt>
                <c:pt idx="90" formatCode="\ 0.00\ ">
                  <c:v>11.77</c:v>
                </c:pt>
                <c:pt idx="91" formatCode="\ 0.00\ ">
                  <c:v>11.9</c:v>
                </c:pt>
                <c:pt idx="92" formatCode="\ 0.00\ ">
                  <c:v>12.01</c:v>
                </c:pt>
                <c:pt idx="93" formatCode="\ 0.00\ ">
                  <c:v>12.09</c:v>
                </c:pt>
                <c:pt idx="94" formatCode="\ 0.00\ ">
                  <c:v>12.16</c:v>
                </c:pt>
                <c:pt idx="95" formatCode="\ 0.00\ ">
                  <c:v>12.05</c:v>
                </c:pt>
                <c:pt idx="96" formatCode="\ 0.00\ ">
                  <c:v>12.24</c:v>
                </c:pt>
                <c:pt idx="97" formatCode="\ 0.00\ ">
                  <c:v>12.4</c:v>
                </c:pt>
                <c:pt idx="98" formatCode="\ 0.00\ ">
                  <c:v>12.540000000000001</c:v>
                </c:pt>
                <c:pt idx="99" formatCode="\ 0.00\ ">
                  <c:v>12.49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 formatCode="General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0.13800000000000001</c:v>
                </c:pt>
                <c:pt idx="1">
                  <c:v>0.14399999999999999</c:v>
                </c:pt>
                <c:pt idx="2">
                  <c:v>0.153</c:v>
                </c:pt>
                <c:pt idx="3">
                  <c:v>0.16200000000000001</c:v>
                </c:pt>
                <c:pt idx="4">
                  <c:v>0.184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78.402196475649674</c:v>
                </c:pt>
                <c:pt idx="2">
                  <c:v>73.912470493917567</c:v>
                </c:pt>
                <c:pt idx="3">
                  <c:v>69.846052161752752</c:v>
                </c:pt>
                <c:pt idx="4">
                  <c:v>66.31712879281028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9749999999999996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</c:v>
                </c:pt>
                <c:pt idx="1">
                  <c:v>41</c:v>
                </c:pt>
                <c:pt idx="2">
                  <c:v>50.15</c:v>
                </c:pt>
                <c:pt idx="3">
                  <c:v>59</c:v>
                </c:pt>
                <c:pt idx="4">
                  <c:v>67.849999999999994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4.42</c:v>
                </c:pt>
                <c:pt idx="1">
                  <c:v>5.93</c:v>
                </c:pt>
                <c:pt idx="2">
                  <c:v>7.72</c:v>
                </c:pt>
                <c:pt idx="3">
                  <c:v>9.61</c:v>
                </c:pt>
                <c:pt idx="4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28</c:v>
                </c:pt>
                <c:pt idx="1">
                  <c:v>32</c:v>
                </c:pt>
                <c:pt idx="2">
                  <c:v>41</c:v>
                </c:pt>
                <c:pt idx="3">
                  <c:v>50.15</c:v>
                </c:pt>
                <c:pt idx="4">
                  <c:v>59</c:v>
                </c:pt>
                <c:pt idx="5">
                  <c:v>67.849999999999994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0.138125</c:v>
                </c:pt>
                <c:pt idx="2">
                  <c:v>0.1446341463414634</c:v>
                </c:pt>
                <c:pt idx="3">
                  <c:v>0.153938185443669</c:v>
                </c:pt>
                <c:pt idx="4">
                  <c:v>0.16288135593220338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.8"/>
          <c:min val="20.05000000000000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9749999999999996"/>
      </c:valAx>
      <c:valAx>
        <c:axId val="1"/>
        <c:scaling>
          <c:orientation val="minMax"/>
          <c:max val="0.199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91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1.0095840691048137</c:v>
                </c:pt>
                <c:pt idx="1">
                  <c:v>1.5033541504006678</c:v>
                </c:pt>
                <c:pt idx="2">
                  <c:v>1.7921911319367787</c:v>
                </c:pt>
                <c:pt idx="3">
                  <c:v>1.9971242316965219</c:v>
                </c:pt>
                <c:pt idx="4">
                  <c:v>2.1560826932804735</c:v>
                </c:pt>
                <c:pt idx="5">
                  <c:v>2.6498527745763276</c:v>
                </c:pt>
                <c:pt idx="6">
                  <c:v>2.9386897561124377</c:v>
                </c:pt>
                <c:pt idx="7">
                  <c:v>3.1436228558721799</c:v>
                </c:pt>
                <c:pt idx="8">
                  <c:v>3.3025813174561334</c:v>
                </c:pt>
                <c:pt idx="9">
                  <c:v>3.4324598374082917</c:v>
                </c:pt>
                <c:pt idx="10">
                  <c:v>3.5422705613711729</c:v>
                </c:pt>
                <c:pt idx="11">
                  <c:v>3.637392937168034</c:v>
                </c:pt>
                <c:pt idx="12">
                  <c:v>3.7212968189444027</c:v>
                </c:pt>
                <c:pt idx="13">
                  <c:v>3.7963513987519875</c:v>
                </c:pt>
                <c:pt idx="14">
                  <c:v>3.864246524852458</c:v>
                </c:pt>
                <c:pt idx="15">
                  <c:v>3.9262299187041458</c:v>
                </c:pt>
                <c:pt idx="16">
                  <c:v>4.0851883802880984</c:v>
                </c:pt>
                <c:pt idx="17">
                  <c:v>4.2150669002402577</c:v>
                </c:pt>
                <c:pt idx="18">
                  <c:v>4.3248776242031362</c:v>
                </c:pt>
                <c:pt idx="19">
                  <c:v>4.42</c:v>
                </c:pt>
                <c:pt idx="20">
                  <c:v>5.3704129269760532</c:v>
                </c:pt>
                <c:pt idx="21">
                  <c:v>5.4380520734171274</c:v>
                </c:pt>
                <c:pt idx="22">
                  <c:v>5.5010226122441264</c:v>
                </c:pt>
                <c:pt idx="23">
                  <c:v>5.6674294659328304</c:v>
                </c:pt>
                <c:pt idx="24">
                  <c:v>5.93</c:v>
                </c:pt>
                <c:pt idx="25">
                  <c:v>7.3129120140249517</c:v>
                </c:pt>
                <c:pt idx="26">
                  <c:v>7.356698062715064</c:v>
                </c:pt>
                <c:pt idx="27">
                  <c:v>7.3988314077202793</c:v>
                </c:pt>
                <c:pt idx="28">
                  <c:v>7.5164560070124748</c:v>
                </c:pt>
                <c:pt idx="29">
                  <c:v>7.72</c:v>
                </c:pt>
                <c:pt idx="30">
                  <c:v>9.2681407689516568</c:v>
                </c:pt>
                <c:pt idx="31">
                  <c:v>9.3031671940316265</c:v>
                </c:pt>
                <c:pt idx="32">
                  <c:v>9.3372837381605507</c:v>
                </c:pt>
                <c:pt idx="33">
                  <c:v>9.4346181196245347</c:v>
                </c:pt>
                <c:pt idx="34">
                  <c:v>9.61</c:v>
                </c:pt>
                <c:pt idx="35">
                  <c:v>12.184102275143532</c:v>
                </c:pt>
                <c:pt idx="36">
                  <c:v>12.21461695066394</c:v>
                </c:pt>
                <c:pt idx="37">
                  <c:v>12.244527335291965</c:v>
                </c:pt>
                <c:pt idx="38">
                  <c:v>12.330860836251736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1.5</c:v>
                </c:pt>
                <c:pt idx="2">
                  <c:v>1.79</c:v>
                </c:pt>
                <c:pt idx="3">
                  <c:v>1.99</c:v>
                </c:pt>
                <c:pt idx="4">
                  <c:v>2.15</c:v>
                </c:pt>
                <c:pt idx="5">
                  <c:v>2.64</c:v>
                </c:pt>
                <c:pt idx="6">
                  <c:v>2.93</c:v>
                </c:pt>
                <c:pt idx="7">
                  <c:v>3.14</c:v>
                </c:pt>
                <c:pt idx="8">
                  <c:v>3.3</c:v>
                </c:pt>
                <c:pt idx="9">
                  <c:v>3.43</c:v>
                </c:pt>
                <c:pt idx="10">
                  <c:v>3.54</c:v>
                </c:pt>
                <c:pt idx="11">
                  <c:v>3.63</c:v>
                </c:pt>
                <c:pt idx="12">
                  <c:v>3.72</c:v>
                </c:pt>
                <c:pt idx="13">
                  <c:v>3.79</c:v>
                </c:pt>
                <c:pt idx="14">
                  <c:v>3.86</c:v>
                </c:pt>
                <c:pt idx="15">
                  <c:v>3.92</c:v>
                </c:pt>
                <c:pt idx="16">
                  <c:v>4.08</c:v>
                </c:pt>
                <c:pt idx="17">
                  <c:v>4.21</c:v>
                </c:pt>
                <c:pt idx="18">
                  <c:v>4.32</c:v>
                </c:pt>
                <c:pt idx="19">
                  <c:v>4.42</c:v>
                </c:pt>
                <c:pt idx="20">
                  <c:v>5.32</c:v>
                </c:pt>
                <c:pt idx="21">
                  <c:v>5.47</c:v>
                </c:pt>
                <c:pt idx="22">
                  <c:v>5.62</c:v>
                </c:pt>
                <c:pt idx="23">
                  <c:v>5.77</c:v>
                </c:pt>
                <c:pt idx="24">
                  <c:v>5.93</c:v>
                </c:pt>
                <c:pt idx="25">
                  <c:v>7</c:v>
                </c:pt>
                <c:pt idx="26">
                  <c:v>7.18</c:v>
                </c:pt>
                <c:pt idx="27">
                  <c:v>7.36</c:v>
                </c:pt>
                <c:pt idx="28">
                  <c:v>7.54</c:v>
                </c:pt>
                <c:pt idx="29">
                  <c:v>7.72</c:v>
                </c:pt>
                <c:pt idx="30">
                  <c:v>8.85</c:v>
                </c:pt>
                <c:pt idx="31">
                  <c:v>9.0399999999999991</c:v>
                </c:pt>
                <c:pt idx="32">
                  <c:v>9.23</c:v>
                </c:pt>
                <c:pt idx="33">
                  <c:v>9.42</c:v>
                </c:pt>
                <c:pt idx="34">
                  <c:v>9.61</c:v>
                </c:pt>
                <c:pt idx="35">
                  <c:v>10.76</c:v>
                </c:pt>
                <c:pt idx="36">
                  <c:v>11.19</c:v>
                </c:pt>
                <c:pt idx="37">
                  <c:v>11.62</c:v>
                </c:pt>
                <c:pt idx="38">
                  <c:v>12.05</c:v>
                </c:pt>
                <c:pt idx="39">
                  <c:v>12.49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1.1449258788095094</c:v>
                </c:pt>
                <c:pt idx="1">
                  <c:v>2.1388346804382081</c:v>
                </c:pt>
                <c:pt idx="2">
                  <c:v>2.7202340585276996</c:v>
                </c:pt>
                <c:pt idx="3">
                  <c:v>3.1327434820669069</c:v>
                </c:pt>
                <c:pt idx="4">
                  <c:v>3.452710649067015</c:v>
                </c:pt>
                <c:pt idx="5">
                  <c:v>4.4466194506957137</c:v>
                </c:pt>
                <c:pt idx="6">
                  <c:v>5.0280188287852052</c:v>
                </c:pt>
                <c:pt idx="7">
                  <c:v>5.4405282523244143</c:v>
                </c:pt>
                <c:pt idx="8">
                  <c:v>5.7604954193245224</c:v>
                </c:pt>
                <c:pt idx="9">
                  <c:v>6.0219276304139022</c:v>
                </c:pt>
                <c:pt idx="10">
                  <c:v>6.2429654153957195</c:v>
                </c:pt>
                <c:pt idx="11">
                  <c:v>6.4344370539531131</c:v>
                </c:pt>
                <c:pt idx="12">
                  <c:v>6.6033270085033937</c:v>
                </c:pt>
                <c:pt idx="13">
                  <c:v>6.7544042209532211</c:v>
                </c:pt>
                <c:pt idx="14">
                  <c:v>6.85966018346324</c:v>
                </c:pt>
                <c:pt idx="15">
                  <c:v>7.015836432042601</c:v>
                </c:pt>
                <c:pt idx="16">
                  <c:v>7.3358035990427126</c:v>
                </c:pt>
                <c:pt idx="17">
                  <c:v>7.5972358101320925</c:v>
                </c:pt>
                <c:pt idx="18">
                  <c:v>7.8182735951139097</c:v>
                </c:pt>
                <c:pt idx="19">
                  <c:v>8.0097452336712998</c:v>
                </c:pt>
                <c:pt idx="20">
                  <c:v>8.230783018653117</c:v>
                </c:pt>
                <c:pt idx="21">
                  <c:v>8.4222546572105088</c:v>
                </c:pt>
                <c:pt idx="22">
                  <c:v>8.591144611760793</c:v>
                </c:pt>
                <c:pt idx="23">
                  <c:v>9.0036540352999985</c:v>
                </c:pt>
                <c:pt idx="24">
                  <c:v>9.3236212023001066</c:v>
                </c:pt>
                <c:pt idx="25">
                  <c:v>9.5850534133894918</c:v>
                </c:pt>
                <c:pt idx="26">
                  <c:v>9.8060911983713055</c:v>
                </c:pt>
                <c:pt idx="27">
                  <c:v>9.9975628369286973</c:v>
                </c:pt>
                <c:pt idx="28">
                  <c:v>10.166452791478982</c:v>
                </c:pt>
                <c:pt idx="29">
                  <c:v>10.317530003928805</c:v>
                </c:pt>
                <c:pt idx="30">
                  <c:v>10.454195966438828</c:v>
                </c:pt>
                <c:pt idx="31">
                  <c:v>10.578962215018191</c:v>
                </c:pt>
                <c:pt idx="32">
                  <c:v>10.693736037799454</c:v>
                </c:pt>
                <c:pt idx="33">
                  <c:v>10.800000000000004</c:v>
                </c:pt>
                <c:pt idx="34">
                  <c:v>10.800000000000004</c:v>
                </c:pt>
                <c:pt idx="35">
                  <c:v>10.800000000000004</c:v>
                </c:pt>
                <c:pt idx="36">
                  <c:v>10.800000000000004</c:v>
                </c:pt>
                <c:pt idx="37">
                  <c:v>10.800000000000004</c:v>
                </c:pt>
                <c:pt idx="38">
                  <c:v>10.800000000000004</c:v>
                </c:pt>
                <c:pt idx="39">
                  <c:v>10.800000000000004</c:v>
                </c:pt>
                <c:pt idx="40">
                  <c:v>10.800000000000004</c:v>
                </c:pt>
                <c:pt idx="41">
                  <c:v>10.800000000000004</c:v>
                </c:pt>
                <c:pt idx="42">
                  <c:v>10.800000000000004</c:v>
                </c:pt>
                <c:pt idx="43">
                  <c:v>10.800000000000004</c:v>
                </c:pt>
                <c:pt idx="44">
                  <c:v>10.800000000000004</c:v>
                </c:pt>
                <c:pt idx="45">
                  <c:v>10.800000000000004</c:v>
                </c:pt>
                <c:pt idx="46">
                  <c:v>10.800000000000004</c:v>
                </c:pt>
                <c:pt idx="47">
                  <c:v>10.800000000000004</c:v>
                </c:pt>
                <c:pt idx="48">
                  <c:v>10.800000000000004</c:v>
                </c:pt>
                <c:pt idx="49">
                  <c:v>10.800000000000004</c:v>
                </c:pt>
                <c:pt idx="50">
                  <c:v>10.800000000000004</c:v>
                </c:pt>
                <c:pt idx="51">
                  <c:v>10.800000000000004</c:v>
                </c:pt>
                <c:pt idx="52">
                  <c:v>10.800000000000004</c:v>
                </c:pt>
                <c:pt idx="53">
                  <c:v>10.800000000000004</c:v>
                </c:pt>
                <c:pt idx="54">
                  <c:v>10.800000000000004</c:v>
                </c:pt>
                <c:pt idx="55">
                  <c:v>10.800000000000004</c:v>
                </c:pt>
                <c:pt idx="56">
                  <c:v>10.800000000000004</c:v>
                </c:pt>
                <c:pt idx="57">
                  <c:v>10.800000000000004</c:v>
                </c:pt>
                <c:pt idx="58">
                  <c:v>10.800000000000004</c:v>
                </c:pt>
                <c:pt idx="59">
                  <c:v>10.800000000000004</c:v>
                </c:pt>
                <c:pt idx="60">
                  <c:v>10.800000000000004</c:v>
                </c:pt>
                <c:pt idx="61">
                  <c:v>10.800000000000004</c:v>
                </c:pt>
                <c:pt idx="62">
                  <c:v>10.800000000000004</c:v>
                </c:pt>
                <c:pt idx="63">
                  <c:v>10.800000000000004</c:v>
                </c:pt>
                <c:pt idx="64">
                  <c:v>10.800000000000004</c:v>
                </c:pt>
                <c:pt idx="65">
                  <c:v>10.800000000000004</c:v>
                </c:pt>
                <c:pt idx="66">
                  <c:v>10.800000000000004</c:v>
                </c:pt>
                <c:pt idx="67">
                  <c:v>10.800000000000004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7.7400618254343554</c:v>
                </c:pt>
                <c:pt idx="1">
                  <c:v>7.2067875075176788</c:v>
                </c:pt>
                <c:pt idx="2">
                  <c:v>6.7102546917444359</c:v>
                </c:pt>
                <c:pt idx="3">
                  <c:v>6.2479319642917543</c:v>
                </c:pt>
                <c:pt idx="4">
                  <c:v>5.8174623205353218</c:v>
                </c:pt>
                <c:pt idx="5">
                  <c:v>4.6959713763650459</c:v>
                </c:pt>
                <c:pt idx="6">
                  <c:v>4.4777203411783031</c:v>
                </c:pt>
                <c:pt idx="7">
                  <c:v>3.8819643312119205</c:v>
                </c:pt>
                <c:pt idx="8">
                  <c:v>3.6145049842980184</c:v>
                </c:pt>
                <c:pt idx="9">
                  <c:v>3.3654730355125464</c:v>
                </c:pt>
                <c:pt idx="10">
                  <c:v>3.2863353450309973</c:v>
                </c:pt>
                <c:pt idx="11">
                  <c:v>3.2090585442338013</c:v>
                </c:pt>
                <c:pt idx="12">
                  <c:v>3.1335988750785364</c:v>
                </c:pt>
                <c:pt idx="13">
                  <c:v>3.0599136084748397</c:v>
                </c:pt>
                <c:pt idx="14">
                  <c:v>2.9879610200890347</c:v>
                </c:pt>
                <c:pt idx="15">
                  <c:v>2.9177003667176944</c:v>
                </c:pt>
                <c:pt idx="16">
                  <c:v>2.8490918632167777</c:v>
                </c:pt>
                <c:pt idx="17">
                  <c:v>2.7820966599732575</c:v>
                </c:pt>
                <c:pt idx="18">
                  <c:v>2.7166768209065082</c:v>
                </c:pt>
                <c:pt idx="19">
                  <c:v>2.5295033833625955</c:v>
                </c:pt>
                <c:pt idx="20">
                  <c:v>2.4700231695227326</c:v>
                </c:pt>
                <c:pt idx="21">
                  <c:v>2.1413891692108353</c:v>
                </c:pt>
                <c:pt idx="22">
                  <c:v>1.8564795790557336</c:v>
                </c:pt>
                <c:pt idx="23">
                  <c:v>1.6094769119996513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F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F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F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F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F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F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F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F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F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F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F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F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F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F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F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F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F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F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F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F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F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F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F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F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F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F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F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F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F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F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F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F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F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F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F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F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F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F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F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F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F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F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F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F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F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F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F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F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F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F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F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F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9_hardRain\05_ihanseol%20-%202020\11_&#49345;&#50900;&#49689;&#51652;&#50808;%20&#45453;&#50629;&#50857;&#44288;&#51221;%20&#50689;&#54693;&#51312;&#49324;%20&#50857;&#50669;%20-%20&#46041;&#54644;&#50644;&#51648;&#45768;&#50612;&#47553;\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5224;&#54984;&#51060;&#54805;\03.%20ihanseol%20-%202018\07.%20&#44228;&#47329;&#49884;\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1.5</v>
      </c>
      <c r="E2">
        <v>2</v>
      </c>
      <c r="F2">
        <f>단계양수시험!G13</f>
        <v>1.5</v>
      </c>
    </row>
    <row r="3" spans="1:6" x14ac:dyDescent="0.15">
      <c r="A3" s="228">
        <v>3</v>
      </c>
      <c r="B3">
        <f t="shared" si="0"/>
        <v>1.79</v>
      </c>
      <c r="E3">
        <v>3</v>
      </c>
      <c r="F3">
        <f>단계양수시험!G14</f>
        <v>1.79</v>
      </c>
    </row>
    <row r="4" spans="1:6" x14ac:dyDescent="0.15">
      <c r="A4" s="228">
        <v>4</v>
      </c>
      <c r="B4">
        <f t="shared" si="0"/>
        <v>1.99</v>
      </c>
      <c r="E4">
        <v>4</v>
      </c>
      <c r="F4">
        <f>단계양수시험!G15</f>
        <v>1.99</v>
      </c>
    </row>
    <row r="5" spans="1:6" x14ac:dyDescent="0.15">
      <c r="A5" s="228">
        <v>5</v>
      </c>
      <c r="B5">
        <f t="shared" si="0"/>
        <v>2.15</v>
      </c>
      <c r="E5">
        <v>5</v>
      </c>
      <c r="F5">
        <f>단계양수시험!G16</f>
        <v>2.15</v>
      </c>
    </row>
    <row r="6" spans="1:6" x14ac:dyDescent="0.15">
      <c r="A6" s="228">
        <v>10</v>
      </c>
      <c r="B6">
        <f t="shared" si="0"/>
        <v>2.64</v>
      </c>
      <c r="E6">
        <v>10</v>
      </c>
      <c r="F6">
        <f>단계양수시험!G17</f>
        <v>2.64</v>
      </c>
    </row>
    <row r="7" spans="1:6" x14ac:dyDescent="0.15">
      <c r="A7" s="228">
        <v>15</v>
      </c>
      <c r="B7">
        <f t="shared" si="0"/>
        <v>2.93</v>
      </c>
      <c r="E7">
        <v>15</v>
      </c>
      <c r="F7">
        <f>단계양수시험!G18</f>
        <v>2.93</v>
      </c>
    </row>
    <row r="8" spans="1:6" x14ac:dyDescent="0.15">
      <c r="A8" s="228">
        <v>20</v>
      </c>
      <c r="B8">
        <f t="shared" si="0"/>
        <v>3.14</v>
      </c>
      <c r="E8">
        <v>20</v>
      </c>
      <c r="F8">
        <f>단계양수시험!G19</f>
        <v>3.14</v>
      </c>
    </row>
    <row r="9" spans="1:6" x14ac:dyDescent="0.15">
      <c r="A9" s="228">
        <v>25</v>
      </c>
      <c r="B9">
        <f t="shared" si="0"/>
        <v>3.3</v>
      </c>
      <c r="E9">
        <v>25</v>
      </c>
      <c r="F9">
        <f>단계양수시험!G20</f>
        <v>3.3</v>
      </c>
    </row>
    <row r="10" spans="1:6" x14ac:dyDescent="0.15">
      <c r="A10" s="228">
        <v>30</v>
      </c>
      <c r="B10">
        <f t="shared" si="0"/>
        <v>3.43</v>
      </c>
      <c r="E10">
        <v>30</v>
      </c>
      <c r="F10">
        <f>단계양수시험!G21</f>
        <v>3.43</v>
      </c>
    </row>
    <row r="11" spans="1:6" x14ac:dyDescent="0.15">
      <c r="A11" s="228">
        <v>35</v>
      </c>
      <c r="B11">
        <f t="shared" si="0"/>
        <v>3.54</v>
      </c>
      <c r="E11">
        <v>35</v>
      </c>
      <c r="F11">
        <f>단계양수시험!G22</f>
        <v>3.54</v>
      </c>
    </row>
    <row r="12" spans="1:6" x14ac:dyDescent="0.15">
      <c r="A12" s="228">
        <v>40</v>
      </c>
      <c r="B12">
        <f t="shared" si="0"/>
        <v>3.63</v>
      </c>
      <c r="E12">
        <v>40</v>
      </c>
      <c r="F12">
        <f>단계양수시험!G23</f>
        <v>3.63</v>
      </c>
    </row>
    <row r="13" spans="1:6" x14ac:dyDescent="0.15">
      <c r="A13" s="228">
        <v>45</v>
      </c>
      <c r="B13">
        <f t="shared" si="0"/>
        <v>3.72</v>
      </c>
      <c r="E13">
        <v>45</v>
      </c>
      <c r="F13">
        <f>단계양수시험!G24</f>
        <v>3.72</v>
      </c>
    </row>
    <row r="14" spans="1:6" x14ac:dyDescent="0.15">
      <c r="A14" s="228">
        <v>50</v>
      </c>
      <c r="B14">
        <f t="shared" si="0"/>
        <v>3.79</v>
      </c>
      <c r="E14">
        <v>50</v>
      </c>
      <c r="F14">
        <f>단계양수시험!G25</f>
        <v>3.79</v>
      </c>
    </row>
    <row r="15" spans="1:6" x14ac:dyDescent="0.15">
      <c r="A15" s="228">
        <v>55</v>
      </c>
      <c r="B15">
        <f t="shared" si="0"/>
        <v>3.86</v>
      </c>
      <c r="E15">
        <v>55</v>
      </c>
      <c r="F15">
        <f>단계양수시험!G26</f>
        <v>3.86</v>
      </c>
    </row>
    <row r="16" spans="1:6" x14ac:dyDescent="0.15">
      <c r="A16" s="228">
        <v>60</v>
      </c>
      <c r="B16">
        <f t="shared" si="0"/>
        <v>3.92</v>
      </c>
      <c r="E16">
        <v>60</v>
      </c>
      <c r="F16">
        <f>단계양수시험!G27</f>
        <v>3.92</v>
      </c>
    </row>
    <row r="17" spans="1:6" x14ac:dyDescent="0.15">
      <c r="A17" s="228">
        <v>75</v>
      </c>
      <c r="B17">
        <f t="shared" si="0"/>
        <v>4.08</v>
      </c>
      <c r="E17">
        <v>75</v>
      </c>
      <c r="F17">
        <f>단계양수시험!G28</f>
        <v>4.08</v>
      </c>
    </row>
    <row r="18" spans="1:6" x14ac:dyDescent="0.15">
      <c r="A18" s="228">
        <v>90</v>
      </c>
      <c r="B18">
        <f t="shared" si="0"/>
        <v>4.21</v>
      </c>
      <c r="E18">
        <v>90</v>
      </c>
      <c r="F18">
        <f>단계양수시험!G29</f>
        <v>4.21</v>
      </c>
    </row>
    <row r="19" spans="1:6" x14ac:dyDescent="0.15">
      <c r="A19" s="228">
        <v>105</v>
      </c>
      <c r="B19">
        <f t="shared" si="0"/>
        <v>4.32</v>
      </c>
      <c r="E19">
        <v>105</v>
      </c>
      <c r="F19">
        <f>단계양수시험!G30</f>
        <v>4.32</v>
      </c>
    </row>
    <row r="20" spans="1:6" x14ac:dyDescent="0.15">
      <c r="A20" s="230">
        <v>120</v>
      </c>
      <c r="B20" s="236">
        <f t="shared" si="0"/>
        <v>4.42</v>
      </c>
      <c r="C20" s="236">
        <f>B26-B20</f>
        <v>0.90000000000000036</v>
      </c>
      <c r="D20" s="237">
        <f>C20/10</f>
        <v>9.0000000000000038E-2</v>
      </c>
      <c r="E20">
        <v>120</v>
      </c>
      <c r="F20">
        <f>단계양수시험!G31</f>
        <v>4.42</v>
      </c>
    </row>
    <row r="21" spans="1:6" x14ac:dyDescent="0.15">
      <c r="A21" s="228">
        <v>121</v>
      </c>
      <c r="B21" s="235">
        <f>B20+D21</f>
        <v>4.58</v>
      </c>
      <c r="D21">
        <v>0.16</v>
      </c>
      <c r="E21">
        <v>130</v>
      </c>
      <c r="F21">
        <f>단계양수시험!G32</f>
        <v>5.32</v>
      </c>
    </row>
    <row r="22" spans="1:6" x14ac:dyDescent="0.15">
      <c r="A22" s="228">
        <v>122</v>
      </c>
      <c r="B22" s="235">
        <f>B21+D22</f>
        <v>4.7300000000000004</v>
      </c>
      <c r="D22">
        <v>0.15</v>
      </c>
      <c r="E22">
        <v>140</v>
      </c>
      <c r="F22">
        <f>단계양수시험!G33</f>
        <v>5.47</v>
      </c>
    </row>
    <row r="23" spans="1:6" x14ac:dyDescent="0.15">
      <c r="A23" s="228">
        <v>123</v>
      </c>
      <c r="B23" s="235">
        <f>B22+D23</f>
        <v>4.87</v>
      </c>
      <c r="D23">
        <v>0.14000000000000001</v>
      </c>
      <c r="E23">
        <v>150</v>
      </c>
      <c r="F23">
        <f>단계양수시험!G34</f>
        <v>5.62</v>
      </c>
    </row>
    <row r="24" spans="1:6" x14ac:dyDescent="0.15">
      <c r="A24" s="228">
        <v>124</v>
      </c>
      <c r="B24" s="235">
        <f>B23+D24</f>
        <v>5</v>
      </c>
      <c r="D24">
        <v>0.13</v>
      </c>
      <c r="E24">
        <v>180</v>
      </c>
      <c r="F24">
        <f>단계양수시험!G35</f>
        <v>5.77</v>
      </c>
    </row>
    <row r="25" spans="1:6" x14ac:dyDescent="0.15">
      <c r="A25" s="228">
        <v>125</v>
      </c>
      <c r="B25" s="235">
        <f>B24+D25</f>
        <v>5.13</v>
      </c>
      <c r="D25">
        <v>0.13</v>
      </c>
      <c r="E25">
        <v>240</v>
      </c>
      <c r="F25">
        <f>단계양수시험!G36</f>
        <v>5.93</v>
      </c>
    </row>
    <row r="26" spans="1:6" x14ac:dyDescent="0.15">
      <c r="A26" s="228">
        <v>130</v>
      </c>
      <c r="B26" s="236">
        <f>F21</f>
        <v>5.32</v>
      </c>
      <c r="C26" s="236">
        <f>B28-B26</f>
        <v>0.14999999999999947</v>
      </c>
      <c r="D26" s="236">
        <f>C26/2</f>
        <v>7.4999999999999734E-2</v>
      </c>
      <c r="E26">
        <v>250</v>
      </c>
      <c r="F26">
        <f>단계양수시험!G37</f>
        <v>7</v>
      </c>
    </row>
    <row r="27" spans="1:6" x14ac:dyDescent="0.15">
      <c r="A27" s="228">
        <v>135</v>
      </c>
      <c r="B27" s="235">
        <f>B26+D27</f>
        <v>5.4300000000000006</v>
      </c>
      <c r="D27">
        <v>0.11</v>
      </c>
      <c r="E27">
        <v>260</v>
      </c>
      <c r="F27">
        <f>단계양수시험!G38</f>
        <v>7.18</v>
      </c>
    </row>
    <row r="28" spans="1:6" x14ac:dyDescent="0.15">
      <c r="A28" s="228">
        <v>140</v>
      </c>
      <c r="B28" s="236">
        <f>F22</f>
        <v>5.47</v>
      </c>
      <c r="C28" s="236">
        <f>B30-B28</f>
        <v>0.15000000000000036</v>
      </c>
      <c r="D28" s="236">
        <f>C28/2</f>
        <v>7.5000000000000178E-2</v>
      </c>
      <c r="E28">
        <v>270</v>
      </c>
      <c r="F28">
        <f>단계양수시험!G39</f>
        <v>7.36</v>
      </c>
    </row>
    <row r="29" spans="1:6" x14ac:dyDescent="0.15">
      <c r="A29" s="228">
        <v>145</v>
      </c>
      <c r="B29" s="235">
        <f>B28+D29</f>
        <v>5.5699999999999994</v>
      </c>
      <c r="D29">
        <v>0.1</v>
      </c>
      <c r="E29">
        <v>300</v>
      </c>
      <c r="F29">
        <f>단계양수시험!G40</f>
        <v>7.54</v>
      </c>
    </row>
    <row r="30" spans="1:6" x14ac:dyDescent="0.15">
      <c r="A30" s="228">
        <v>150</v>
      </c>
      <c r="B30" s="236">
        <f>F23</f>
        <v>5.62</v>
      </c>
      <c r="C30" s="236">
        <f>B36-B30</f>
        <v>0.14999999999999947</v>
      </c>
      <c r="D30" s="238">
        <f>C30/6</f>
        <v>2.4999999999999911E-2</v>
      </c>
      <c r="E30">
        <v>360</v>
      </c>
      <c r="F30">
        <f>단계양수시험!G41</f>
        <v>7.72</v>
      </c>
    </row>
    <row r="31" spans="1:6" x14ac:dyDescent="0.15">
      <c r="A31" s="228">
        <v>155</v>
      </c>
      <c r="B31" s="235">
        <f>B30+D31</f>
        <v>5.68</v>
      </c>
      <c r="D31">
        <v>0.06</v>
      </c>
    </row>
    <row r="32" spans="1:6" x14ac:dyDescent="0.15">
      <c r="A32" s="228">
        <v>160</v>
      </c>
      <c r="B32" s="235">
        <f t="shared" ref="B32:B39" si="1">B31+D32</f>
        <v>5.7299999999999995</v>
      </c>
      <c r="D32">
        <v>0.05</v>
      </c>
    </row>
    <row r="33" spans="1:4" x14ac:dyDescent="0.15">
      <c r="A33" s="228">
        <v>165</v>
      </c>
      <c r="B33" s="235">
        <f t="shared" si="1"/>
        <v>5.77</v>
      </c>
      <c r="D33">
        <v>0.04</v>
      </c>
    </row>
    <row r="34" spans="1:4" x14ac:dyDescent="0.15">
      <c r="A34" s="228">
        <v>170</v>
      </c>
      <c r="B34" s="235">
        <f t="shared" si="1"/>
        <v>5.8</v>
      </c>
      <c r="D34">
        <v>0.03</v>
      </c>
    </row>
    <row r="35" spans="1:4" x14ac:dyDescent="0.15">
      <c r="A35" s="228">
        <v>175</v>
      </c>
      <c r="B35" s="235">
        <f t="shared" si="1"/>
        <v>5.8199999999999994</v>
      </c>
      <c r="D35">
        <v>0.02</v>
      </c>
    </row>
    <row r="36" spans="1:4" x14ac:dyDescent="0.15">
      <c r="A36" s="228">
        <v>180</v>
      </c>
      <c r="B36" s="236">
        <f>F24</f>
        <v>5.77</v>
      </c>
      <c r="C36" s="236">
        <f>B40-B36</f>
        <v>0.16000000000000014</v>
      </c>
      <c r="D36" s="236">
        <f>C36/4</f>
        <v>4.0000000000000036E-2</v>
      </c>
    </row>
    <row r="37" spans="1:4" x14ac:dyDescent="0.15">
      <c r="A37" s="228">
        <v>195</v>
      </c>
      <c r="B37" s="235">
        <f t="shared" si="1"/>
        <v>5.84</v>
      </c>
      <c r="D37">
        <v>7.0000000000000007E-2</v>
      </c>
    </row>
    <row r="38" spans="1:4" x14ac:dyDescent="0.15">
      <c r="A38" s="228">
        <v>210</v>
      </c>
      <c r="B38" s="235">
        <f t="shared" si="1"/>
        <v>5.8999999999999995</v>
      </c>
      <c r="D38">
        <v>0.06</v>
      </c>
    </row>
    <row r="39" spans="1:4" x14ac:dyDescent="0.15">
      <c r="A39" s="228">
        <v>225</v>
      </c>
      <c r="B39" s="235">
        <f t="shared" si="1"/>
        <v>5.9499999999999993</v>
      </c>
      <c r="D39">
        <v>0.05</v>
      </c>
    </row>
    <row r="40" spans="1:4" x14ac:dyDescent="0.15">
      <c r="A40" s="230">
        <v>240</v>
      </c>
      <c r="B40" s="236">
        <f>F25</f>
        <v>5.93</v>
      </c>
      <c r="C40" s="236">
        <f>B46-B40</f>
        <v>1.0700000000000003</v>
      </c>
      <c r="D40" s="237">
        <f>C40/10</f>
        <v>0.10700000000000003</v>
      </c>
    </row>
    <row r="41" spans="1:4" x14ac:dyDescent="0.15">
      <c r="A41" s="228">
        <v>241</v>
      </c>
      <c r="B41" s="235">
        <f>B40+D41</f>
        <v>6.1099999999999994</v>
      </c>
      <c r="D41">
        <v>0.18</v>
      </c>
    </row>
    <row r="42" spans="1:4" x14ac:dyDescent="0.15">
      <c r="A42" s="228">
        <v>242</v>
      </c>
      <c r="B42" s="235">
        <f>B41+D42</f>
        <v>6.27</v>
      </c>
      <c r="D42">
        <v>0.16</v>
      </c>
    </row>
    <row r="43" spans="1:4" x14ac:dyDescent="0.15">
      <c r="A43" s="228">
        <v>243</v>
      </c>
      <c r="B43" s="235">
        <f>B42+D43</f>
        <v>6.42</v>
      </c>
      <c r="D43">
        <v>0.15</v>
      </c>
    </row>
    <row r="44" spans="1:4" x14ac:dyDescent="0.15">
      <c r="A44" s="228">
        <v>244</v>
      </c>
      <c r="B44" s="235">
        <f>B43+D44</f>
        <v>6.56</v>
      </c>
      <c r="D44">
        <v>0.14000000000000001</v>
      </c>
    </row>
    <row r="45" spans="1:4" x14ac:dyDescent="0.15">
      <c r="A45" s="228">
        <v>245</v>
      </c>
      <c r="B45" s="235">
        <f>B44+D45</f>
        <v>6.6899999999999995</v>
      </c>
      <c r="D45">
        <v>0.13</v>
      </c>
    </row>
    <row r="46" spans="1:4" x14ac:dyDescent="0.15">
      <c r="A46" s="228">
        <v>250</v>
      </c>
      <c r="B46" s="236">
        <f>F26</f>
        <v>7</v>
      </c>
      <c r="C46" s="236">
        <f>B48-B46</f>
        <v>0.17999999999999972</v>
      </c>
      <c r="D46" s="236">
        <f>C46/2</f>
        <v>8.9999999999999858E-2</v>
      </c>
    </row>
    <row r="47" spans="1:4" x14ac:dyDescent="0.15">
      <c r="A47" s="228">
        <v>255</v>
      </c>
      <c r="B47" s="235">
        <f>B46+D47</f>
        <v>7.11</v>
      </c>
      <c r="D47">
        <v>0.11</v>
      </c>
    </row>
    <row r="48" spans="1:4" x14ac:dyDescent="0.15">
      <c r="A48" s="228">
        <v>260</v>
      </c>
      <c r="B48" s="236">
        <f>F27</f>
        <v>7.18</v>
      </c>
      <c r="C48" s="236">
        <f>B50-B48</f>
        <v>0.1800000000000006</v>
      </c>
      <c r="D48" s="236">
        <f>C48/2</f>
        <v>9.0000000000000302E-2</v>
      </c>
    </row>
    <row r="49" spans="1:6" x14ac:dyDescent="0.15">
      <c r="A49" s="228">
        <v>265</v>
      </c>
      <c r="B49" s="235">
        <f>B48+D49</f>
        <v>7.29</v>
      </c>
      <c r="D49">
        <v>0.11</v>
      </c>
    </row>
    <row r="50" spans="1:6" x14ac:dyDescent="0.15">
      <c r="A50" s="228">
        <v>270</v>
      </c>
      <c r="B50" s="236">
        <f>F28</f>
        <v>7.36</v>
      </c>
      <c r="C50" s="236">
        <f>B56-B50</f>
        <v>0.17999999999999972</v>
      </c>
      <c r="D50" s="238">
        <f>C50/6</f>
        <v>2.9999999999999954E-2</v>
      </c>
    </row>
    <row r="51" spans="1:6" x14ac:dyDescent="0.15">
      <c r="A51" s="228">
        <v>275</v>
      </c>
      <c r="B51" s="235">
        <f>B50+D51</f>
        <v>7.4300000000000006</v>
      </c>
      <c r="D51">
        <v>7.0000000000000007E-2</v>
      </c>
    </row>
    <row r="52" spans="1:6" x14ac:dyDescent="0.15">
      <c r="A52" s="228">
        <v>280</v>
      </c>
      <c r="B52" s="235">
        <f>B51+D52</f>
        <v>7.48</v>
      </c>
      <c r="D52">
        <v>0.05</v>
      </c>
    </row>
    <row r="53" spans="1:6" x14ac:dyDescent="0.15">
      <c r="A53" s="228">
        <v>285</v>
      </c>
      <c r="B53" s="235">
        <f>B52+D53</f>
        <v>7.5200000000000005</v>
      </c>
      <c r="D53">
        <v>0.04</v>
      </c>
    </row>
    <row r="54" spans="1:6" x14ac:dyDescent="0.15">
      <c r="A54" s="228">
        <v>290</v>
      </c>
      <c r="B54" s="235">
        <f>B53+D54</f>
        <v>7.5500000000000007</v>
      </c>
      <c r="D54">
        <v>0.03</v>
      </c>
    </row>
    <row r="55" spans="1:6" x14ac:dyDescent="0.15">
      <c r="A55" s="228">
        <v>295</v>
      </c>
      <c r="B55" s="235">
        <f>B54+D55</f>
        <v>7.57</v>
      </c>
      <c r="D55">
        <v>0.02</v>
      </c>
    </row>
    <row r="56" spans="1:6" x14ac:dyDescent="0.15">
      <c r="A56" s="228">
        <v>300</v>
      </c>
      <c r="B56" s="236">
        <f>F29</f>
        <v>7.54</v>
      </c>
      <c r="C56" s="236">
        <f>B60-B56</f>
        <v>0.17999999999999972</v>
      </c>
      <c r="D56" s="236">
        <f>C56/4</f>
        <v>4.4999999999999929E-2</v>
      </c>
    </row>
    <row r="57" spans="1:6" x14ac:dyDescent="0.15">
      <c r="A57" s="228">
        <v>315</v>
      </c>
      <c r="B57" s="235">
        <f>B56+D57</f>
        <v>7.62</v>
      </c>
      <c r="D57">
        <v>0.08</v>
      </c>
    </row>
    <row r="58" spans="1:6" x14ac:dyDescent="0.15">
      <c r="A58" s="228">
        <v>330</v>
      </c>
      <c r="B58" s="235">
        <f>B57+D58</f>
        <v>7.68</v>
      </c>
      <c r="D58">
        <v>0.06</v>
      </c>
    </row>
    <row r="59" spans="1:6" x14ac:dyDescent="0.15">
      <c r="A59" s="228">
        <v>345</v>
      </c>
      <c r="B59" s="235">
        <f>B58+D59</f>
        <v>7.7299999999999995</v>
      </c>
      <c r="D59">
        <v>0.05</v>
      </c>
    </row>
    <row r="60" spans="1:6" x14ac:dyDescent="0.15">
      <c r="A60" s="230">
        <v>360</v>
      </c>
      <c r="B60" s="236">
        <f>F30</f>
        <v>7.72</v>
      </c>
      <c r="C60" s="236">
        <f>B66-B60</f>
        <v>1.1299999999999999</v>
      </c>
      <c r="D60" s="237">
        <f>C60/10</f>
        <v>0.11299999999999999</v>
      </c>
    </row>
    <row r="61" spans="1:6" x14ac:dyDescent="0.15">
      <c r="A61" s="228">
        <v>361</v>
      </c>
      <c r="B61" s="235">
        <f>B60+D61</f>
        <v>7.91</v>
      </c>
      <c r="D61">
        <v>0.19</v>
      </c>
    </row>
    <row r="62" spans="1:6" x14ac:dyDescent="0.15">
      <c r="A62" s="228">
        <v>362</v>
      </c>
      <c r="B62" s="235">
        <f>B61+D62</f>
        <v>8.08</v>
      </c>
      <c r="D62">
        <v>0.17</v>
      </c>
    </row>
    <row r="63" spans="1:6" x14ac:dyDescent="0.15">
      <c r="A63" s="228">
        <v>363</v>
      </c>
      <c r="B63" s="235">
        <f>B62+D63</f>
        <v>8.24</v>
      </c>
      <c r="D63">
        <v>0.16</v>
      </c>
      <c r="E63">
        <v>370</v>
      </c>
      <c r="F63">
        <f>단계양수시험!G42</f>
        <v>8.85</v>
      </c>
    </row>
    <row r="64" spans="1:6" x14ac:dyDescent="0.15">
      <c r="A64" s="228">
        <v>364</v>
      </c>
      <c r="B64" s="235">
        <f>B63+D64</f>
        <v>8.39</v>
      </c>
      <c r="D64">
        <v>0.15</v>
      </c>
      <c r="E64">
        <v>380</v>
      </c>
      <c r="F64">
        <f>단계양수시험!G43</f>
        <v>9.0399999999999991</v>
      </c>
    </row>
    <row r="65" spans="1:6" x14ac:dyDescent="0.15">
      <c r="A65" s="228">
        <v>365</v>
      </c>
      <c r="B65" s="235">
        <f>B64+D65</f>
        <v>8.5300000000000011</v>
      </c>
      <c r="D65">
        <v>0.14000000000000001</v>
      </c>
      <c r="E65">
        <v>390</v>
      </c>
      <c r="F65">
        <f>단계양수시험!G44</f>
        <v>9.23</v>
      </c>
    </row>
    <row r="66" spans="1:6" x14ac:dyDescent="0.15">
      <c r="A66" s="228">
        <v>370</v>
      </c>
      <c r="B66" s="236">
        <f>F63</f>
        <v>8.85</v>
      </c>
      <c r="C66" s="239">
        <f>B68-B66</f>
        <v>0.1899999999999995</v>
      </c>
      <c r="D66" s="236">
        <f>C66/2</f>
        <v>9.4999999999999751E-2</v>
      </c>
      <c r="E66">
        <v>420</v>
      </c>
      <c r="F66">
        <f>단계양수시험!G45</f>
        <v>9.42</v>
      </c>
    </row>
    <row r="67" spans="1:6" x14ac:dyDescent="0.15">
      <c r="A67" s="228">
        <v>375</v>
      </c>
      <c r="B67" s="235">
        <f>B66+D67</f>
        <v>8.9699999999999989</v>
      </c>
      <c r="D67">
        <v>0.12</v>
      </c>
      <c r="E67">
        <v>480</v>
      </c>
      <c r="F67">
        <f>단계양수시험!G46</f>
        <v>9.61</v>
      </c>
    </row>
    <row r="68" spans="1:6" x14ac:dyDescent="0.15">
      <c r="A68" s="228">
        <v>380</v>
      </c>
      <c r="B68" s="240">
        <f>F64</f>
        <v>9.0399999999999991</v>
      </c>
      <c r="C68" s="236">
        <f>B70-B68</f>
        <v>0.19000000000000128</v>
      </c>
      <c r="D68" s="236">
        <f>C68/2</f>
        <v>9.5000000000000639E-2</v>
      </c>
      <c r="E68">
        <v>490</v>
      </c>
      <c r="F68">
        <f>단계양수시험!G47</f>
        <v>10.76</v>
      </c>
    </row>
    <row r="69" spans="1:6" x14ac:dyDescent="0.15">
      <c r="A69" s="228">
        <v>385</v>
      </c>
      <c r="B69" s="235">
        <f>B68+D69</f>
        <v>9.1599999999999984</v>
      </c>
      <c r="D69">
        <v>0.12</v>
      </c>
      <c r="E69">
        <v>500</v>
      </c>
      <c r="F69">
        <f>단계양수시험!G48</f>
        <v>11.19</v>
      </c>
    </row>
    <row r="70" spans="1:6" x14ac:dyDescent="0.15">
      <c r="A70" s="228">
        <v>390</v>
      </c>
      <c r="B70" s="240">
        <f>F65</f>
        <v>9.23</v>
      </c>
      <c r="C70" s="236">
        <f>B76-B70</f>
        <v>0.1899999999999995</v>
      </c>
      <c r="D70" s="238">
        <f>C70/6</f>
        <v>3.1666666666666586E-2</v>
      </c>
      <c r="E70">
        <v>510</v>
      </c>
      <c r="F70">
        <f>단계양수시험!G49</f>
        <v>11.62</v>
      </c>
    </row>
    <row r="71" spans="1:6" x14ac:dyDescent="0.15">
      <c r="A71" s="228">
        <v>395</v>
      </c>
      <c r="B71" s="235">
        <f>B70+D71</f>
        <v>9.3000000000000007</v>
      </c>
      <c r="D71">
        <v>7.0000000000000007E-2</v>
      </c>
      <c r="E71">
        <v>540</v>
      </c>
      <c r="F71">
        <f>단계양수시험!G50</f>
        <v>12.05</v>
      </c>
    </row>
    <row r="72" spans="1:6" x14ac:dyDescent="0.15">
      <c r="A72" s="228">
        <v>400</v>
      </c>
      <c r="B72" s="235">
        <f>B71+D72</f>
        <v>9.3500000000000014</v>
      </c>
      <c r="D72">
        <v>0.05</v>
      </c>
      <c r="E72">
        <v>600</v>
      </c>
      <c r="F72">
        <f>단계양수시험!G51</f>
        <v>12.49</v>
      </c>
    </row>
    <row r="73" spans="1:6" x14ac:dyDescent="0.15">
      <c r="A73" s="228">
        <v>405</v>
      </c>
      <c r="B73" s="235">
        <f>B72+D73</f>
        <v>9.39</v>
      </c>
      <c r="D73">
        <v>0.04</v>
      </c>
    </row>
    <row r="74" spans="1:6" x14ac:dyDescent="0.15">
      <c r="A74" s="228">
        <v>410</v>
      </c>
      <c r="B74" s="235">
        <f>B73+D74</f>
        <v>9.42</v>
      </c>
      <c r="D74">
        <v>0.03</v>
      </c>
    </row>
    <row r="75" spans="1:6" x14ac:dyDescent="0.15">
      <c r="A75" s="228">
        <v>415</v>
      </c>
      <c r="B75" s="235">
        <f>B74+D75</f>
        <v>9.4499999999999993</v>
      </c>
      <c r="D75">
        <v>0.03</v>
      </c>
    </row>
    <row r="76" spans="1:6" x14ac:dyDescent="0.15">
      <c r="A76" s="228">
        <v>420</v>
      </c>
      <c r="B76" s="240">
        <f>F66</f>
        <v>9.42</v>
      </c>
      <c r="C76" s="236">
        <f>B80-B76</f>
        <v>0.1899999999999995</v>
      </c>
      <c r="D76" s="236">
        <f>C76/4</f>
        <v>4.7499999999999876E-2</v>
      </c>
    </row>
    <row r="77" spans="1:6" x14ac:dyDescent="0.15">
      <c r="A77" s="228">
        <v>435</v>
      </c>
      <c r="B77" s="235">
        <f>B76+D77</f>
        <v>9.51</v>
      </c>
      <c r="D77">
        <v>0.09</v>
      </c>
    </row>
    <row r="78" spans="1:6" x14ac:dyDescent="0.15">
      <c r="A78" s="228">
        <v>450</v>
      </c>
      <c r="B78" s="235">
        <f>B77+D78</f>
        <v>9.58</v>
      </c>
      <c r="D78">
        <v>7.0000000000000007E-2</v>
      </c>
    </row>
    <row r="79" spans="1:6" x14ac:dyDescent="0.15">
      <c r="A79" s="228">
        <v>465</v>
      </c>
      <c r="B79" s="235">
        <f>B78+D79</f>
        <v>9.6300000000000008</v>
      </c>
      <c r="D79">
        <v>0.05</v>
      </c>
    </row>
    <row r="80" spans="1:6" x14ac:dyDescent="0.15">
      <c r="A80" s="230">
        <v>480</v>
      </c>
      <c r="B80" s="240">
        <f>F67</f>
        <v>9.61</v>
      </c>
      <c r="C80" s="236">
        <f>B86-B80</f>
        <v>1.1500000000000004</v>
      </c>
      <c r="D80" s="237">
        <f>C80/10</f>
        <v>0.11500000000000003</v>
      </c>
    </row>
    <row r="81" spans="1:4" x14ac:dyDescent="0.15">
      <c r="A81" s="228">
        <v>481</v>
      </c>
      <c r="B81" s="235">
        <f>B80+D81</f>
        <v>9.82</v>
      </c>
      <c r="D81">
        <v>0.21</v>
      </c>
    </row>
    <row r="82" spans="1:4" x14ac:dyDescent="0.15">
      <c r="A82" s="228">
        <v>482</v>
      </c>
      <c r="B82" s="235">
        <f>B81+D82</f>
        <v>10.01</v>
      </c>
      <c r="D82">
        <v>0.19</v>
      </c>
    </row>
    <row r="83" spans="1:4" x14ac:dyDescent="0.15">
      <c r="A83" s="228">
        <v>483</v>
      </c>
      <c r="B83" s="235">
        <f>B82+D83</f>
        <v>10.18</v>
      </c>
      <c r="D83">
        <v>0.17</v>
      </c>
    </row>
    <row r="84" spans="1:4" x14ac:dyDescent="0.15">
      <c r="A84" s="228">
        <v>484</v>
      </c>
      <c r="B84" s="235">
        <f>B83+D84</f>
        <v>10.34</v>
      </c>
      <c r="D84">
        <v>0.16</v>
      </c>
    </row>
    <row r="85" spans="1:4" x14ac:dyDescent="0.15">
      <c r="A85" s="228">
        <v>485</v>
      </c>
      <c r="B85" s="235">
        <f>B84+D85</f>
        <v>10.48</v>
      </c>
      <c r="D85">
        <v>0.14000000000000001</v>
      </c>
    </row>
    <row r="86" spans="1:4" x14ac:dyDescent="0.15">
      <c r="A86" s="228">
        <v>490</v>
      </c>
      <c r="B86" s="240">
        <f>F68</f>
        <v>10.76</v>
      </c>
      <c r="C86" s="236">
        <f>B88-B86</f>
        <v>0.42999999999999972</v>
      </c>
      <c r="D86" s="236">
        <f>C86/2</f>
        <v>0.21499999999999986</v>
      </c>
    </row>
    <row r="87" spans="1:4" x14ac:dyDescent="0.15">
      <c r="A87" s="228">
        <v>495</v>
      </c>
      <c r="B87" s="235">
        <f>B86+D87</f>
        <v>11.07</v>
      </c>
      <c r="D87">
        <v>0.31</v>
      </c>
    </row>
    <row r="88" spans="1:4" x14ac:dyDescent="0.15">
      <c r="A88" s="228">
        <v>500</v>
      </c>
      <c r="B88" s="240">
        <f>F69</f>
        <v>11.19</v>
      </c>
      <c r="C88" s="236">
        <f>B90-B88</f>
        <v>0.42999999999999972</v>
      </c>
      <c r="D88" s="236">
        <f>C88/2</f>
        <v>0.21499999999999986</v>
      </c>
    </row>
    <row r="89" spans="1:4" x14ac:dyDescent="0.15">
      <c r="A89" s="228">
        <v>505</v>
      </c>
      <c r="B89" s="235">
        <f>B88+D89</f>
        <v>11.49</v>
      </c>
      <c r="D89">
        <v>0.3</v>
      </c>
    </row>
    <row r="90" spans="1:4" x14ac:dyDescent="0.15">
      <c r="A90" s="228">
        <v>510</v>
      </c>
      <c r="B90" s="240">
        <f>F70</f>
        <v>11.62</v>
      </c>
      <c r="C90" s="236">
        <f>B96-B90</f>
        <v>0.43000000000000149</v>
      </c>
      <c r="D90" s="238">
        <f>C90/6</f>
        <v>7.166666666666692E-2</v>
      </c>
    </row>
    <row r="91" spans="1:4" x14ac:dyDescent="0.15">
      <c r="A91" s="228">
        <v>515</v>
      </c>
      <c r="B91" s="235">
        <f>B90+D91</f>
        <v>11.77</v>
      </c>
      <c r="D91">
        <v>0.15</v>
      </c>
    </row>
    <row r="92" spans="1:4" x14ac:dyDescent="0.15">
      <c r="A92" s="228">
        <v>520</v>
      </c>
      <c r="B92" s="235">
        <f>B91+D92</f>
        <v>11.9</v>
      </c>
      <c r="D92">
        <v>0.13</v>
      </c>
    </row>
    <row r="93" spans="1:4" x14ac:dyDescent="0.15">
      <c r="A93" s="228">
        <v>525</v>
      </c>
      <c r="B93" s="235">
        <f>B92+D93</f>
        <v>12.01</v>
      </c>
      <c r="D93">
        <v>0.11</v>
      </c>
    </row>
    <row r="94" spans="1:4" x14ac:dyDescent="0.15">
      <c r="A94" s="228">
        <v>530</v>
      </c>
      <c r="B94" s="235">
        <f>B93+D94</f>
        <v>12.09</v>
      </c>
      <c r="D94">
        <v>0.08</v>
      </c>
    </row>
    <row r="95" spans="1:4" x14ac:dyDescent="0.15">
      <c r="A95" s="228">
        <v>535</v>
      </c>
      <c r="B95" s="235">
        <f>B94+D95</f>
        <v>12.16</v>
      </c>
      <c r="D95">
        <v>7.0000000000000007E-2</v>
      </c>
    </row>
    <row r="96" spans="1:4" x14ac:dyDescent="0.15">
      <c r="A96" s="228">
        <v>540</v>
      </c>
      <c r="B96" s="240">
        <f>F71</f>
        <v>12.05</v>
      </c>
      <c r="C96" s="236">
        <f>B100-B96</f>
        <v>0.4399999999999995</v>
      </c>
      <c r="D96" s="236">
        <f>C96/4</f>
        <v>0.10999999999999988</v>
      </c>
    </row>
    <row r="97" spans="1:4" x14ac:dyDescent="0.15">
      <c r="A97" s="228">
        <v>555</v>
      </c>
      <c r="B97" s="235">
        <f>B96+D97</f>
        <v>12.24</v>
      </c>
      <c r="D97">
        <v>0.19</v>
      </c>
    </row>
    <row r="98" spans="1:4" x14ac:dyDescent="0.15">
      <c r="A98" s="228">
        <v>570</v>
      </c>
      <c r="B98" s="235">
        <f>B97+D98</f>
        <v>12.4</v>
      </c>
      <c r="D98">
        <v>0.16</v>
      </c>
    </row>
    <row r="99" spans="1:4" x14ac:dyDescent="0.15">
      <c r="A99" s="228">
        <v>585</v>
      </c>
      <c r="B99" s="235">
        <f>B98+D99</f>
        <v>12.540000000000001</v>
      </c>
      <c r="D99">
        <v>0.14000000000000001</v>
      </c>
    </row>
    <row r="100" spans="1:4" x14ac:dyDescent="0.15">
      <c r="A100" s="230">
        <v>600</v>
      </c>
      <c r="B100" s="203">
        <f>F72</f>
        <v>12.49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25" zoomScaleNormal="100" workbookViewId="0">
      <selection activeCell="P45" sqref="P45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15.179166666666667</v>
      </c>
      <c r="F1" s="231"/>
      <c r="G1" s="231">
        <f>E1/E2</f>
        <v>0.8757211538461539</v>
      </c>
    </row>
    <row r="2" spans="1:19" x14ac:dyDescent="0.15">
      <c r="A2" s="47" t="s">
        <v>186</v>
      </c>
      <c r="B2" s="47" t="s">
        <v>187</v>
      </c>
      <c r="D2" s="20">
        <f>D19</f>
        <v>28</v>
      </c>
      <c r="E2" s="231">
        <f>M51/3</f>
        <v>17.333333333333332</v>
      </c>
      <c r="F2" s="274" t="s">
        <v>189</v>
      </c>
      <c r="G2" s="273" t="s">
        <v>220</v>
      </c>
    </row>
    <row r="3" spans="1:19" x14ac:dyDescent="0.15">
      <c r="A3" s="179">
        <f>B3+$M$48</f>
        <v>18.119999999999997</v>
      </c>
      <c r="B3" s="276">
        <f>B20</f>
        <v>4.42</v>
      </c>
      <c r="C3" s="19"/>
      <c r="D3" s="275">
        <f t="shared" ref="D3:D7" si="0">D20</f>
        <v>32</v>
      </c>
      <c r="E3" s="17">
        <f>D3/12</f>
        <v>2.6666666666666665</v>
      </c>
      <c r="F3" s="21">
        <f>INT(B3/D3*1000)/1000</f>
        <v>0.13800000000000001</v>
      </c>
      <c r="G3" s="21">
        <f>1/F3</f>
        <v>7.2463768115942022</v>
      </c>
    </row>
    <row r="4" spans="1:19" x14ac:dyDescent="0.15">
      <c r="A4" s="179">
        <f>B4+$M$48</f>
        <v>19.63</v>
      </c>
      <c r="B4" s="19">
        <f>B21</f>
        <v>5.93</v>
      </c>
      <c r="C4" s="19"/>
      <c r="D4" s="20">
        <f t="shared" si="0"/>
        <v>41</v>
      </c>
      <c r="E4" s="17">
        <f>D4/12</f>
        <v>3.4166666666666665</v>
      </c>
      <c r="F4" s="21">
        <f>INT(B4/D4*1000)/1000</f>
        <v>0.14399999999999999</v>
      </c>
      <c r="G4" s="21">
        <f t="shared" ref="G4:G7" si="1">1/F4</f>
        <v>6.9444444444444446</v>
      </c>
    </row>
    <row r="5" spans="1:19" x14ac:dyDescent="0.15">
      <c r="A5" s="179">
        <f>B5+$M$48</f>
        <v>21.419999999999998</v>
      </c>
      <c r="B5" s="19">
        <f>B22</f>
        <v>7.72</v>
      </c>
      <c r="C5" s="19"/>
      <c r="D5" s="20">
        <f t="shared" si="0"/>
        <v>50.15</v>
      </c>
      <c r="E5" s="17">
        <f>D5/12</f>
        <v>4.1791666666666663</v>
      </c>
      <c r="F5" s="21">
        <f>INT(B5/D5*1000)/1000</f>
        <v>0.153</v>
      </c>
      <c r="G5" s="21">
        <f t="shared" si="1"/>
        <v>6.5359477124183005</v>
      </c>
    </row>
    <row r="6" spans="1:19" x14ac:dyDescent="0.15">
      <c r="A6" s="179">
        <f>B6+$M$48</f>
        <v>23.31</v>
      </c>
      <c r="B6" s="276">
        <f>B23</f>
        <v>9.61</v>
      </c>
      <c r="C6" s="19"/>
      <c r="D6" s="17">
        <f t="shared" si="0"/>
        <v>59</v>
      </c>
      <c r="E6" s="17">
        <f>D6/12</f>
        <v>4.916666666666667</v>
      </c>
      <c r="F6" s="21">
        <f>INT(B6/D6*1000)/1000</f>
        <v>0.16200000000000001</v>
      </c>
      <c r="G6" s="21">
        <f t="shared" si="1"/>
        <v>6.1728395061728394</v>
      </c>
    </row>
    <row r="7" spans="1:19" x14ac:dyDescent="0.15">
      <c r="A7" s="179">
        <f>B7+$M$48</f>
        <v>26.189999999999998</v>
      </c>
      <c r="B7" s="19">
        <f>B24</f>
        <v>12.49</v>
      </c>
      <c r="C7" s="19"/>
      <c r="D7" s="20">
        <f t="shared" si="0"/>
        <v>67.849999999999994</v>
      </c>
      <c r="E7" s="17">
        <f>D7/12</f>
        <v>5.6541666666666659</v>
      </c>
      <c r="F7" s="21">
        <f>INT(B7/D7*1000)/1000</f>
        <v>0.184</v>
      </c>
      <c r="G7" s="21">
        <f t="shared" si="1"/>
        <v>5.4347826086956523</v>
      </c>
    </row>
    <row r="8" spans="1:19" x14ac:dyDescent="0.15">
      <c r="B8" s="17" t="s">
        <v>0</v>
      </c>
      <c r="E8" s="486" t="s">
        <v>124</v>
      </c>
      <c r="F8" s="486"/>
      <c r="G8" s="486"/>
    </row>
    <row r="9" spans="1:19" x14ac:dyDescent="0.15">
      <c r="A9" s="272" t="s">
        <v>194</v>
      </c>
      <c r="B9" s="272" t="s">
        <v>195</v>
      </c>
      <c r="E9" s="86">
        <v>0.96</v>
      </c>
      <c r="F9" s="487" t="s">
        <v>114</v>
      </c>
      <c r="G9" s="487"/>
    </row>
    <row r="10" spans="1:19" x14ac:dyDescent="0.15">
      <c r="A10" s="271">
        <f>D20/B20</f>
        <v>7.2398190045248869</v>
      </c>
      <c r="B10" s="271">
        <f>B20/D20</f>
        <v>0.138125</v>
      </c>
      <c r="E10" s="86">
        <v>0.96499999999999997</v>
      </c>
      <c r="F10" s="487" t="s">
        <v>115</v>
      </c>
      <c r="G10" s="487"/>
    </row>
    <row r="11" spans="1:19" x14ac:dyDescent="0.15">
      <c r="A11" s="271">
        <f t="shared" ref="A11:A14" si="2">D21/B21</f>
        <v>6.9139966273187188</v>
      </c>
      <c r="B11" s="271">
        <f t="shared" ref="B11:B14" si="3">B21/D21</f>
        <v>0.1446341463414634</v>
      </c>
      <c r="D11" s="17" t="s">
        <v>0</v>
      </c>
      <c r="E11" s="86">
        <v>0.98</v>
      </c>
      <c r="F11" s="487" t="s">
        <v>116</v>
      </c>
      <c r="G11" s="487"/>
    </row>
    <row r="12" spans="1:19" x14ac:dyDescent="0.15">
      <c r="A12" s="271">
        <f t="shared" si="2"/>
        <v>6.4961139896373057</v>
      </c>
      <c r="B12" s="271">
        <f t="shared" si="3"/>
        <v>0.153938185443669</v>
      </c>
      <c r="E12" s="86">
        <v>1</v>
      </c>
      <c r="F12" s="487" t="s">
        <v>117</v>
      </c>
      <c r="G12" s="487"/>
    </row>
    <row r="13" spans="1:19" x14ac:dyDescent="0.15">
      <c r="A13" s="271">
        <f t="shared" si="2"/>
        <v>6.1394380853277841</v>
      </c>
      <c r="B13" s="271">
        <f t="shared" si="3"/>
        <v>0.16288135593220338</v>
      </c>
      <c r="D13" s="17" t="s">
        <v>0</v>
      </c>
      <c r="E13" s="486" t="s">
        <v>123</v>
      </c>
      <c r="F13" s="486"/>
      <c r="G13" s="486"/>
    </row>
    <row r="14" spans="1:19" x14ac:dyDescent="0.15">
      <c r="A14" s="271">
        <f t="shared" si="2"/>
        <v>5.4323458767013602</v>
      </c>
      <c r="B14" s="271">
        <f t="shared" si="3"/>
        <v>0.18408253500368463</v>
      </c>
      <c r="E14" s="87">
        <v>1</v>
      </c>
      <c r="F14" s="487" t="s">
        <v>114</v>
      </c>
      <c r="G14" s="487"/>
    </row>
    <row r="15" spans="1:19" x14ac:dyDescent="0.15">
      <c r="E15" s="87">
        <v>1</v>
      </c>
      <c r="F15" s="487" t="s">
        <v>115</v>
      </c>
      <c r="G15" s="487"/>
    </row>
    <row r="16" spans="1:19" x14ac:dyDescent="0.15">
      <c r="B16" s="38" t="s">
        <v>121</v>
      </c>
      <c r="D16" s="77" t="s">
        <v>122</v>
      </c>
      <c r="E16" s="87">
        <v>1</v>
      </c>
      <c r="F16" s="487" t="s">
        <v>116</v>
      </c>
      <c r="G16" s="487"/>
      <c r="R16" s="18">
        <v>0.128</v>
      </c>
      <c r="S16" s="18">
        <f>ROUNDDOWN(R16,1)</f>
        <v>0.1</v>
      </c>
    </row>
    <row r="17" spans="1:21" x14ac:dyDescent="0.15">
      <c r="B17" s="82">
        <f>M52</f>
        <v>9.61</v>
      </c>
      <c r="D17" s="85">
        <f>M47</f>
        <v>59</v>
      </c>
      <c r="E17" s="87">
        <v>1</v>
      </c>
      <c r="F17" s="487" t="s">
        <v>117</v>
      </c>
      <c r="G17" s="487"/>
      <c r="P17" s="327"/>
      <c r="Q17" s="326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7"/>
    </row>
    <row r="19" spans="1:21" x14ac:dyDescent="0.15">
      <c r="B19" s="83"/>
      <c r="C19" s="19"/>
      <c r="D19" s="81">
        <f>INT(D20*0.9)</f>
        <v>28</v>
      </c>
      <c r="F19" s="19"/>
      <c r="G19" s="19"/>
    </row>
    <row r="20" spans="1:21" x14ac:dyDescent="0.15">
      <c r="A20" s="252" t="s">
        <v>188</v>
      </c>
      <c r="B20" s="377">
        <f>INT(B$17*C20*100)/100</f>
        <v>4.42</v>
      </c>
      <c r="C20" s="17">
        <f>0.48*E9</f>
        <v>0.46079999999999999</v>
      </c>
      <c r="D20" s="378">
        <f>INT(D$17*E20)</f>
        <v>32</v>
      </c>
      <c r="E20" s="376">
        <f>0.55*E14</f>
        <v>0.55000000000000004</v>
      </c>
      <c r="F20" s="21">
        <f>B20/D20</f>
        <v>0.138125</v>
      </c>
      <c r="G20" s="17">
        <f>F20-F19</f>
        <v>0.138125</v>
      </c>
    </row>
    <row r="21" spans="1:21" x14ac:dyDescent="0.15">
      <c r="A21" s="19">
        <f>B21-B20</f>
        <v>1.5099999999999998</v>
      </c>
      <c r="B21" s="377">
        <f>INT(B$17*C21*100)/100</f>
        <v>5.93</v>
      </c>
      <c r="C21" s="17">
        <f>0.64*E10</f>
        <v>0.61760000000000004</v>
      </c>
      <c r="D21" s="378">
        <f>INT(D$17*E21)</f>
        <v>41</v>
      </c>
      <c r="E21" s="376">
        <f>0.7*E15</f>
        <v>0.7</v>
      </c>
      <c r="F21" s="21">
        <f>B21/D21</f>
        <v>0.1446341463414634</v>
      </c>
      <c r="G21" s="17">
        <f>F21-F20</f>
        <v>6.5091463414634065E-3</v>
      </c>
      <c r="N21" s="108" t="s">
        <v>135</v>
      </c>
      <c r="O21" s="501" t="s">
        <v>126</v>
      </c>
      <c r="P21" s="501"/>
      <c r="Q21" s="501" t="s">
        <v>129</v>
      </c>
      <c r="R21" s="501"/>
      <c r="S21" s="501" t="s">
        <v>131</v>
      </c>
      <c r="T21" s="501"/>
      <c r="U21" s="94" t="s">
        <v>132</v>
      </c>
    </row>
    <row r="22" spans="1:21" x14ac:dyDescent="0.15">
      <c r="A22" s="19">
        <f>B22-B21</f>
        <v>1.79</v>
      </c>
      <c r="B22" s="377">
        <f>INT(B$17*C22*100)/100</f>
        <v>7.72</v>
      </c>
      <c r="C22" s="17">
        <f>0.82*E11</f>
        <v>0.80359999999999998</v>
      </c>
      <c r="D22" s="379">
        <f>(D$17*E22)</f>
        <v>50.15</v>
      </c>
      <c r="E22" s="376">
        <f>0.85*E16</f>
        <v>0.85</v>
      </c>
      <c r="F22" s="21">
        <f>B22/D22</f>
        <v>0.153938185443669</v>
      </c>
      <c r="G22" s="17">
        <f>F22-F21</f>
        <v>9.3040391022055913E-3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1.8899999999999997</v>
      </c>
      <c r="B23" s="377">
        <f>INT(B$17*C23*100)/100</f>
        <v>9.61</v>
      </c>
      <c r="C23" s="17">
        <v>1</v>
      </c>
      <c r="D23" s="378">
        <f>D$17*E23</f>
        <v>59</v>
      </c>
      <c r="E23" s="376">
        <v>1</v>
      </c>
      <c r="F23" s="21">
        <f>B23/D23</f>
        <v>0.16288135593220338</v>
      </c>
      <c r="G23" s="17">
        <f>F23-F22</f>
        <v>8.9431704885343799E-3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2.8800000000000008</v>
      </c>
      <c r="B24" s="377">
        <f>INT(B$17*C24*100)/100</f>
        <v>12.49</v>
      </c>
      <c r="C24" s="17">
        <f>1.3*E12</f>
        <v>1.3</v>
      </c>
      <c r="D24" s="378">
        <f>D$17*E24</f>
        <v>67.849999999999994</v>
      </c>
      <c r="E24" s="37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0.18408253500368463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07" t="s">
        <v>118</v>
      </c>
      <c r="B26" s="507"/>
      <c r="C26" s="79">
        <f>INT(M51*1)</f>
        <v>52</v>
      </c>
      <c r="F26" s="178">
        <f>M50/M51</f>
        <v>0.2076923076923077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07" t="s">
        <v>119</v>
      </c>
      <c r="B27" s="507"/>
      <c r="C27" s="80">
        <f>가채수량!B7</f>
        <v>53.705330126264336</v>
      </c>
      <c r="D27" s="19">
        <f>(C27/D6)*100</f>
        <v>91.025983264854801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9.2699999999999998E-4</v>
      </c>
      <c r="B31" s="32">
        <v>0.1076833</v>
      </c>
      <c r="D31" s="20">
        <f t="shared" ref="D31:D36" si="4">D19</f>
        <v>28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9.2699999999999998E-4</v>
      </c>
      <c r="B32" s="17">
        <f t="shared" si="5"/>
        <v>0.1076833</v>
      </c>
      <c r="D32" s="20">
        <f t="shared" si="4"/>
        <v>32</v>
      </c>
      <c r="F32" s="23">
        <f>B32*D32/(B32*D32+A32*D32*D32)*100</f>
        <v>78.402196475649674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9.2699999999999998E-4</v>
      </c>
      <c r="B33" s="17">
        <f t="shared" si="5"/>
        <v>0.1076833</v>
      </c>
      <c r="D33" s="20">
        <f t="shared" si="4"/>
        <v>41</v>
      </c>
      <c r="F33" s="23">
        <f>B33*D33/(B33*D33+A33*D33*D33)*100</f>
        <v>73.912470493917567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9.2699999999999998E-4</v>
      </c>
      <c r="B34" s="17">
        <f t="shared" si="5"/>
        <v>0.1076833</v>
      </c>
      <c r="D34" s="20">
        <f t="shared" si="4"/>
        <v>50.15</v>
      </c>
      <c r="F34" s="23">
        <f>B34*D34/(B34*D34+A34*D34*D34)*100</f>
        <v>69.846052161752752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9.2699999999999998E-4</v>
      </c>
      <c r="B35" s="17">
        <f>B34</f>
        <v>0.1076833</v>
      </c>
      <c r="D35" s="20">
        <f t="shared" si="4"/>
        <v>59</v>
      </c>
      <c r="F35" s="23">
        <f>B35*D35/(B35*D35+A35*D35*D35)*100</f>
        <v>66.31712879281028</v>
      </c>
      <c r="G35" s="23"/>
    </row>
    <row r="36" spans="1:21" x14ac:dyDescent="0.15">
      <c r="D36" s="20">
        <f t="shared" si="4"/>
        <v>67.849999999999994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72.119461981032572</v>
      </c>
      <c r="P37" s="18">
        <v>9.2699999999999998E-4</v>
      </c>
      <c r="Q37" s="18">
        <v>0.44700000000000001</v>
      </c>
    </row>
    <row r="38" spans="1:21" x14ac:dyDescent="0.15">
      <c r="A38" s="46">
        <v>69.247</v>
      </c>
      <c r="B38" s="47">
        <v>0.44700000000000001</v>
      </c>
      <c r="C38" s="47">
        <v>92.491</v>
      </c>
      <c r="E38" s="17" t="s">
        <v>33</v>
      </c>
      <c r="P38" s="18">
        <v>0.1076833</v>
      </c>
      <c r="Q38" s="18">
        <v>92.491</v>
      </c>
    </row>
    <row r="39" spans="1:21" x14ac:dyDescent="0.15">
      <c r="A39" s="24"/>
      <c r="B39" s="25" t="s">
        <v>34</v>
      </c>
      <c r="C39" s="19">
        <f>(C38-A38)/B38</f>
        <v>52</v>
      </c>
      <c r="D39" s="17">
        <f>C38-B38*M51</f>
        <v>69.247</v>
      </c>
    </row>
    <row r="40" spans="1:21" x14ac:dyDescent="0.15">
      <c r="A40" s="24" t="s">
        <v>35</v>
      </c>
      <c r="B40" s="25" t="s">
        <v>34</v>
      </c>
      <c r="C40" s="17">
        <f>INT(C39)</f>
        <v>52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9" t="s">
        <v>233</v>
      </c>
      <c r="R43" s="329" t="s">
        <v>234</v>
      </c>
      <c r="S43" s="329" t="s">
        <v>235</v>
      </c>
      <c r="T43" s="329" t="s">
        <v>220</v>
      </c>
      <c r="U43" s="329" t="s">
        <v>189</v>
      </c>
    </row>
    <row r="44" spans="1:21" ht="16.5" x14ac:dyDescent="0.3">
      <c r="A44" s="109">
        <f>B58</f>
        <v>31.27</v>
      </c>
      <c r="B44" s="22" t="s">
        <v>16</v>
      </c>
      <c r="H44" s="380" t="s">
        <v>191</v>
      </c>
      <c r="I44" s="504" t="s">
        <v>287</v>
      </c>
      <c r="J44" s="505"/>
      <c r="K44" s="506"/>
      <c r="L44" s="340" t="s">
        <v>59</v>
      </c>
      <c r="M44" s="341">
        <v>200</v>
      </c>
      <c r="N44" s="340" t="s">
        <v>185</v>
      </c>
      <c r="Q44" s="331">
        <v>29</v>
      </c>
      <c r="R44" s="365">
        <v>12.93</v>
      </c>
      <c r="S44" s="365">
        <v>8.0299999999999994</v>
      </c>
      <c r="T44" s="325">
        <v>3.6231884057971011</v>
      </c>
      <c r="U44" s="18">
        <v>0.27600000000000002</v>
      </c>
    </row>
    <row r="45" spans="1:21" ht="16.5" x14ac:dyDescent="0.3">
      <c r="A45" s="87">
        <v>5.0000000000000001E-4</v>
      </c>
      <c r="B45" s="22" t="s">
        <v>19</v>
      </c>
      <c r="H45" s="380" t="s">
        <v>54</v>
      </c>
      <c r="I45" s="342" t="s">
        <v>288</v>
      </c>
      <c r="J45" s="343"/>
      <c r="K45" s="341"/>
      <c r="L45" s="340" t="s">
        <v>60</v>
      </c>
      <c r="M45" s="341">
        <v>355</v>
      </c>
      <c r="N45" s="341">
        <f>M44</f>
        <v>200</v>
      </c>
      <c r="Q45" s="331">
        <v>37</v>
      </c>
      <c r="R45" s="365">
        <v>15.610000000000001</v>
      </c>
      <c r="S45" s="365">
        <v>10.71</v>
      </c>
      <c r="T45" s="325">
        <v>3.4602076124567476</v>
      </c>
      <c r="U45" s="18">
        <v>0.28899999999999998</v>
      </c>
    </row>
    <row r="46" spans="1:21" ht="16.5" x14ac:dyDescent="0.3">
      <c r="A46" s="17">
        <f>B34</f>
        <v>0.1076833</v>
      </c>
      <c r="B46" s="22" t="s">
        <v>36</v>
      </c>
      <c r="C46" s="492" t="s">
        <v>29</v>
      </c>
      <c r="D46" s="492"/>
      <c r="H46" s="380" t="s">
        <v>55</v>
      </c>
      <c r="I46" s="341" t="s">
        <v>289</v>
      </c>
      <c r="J46" s="343"/>
      <c r="K46" s="341"/>
      <c r="L46" s="340" t="s">
        <v>61</v>
      </c>
      <c r="M46" s="344">
        <f>IF(I52&gt;M48, M45-I52,M45-M48)</f>
        <v>337</v>
      </c>
      <c r="N46" s="345"/>
      <c r="Q46" s="331">
        <v>46</v>
      </c>
      <c r="R46" s="365">
        <v>18.91</v>
      </c>
      <c r="S46" s="365">
        <v>14.01</v>
      </c>
      <c r="T46" s="325">
        <v>3.278688524590164</v>
      </c>
      <c r="U46" s="18">
        <v>0.30499999999999999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92" t="s">
        <v>28</v>
      </c>
      <c r="D47" s="492"/>
      <c r="H47" s="380" t="s">
        <v>56</v>
      </c>
      <c r="I47" s="341" t="s">
        <v>275</v>
      </c>
      <c r="J47" s="343"/>
      <c r="K47" s="341"/>
      <c r="L47" s="340" t="s">
        <v>62</v>
      </c>
      <c r="M47" s="346">
        <f>INT((M51*100)/M53)</f>
        <v>59</v>
      </c>
      <c r="N47" s="345"/>
      <c r="Q47" s="331">
        <v>54</v>
      </c>
      <c r="R47" s="365">
        <v>22.340000000000003</v>
      </c>
      <c r="S47" s="365">
        <v>17.440000000000001</v>
      </c>
      <c r="T47" s="325">
        <v>3.1055900621118013</v>
      </c>
      <c r="U47" s="18">
        <v>0.32200000000000001</v>
      </c>
    </row>
    <row r="48" spans="1:21" ht="16.5" x14ac:dyDescent="0.3">
      <c r="B48" s="22"/>
      <c r="H48" s="380" t="s">
        <v>57</v>
      </c>
      <c r="I48" s="484">
        <v>5</v>
      </c>
      <c r="J48" s="503" t="s">
        <v>286</v>
      </c>
      <c r="K48" s="503"/>
      <c r="L48" s="347" t="s">
        <v>63</v>
      </c>
      <c r="M48" s="348">
        <v>13.7</v>
      </c>
      <c r="N48" s="345"/>
      <c r="Q48" s="331">
        <v>62</v>
      </c>
      <c r="R48" s="365">
        <v>27.57</v>
      </c>
      <c r="S48" s="365">
        <v>22.67</v>
      </c>
      <c r="T48" s="325">
        <v>2.7397260273972601</v>
      </c>
      <c r="U48" s="18">
        <v>0.36499999999999999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9" t="s">
        <v>58</v>
      </c>
      <c r="I49" s="502" t="str">
        <f>I45</f>
        <v>복현지구</v>
      </c>
      <c r="J49" s="502"/>
      <c r="K49" s="502"/>
      <c r="L49" s="340" t="s">
        <v>64</v>
      </c>
      <c r="M49" s="348">
        <v>24.5</v>
      </c>
      <c r="N49" s="345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10"/>
      <c r="I50" s="502"/>
      <c r="J50" s="502"/>
      <c r="K50" s="502"/>
      <c r="L50" s="340" t="s">
        <v>65</v>
      </c>
      <c r="M50" s="349">
        <f>M49-M48</f>
        <v>10.8</v>
      </c>
      <c r="N50" s="345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1"/>
      <c r="I51" s="512" t="s">
        <v>113</v>
      </c>
      <c r="J51" s="513"/>
      <c r="K51" s="514"/>
      <c r="L51" s="350" t="s">
        <v>106</v>
      </c>
      <c r="M51" s="368">
        <v>52</v>
      </c>
      <c r="N51" s="345"/>
      <c r="Q51" s="18">
        <v>29</v>
      </c>
    </row>
    <row r="52" spans="1:17" ht="16.5" x14ac:dyDescent="0.3">
      <c r="A52" s="28" t="s">
        <v>41</v>
      </c>
      <c r="B52" s="17">
        <f>INT(10^((INT(5.46*A44*A46*1000))/1000)*1000)/1000</f>
        <v>2.4266100950824376E+18</v>
      </c>
      <c r="C52" s="17">
        <f>INT(B52*B51*1000)/1000</f>
        <v>1213305047541218.8</v>
      </c>
      <c r="H52" s="351" t="s">
        <v>96</v>
      </c>
      <c r="I52" s="484">
        <v>18</v>
      </c>
      <c r="J52" s="351" t="s">
        <v>97</v>
      </c>
      <c r="K52" s="352">
        <v>0</v>
      </c>
      <c r="L52" s="353" t="s">
        <v>66</v>
      </c>
      <c r="M52" s="344">
        <f>INT(M50*0.89*100)/100</f>
        <v>9.61</v>
      </c>
      <c r="N52" s="354"/>
      <c r="Q52" s="18">
        <v>37</v>
      </c>
    </row>
    <row r="53" spans="1:17" ht="16.5" x14ac:dyDescent="0.3">
      <c r="H53" s="345"/>
      <c r="I53" s="508" t="s">
        <v>120</v>
      </c>
      <c r="J53" s="508"/>
      <c r="K53" s="508"/>
      <c r="L53" s="508"/>
      <c r="M53" s="485">
        <v>88</v>
      </c>
      <c r="N53" s="345"/>
      <c r="Q53" s="18">
        <v>46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2" t="s">
        <v>236</v>
      </c>
      <c r="I54" s="361" t="s">
        <v>237</v>
      </c>
      <c r="Q54" s="18">
        <v>54</v>
      </c>
    </row>
    <row r="55" spans="1:17" x14ac:dyDescent="0.15">
      <c r="A55" s="25"/>
      <c r="Q55" s="18">
        <v>62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90" t="s">
        <v>76</v>
      </c>
      <c r="E57" s="490"/>
      <c r="F57" s="490" t="s">
        <v>53</v>
      </c>
      <c r="G57" s="491"/>
      <c r="H57" s="48" t="s">
        <v>176</v>
      </c>
      <c r="I57" s="232">
        <f>M50</f>
        <v>10.8</v>
      </c>
      <c r="J57" s="43" t="s">
        <v>67</v>
      </c>
      <c r="K57" s="48" t="s">
        <v>68</v>
      </c>
      <c r="L57" s="500" t="s">
        <v>73</v>
      </c>
      <c r="M57" s="500"/>
      <c r="Q57" s="18">
        <v>12.93</v>
      </c>
    </row>
    <row r="58" spans="1:17" x14ac:dyDescent="0.15">
      <c r="A58" s="38" t="s">
        <v>47</v>
      </c>
      <c r="B58" s="39">
        <v>31.27</v>
      </c>
      <c r="C58" s="38"/>
      <c r="D58" s="490">
        <v>0.22439999999999999</v>
      </c>
      <c r="E58" s="490"/>
      <c r="F58" s="490"/>
      <c r="G58" s="491"/>
      <c r="H58" s="48" t="s">
        <v>177</v>
      </c>
      <c r="I58" s="233">
        <f>C62/M46</f>
        <v>8.9418397626112756E-2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15.610000000000001</v>
      </c>
    </row>
    <row r="59" spans="1:17" x14ac:dyDescent="0.15">
      <c r="A59" s="38" t="s">
        <v>48</v>
      </c>
      <c r="B59" s="39">
        <v>56.31</v>
      </c>
      <c r="C59" s="498">
        <f>B59</f>
        <v>56.31</v>
      </c>
      <c r="D59" s="488">
        <v>0.15190000000000001</v>
      </c>
      <c r="E59" s="489"/>
      <c r="F59" s="494">
        <f>INT((D59+D60)/1*10000000)/10000000</f>
        <v>0.15190000000000001</v>
      </c>
      <c r="G59" s="495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18.91</v>
      </c>
    </row>
    <row r="60" spans="1:17" x14ac:dyDescent="0.15">
      <c r="A60" s="38" t="s">
        <v>49</v>
      </c>
      <c r="B60" s="39"/>
      <c r="C60" s="498"/>
      <c r="D60" s="488"/>
      <c r="E60" s="489"/>
      <c r="F60" s="496"/>
      <c r="G60" s="497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22.340000000000003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90"/>
      <c r="E61" s="490"/>
      <c r="F61" s="490"/>
      <c r="G61" s="491"/>
      <c r="H61" s="48" t="s">
        <v>16</v>
      </c>
      <c r="I61" s="43">
        <f>C62</f>
        <v>30.134</v>
      </c>
      <c r="J61" s="49" t="s">
        <v>72</v>
      </c>
      <c r="K61" s="50">
        <f>((K58+K59+K60)/3)</f>
        <v>7.9797152716761941</v>
      </c>
      <c r="L61" s="52"/>
      <c r="M61" s="44"/>
      <c r="Q61" s="18">
        <v>27.57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499"/>
      <c r="E62" s="499"/>
      <c r="F62" s="493">
        <f>F59</f>
        <v>0.15190000000000001</v>
      </c>
      <c r="G62" s="493"/>
      <c r="H62" s="49" t="s">
        <v>77</v>
      </c>
      <c r="I62" s="44">
        <v>70.33</v>
      </c>
      <c r="J62" s="49" t="s">
        <v>178</v>
      </c>
      <c r="K62" s="234">
        <f>MAX(K58:K60)</f>
        <v>14.939145815028581</v>
      </c>
      <c r="L62" s="52"/>
      <c r="M62" s="45"/>
    </row>
    <row r="63" spans="1:17" x14ac:dyDescent="0.15">
      <c r="Q63" s="18">
        <v>8.0299999999999994</v>
      </c>
    </row>
    <row r="64" spans="1:17" x14ac:dyDescent="0.15">
      <c r="Q64" s="18">
        <v>10.71</v>
      </c>
    </row>
    <row r="65" spans="17:17" x14ac:dyDescent="0.15">
      <c r="Q65" s="18">
        <v>14.01</v>
      </c>
    </row>
    <row r="66" spans="17:17" x14ac:dyDescent="0.15">
      <c r="Q66" s="18">
        <v>17.440000000000001</v>
      </c>
    </row>
    <row r="67" spans="17:17" x14ac:dyDescent="0.15">
      <c r="Q67" s="18">
        <v>22.67</v>
      </c>
    </row>
    <row r="69" spans="17:17" x14ac:dyDescent="0.15">
      <c r="Q69" s="325">
        <v>3.6231884057971011</v>
      </c>
    </row>
    <row r="70" spans="17:17" x14ac:dyDescent="0.15">
      <c r="Q70" s="325">
        <v>3.4602076124567476</v>
      </c>
    </row>
    <row r="71" spans="17:17" x14ac:dyDescent="0.15">
      <c r="Q71" s="325">
        <v>3.278688524590164</v>
      </c>
    </row>
    <row r="72" spans="17:17" x14ac:dyDescent="0.15">
      <c r="Q72" s="325">
        <v>3.1055900621118013</v>
      </c>
    </row>
    <row r="73" spans="17:17" x14ac:dyDescent="0.15">
      <c r="Q73" s="325">
        <v>2.7397260273972601</v>
      </c>
    </row>
    <row r="75" spans="17:17" x14ac:dyDescent="0.15">
      <c r="Q75" s="18">
        <v>0.27600000000000002</v>
      </c>
    </row>
    <row r="76" spans="17:17" x14ac:dyDescent="0.15">
      <c r="Q76" s="18">
        <v>0.28899999999999998</v>
      </c>
    </row>
    <row r="77" spans="17:17" x14ac:dyDescent="0.15">
      <c r="Q77" s="18">
        <v>0.30499999999999999</v>
      </c>
    </row>
    <row r="78" spans="17:17" x14ac:dyDescent="0.15">
      <c r="Q78" s="18">
        <v>0.32200000000000001</v>
      </c>
    </row>
    <row r="79" spans="17:17" x14ac:dyDescent="0.15">
      <c r="Q79" s="18">
        <v>0.36499999999999999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62" customWidth="1"/>
    <col min="3" max="3" width="13.109375" style="362" customWidth="1"/>
    <col min="4" max="4" width="14.6640625" style="362" customWidth="1"/>
    <col min="5" max="5" width="10.5546875" style="362" customWidth="1"/>
    <col min="6" max="16384" width="8.88671875" style="362"/>
  </cols>
  <sheetData>
    <row r="3" spans="3:7" ht="18" customHeight="1" x14ac:dyDescent="0.15">
      <c r="C3" s="363" t="s">
        <v>57</v>
      </c>
      <c r="D3" s="363" t="s">
        <v>236</v>
      </c>
      <c r="E3" s="363" t="s">
        <v>243</v>
      </c>
      <c r="F3" s="363" t="s">
        <v>59</v>
      </c>
      <c r="G3" s="362" t="s">
        <v>274</v>
      </c>
    </row>
    <row r="4" spans="3:7" ht="18" customHeight="1" x14ac:dyDescent="0.15">
      <c r="C4" s="362">
        <v>1</v>
      </c>
      <c r="D4" s="364" t="s">
        <v>238</v>
      </c>
      <c r="E4" s="362" t="s">
        <v>237</v>
      </c>
      <c r="F4" s="362">
        <v>150</v>
      </c>
      <c r="G4" s="362">
        <v>5.0000000000000001E-4</v>
      </c>
    </row>
    <row r="5" spans="3:7" ht="18" customHeight="1" x14ac:dyDescent="0.15">
      <c r="C5" s="362">
        <v>2</v>
      </c>
      <c r="D5" s="362" t="s">
        <v>239</v>
      </c>
      <c r="E5" s="362" t="s">
        <v>244</v>
      </c>
      <c r="F5" s="362">
        <v>200</v>
      </c>
      <c r="G5" s="362">
        <v>0.1</v>
      </c>
    </row>
    <row r="6" spans="3:7" ht="18" customHeight="1" x14ac:dyDescent="0.15">
      <c r="C6" s="362">
        <v>3</v>
      </c>
      <c r="D6" s="362" t="s">
        <v>240</v>
      </c>
      <c r="E6" s="362" t="s">
        <v>245</v>
      </c>
      <c r="F6" s="362">
        <v>250</v>
      </c>
    </row>
    <row r="7" spans="3:7" ht="18" customHeight="1" x14ac:dyDescent="0.15">
      <c r="C7" s="362">
        <v>5</v>
      </c>
      <c r="D7" s="362" t="s">
        <v>241</v>
      </c>
      <c r="E7" s="362" t="s">
        <v>246</v>
      </c>
    </row>
    <row r="8" spans="3:7" ht="18" customHeight="1" x14ac:dyDescent="0.15">
      <c r="C8" s="362">
        <v>7.5</v>
      </c>
      <c r="D8" s="362" t="s">
        <v>242</v>
      </c>
      <c r="E8" s="362" t="s">
        <v>247</v>
      </c>
    </row>
    <row r="9" spans="3:7" ht="18" customHeight="1" x14ac:dyDescent="0.15">
      <c r="C9" s="362">
        <v>10</v>
      </c>
      <c r="D9" s="364" t="s">
        <v>250</v>
      </c>
      <c r="E9" s="362" t="s">
        <v>251</v>
      </c>
    </row>
    <row r="10" spans="3:7" ht="18" customHeight="1" x14ac:dyDescent="0.15">
      <c r="C10" s="362">
        <v>20</v>
      </c>
      <c r="D10" s="364" t="s">
        <v>278</v>
      </c>
      <c r="E10" s="362" t="s">
        <v>276</v>
      </c>
    </row>
    <row r="11" spans="3:7" ht="18" customHeight="1" x14ac:dyDescent="0.15">
      <c r="C11" s="362">
        <v>25</v>
      </c>
      <c r="D11" s="362" t="s">
        <v>279</v>
      </c>
      <c r="E11" s="362" t="s">
        <v>277</v>
      </c>
    </row>
    <row r="12" spans="3:7" ht="18" customHeight="1" x14ac:dyDescent="0.15">
      <c r="C12" s="362">
        <v>30</v>
      </c>
      <c r="D12" s="364" t="s">
        <v>280</v>
      </c>
      <c r="E12" s="362" t="s">
        <v>283</v>
      </c>
    </row>
    <row r="13" spans="3:7" ht="18" customHeight="1" x14ac:dyDescent="0.15">
      <c r="D13" s="364" t="s">
        <v>281</v>
      </c>
      <c r="E13" s="362" t="s">
        <v>284</v>
      </c>
    </row>
    <row r="14" spans="3:7" ht="18" customHeight="1" x14ac:dyDescent="0.15">
      <c r="D14" s="364" t="s">
        <v>282</v>
      </c>
      <c r="E14" s="362" t="s">
        <v>285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32</v>
      </c>
    </row>
    <row r="3" spans="1:2" ht="20.100000000000001" customHeight="1" x14ac:dyDescent="0.15">
      <c r="A3" s="316" t="s">
        <v>108</v>
      </c>
      <c r="B3" s="317">
        <f>단계양수시험!G31</f>
        <v>4.42</v>
      </c>
    </row>
    <row r="4" spans="1:2" ht="20.100000000000001" customHeight="1" x14ac:dyDescent="0.15">
      <c r="A4" s="316" t="s">
        <v>109</v>
      </c>
      <c r="B4" s="314">
        <f>단계양수시험!G46</f>
        <v>9.61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53.705330126264336</v>
      </c>
    </row>
    <row r="8" spans="1:2" ht="20.100000000000001" customHeight="1" x14ac:dyDescent="0.15">
      <c r="A8" s="316" t="s">
        <v>112</v>
      </c>
      <c r="B8" s="314">
        <f>INT(B7)</f>
        <v>53</v>
      </c>
    </row>
    <row r="9" spans="1:2" ht="24.75" customHeight="1" x14ac:dyDescent="0.15"/>
    <row r="10" spans="1:2" ht="24.75" customHeight="1" x14ac:dyDescent="0.15"/>
    <row r="11" spans="1:2" x14ac:dyDescent="0.15">
      <c r="B11" s="468">
        <f>B8/입력표!$D$23</f>
        <v>0.89830508474576276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>
      <selection activeCell="H14" sqref="H14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복현지구</v>
      </c>
      <c r="C1" s="279"/>
      <c r="D1" s="279"/>
      <c r="E1" s="279"/>
      <c r="F1" s="279"/>
      <c r="G1" s="279"/>
      <c r="H1" s="430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>대구광역시 북구 복현동 573번지</v>
      </c>
      <c r="D2" s="279"/>
      <c r="E2" s="279"/>
      <c r="F2" s="279"/>
      <c r="G2" s="279"/>
      <c r="H2" s="430"/>
      <c r="I2" s="279"/>
      <c r="J2" s="279"/>
      <c r="K2" s="333"/>
      <c r="L2" s="336"/>
      <c r="M2" s="337"/>
      <c r="N2" s="334"/>
      <c r="O2" s="279"/>
    </row>
    <row r="3" spans="1:15" ht="22.7" customHeight="1" x14ac:dyDescent="0.15">
      <c r="A3" s="279"/>
      <c r="B3" s="454" t="s">
        <v>198</v>
      </c>
      <c r="C3" s="455" t="s">
        <v>199</v>
      </c>
      <c r="D3" s="455" t="s">
        <v>16</v>
      </c>
      <c r="E3" s="455" t="s">
        <v>224</v>
      </c>
      <c r="F3" s="455" t="s">
        <v>19</v>
      </c>
      <c r="G3" s="455" t="s">
        <v>196</v>
      </c>
      <c r="H3" s="456" t="s">
        <v>36</v>
      </c>
      <c r="I3" s="452" t="s">
        <v>225</v>
      </c>
      <c r="J3" s="279"/>
      <c r="K3" s="333"/>
      <c r="L3" s="336"/>
      <c r="M3" s="336"/>
      <c r="N3" s="333"/>
      <c r="O3" s="279"/>
    </row>
    <row r="4" spans="1:15" ht="22.7" customHeight="1" x14ac:dyDescent="0.15">
      <c r="A4" s="279"/>
      <c r="B4" s="464">
        <f>장기양수시험!G10</f>
        <v>1.1449258788095094</v>
      </c>
      <c r="C4" s="465">
        <f>장기양수시험!B10</f>
        <v>52</v>
      </c>
      <c r="D4" s="466">
        <v>1.859</v>
      </c>
      <c r="E4" s="467">
        <f>입력표!M44/2000</f>
        <v>0.1</v>
      </c>
      <c r="F4" s="463">
        <v>5.0000000000000001E-4</v>
      </c>
      <c r="G4" s="463">
        <f>PI()</f>
        <v>3.1415926535897931</v>
      </c>
      <c r="H4" s="457">
        <f>입력표!$A$46</f>
        <v>0.1076833</v>
      </c>
      <c r="I4" s="447">
        <f>입력표!M48</f>
        <v>13.7</v>
      </c>
      <c r="J4" s="279"/>
      <c r="K4" s="333"/>
      <c r="L4" s="336"/>
      <c r="M4" s="336"/>
      <c r="N4" s="333"/>
      <c r="O4" s="279"/>
    </row>
    <row r="5" spans="1:15" ht="22.7" customHeight="1" x14ac:dyDescent="0.15">
      <c r="A5" s="279"/>
      <c r="B5" s="448"/>
      <c r="C5" s="449"/>
      <c r="D5" s="550">
        <v>3.0459999999999998</v>
      </c>
      <c r="E5" s="450" t="s">
        <v>268</v>
      </c>
      <c r="F5" s="451"/>
      <c r="G5" s="451"/>
      <c r="H5" s="431"/>
      <c r="I5" s="453" t="s">
        <v>64</v>
      </c>
      <c r="J5" s="279"/>
      <c r="K5" s="333"/>
      <c r="L5" s="336"/>
      <c r="M5" s="336"/>
      <c r="N5" s="333"/>
      <c r="O5" s="279"/>
    </row>
    <row r="6" spans="1:15" ht="22.7" customHeight="1" thickBot="1" x14ac:dyDescent="0.2">
      <c r="A6" s="279"/>
      <c r="B6" s="480" t="s">
        <v>200</v>
      </c>
      <c r="C6" s="481">
        <f>(2*G4*B4*D5)/(C4)</f>
        <v>0.42138958318799713</v>
      </c>
      <c r="D6" s="482" t="s">
        <v>273</v>
      </c>
      <c r="E6" s="481">
        <f>1.15*LOG((2.25*D5*(1/1440))/(F4*E4^2))</f>
        <v>3.4253669087821352</v>
      </c>
      <c r="F6" s="483" t="s">
        <v>197</v>
      </c>
      <c r="G6" s="545">
        <f>C6-E6</f>
        <v>-3.0039773255941382</v>
      </c>
      <c r="H6" s="431"/>
      <c r="I6" s="447">
        <f>입력표!M49</f>
        <v>24.5</v>
      </c>
      <c r="J6" s="279"/>
      <c r="K6" s="333"/>
      <c r="L6" s="336"/>
      <c r="M6" s="338"/>
      <c r="N6" s="333"/>
      <c r="O6" s="279"/>
    </row>
    <row r="7" spans="1:15" ht="22.7" customHeight="1" x14ac:dyDescent="0.15">
      <c r="A7" s="279"/>
      <c r="B7" s="436" t="s">
        <v>265</v>
      </c>
      <c r="C7" s="441">
        <f>ROUND(2.25*D4*(120/1440),3)</f>
        <v>0.34899999999999998</v>
      </c>
      <c r="D7" s="282"/>
      <c r="E7" s="444" t="s">
        <v>266</v>
      </c>
      <c r="F7" s="437">
        <f>ROUND(F4*10^(5.46*D4*H4),3)</f>
        <v>6.0000000000000001E-3</v>
      </c>
      <c r="G7" s="438" t="s">
        <v>270</v>
      </c>
      <c r="H7" s="431">
        <f>F4*EXP(4*G4*D4*H4)</f>
        <v>6.1868729960528109E-3</v>
      </c>
      <c r="I7" s="453" t="s">
        <v>221</v>
      </c>
      <c r="J7" s="279"/>
      <c r="K7" s="333"/>
      <c r="L7" s="336"/>
      <c r="M7" s="338"/>
      <c r="N7" s="333"/>
      <c r="O7" s="279"/>
    </row>
    <row r="8" spans="1:15" ht="22.7" customHeight="1" thickBot="1" x14ac:dyDescent="0.2">
      <c r="A8" s="279"/>
      <c r="B8" s="440" t="s">
        <v>272</v>
      </c>
      <c r="C8" s="545">
        <f>ROUND(E4*EXP(-1*G6),3)</f>
        <v>2.0169999999999999</v>
      </c>
      <c r="D8" s="442" t="s">
        <v>267</v>
      </c>
      <c r="E8" s="458">
        <f>ROUND(SQRT(C7/F7),3)</f>
        <v>7.6269999999999998</v>
      </c>
      <c r="F8" s="443" t="s">
        <v>269</v>
      </c>
      <c r="G8" s="445" t="s">
        <v>271</v>
      </c>
      <c r="H8" s="459">
        <f>ROUND(SQRT(C7/H7),3)</f>
        <v>7.5110000000000001</v>
      </c>
      <c r="I8" s="446">
        <f>입력표!M45</f>
        <v>355</v>
      </c>
      <c r="J8" s="279"/>
      <c r="K8" s="333"/>
      <c r="L8" s="336"/>
      <c r="M8" s="336"/>
      <c r="N8" s="335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3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8">
        <f>장기양수시험!F101</f>
        <v>15.309476911999651</v>
      </c>
      <c r="D10" s="279"/>
      <c r="E10" s="467">
        <v>0.1928</v>
      </c>
      <c r="F10" s="279"/>
      <c r="G10" s="279"/>
      <c r="H10" s="430"/>
      <c r="I10" s="288">
        <f>입력표!I52</f>
        <v>18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8">
        <f>I6-C10</f>
        <v>9.190523088000349</v>
      </c>
      <c r="D11" s="279"/>
      <c r="E11" s="279"/>
      <c r="F11" s="279"/>
      <c r="G11" s="279"/>
      <c r="H11" s="430"/>
      <c r="I11" s="279"/>
      <c r="J11" s="279"/>
      <c r="K11" s="279"/>
      <c r="L11" s="279"/>
      <c r="M11" s="279"/>
      <c r="N11" s="279"/>
      <c r="O11" s="279"/>
    </row>
    <row r="12" spans="1:15" ht="22.7" customHeight="1" thickBot="1" x14ac:dyDescent="0.2">
      <c r="A12" s="279"/>
      <c r="B12" s="279"/>
      <c r="C12" s="279"/>
      <c r="D12" s="279"/>
      <c r="E12" s="279"/>
      <c r="F12" s="279"/>
      <c r="G12" s="279"/>
      <c r="H12" s="430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6" t="s">
        <v>202</v>
      </c>
      <c r="C13" s="462">
        <f>ROUND(SQRT(6*B16*E16*H16/I16),1)</f>
        <v>24.5</v>
      </c>
      <c r="D13" s="460"/>
      <c r="E13" s="290" t="s">
        <v>203</v>
      </c>
      <c r="F13" s="434">
        <f>D5</f>
        <v>3.0459999999999998</v>
      </c>
      <c r="G13" s="290" t="s">
        <v>204</v>
      </c>
      <c r="H13" s="546">
        <v>2.2519999999999998</v>
      </c>
      <c r="I13" s="291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2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548">
        <f>I6-I4</f>
        <v>10.8</v>
      </c>
      <c r="C16" s="547">
        <f>I8-IF(I4&gt;I10,I4,I10)</f>
        <v>337</v>
      </c>
      <c r="D16" s="546">
        <f>(F13+H13)/2</f>
        <v>2.649</v>
      </c>
      <c r="E16" s="294">
        <f>INT(D16/C16*100000)/100000</f>
        <v>7.8600000000000007E-3</v>
      </c>
      <c r="F16" s="295">
        <v>1440</v>
      </c>
      <c r="G16" s="429">
        <v>840</v>
      </c>
      <c r="H16" s="478">
        <f>INT(G16/F16*10000)/10000</f>
        <v>0.58330000000000004</v>
      </c>
      <c r="I16" s="549">
        <v>4.9470000000000004E-4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279"/>
      <c r="C17" s="279"/>
      <c r="D17" s="279"/>
      <c r="E17" s="439"/>
      <c r="F17" s="279"/>
      <c r="G17" s="279"/>
      <c r="H17" s="430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6" t="s">
        <v>209</v>
      </c>
      <c r="C18" s="462">
        <f>ROUND(3*SQRT(B21*E21*H21/I21),1)</f>
        <v>30</v>
      </c>
      <c r="D18" s="297"/>
      <c r="E18" s="297"/>
      <c r="F18" s="297"/>
      <c r="G18" s="297"/>
      <c r="H18" s="432"/>
      <c r="I18" s="298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9"/>
      <c r="C19" s="461"/>
      <c r="D19" s="300"/>
      <c r="E19" s="300"/>
      <c r="F19" s="300"/>
      <c r="G19" s="300"/>
      <c r="H19" s="303"/>
      <c r="I19" s="301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302" t="s">
        <v>205</v>
      </c>
      <c r="C20" s="303" t="s">
        <v>61</v>
      </c>
      <c r="D20" s="303" t="s">
        <v>206</v>
      </c>
      <c r="E20" s="303" t="s">
        <v>210</v>
      </c>
      <c r="F20" s="303" t="s">
        <v>207</v>
      </c>
      <c r="G20" s="303" t="s">
        <v>208</v>
      </c>
      <c r="H20" s="303" t="s">
        <v>24</v>
      </c>
      <c r="I20" s="304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5">
        <f t="shared" ref="B21:I21" si="0">B16</f>
        <v>10.8</v>
      </c>
      <c r="C21" s="323">
        <f t="shared" si="0"/>
        <v>337</v>
      </c>
      <c r="D21" s="306">
        <f t="shared" si="0"/>
        <v>2.649</v>
      </c>
      <c r="E21" s="324">
        <f t="shared" si="0"/>
        <v>7.8600000000000007E-3</v>
      </c>
      <c r="F21" s="306">
        <f t="shared" si="0"/>
        <v>1440</v>
      </c>
      <c r="G21" s="306">
        <f>G16</f>
        <v>840</v>
      </c>
      <c r="H21" s="323">
        <f t="shared" si="0"/>
        <v>0.58330000000000004</v>
      </c>
      <c r="I21" s="307">
        <f t="shared" si="0"/>
        <v>4.9470000000000004E-4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279"/>
      <c r="C22" s="279"/>
      <c r="D22" s="279"/>
      <c r="E22" s="279"/>
      <c r="F22" s="279"/>
      <c r="G22" s="279"/>
      <c r="H22" s="430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6" t="s">
        <v>211</v>
      </c>
      <c r="C23" s="462">
        <f>ROUND(SQRT((2.25*D26*H26)/I26),1)</f>
        <v>83.8</v>
      </c>
      <c r="D23" s="460"/>
      <c r="E23" s="289"/>
      <c r="F23" s="289"/>
      <c r="G23" s="289"/>
      <c r="H23" s="433"/>
      <c r="I23" s="308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92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3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9">
        <f t="shared" ref="B26:I26" si="1">B21</f>
        <v>10.8</v>
      </c>
      <c r="C26" s="295">
        <f t="shared" si="1"/>
        <v>337</v>
      </c>
      <c r="D26" s="428">
        <f t="shared" si="1"/>
        <v>2.649</v>
      </c>
      <c r="E26" s="294">
        <f t="shared" si="1"/>
        <v>7.8600000000000007E-3</v>
      </c>
      <c r="F26" s="295">
        <f t="shared" si="1"/>
        <v>1440</v>
      </c>
      <c r="G26" s="295">
        <f t="shared" si="1"/>
        <v>840</v>
      </c>
      <c r="H26" s="429">
        <f>INT(G16/F16*10000)/10000</f>
        <v>0.58330000000000004</v>
      </c>
      <c r="I26" s="310">
        <f t="shared" si="1"/>
        <v>4.9470000000000004E-4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1" t="s">
        <v>216</v>
      </c>
      <c r="C27" s="312">
        <f>D16</f>
        <v>2.649</v>
      </c>
      <c r="D27" s="319">
        <f>(C27/C16)*(100/86400)</f>
        <v>9.0978404220243986E-6</v>
      </c>
      <c r="E27" s="279" t="s">
        <v>217</v>
      </c>
      <c r="F27" s="279"/>
      <c r="G27" s="279"/>
      <c r="H27" s="43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1" t="s">
        <v>218</v>
      </c>
      <c r="C28" s="279">
        <f>I21</f>
        <v>4.9470000000000004E-4</v>
      </c>
      <c r="D28" s="279">
        <f>C27/C16*100/86400</f>
        <v>9.0978404220243986E-6</v>
      </c>
      <c r="E28" s="279"/>
      <c r="F28" s="279"/>
      <c r="G28" s="279"/>
      <c r="H28" s="430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219</v>
      </c>
      <c r="C29" s="330">
        <f>(C13+C18+C23)/3</f>
        <v>46.1</v>
      </c>
      <c r="D29" s="279"/>
      <c r="E29" s="279"/>
      <c r="F29" s="279"/>
      <c r="G29" s="279"/>
      <c r="H29" s="430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30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30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30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0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30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0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0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0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0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0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30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30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0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0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0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0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0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0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0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0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0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0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0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0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0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0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0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0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0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0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0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0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0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0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0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0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0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0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0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0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0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0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0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0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0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0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0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0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0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0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0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0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0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0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0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0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0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0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0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0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0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0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0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0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0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0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0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0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0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0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0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0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0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0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0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0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0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0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0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0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0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0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0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0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18" t="s">
        <v>192</v>
      </c>
      <c r="B4" s="518"/>
      <c r="C4" s="205" t="str">
        <f>입력표!I44</f>
        <v>경북대학교 융합교육정보관 신축 기계관급(지열시스템)구매설치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32</v>
      </c>
      <c r="S4" s="3">
        <f>$R$4</f>
        <v>32</v>
      </c>
      <c r="T4" s="339">
        <v>3.5706966097960864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4.9988877831237479</v>
      </c>
      <c r="Z4" s="13">
        <f>Z22</f>
        <v>3.9893037140189342</v>
      </c>
      <c r="AA4" s="10">
        <f>$Z$4</f>
        <v>3.9893037140189342</v>
      </c>
      <c r="AB4" s="10">
        <f>X4</f>
        <v>1</v>
      </c>
      <c r="AC4" s="10">
        <f>Y4-AA4</f>
        <v>1.0095840691048137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18" t="s">
        <v>45</v>
      </c>
      <c r="B5" s="518"/>
      <c r="C5" s="209" t="str">
        <f>입력표!I45</f>
        <v>복현지구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32</v>
      </c>
      <c r="T5" s="3">
        <f>$T4</f>
        <v>3.5706966097960864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5.492657864419602</v>
      </c>
      <c r="AA5" s="10">
        <f t="shared" ref="AA5:AA23" si="5">$Z$4</f>
        <v>3.9893037140189342</v>
      </c>
      <c r="AB5" s="10">
        <f t="shared" ref="AB5:AB43" si="6">X5</f>
        <v>2</v>
      </c>
      <c r="AC5" s="10">
        <f t="shared" ref="AC5:AC43" si="7">Y5-AA5</f>
        <v>1.5033541504006678</v>
      </c>
      <c r="AD5" s="78">
        <f t="shared" ref="AD5:AD16" si="8">INT((AC5-AE5)*100)/100</f>
        <v>1.5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18" t="s">
        <v>46</v>
      </c>
      <c r="B6" s="518"/>
      <c r="C6" s="213" t="str">
        <f>입력표!I46</f>
        <v>대구광역시 북구 복현동 573번지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32</v>
      </c>
      <c r="T6" s="3">
        <f t="shared" ref="T6:T51" si="10">$T5</f>
        <v>3.5706966097960864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5.7814948459557129</v>
      </c>
      <c r="AA6" s="10">
        <f t="shared" si="5"/>
        <v>3.9893037140189342</v>
      </c>
      <c r="AB6" s="10">
        <f t="shared" si="6"/>
        <v>3</v>
      </c>
      <c r="AC6" s="10">
        <f t="shared" si="7"/>
        <v>1.7921911319367787</v>
      </c>
      <c r="AD6" s="78">
        <f t="shared" si="8"/>
        <v>1.79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18" t="s">
        <v>165</v>
      </c>
      <c r="B7" s="518"/>
      <c r="C7" s="214" t="str">
        <f>입력표!I47</f>
        <v>주식회사 한일지하수</v>
      </c>
      <c r="D7" s="215"/>
      <c r="E7" s="206"/>
      <c r="F7" s="216"/>
      <c r="G7" s="217" t="str">
        <f>입력표!I49</f>
        <v>복현지구</v>
      </c>
      <c r="H7" s="218"/>
      <c r="I7" s="219"/>
      <c r="P7" s="3">
        <v>4</v>
      </c>
      <c r="Q7" s="64"/>
      <c r="S7" s="3">
        <f t="shared" si="3"/>
        <v>32</v>
      </c>
      <c r="T7" s="3">
        <f t="shared" si="10"/>
        <v>3.5706966097960864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5.9864279457154561</v>
      </c>
      <c r="AA7" s="10">
        <f t="shared" si="5"/>
        <v>3.9893037140189342</v>
      </c>
      <c r="AB7" s="10">
        <f t="shared" si="6"/>
        <v>4</v>
      </c>
      <c r="AC7" s="10">
        <f t="shared" si="7"/>
        <v>1.9971242316965219</v>
      </c>
      <c r="AD7" s="78">
        <f t="shared" si="8"/>
        <v>1.99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19">
        <f>입력표!I48</f>
        <v>5</v>
      </c>
      <c r="D8" s="520"/>
      <c r="E8" s="521"/>
      <c r="F8" s="221" t="s">
        <v>6</v>
      </c>
      <c r="G8" s="217" t="str">
        <f>G7</f>
        <v>복현지구</v>
      </c>
      <c r="H8" s="218"/>
      <c r="I8" s="222"/>
      <c r="K8" s="373"/>
      <c r="P8" s="3">
        <v>5</v>
      </c>
      <c r="Q8" s="64"/>
      <c r="S8" s="3">
        <f t="shared" si="3"/>
        <v>32</v>
      </c>
      <c r="T8" s="3">
        <f t="shared" si="10"/>
        <v>3.5706966097960864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6.1453864072994078</v>
      </c>
      <c r="AA8" s="10">
        <f t="shared" si="5"/>
        <v>3.9893037140189342</v>
      </c>
      <c r="AB8" s="10">
        <f t="shared" si="6"/>
        <v>5</v>
      </c>
      <c r="AC8" s="10">
        <f t="shared" si="7"/>
        <v>2.1560826932804735</v>
      </c>
      <c r="AD8" s="78">
        <f t="shared" si="8"/>
        <v>2.15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22">
        <f>입력표!M44</f>
        <v>200</v>
      </c>
      <c r="E9" s="522"/>
      <c r="F9" s="204" t="s">
        <v>8</v>
      </c>
      <c r="G9" s="524">
        <f>입력표!M45</f>
        <v>355</v>
      </c>
      <c r="H9" s="524"/>
      <c r="I9" s="204"/>
      <c r="P9" s="3">
        <v>10</v>
      </c>
      <c r="Q9" s="64"/>
      <c r="S9" s="3">
        <f t="shared" si="3"/>
        <v>32</v>
      </c>
      <c r="T9" s="3">
        <f t="shared" si="10"/>
        <v>3.5706966097960864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6.6391564885952619</v>
      </c>
      <c r="AA9" s="10">
        <f t="shared" si="5"/>
        <v>3.9893037140189342</v>
      </c>
      <c r="AB9" s="10">
        <f t="shared" si="6"/>
        <v>10</v>
      </c>
      <c r="AC9" s="10">
        <f t="shared" si="7"/>
        <v>2.6498527745763276</v>
      </c>
      <c r="AD9" s="78">
        <f t="shared" si="8"/>
        <v>2.64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15">
        <f>입력표!M48</f>
        <v>13.7</v>
      </c>
      <c r="E10" s="516"/>
      <c r="F10" s="224" t="s">
        <v>0</v>
      </c>
      <c r="G10" s="525" t="s">
        <v>0</v>
      </c>
      <c r="H10" s="525"/>
      <c r="I10" s="212"/>
      <c r="P10" s="3">
        <v>15</v>
      </c>
      <c r="Q10" s="64"/>
      <c r="S10" s="3">
        <f t="shared" si="3"/>
        <v>32</v>
      </c>
      <c r="T10" s="3">
        <f t="shared" si="10"/>
        <v>3.5706966097960864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6.9279934701313719</v>
      </c>
      <c r="AA10" s="10">
        <f t="shared" si="5"/>
        <v>3.9893037140189342</v>
      </c>
      <c r="AB10" s="10">
        <f t="shared" si="6"/>
        <v>15</v>
      </c>
      <c r="AC10" s="10">
        <f t="shared" si="7"/>
        <v>2.9386897561124377</v>
      </c>
      <c r="AD10" s="78">
        <f t="shared" si="8"/>
        <v>2.93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17" t="s">
        <v>172</v>
      </c>
      <c r="E11" s="517"/>
      <c r="F11" s="225" t="s">
        <v>173</v>
      </c>
      <c r="G11" s="526" t="s">
        <v>174</v>
      </c>
      <c r="H11" s="526"/>
      <c r="I11" s="204" t="s">
        <v>164</v>
      </c>
      <c r="J11" s="372">
        <f>G12-J13</f>
        <v>0.5</v>
      </c>
      <c r="P11" s="3">
        <v>20</v>
      </c>
      <c r="Q11" s="64"/>
      <c r="S11" s="3">
        <f t="shared" si="3"/>
        <v>32</v>
      </c>
      <c r="T11" s="3">
        <f t="shared" si="10"/>
        <v>3.5706966097960864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7.1329265698911142</v>
      </c>
      <c r="AA11" s="10">
        <f t="shared" si="5"/>
        <v>3.9893037140189342</v>
      </c>
      <c r="AB11" s="10">
        <f t="shared" si="6"/>
        <v>20</v>
      </c>
      <c r="AC11" s="10">
        <f t="shared" si="7"/>
        <v>3.1436228558721799</v>
      </c>
      <c r="AD11" s="78">
        <f t="shared" si="8"/>
        <v>3.14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32</v>
      </c>
      <c r="C12" s="201">
        <v>0.41736111111111113</v>
      </c>
      <c r="D12" s="523">
        <v>1</v>
      </c>
      <c r="E12" s="523"/>
      <c r="F12" s="202">
        <f>G12+$D$10</f>
        <v>14.7</v>
      </c>
      <c r="G12" s="527">
        <f>AD4</f>
        <v>1</v>
      </c>
      <c r="H12" s="527"/>
      <c r="I12" s="204" t="s">
        <v>12</v>
      </c>
      <c r="J12" s="8"/>
      <c r="P12" s="3">
        <v>25</v>
      </c>
      <c r="Q12" s="64"/>
      <c r="S12" s="3">
        <f t="shared" si="3"/>
        <v>32</v>
      </c>
      <c r="T12" s="3">
        <f t="shared" si="10"/>
        <v>3.5706966097960864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7.2918850314750676</v>
      </c>
      <c r="AA12" s="10">
        <f t="shared" si="5"/>
        <v>3.9893037140189342</v>
      </c>
      <c r="AB12" s="10">
        <f t="shared" si="6"/>
        <v>25</v>
      </c>
      <c r="AC12" s="10">
        <f t="shared" si="7"/>
        <v>3.3025813174561334</v>
      </c>
      <c r="AD12" s="78">
        <f t="shared" si="8"/>
        <v>3.3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3">
        <v>2</v>
      </c>
      <c r="E13" s="523"/>
      <c r="F13" s="202">
        <f t="shared" ref="F13:F28" si="13">G13+$D$10</f>
        <v>15.2</v>
      </c>
      <c r="G13" s="527">
        <f t="shared" ref="G13:G51" si="14">AD5</f>
        <v>1.5</v>
      </c>
      <c r="H13" s="527"/>
      <c r="I13" s="203"/>
      <c r="J13" s="8">
        <f>G13-G12</f>
        <v>0.5</v>
      </c>
      <c r="P13" s="3">
        <v>30</v>
      </c>
      <c r="Q13" s="64"/>
      <c r="S13" s="3">
        <f t="shared" si="3"/>
        <v>32</v>
      </c>
      <c r="T13" s="3">
        <f t="shared" si="10"/>
        <v>3.5706966097960864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7.421763551427226</v>
      </c>
      <c r="AA13" s="10">
        <f t="shared" si="5"/>
        <v>3.9893037140189342</v>
      </c>
      <c r="AB13" s="10">
        <f t="shared" si="6"/>
        <v>30</v>
      </c>
      <c r="AC13" s="10">
        <f t="shared" si="7"/>
        <v>3.4324598374082917</v>
      </c>
      <c r="AD13" s="78">
        <f t="shared" si="8"/>
        <v>3.43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3">
        <v>3</v>
      </c>
      <c r="E14" s="523"/>
      <c r="F14" s="202">
        <f t="shared" si="13"/>
        <v>15.489999999999998</v>
      </c>
      <c r="G14" s="527">
        <f t="shared" si="14"/>
        <v>1.79</v>
      </c>
      <c r="H14" s="527"/>
      <c r="I14" s="203"/>
      <c r="J14" s="8">
        <f t="shared" ref="J14:J51" si="15">G14-G13</f>
        <v>0.29000000000000004</v>
      </c>
      <c r="Q14" s="64"/>
      <c r="S14" s="3">
        <f t="shared" si="3"/>
        <v>32</v>
      </c>
      <c r="T14" s="3">
        <f t="shared" si="10"/>
        <v>3.5706966097960864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7.5315742753901072</v>
      </c>
      <c r="AA14" s="10">
        <f t="shared" si="5"/>
        <v>3.9893037140189342</v>
      </c>
      <c r="AB14" s="10">
        <f t="shared" si="6"/>
        <v>35</v>
      </c>
      <c r="AC14" s="10">
        <f t="shared" si="7"/>
        <v>3.5422705613711729</v>
      </c>
      <c r="AD14" s="78">
        <f t="shared" si="8"/>
        <v>3.54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3">
        <v>4</v>
      </c>
      <c r="E15" s="523"/>
      <c r="F15" s="202">
        <f t="shared" si="13"/>
        <v>15.69</v>
      </c>
      <c r="G15" s="527">
        <f t="shared" si="14"/>
        <v>1.99</v>
      </c>
      <c r="H15" s="527"/>
      <c r="I15" s="203"/>
      <c r="J15" s="8">
        <f t="shared" si="15"/>
        <v>0.19999999999999996</v>
      </c>
      <c r="Q15" s="64"/>
      <c r="S15" s="3">
        <f t="shared" si="3"/>
        <v>32</v>
      </c>
      <c r="T15" s="3">
        <f t="shared" si="10"/>
        <v>3.5706966097960864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7.6266966511869683</v>
      </c>
      <c r="AA15" s="10">
        <f t="shared" si="5"/>
        <v>3.9893037140189342</v>
      </c>
      <c r="AB15" s="10">
        <f t="shared" si="6"/>
        <v>40</v>
      </c>
      <c r="AC15" s="10">
        <f t="shared" si="7"/>
        <v>3.637392937168034</v>
      </c>
      <c r="AD15" s="78">
        <f t="shared" si="8"/>
        <v>3.63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3">
        <v>5</v>
      </c>
      <c r="E16" s="523"/>
      <c r="F16" s="202">
        <f t="shared" si="13"/>
        <v>15.85</v>
      </c>
      <c r="G16" s="527">
        <f t="shared" si="14"/>
        <v>2.15</v>
      </c>
      <c r="H16" s="527"/>
      <c r="I16" s="203"/>
      <c r="J16" s="8">
        <f t="shared" si="15"/>
        <v>0.15999999999999992</v>
      </c>
      <c r="L16" s="11" t="s">
        <v>94</v>
      </c>
      <c r="M16" s="11" t="s">
        <v>95</v>
      </c>
      <c r="S16" s="3">
        <f t="shared" si="3"/>
        <v>32</v>
      </c>
      <c r="T16" s="3">
        <f t="shared" si="10"/>
        <v>3.5706966097960864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7.7106005329633369</v>
      </c>
      <c r="AA16" s="10">
        <f t="shared" si="5"/>
        <v>3.9893037140189342</v>
      </c>
      <c r="AB16" s="10">
        <f t="shared" si="6"/>
        <v>45</v>
      </c>
      <c r="AC16" s="10">
        <f t="shared" si="7"/>
        <v>3.7212968189444027</v>
      </c>
      <c r="AD16" s="78">
        <f t="shared" si="8"/>
        <v>3.72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3">
        <v>10</v>
      </c>
      <c r="E17" s="523"/>
      <c r="F17" s="202">
        <f t="shared" si="13"/>
        <v>16.34</v>
      </c>
      <c r="G17" s="527">
        <f t="shared" si="14"/>
        <v>2.64</v>
      </c>
      <c r="H17" s="527"/>
      <c r="I17" s="203"/>
      <c r="J17" s="8">
        <f t="shared" si="15"/>
        <v>0.49000000000000021</v>
      </c>
      <c r="K17" s="29">
        <f>D12</f>
        <v>1</v>
      </c>
      <c r="L17" s="3">
        <f>INT(B12/1440*10000)/10000</f>
        <v>2.2200000000000001E-2</v>
      </c>
      <c r="M17" s="3">
        <f>K17*L17</f>
        <v>2.2200000000000001E-2</v>
      </c>
      <c r="N17" s="3">
        <f>INT((8*2.54/2/100)^2*3.14159*100000)/100000</f>
        <v>3.2419999999999997E-2</v>
      </c>
      <c r="O17" s="3">
        <f>INT(M17/N17*100)/100</f>
        <v>0.68</v>
      </c>
      <c r="P17" s="13">
        <f>INT((G12-O17)*100)/100</f>
        <v>0.32</v>
      </c>
      <c r="S17" s="3">
        <f t="shared" si="3"/>
        <v>32</v>
      </c>
      <c r="T17" s="3">
        <f t="shared" si="10"/>
        <v>3.5706966097960864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7.7856551127709217</v>
      </c>
      <c r="AA17" s="10">
        <f t="shared" si="5"/>
        <v>3.9893037140189342</v>
      </c>
      <c r="AB17" s="10">
        <f t="shared" si="6"/>
        <v>50</v>
      </c>
      <c r="AC17" s="10">
        <f t="shared" si="7"/>
        <v>3.7963513987519875</v>
      </c>
      <c r="AD17" s="78">
        <f t="shared" ref="AD17:AD22" si="16">INT(AC17*100)/100</f>
        <v>3.79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3">
        <v>15</v>
      </c>
      <c r="E18" s="523"/>
      <c r="F18" s="202">
        <f t="shared" si="13"/>
        <v>16.63</v>
      </c>
      <c r="G18" s="527">
        <f t="shared" si="14"/>
        <v>2.93</v>
      </c>
      <c r="H18" s="527"/>
      <c r="I18" s="203"/>
      <c r="J18" s="8">
        <f t="shared" si="15"/>
        <v>0.29000000000000004</v>
      </c>
      <c r="K18" s="29">
        <f>D13</f>
        <v>2</v>
      </c>
      <c r="L18" s="3">
        <f>L17</f>
        <v>2.2200000000000001E-2</v>
      </c>
      <c r="M18" s="3">
        <f t="shared" ref="M18:M32" si="17">K18*L18</f>
        <v>4.4400000000000002E-2</v>
      </c>
      <c r="N18" s="3">
        <f>N17</f>
        <v>3.2419999999999997E-2</v>
      </c>
      <c r="O18" s="3">
        <f>INT(M18/N18*100)/100</f>
        <v>1.36</v>
      </c>
      <c r="P18" s="13">
        <f>INT((G13-O18)*100*0.98)/100</f>
        <v>0.13</v>
      </c>
      <c r="S18" s="3">
        <f t="shared" si="3"/>
        <v>32</v>
      </c>
      <c r="T18" s="3">
        <f t="shared" si="10"/>
        <v>3.5706966097960864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7.8535502388713923</v>
      </c>
      <c r="AA18" s="10">
        <f t="shared" si="5"/>
        <v>3.9893037140189342</v>
      </c>
      <c r="AB18" s="10">
        <f t="shared" si="6"/>
        <v>55</v>
      </c>
      <c r="AC18" s="10">
        <f t="shared" si="7"/>
        <v>3.864246524852458</v>
      </c>
      <c r="AD18" s="78">
        <f t="shared" si="16"/>
        <v>3.86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3">
        <v>20</v>
      </c>
      <c r="E19" s="523"/>
      <c r="F19" s="202">
        <f t="shared" si="13"/>
        <v>16.84</v>
      </c>
      <c r="G19" s="527">
        <f t="shared" si="14"/>
        <v>3.14</v>
      </c>
      <c r="H19" s="527"/>
      <c r="I19" s="203"/>
      <c r="J19" s="8">
        <f t="shared" si="15"/>
        <v>0.20999999999999996</v>
      </c>
      <c r="K19" s="29">
        <f t="shared" ref="K19:K32" si="18">D14</f>
        <v>3</v>
      </c>
      <c r="L19" s="3">
        <f>L18</f>
        <v>2.2200000000000001E-2</v>
      </c>
      <c r="M19" s="3">
        <f t="shared" si="17"/>
        <v>6.6600000000000006E-2</v>
      </c>
      <c r="N19" s="3">
        <f t="shared" ref="N19:N32" si="19">N18</f>
        <v>3.2419999999999997E-2</v>
      </c>
      <c r="O19" s="3">
        <f>INT(M19/N19*100)/100</f>
        <v>2.0499999999999998</v>
      </c>
      <c r="P19" s="13">
        <f>INT((G14-O19)*100*0.95)/100</f>
        <v>-0.25</v>
      </c>
      <c r="S19" s="3">
        <f t="shared" si="3"/>
        <v>32</v>
      </c>
      <c r="T19" s="3">
        <f t="shared" si="10"/>
        <v>3.5706966097960864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7.9155336327230801</v>
      </c>
      <c r="AA19" s="10">
        <f t="shared" si="5"/>
        <v>3.9893037140189342</v>
      </c>
      <c r="AB19" s="10">
        <f t="shared" si="6"/>
        <v>60</v>
      </c>
      <c r="AC19" s="10">
        <f t="shared" si="7"/>
        <v>3.9262299187041458</v>
      </c>
      <c r="AD19" s="78">
        <f t="shared" si="16"/>
        <v>3.92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3">
        <v>25</v>
      </c>
      <c r="E20" s="523"/>
      <c r="F20" s="202">
        <f t="shared" si="13"/>
        <v>17</v>
      </c>
      <c r="G20" s="527">
        <f t="shared" si="14"/>
        <v>3.3</v>
      </c>
      <c r="H20" s="527"/>
      <c r="I20" s="203"/>
      <c r="J20" s="8">
        <f t="shared" si="15"/>
        <v>0.1599999999999997</v>
      </c>
      <c r="K20" s="29">
        <f t="shared" si="18"/>
        <v>4</v>
      </c>
      <c r="L20" s="3">
        <f>L19</f>
        <v>2.2200000000000001E-2</v>
      </c>
      <c r="M20" s="3">
        <f t="shared" si="17"/>
        <v>8.8800000000000004E-2</v>
      </c>
      <c r="N20" s="3">
        <f t="shared" si="19"/>
        <v>3.2419999999999997E-2</v>
      </c>
      <c r="O20" s="3">
        <f>INT(M20/N20*100)/100</f>
        <v>2.73</v>
      </c>
      <c r="P20" s="13">
        <f>INT((G15-O20)*100*0.91)/100</f>
        <v>-0.68</v>
      </c>
      <c r="S20" s="3">
        <f t="shared" si="3"/>
        <v>32</v>
      </c>
      <c r="T20" s="3">
        <f t="shared" si="10"/>
        <v>3.5706966097960864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8.0744920943070326</v>
      </c>
      <c r="AA20" s="10">
        <f t="shared" si="5"/>
        <v>3.9893037140189342</v>
      </c>
      <c r="AB20" s="10">
        <f t="shared" si="6"/>
        <v>75</v>
      </c>
      <c r="AC20" s="10">
        <f t="shared" si="7"/>
        <v>4.0851883802880984</v>
      </c>
      <c r="AD20" s="78">
        <f t="shared" si="16"/>
        <v>4.08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3">
        <v>30</v>
      </c>
      <c r="E21" s="523"/>
      <c r="F21" s="202">
        <f t="shared" si="13"/>
        <v>17.13</v>
      </c>
      <c r="G21" s="527">
        <f t="shared" si="14"/>
        <v>3.43</v>
      </c>
      <c r="H21" s="527"/>
      <c r="I21" s="203"/>
      <c r="J21" s="8">
        <f t="shared" si="15"/>
        <v>0.13000000000000034</v>
      </c>
      <c r="K21" s="29">
        <f t="shared" si="18"/>
        <v>5</v>
      </c>
      <c r="L21" s="29">
        <f>L20</f>
        <v>2.2200000000000001E-2</v>
      </c>
      <c r="M21" s="3">
        <f t="shared" si="17"/>
        <v>0.111</v>
      </c>
      <c r="N21" s="3">
        <f t="shared" si="19"/>
        <v>3.2419999999999997E-2</v>
      </c>
      <c r="O21" s="29">
        <f>INT(M21/N21*100)/100</f>
        <v>3.42</v>
      </c>
      <c r="P21" s="13">
        <f>INT((G16-O21)*100*0.86)/100</f>
        <v>-1.1000000000000001</v>
      </c>
      <c r="S21" s="3">
        <f t="shared" si="3"/>
        <v>32</v>
      </c>
      <c r="T21" s="3">
        <f t="shared" si="10"/>
        <v>3.5706966097960864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8.2043706142591919</v>
      </c>
      <c r="AA21" s="10">
        <f t="shared" si="5"/>
        <v>3.9893037140189342</v>
      </c>
      <c r="AB21" s="10">
        <f t="shared" si="6"/>
        <v>90</v>
      </c>
      <c r="AC21" s="10">
        <f t="shared" si="7"/>
        <v>4.2150669002402577</v>
      </c>
      <c r="AD21" s="78">
        <f t="shared" si="16"/>
        <v>4.21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3">
        <v>35</v>
      </c>
      <c r="E22" s="523"/>
      <c r="F22" s="202">
        <f t="shared" si="13"/>
        <v>17.239999999999998</v>
      </c>
      <c r="G22" s="527">
        <f t="shared" si="14"/>
        <v>3.54</v>
      </c>
      <c r="H22" s="527"/>
      <c r="I22" s="204"/>
      <c r="J22" s="8">
        <f t="shared" si="15"/>
        <v>0.10999999999999988</v>
      </c>
      <c r="K22" s="29">
        <f t="shared" si="18"/>
        <v>10</v>
      </c>
      <c r="L22" s="29">
        <f t="shared" ref="L22:L32" si="20">L21</f>
        <v>2.2200000000000001E-2</v>
      </c>
      <c r="M22" s="3">
        <f t="shared" si="17"/>
        <v>0.222</v>
      </c>
      <c r="N22" s="3">
        <f t="shared" si="19"/>
        <v>3.2419999999999997E-2</v>
      </c>
      <c r="O22" s="29">
        <f t="shared" ref="O22:O30" si="21">INT(M22/N22*100)/100</f>
        <v>6.84</v>
      </c>
      <c r="P22" s="13">
        <f>INT((G17-O22)*100*0.8)/100</f>
        <v>-3.36</v>
      </c>
      <c r="S22" s="3">
        <f t="shared" si="3"/>
        <v>32</v>
      </c>
      <c r="T22" s="3">
        <f t="shared" si="10"/>
        <v>3.5706966097960864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8.3141813382220704</v>
      </c>
      <c r="Z22" s="10">
        <f>Y23-Z23</f>
        <v>3.9893037140189342</v>
      </c>
      <c r="AA22" s="10">
        <f t="shared" si="5"/>
        <v>3.9893037140189342</v>
      </c>
      <c r="AB22" s="10">
        <f t="shared" si="6"/>
        <v>105</v>
      </c>
      <c r="AC22" s="10">
        <f t="shared" si="7"/>
        <v>4.3248776242031362</v>
      </c>
      <c r="AD22" s="78">
        <f t="shared" si="16"/>
        <v>4.32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3">
        <v>40</v>
      </c>
      <c r="E23" s="523"/>
      <c r="F23" s="202">
        <f t="shared" si="13"/>
        <v>17.329999999999998</v>
      </c>
      <c r="G23" s="527">
        <f t="shared" si="14"/>
        <v>3.63</v>
      </c>
      <c r="H23" s="527"/>
      <c r="I23" s="204"/>
      <c r="J23" s="8">
        <f t="shared" si="15"/>
        <v>8.9999999999999858E-2</v>
      </c>
      <c r="K23" s="29">
        <f t="shared" si="18"/>
        <v>15</v>
      </c>
      <c r="L23" s="29">
        <f t="shared" si="20"/>
        <v>2.2200000000000001E-2</v>
      </c>
      <c r="M23" s="3">
        <f t="shared" si="17"/>
        <v>0.33300000000000002</v>
      </c>
      <c r="N23" s="3">
        <f t="shared" si="19"/>
        <v>3.2419999999999997E-2</v>
      </c>
      <c r="O23" s="29">
        <f t="shared" si="21"/>
        <v>10.27</v>
      </c>
      <c r="P23" s="13">
        <f t="shared" ref="P23:P32" si="22">INT((G18-O23)*100)/100</f>
        <v>-7.34</v>
      </c>
      <c r="S23" s="3">
        <f t="shared" si="3"/>
        <v>32</v>
      </c>
      <c r="T23" s="3">
        <f t="shared" si="10"/>
        <v>3.5706966097960864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8.4093037140189342</v>
      </c>
      <c r="Z23" s="10">
        <f>입력표!B20</f>
        <v>4.42</v>
      </c>
      <c r="AA23" s="10">
        <f t="shared" si="5"/>
        <v>3.9893037140189342</v>
      </c>
      <c r="AB23" s="10">
        <f t="shared" si="6"/>
        <v>120</v>
      </c>
      <c r="AC23" s="10">
        <f t="shared" si="7"/>
        <v>4.42</v>
      </c>
      <c r="AD23" s="78">
        <f>INT((AC$3+AE23)*100)/100</f>
        <v>4.42</v>
      </c>
      <c r="AE23" s="10">
        <f>AG$23*AF23</f>
        <v>4.42</v>
      </c>
      <c r="AF23" s="10">
        <v>1</v>
      </c>
      <c r="AG23" s="10">
        <f>AC23-AC3</f>
        <v>4.42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3">
        <v>45</v>
      </c>
      <c r="E24" s="523"/>
      <c r="F24" s="202">
        <f t="shared" si="13"/>
        <v>17.419999999999998</v>
      </c>
      <c r="G24" s="527">
        <f t="shared" si="14"/>
        <v>3.72</v>
      </c>
      <c r="H24" s="527"/>
      <c r="I24" s="204"/>
      <c r="J24" s="8">
        <f t="shared" si="15"/>
        <v>9.0000000000000302E-2</v>
      </c>
      <c r="K24" s="29">
        <f t="shared" si="18"/>
        <v>20</v>
      </c>
      <c r="L24" s="29">
        <f t="shared" si="20"/>
        <v>2.2200000000000001E-2</v>
      </c>
      <c r="M24" s="3">
        <f t="shared" si="17"/>
        <v>0.44400000000000001</v>
      </c>
      <c r="N24" s="3">
        <f t="shared" si="19"/>
        <v>3.2419999999999997E-2</v>
      </c>
      <c r="O24" s="29">
        <f t="shared" si="21"/>
        <v>13.69</v>
      </c>
      <c r="P24" s="13">
        <f t="shared" si="22"/>
        <v>-10.55</v>
      </c>
      <c r="R24" s="14">
        <f>B32</f>
        <v>41</v>
      </c>
      <c r="S24" s="3">
        <f>$R$24</f>
        <v>41</v>
      </c>
      <c r="T24" s="3">
        <f t="shared" si="10"/>
        <v>3.5706966097960864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10.847476227223126</v>
      </c>
      <c r="Z24" s="10">
        <f>Z27</f>
        <v>5.4770633002470728</v>
      </c>
      <c r="AA24" s="10">
        <f>$Z$24</f>
        <v>5.4770633002470728</v>
      </c>
      <c r="AB24" s="10">
        <f t="shared" si="6"/>
        <v>130</v>
      </c>
      <c r="AC24" s="10">
        <f t="shared" si="7"/>
        <v>5.3704129269760532</v>
      </c>
      <c r="AD24" s="78">
        <f>INT((AC$23+AE24)*100)/100</f>
        <v>5.32</v>
      </c>
      <c r="AE24" s="10">
        <f>AF24*AG$28</f>
        <v>0.90599999999999981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3">
        <v>50</v>
      </c>
      <c r="E25" s="523"/>
      <c r="F25" s="202">
        <f t="shared" si="13"/>
        <v>17.489999999999998</v>
      </c>
      <c r="G25" s="527">
        <f t="shared" si="14"/>
        <v>3.79</v>
      </c>
      <c r="H25" s="527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2.2200000000000001E-2</v>
      </c>
      <c r="M25" s="3">
        <f t="shared" si="17"/>
        <v>0.55500000000000005</v>
      </c>
      <c r="N25" s="3">
        <f t="shared" si="19"/>
        <v>3.2419999999999997E-2</v>
      </c>
      <c r="O25" s="29">
        <f t="shared" si="21"/>
        <v>17.11</v>
      </c>
      <c r="P25" s="13">
        <f t="shared" si="22"/>
        <v>-13.81</v>
      </c>
      <c r="S25" s="3">
        <f>$R$24</f>
        <v>41</v>
      </c>
      <c r="T25" s="3">
        <f t="shared" si="10"/>
        <v>3.5706966097960864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10.9151153736642</v>
      </c>
      <c r="AA25" s="10">
        <f>$Z$24</f>
        <v>5.4770633002470728</v>
      </c>
      <c r="AB25" s="10">
        <f t="shared" si="6"/>
        <v>140</v>
      </c>
      <c r="AC25" s="10">
        <f t="shared" si="7"/>
        <v>5.4380520734171274</v>
      </c>
      <c r="AD25" s="78">
        <f>INT((AC$23+AE25)*100)/100</f>
        <v>5.47</v>
      </c>
      <c r="AE25" s="10">
        <f>AF25*AG$28</f>
        <v>1.0569999999999997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3">
        <v>55</v>
      </c>
      <c r="E26" s="523"/>
      <c r="F26" s="202">
        <f t="shared" si="13"/>
        <v>17.559999999999999</v>
      </c>
      <c r="G26" s="527">
        <f t="shared" si="14"/>
        <v>3.86</v>
      </c>
      <c r="H26" s="527"/>
      <c r="I26" s="204"/>
      <c r="J26" s="8">
        <f t="shared" si="15"/>
        <v>6.999999999999984E-2</v>
      </c>
      <c r="K26" s="29">
        <f t="shared" si="18"/>
        <v>30</v>
      </c>
      <c r="L26" s="29">
        <f t="shared" si="20"/>
        <v>2.2200000000000001E-2</v>
      </c>
      <c r="M26" s="3">
        <f t="shared" si="17"/>
        <v>0.66600000000000004</v>
      </c>
      <c r="N26" s="3">
        <f t="shared" si="19"/>
        <v>3.2419999999999997E-2</v>
      </c>
      <c r="O26" s="3">
        <f t="shared" si="21"/>
        <v>20.54</v>
      </c>
      <c r="P26" s="13">
        <f t="shared" si="22"/>
        <v>-17.11</v>
      </c>
      <c r="S26" s="3">
        <f>$R$24</f>
        <v>41</v>
      </c>
      <c r="T26" s="3">
        <f t="shared" si="10"/>
        <v>3.5706966097960864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10.978085912491199</v>
      </c>
      <c r="AA26" s="10">
        <f>$Z$24</f>
        <v>5.4770633002470728</v>
      </c>
      <c r="AB26" s="10">
        <f t="shared" si="6"/>
        <v>150</v>
      </c>
      <c r="AC26" s="10">
        <f t="shared" si="7"/>
        <v>5.5010226122441264</v>
      </c>
      <c r="AD26" s="78">
        <f>INT((AC$23+AE26)*100)/100</f>
        <v>5.62</v>
      </c>
      <c r="AE26" s="10">
        <f>AF26*AG$28</f>
        <v>1.208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3">
        <v>60</v>
      </c>
      <c r="E27" s="523"/>
      <c r="F27" s="202">
        <f t="shared" si="13"/>
        <v>17.619999999999997</v>
      </c>
      <c r="G27" s="527">
        <f t="shared" si="14"/>
        <v>3.92</v>
      </c>
      <c r="H27" s="527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2.2200000000000001E-2</v>
      </c>
      <c r="M27" s="3">
        <f t="shared" si="17"/>
        <v>0.77700000000000002</v>
      </c>
      <c r="N27" s="3">
        <f t="shared" si="19"/>
        <v>3.2419999999999997E-2</v>
      </c>
      <c r="O27" s="3">
        <f t="shared" si="21"/>
        <v>23.96</v>
      </c>
      <c r="P27" s="13">
        <f t="shared" si="22"/>
        <v>-20.420000000000002</v>
      </c>
      <c r="S27" s="3">
        <f>$R$24</f>
        <v>41</v>
      </c>
      <c r="T27" s="3">
        <f t="shared" si="10"/>
        <v>3.5706966097960864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11.144492766179903</v>
      </c>
      <c r="Z27" s="10">
        <f>Y28-Z28</f>
        <v>5.4770633002470728</v>
      </c>
      <c r="AA27" s="10">
        <f>$Z$24</f>
        <v>5.4770633002470728</v>
      </c>
      <c r="AB27" s="10">
        <f t="shared" si="6"/>
        <v>180</v>
      </c>
      <c r="AC27" s="10">
        <f t="shared" si="7"/>
        <v>5.6674294659328304</v>
      </c>
      <c r="AD27" s="78">
        <f>INT((AC$23+AE27)*100)/100</f>
        <v>5.77</v>
      </c>
      <c r="AE27" s="10">
        <f>AF27*AG$28</f>
        <v>1.3589999999999998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3">
        <v>75</v>
      </c>
      <c r="E28" s="523"/>
      <c r="F28" s="202">
        <f t="shared" si="13"/>
        <v>17.78</v>
      </c>
      <c r="G28" s="527">
        <f t="shared" si="14"/>
        <v>4.08</v>
      </c>
      <c r="H28" s="527"/>
      <c r="I28" s="204"/>
      <c r="J28" s="8">
        <f t="shared" si="15"/>
        <v>0.16000000000000014</v>
      </c>
      <c r="K28" s="29">
        <f t="shared" si="18"/>
        <v>40</v>
      </c>
      <c r="L28" s="29">
        <f t="shared" si="20"/>
        <v>2.2200000000000001E-2</v>
      </c>
      <c r="M28" s="3">
        <f t="shared" si="17"/>
        <v>0.88800000000000001</v>
      </c>
      <c r="N28" s="3">
        <f t="shared" si="19"/>
        <v>3.2419999999999997E-2</v>
      </c>
      <c r="O28" s="3">
        <f t="shared" si="21"/>
        <v>27.39</v>
      </c>
      <c r="P28" s="13">
        <f t="shared" si="22"/>
        <v>-23.76</v>
      </c>
      <c r="S28" s="3">
        <f>$R$24</f>
        <v>41</v>
      </c>
      <c r="T28" s="3">
        <f t="shared" si="10"/>
        <v>3.5706966097960864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11.407063300247072</v>
      </c>
      <c r="Z28" s="10">
        <f>입력표!B21</f>
        <v>5.93</v>
      </c>
      <c r="AA28" s="10">
        <f>$Z$24</f>
        <v>5.4770633002470728</v>
      </c>
      <c r="AB28" s="10">
        <f t="shared" si="6"/>
        <v>240</v>
      </c>
      <c r="AC28" s="10">
        <f t="shared" si="7"/>
        <v>5.93</v>
      </c>
      <c r="AD28" s="78">
        <f>INT((AC$23+AE28)*100)/100</f>
        <v>5.93</v>
      </c>
      <c r="AE28" s="10">
        <f>AF28*AG$28</f>
        <v>1.5099999999999998</v>
      </c>
      <c r="AF28" s="10">
        <v>1</v>
      </c>
      <c r="AG28" s="10">
        <f>AC28-AC23</f>
        <v>1.5099999999999998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3">
        <v>90</v>
      </c>
      <c r="E29" s="523"/>
      <c r="F29" s="202">
        <f t="shared" ref="F29:F44" si="24">G29+$D$10</f>
        <v>17.91</v>
      </c>
      <c r="G29" s="527">
        <f t="shared" si="14"/>
        <v>4.21</v>
      </c>
      <c r="H29" s="527"/>
      <c r="I29" s="204"/>
      <c r="J29" s="8">
        <f t="shared" si="15"/>
        <v>0.12999999999999989</v>
      </c>
      <c r="K29" s="29">
        <f t="shared" si="18"/>
        <v>45</v>
      </c>
      <c r="L29" s="29">
        <f t="shared" si="20"/>
        <v>2.2200000000000001E-2</v>
      </c>
      <c r="M29" s="3">
        <f t="shared" si="17"/>
        <v>0.999</v>
      </c>
      <c r="N29" s="3">
        <f t="shared" si="19"/>
        <v>3.2419999999999997E-2</v>
      </c>
      <c r="O29" s="3">
        <f t="shared" si="21"/>
        <v>30.81</v>
      </c>
      <c r="P29" s="13">
        <f t="shared" si="22"/>
        <v>-27.09</v>
      </c>
      <c r="R29" s="14">
        <f>B37</f>
        <v>50.15</v>
      </c>
      <c r="S29" s="3">
        <f>$R$29</f>
        <v>50.15</v>
      </c>
      <c r="T29" s="3">
        <f t="shared" si="10"/>
        <v>3.5706966097960864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13.998359684620969</v>
      </c>
      <c r="Z29" s="10">
        <f>Z32</f>
        <v>6.6854476705960169</v>
      </c>
      <c r="AA29" s="10">
        <f>$Z$29</f>
        <v>6.6854476705960169</v>
      </c>
      <c r="AB29" s="10">
        <f t="shared" si="6"/>
        <v>250</v>
      </c>
      <c r="AC29" s="10">
        <f t="shared" si="7"/>
        <v>7.3129120140249517</v>
      </c>
      <c r="AD29" s="78">
        <f>INT((AC$28+AE29)*100)/100</f>
        <v>7</v>
      </c>
      <c r="AE29" s="10">
        <f>AF29*AG$33</f>
        <v>1.0740000000000001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3">
        <v>105</v>
      </c>
      <c r="E30" s="523"/>
      <c r="F30" s="202">
        <f t="shared" si="24"/>
        <v>18.02</v>
      </c>
      <c r="G30" s="527">
        <f t="shared" si="14"/>
        <v>4.32</v>
      </c>
      <c r="H30" s="527"/>
      <c r="I30" s="204"/>
      <c r="J30" s="8">
        <f t="shared" si="15"/>
        <v>0.11000000000000032</v>
      </c>
      <c r="K30" s="29">
        <f t="shared" si="18"/>
        <v>50</v>
      </c>
      <c r="L30" s="29">
        <f t="shared" si="20"/>
        <v>2.2200000000000001E-2</v>
      </c>
      <c r="M30" s="3">
        <f t="shared" si="17"/>
        <v>1.1100000000000001</v>
      </c>
      <c r="N30" s="3">
        <f t="shared" si="19"/>
        <v>3.2419999999999997E-2</v>
      </c>
      <c r="O30" s="3">
        <f t="shared" si="21"/>
        <v>34.229999999999997</v>
      </c>
      <c r="P30" s="13">
        <f t="shared" si="22"/>
        <v>-30.44</v>
      </c>
      <c r="R30" s="3" t="s">
        <v>23</v>
      </c>
      <c r="S30" s="3">
        <f>$R$29</f>
        <v>50.15</v>
      </c>
      <c r="T30" s="3">
        <f t="shared" si="10"/>
        <v>3.5706966097960864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14.042145733311081</v>
      </c>
      <c r="AA30" s="10">
        <f>$Z$29</f>
        <v>6.6854476705960169</v>
      </c>
      <c r="AB30" s="10">
        <f t="shared" si="6"/>
        <v>260</v>
      </c>
      <c r="AC30" s="10">
        <f t="shared" si="7"/>
        <v>7.356698062715064</v>
      </c>
      <c r="AD30" s="78">
        <f>INT((AC$28+AE30)*100)/100</f>
        <v>7.18</v>
      </c>
      <c r="AE30" s="10">
        <f>AF30*AG$33</f>
        <v>1.2529999999999999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3">
        <v>120</v>
      </c>
      <c r="E31" s="523"/>
      <c r="F31" s="202">
        <f t="shared" si="24"/>
        <v>18.119999999999997</v>
      </c>
      <c r="G31" s="527">
        <f t="shared" si="14"/>
        <v>4.42</v>
      </c>
      <c r="H31" s="527"/>
      <c r="I31" s="204"/>
      <c r="J31" s="8">
        <f t="shared" si="15"/>
        <v>9.9999999999999645E-2</v>
      </c>
      <c r="K31" s="29">
        <f t="shared" si="18"/>
        <v>55</v>
      </c>
      <c r="L31" s="29">
        <f t="shared" si="20"/>
        <v>2.2200000000000001E-2</v>
      </c>
      <c r="M31" s="3">
        <f t="shared" si="17"/>
        <v>1.2210000000000001</v>
      </c>
      <c r="N31" s="3">
        <f t="shared" si="19"/>
        <v>3.2419999999999997E-2</v>
      </c>
      <c r="O31" s="3">
        <f>INT(M31/N31*100)/100</f>
        <v>37.659999999999997</v>
      </c>
      <c r="P31" s="13">
        <f t="shared" si="22"/>
        <v>-33.799999999999997</v>
      </c>
      <c r="S31" s="3">
        <f>$R$29</f>
        <v>50.15</v>
      </c>
      <c r="T31" s="3">
        <f t="shared" si="10"/>
        <v>3.5706966097960864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14.084279078316296</v>
      </c>
      <c r="AA31" s="10">
        <f>$Z$29</f>
        <v>6.6854476705960169</v>
      </c>
      <c r="AB31" s="10">
        <f t="shared" si="6"/>
        <v>270</v>
      </c>
      <c r="AC31" s="10">
        <f t="shared" si="7"/>
        <v>7.3988314077202793</v>
      </c>
      <c r="AD31" s="78">
        <f>INT((AC$28+AE31)*100)/100</f>
        <v>7.36</v>
      </c>
      <c r="AE31" s="10">
        <f>AF31*AG$33</f>
        <v>1.4320000000000002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41</v>
      </c>
      <c r="C32" s="201">
        <v>0.50694444444444442</v>
      </c>
      <c r="D32" s="523">
        <v>130</v>
      </c>
      <c r="E32" s="523"/>
      <c r="F32" s="202">
        <f t="shared" si="24"/>
        <v>19.02</v>
      </c>
      <c r="G32" s="527">
        <f t="shared" si="14"/>
        <v>5.32</v>
      </c>
      <c r="H32" s="527"/>
      <c r="I32" s="204"/>
      <c r="J32" s="8">
        <f t="shared" si="15"/>
        <v>0.90000000000000036</v>
      </c>
      <c r="K32" s="29">
        <f t="shared" si="18"/>
        <v>60</v>
      </c>
      <c r="L32" s="29">
        <f t="shared" si="20"/>
        <v>2.2200000000000001E-2</v>
      </c>
      <c r="M32" s="3">
        <f t="shared" si="17"/>
        <v>1.3320000000000001</v>
      </c>
      <c r="N32" s="3">
        <f t="shared" si="19"/>
        <v>3.2419999999999997E-2</v>
      </c>
      <c r="O32" s="3">
        <f>INT(M32/N32*100)/100</f>
        <v>41.08</v>
      </c>
      <c r="P32" s="13">
        <f t="shared" si="22"/>
        <v>-37.159999999999997</v>
      </c>
      <c r="S32" s="3">
        <f>$R$29</f>
        <v>50.15</v>
      </c>
      <c r="T32" s="3">
        <f t="shared" si="10"/>
        <v>3.5706966097960864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14.201903677608492</v>
      </c>
      <c r="Z32" s="10">
        <f>Y33-Z33</f>
        <v>6.6854476705960169</v>
      </c>
      <c r="AA32" s="10">
        <f>$Z$29</f>
        <v>6.6854476705960169</v>
      </c>
      <c r="AB32" s="10">
        <f t="shared" si="6"/>
        <v>300</v>
      </c>
      <c r="AC32" s="10">
        <f t="shared" si="7"/>
        <v>7.5164560070124748</v>
      </c>
      <c r="AD32" s="78">
        <f>INT((AC$28+AE32)*100)/100</f>
        <v>7.54</v>
      </c>
      <c r="AE32" s="10">
        <f>AF32*AG$33</f>
        <v>1.611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3">
        <v>140</v>
      </c>
      <c r="E33" s="523"/>
      <c r="F33" s="202">
        <f t="shared" si="24"/>
        <v>19.169999999999998</v>
      </c>
      <c r="G33" s="527">
        <f t="shared" si="14"/>
        <v>5.47</v>
      </c>
      <c r="H33" s="527"/>
      <c r="I33" s="204"/>
      <c r="J33" s="8">
        <f t="shared" si="15"/>
        <v>0.14999999999999947</v>
      </c>
      <c r="L33" s="7" t="s">
        <v>23</v>
      </c>
      <c r="P33" s="13"/>
      <c r="S33" s="3">
        <f>$R$29</f>
        <v>50.15</v>
      </c>
      <c r="T33" s="3">
        <f t="shared" si="10"/>
        <v>3.5706966097960864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14.405447670596017</v>
      </c>
      <c r="Z33" s="10">
        <f>입력표!B22</f>
        <v>7.72</v>
      </c>
      <c r="AA33" s="10">
        <f>$Z$29</f>
        <v>6.6854476705960169</v>
      </c>
      <c r="AB33" s="10">
        <f t="shared" si="6"/>
        <v>360</v>
      </c>
      <c r="AC33" s="10">
        <f t="shared" si="7"/>
        <v>7.72</v>
      </c>
      <c r="AD33" s="78">
        <f>INT((AC$28+AE33)*100)/100</f>
        <v>7.72</v>
      </c>
      <c r="AE33" s="10">
        <f>AF33*AG$33</f>
        <v>1.79</v>
      </c>
      <c r="AF33" s="10">
        <v>1</v>
      </c>
      <c r="AG33" s="10">
        <f>AC33-AC28</f>
        <v>1.79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3">
        <v>150</v>
      </c>
      <c r="E34" s="523"/>
      <c r="F34" s="202">
        <f t="shared" si="24"/>
        <v>19.32</v>
      </c>
      <c r="G34" s="527">
        <f t="shared" si="14"/>
        <v>5.62</v>
      </c>
      <c r="H34" s="527"/>
      <c r="I34" s="204"/>
      <c r="J34" s="8">
        <f t="shared" si="15"/>
        <v>0.15000000000000036</v>
      </c>
      <c r="L34" s="7" t="s">
        <v>23</v>
      </c>
      <c r="R34" s="3">
        <f>B42</f>
        <v>59</v>
      </c>
      <c r="S34" s="3">
        <f>$R$34</f>
        <v>59</v>
      </c>
      <c r="T34" s="3">
        <f t="shared" si="10"/>
        <v>3.5706966097960864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16.983571666452526</v>
      </c>
      <c r="Z34" s="10">
        <f>Z37</f>
        <v>7.7154308975008696</v>
      </c>
      <c r="AA34" s="10">
        <f>$Z$34</f>
        <v>7.7154308975008696</v>
      </c>
      <c r="AB34" s="10">
        <f t="shared" si="6"/>
        <v>370</v>
      </c>
      <c r="AC34" s="10">
        <f t="shared" si="7"/>
        <v>9.2681407689516568</v>
      </c>
      <c r="AD34" s="78">
        <f>INT((AC$33+AE34)*100)/100</f>
        <v>8.85</v>
      </c>
      <c r="AE34" s="10">
        <f>AG$38*AF34</f>
        <v>1.1339999999999997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3">
        <v>180</v>
      </c>
      <c r="E35" s="523"/>
      <c r="F35" s="202">
        <f t="shared" si="24"/>
        <v>19.47</v>
      </c>
      <c r="G35" s="527">
        <f t="shared" si="14"/>
        <v>5.77</v>
      </c>
      <c r="H35" s="527"/>
      <c r="I35" s="204"/>
      <c r="J35" s="8">
        <f t="shared" si="15"/>
        <v>0.14999999999999947</v>
      </c>
      <c r="L35" s="7" t="s">
        <v>23</v>
      </c>
      <c r="S35" s="3">
        <f>$R$34</f>
        <v>59</v>
      </c>
      <c r="T35" s="3">
        <f t="shared" si="10"/>
        <v>3.5706966097960864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17.018598091532496</v>
      </c>
      <c r="AA35" s="10">
        <f>$Z$34</f>
        <v>7.7154308975008696</v>
      </c>
      <c r="AB35" s="10">
        <f t="shared" si="6"/>
        <v>380</v>
      </c>
      <c r="AC35" s="10">
        <f t="shared" si="7"/>
        <v>9.3031671940316265</v>
      </c>
      <c r="AD35" s="78">
        <f>INT((AC$33+AE35)*100)/100</f>
        <v>9.0399999999999991</v>
      </c>
      <c r="AE35" s="10">
        <f>AG$38*AF35</f>
        <v>1.3229999999999997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3">
        <v>240</v>
      </c>
      <c r="E36" s="523"/>
      <c r="F36" s="202">
        <f t="shared" si="24"/>
        <v>19.63</v>
      </c>
      <c r="G36" s="527">
        <f t="shared" si="14"/>
        <v>5.93</v>
      </c>
      <c r="H36" s="527"/>
      <c r="I36" s="204"/>
      <c r="J36" s="8">
        <f t="shared" si="15"/>
        <v>0.16000000000000014</v>
      </c>
      <c r="L36" s="7" t="s">
        <v>23</v>
      </c>
      <c r="S36" s="3">
        <f>$R$34</f>
        <v>59</v>
      </c>
      <c r="T36" s="3">
        <f t="shared" si="10"/>
        <v>3.5706966097960864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17.05271463566142</v>
      </c>
      <c r="AA36" s="10">
        <f>$Z$34</f>
        <v>7.7154308975008696</v>
      </c>
      <c r="AB36" s="10">
        <f t="shared" si="6"/>
        <v>390</v>
      </c>
      <c r="AC36" s="10">
        <f t="shared" si="7"/>
        <v>9.3372837381605507</v>
      </c>
      <c r="AD36" s="78">
        <f>INT((AC$33+AE36)*100)/100</f>
        <v>9.23</v>
      </c>
      <c r="AE36" s="10">
        <f>AG$38*AF36</f>
        <v>1.5119999999999998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50.15</v>
      </c>
      <c r="C37" s="201">
        <v>0.59027777777777779</v>
      </c>
      <c r="D37" s="523">
        <v>250</v>
      </c>
      <c r="E37" s="523"/>
      <c r="F37" s="202">
        <f t="shared" si="24"/>
        <v>20.7</v>
      </c>
      <c r="G37" s="527">
        <f t="shared" si="14"/>
        <v>7</v>
      </c>
      <c r="H37" s="527"/>
      <c r="I37" s="204"/>
      <c r="J37" s="8">
        <f t="shared" si="15"/>
        <v>1.0700000000000003</v>
      </c>
      <c r="L37" s="7" t="s">
        <v>23</v>
      </c>
      <c r="S37" s="3">
        <f>$R$34</f>
        <v>59</v>
      </c>
      <c r="T37" s="3">
        <f t="shared" si="10"/>
        <v>3.5706966097960864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17.150049017125404</v>
      </c>
      <c r="Z37" s="10">
        <f>Y38-Z38</f>
        <v>7.7154308975008696</v>
      </c>
      <c r="AA37" s="10">
        <f>$Z$34</f>
        <v>7.7154308975008696</v>
      </c>
      <c r="AB37" s="10">
        <f t="shared" si="6"/>
        <v>420</v>
      </c>
      <c r="AC37" s="10">
        <f t="shared" si="7"/>
        <v>9.4346181196245347</v>
      </c>
      <c r="AD37" s="78">
        <f>INT((AC$33+AE37)*100)/100</f>
        <v>9.42</v>
      </c>
      <c r="AE37" s="10">
        <f>AG$38*AF37</f>
        <v>1.7009999999999998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3">
        <v>260</v>
      </c>
      <c r="E38" s="523"/>
      <c r="F38" s="202">
        <f t="shared" si="24"/>
        <v>20.88</v>
      </c>
      <c r="G38" s="527">
        <f t="shared" si="14"/>
        <v>7.18</v>
      </c>
      <c r="H38" s="527"/>
      <c r="I38" s="204"/>
      <c r="J38" s="8">
        <f t="shared" si="15"/>
        <v>0.17999999999999972</v>
      </c>
      <c r="L38" s="7" t="s">
        <v>23</v>
      </c>
      <c r="S38" s="3">
        <f>$R$34</f>
        <v>59</v>
      </c>
      <c r="T38" s="3">
        <f t="shared" si="10"/>
        <v>3.5706966097960864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17.325430897500869</v>
      </c>
      <c r="Z38" s="10">
        <f>입력표!B23</f>
        <v>9.61</v>
      </c>
      <c r="AA38" s="10">
        <f>$Z$34</f>
        <v>7.7154308975008696</v>
      </c>
      <c r="AB38" s="10">
        <f t="shared" si="6"/>
        <v>480</v>
      </c>
      <c r="AC38" s="10">
        <f t="shared" si="7"/>
        <v>9.61</v>
      </c>
      <c r="AD38" s="78">
        <f>INT((AC$33+AE38)*100)/100</f>
        <v>9.61</v>
      </c>
      <c r="AE38" s="10">
        <f>AG$38*AF38</f>
        <v>1.8899999999999997</v>
      </c>
      <c r="AF38" s="10">
        <v>1</v>
      </c>
      <c r="AG38" s="10">
        <f>AC38-AC33</f>
        <v>1.8899999999999997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3">
        <v>270</v>
      </c>
      <c r="E39" s="523"/>
      <c r="F39" s="202">
        <f t="shared" si="24"/>
        <v>21.06</v>
      </c>
      <c r="G39" s="527">
        <f t="shared" si="14"/>
        <v>7.36</v>
      </c>
      <c r="H39" s="527"/>
      <c r="I39" s="204"/>
      <c r="J39" s="8">
        <f t="shared" si="15"/>
        <v>0.1800000000000006</v>
      </c>
      <c r="K39" s="6" t="s">
        <v>23</v>
      </c>
      <c r="L39" s="7" t="s">
        <v>23</v>
      </c>
      <c r="R39" s="14">
        <f>B47</f>
        <v>67.849999999999994</v>
      </c>
      <c r="S39" s="3">
        <f>$R$39</f>
        <v>67.849999999999994</v>
      </c>
      <c r="T39" s="3">
        <f t="shared" si="10"/>
        <v>3.5706966097960864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19.955389420346755</v>
      </c>
      <c r="Z39" s="10">
        <f>Z42</f>
        <v>7.7712871452032228</v>
      </c>
      <c r="AA39" s="10">
        <f>$Z$39</f>
        <v>7.7712871452032228</v>
      </c>
      <c r="AB39" s="10">
        <f t="shared" si="6"/>
        <v>490</v>
      </c>
      <c r="AC39" s="10">
        <f t="shared" si="7"/>
        <v>12.184102275143532</v>
      </c>
      <c r="AD39" s="78">
        <f>INT((AC$38+AE39)*100)/100</f>
        <v>10.76</v>
      </c>
      <c r="AE39" s="10">
        <f>AG$43*AF39</f>
        <v>1.1520000000000004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3">
        <v>300</v>
      </c>
      <c r="E40" s="523"/>
      <c r="F40" s="202">
        <f t="shared" si="24"/>
        <v>21.24</v>
      </c>
      <c r="G40" s="527">
        <f t="shared" si="14"/>
        <v>7.54</v>
      </c>
      <c r="H40" s="527"/>
      <c r="I40" s="204"/>
      <c r="J40" s="8">
        <f t="shared" si="15"/>
        <v>0.17999999999999972</v>
      </c>
      <c r="K40" s="6" t="s">
        <v>23</v>
      </c>
      <c r="L40" s="7" t="s">
        <v>23</v>
      </c>
      <c r="S40" s="3">
        <f>$R$39</f>
        <v>67.849999999999994</v>
      </c>
      <c r="T40" s="3">
        <f t="shared" si="10"/>
        <v>3.5706966097960864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19.985904095867163</v>
      </c>
      <c r="AA40" s="10">
        <f>$Z$39</f>
        <v>7.7712871452032228</v>
      </c>
      <c r="AB40" s="10">
        <f t="shared" si="6"/>
        <v>500</v>
      </c>
      <c r="AC40" s="10">
        <f t="shared" si="7"/>
        <v>12.21461695066394</v>
      </c>
      <c r="AD40" s="78">
        <f>INT((AC$38+AE40)*100)/100</f>
        <v>11.19</v>
      </c>
      <c r="AE40" s="10">
        <f>AG$43*AF40</f>
        <v>1.5840000000000005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3">
        <v>360</v>
      </c>
      <c r="E41" s="523"/>
      <c r="F41" s="202">
        <f t="shared" si="24"/>
        <v>21.419999999999998</v>
      </c>
      <c r="G41" s="527">
        <f t="shared" si="14"/>
        <v>7.72</v>
      </c>
      <c r="H41" s="527"/>
      <c r="I41" s="204"/>
      <c r="J41" s="8">
        <f t="shared" si="15"/>
        <v>0.17999999999999972</v>
      </c>
      <c r="K41" s="6" t="s">
        <v>23</v>
      </c>
      <c r="L41" s="7" t="s">
        <v>23</v>
      </c>
      <c r="S41" s="3">
        <f>$R$39</f>
        <v>67.849999999999994</v>
      </c>
      <c r="T41" s="3">
        <f t="shared" si="10"/>
        <v>3.5706966097960864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20.015814480495187</v>
      </c>
      <c r="AA41" s="10">
        <f>$Z$39</f>
        <v>7.7712871452032228</v>
      </c>
      <c r="AB41" s="10">
        <f t="shared" si="6"/>
        <v>510</v>
      </c>
      <c r="AC41" s="10">
        <f t="shared" si="7"/>
        <v>12.244527335291965</v>
      </c>
      <c r="AD41" s="78">
        <f>INT((AC$38+AE41)*100)/100</f>
        <v>11.62</v>
      </c>
      <c r="AE41" s="10">
        <f>AG$43*AF41</f>
        <v>2.0160000000000005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59</v>
      </c>
      <c r="C42" s="201">
        <v>0.67361111111111116</v>
      </c>
      <c r="D42" s="523">
        <v>370</v>
      </c>
      <c r="E42" s="523"/>
      <c r="F42" s="202">
        <f t="shared" si="24"/>
        <v>22.549999999999997</v>
      </c>
      <c r="G42" s="527">
        <f t="shared" si="14"/>
        <v>8.85</v>
      </c>
      <c r="H42" s="527"/>
      <c r="I42" s="204"/>
      <c r="J42" s="8">
        <f t="shared" si="15"/>
        <v>1.1299999999999999</v>
      </c>
      <c r="K42" s="6" t="s">
        <v>23</v>
      </c>
      <c r="L42" s="7" t="s">
        <v>23</v>
      </c>
      <c r="S42" s="3">
        <f>$R$39</f>
        <v>67.849999999999994</v>
      </c>
      <c r="T42" s="3">
        <f t="shared" si="10"/>
        <v>3.5706966097960864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20.102147981454959</v>
      </c>
      <c r="Z42" s="10">
        <f>Y43-Z43</f>
        <v>7.7712871452032228</v>
      </c>
      <c r="AA42" s="10">
        <f>$Z$39</f>
        <v>7.7712871452032228</v>
      </c>
      <c r="AB42" s="10">
        <f t="shared" si="6"/>
        <v>540</v>
      </c>
      <c r="AC42" s="10">
        <f t="shared" si="7"/>
        <v>12.330860836251736</v>
      </c>
      <c r="AD42" s="78">
        <f>INT((AC$38+AE42)*100)/100</f>
        <v>12.05</v>
      </c>
      <c r="AE42" s="10">
        <f>AG$43*AF42</f>
        <v>2.4480000000000004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3">
        <v>380</v>
      </c>
      <c r="E43" s="523"/>
      <c r="F43" s="202">
        <f t="shared" si="24"/>
        <v>22.74</v>
      </c>
      <c r="G43" s="527">
        <f t="shared" si="14"/>
        <v>9.0399999999999991</v>
      </c>
      <c r="H43" s="527"/>
      <c r="I43" s="204"/>
      <c r="J43" s="8">
        <f t="shared" si="15"/>
        <v>0.1899999999999995</v>
      </c>
      <c r="K43" s="6" t="s">
        <v>23</v>
      </c>
      <c r="L43" s="7" t="s">
        <v>23</v>
      </c>
      <c r="S43" s="3">
        <f>$R$39</f>
        <v>67.849999999999994</v>
      </c>
      <c r="T43" s="3">
        <f t="shared" si="10"/>
        <v>3.5706966097960864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20.261287145203223</v>
      </c>
      <c r="Z43" s="10">
        <f>입력표!B24</f>
        <v>12.49</v>
      </c>
      <c r="AA43" s="10">
        <f>$Z$39</f>
        <v>7.7712871452032228</v>
      </c>
      <c r="AB43" s="10">
        <f t="shared" si="6"/>
        <v>600</v>
      </c>
      <c r="AC43" s="10">
        <f t="shared" si="7"/>
        <v>12.49</v>
      </c>
      <c r="AD43" s="78">
        <f>INT((AC$38+AE43)*100)/100</f>
        <v>12.49</v>
      </c>
      <c r="AE43" s="10">
        <f>AG$43*AF43</f>
        <v>2.8800000000000008</v>
      </c>
      <c r="AF43" s="10">
        <v>1</v>
      </c>
      <c r="AG43" s="10">
        <f>AC43-AC38</f>
        <v>2.8800000000000008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3">
        <v>390</v>
      </c>
      <c r="E44" s="523"/>
      <c r="F44" s="202">
        <f t="shared" si="24"/>
        <v>22.93</v>
      </c>
      <c r="G44" s="527">
        <f t="shared" si="14"/>
        <v>9.23</v>
      </c>
      <c r="H44" s="527"/>
      <c r="I44" s="204"/>
      <c r="J44" s="8">
        <f t="shared" si="15"/>
        <v>0.19000000000000128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3">
        <v>420</v>
      </c>
      <c r="E45" s="523"/>
      <c r="F45" s="202">
        <f t="shared" ref="F45:F51" si="25">G45+$D$10</f>
        <v>23.119999999999997</v>
      </c>
      <c r="G45" s="527">
        <f t="shared" si="14"/>
        <v>9.42</v>
      </c>
      <c r="H45" s="527"/>
      <c r="I45" s="204"/>
      <c r="J45" s="8">
        <f t="shared" si="15"/>
        <v>0.1899999999999995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3">
        <v>480</v>
      </c>
      <c r="E46" s="523"/>
      <c r="F46" s="202">
        <f t="shared" si="25"/>
        <v>23.31</v>
      </c>
      <c r="G46" s="527">
        <f t="shared" si="14"/>
        <v>9.61</v>
      </c>
      <c r="H46" s="527"/>
      <c r="I46" s="204"/>
      <c r="J46" s="8">
        <f t="shared" si="15"/>
        <v>0.1899999999999995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67.849999999999994</v>
      </c>
      <c r="C47" s="201">
        <v>0.75694444444444453</v>
      </c>
      <c r="D47" s="523">
        <v>490</v>
      </c>
      <c r="E47" s="523"/>
      <c r="F47" s="202">
        <f t="shared" si="25"/>
        <v>24.46</v>
      </c>
      <c r="G47" s="527">
        <f t="shared" si="14"/>
        <v>10.76</v>
      </c>
      <c r="H47" s="527"/>
      <c r="I47" s="204"/>
      <c r="J47" s="8">
        <f t="shared" si="15"/>
        <v>1.1500000000000004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3">
        <v>500</v>
      </c>
      <c r="E48" s="523"/>
      <c r="F48" s="202">
        <f t="shared" si="25"/>
        <v>24.89</v>
      </c>
      <c r="G48" s="527">
        <f t="shared" si="14"/>
        <v>11.19</v>
      </c>
      <c r="H48" s="527"/>
      <c r="I48" s="204"/>
      <c r="J48" s="8">
        <f t="shared" si="15"/>
        <v>0.42999999999999972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3">
        <v>510</v>
      </c>
      <c r="E49" s="523"/>
      <c r="F49" s="202">
        <f t="shared" si="25"/>
        <v>25.32</v>
      </c>
      <c r="G49" s="527">
        <f t="shared" si="14"/>
        <v>11.62</v>
      </c>
      <c r="H49" s="527"/>
      <c r="I49" s="204"/>
      <c r="J49" s="8">
        <f t="shared" si="15"/>
        <v>0.42999999999999972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3">
        <v>540</v>
      </c>
      <c r="E50" s="523"/>
      <c r="F50" s="202">
        <f t="shared" si="25"/>
        <v>25.75</v>
      </c>
      <c r="G50" s="527">
        <f t="shared" si="14"/>
        <v>12.05</v>
      </c>
      <c r="H50" s="527"/>
      <c r="I50" s="204"/>
      <c r="J50" s="8">
        <f t="shared" si="15"/>
        <v>0.43000000000000149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3">
        <v>600</v>
      </c>
      <c r="E51" s="523"/>
      <c r="F51" s="202">
        <f t="shared" si="25"/>
        <v>26.189999999999998</v>
      </c>
      <c r="G51" s="527">
        <f t="shared" si="14"/>
        <v>12.49</v>
      </c>
      <c r="H51" s="527"/>
      <c r="I51" s="204" t="s">
        <v>13</v>
      </c>
      <c r="J51" s="8">
        <f t="shared" si="15"/>
        <v>0.4399999999999995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>
      <selection activeCell="I12" sqref="I12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4" t="s">
        <v>137</v>
      </c>
      <c r="M1" s="264">
        <f>P1-R1</f>
        <v>-1.865053413389492</v>
      </c>
      <c r="N1" s="528" t="s">
        <v>136</v>
      </c>
      <c r="O1" s="528"/>
      <c r="P1" s="265">
        <f>단계양수시험!G41</f>
        <v>7.72</v>
      </c>
      <c r="Q1" s="435" t="s">
        <v>125</v>
      </c>
      <c r="R1" s="266">
        <f>G35</f>
        <v>9.5850534133894918</v>
      </c>
      <c r="S1" s="267">
        <f>D7/2000</f>
        <v>0.1</v>
      </c>
      <c r="T1" s="268">
        <v>2.0052877374808782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경북대학교 융합교육정보관 신축 기계관급(지열시스템)구매설치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24.500000000000004</v>
      </c>
      <c r="T2" s="3">
        <v>0</v>
      </c>
      <c r="U2" s="14">
        <f>B10</f>
        <v>52</v>
      </c>
      <c r="V2" s="14">
        <f>U2</f>
        <v>52</v>
      </c>
      <c r="W2" s="3">
        <f>T1</f>
        <v>2.0052877374808782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9.2349251409947684</v>
      </c>
      <c r="AC2" s="10">
        <f>1.6*V2/(4*PI()*W2)*LOG10((2.25*W2*Z2)/(X2*X2*Y2))</f>
        <v>9.2349251409947684</v>
      </c>
      <c r="AD2" s="15">
        <v>0</v>
      </c>
      <c r="AE2" s="12">
        <f>AA2</f>
        <v>1</v>
      </c>
      <c r="AF2" s="10">
        <f>AC2-$P$3-O3</f>
        <v>1.1449258788095094</v>
      </c>
      <c r="AG2" s="10">
        <f>AC2</f>
        <v>9.2349251409947684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복현지구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5" t="s">
        <v>182</v>
      </c>
      <c r="M3" s="13">
        <f t="shared" ref="M3:M10" si="1">Q17</f>
        <v>0</v>
      </c>
      <c r="N3" s="62"/>
      <c r="O3" s="367"/>
      <c r="P3" s="366">
        <v>8.089999262185259</v>
      </c>
      <c r="V3" s="14">
        <f>V2</f>
        <v>52</v>
      </c>
      <c r="W3" s="3">
        <f>W$2</f>
        <v>2.0052877374808782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10.228833942623467</v>
      </c>
      <c r="AC3" s="10">
        <f t="shared" ref="AC3:AC35" si="4">1.6*V3/(4*PI()*W3)*LOG10((2.25*W3*Z3)/(X3*X3*Y3))</f>
        <v>10.228833942623467</v>
      </c>
      <c r="AD3" s="10">
        <f>AB69</f>
        <v>18.889999262185263</v>
      </c>
      <c r="AE3" s="12">
        <f t="shared" ref="AE3:AE66" si="5">AA3</f>
        <v>2</v>
      </c>
      <c r="AF3" s="10">
        <f t="shared" ref="AF3:AF16" si="6">AC3-$P$3-O4</f>
        <v>2.1388346804382081</v>
      </c>
      <c r="AG3" s="10">
        <f t="shared" ref="AG3:AG16" si="7">AC3</f>
        <v>10.228833942623467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대구광역시 북구 복현동 573번지</v>
      </c>
      <c r="D4" s="58"/>
      <c r="E4" s="58"/>
      <c r="F4" s="184"/>
      <c r="G4" s="184"/>
      <c r="H4" s="184"/>
      <c r="I4" s="184"/>
      <c r="J4" s="185"/>
      <c r="L4" s="375" t="s">
        <v>183</v>
      </c>
      <c r="M4" s="13">
        <f t="shared" si="1"/>
        <v>-0.16</v>
      </c>
      <c r="N4" s="62"/>
      <c r="O4" s="29"/>
      <c r="P4" s="29"/>
      <c r="V4" s="14">
        <f t="shared" ref="V4:V67" si="8">V3</f>
        <v>52</v>
      </c>
      <c r="W4" s="3">
        <f t="shared" ref="W4:W67" si="9">W$2</f>
        <v>2.0052877374808782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10.810233320712959</v>
      </c>
      <c r="AC4" s="10">
        <f t="shared" si="4"/>
        <v>10.810233320712959</v>
      </c>
      <c r="AD4" s="10">
        <f>AC69</f>
        <v>18.889999262185263</v>
      </c>
      <c r="AE4" s="12">
        <f t="shared" si="5"/>
        <v>3</v>
      </c>
      <c r="AF4" s="10">
        <f t="shared" si="6"/>
        <v>2.7202340585276996</v>
      </c>
      <c r="AG4" s="10">
        <f t="shared" si="7"/>
        <v>10.810233320712959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5" t="s">
        <v>184</v>
      </c>
      <c r="M5" s="13">
        <f t="shared" si="1"/>
        <v>-0.72</v>
      </c>
      <c r="N5" s="62"/>
      <c r="O5" s="29"/>
      <c r="P5" s="29"/>
      <c r="V5" s="14">
        <f t="shared" si="8"/>
        <v>52</v>
      </c>
      <c r="W5" s="3">
        <f t="shared" si="9"/>
        <v>2.0052877374808782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11.222742744252166</v>
      </c>
      <c r="AC5" s="10">
        <f t="shared" si="4"/>
        <v>11.222742744252166</v>
      </c>
      <c r="AD5" s="10">
        <f>AF69</f>
        <v>10.800000000000004</v>
      </c>
      <c r="AE5" s="12">
        <f t="shared" si="5"/>
        <v>4</v>
      </c>
      <c r="AF5" s="10">
        <f t="shared" si="6"/>
        <v>3.1327434820669069</v>
      </c>
      <c r="AG5" s="10">
        <f t="shared" si="7"/>
        <v>11.222742744252166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0">
        <f>단계양수시험!C8</f>
        <v>5</v>
      </c>
      <c r="D6" s="530"/>
      <c r="E6" s="531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0">
        <v>0.2</v>
      </c>
      <c r="M6" s="13">
        <f t="shared" si="1"/>
        <v>-1.46</v>
      </c>
      <c r="N6" s="62"/>
      <c r="O6" s="29"/>
      <c r="P6" s="29"/>
      <c r="V6" s="14">
        <f t="shared" si="8"/>
        <v>52</v>
      </c>
      <c r="W6" s="3">
        <f t="shared" si="9"/>
        <v>2.0052877374808782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11.542709911252274</v>
      </c>
      <c r="AC6" s="10">
        <f t="shared" si="4"/>
        <v>11.542709911252274</v>
      </c>
      <c r="AE6" s="12">
        <f t="shared" si="5"/>
        <v>5</v>
      </c>
      <c r="AF6" s="10">
        <f t="shared" si="6"/>
        <v>3.452710649067015</v>
      </c>
      <c r="AG6" s="10">
        <f t="shared" si="7"/>
        <v>11.542709911252274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355</v>
      </c>
      <c r="H7" s="184"/>
      <c r="I7" s="184"/>
      <c r="J7" s="185"/>
      <c r="M7" s="13">
        <f t="shared" si="1"/>
        <v>-2.29</v>
      </c>
      <c r="N7" s="62"/>
      <c r="O7" s="29"/>
      <c r="P7" s="29"/>
      <c r="V7" s="14">
        <f t="shared" si="8"/>
        <v>52</v>
      </c>
      <c r="W7" s="3">
        <f t="shared" si="9"/>
        <v>2.0052877374808782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12.536618712880973</v>
      </c>
      <c r="AC7" s="10">
        <f t="shared" si="4"/>
        <v>12.536618712880973</v>
      </c>
      <c r="AE7" s="12">
        <f t="shared" si="5"/>
        <v>10</v>
      </c>
      <c r="AF7" s="10">
        <f t="shared" si="6"/>
        <v>4.4466194506957137</v>
      </c>
      <c r="AG7" s="10">
        <f t="shared" si="7"/>
        <v>12.536618712880973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13.7</v>
      </c>
      <c r="E8" s="194"/>
      <c r="F8" s="195" t="s">
        <v>14</v>
      </c>
      <c r="G8" s="198">
        <f>F77</f>
        <v>24.500000000000004</v>
      </c>
      <c r="H8" s="191">
        <f>입력표!C40</f>
        <v>52</v>
      </c>
      <c r="I8" s="191"/>
      <c r="J8" s="183"/>
      <c r="K8" s="387">
        <f>입력표!M50</f>
        <v>10.8</v>
      </c>
      <c r="L8" s="371">
        <f>G10-K11</f>
        <v>0.15101707718081059</v>
      </c>
      <c r="M8" s="13">
        <f t="shared" si="1"/>
        <v>-7.05</v>
      </c>
      <c r="N8" s="62"/>
      <c r="O8" s="29"/>
      <c r="P8" s="29"/>
      <c r="V8" s="14">
        <f t="shared" si="8"/>
        <v>52</v>
      </c>
      <c r="W8" s="3">
        <f t="shared" si="9"/>
        <v>2.0052877374808782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13.118018090970464</v>
      </c>
      <c r="AC8" s="10">
        <f t="shared" si="4"/>
        <v>13.118018090970464</v>
      </c>
      <c r="AE8" s="12">
        <f t="shared" si="5"/>
        <v>15</v>
      </c>
      <c r="AF8" s="10">
        <f t="shared" si="6"/>
        <v>5.0280188287852052</v>
      </c>
      <c r="AG8" s="10">
        <f t="shared" si="7"/>
        <v>13.118018090970464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32" t="s">
        <v>161</v>
      </c>
      <c r="E9" s="532"/>
      <c r="F9" s="180" t="s">
        <v>162</v>
      </c>
      <c r="G9" s="180" t="s">
        <v>163</v>
      </c>
      <c r="H9" s="386"/>
      <c r="I9" s="386"/>
      <c r="J9" s="386"/>
      <c r="K9" s="9">
        <f>G8-D8</f>
        <v>10.800000000000004</v>
      </c>
      <c r="M9" s="13">
        <f t="shared" si="1"/>
        <v>-12.21</v>
      </c>
      <c r="N9" s="62"/>
      <c r="O9" s="29"/>
      <c r="P9" s="29"/>
      <c r="V9" s="14">
        <f t="shared" si="8"/>
        <v>52</v>
      </c>
      <c r="W9" s="3">
        <f t="shared" si="9"/>
        <v>2.0052877374808782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13.530527514509673</v>
      </c>
      <c r="AC9" s="10">
        <f t="shared" si="4"/>
        <v>13.530527514509673</v>
      </c>
      <c r="AE9" s="12">
        <f t="shared" si="5"/>
        <v>20</v>
      </c>
      <c r="AF9" s="10">
        <f t="shared" si="6"/>
        <v>5.4405282523244143</v>
      </c>
      <c r="AG9" s="10">
        <f t="shared" si="7"/>
        <v>13.530527514509673</v>
      </c>
    </row>
    <row r="10" spans="1:38" s="3" customFormat="1" ht="21" customHeight="1" x14ac:dyDescent="0.15">
      <c r="A10" s="54">
        <v>1</v>
      </c>
      <c r="B10" s="61">
        <f>입력표!C26</f>
        <v>52</v>
      </c>
      <c r="C10" s="55">
        <v>44291.402777777781</v>
      </c>
      <c r="D10" s="181">
        <v>1</v>
      </c>
      <c r="E10" s="249">
        <f>D10/1440</f>
        <v>6.9444444444444447E-4</v>
      </c>
      <c r="F10" s="182">
        <f>G10+D$8</f>
        <v>14.844925878809509</v>
      </c>
      <c r="G10" s="277">
        <f>AF2</f>
        <v>1.1449258788095094</v>
      </c>
      <c r="H10" s="385"/>
      <c r="I10" s="385"/>
      <c r="J10" s="385"/>
      <c r="K10" s="263">
        <f>K8-K9</f>
        <v>0</v>
      </c>
      <c r="L10" s="9">
        <f>K10+Q17</f>
        <v>0</v>
      </c>
      <c r="M10" s="13">
        <f t="shared" si="1"/>
        <v>-17.54</v>
      </c>
      <c r="N10" s="62"/>
      <c r="O10" s="29"/>
      <c r="P10" s="29"/>
      <c r="V10" s="14">
        <f t="shared" si="8"/>
        <v>52</v>
      </c>
      <c r="W10" s="3">
        <f t="shared" si="9"/>
        <v>2.0052877374808782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13.850494681509781</v>
      </c>
      <c r="AC10" s="10">
        <f t="shared" si="4"/>
        <v>13.850494681509781</v>
      </c>
      <c r="AE10" s="12">
        <f t="shared" si="5"/>
        <v>25</v>
      </c>
      <c r="AF10" s="10">
        <f t="shared" si="6"/>
        <v>5.7604954193245224</v>
      </c>
      <c r="AG10" s="10">
        <f t="shared" si="7"/>
        <v>13.850494681509781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15.838834680438207</v>
      </c>
      <c r="G11" s="182">
        <f>AF3</f>
        <v>2.1388346804382081</v>
      </c>
      <c r="H11" s="385"/>
      <c r="I11" s="385"/>
      <c r="J11" s="385"/>
      <c r="K11" s="63">
        <f>G11-G10</f>
        <v>0.99390880162869877</v>
      </c>
      <c r="L11" s="9" t="s">
        <v>18</v>
      </c>
      <c r="N11" s="62"/>
      <c r="O11" s="29"/>
      <c r="V11" s="14">
        <f t="shared" si="8"/>
        <v>52</v>
      </c>
      <c r="W11" s="3">
        <f t="shared" si="9"/>
        <v>2.0052877374808782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14.111926892599161</v>
      </c>
      <c r="AC11" s="10">
        <f t="shared" si="4"/>
        <v>14.111926892599161</v>
      </c>
      <c r="AE11" s="12">
        <f t="shared" si="5"/>
        <v>30</v>
      </c>
      <c r="AF11" s="10">
        <f t="shared" si="6"/>
        <v>6.0219276304139022</v>
      </c>
      <c r="AG11" s="10">
        <f t="shared" si="7"/>
        <v>14.111926892599161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16.420234058527697</v>
      </c>
      <c r="G12" s="182">
        <f t="shared" ref="G12:G74" si="15">AF4</f>
        <v>2.7202340585276996</v>
      </c>
      <c r="H12" s="385"/>
      <c r="I12" s="385"/>
      <c r="J12" s="385"/>
      <c r="K12" s="63">
        <f t="shared" ref="K12:K47" si="16">G12-G11</f>
        <v>0.58139937808949149</v>
      </c>
      <c r="L12" s="9" t="s">
        <v>18</v>
      </c>
      <c r="N12" s="62"/>
      <c r="O12" s="29"/>
      <c r="V12" s="14">
        <f t="shared" si="8"/>
        <v>52</v>
      </c>
      <c r="W12" s="3">
        <f t="shared" si="9"/>
        <v>2.0052877374808782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14.332964677580978</v>
      </c>
      <c r="AC12" s="10">
        <f t="shared" si="4"/>
        <v>14.332964677580978</v>
      </c>
      <c r="AE12" s="12">
        <f t="shared" si="5"/>
        <v>35</v>
      </c>
      <c r="AF12" s="10">
        <f t="shared" si="6"/>
        <v>6.2429654153957195</v>
      </c>
      <c r="AG12" s="10">
        <f t="shared" si="7"/>
        <v>14.332964677580978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16.832743482066906</v>
      </c>
      <c r="G13" s="182">
        <f t="shared" si="15"/>
        <v>3.1327434820669069</v>
      </c>
      <c r="H13" s="385"/>
      <c r="I13" s="385"/>
      <c r="J13" s="385"/>
      <c r="K13" s="63">
        <f t="shared" si="16"/>
        <v>0.41250942353920728</v>
      </c>
      <c r="L13" s="9" t="s">
        <v>18</v>
      </c>
      <c r="N13" s="62"/>
      <c r="O13" s="29"/>
      <c r="V13" s="14">
        <f t="shared" si="8"/>
        <v>52</v>
      </c>
      <c r="W13" s="3">
        <f t="shared" si="9"/>
        <v>2.0052877374808782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14.524436316138372</v>
      </c>
      <c r="AC13" s="10">
        <f t="shared" si="4"/>
        <v>14.524436316138372</v>
      </c>
      <c r="AE13" s="12">
        <f t="shared" si="5"/>
        <v>40</v>
      </c>
      <c r="AF13" s="10">
        <f t="shared" si="6"/>
        <v>6.4344370539531131</v>
      </c>
      <c r="AG13" s="10">
        <f t="shared" si="7"/>
        <v>14.524436316138372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17.152710649067014</v>
      </c>
      <c r="G14" s="182">
        <f t="shared" si="15"/>
        <v>3.452710649067015</v>
      </c>
      <c r="H14" s="385"/>
      <c r="I14" s="385"/>
      <c r="J14" s="385"/>
      <c r="K14" s="63">
        <f t="shared" si="16"/>
        <v>0.31996716700010808</v>
      </c>
      <c r="L14" s="9" t="s">
        <v>18</v>
      </c>
      <c r="N14" s="62"/>
      <c r="O14" s="29"/>
      <c r="V14" s="14">
        <f t="shared" si="8"/>
        <v>52</v>
      </c>
      <c r="W14" s="3">
        <f t="shared" si="9"/>
        <v>2.0052877374808782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14.693326270688653</v>
      </c>
      <c r="AC14" s="10">
        <f t="shared" si="4"/>
        <v>14.693326270688653</v>
      </c>
      <c r="AE14" s="12">
        <f t="shared" si="5"/>
        <v>45</v>
      </c>
      <c r="AF14" s="10">
        <f t="shared" si="6"/>
        <v>6.6033270085033937</v>
      </c>
      <c r="AG14" s="10">
        <f t="shared" si="7"/>
        <v>14.693326270688653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18.146619450695713</v>
      </c>
      <c r="G15" s="182">
        <f t="shared" si="15"/>
        <v>4.4466194506957137</v>
      </c>
      <c r="H15" s="385"/>
      <c r="I15" s="385"/>
      <c r="J15" s="385"/>
      <c r="K15" s="63">
        <f t="shared" si="16"/>
        <v>0.99390880162869877</v>
      </c>
      <c r="L15" s="9" t="s">
        <v>18</v>
      </c>
      <c r="N15" s="68"/>
      <c r="O15" s="369"/>
      <c r="V15" s="14">
        <f t="shared" si="8"/>
        <v>52</v>
      </c>
      <c r="W15" s="3">
        <f t="shared" si="9"/>
        <v>2.0052877374808782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14.84440348313848</v>
      </c>
      <c r="AC15" s="10">
        <f t="shared" si="4"/>
        <v>14.84440348313848</v>
      </c>
      <c r="AE15" s="12">
        <f t="shared" si="5"/>
        <v>50</v>
      </c>
      <c r="AF15" s="10">
        <f t="shared" si="6"/>
        <v>6.7544042209532211</v>
      </c>
      <c r="AG15" s="10">
        <f t="shared" si="7"/>
        <v>14.84440348313848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18.728018828785203</v>
      </c>
      <c r="G16" s="182">
        <f t="shared" si="15"/>
        <v>5.0280188287852052</v>
      </c>
      <c r="H16" s="385"/>
      <c r="I16" s="385"/>
      <c r="J16" s="385"/>
      <c r="K16" s="63">
        <f t="shared" si="16"/>
        <v>0.58139937808949149</v>
      </c>
      <c r="L16" s="65"/>
      <c r="N16" s="66"/>
      <c r="O16" s="15"/>
      <c r="Q16" s="13"/>
      <c r="V16" s="14">
        <f t="shared" si="8"/>
        <v>52</v>
      </c>
      <c r="W16" s="3">
        <f t="shared" si="9"/>
        <v>2.0052877374808782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14.981069445648499</v>
      </c>
      <c r="AC16" s="10">
        <f t="shared" si="4"/>
        <v>14.981069445648499</v>
      </c>
      <c r="AE16" s="12">
        <f t="shared" si="5"/>
        <v>55</v>
      </c>
      <c r="AF16" s="10">
        <f t="shared" si="6"/>
        <v>6.85966018346324</v>
      </c>
      <c r="AG16" s="10">
        <f t="shared" si="7"/>
        <v>14.981069445648499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19.140528252324415</v>
      </c>
      <c r="G17" s="182">
        <f t="shared" si="15"/>
        <v>5.4405282523244143</v>
      </c>
      <c r="H17" s="385"/>
      <c r="I17" s="385"/>
      <c r="J17" s="385"/>
      <c r="K17" s="63">
        <f t="shared" si="16"/>
        <v>0.41250942353920905</v>
      </c>
      <c r="L17" s="29">
        <f>D10</f>
        <v>1</v>
      </c>
      <c r="M17" s="3">
        <f>INT(B10/1440*10000)/10000</f>
        <v>3.61E-2</v>
      </c>
      <c r="N17" s="3">
        <f>L17*M17</f>
        <v>3.61E-2</v>
      </c>
      <c r="O17" s="3">
        <f>INT((D7/2/1000)^2*PI()*100000)/100000</f>
        <v>3.141E-2</v>
      </c>
      <c r="P17" s="3">
        <f>INT(N17/O17*100)/100</f>
        <v>1.1399999999999999</v>
      </c>
      <c r="Q17" s="13">
        <f>INT((G10-P17)*100)/100</f>
        <v>0</v>
      </c>
      <c r="V17" s="14">
        <f t="shared" si="8"/>
        <v>52</v>
      </c>
      <c r="W17" s="3">
        <f t="shared" si="9"/>
        <v>2.0052877374808782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15.10583569422786</v>
      </c>
      <c r="AC17" s="10">
        <f t="shared" si="4"/>
        <v>15.10583569422786</v>
      </c>
      <c r="AE17" s="12">
        <f t="shared" si="5"/>
        <v>60</v>
      </c>
      <c r="AF17" s="10">
        <f t="shared" ref="AF17:AF48" si="17">AC17-$P$3</f>
        <v>7.015836432042601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19.460495419324523</v>
      </c>
      <c r="G18" s="182">
        <f t="shared" si="15"/>
        <v>5.7604954193245224</v>
      </c>
      <c r="H18" s="385"/>
      <c r="I18" s="385"/>
      <c r="J18" s="385"/>
      <c r="K18" s="63">
        <f t="shared" si="16"/>
        <v>0.31996716700010808</v>
      </c>
      <c r="L18" s="29">
        <f t="shared" ref="L18:L31" si="18">D11</f>
        <v>2</v>
      </c>
      <c r="M18" s="3">
        <f>M17</f>
        <v>3.61E-2</v>
      </c>
      <c r="N18" s="3">
        <f t="shared" ref="N18:N27" si="19">L18*M18</f>
        <v>7.22E-2</v>
      </c>
      <c r="O18" s="3">
        <f>O17</f>
        <v>3.141E-2</v>
      </c>
      <c r="P18" s="3">
        <f>INT(N18/O18*100)/100</f>
        <v>2.29</v>
      </c>
      <c r="Q18" s="13">
        <f t="shared" ref="Q18:Q27" si="20">INT((G11-P18)*100)/100</f>
        <v>-0.16</v>
      </c>
      <c r="V18" s="14">
        <f t="shared" si="8"/>
        <v>52</v>
      </c>
      <c r="W18" s="3">
        <f t="shared" si="9"/>
        <v>2.0052877374808782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15.425802861227972</v>
      </c>
      <c r="AC18" s="10">
        <f t="shared" si="4"/>
        <v>15.425802861227972</v>
      </c>
      <c r="AE18" s="12">
        <f t="shared" si="5"/>
        <v>75</v>
      </c>
      <c r="AF18" s="10">
        <f t="shared" si="17"/>
        <v>7.3358035990427126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19.721927630413902</v>
      </c>
      <c r="G19" s="182">
        <f t="shared" si="15"/>
        <v>6.0219276304139022</v>
      </c>
      <c r="H19" s="385"/>
      <c r="I19" s="385"/>
      <c r="J19" s="385"/>
      <c r="K19" s="63">
        <f t="shared" si="16"/>
        <v>0.26143221108937986</v>
      </c>
      <c r="L19" s="29">
        <f t="shared" si="18"/>
        <v>3</v>
      </c>
      <c r="M19" s="3">
        <f>M18</f>
        <v>3.61E-2</v>
      </c>
      <c r="N19" s="3">
        <f t="shared" si="19"/>
        <v>0.10830000000000001</v>
      </c>
      <c r="O19" s="3">
        <f t="shared" ref="O19:O31" si="21">O18</f>
        <v>3.141E-2</v>
      </c>
      <c r="P19" s="3">
        <f>INT(N19/O19*100)/100</f>
        <v>3.44</v>
      </c>
      <c r="Q19" s="13">
        <f t="shared" si="20"/>
        <v>-0.72</v>
      </c>
      <c r="V19" s="14">
        <f t="shared" si="8"/>
        <v>52</v>
      </c>
      <c r="W19" s="3">
        <f t="shared" si="9"/>
        <v>2.0052877374808782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15.687235072317351</v>
      </c>
      <c r="AC19" s="10">
        <f t="shared" si="4"/>
        <v>15.687235072317351</v>
      </c>
      <c r="AE19" s="12">
        <f t="shared" si="5"/>
        <v>90</v>
      </c>
      <c r="AF19" s="10">
        <f t="shared" si="17"/>
        <v>7.5972358101320925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19.942965415395719</v>
      </c>
      <c r="G20" s="182">
        <f t="shared" si="15"/>
        <v>6.2429654153957195</v>
      </c>
      <c r="H20" s="385"/>
      <c r="I20" s="385"/>
      <c r="J20" s="385"/>
      <c r="K20" s="63">
        <f t="shared" si="16"/>
        <v>0.22103778498181725</v>
      </c>
      <c r="L20" s="29">
        <f t="shared" si="18"/>
        <v>4</v>
      </c>
      <c r="M20" s="3">
        <f>M19</f>
        <v>3.61E-2</v>
      </c>
      <c r="N20" s="3">
        <f t="shared" si="19"/>
        <v>0.1444</v>
      </c>
      <c r="O20" s="3">
        <f>O19</f>
        <v>3.141E-2</v>
      </c>
      <c r="P20" s="3">
        <f>INT(N20/O20*100)/100</f>
        <v>4.59</v>
      </c>
      <c r="Q20" s="13">
        <f t="shared" si="20"/>
        <v>-1.46</v>
      </c>
      <c r="V20" s="14">
        <f t="shared" si="8"/>
        <v>52</v>
      </c>
      <c r="W20" s="3">
        <f t="shared" si="9"/>
        <v>2.0052877374808782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15.908272857299169</v>
      </c>
      <c r="AC20" s="10">
        <f t="shared" si="4"/>
        <v>15.908272857299169</v>
      </c>
      <c r="AE20" s="12">
        <f t="shared" si="5"/>
        <v>105</v>
      </c>
      <c r="AF20" s="10">
        <f t="shared" si="17"/>
        <v>7.8182735951139097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20.134437053953114</v>
      </c>
      <c r="G21" s="182">
        <f t="shared" si="15"/>
        <v>6.4344370539531131</v>
      </c>
      <c r="H21" s="385"/>
      <c r="I21" s="385"/>
      <c r="J21" s="385"/>
      <c r="K21" s="63">
        <f t="shared" si="16"/>
        <v>0.19147163855739358</v>
      </c>
      <c r="L21" s="29">
        <f t="shared" si="18"/>
        <v>5</v>
      </c>
      <c r="M21" s="3">
        <f>M20</f>
        <v>3.61E-2</v>
      </c>
      <c r="N21" s="3">
        <f t="shared" si="19"/>
        <v>0.18049999999999999</v>
      </c>
      <c r="O21" s="3">
        <f t="shared" si="21"/>
        <v>3.141E-2</v>
      </c>
      <c r="P21" s="3">
        <f>INT(N21/O21*100)/100</f>
        <v>5.74</v>
      </c>
      <c r="Q21" s="13">
        <f t="shared" si="20"/>
        <v>-2.29</v>
      </c>
      <c r="V21" s="14">
        <f t="shared" si="8"/>
        <v>52</v>
      </c>
      <c r="W21" s="3">
        <f t="shared" si="9"/>
        <v>2.0052877374808782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16.099744495856559</v>
      </c>
      <c r="AC21" s="10">
        <f t="shared" si="4"/>
        <v>16.099744495856559</v>
      </c>
      <c r="AE21" s="12">
        <f t="shared" si="5"/>
        <v>120</v>
      </c>
      <c r="AF21" s="10">
        <f t="shared" si="17"/>
        <v>8.0097452336712998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20.303327008503395</v>
      </c>
      <c r="G22" s="182">
        <f t="shared" si="15"/>
        <v>6.6033270085033937</v>
      </c>
      <c r="H22" s="385"/>
      <c r="I22" s="385"/>
      <c r="J22" s="385"/>
      <c r="K22" s="63">
        <f t="shared" si="16"/>
        <v>0.16888995455028066</v>
      </c>
      <c r="L22" s="29">
        <f t="shared" si="18"/>
        <v>10</v>
      </c>
      <c r="M22" s="3">
        <f t="shared" ref="M22:M31" si="22">M21</f>
        <v>3.61E-2</v>
      </c>
      <c r="N22" s="3">
        <f t="shared" si="19"/>
        <v>0.36099999999999999</v>
      </c>
      <c r="O22" s="3">
        <f t="shared" si="21"/>
        <v>3.141E-2</v>
      </c>
      <c r="P22" s="3">
        <f t="shared" ref="P22:P27" si="23">INT(N22/O22*100)/100</f>
        <v>11.49</v>
      </c>
      <c r="Q22" s="13">
        <f t="shared" si="20"/>
        <v>-7.05</v>
      </c>
      <c r="V22" s="14">
        <f t="shared" si="8"/>
        <v>52</v>
      </c>
      <c r="W22" s="3">
        <f t="shared" si="9"/>
        <v>2.0052877374808782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16.320782280838376</v>
      </c>
      <c r="AC22" s="10">
        <f t="shared" si="4"/>
        <v>16.320782280838376</v>
      </c>
      <c r="AE22" s="12">
        <f t="shared" si="5"/>
        <v>140</v>
      </c>
      <c r="AF22" s="10">
        <f t="shared" si="17"/>
        <v>8.230783018653117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20.454404220953222</v>
      </c>
      <c r="G23" s="182">
        <f t="shared" si="15"/>
        <v>6.7544042209532211</v>
      </c>
      <c r="H23" s="385"/>
      <c r="I23" s="385"/>
      <c r="J23" s="385"/>
      <c r="K23" s="63">
        <f t="shared" si="16"/>
        <v>0.15107721244982741</v>
      </c>
      <c r="L23" s="29">
        <f t="shared" si="18"/>
        <v>15</v>
      </c>
      <c r="M23" s="3">
        <f t="shared" si="22"/>
        <v>3.61E-2</v>
      </c>
      <c r="N23" s="3">
        <f t="shared" si="19"/>
        <v>0.54149999999999998</v>
      </c>
      <c r="O23" s="3">
        <f t="shared" si="21"/>
        <v>3.141E-2</v>
      </c>
      <c r="P23" s="3">
        <f t="shared" si="23"/>
        <v>17.23</v>
      </c>
      <c r="Q23" s="13">
        <f t="shared" si="20"/>
        <v>-12.21</v>
      </c>
      <c r="V23" s="14">
        <f t="shared" si="8"/>
        <v>52</v>
      </c>
      <c r="W23" s="3">
        <f t="shared" si="9"/>
        <v>2.0052877374808782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16.512253919395768</v>
      </c>
      <c r="AC23" s="10">
        <f t="shared" si="4"/>
        <v>16.512253919395768</v>
      </c>
      <c r="AE23" s="12">
        <f t="shared" si="5"/>
        <v>160</v>
      </c>
      <c r="AF23" s="10">
        <f t="shared" si="17"/>
        <v>8.4222546572105088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20.55966018346324</v>
      </c>
      <c r="G24" s="182">
        <f t="shared" si="15"/>
        <v>6.85966018346324</v>
      </c>
      <c r="H24" s="385"/>
      <c r="I24" s="385"/>
      <c r="J24" s="385"/>
      <c r="K24" s="63">
        <f t="shared" si="16"/>
        <v>0.1052559625100189</v>
      </c>
      <c r="L24" s="29">
        <f t="shared" si="18"/>
        <v>20</v>
      </c>
      <c r="M24" s="3">
        <f t="shared" si="22"/>
        <v>3.61E-2</v>
      </c>
      <c r="N24" s="3">
        <f t="shared" si="19"/>
        <v>0.72199999999999998</v>
      </c>
      <c r="O24" s="3">
        <f t="shared" si="21"/>
        <v>3.141E-2</v>
      </c>
      <c r="P24" s="3">
        <f t="shared" si="23"/>
        <v>22.98</v>
      </c>
      <c r="Q24" s="13">
        <f t="shared" si="20"/>
        <v>-17.54</v>
      </c>
      <c r="V24" s="14">
        <f t="shared" si="8"/>
        <v>52</v>
      </c>
      <c r="W24" s="3">
        <f t="shared" si="9"/>
        <v>2.0052877374808782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16.681143873946052</v>
      </c>
      <c r="AC24" s="10">
        <f t="shared" si="4"/>
        <v>16.681143873946052</v>
      </c>
      <c r="AE24" s="12">
        <f t="shared" si="5"/>
        <v>180</v>
      </c>
      <c r="AF24" s="10">
        <f t="shared" si="17"/>
        <v>8.591144611760793</v>
      </c>
    </row>
    <row r="25" spans="1:32" s="3" customFormat="1" ht="21" customHeight="1" x14ac:dyDescent="0.15">
      <c r="A25" s="54"/>
      <c r="B25" s="54"/>
      <c r="C25" s="55">
        <f>$C$10+D25/1440</f>
        <v>44291.444444444445</v>
      </c>
      <c r="D25" s="181">
        <v>60</v>
      </c>
      <c r="E25" s="249">
        <f t="shared" si="13"/>
        <v>4.1666666666666664E-2</v>
      </c>
      <c r="F25" s="182">
        <f t="shared" si="14"/>
        <v>20.7158364320426</v>
      </c>
      <c r="G25" s="182">
        <f t="shared" si="15"/>
        <v>7.015836432042601</v>
      </c>
      <c r="H25" s="385"/>
      <c r="I25" s="385"/>
      <c r="J25" s="385"/>
      <c r="K25" s="63">
        <f t="shared" si="16"/>
        <v>0.15617624857936097</v>
      </c>
      <c r="L25" s="29">
        <f t="shared" si="18"/>
        <v>25</v>
      </c>
      <c r="M25" s="3">
        <f t="shared" si="22"/>
        <v>3.61E-2</v>
      </c>
      <c r="N25" s="3">
        <f t="shared" si="19"/>
        <v>0.90249999999999997</v>
      </c>
      <c r="O25" s="3">
        <f t="shared" si="21"/>
        <v>3.141E-2</v>
      </c>
      <c r="P25" s="3">
        <f t="shared" si="23"/>
        <v>28.73</v>
      </c>
      <c r="Q25" s="13">
        <f t="shared" si="20"/>
        <v>-22.97</v>
      </c>
      <c r="V25" s="14">
        <f t="shared" si="8"/>
        <v>52</v>
      </c>
      <c r="W25" s="3">
        <f t="shared" si="9"/>
        <v>2.0052877374808782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17.093653297485258</v>
      </c>
      <c r="AC25" s="10">
        <f t="shared" si="4"/>
        <v>17.093653297485258</v>
      </c>
      <c r="AE25" s="12">
        <f t="shared" si="5"/>
        <v>240</v>
      </c>
      <c r="AF25" s="10">
        <f t="shared" si="17"/>
        <v>9.0036540352999985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21.035803599042712</v>
      </c>
      <c r="G26" s="182">
        <f t="shared" si="15"/>
        <v>7.3358035990427126</v>
      </c>
      <c r="H26" s="385"/>
      <c r="I26" s="385"/>
      <c r="J26" s="385"/>
      <c r="K26" s="63">
        <f t="shared" si="16"/>
        <v>0.31996716700011163</v>
      </c>
      <c r="L26" s="29">
        <f t="shared" si="18"/>
        <v>30</v>
      </c>
      <c r="M26" s="3">
        <f t="shared" si="22"/>
        <v>3.61E-2</v>
      </c>
      <c r="N26" s="3">
        <f t="shared" si="19"/>
        <v>1.083</v>
      </c>
      <c r="O26" s="3">
        <f t="shared" si="21"/>
        <v>3.141E-2</v>
      </c>
      <c r="P26" s="3">
        <f t="shared" si="23"/>
        <v>34.47</v>
      </c>
      <c r="Q26" s="13">
        <f t="shared" si="20"/>
        <v>-28.45</v>
      </c>
      <c r="V26" s="14">
        <f t="shared" si="8"/>
        <v>52</v>
      </c>
      <c r="W26" s="3">
        <f t="shared" si="9"/>
        <v>2.0052877374808782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17.413620464485366</v>
      </c>
      <c r="AC26" s="10">
        <f t="shared" si="4"/>
        <v>17.413620464485366</v>
      </c>
      <c r="AE26" s="12">
        <f t="shared" si="5"/>
        <v>300</v>
      </c>
      <c r="AF26" s="10">
        <f t="shared" si="17"/>
        <v>9.3236212023001066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21.297235810132094</v>
      </c>
      <c r="G27" s="182">
        <f t="shared" si="15"/>
        <v>7.5972358101320925</v>
      </c>
      <c r="H27" s="385"/>
      <c r="I27" s="385"/>
      <c r="J27" s="385"/>
      <c r="K27" s="63">
        <f t="shared" si="16"/>
        <v>0.26143221108937986</v>
      </c>
      <c r="L27" s="29">
        <f t="shared" si="18"/>
        <v>35</v>
      </c>
      <c r="M27" s="3">
        <f t="shared" si="22"/>
        <v>3.61E-2</v>
      </c>
      <c r="N27" s="3">
        <f t="shared" si="19"/>
        <v>1.2635000000000001</v>
      </c>
      <c r="O27" s="3">
        <f t="shared" si="21"/>
        <v>3.141E-2</v>
      </c>
      <c r="P27" s="3">
        <f t="shared" si="23"/>
        <v>40.22</v>
      </c>
      <c r="Q27" s="13">
        <f t="shared" si="20"/>
        <v>-33.979999999999997</v>
      </c>
      <c r="V27" s="14">
        <f t="shared" si="8"/>
        <v>52</v>
      </c>
      <c r="W27" s="3">
        <f t="shared" si="9"/>
        <v>2.0052877374808782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17.675052675574751</v>
      </c>
      <c r="AC27" s="10">
        <f t="shared" si="4"/>
        <v>17.675052675574751</v>
      </c>
      <c r="AE27" s="12">
        <f t="shared" si="5"/>
        <v>360</v>
      </c>
      <c r="AF27" s="10">
        <f t="shared" si="17"/>
        <v>9.5850534133894918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21.518273595113911</v>
      </c>
      <c r="G28" s="182">
        <f t="shared" si="15"/>
        <v>7.8182735951139097</v>
      </c>
      <c r="H28" s="385"/>
      <c r="I28" s="385"/>
      <c r="J28" s="385"/>
      <c r="K28" s="63">
        <f t="shared" si="16"/>
        <v>0.22103778498181725</v>
      </c>
      <c r="L28" s="29">
        <f t="shared" si="18"/>
        <v>40</v>
      </c>
      <c r="M28" s="3">
        <f t="shared" si="22"/>
        <v>3.61E-2</v>
      </c>
      <c r="N28" s="3">
        <f>L28*M28</f>
        <v>1.444</v>
      </c>
      <c r="O28" s="3">
        <f t="shared" si="21"/>
        <v>3.141E-2</v>
      </c>
      <c r="P28" s="3">
        <f>INT(N28/O28*100)/100</f>
        <v>45.97</v>
      </c>
      <c r="Q28" s="13">
        <f>INT((G21-P28)*100)/100</f>
        <v>-39.54</v>
      </c>
      <c r="V28" s="14">
        <f t="shared" si="8"/>
        <v>52</v>
      </c>
      <c r="W28" s="3">
        <f t="shared" si="9"/>
        <v>2.0052877374808782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17.896090460556564</v>
      </c>
      <c r="AC28" s="10">
        <f t="shared" si="4"/>
        <v>17.896090460556564</v>
      </c>
      <c r="AE28" s="12">
        <f t="shared" si="5"/>
        <v>420</v>
      </c>
      <c r="AF28" s="10">
        <f t="shared" si="17"/>
        <v>9.8060911983713055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21.709745233671299</v>
      </c>
      <c r="G29" s="182">
        <f t="shared" si="15"/>
        <v>8.0097452336712998</v>
      </c>
      <c r="H29" s="385"/>
      <c r="I29" s="385"/>
      <c r="J29" s="385"/>
      <c r="K29" s="63">
        <f t="shared" si="16"/>
        <v>0.19147163855739002</v>
      </c>
      <c r="L29" s="29">
        <f t="shared" si="18"/>
        <v>45</v>
      </c>
      <c r="M29" s="3">
        <f t="shared" si="22"/>
        <v>3.61E-2</v>
      </c>
      <c r="N29" s="3">
        <f>L29*M29</f>
        <v>1.6245000000000001</v>
      </c>
      <c r="O29" s="3">
        <f t="shared" si="21"/>
        <v>3.141E-2</v>
      </c>
      <c r="P29" s="3">
        <f>INT(N29/O29*100)/100</f>
        <v>51.71</v>
      </c>
      <c r="Q29" s="13">
        <f>INT((G22-P29)*100)/100</f>
        <v>-45.11</v>
      </c>
      <c r="V29" s="14">
        <f t="shared" si="8"/>
        <v>52</v>
      </c>
      <c r="W29" s="3">
        <f t="shared" si="9"/>
        <v>2.0052877374808782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18.087562099113956</v>
      </c>
      <c r="AC29" s="10">
        <f t="shared" si="4"/>
        <v>18.087562099113956</v>
      </c>
      <c r="AE29" s="12">
        <f t="shared" si="5"/>
        <v>480</v>
      </c>
      <c r="AF29" s="10">
        <f t="shared" si="17"/>
        <v>9.9975628369286973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21.930783018653116</v>
      </c>
      <c r="G30" s="182">
        <f t="shared" si="15"/>
        <v>8.230783018653117</v>
      </c>
      <c r="H30" s="385"/>
      <c r="I30" s="385"/>
      <c r="J30" s="385"/>
      <c r="K30" s="63">
        <f t="shared" si="16"/>
        <v>0.22103778498181725</v>
      </c>
      <c r="L30" s="29">
        <f t="shared" si="18"/>
        <v>50</v>
      </c>
      <c r="M30" s="3">
        <f t="shared" si="22"/>
        <v>3.61E-2</v>
      </c>
      <c r="N30" s="3">
        <f>L30*M30</f>
        <v>1.8049999999999999</v>
      </c>
      <c r="O30" s="3">
        <f t="shared" si="21"/>
        <v>3.141E-2</v>
      </c>
      <c r="P30" s="3">
        <f>INT(N30/O30*100)/100</f>
        <v>57.46</v>
      </c>
      <c r="Q30" s="13">
        <f>INT((G23-P30)*100)/100</f>
        <v>-50.71</v>
      </c>
      <c r="V30" s="14">
        <f t="shared" si="8"/>
        <v>52</v>
      </c>
      <c r="W30" s="3">
        <f t="shared" si="9"/>
        <v>2.0052877374808782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18.256452053664241</v>
      </c>
      <c r="AC30" s="10">
        <f t="shared" si="4"/>
        <v>18.256452053664241</v>
      </c>
      <c r="AE30" s="12">
        <f t="shared" si="5"/>
        <v>540</v>
      </c>
      <c r="AF30" s="10">
        <f t="shared" si="17"/>
        <v>10.166452791478982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22.122254657210508</v>
      </c>
      <c r="G31" s="182">
        <f t="shared" si="15"/>
        <v>8.4222546572105088</v>
      </c>
      <c r="H31" s="385"/>
      <c r="I31" s="385"/>
      <c r="J31" s="385"/>
      <c r="K31" s="63">
        <f t="shared" si="16"/>
        <v>0.1914716385573918</v>
      </c>
      <c r="L31" s="29">
        <f t="shared" si="18"/>
        <v>55</v>
      </c>
      <c r="M31" s="3">
        <f t="shared" si="22"/>
        <v>3.61E-2</v>
      </c>
      <c r="N31" s="3">
        <f>L31*M31</f>
        <v>1.9855</v>
      </c>
      <c r="O31" s="3">
        <f t="shared" si="21"/>
        <v>3.141E-2</v>
      </c>
      <c r="P31" s="3">
        <f>INT(N31/O31*100)/100</f>
        <v>63.21</v>
      </c>
      <c r="Q31" s="13">
        <f>INT((G24-P31)*100)/100</f>
        <v>-56.36</v>
      </c>
      <c r="V31" s="14">
        <f t="shared" si="8"/>
        <v>52</v>
      </c>
      <c r="W31" s="3">
        <f t="shared" si="9"/>
        <v>2.0052877374808782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18.407529266114064</v>
      </c>
      <c r="AC31" s="10">
        <f t="shared" si="4"/>
        <v>18.407529266114064</v>
      </c>
      <c r="AE31" s="12">
        <f t="shared" si="5"/>
        <v>600</v>
      </c>
      <c r="AF31" s="10">
        <f t="shared" si="17"/>
        <v>10.317530003928805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22.291144611760792</v>
      </c>
      <c r="G32" s="182">
        <f t="shared" si="15"/>
        <v>8.591144611760793</v>
      </c>
      <c r="H32" s="385"/>
      <c r="I32" s="385"/>
      <c r="J32" s="385"/>
      <c r="K32" s="63">
        <f t="shared" si="16"/>
        <v>0.16888995455028422</v>
      </c>
      <c r="L32" s="65" t="s">
        <v>18</v>
      </c>
      <c r="O32" s="67"/>
      <c r="V32" s="14">
        <f t="shared" si="8"/>
        <v>52</v>
      </c>
      <c r="W32" s="3">
        <f t="shared" si="9"/>
        <v>2.0052877374808782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18.544195228624087</v>
      </c>
      <c r="AC32" s="10">
        <f t="shared" si="4"/>
        <v>18.544195228624087</v>
      </c>
      <c r="AE32" s="12">
        <f t="shared" si="5"/>
        <v>660</v>
      </c>
      <c r="AF32" s="10">
        <f t="shared" si="17"/>
        <v>10.454195966438828</v>
      </c>
    </row>
    <row r="33" spans="1:32" s="3" customFormat="1" ht="21" customHeight="1" x14ac:dyDescent="0.15">
      <c r="A33" s="54"/>
      <c r="B33" s="54"/>
      <c r="C33" s="55">
        <f>$C$10+D33/1440</f>
        <v>44291.569444444445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22.703654035299998</v>
      </c>
      <c r="G33" s="182">
        <f t="shared" si="15"/>
        <v>9.0036540352999985</v>
      </c>
      <c r="H33" s="385"/>
      <c r="I33" s="385"/>
      <c r="J33" s="385"/>
      <c r="K33" s="63">
        <f t="shared" si="16"/>
        <v>0.4125094235392055</v>
      </c>
      <c r="L33" s="9" t="s">
        <v>18</v>
      </c>
      <c r="O33" s="67"/>
      <c r="V33" s="14">
        <f t="shared" si="8"/>
        <v>52</v>
      </c>
      <c r="W33" s="3">
        <f t="shared" si="9"/>
        <v>2.0052877374808782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18.66896147720345</v>
      </c>
      <c r="AC33" s="10">
        <f t="shared" si="4"/>
        <v>18.66896147720345</v>
      </c>
      <c r="AE33" s="12">
        <f t="shared" si="5"/>
        <v>720</v>
      </c>
      <c r="AF33" s="10">
        <f t="shared" si="17"/>
        <v>10.578962215018191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23.023621202300106</v>
      </c>
      <c r="G34" s="182">
        <f t="shared" si="15"/>
        <v>9.3236212023001066</v>
      </c>
      <c r="H34" s="385"/>
      <c r="I34" s="385"/>
      <c r="J34" s="385"/>
      <c r="K34" s="63">
        <f t="shared" si="16"/>
        <v>0.31996716700010808</v>
      </c>
      <c r="L34" s="9" t="s">
        <v>18</v>
      </c>
      <c r="P34" s="67"/>
      <c r="V34" s="14">
        <f t="shared" si="8"/>
        <v>52</v>
      </c>
      <c r="W34" s="3">
        <f t="shared" si="9"/>
        <v>2.0052877374808782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18.783735299984713</v>
      </c>
      <c r="AC34" s="10">
        <f t="shared" si="4"/>
        <v>18.783735299984713</v>
      </c>
      <c r="AE34" s="12">
        <f t="shared" si="5"/>
        <v>780</v>
      </c>
      <c r="AF34" s="10">
        <f t="shared" si="17"/>
        <v>10.693736037799454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23.285053413389491</v>
      </c>
      <c r="G35" s="182">
        <f t="shared" si="15"/>
        <v>9.5850534133894918</v>
      </c>
      <c r="H35" s="385"/>
      <c r="I35" s="385"/>
      <c r="J35" s="385"/>
      <c r="K35" s="63">
        <f t="shared" si="16"/>
        <v>0.26143221108938519</v>
      </c>
      <c r="L35" s="9" t="s">
        <v>18</v>
      </c>
      <c r="O35" s="67"/>
      <c r="V35" s="14">
        <f t="shared" si="8"/>
        <v>52</v>
      </c>
      <c r="W35" s="3">
        <f t="shared" si="9"/>
        <v>2.0052877374808782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18.889999262185263</v>
      </c>
      <c r="AC35" s="10">
        <f t="shared" si="4"/>
        <v>18.889999262185263</v>
      </c>
      <c r="AE35" s="12">
        <f t="shared" si="5"/>
        <v>840</v>
      </c>
      <c r="AF35" s="10">
        <f t="shared" si="17"/>
        <v>10.800000000000004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23.506091198371305</v>
      </c>
      <c r="G36" s="182">
        <f t="shared" si="15"/>
        <v>9.8060911983713055</v>
      </c>
      <c r="H36" s="385"/>
      <c r="I36" s="385"/>
      <c r="J36" s="385"/>
      <c r="K36" s="63">
        <f t="shared" si="16"/>
        <v>0.2210377849818137</v>
      </c>
      <c r="L36" s="9" t="s">
        <v>18</v>
      </c>
      <c r="V36" s="14">
        <f t="shared" si="8"/>
        <v>52</v>
      </c>
      <c r="W36" s="3">
        <f t="shared" si="9"/>
        <v>2.0052877374808782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18.889999262185263</v>
      </c>
      <c r="AC36" s="10">
        <f t="shared" ref="AC36:AC41" si="27">AC35</f>
        <v>18.889999262185263</v>
      </c>
      <c r="AE36" s="12">
        <f t="shared" si="5"/>
        <v>900</v>
      </c>
      <c r="AF36" s="10">
        <f t="shared" si="17"/>
        <v>10.800000000000004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23.697562836928697</v>
      </c>
      <c r="G37" s="182">
        <f t="shared" si="15"/>
        <v>9.9975628369286973</v>
      </c>
      <c r="H37" s="385"/>
      <c r="I37" s="385"/>
      <c r="J37" s="385"/>
      <c r="K37" s="63">
        <f t="shared" si="16"/>
        <v>0.1914716385573918</v>
      </c>
      <c r="L37" s="9" t="s">
        <v>18</v>
      </c>
      <c r="V37" s="14">
        <f t="shared" si="8"/>
        <v>52</v>
      </c>
      <c r="W37" s="3">
        <f t="shared" si="9"/>
        <v>2.0052877374808782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18.889999262185263</v>
      </c>
      <c r="AC37" s="10">
        <f t="shared" si="27"/>
        <v>18.889999262185263</v>
      </c>
      <c r="AD37" s="3">
        <v>37</v>
      </c>
      <c r="AE37" s="12">
        <f t="shared" si="5"/>
        <v>960</v>
      </c>
      <c r="AF37" s="10">
        <f t="shared" si="17"/>
        <v>10.800000000000004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23.866452791478981</v>
      </c>
      <c r="G38" s="182">
        <f t="shared" si="15"/>
        <v>10.166452791478982</v>
      </c>
      <c r="H38" s="385"/>
      <c r="I38" s="385"/>
      <c r="J38" s="385"/>
      <c r="K38" s="63">
        <f t="shared" si="16"/>
        <v>0.16888995455028422</v>
      </c>
      <c r="L38" s="9" t="s">
        <v>18</v>
      </c>
      <c r="V38" s="14">
        <f t="shared" si="8"/>
        <v>52</v>
      </c>
      <c r="W38" s="3">
        <f t="shared" si="9"/>
        <v>2.0052877374808782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18.889999262185263</v>
      </c>
      <c r="AC38" s="10">
        <f t="shared" si="27"/>
        <v>18.889999262185263</v>
      </c>
      <c r="AD38" s="29" t="s">
        <v>28</v>
      </c>
      <c r="AE38" s="12">
        <f t="shared" si="5"/>
        <v>1020</v>
      </c>
      <c r="AF38" s="10">
        <f t="shared" si="17"/>
        <v>10.800000000000004</v>
      </c>
    </row>
    <row r="39" spans="1:32" s="3" customFormat="1" ht="21" customHeight="1" x14ac:dyDescent="0.15">
      <c r="A39" s="54"/>
      <c r="B39" s="54"/>
      <c r="C39" s="55">
        <f>$C$10+D39/1440</f>
        <v>44291.819444444445</v>
      </c>
      <c r="D39" s="181">
        <f t="shared" si="25"/>
        <v>600</v>
      </c>
      <c r="E39" s="249">
        <f t="shared" si="24"/>
        <v>0.41666666666666669</v>
      </c>
      <c r="F39" s="182">
        <f t="shared" si="14"/>
        <v>24.017530003928805</v>
      </c>
      <c r="G39" s="182">
        <f t="shared" si="15"/>
        <v>10.317530003928805</v>
      </c>
      <c r="H39" s="385"/>
      <c r="I39" s="385"/>
      <c r="J39" s="385"/>
      <c r="K39" s="63">
        <f t="shared" si="16"/>
        <v>0.15107721244982386</v>
      </c>
      <c r="L39" s="9" t="s">
        <v>18</v>
      </c>
      <c r="V39" s="14">
        <f t="shared" si="8"/>
        <v>52</v>
      </c>
      <c r="W39" s="3">
        <f t="shared" si="9"/>
        <v>2.0052877374808782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18.889999262185263</v>
      </c>
      <c r="AC39" s="10">
        <f t="shared" si="27"/>
        <v>18.889999262185263</v>
      </c>
      <c r="AD39" s="359">
        <v>39</v>
      </c>
      <c r="AE39" s="12">
        <f t="shared" si="5"/>
        <v>1080</v>
      </c>
      <c r="AF39" s="10">
        <f t="shared" si="17"/>
        <v>10.800000000000004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24.154195966438827</v>
      </c>
      <c r="G40" s="182">
        <f t="shared" si="15"/>
        <v>10.454195966438828</v>
      </c>
      <c r="H40" s="385"/>
      <c r="I40" s="385"/>
      <c r="J40" s="385"/>
      <c r="K40" s="63">
        <f t="shared" si="16"/>
        <v>0.13666596251002261</v>
      </c>
      <c r="L40" s="9" t="s">
        <v>18</v>
      </c>
      <c r="V40" s="14">
        <f t="shared" si="8"/>
        <v>52</v>
      </c>
      <c r="W40" s="3">
        <f t="shared" si="9"/>
        <v>2.0052877374808782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18.889999262185263</v>
      </c>
      <c r="AC40" s="10">
        <f t="shared" si="27"/>
        <v>18.889999262185263</v>
      </c>
      <c r="AD40" s="359">
        <v>40</v>
      </c>
      <c r="AE40" s="12">
        <f t="shared" si="5"/>
        <v>1140</v>
      </c>
      <c r="AF40" s="10">
        <f t="shared" si="17"/>
        <v>10.800000000000004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24.27896221501819</v>
      </c>
      <c r="G41" s="182">
        <f t="shared" si="15"/>
        <v>10.578962215018191</v>
      </c>
      <c r="H41" s="385"/>
      <c r="I41" s="385"/>
      <c r="J41" s="385"/>
      <c r="K41" s="63">
        <f t="shared" si="16"/>
        <v>0.12476624857936258</v>
      </c>
      <c r="L41" s="9" t="s">
        <v>18</v>
      </c>
      <c r="V41" s="356">
        <f t="shared" si="8"/>
        <v>52</v>
      </c>
      <c r="W41" s="355">
        <f t="shared" si="9"/>
        <v>2.0052877374808782</v>
      </c>
      <c r="X41" s="355">
        <f t="shared" si="10"/>
        <v>0.1</v>
      </c>
      <c r="Y41" s="355">
        <f t="shared" si="11"/>
        <v>5.0000000000000001E-4</v>
      </c>
      <c r="Z41" s="355">
        <f t="shared" si="2"/>
        <v>0.83333333333333337</v>
      </c>
      <c r="AA41" s="357">
        <f t="shared" si="12"/>
        <v>1200</v>
      </c>
      <c r="AB41" s="358">
        <f t="shared" si="26"/>
        <v>18.889999262185263</v>
      </c>
      <c r="AC41" s="10">
        <f t="shared" si="27"/>
        <v>18.889999262185263</v>
      </c>
      <c r="AD41" s="360">
        <v>41</v>
      </c>
      <c r="AE41" s="12">
        <f t="shared" si="5"/>
        <v>1200</v>
      </c>
      <c r="AF41" s="10">
        <f t="shared" si="17"/>
        <v>10.800000000000004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24.393736037799453</v>
      </c>
      <c r="G42" s="182">
        <f t="shared" si="15"/>
        <v>10.693736037799454</v>
      </c>
      <c r="H42" s="385"/>
      <c r="I42" s="385"/>
      <c r="J42" s="385"/>
      <c r="K42" s="63">
        <f t="shared" si="16"/>
        <v>0.11477382278126314</v>
      </c>
      <c r="L42" s="9" t="s">
        <v>18</v>
      </c>
      <c r="V42" s="14">
        <f t="shared" si="8"/>
        <v>52</v>
      </c>
      <c r="W42" s="3">
        <f t="shared" si="9"/>
        <v>2.0052877374808782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18.889999262185263</v>
      </c>
      <c r="AC42" s="10">
        <f t="shared" ref="AC42:AC46" si="29">AC41</f>
        <v>18.889999262185263</v>
      </c>
      <c r="AD42" s="359">
        <v>42</v>
      </c>
      <c r="AE42" s="12">
        <f t="shared" si="5"/>
        <v>1260</v>
      </c>
      <c r="AF42" s="10">
        <f t="shared" si="17"/>
        <v>10.800000000000004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24.500000000000004</v>
      </c>
      <c r="G43" s="182">
        <f t="shared" si="15"/>
        <v>10.800000000000004</v>
      </c>
      <c r="H43" s="385"/>
      <c r="I43" s="385"/>
      <c r="J43" s="385"/>
      <c r="K43" s="63">
        <f t="shared" si="16"/>
        <v>0.10626396220055057</v>
      </c>
      <c r="L43" s="9" t="s">
        <v>18</v>
      </c>
      <c r="V43" s="356">
        <f t="shared" si="8"/>
        <v>52</v>
      </c>
      <c r="W43" s="355">
        <f t="shared" si="9"/>
        <v>2.0052877374808782</v>
      </c>
      <c r="X43" s="355">
        <f t="shared" si="10"/>
        <v>0.1</v>
      </c>
      <c r="Y43" s="355">
        <f t="shared" si="11"/>
        <v>5.0000000000000001E-4</v>
      </c>
      <c r="Z43" s="355">
        <f t="shared" si="2"/>
        <v>0.91666666666666663</v>
      </c>
      <c r="AA43" s="357">
        <f t="shared" si="28"/>
        <v>1320</v>
      </c>
      <c r="AB43" s="358">
        <f t="shared" si="26"/>
        <v>18.889999262185263</v>
      </c>
      <c r="AC43" s="10">
        <f t="shared" si="29"/>
        <v>18.889999262185263</v>
      </c>
      <c r="AD43" s="360">
        <v>43</v>
      </c>
      <c r="AE43" s="12">
        <f t="shared" si="5"/>
        <v>1320</v>
      </c>
      <c r="AF43" s="10">
        <f t="shared" si="17"/>
        <v>10.800000000000004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24.500000000000004</v>
      </c>
      <c r="G44" s="182">
        <f t="shared" si="15"/>
        <v>10.800000000000004</v>
      </c>
      <c r="H44" s="385"/>
      <c r="I44" s="385"/>
      <c r="J44" s="385"/>
      <c r="K44" s="63">
        <f t="shared" si="16"/>
        <v>0</v>
      </c>
      <c r="L44" s="9" t="s">
        <v>18</v>
      </c>
      <c r="V44" s="14">
        <f t="shared" si="8"/>
        <v>52</v>
      </c>
      <c r="W44" s="3">
        <f t="shared" si="9"/>
        <v>2.0052877374808782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18.889999262185263</v>
      </c>
      <c r="AC44" s="10">
        <f t="shared" si="29"/>
        <v>18.889999262185263</v>
      </c>
      <c r="AD44" s="359">
        <v>44</v>
      </c>
      <c r="AE44" s="12">
        <f t="shared" si="5"/>
        <v>1380</v>
      </c>
      <c r="AF44" s="10">
        <f t="shared" si="17"/>
        <v>10.800000000000004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44292.069444444445</v>
      </c>
      <c r="D45" s="181">
        <f t="shared" si="25"/>
        <v>960</v>
      </c>
      <c r="E45" s="249">
        <f t="shared" si="30"/>
        <v>0.66666666666666663</v>
      </c>
      <c r="F45" s="182">
        <f t="shared" si="14"/>
        <v>24.500000000000004</v>
      </c>
      <c r="G45" s="182">
        <f t="shared" si="15"/>
        <v>10.800000000000004</v>
      </c>
      <c r="H45" s="385"/>
      <c r="I45" s="385"/>
      <c r="J45" s="385"/>
      <c r="K45" s="63">
        <f t="shared" si="16"/>
        <v>0</v>
      </c>
      <c r="L45" s="9" t="s">
        <v>18</v>
      </c>
      <c r="V45" s="356">
        <f t="shared" si="8"/>
        <v>52</v>
      </c>
      <c r="W45" s="355">
        <f t="shared" si="9"/>
        <v>2.0052877374808782</v>
      </c>
      <c r="X45" s="355">
        <f t="shared" si="10"/>
        <v>0.1</v>
      </c>
      <c r="Y45" s="355">
        <f t="shared" si="11"/>
        <v>5.0000000000000001E-4</v>
      </c>
      <c r="Z45" s="355">
        <f t="shared" si="2"/>
        <v>1</v>
      </c>
      <c r="AA45" s="357">
        <f t="shared" si="28"/>
        <v>1440</v>
      </c>
      <c r="AB45" s="358">
        <f t="shared" si="26"/>
        <v>18.889999262185263</v>
      </c>
      <c r="AC45" s="10">
        <f t="shared" si="29"/>
        <v>18.889999262185263</v>
      </c>
      <c r="AD45" s="360">
        <v>45</v>
      </c>
      <c r="AE45" s="12">
        <f t="shared" si="5"/>
        <v>1440</v>
      </c>
      <c r="AF45" s="10">
        <f t="shared" si="17"/>
        <v>10.800000000000004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24.500000000000004</v>
      </c>
      <c r="G46" s="182">
        <f t="shared" si="15"/>
        <v>10.800000000000004</v>
      </c>
      <c r="H46" s="385"/>
      <c r="I46" s="385"/>
      <c r="J46" s="385"/>
      <c r="K46" s="63">
        <f t="shared" si="16"/>
        <v>0</v>
      </c>
      <c r="L46" s="9" t="s">
        <v>18</v>
      </c>
      <c r="V46" s="14">
        <f t="shared" si="8"/>
        <v>52</v>
      </c>
      <c r="W46" s="3">
        <f t="shared" si="9"/>
        <v>2.0052877374808782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18.889999262185263</v>
      </c>
      <c r="AC46" s="10">
        <f t="shared" si="29"/>
        <v>18.889999262185263</v>
      </c>
      <c r="AD46" s="359">
        <v>46</v>
      </c>
      <c r="AE46" s="320">
        <f t="shared" si="5"/>
        <v>1500</v>
      </c>
      <c r="AF46" s="322">
        <f t="shared" si="17"/>
        <v>10.800000000000004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24.500000000000004</v>
      </c>
      <c r="G47" s="182">
        <f t="shared" si="15"/>
        <v>10.800000000000004</v>
      </c>
      <c r="H47" s="385"/>
      <c r="I47" s="385"/>
      <c r="J47" s="385"/>
      <c r="K47" s="63">
        <f t="shared" si="16"/>
        <v>0</v>
      </c>
      <c r="L47" s="9" t="s">
        <v>18</v>
      </c>
      <c r="V47" s="14">
        <f t="shared" si="8"/>
        <v>52</v>
      </c>
      <c r="W47" s="3">
        <f t="shared" si="9"/>
        <v>2.0052877374808782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18.889999262185263</v>
      </c>
      <c r="AC47" s="10">
        <f t="shared" ref="AC47" si="32">AC46</f>
        <v>18.889999262185263</v>
      </c>
      <c r="AE47" s="12">
        <f t="shared" si="5"/>
        <v>1560</v>
      </c>
      <c r="AF47" s="10">
        <f t="shared" si="17"/>
        <v>10.800000000000004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24.500000000000004</v>
      </c>
      <c r="G48" s="182">
        <f t="shared" si="15"/>
        <v>10.800000000000004</v>
      </c>
      <c r="H48" s="385"/>
      <c r="I48" s="385"/>
      <c r="J48" s="385"/>
      <c r="K48" s="3" t="s">
        <v>18</v>
      </c>
      <c r="L48" s="9" t="s">
        <v>18</v>
      </c>
      <c r="V48" s="14">
        <f t="shared" si="8"/>
        <v>52</v>
      </c>
      <c r="W48" s="3">
        <f t="shared" si="9"/>
        <v>2.0052877374808782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18.889999262185263</v>
      </c>
      <c r="AC48" s="10">
        <f t="shared" ref="AC48:AC52" si="33">AC47</f>
        <v>18.889999262185263</v>
      </c>
      <c r="AE48" s="12">
        <f t="shared" si="5"/>
        <v>1620</v>
      </c>
      <c r="AF48" s="10">
        <f t="shared" si="17"/>
        <v>10.800000000000004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24.500000000000004</v>
      </c>
      <c r="G49" s="182">
        <f t="shared" si="15"/>
        <v>10.800000000000004</v>
      </c>
      <c r="H49" s="385"/>
      <c r="I49" s="385"/>
      <c r="J49" s="385"/>
      <c r="K49" s="3" t="s">
        <v>18</v>
      </c>
      <c r="L49" s="9" t="s">
        <v>18</v>
      </c>
      <c r="V49" s="14">
        <f t="shared" si="8"/>
        <v>52</v>
      </c>
      <c r="W49" s="3">
        <f t="shared" si="9"/>
        <v>2.0052877374808782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18.889999262185263</v>
      </c>
      <c r="AC49" s="10">
        <f t="shared" si="33"/>
        <v>18.889999262185263</v>
      </c>
      <c r="AE49" s="12">
        <f t="shared" si="5"/>
        <v>1680</v>
      </c>
      <c r="AF49" s="10">
        <f t="shared" ref="AF49:AF69" si="34">AC49-$P$3</f>
        <v>10.800000000000004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24.500000000000004</v>
      </c>
      <c r="G50" s="182">
        <f t="shared" si="15"/>
        <v>10.800000000000004</v>
      </c>
      <c r="H50" s="385"/>
      <c r="I50" s="385"/>
      <c r="J50" s="385"/>
      <c r="K50" s="3" t="s">
        <v>18</v>
      </c>
      <c r="L50" s="9" t="s">
        <v>18</v>
      </c>
      <c r="V50" s="14">
        <f t="shared" si="8"/>
        <v>52</v>
      </c>
      <c r="W50" s="3">
        <f t="shared" si="9"/>
        <v>2.0052877374808782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18.889999262185263</v>
      </c>
      <c r="AC50" s="10">
        <f t="shared" si="33"/>
        <v>18.889999262185263</v>
      </c>
      <c r="AE50" s="12">
        <f t="shared" si="5"/>
        <v>1740</v>
      </c>
      <c r="AF50" s="10">
        <f t="shared" si="34"/>
        <v>10.800000000000004</v>
      </c>
    </row>
    <row r="51" spans="1:32" s="3" customFormat="1" ht="21" customHeight="1" x14ac:dyDescent="0.15">
      <c r="A51" s="54"/>
      <c r="B51" s="54"/>
      <c r="C51" s="55">
        <f>$C$10+D51/1440</f>
        <v>44292.319444444445</v>
      </c>
      <c r="D51" s="181">
        <f t="shared" si="31"/>
        <v>1320</v>
      </c>
      <c r="E51" s="249">
        <f t="shared" si="30"/>
        <v>0.91666666666666663</v>
      </c>
      <c r="F51" s="182">
        <f t="shared" si="14"/>
        <v>24.500000000000004</v>
      </c>
      <c r="G51" s="182">
        <f t="shared" si="15"/>
        <v>10.800000000000004</v>
      </c>
      <c r="H51" s="385"/>
      <c r="I51" s="385"/>
      <c r="J51" s="385"/>
      <c r="K51" s="3" t="s">
        <v>18</v>
      </c>
      <c r="L51" s="9" t="s">
        <v>18</v>
      </c>
      <c r="V51" s="14">
        <f t="shared" si="8"/>
        <v>52</v>
      </c>
      <c r="W51" s="3">
        <f t="shared" si="9"/>
        <v>2.0052877374808782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18.889999262185263</v>
      </c>
      <c r="AC51" s="10">
        <f t="shared" si="33"/>
        <v>18.889999262185263</v>
      </c>
      <c r="AE51" s="12">
        <f t="shared" si="5"/>
        <v>1800</v>
      </c>
      <c r="AF51" s="10">
        <f t="shared" si="34"/>
        <v>10.800000000000004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24.500000000000004</v>
      </c>
      <c r="G52" s="182">
        <f t="shared" si="15"/>
        <v>10.800000000000004</v>
      </c>
      <c r="H52" s="385"/>
      <c r="I52" s="385"/>
      <c r="J52" s="385"/>
      <c r="K52" s="3" t="s">
        <v>18</v>
      </c>
      <c r="L52" s="9" t="s">
        <v>18</v>
      </c>
      <c r="V52" s="14">
        <f t="shared" si="8"/>
        <v>52</v>
      </c>
      <c r="W52" s="3">
        <f t="shared" si="9"/>
        <v>2.0052877374808782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18.889999262185263</v>
      </c>
      <c r="AC52" s="10">
        <f t="shared" si="33"/>
        <v>18.889999262185263</v>
      </c>
      <c r="AE52" s="12">
        <f t="shared" si="5"/>
        <v>1860</v>
      </c>
      <c r="AF52" s="10">
        <f t="shared" si="34"/>
        <v>10.800000000000004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24.500000000000004</v>
      </c>
      <c r="G53" s="182">
        <f t="shared" si="15"/>
        <v>10.800000000000004</v>
      </c>
      <c r="H53" s="385"/>
      <c r="I53" s="385"/>
      <c r="J53" s="385"/>
      <c r="K53" s="3" t="s">
        <v>18</v>
      </c>
      <c r="L53" s="9" t="s">
        <v>18</v>
      </c>
      <c r="V53" s="14">
        <f t="shared" si="8"/>
        <v>52</v>
      </c>
      <c r="W53" s="3">
        <f t="shared" si="9"/>
        <v>2.0052877374808782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18.889999262185263</v>
      </c>
      <c r="AC53" s="10">
        <f t="shared" ref="AC53:AC69" si="35">AC52</f>
        <v>18.889999262185263</v>
      </c>
      <c r="AE53" s="12">
        <f t="shared" si="5"/>
        <v>1920</v>
      </c>
      <c r="AF53" s="10">
        <f t="shared" si="34"/>
        <v>10.800000000000004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24.500000000000004</v>
      </c>
      <c r="G54" s="182">
        <f t="shared" si="15"/>
        <v>10.800000000000004</v>
      </c>
      <c r="H54" s="385"/>
      <c r="I54" s="385"/>
      <c r="J54" s="385"/>
      <c r="K54" s="3" t="s">
        <v>18</v>
      </c>
      <c r="L54" s="9" t="s">
        <v>18</v>
      </c>
      <c r="V54" s="14">
        <f t="shared" si="8"/>
        <v>52</v>
      </c>
      <c r="W54" s="3">
        <f t="shared" si="9"/>
        <v>2.0052877374808782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18.889999262185263</v>
      </c>
      <c r="AC54" s="10">
        <f t="shared" si="35"/>
        <v>18.889999262185263</v>
      </c>
      <c r="AE54" s="12">
        <f t="shared" si="5"/>
        <v>1980</v>
      </c>
      <c r="AF54" s="10">
        <f t="shared" si="34"/>
        <v>10.800000000000004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24.500000000000004</v>
      </c>
      <c r="G55" s="182">
        <f t="shared" si="15"/>
        <v>10.800000000000004</v>
      </c>
      <c r="H55" s="385"/>
      <c r="I55" s="385"/>
      <c r="J55" s="385"/>
      <c r="K55" s="3" t="s">
        <v>18</v>
      </c>
      <c r="L55" s="9" t="s">
        <v>18</v>
      </c>
      <c r="V55" s="14">
        <f t="shared" si="8"/>
        <v>52</v>
      </c>
      <c r="W55" s="3">
        <f t="shared" si="9"/>
        <v>2.0052877374808782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18.889999262185263</v>
      </c>
      <c r="AC55" s="10">
        <f t="shared" si="35"/>
        <v>18.889999262185263</v>
      </c>
      <c r="AE55" s="12">
        <f t="shared" si="5"/>
        <v>2040</v>
      </c>
      <c r="AF55" s="10">
        <f t="shared" si="34"/>
        <v>10.800000000000004</v>
      </c>
    </row>
    <row r="56" spans="1:32" s="3" customFormat="1" ht="21.6" customHeight="1" x14ac:dyDescent="0.15">
      <c r="A56" s="54"/>
      <c r="B56" s="54"/>
      <c r="C56" s="55">
        <f>$C$10+D56/1440</f>
        <v>44292.527777777781</v>
      </c>
      <c r="D56" s="181">
        <f t="shared" si="31"/>
        <v>1620</v>
      </c>
      <c r="E56" s="249">
        <f t="shared" si="30"/>
        <v>1.125</v>
      </c>
      <c r="F56" s="182">
        <f t="shared" si="14"/>
        <v>24.500000000000004</v>
      </c>
      <c r="G56" s="182">
        <f t="shared" si="15"/>
        <v>10.800000000000004</v>
      </c>
      <c r="H56" s="385"/>
      <c r="I56" s="385"/>
      <c r="J56" s="385"/>
      <c r="K56" s="3" t="s">
        <v>18</v>
      </c>
      <c r="L56" s="9" t="s">
        <v>18</v>
      </c>
      <c r="V56" s="14">
        <f t="shared" si="8"/>
        <v>52</v>
      </c>
      <c r="W56" s="3">
        <f t="shared" si="9"/>
        <v>2.0052877374808782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18.889999262185263</v>
      </c>
      <c r="AC56" s="10">
        <f t="shared" si="35"/>
        <v>18.889999262185263</v>
      </c>
      <c r="AE56" s="12">
        <f t="shared" si="5"/>
        <v>2100</v>
      </c>
      <c r="AF56" s="10">
        <f t="shared" si="34"/>
        <v>10.800000000000004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24.500000000000004</v>
      </c>
      <c r="G57" s="182">
        <f t="shared" si="15"/>
        <v>10.800000000000004</v>
      </c>
      <c r="H57" s="385"/>
      <c r="I57" s="385"/>
      <c r="J57" s="385"/>
      <c r="K57" s="3" t="s">
        <v>18</v>
      </c>
      <c r="L57" s="9" t="s">
        <v>18</v>
      </c>
      <c r="V57" s="14">
        <f t="shared" si="8"/>
        <v>52</v>
      </c>
      <c r="W57" s="3">
        <f t="shared" si="9"/>
        <v>2.0052877374808782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18.889999262185263</v>
      </c>
      <c r="AC57" s="10">
        <f t="shared" si="35"/>
        <v>18.889999262185263</v>
      </c>
      <c r="AE57" s="12">
        <f t="shared" si="5"/>
        <v>2160</v>
      </c>
      <c r="AF57" s="10">
        <f t="shared" si="34"/>
        <v>10.800000000000004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24.500000000000004</v>
      </c>
      <c r="G58" s="182">
        <f t="shared" si="15"/>
        <v>10.800000000000004</v>
      </c>
      <c r="H58" s="385"/>
      <c r="I58" s="385"/>
      <c r="J58" s="385"/>
      <c r="K58" s="3" t="s">
        <v>18</v>
      </c>
      <c r="L58" s="9" t="s">
        <v>18</v>
      </c>
      <c r="V58" s="14">
        <f t="shared" si="8"/>
        <v>52</v>
      </c>
      <c r="W58" s="3">
        <f t="shared" si="9"/>
        <v>2.0052877374808782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18.889999262185263</v>
      </c>
      <c r="AC58" s="10">
        <f t="shared" si="35"/>
        <v>18.889999262185263</v>
      </c>
      <c r="AE58" s="12">
        <f t="shared" si="5"/>
        <v>2220</v>
      </c>
      <c r="AF58" s="10">
        <f t="shared" si="34"/>
        <v>10.800000000000004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24.500000000000004</v>
      </c>
      <c r="G59" s="182">
        <f t="shared" si="15"/>
        <v>10.800000000000004</v>
      </c>
      <c r="H59" s="385"/>
      <c r="I59" s="385"/>
      <c r="J59" s="385"/>
      <c r="K59" s="3" t="s">
        <v>18</v>
      </c>
      <c r="L59" s="9" t="s">
        <v>18</v>
      </c>
      <c r="V59" s="14">
        <f t="shared" si="8"/>
        <v>52</v>
      </c>
      <c r="W59" s="3">
        <f t="shared" si="9"/>
        <v>2.0052877374808782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18.889999262185263</v>
      </c>
      <c r="AC59" s="10">
        <f t="shared" si="35"/>
        <v>18.889999262185263</v>
      </c>
      <c r="AE59" s="12">
        <f t="shared" si="5"/>
        <v>2280</v>
      </c>
      <c r="AF59" s="10">
        <f t="shared" si="34"/>
        <v>10.800000000000004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24.500000000000004</v>
      </c>
      <c r="G60" s="182">
        <f t="shared" si="15"/>
        <v>10.800000000000004</v>
      </c>
      <c r="H60" s="385"/>
      <c r="I60" s="385"/>
      <c r="J60" s="385"/>
      <c r="K60" s="3" t="s">
        <v>18</v>
      </c>
      <c r="L60" s="9" t="s">
        <v>18</v>
      </c>
      <c r="V60" s="14">
        <f t="shared" si="8"/>
        <v>52</v>
      </c>
      <c r="W60" s="3">
        <f t="shared" si="9"/>
        <v>2.0052877374808782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18.889999262185263</v>
      </c>
      <c r="AC60" s="10">
        <f t="shared" si="35"/>
        <v>18.889999262185263</v>
      </c>
      <c r="AE60" s="12">
        <f t="shared" si="5"/>
        <v>2340</v>
      </c>
      <c r="AF60" s="10">
        <f t="shared" si="34"/>
        <v>10.800000000000004</v>
      </c>
    </row>
    <row r="61" spans="1:32" s="3" customFormat="1" ht="21.6" customHeight="1" x14ac:dyDescent="0.15">
      <c r="A61" s="54"/>
      <c r="B61" s="54"/>
      <c r="C61" s="55">
        <f>$C$10+D61/1440</f>
        <v>44292.736111111117</v>
      </c>
      <c r="D61" s="181">
        <f t="shared" si="31"/>
        <v>1920</v>
      </c>
      <c r="E61" s="249">
        <f t="shared" si="36"/>
        <v>1.3333333333333333</v>
      </c>
      <c r="F61" s="182">
        <f t="shared" si="14"/>
        <v>24.500000000000004</v>
      </c>
      <c r="G61" s="182">
        <f t="shared" si="15"/>
        <v>10.800000000000004</v>
      </c>
      <c r="H61" s="385"/>
      <c r="I61" s="385"/>
      <c r="J61" s="385"/>
      <c r="K61" s="3" t="s">
        <v>18</v>
      </c>
      <c r="L61" s="9" t="s">
        <v>18</v>
      </c>
      <c r="V61" s="14">
        <f t="shared" si="8"/>
        <v>52</v>
      </c>
      <c r="W61" s="3">
        <f t="shared" si="9"/>
        <v>2.0052877374808782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18.889999262185263</v>
      </c>
      <c r="AC61" s="10">
        <f t="shared" si="35"/>
        <v>18.889999262185263</v>
      </c>
      <c r="AE61" s="12">
        <f t="shared" si="5"/>
        <v>2400</v>
      </c>
      <c r="AF61" s="10">
        <f t="shared" si="34"/>
        <v>10.800000000000004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24.500000000000004</v>
      </c>
      <c r="G62" s="182">
        <f t="shared" si="15"/>
        <v>10.800000000000004</v>
      </c>
      <c r="H62" s="385"/>
      <c r="I62" s="385"/>
      <c r="J62" s="385"/>
      <c r="K62" s="3" t="s">
        <v>18</v>
      </c>
      <c r="L62" s="9" t="s">
        <v>18</v>
      </c>
      <c r="V62" s="14">
        <f t="shared" si="8"/>
        <v>52</v>
      </c>
      <c r="W62" s="3">
        <f t="shared" si="9"/>
        <v>2.0052877374808782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18.889999262185263</v>
      </c>
      <c r="AC62" s="10">
        <f t="shared" si="35"/>
        <v>18.889999262185263</v>
      </c>
      <c r="AE62" s="12">
        <f t="shared" si="5"/>
        <v>2460</v>
      </c>
      <c r="AF62" s="10">
        <f t="shared" si="34"/>
        <v>10.800000000000004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24.500000000000004</v>
      </c>
      <c r="G63" s="182">
        <f t="shared" si="15"/>
        <v>10.800000000000004</v>
      </c>
      <c r="H63" s="385"/>
      <c r="I63" s="385"/>
      <c r="J63" s="385"/>
      <c r="K63" s="3" t="s">
        <v>18</v>
      </c>
      <c r="L63" s="9" t="s">
        <v>18</v>
      </c>
      <c r="V63" s="14">
        <f t="shared" si="8"/>
        <v>52</v>
      </c>
      <c r="W63" s="3">
        <f t="shared" si="9"/>
        <v>2.0052877374808782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18.889999262185263</v>
      </c>
      <c r="AC63" s="10">
        <f t="shared" si="35"/>
        <v>18.889999262185263</v>
      </c>
      <c r="AE63" s="12">
        <f t="shared" si="5"/>
        <v>2520</v>
      </c>
      <c r="AF63" s="10">
        <f t="shared" si="34"/>
        <v>10.800000000000004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24.500000000000004</v>
      </c>
      <c r="G64" s="182">
        <f t="shared" si="15"/>
        <v>10.800000000000004</v>
      </c>
      <c r="H64" s="385"/>
      <c r="I64" s="385"/>
      <c r="J64" s="385"/>
      <c r="K64" s="3" t="s">
        <v>18</v>
      </c>
      <c r="L64" s="9" t="s">
        <v>18</v>
      </c>
      <c r="V64" s="14">
        <f t="shared" si="8"/>
        <v>52</v>
      </c>
      <c r="W64" s="3">
        <f t="shared" si="9"/>
        <v>2.0052877374808782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18.889999262185263</v>
      </c>
      <c r="AC64" s="10">
        <f t="shared" si="35"/>
        <v>18.889999262185263</v>
      </c>
      <c r="AE64" s="12">
        <f t="shared" si="5"/>
        <v>2580</v>
      </c>
      <c r="AF64" s="10">
        <f t="shared" si="34"/>
        <v>10.800000000000004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24.500000000000004</v>
      </c>
      <c r="G65" s="182">
        <f t="shared" si="15"/>
        <v>10.800000000000004</v>
      </c>
      <c r="H65" s="385"/>
      <c r="I65" s="385"/>
      <c r="J65" s="385"/>
      <c r="K65" s="3" t="s">
        <v>18</v>
      </c>
      <c r="L65" s="9" t="s">
        <v>18</v>
      </c>
      <c r="V65" s="14">
        <f t="shared" si="8"/>
        <v>52</v>
      </c>
      <c r="W65" s="3">
        <f t="shared" si="9"/>
        <v>2.0052877374808782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18.889999262185263</v>
      </c>
      <c r="AC65" s="10">
        <f t="shared" si="35"/>
        <v>18.889999262185263</v>
      </c>
      <c r="AE65" s="12">
        <f t="shared" si="5"/>
        <v>2640</v>
      </c>
      <c r="AF65" s="10">
        <f t="shared" si="34"/>
        <v>10.800000000000004</v>
      </c>
    </row>
    <row r="66" spans="1:32" s="3" customFormat="1" ht="21.6" customHeight="1" x14ac:dyDescent="0.15">
      <c r="A66" s="54"/>
      <c r="B66" s="54"/>
      <c r="C66" s="55">
        <f>$C$10+D66/1440</f>
        <v>44292.944444444445</v>
      </c>
      <c r="D66" s="181">
        <f t="shared" si="37"/>
        <v>2220</v>
      </c>
      <c r="E66" s="249">
        <f t="shared" si="36"/>
        <v>1.5416666666666667</v>
      </c>
      <c r="F66" s="182">
        <f t="shared" si="38"/>
        <v>24.500000000000004</v>
      </c>
      <c r="G66" s="182">
        <f t="shared" si="15"/>
        <v>10.800000000000004</v>
      </c>
      <c r="H66" s="385"/>
      <c r="I66" s="385"/>
      <c r="J66" s="385"/>
      <c r="K66" s="3" t="s">
        <v>18</v>
      </c>
      <c r="L66" s="9" t="s">
        <v>18</v>
      </c>
      <c r="V66" s="14">
        <f t="shared" si="8"/>
        <v>52</v>
      </c>
      <c r="W66" s="3">
        <f t="shared" si="9"/>
        <v>2.0052877374808782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18.889999262185263</v>
      </c>
      <c r="AC66" s="10">
        <f t="shared" si="35"/>
        <v>18.889999262185263</v>
      </c>
      <c r="AE66" s="12">
        <f t="shared" si="5"/>
        <v>2700</v>
      </c>
      <c r="AF66" s="10">
        <f t="shared" si="34"/>
        <v>10.800000000000004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24.500000000000004</v>
      </c>
      <c r="G67" s="182">
        <f t="shared" si="15"/>
        <v>10.800000000000004</v>
      </c>
      <c r="H67" s="385"/>
      <c r="I67" s="385"/>
      <c r="J67" s="385"/>
      <c r="K67" s="3" t="s">
        <v>18</v>
      </c>
      <c r="L67" s="9" t="s">
        <v>18</v>
      </c>
      <c r="V67" s="14">
        <f t="shared" si="8"/>
        <v>52</v>
      </c>
      <c r="W67" s="3">
        <f t="shared" si="9"/>
        <v>2.0052877374808782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18.889999262185263</v>
      </c>
      <c r="AC67" s="10">
        <f t="shared" si="35"/>
        <v>18.889999262185263</v>
      </c>
      <c r="AE67" s="12">
        <f>AA67</f>
        <v>2760</v>
      </c>
      <c r="AF67" s="10">
        <f t="shared" si="34"/>
        <v>10.800000000000004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24.500000000000004</v>
      </c>
      <c r="G68" s="182">
        <f t="shared" si="15"/>
        <v>10.800000000000004</v>
      </c>
      <c r="H68" s="385"/>
      <c r="I68" s="385"/>
      <c r="J68" s="385"/>
      <c r="K68" s="3" t="s">
        <v>18</v>
      </c>
      <c r="L68" s="9" t="s">
        <v>18</v>
      </c>
      <c r="V68" s="14">
        <f>V67</f>
        <v>52</v>
      </c>
      <c r="W68" s="3">
        <f t="shared" ref="W68:W83" si="40">W$2</f>
        <v>2.0052877374808782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18.889999262185263</v>
      </c>
      <c r="AC68" s="10">
        <f t="shared" si="35"/>
        <v>18.889999262185263</v>
      </c>
      <c r="AE68" s="12">
        <f>AA68</f>
        <v>2820</v>
      </c>
      <c r="AF68" s="10">
        <f t="shared" si="34"/>
        <v>10.800000000000004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24.500000000000004</v>
      </c>
      <c r="G69" s="182">
        <f t="shared" si="15"/>
        <v>10.800000000000004</v>
      </c>
      <c r="H69" s="385"/>
      <c r="I69" s="385"/>
      <c r="J69" s="385"/>
      <c r="K69" s="3" t="s">
        <v>18</v>
      </c>
      <c r="L69" s="9" t="s">
        <v>18</v>
      </c>
      <c r="V69" s="14">
        <f>V68</f>
        <v>52</v>
      </c>
      <c r="W69" s="3">
        <f t="shared" si="40"/>
        <v>2.0052877374808782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18.889999262185263</v>
      </c>
      <c r="AC69" s="10">
        <f t="shared" si="35"/>
        <v>18.889999262185263</v>
      </c>
      <c r="AE69" s="12">
        <f>AA69</f>
        <v>2880</v>
      </c>
      <c r="AF69" s="10">
        <f t="shared" si="34"/>
        <v>10.800000000000004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24.500000000000004</v>
      </c>
      <c r="G70" s="182">
        <f t="shared" si="15"/>
        <v>10.800000000000004</v>
      </c>
      <c r="H70" s="385"/>
      <c r="I70" s="385"/>
      <c r="J70" s="385"/>
      <c r="K70" s="3" t="s">
        <v>18</v>
      </c>
      <c r="L70" s="9" t="s">
        <v>18</v>
      </c>
      <c r="V70" s="14"/>
      <c r="W70" s="3">
        <f t="shared" si="40"/>
        <v>2.0052877374808782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44293.152777777781</v>
      </c>
      <c r="D71" s="181">
        <f t="shared" si="37"/>
        <v>2520</v>
      </c>
      <c r="E71" s="249">
        <f t="shared" si="36"/>
        <v>1.75</v>
      </c>
      <c r="F71" s="182">
        <f t="shared" si="38"/>
        <v>24.500000000000004</v>
      </c>
      <c r="G71" s="182">
        <f t="shared" si="15"/>
        <v>10.800000000000004</v>
      </c>
      <c r="H71" s="385"/>
      <c r="I71" s="385"/>
      <c r="J71" s="385"/>
      <c r="K71" s="3" t="s">
        <v>18</v>
      </c>
      <c r="L71" s="9" t="s">
        <v>18</v>
      </c>
      <c r="V71" s="14"/>
      <c r="W71" s="3">
        <f t="shared" si="40"/>
        <v>2.0052877374808782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24.500000000000004</v>
      </c>
      <c r="G72" s="182">
        <f t="shared" si="15"/>
        <v>10.800000000000004</v>
      </c>
      <c r="H72" s="385"/>
      <c r="I72" s="385"/>
      <c r="J72" s="385"/>
      <c r="K72" s="3" t="s">
        <v>18</v>
      </c>
      <c r="L72" s="9" t="s">
        <v>18</v>
      </c>
      <c r="V72" s="14"/>
      <c r="W72" s="3">
        <f t="shared" si="40"/>
        <v>2.0052877374808782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24.500000000000004</v>
      </c>
      <c r="G73" s="182">
        <f t="shared" si="15"/>
        <v>10.800000000000004</v>
      </c>
      <c r="H73" s="385"/>
      <c r="I73" s="385"/>
      <c r="J73" s="385"/>
      <c r="K73" s="3" t="s">
        <v>18</v>
      </c>
      <c r="L73" s="9" t="s">
        <v>18</v>
      </c>
      <c r="V73" s="14"/>
      <c r="W73" s="3">
        <f t="shared" si="40"/>
        <v>2.0052877374808782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24.500000000000004</v>
      </c>
      <c r="G74" s="182">
        <f t="shared" si="15"/>
        <v>10.800000000000004</v>
      </c>
      <c r="H74" s="385"/>
      <c r="I74" s="385"/>
      <c r="J74" s="385"/>
      <c r="K74" s="3" t="s">
        <v>18</v>
      </c>
      <c r="L74" s="9" t="s">
        <v>18</v>
      </c>
      <c r="V74" s="14"/>
      <c r="W74" s="3">
        <f t="shared" si="40"/>
        <v>2.0052877374808782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24.500000000000004</v>
      </c>
      <c r="G75" s="182">
        <f>AF67</f>
        <v>10.800000000000004</v>
      </c>
      <c r="H75" s="385"/>
      <c r="I75" s="385"/>
      <c r="J75" s="385"/>
      <c r="K75" s="3" t="s">
        <v>18</v>
      </c>
      <c r="L75" s="9" t="s">
        <v>18</v>
      </c>
      <c r="V75" s="14"/>
      <c r="W75" s="3">
        <f t="shared" si="40"/>
        <v>2.0052877374808782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24.500000000000004</v>
      </c>
      <c r="G76" s="182">
        <f>AF68</f>
        <v>10.800000000000004</v>
      </c>
      <c r="H76" s="385"/>
      <c r="I76" s="385"/>
      <c r="J76" s="385"/>
      <c r="K76" s="3" t="s">
        <v>18</v>
      </c>
      <c r="L76" s="9" t="s">
        <v>18</v>
      </c>
      <c r="V76" s="14"/>
      <c r="W76" s="3">
        <f t="shared" si="40"/>
        <v>2.0052877374808782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44293.402777777781</v>
      </c>
      <c r="D77" s="181">
        <f>D76+60</f>
        <v>2880</v>
      </c>
      <c r="E77" s="249">
        <f>D77/1440</f>
        <v>2</v>
      </c>
      <c r="F77" s="277">
        <f t="shared" si="38"/>
        <v>24.500000000000004</v>
      </c>
      <c r="G77" s="182">
        <f>AF69</f>
        <v>10.800000000000004</v>
      </c>
      <c r="H77" s="385" t="s">
        <v>13</v>
      </c>
      <c r="I77" s="385"/>
      <c r="J77" s="385"/>
      <c r="K77" s="3" t="s">
        <v>18</v>
      </c>
      <c r="L77" s="9" t="s">
        <v>18</v>
      </c>
      <c r="V77" s="14"/>
      <c r="W77" s="3">
        <f t="shared" si="40"/>
        <v>2.0052877374808782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44293.403472222228</v>
      </c>
      <c r="D78" s="181">
        <v>1</v>
      </c>
      <c r="E78" s="249">
        <f t="shared" ref="E78:E101" si="43">D78/1440</f>
        <v>6.9444444444444447E-4</v>
      </c>
      <c r="F78" s="182">
        <f>G78+D$8</f>
        <v>21.440061825434356</v>
      </c>
      <c r="G78" s="182">
        <f>H114</f>
        <v>7.7400618254343554</v>
      </c>
      <c r="H78" s="529" t="s">
        <v>248</v>
      </c>
      <c r="I78" s="529"/>
      <c r="J78" s="529"/>
      <c r="K78" s="3" t="s">
        <v>18</v>
      </c>
      <c r="L78" s="9"/>
      <c r="V78" s="14"/>
      <c r="W78" s="3">
        <f t="shared" si="40"/>
        <v>2.0052877374808782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20.906787507517677</v>
      </c>
      <c r="G79" s="182">
        <f>H115</f>
        <v>7.2067875075176788</v>
      </c>
      <c r="H79" s="529"/>
      <c r="I79" s="529"/>
      <c r="J79" s="529"/>
      <c r="K79" s="3" t="s">
        <v>18</v>
      </c>
      <c r="L79" s="9" t="s">
        <v>18</v>
      </c>
      <c r="V79" s="14"/>
      <c r="W79" s="3">
        <f t="shared" si="40"/>
        <v>2.0052877374808782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20.410254691744434</v>
      </c>
      <c r="G80" s="182">
        <f>H116</f>
        <v>6.7102546917444359</v>
      </c>
      <c r="H80" s="529"/>
      <c r="I80" s="529"/>
      <c r="J80" s="529"/>
      <c r="K80" s="3" t="s">
        <v>18</v>
      </c>
      <c r="L80" s="9" t="s">
        <v>18</v>
      </c>
      <c r="V80" s="14"/>
      <c r="W80" s="3">
        <f t="shared" si="40"/>
        <v>2.0052877374808782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19.947931964291755</v>
      </c>
      <c r="G81" s="182">
        <f>H117</f>
        <v>6.2479319642917543</v>
      </c>
      <c r="H81" s="529"/>
      <c r="I81" s="529"/>
      <c r="J81" s="529"/>
      <c r="K81" s="3" t="s">
        <v>18</v>
      </c>
      <c r="L81" s="9" t="s">
        <v>18</v>
      </c>
      <c r="V81" s="14"/>
      <c r="W81" s="3">
        <f t="shared" si="40"/>
        <v>2.0052877374808782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19.517462320535323</v>
      </c>
      <c r="G82" s="182">
        <f>H118</f>
        <v>5.8174623205353218</v>
      </c>
      <c r="H82" s="529"/>
      <c r="I82" s="529"/>
      <c r="J82" s="529"/>
      <c r="K82" s="3" t="s">
        <v>18</v>
      </c>
      <c r="L82" s="9" t="s">
        <v>18</v>
      </c>
      <c r="V82" s="14"/>
      <c r="W82" s="3">
        <f t="shared" si="40"/>
        <v>2.0052877374808782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18.395971376365047</v>
      </c>
      <c r="G83" s="182">
        <f>H121</f>
        <v>4.6959713763650459</v>
      </c>
      <c r="H83" s="529"/>
      <c r="I83" s="529"/>
      <c r="J83" s="529"/>
      <c r="K83" s="3" t="s">
        <v>18</v>
      </c>
      <c r="L83" s="9" t="s">
        <v>18</v>
      </c>
      <c r="V83" s="14"/>
      <c r="W83" s="3">
        <f t="shared" si="40"/>
        <v>2.0052877374808782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18.177720341178301</v>
      </c>
      <c r="G84" s="182">
        <f>H124</f>
        <v>4.4777203411783031</v>
      </c>
      <c r="H84" s="529"/>
      <c r="I84" s="529"/>
      <c r="J84" s="52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17.581964331211921</v>
      </c>
      <c r="G85" s="182">
        <f>H126</f>
        <v>3.8819643312119205</v>
      </c>
      <c r="H85" s="529"/>
      <c r="I85" s="529"/>
      <c r="J85" s="52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17.314504984298019</v>
      </c>
      <c r="G86" s="182">
        <f t="shared" ref="G86:G92" si="45">H127</f>
        <v>3.6145049842980184</v>
      </c>
      <c r="H86" s="529"/>
      <c r="I86" s="529"/>
      <c r="J86" s="52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17.065473035512547</v>
      </c>
      <c r="G87" s="182">
        <f t="shared" si="45"/>
        <v>3.3654730355125464</v>
      </c>
      <c r="H87" s="529"/>
      <c r="I87" s="529"/>
      <c r="J87" s="52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16.986335345030998</v>
      </c>
      <c r="G88" s="182">
        <f t="shared" si="45"/>
        <v>3.2863353450309973</v>
      </c>
      <c r="H88" s="529"/>
      <c r="I88" s="529"/>
      <c r="J88" s="529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16.909058544233801</v>
      </c>
      <c r="G89" s="182">
        <f t="shared" si="45"/>
        <v>3.2090585442338013</v>
      </c>
      <c r="H89" s="529"/>
      <c r="I89" s="529"/>
      <c r="J89" s="529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16.833598875078536</v>
      </c>
      <c r="G90" s="182">
        <f t="shared" si="45"/>
        <v>3.1335988750785364</v>
      </c>
      <c r="H90" s="529"/>
      <c r="I90" s="529"/>
      <c r="J90" s="52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16.759913608474839</v>
      </c>
      <c r="G91" s="182">
        <f t="shared" si="45"/>
        <v>3.0599136084748397</v>
      </c>
      <c r="H91" s="529"/>
      <c r="I91" s="529"/>
      <c r="J91" s="529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16.687961020089034</v>
      </c>
      <c r="G92" s="182">
        <f t="shared" si="45"/>
        <v>2.9879610200890347</v>
      </c>
      <c r="H92" s="529"/>
      <c r="I92" s="529"/>
      <c r="J92" s="529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44293.444444444445</v>
      </c>
      <c r="D93" s="181">
        <v>60</v>
      </c>
      <c r="E93" s="249">
        <f t="shared" si="43"/>
        <v>4.1666666666666664E-2</v>
      </c>
      <c r="F93" s="182">
        <f t="shared" si="44"/>
        <v>16.617700366717692</v>
      </c>
      <c r="G93" s="182">
        <f>H134</f>
        <v>2.9177003667176944</v>
      </c>
      <c r="H93" s="529"/>
      <c r="I93" s="529"/>
      <c r="J93" s="52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16.549091863216777</v>
      </c>
      <c r="G94" s="182">
        <f>H135</f>
        <v>2.8490918632167777</v>
      </c>
      <c r="H94" s="529"/>
      <c r="I94" s="529"/>
      <c r="J94" s="529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16.482096659973259</v>
      </c>
      <c r="G95" s="182">
        <f>H136</f>
        <v>2.7820966599732575</v>
      </c>
      <c r="H95" s="529"/>
      <c r="I95" s="529"/>
      <c r="J95" s="529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16.416676820906506</v>
      </c>
      <c r="G96" s="182">
        <f>H137</f>
        <v>2.7166768209065082</v>
      </c>
      <c r="H96" s="529"/>
      <c r="I96" s="529"/>
      <c r="J96" s="529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44293.486111111117</v>
      </c>
      <c r="D97" s="181">
        <v>120</v>
      </c>
      <c r="E97" s="249">
        <f t="shared" si="43"/>
        <v>8.3333333333333329E-2</v>
      </c>
      <c r="F97" s="182">
        <f t="shared" si="44"/>
        <v>16.229503383362594</v>
      </c>
      <c r="G97" s="182">
        <f>H138</f>
        <v>2.5295033833625955</v>
      </c>
      <c r="H97" s="529"/>
      <c r="I97" s="529"/>
      <c r="J97" s="52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16.170023169522732</v>
      </c>
      <c r="G98" s="182">
        <f>H140</f>
        <v>2.4700231695227326</v>
      </c>
      <c r="H98" s="529"/>
      <c r="I98" s="529"/>
      <c r="J98" s="529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44293.569444444445</v>
      </c>
      <c r="D99" s="181">
        <v>240</v>
      </c>
      <c r="E99" s="249">
        <f t="shared" si="43"/>
        <v>0.16666666666666666</v>
      </c>
      <c r="F99" s="182">
        <f t="shared" si="44"/>
        <v>15.841389169210835</v>
      </c>
      <c r="G99" s="182">
        <f>H142</f>
        <v>2.1413891692108353</v>
      </c>
      <c r="H99" s="529"/>
      <c r="I99" s="529"/>
      <c r="J99" s="529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15.556479579055733</v>
      </c>
      <c r="G100" s="182">
        <f>H144</f>
        <v>1.8564795790557336</v>
      </c>
      <c r="H100" s="529"/>
      <c r="I100" s="529"/>
      <c r="J100" s="529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44293.652777777781</v>
      </c>
      <c r="D101" s="181">
        <v>360</v>
      </c>
      <c r="E101" s="249">
        <f t="shared" si="43"/>
        <v>0.25</v>
      </c>
      <c r="F101" s="277">
        <f t="shared" si="44"/>
        <v>15.309476911999651</v>
      </c>
      <c r="G101" s="242">
        <f>H146</f>
        <v>1.6094769119996513</v>
      </c>
      <c r="H101" s="529"/>
      <c r="I101" s="529"/>
      <c r="J101" s="529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10.800000000000004</v>
      </c>
      <c r="F110" s="243" t="s">
        <v>180</v>
      </c>
      <c r="H110" s="245" t="s">
        <v>181</v>
      </c>
      <c r="I110" s="381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10.800000000000004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9.588541841354262</v>
      </c>
      <c r="I111" s="382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10.800000000000004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8.9279110575715048</v>
      </c>
      <c r="I112" s="382"/>
      <c r="J112" s="13">
        <f>H111-H112</f>
        <v>0.66063078378275719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10.800000000000004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8.3127963741199888</v>
      </c>
      <c r="I113" s="382"/>
      <c r="J113" s="13">
        <f t="shared" ref="J113:J146" si="51">H112-H113</f>
        <v>0.61511468345151599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10.800000000000004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7.7400618254343554</v>
      </c>
      <c r="I114" s="383"/>
      <c r="J114" s="13">
        <f t="shared" si="51"/>
        <v>0.57273454868563345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10.800000000000004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7.2067875075176788</v>
      </c>
      <c r="I115" s="383"/>
      <c r="J115" s="13">
        <f t="shared" si="51"/>
        <v>0.53327431791667657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10.800000000000004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6.7102546917444359</v>
      </c>
      <c r="I116" s="383"/>
      <c r="J116" s="13">
        <f t="shared" si="51"/>
        <v>0.49653281577324293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10.800000000000004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6.2479319642917543</v>
      </c>
      <c r="I117" s="383"/>
      <c r="J117" s="13">
        <f t="shared" si="51"/>
        <v>0.46232272745268155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10.800000000000004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5.8174623205353218</v>
      </c>
      <c r="I118" s="383"/>
      <c r="J118" s="13">
        <f t="shared" si="51"/>
        <v>0.4304696437564326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10.800000000000004</v>
      </c>
      <c r="E119" s="15">
        <f t="shared" si="49"/>
        <v>0.71</v>
      </c>
      <c r="F119" s="54"/>
      <c r="G119" s="3">
        <v>9</v>
      </c>
      <c r="H119" s="248">
        <f t="shared" si="47"/>
        <v>5.4166511486148252</v>
      </c>
      <c r="I119" s="384"/>
      <c r="J119" s="13">
        <f t="shared" si="51"/>
        <v>0.40081117192049653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10.800000000000004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5.0434550409069843</v>
      </c>
      <c r="I120" s="382"/>
      <c r="J120" s="13">
        <f t="shared" si="51"/>
        <v>0.37319610770784095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10.800000000000004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4.6959713763650459</v>
      </c>
      <c r="I121" s="383"/>
      <c r="J121" s="13">
        <f t="shared" si="51"/>
        <v>0.34748366454193835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10.800000000000004</v>
      </c>
      <c r="E122" s="15">
        <f t="shared" si="49"/>
        <v>0.62</v>
      </c>
      <c r="F122" s="54"/>
      <c r="G122" s="3">
        <v>14</v>
      </c>
      <c r="H122" s="246">
        <f t="shared" si="47"/>
        <v>4.3724286206136371</v>
      </c>
      <c r="I122" s="382"/>
      <c r="J122" s="13">
        <f t="shared" si="51"/>
        <v>0.32354275575140878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10.800000000000004</v>
      </c>
      <c r="E123" s="15">
        <f t="shared" si="49"/>
        <v>0.37</v>
      </c>
      <c r="F123" s="54"/>
      <c r="G123" s="3">
        <v>15</v>
      </c>
      <c r="H123" s="246">
        <f t="shared" si="47"/>
        <v>2.4119416080277154</v>
      </c>
      <c r="I123" s="382"/>
      <c r="J123" s="13">
        <f t="shared" si="51"/>
        <v>1.9604870125859217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10.800000000000004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4.4777203411783031</v>
      </c>
      <c r="I124" s="383"/>
      <c r="J124" s="13">
        <f t="shared" si="51"/>
        <v>-2.0657787331505877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10.800000000000004</v>
      </c>
      <c r="E125" s="15">
        <f t="shared" si="49"/>
        <v>0.6</v>
      </c>
      <c r="F125" s="54"/>
      <c r="G125" s="3">
        <v>18</v>
      </c>
      <c r="H125" s="246">
        <f t="shared" si="47"/>
        <v>4.169214632229461</v>
      </c>
      <c r="I125" s="382"/>
      <c r="J125" s="13">
        <f t="shared" si="51"/>
        <v>0.30850570894884211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10.800000000000004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3.8819643312119205</v>
      </c>
      <c r="I126" s="383"/>
      <c r="J126" s="13">
        <f t="shared" si="51"/>
        <v>0.28725030101754045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10.800000000000004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3.6145049842980184</v>
      </c>
      <c r="I127" s="383"/>
      <c r="J127" s="13">
        <f t="shared" si="51"/>
        <v>0.26745934691390216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10.800000000000004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3.3654730355125464</v>
      </c>
      <c r="I128" s="383"/>
      <c r="J128" s="13">
        <f t="shared" si="51"/>
        <v>0.24903194878547197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10.800000000000004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3.2863353450309973</v>
      </c>
      <c r="I129" s="383"/>
      <c r="J129" s="13">
        <f t="shared" si="51"/>
        <v>7.9137690481549061E-2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10.800000000000004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3.2090585442338013</v>
      </c>
      <c r="I130" s="383"/>
      <c r="J130" s="13">
        <f t="shared" si="51"/>
        <v>7.727680079719601E-2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10.800000000000004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3.1335988750785364</v>
      </c>
      <c r="I131" s="383"/>
      <c r="J131" s="13">
        <f t="shared" si="51"/>
        <v>7.5459669155264919E-2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10.800000000000004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3.0599136084748397</v>
      </c>
      <c r="I132" s="383"/>
      <c r="J132" s="13">
        <f t="shared" si="51"/>
        <v>7.3685266603696675E-2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10.800000000000004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2.9879610200890347</v>
      </c>
      <c r="I133" s="383"/>
      <c r="J133" s="13">
        <f t="shared" si="51"/>
        <v>7.1952588385804983E-2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10.800000000000004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2.9177003667176944</v>
      </c>
      <c r="I134" s="383"/>
      <c r="J134" s="13">
        <f t="shared" si="51"/>
        <v>7.0260653371340354E-2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10.800000000000004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2.8490918632167777</v>
      </c>
      <c r="I135" s="383"/>
      <c r="J135" s="13">
        <f t="shared" si="51"/>
        <v>6.860850350091674E-2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10.800000000000004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2.7820966599732575</v>
      </c>
      <c r="I136" s="383"/>
      <c r="J136" s="13">
        <f t="shared" si="51"/>
        <v>6.6995203243520152E-2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10.800000000000004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2.7166768209065082</v>
      </c>
      <c r="I137" s="383"/>
      <c r="J137" s="13">
        <f t="shared" si="51"/>
        <v>6.5419839066749308E-2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10.800000000000004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2.5295033833625955</v>
      </c>
      <c r="I138" s="383"/>
      <c r="J138" s="13">
        <f t="shared" si="51"/>
        <v>0.18717343754391269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10.800000000000004</v>
      </c>
      <c r="E139" s="15">
        <f t="shared" si="49"/>
        <v>0.36</v>
      </c>
      <c r="F139" s="54"/>
      <c r="G139" s="3">
        <v>150</v>
      </c>
      <c r="H139" s="246">
        <f t="shared" si="47"/>
        <v>2.3552258101527825</v>
      </c>
      <c r="I139" s="382"/>
      <c r="J139" s="13">
        <f t="shared" si="51"/>
        <v>0.17427757320981296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10.800000000000004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2.4700231695227326</v>
      </c>
      <c r="I140" s="383"/>
      <c r="J140" s="13">
        <f t="shared" si="51"/>
        <v>-0.11479735936995006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10.800000000000004</v>
      </c>
      <c r="E141" s="15">
        <f t="shared" si="49"/>
        <v>0.35</v>
      </c>
      <c r="F141" s="54"/>
      <c r="G141" s="3">
        <v>210</v>
      </c>
      <c r="H141" s="246">
        <f t="shared" si="47"/>
        <v>2.2998436605377761</v>
      </c>
      <c r="I141" s="382"/>
      <c r="J141" s="13">
        <f t="shared" si="51"/>
        <v>0.17017950898495648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10.800000000000004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2.1413891692108353</v>
      </c>
      <c r="I142" s="383"/>
      <c r="J142" s="13">
        <f t="shared" si="51"/>
        <v>0.15845449132694078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10.800000000000004</v>
      </c>
      <c r="E143" s="15">
        <f>C143/100</f>
        <v>0.28999999999999998</v>
      </c>
      <c r="F143" s="54"/>
      <c r="G143" s="3">
        <v>270</v>
      </c>
      <c r="H143" s="246">
        <f t="shared" si="47"/>
        <v>1.9938518659747615</v>
      </c>
      <c r="I143" s="382"/>
      <c r="J143" s="13">
        <f t="shared" si="51"/>
        <v>0.14753730323607384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10.800000000000004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1.8564795790557336</v>
      </c>
      <c r="I144" s="383"/>
      <c r="J144" s="13">
        <f t="shared" si="51"/>
        <v>0.13737228691902792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10.800000000000004</v>
      </c>
      <c r="E145" s="15">
        <f>C145/100</f>
        <v>0.23</v>
      </c>
      <c r="F145" s="54"/>
      <c r="G145" s="3">
        <v>330</v>
      </c>
      <c r="H145" s="246">
        <f t="shared" si="47"/>
        <v>1.7285719597659319</v>
      </c>
      <c r="I145" s="382"/>
      <c r="J145" s="13">
        <f t="shared" si="51"/>
        <v>0.12790761928980166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10.800000000000004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1.6094769119996513</v>
      </c>
      <c r="I146" s="383"/>
      <c r="J146" s="13">
        <f t="shared" si="51"/>
        <v>0.11909504776628066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0.44</v>
      </c>
      <c r="C8" t="s">
        <v>88</v>
      </c>
      <c r="D8" s="69" t="s">
        <v>78</v>
      </c>
      <c r="E8" s="70">
        <f>입력표!C26</f>
        <v>52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303.3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30.5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0.52500000000000002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290.39999999999998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tabSelected="1" workbookViewId="0">
      <selection activeCell="L18" sqref="L18"/>
    </sheetView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입력표!M46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2" x14ac:dyDescent="0.3">
      <c r="A17" s="423">
        <v>0</v>
      </c>
      <c r="B17" s="423"/>
    </row>
    <row r="18" spans="1:2" x14ac:dyDescent="0.3">
      <c r="A18" s="423">
        <f>입력표!N45/2/1000</f>
        <v>0.1</v>
      </c>
      <c r="B18" s="423"/>
    </row>
    <row r="19" spans="1:2" x14ac:dyDescent="0.3">
      <c r="A19" s="423">
        <f>입력표!M44/2/1000</f>
        <v>0.1</v>
      </c>
      <c r="B19" s="423"/>
    </row>
    <row r="20" spans="1:2" x14ac:dyDescent="0.3">
      <c r="A20" s="423">
        <v>0</v>
      </c>
      <c r="B20" s="423"/>
    </row>
    <row r="21" spans="1:2" x14ac:dyDescent="0.3">
      <c r="A21" s="423">
        <v>0</v>
      </c>
      <c r="B21" s="423"/>
    </row>
    <row r="22" spans="1:2" x14ac:dyDescent="0.3">
      <c r="A22" s="423">
        <v>1</v>
      </c>
      <c r="B22" s="423"/>
    </row>
    <row r="23" spans="1:2" x14ac:dyDescent="0.3">
      <c r="A23" s="423">
        <v>5</v>
      </c>
      <c r="B23" s="423"/>
    </row>
    <row r="24" spans="1:2" x14ac:dyDescent="0.3">
      <c r="A24" s="425">
        <v>0</v>
      </c>
      <c r="B24" s="425">
        <f>입력표!D3</f>
        <v>32</v>
      </c>
    </row>
    <row r="25" spans="1:2" x14ac:dyDescent="0.3">
      <c r="A25" s="425">
        <f>단계양수시험!D31</f>
        <v>120</v>
      </c>
      <c r="B25" s="425">
        <f>입력표!D4</f>
        <v>41</v>
      </c>
    </row>
    <row r="26" spans="1:2" x14ac:dyDescent="0.3">
      <c r="A26" s="425">
        <f>단계양수시험!D36</f>
        <v>240</v>
      </c>
      <c r="B26" s="425">
        <f>입력표!D5</f>
        <v>50.15</v>
      </c>
    </row>
    <row r="27" spans="1:2" x14ac:dyDescent="0.3">
      <c r="A27" s="425">
        <f>단계양수시험!D41</f>
        <v>360</v>
      </c>
      <c r="B27" s="425">
        <f>입력표!D6</f>
        <v>59</v>
      </c>
    </row>
    <row r="28" spans="1:2" x14ac:dyDescent="0.3">
      <c r="A28" s="425">
        <f>단계양수시험!D46</f>
        <v>480</v>
      </c>
      <c r="B28" s="425">
        <f>입력표!D7</f>
        <v>67.849999999999994</v>
      </c>
    </row>
    <row r="29" spans="1:2" x14ac:dyDescent="0.3">
      <c r="A29" s="423" t="s">
        <v>104</v>
      </c>
      <c r="B29" s="423"/>
    </row>
    <row r="30" spans="1:2" x14ac:dyDescent="0.3">
      <c r="A30" s="423" t="str">
        <f>A15</f>
        <v>W-1</v>
      </c>
      <c r="B30" s="423"/>
    </row>
    <row r="31" spans="1:2" x14ac:dyDescent="0.3">
      <c r="A31" s="426">
        <f>A19</f>
        <v>0.1</v>
      </c>
      <c r="B31" s="423"/>
    </row>
    <row r="32" spans="1:2" x14ac:dyDescent="0.3">
      <c r="A32" s="423">
        <v>0</v>
      </c>
      <c r="B32" s="423"/>
    </row>
    <row r="33" spans="1:3" x14ac:dyDescent="0.3">
      <c r="A33" s="423">
        <v>0</v>
      </c>
      <c r="B33" s="423"/>
    </row>
    <row r="34" spans="1:3" x14ac:dyDescent="0.3">
      <c r="A34" s="425">
        <f>SUM(C35:C134)</f>
        <v>100</v>
      </c>
      <c r="B34" s="423"/>
    </row>
    <row r="35" spans="1:3" x14ac:dyDescent="0.3">
      <c r="A35" s="423">
        <f>Sheet1!A1</f>
        <v>1</v>
      </c>
      <c r="B35" s="424">
        <f>Sheet1!B1</f>
        <v>1</v>
      </c>
      <c r="C35" s="425">
        <v>1</v>
      </c>
    </row>
    <row r="36" spans="1:3" x14ac:dyDescent="0.3">
      <c r="A36" s="423">
        <f>Sheet1!A2</f>
        <v>2</v>
      </c>
      <c r="B36" s="424">
        <f>Sheet1!B2</f>
        <v>1.5</v>
      </c>
      <c r="C36" s="425">
        <v>1</v>
      </c>
    </row>
    <row r="37" spans="1:3" x14ac:dyDescent="0.3">
      <c r="A37" s="423">
        <f>Sheet1!A3</f>
        <v>3</v>
      </c>
      <c r="B37" s="424">
        <f>Sheet1!B3</f>
        <v>1.79</v>
      </c>
      <c r="C37" s="425">
        <v>1</v>
      </c>
    </row>
    <row r="38" spans="1:3" x14ac:dyDescent="0.3">
      <c r="A38" s="423">
        <f>Sheet1!A4</f>
        <v>4</v>
      </c>
      <c r="B38" s="424">
        <f>Sheet1!B4</f>
        <v>1.99</v>
      </c>
      <c r="C38" s="425">
        <v>1</v>
      </c>
    </row>
    <row r="39" spans="1:3" x14ac:dyDescent="0.3">
      <c r="A39" s="423">
        <f>Sheet1!A5</f>
        <v>5</v>
      </c>
      <c r="B39" s="424">
        <f>Sheet1!B5</f>
        <v>2.15</v>
      </c>
      <c r="C39" s="425">
        <v>1</v>
      </c>
    </row>
    <row r="40" spans="1:3" x14ac:dyDescent="0.3">
      <c r="A40" s="423">
        <f>Sheet1!A6</f>
        <v>10</v>
      </c>
      <c r="B40" s="424">
        <f>Sheet1!B6</f>
        <v>2.64</v>
      </c>
      <c r="C40" s="425">
        <v>1</v>
      </c>
    </row>
    <row r="41" spans="1:3" x14ac:dyDescent="0.3">
      <c r="A41" s="423">
        <f>Sheet1!A7</f>
        <v>15</v>
      </c>
      <c r="B41" s="424">
        <f>Sheet1!B7</f>
        <v>2.93</v>
      </c>
      <c r="C41" s="425">
        <v>1</v>
      </c>
    </row>
    <row r="42" spans="1:3" x14ac:dyDescent="0.3">
      <c r="A42" s="423">
        <f>Sheet1!A8</f>
        <v>20</v>
      </c>
      <c r="B42" s="424">
        <f>Sheet1!B8</f>
        <v>3.14</v>
      </c>
      <c r="C42" s="425">
        <v>1</v>
      </c>
    </row>
    <row r="43" spans="1:3" x14ac:dyDescent="0.3">
      <c r="A43" s="423">
        <f>Sheet1!A9</f>
        <v>25</v>
      </c>
      <c r="B43" s="424">
        <f>Sheet1!B9</f>
        <v>3.3</v>
      </c>
      <c r="C43" s="425">
        <v>1</v>
      </c>
    </row>
    <row r="44" spans="1:3" x14ac:dyDescent="0.3">
      <c r="A44" s="423">
        <f>Sheet1!A10</f>
        <v>30</v>
      </c>
      <c r="B44" s="424">
        <f>Sheet1!B10</f>
        <v>3.43</v>
      </c>
      <c r="C44" s="425">
        <v>1</v>
      </c>
    </row>
    <row r="45" spans="1:3" x14ac:dyDescent="0.3">
      <c r="A45" s="423">
        <f>Sheet1!A11</f>
        <v>35</v>
      </c>
      <c r="B45" s="424">
        <f>Sheet1!B11</f>
        <v>3.54</v>
      </c>
      <c r="C45" s="425">
        <v>1</v>
      </c>
    </row>
    <row r="46" spans="1:3" x14ac:dyDescent="0.3">
      <c r="A46" s="423">
        <f>Sheet1!A12</f>
        <v>40</v>
      </c>
      <c r="B46" s="424">
        <f>Sheet1!B12</f>
        <v>3.63</v>
      </c>
      <c r="C46" s="425">
        <v>1</v>
      </c>
    </row>
    <row r="47" spans="1:3" x14ac:dyDescent="0.3">
      <c r="A47" s="423">
        <f>Sheet1!A13</f>
        <v>45</v>
      </c>
      <c r="B47" s="424">
        <f>Sheet1!B13</f>
        <v>3.72</v>
      </c>
      <c r="C47" s="425">
        <v>1</v>
      </c>
    </row>
    <row r="48" spans="1:3" x14ac:dyDescent="0.3">
      <c r="A48" s="423">
        <f>Sheet1!A14</f>
        <v>50</v>
      </c>
      <c r="B48" s="424">
        <f>Sheet1!B14</f>
        <v>3.79</v>
      </c>
      <c r="C48" s="425">
        <v>1</v>
      </c>
    </row>
    <row r="49" spans="1:3" x14ac:dyDescent="0.3">
      <c r="A49" s="423">
        <f>Sheet1!A15</f>
        <v>55</v>
      </c>
      <c r="B49" s="424">
        <f>Sheet1!B15</f>
        <v>3.86</v>
      </c>
      <c r="C49" s="425">
        <v>1</v>
      </c>
    </row>
    <row r="50" spans="1:3" x14ac:dyDescent="0.3">
      <c r="A50" s="423">
        <f>Sheet1!A16</f>
        <v>60</v>
      </c>
      <c r="B50" s="424">
        <f>Sheet1!B16</f>
        <v>3.92</v>
      </c>
      <c r="C50" s="425">
        <v>1</v>
      </c>
    </row>
    <row r="51" spans="1:3" x14ac:dyDescent="0.3">
      <c r="A51" s="423">
        <f>Sheet1!A17</f>
        <v>75</v>
      </c>
      <c r="B51" s="424">
        <f>Sheet1!B17</f>
        <v>4.08</v>
      </c>
      <c r="C51" s="425">
        <v>1</v>
      </c>
    </row>
    <row r="52" spans="1:3" x14ac:dyDescent="0.3">
      <c r="A52" s="423">
        <f>Sheet1!A18</f>
        <v>90</v>
      </c>
      <c r="B52" s="424">
        <f>Sheet1!B18</f>
        <v>4.21</v>
      </c>
      <c r="C52" s="425">
        <v>1</v>
      </c>
    </row>
    <row r="53" spans="1:3" x14ac:dyDescent="0.3">
      <c r="A53" s="423">
        <f>Sheet1!A19</f>
        <v>105</v>
      </c>
      <c r="B53" s="424">
        <f>Sheet1!B19</f>
        <v>4.32</v>
      </c>
      <c r="C53" s="425">
        <v>1</v>
      </c>
    </row>
    <row r="54" spans="1:3" x14ac:dyDescent="0.3">
      <c r="A54" s="423">
        <f>Sheet1!A20</f>
        <v>120</v>
      </c>
      <c r="B54" s="424">
        <f>Sheet1!B20</f>
        <v>4.42</v>
      </c>
      <c r="C54" s="425">
        <v>1</v>
      </c>
    </row>
    <row r="55" spans="1:3" x14ac:dyDescent="0.3">
      <c r="A55" s="423">
        <f>Sheet1!A21</f>
        <v>121</v>
      </c>
      <c r="B55" s="424">
        <f>Sheet1!B21</f>
        <v>4.58</v>
      </c>
      <c r="C55" s="425">
        <v>1</v>
      </c>
    </row>
    <row r="56" spans="1:3" x14ac:dyDescent="0.3">
      <c r="A56" s="423">
        <f>Sheet1!A22</f>
        <v>122</v>
      </c>
      <c r="B56" s="424">
        <f>Sheet1!B22</f>
        <v>4.7300000000000004</v>
      </c>
      <c r="C56" s="425">
        <v>1</v>
      </c>
    </row>
    <row r="57" spans="1:3" x14ac:dyDescent="0.3">
      <c r="A57" s="423">
        <f>Sheet1!A23</f>
        <v>123</v>
      </c>
      <c r="B57" s="424">
        <f>Sheet1!B23</f>
        <v>4.87</v>
      </c>
      <c r="C57" s="425">
        <v>1</v>
      </c>
    </row>
    <row r="58" spans="1:3" x14ac:dyDescent="0.3">
      <c r="A58" s="423">
        <f>Sheet1!A24</f>
        <v>124</v>
      </c>
      <c r="B58" s="424">
        <f>Sheet1!B24</f>
        <v>5</v>
      </c>
      <c r="C58" s="425">
        <v>1</v>
      </c>
    </row>
    <row r="59" spans="1:3" x14ac:dyDescent="0.3">
      <c r="A59" s="423">
        <f>Sheet1!A25</f>
        <v>125</v>
      </c>
      <c r="B59" s="424">
        <f>Sheet1!B25</f>
        <v>5.13</v>
      </c>
      <c r="C59" s="425">
        <v>1</v>
      </c>
    </row>
    <row r="60" spans="1:3" x14ac:dyDescent="0.3">
      <c r="A60" s="423">
        <f>Sheet1!A26</f>
        <v>130</v>
      </c>
      <c r="B60" s="424">
        <f>Sheet1!B26</f>
        <v>5.32</v>
      </c>
      <c r="C60" s="425">
        <v>1</v>
      </c>
    </row>
    <row r="61" spans="1:3" x14ac:dyDescent="0.3">
      <c r="A61" s="423">
        <f>Sheet1!A27</f>
        <v>135</v>
      </c>
      <c r="B61" s="424">
        <f>Sheet1!B27</f>
        <v>5.4300000000000006</v>
      </c>
      <c r="C61" s="425">
        <v>1</v>
      </c>
    </row>
    <row r="62" spans="1:3" x14ac:dyDescent="0.3">
      <c r="A62" s="423">
        <f>Sheet1!A28</f>
        <v>140</v>
      </c>
      <c r="B62" s="424">
        <f>Sheet1!B28</f>
        <v>5.47</v>
      </c>
      <c r="C62" s="425">
        <v>1</v>
      </c>
    </row>
    <row r="63" spans="1:3" x14ac:dyDescent="0.3">
      <c r="A63" s="423">
        <f>Sheet1!A29</f>
        <v>145</v>
      </c>
      <c r="B63" s="424">
        <f>Sheet1!B29</f>
        <v>5.5699999999999994</v>
      </c>
      <c r="C63" s="425">
        <v>1</v>
      </c>
    </row>
    <row r="64" spans="1:3" x14ac:dyDescent="0.3">
      <c r="A64" s="423">
        <f>Sheet1!A30</f>
        <v>150</v>
      </c>
      <c r="B64" s="424">
        <f>Sheet1!B30</f>
        <v>5.62</v>
      </c>
      <c r="C64" s="425">
        <v>1</v>
      </c>
    </row>
    <row r="65" spans="1:3" x14ac:dyDescent="0.3">
      <c r="A65" s="423">
        <f>Sheet1!A31</f>
        <v>155</v>
      </c>
      <c r="B65" s="424">
        <f>Sheet1!B31</f>
        <v>5.68</v>
      </c>
      <c r="C65" s="425">
        <v>1</v>
      </c>
    </row>
    <row r="66" spans="1:3" x14ac:dyDescent="0.3">
      <c r="A66" s="423">
        <f>Sheet1!A32</f>
        <v>160</v>
      </c>
      <c r="B66" s="424">
        <f>Sheet1!B32</f>
        <v>5.7299999999999995</v>
      </c>
      <c r="C66" s="425">
        <v>1</v>
      </c>
    </row>
    <row r="67" spans="1:3" x14ac:dyDescent="0.3">
      <c r="A67" s="423">
        <f>Sheet1!A33</f>
        <v>165</v>
      </c>
      <c r="B67" s="424">
        <f>Sheet1!B33</f>
        <v>5.77</v>
      </c>
      <c r="C67" s="425">
        <v>1</v>
      </c>
    </row>
    <row r="68" spans="1:3" x14ac:dyDescent="0.3">
      <c r="A68" s="423">
        <f>Sheet1!A34</f>
        <v>170</v>
      </c>
      <c r="B68" s="424">
        <f>Sheet1!B34</f>
        <v>5.8</v>
      </c>
      <c r="C68" s="425">
        <v>1</v>
      </c>
    </row>
    <row r="69" spans="1:3" x14ac:dyDescent="0.3">
      <c r="A69" s="423">
        <f>Sheet1!A35</f>
        <v>175</v>
      </c>
      <c r="B69" s="424">
        <f>Sheet1!B35</f>
        <v>5.8199999999999994</v>
      </c>
      <c r="C69" s="425">
        <v>1</v>
      </c>
    </row>
    <row r="70" spans="1:3" x14ac:dyDescent="0.3">
      <c r="A70" s="423">
        <f>Sheet1!A36</f>
        <v>180</v>
      </c>
      <c r="B70" s="424">
        <f>Sheet1!B36</f>
        <v>5.77</v>
      </c>
      <c r="C70" s="425">
        <v>1</v>
      </c>
    </row>
    <row r="71" spans="1:3" x14ac:dyDescent="0.3">
      <c r="A71" s="423">
        <f>Sheet1!A37</f>
        <v>195</v>
      </c>
      <c r="B71" s="424">
        <f>Sheet1!B37</f>
        <v>5.84</v>
      </c>
      <c r="C71" s="425">
        <v>1</v>
      </c>
    </row>
    <row r="72" spans="1:3" x14ac:dyDescent="0.3">
      <c r="A72" s="423">
        <f>Sheet1!A38</f>
        <v>210</v>
      </c>
      <c r="B72" s="424">
        <f>Sheet1!B38</f>
        <v>5.8999999999999995</v>
      </c>
      <c r="C72" s="425">
        <v>1</v>
      </c>
    </row>
    <row r="73" spans="1:3" x14ac:dyDescent="0.3">
      <c r="A73" s="423">
        <f>Sheet1!A39</f>
        <v>225</v>
      </c>
      <c r="B73" s="424">
        <f>Sheet1!B39</f>
        <v>5.9499999999999993</v>
      </c>
      <c r="C73" s="425">
        <v>1</v>
      </c>
    </row>
    <row r="74" spans="1:3" x14ac:dyDescent="0.3">
      <c r="A74" s="423">
        <f>Sheet1!A40</f>
        <v>240</v>
      </c>
      <c r="B74" s="424">
        <f>Sheet1!B40</f>
        <v>5.93</v>
      </c>
      <c r="C74" s="425">
        <v>1</v>
      </c>
    </row>
    <row r="75" spans="1:3" x14ac:dyDescent="0.3">
      <c r="A75" s="423">
        <f>Sheet1!A41</f>
        <v>241</v>
      </c>
      <c r="B75" s="424">
        <f>Sheet1!B41</f>
        <v>6.1099999999999994</v>
      </c>
      <c r="C75" s="425">
        <v>1</v>
      </c>
    </row>
    <row r="76" spans="1:3" x14ac:dyDescent="0.3">
      <c r="A76" s="423">
        <f>Sheet1!A42</f>
        <v>242</v>
      </c>
      <c r="B76" s="424">
        <f>Sheet1!B42</f>
        <v>6.27</v>
      </c>
      <c r="C76" s="425">
        <v>1</v>
      </c>
    </row>
    <row r="77" spans="1:3" x14ac:dyDescent="0.3">
      <c r="A77" s="423">
        <f>Sheet1!A43</f>
        <v>243</v>
      </c>
      <c r="B77" s="424">
        <f>Sheet1!B43</f>
        <v>6.42</v>
      </c>
      <c r="C77" s="425">
        <v>1</v>
      </c>
    </row>
    <row r="78" spans="1:3" x14ac:dyDescent="0.3">
      <c r="A78" s="423">
        <f>Sheet1!A44</f>
        <v>244</v>
      </c>
      <c r="B78" s="424">
        <f>Sheet1!B44</f>
        <v>6.56</v>
      </c>
      <c r="C78" s="425">
        <v>1</v>
      </c>
    </row>
    <row r="79" spans="1:3" x14ac:dyDescent="0.3">
      <c r="A79" s="423">
        <f>Sheet1!A45</f>
        <v>245</v>
      </c>
      <c r="B79" s="424">
        <f>Sheet1!B45</f>
        <v>6.6899999999999995</v>
      </c>
      <c r="C79" s="425">
        <v>1</v>
      </c>
    </row>
    <row r="80" spans="1:3" x14ac:dyDescent="0.3">
      <c r="A80" s="423">
        <f>Sheet1!A46</f>
        <v>250</v>
      </c>
      <c r="B80" s="424">
        <f>Sheet1!B46</f>
        <v>7</v>
      </c>
      <c r="C80" s="425">
        <v>1</v>
      </c>
    </row>
    <row r="81" spans="1:3" x14ac:dyDescent="0.3">
      <c r="A81" s="423">
        <f>Sheet1!A47</f>
        <v>255</v>
      </c>
      <c r="B81" s="424">
        <f>Sheet1!B47</f>
        <v>7.11</v>
      </c>
      <c r="C81" s="425">
        <v>1</v>
      </c>
    </row>
    <row r="82" spans="1:3" x14ac:dyDescent="0.3">
      <c r="A82" s="423">
        <f>Sheet1!A48</f>
        <v>260</v>
      </c>
      <c r="B82" s="424">
        <f>Sheet1!B48</f>
        <v>7.18</v>
      </c>
      <c r="C82" s="425">
        <v>1</v>
      </c>
    </row>
    <row r="83" spans="1:3" x14ac:dyDescent="0.3">
      <c r="A83" s="423">
        <f>Sheet1!A49</f>
        <v>265</v>
      </c>
      <c r="B83" s="424">
        <f>Sheet1!B49</f>
        <v>7.29</v>
      </c>
      <c r="C83" s="425">
        <v>1</v>
      </c>
    </row>
    <row r="84" spans="1:3" x14ac:dyDescent="0.3">
      <c r="A84" s="423">
        <f>Sheet1!A50</f>
        <v>270</v>
      </c>
      <c r="B84" s="424">
        <f>Sheet1!B50</f>
        <v>7.36</v>
      </c>
      <c r="C84" s="425">
        <v>1</v>
      </c>
    </row>
    <row r="85" spans="1:3" x14ac:dyDescent="0.3">
      <c r="A85" s="423">
        <f>Sheet1!A51</f>
        <v>275</v>
      </c>
      <c r="B85" s="424">
        <f>Sheet1!B51</f>
        <v>7.4300000000000006</v>
      </c>
      <c r="C85" s="425">
        <v>1</v>
      </c>
    </row>
    <row r="86" spans="1:3" x14ac:dyDescent="0.3">
      <c r="A86" s="423">
        <f>Sheet1!A52</f>
        <v>280</v>
      </c>
      <c r="B86" s="424">
        <f>Sheet1!B52</f>
        <v>7.48</v>
      </c>
      <c r="C86" s="425">
        <v>1</v>
      </c>
    </row>
    <row r="87" spans="1:3" x14ac:dyDescent="0.3">
      <c r="A87" s="423">
        <f>Sheet1!A53</f>
        <v>285</v>
      </c>
      <c r="B87" s="424">
        <f>Sheet1!B53</f>
        <v>7.5200000000000005</v>
      </c>
      <c r="C87" s="425">
        <v>1</v>
      </c>
    </row>
    <row r="88" spans="1:3" x14ac:dyDescent="0.3">
      <c r="A88" s="423">
        <f>Sheet1!A54</f>
        <v>290</v>
      </c>
      <c r="B88" s="424">
        <f>Sheet1!B54</f>
        <v>7.5500000000000007</v>
      </c>
      <c r="C88" s="425">
        <v>1</v>
      </c>
    </row>
    <row r="89" spans="1:3" x14ac:dyDescent="0.3">
      <c r="A89" s="423">
        <f>Sheet1!A55</f>
        <v>295</v>
      </c>
      <c r="B89" s="424">
        <f>Sheet1!B55</f>
        <v>7.57</v>
      </c>
      <c r="C89" s="425">
        <v>1</v>
      </c>
    </row>
    <row r="90" spans="1:3" x14ac:dyDescent="0.3">
      <c r="A90" s="423">
        <f>Sheet1!A56</f>
        <v>300</v>
      </c>
      <c r="B90" s="424">
        <f>Sheet1!B56</f>
        <v>7.54</v>
      </c>
      <c r="C90" s="425">
        <v>1</v>
      </c>
    </row>
    <row r="91" spans="1:3" x14ac:dyDescent="0.3">
      <c r="A91" s="423">
        <f>Sheet1!A57</f>
        <v>315</v>
      </c>
      <c r="B91" s="424">
        <f>Sheet1!B57</f>
        <v>7.62</v>
      </c>
      <c r="C91" s="425">
        <v>1</v>
      </c>
    </row>
    <row r="92" spans="1:3" x14ac:dyDescent="0.3">
      <c r="A92" s="423">
        <f>Sheet1!A58</f>
        <v>330</v>
      </c>
      <c r="B92" s="424">
        <f>Sheet1!B58</f>
        <v>7.68</v>
      </c>
      <c r="C92" s="425">
        <v>1</v>
      </c>
    </row>
    <row r="93" spans="1:3" x14ac:dyDescent="0.3">
      <c r="A93" s="423">
        <f>Sheet1!A59</f>
        <v>345</v>
      </c>
      <c r="B93" s="424">
        <f>Sheet1!B59</f>
        <v>7.7299999999999995</v>
      </c>
      <c r="C93" s="425">
        <v>1</v>
      </c>
    </row>
    <row r="94" spans="1:3" x14ac:dyDescent="0.3">
      <c r="A94" s="423">
        <f>Sheet1!A60</f>
        <v>360</v>
      </c>
      <c r="B94" s="424">
        <f>Sheet1!B60</f>
        <v>7.72</v>
      </c>
      <c r="C94" s="425">
        <v>1</v>
      </c>
    </row>
    <row r="95" spans="1:3" x14ac:dyDescent="0.3">
      <c r="A95" s="423">
        <f>Sheet1!A61</f>
        <v>361</v>
      </c>
      <c r="B95" s="424">
        <f>Sheet1!B61</f>
        <v>7.91</v>
      </c>
      <c r="C95" s="425">
        <v>1</v>
      </c>
    </row>
    <row r="96" spans="1:3" x14ac:dyDescent="0.3">
      <c r="A96" s="423">
        <f>Sheet1!A62</f>
        <v>362</v>
      </c>
      <c r="B96" s="424">
        <f>Sheet1!B62</f>
        <v>8.08</v>
      </c>
      <c r="C96" s="425">
        <v>1</v>
      </c>
    </row>
    <row r="97" spans="1:3" x14ac:dyDescent="0.3">
      <c r="A97" s="423">
        <f>Sheet1!A63</f>
        <v>363</v>
      </c>
      <c r="B97" s="424">
        <f>Sheet1!B63</f>
        <v>8.24</v>
      </c>
      <c r="C97" s="425">
        <v>1</v>
      </c>
    </row>
    <row r="98" spans="1:3" x14ac:dyDescent="0.3">
      <c r="A98" s="423">
        <f>Sheet1!A64</f>
        <v>364</v>
      </c>
      <c r="B98" s="424">
        <f>Sheet1!B64</f>
        <v>8.39</v>
      </c>
      <c r="C98" s="425">
        <v>1</v>
      </c>
    </row>
    <row r="99" spans="1:3" x14ac:dyDescent="0.3">
      <c r="A99" s="423">
        <f>Sheet1!A65</f>
        <v>365</v>
      </c>
      <c r="B99" s="424">
        <f>Sheet1!B65</f>
        <v>8.5300000000000011</v>
      </c>
      <c r="C99" s="425">
        <v>1</v>
      </c>
    </row>
    <row r="100" spans="1:3" x14ac:dyDescent="0.3">
      <c r="A100" s="423">
        <f>Sheet1!A66</f>
        <v>370</v>
      </c>
      <c r="B100" s="424">
        <f>Sheet1!B66</f>
        <v>8.85</v>
      </c>
      <c r="C100" s="425">
        <v>1</v>
      </c>
    </row>
    <row r="101" spans="1:3" x14ac:dyDescent="0.3">
      <c r="A101" s="423">
        <f>Sheet1!A67</f>
        <v>375</v>
      </c>
      <c r="B101" s="424">
        <f>Sheet1!B67</f>
        <v>8.9699999999999989</v>
      </c>
      <c r="C101" s="425">
        <v>1</v>
      </c>
    </row>
    <row r="102" spans="1:3" x14ac:dyDescent="0.3">
      <c r="A102" s="423">
        <f>Sheet1!A68</f>
        <v>380</v>
      </c>
      <c r="B102" s="424">
        <f>Sheet1!B68</f>
        <v>9.0399999999999991</v>
      </c>
      <c r="C102" s="425">
        <v>1</v>
      </c>
    </row>
    <row r="103" spans="1:3" x14ac:dyDescent="0.3">
      <c r="A103" s="423">
        <f>Sheet1!A69</f>
        <v>385</v>
      </c>
      <c r="B103" s="424">
        <f>Sheet1!B69</f>
        <v>9.1599999999999984</v>
      </c>
      <c r="C103" s="425">
        <v>1</v>
      </c>
    </row>
    <row r="104" spans="1:3" x14ac:dyDescent="0.3">
      <c r="A104" s="423">
        <f>Sheet1!A70</f>
        <v>390</v>
      </c>
      <c r="B104" s="424">
        <f>Sheet1!B70</f>
        <v>9.23</v>
      </c>
      <c r="C104" s="425">
        <v>1</v>
      </c>
    </row>
    <row r="105" spans="1:3" x14ac:dyDescent="0.3">
      <c r="A105" s="423">
        <f>Sheet1!A71</f>
        <v>395</v>
      </c>
      <c r="B105" s="424">
        <f>Sheet1!B71</f>
        <v>9.3000000000000007</v>
      </c>
      <c r="C105" s="425">
        <v>1</v>
      </c>
    </row>
    <row r="106" spans="1:3" x14ac:dyDescent="0.3">
      <c r="A106" s="423">
        <f>Sheet1!A72</f>
        <v>400</v>
      </c>
      <c r="B106" s="424">
        <f>Sheet1!B72</f>
        <v>9.3500000000000014</v>
      </c>
      <c r="C106" s="425">
        <v>1</v>
      </c>
    </row>
    <row r="107" spans="1:3" x14ac:dyDescent="0.3">
      <c r="A107" s="423">
        <f>Sheet1!A73</f>
        <v>405</v>
      </c>
      <c r="B107" s="424">
        <f>Sheet1!B73</f>
        <v>9.39</v>
      </c>
      <c r="C107" s="425">
        <v>1</v>
      </c>
    </row>
    <row r="108" spans="1:3" x14ac:dyDescent="0.3">
      <c r="A108" s="423">
        <f>Sheet1!A74</f>
        <v>410</v>
      </c>
      <c r="B108" s="424">
        <f>Sheet1!B74</f>
        <v>9.42</v>
      </c>
      <c r="C108" s="425">
        <v>1</v>
      </c>
    </row>
    <row r="109" spans="1:3" x14ac:dyDescent="0.3">
      <c r="A109" s="423">
        <f>Sheet1!A75</f>
        <v>415</v>
      </c>
      <c r="B109" s="424">
        <f>Sheet1!B75</f>
        <v>9.4499999999999993</v>
      </c>
      <c r="C109" s="425">
        <v>1</v>
      </c>
    </row>
    <row r="110" spans="1:3" x14ac:dyDescent="0.3">
      <c r="A110" s="423">
        <f>Sheet1!A76</f>
        <v>420</v>
      </c>
      <c r="B110" s="424">
        <f>Sheet1!B76</f>
        <v>9.42</v>
      </c>
      <c r="C110" s="425">
        <v>1</v>
      </c>
    </row>
    <row r="111" spans="1:3" x14ac:dyDescent="0.3">
      <c r="A111" s="423">
        <f>Sheet1!A77</f>
        <v>435</v>
      </c>
      <c r="B111" s="424">
        <f>Sheet1!B77</f>
        <v>9.51</v>
      </c>
      <c r="C111" s="425">
        <v>1</v>
      </c>
    </row>
    <row r="112" spans="1:3" x14ac:dyDescent="0.3">
      <c r="A112" s="423">
        <f>Sheet1!A78</f>
        <v>450</v>
      </c>
      <c r="B112" s="424">
        <f>Sheet1!B78</f>
        <v>9.58</v>
      </c>
      <c r="C112" s="425">
        <v>1</v>
      </c>
    </row>
    <row r="113" spans="1:3" x14ac:dyDescent="0.3">
      <c r="A113" s="423">
        <f>Sheet1!A79</f>
        <v>465</v>
      </c>
      <c r="B113" s="424">
        <f>Sheet1!B79</f>
        <v>9.6300000000000008</v>
      </c>
      <c r="C113" s="425">
        <v>1</v>
      </c>
    </row>
    <row r="114" spans="1:3" x14ac:dyDescent="0.3">
      <c r="A114" s="423">
        <f>Sheet1!A80</f>
        <v>480</v>
      </c>
      <c r="B114" s="424">
        <f>Sheet1!B80</f>
        <v>9.61</v>
      </c>
      <c r="C114" s="425">
        <v>1</v>
      </c>
    </row>
    <row r="115" spans="1:3" x14ac:dyDescent="0.3">
      <c r="A115" s="423">
        <f>Sheet1!A81</f>
        <v>481</v>
      </c>
      <c r="B115" s="424">
        <f>Sheet1!B81</f>
        <v>9.82</v>
      </c>
      <c r="C115" s="425">
        <v>1</v>
      </c>
    </row>
    <row r="116" spans="1:3" x14ac:dyDescent="0.3">
      <c r="A116" s="423">
        <f>Sheet1!A82</f>
        <v>482</v>
      </c>
      <c r="B116" s="424">
        <f>Sheet1!B82</f>
        <v>10.01</v>
      </c>
      <c r="C116" s="425">
        <v>1</v>
      </c>
    </row>
    <row r="117" spans="1:3" x14ac:dyDescent="0.3">
      <c r="A117" s="423">
        <f>Sheet1!A83</f>
        <v>483</v>
      </c>
      <c r="B117" s="424">
        <f>Sheet1!B83</f>
        <v>10.18</v>
      </c>
      <c r="C117" s="425">
        <v>1</v>
      </c>
    </row>
    <row r="118" spans="1:3" x14ac:dyDescent="0.3">
      <c r="A118" s="423">
        <f>Sheet1!A84</f>
        <v>484</v>
      </c>
      <c r="B118" s="424">
        <f>Sheet1!B84</f>
        <v>10.34</v>
      </c>
      <c r="C118" s="425">
        <v>1</v>
      </c>
    </row>
    <row r="119" spans="1:3" x14ac:dyDescent="0.3">
      <c r="A119" s="423">
        <f>Sheet1!A85</f>
        <v>485</v>
      </c>
      <c r="B119" s="424">
        <f>Sheet1!B85</f>
        <v>10.48</v>
      </c>
      <c r="C119" s="425">
        <v>1</v>
      </c>
    </row>
    <row r="120" spans="1:3" x14ac:dyDescent="0.3">
      <c r="A120" s="423">
        <f>Sheet1!A86</f>
        <v>490</v>
      </c>
      <c r="B120" s="424">
        <f>Sheet1!B86</f>
        <v>10.76</v>
      </c>
      <c r="C120" s="425">
        <v>1</v>
      </c>
    </row>
    <row r="121" spans="1:3" x14ac:dyDescent="0.3">
      <c r="A121" s="423">
        <f>Sheet1!A87</f>
        <v>495</v>
      </c>
      <c r="B121" s="424">
        <f>Sheet1!B87</f>
        <v>11.07</v>
      </c>
      <c r="C121" s="425">
        <v>1</v>
      </c>
    </row>
    <row r="122" spans="1:3" x14ac:dyDescent="0.3">
      <c r="A122" s="423">
        <f>Sheet1!A88</f>
        <v>500</v>
      </c>
      <c r="B122" s="424">
        <f>Sheet1!B88</f>
        <v>11.19</v>
      </c>
      <c r="C122" s="425">
        <v>1</v>
      </c>
    </row>
    <row r="123" spans="1:3" x14ac:dyDescent="0.3">
      <c r="A123" s="423">
        <f>Sheet1!A89</f>
        <v>505</v>
      </c>
      <c r="B123" s="424">
        <f>Sheet1!B89</f>
        <v>11.49</v>
      </c>
      <c r="C123" s="425">
        <v>1</v>
      </c>
    </row>
    <row r="124" spans="1:3" x14ac:dyDescent="0.3">
      <c r="A124" s="423">
        <f>Sheet1!A90</f>
        <v>510</v>
      </c>
      <c r="B124" s="424">
        <f>Sheet1!B90</f>
        <v>11.62</v>
      </c>
      <c r="C124" s="425">
        <v>1</v>
      </c>
    </row>
    <row r="125" spans="1:3" x14ac:dyDescent="0.3">
      <c r="A125" s="423">
        <f>Sheet1!A91</f>
        <v>515</v>
      </c>
      <c r="B125" s="424">
        <f>Sheet1!B91</f>
        <v>11.77</v>
      </c>
      <c r="C125" s="425">
        <v>1</v>
      </c>
    </row>
    <row r="126" spans="1:3" x14ac:dyDescent="0.3">
      <c r="A126" s="423">
        <f>Sheet1!A92</f>
        <v>520</v>
      </c>
      <c r="B126" s="424">
        <f>Sheet1!B92</f>
        <v>11.9</v>
      </c>
      <c r="C126" s="425">
        <v>1</v>
      </c>
    </row>
    <row r="127" spans="1:3" x14ac:dyDescent="0.3">
      <c r="A127" s="423">
        <f>Sheet1!A93</f>
        <v>525</v>
      </c>
      <c r="B127" s="424">
        <f>Sheet1!B93</f>
        <v>12.01</v>
      </c>
      <c r="C127" s="425">
        <v>1</v>
      </c>
    </row>
    <row r="128" spans="1:3" x14ac:dyDescent="0.3">
      <c r="A128" s="423">
        <f>Sheet1!A94</f>
        <v>530</v>
      </c>
      <c r="B128" s="424">
        <f>Sheet1!B94</f>
        <v>12.09</v>
      </c>
      <c r="C128" s="425">
        <v>1</v>
      </c>
    </row>
    <row r="129" spans="1:3" x14ac:dyDescent="0.3">
      <c r="A129" s="423">
        <f>Sheet1!A95</f>
        <v>535</v>
      </c>
      <c r="B129" s="424">
        <f>Sheet1!B95</f>
        <v>12.16</v>
      </c>
      <c r="C129" s="425">
        <v>1</v>
      </c>
    </row>
    <row r="130" spans="1:3" x14ac:dyDescent="0.3">
      <c r="A130" s="423">
        <f>Sheet1!A96</f>
        <v>540</v>
      </c>
      <c r="B130" s="424">
        <f>Sheet1!B96</f>
        <v>12.05</v>
      </c>
      <c r="C130" s="425">
        <v>1</v>
      </c>
    </row>
    <row r="131" spans="1:3" x14ac:dyDescent="0.3">
      <c r="A131" s="423">
        <f>Sheet1!A97</f>
        <v>555</v>
      </c>
      <c r="B131" s="424">
        <f>Sheet1!B97</f>
        <v>12.24</v>
      </c>
      <c r="C131" s="425">
        <v>1</v>
      </c>
    </row>
    <row r="132" spans="1:3" x14ac:dyDescent="0.3">
      <c r="A132" s="423">
        <f>Sheet1!A98</f>
        <v>570</v>
      </c>
      <c r="B132" s="424">
        <f>Sheet1!B98</f>
        <v>12.4</v>
      </c>
      <c r="C132" s="425">
        <v>1</v>
      </c>
    </row>
    <row r="133" spans="1:3" x14ac:dyDescent="0.3">
      <c r="A133" s="423">
        <f>Sheet1!A99</f>
        <v>585</v>
      </c>
      <c r="B133" s="424">
        <f>Sheet1!B99</f>
        <v>12.540000000000001</v>
      </c>
      <c r="C133" s="425">
        <v>1</v>
      </c>
    </row>
    <row r="134" spans="1:3" x14ac:dyDescent="0.3">
      <c r="A134" s="423">
        <f>Sheet1!A100</f>
        <v>600</v>
      </c>
      <c r="B134" s="424">
        <f>Sheet1!B100</f>
        <v>12.49</v>
      </c>
      <c r="C134" s="425">
        <v>1</v>
      </c>
    </row>
    <row r="135" spans="1:3" x14ac:dyDescent="0.3">
      <c r="A135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>
      <selection activeCell="L23" sqref="L23"/>
    </sheetView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m1_step_01!A7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m1_step_01!A18</f>
        <v>0.1</v>
      </c>
      <c r="B18" s="423"/>
    </row>
    <row r="19" spans="1:3" x14ac:dyDescent="0.3">
      <c r="A19" s="423">
        <f>m1_step_01!A19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1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3" t="s">
        <v>104</v>
      </c>
      <c r="B25" s="423"/>
    </row>
    <row r="26" spans="1:3" x14ac:dyDescent="0.3">
      <c r="A26" s="423" t="str">
        <f>A15</f>
        <v>W-1</v>
      </c>
      <c r="B26" s="423"/>
    </row>
    <row r="27" spans="1:3" x14ac:dyDescent="0.3">
      <c r="A27" s="426">
        <f>스킨팩터!C8</f>
        <v>2.0169999999999999</v>
      </c>
      <c r="B27" s="423"/>
    </row>
    <row r="28" spans="1:3" x14ac:dyDescent="0.3">
      <c r="A28" s="423">
        <v>0</v>
      </c>
      <c r="B28" s="423"/>
    </row>
    <row r="29" spans="1:3" x14ac:dyDescent="0.3">
      <c r="A29" s="423">
        <v>0</v>
      </c>
      <c r="B29" s="423"/>
    </row>
    <row r="30" spans="1:3" x14ac:dyDescent="0.3">
      <c r="A30" s="425">
        <f>SUM(C31:C98)</f>
        <v>68</v>
      </c>
      <c r="B30" s="423"/>
    </row>
    <row r="31" spans="1:3" x14ac:dyDescent="0.3">
      <c r="A31" s="423">
        <f>장기양수시험!D10</f>
        <v>1</v>
      </c>
      <c r="B31" s="427">
        <f>장기양수시험!G10</f>
        <v>1.1449258788095094</v>
      </c>
      <c r="C31" s="425">
        <v>1</v>
      </c>
    </row>
    <row r="32" spans="1:3" x14ac:dyDescent="0.3">
      <c r="A32" s="423">
        <f>장기양수시험!D11</f>
        <v>2</v>
      </c>
      <c r="B32" s="427">
        <f>장기양수시험!G11</f>
        <v>2.1388346804382081</v>
      </c>
      <c r="C32" s="425">
        <v>1</v>
      </c>
    </row>
    <row r="33" spans="1:3" x14ac:dyDescent="0.3">
      <c r="A33" s="423">
        <f>장기양수시험!D12</f>
        <v>3</v>
      </c>
      <c r="B33" s="427">
        <f>장기양수시험!G12</f>
        <v>2.7202340585276996</v>
      </c>
      <c r="C33" s="425">
        <v>1</v>
      </c>
    </row>
    <row r="34" spans="1:3" x14ac:dyDescent="0.3">
      <c r="A34" s="423">
        <f>장기양수시험!D13</f>
        <v>4</v>
      </c>
      <c r="B34" s="427">
        <f>장기양수시험!G13</f>
        <v>3.1327434820669069</v>
      </c>
      <c r="C34" s="425">
        <v>1</v>
      </c>
    </row>
    <row r="35" spans="1:3" x14ac:dyDescent="0.3">
      <c r="A35" s="423">
        <f>장기양수시험!D14</f>
        <v>5</v>
      </c>
      <c r="B35" s="427">
        <f>장기양수시험!G14</f>
        <v>3.452710649067015</v>
      </c>
      <c r="C35" s="425">
        <v>1</v>
      </c>
    </row>
    <row r="36" spans="1:3" x14ac:dyDescent="0.3">
      <c r="A36" s="423">
        <f>장기양수시험!D15</f>
        <v>10</v>
      </c>
      <c r="B36" s="427">
        <f>장기양수시험!G15</f>
        <v>4.4466194506957137</v>
      </c>
      <c r="C36" s="425">
        <v>1</v>
      </c>
    </row>
    <row r="37" spans="1:3" x14ac:dyDescent="0.3">
      <c r="A37" s="423">
        <f>장기양수시험!D16</f>
        <v>15</v>
      </c>
      <c r="B37" s="427">
        <f>장기양수시험!G16</f>
        <v>5.0280188287852052</v>
      </c>
      <c r="C37" s="425">
        <v>1</v>
      </c>
    </row>
    <row r="38" spans="1:3" x14ac:dyDescent="0.3">
      <c r="A38" s="423">
        <f>장기양수시험!D17</f>
        <v>20</v>
      </c>
      <c r="B38" s="427">
        <f>장기양수시험!G17</f>
        <v>5.4405282523244143</v>
      </c>
      <c r="C38" s="425">
        <v>1</v>
      </c>
    </row>
    <row r="39" spans="1:3" x14ac:dyDescent="0.3">
      <c r="A39" s="423">
        <f>장기양수시험!D18</f>
        <v>25</v>
      </c>
      <c r="B39" s="427">
        <f>장기양수시험!G18</f>
        <v>5.7604954193245224</v>
      </c>
      <c r="C39" s="425">
        <v>1</v>
      </c>
    </row>
    <row r="40" spans="1:3" x14ac:dyDescent="0.3">
      <c r="A40" s="423">
        <f>장기양수시험!D19</f>
        <v>30</v>
      </c>
      <c r="B40" s="427">
        <f>장기양수시험!G19</f>
        <v>6.0219276304139022</v>
      </c>
      <c r="C40" s="425">
        <v>1</v>
      </c>
    </row>
    <row r="41" spans="1:3" x14ac:dyDescent="0.3">
      <c r="A41" s="423">
        <f>장기양수시험!D20</f>
        <v>35</v>
      </c>
      <c r="B41" s="427">
        <f>장기양수시험!G20</f>
        <v>6.2429654153957195</v>
      </c>
      <c r="C41" s="425">
        <v>1</v>
      </c>
    </row>
    <row r="42" spans="1:3" x14ac:dyDescent="0.3">
      <c r="A42" s="423">
        <f>장기양수시험!D21</f>
        <v>40</v>
      </c>
      <c r="B42" s="427">
        <f>장기양수시험!G21</f>
        <v>6.4344370539531131</v>
      </c>
      <c r="C42" s="425">
        <v>1</v>
      </c>
    </row>
    <row r="43" spans="1:3" x14ac:dyDescent="0.3">
      <c r="A43" s="423">
        <f>장기양수시험!D22</f>
        <v>45</v>
      </c>
      <c r="B43" s="427">
        <f>장기양수시험!G22</f>
        <v>6.6033270085033937</v>
      </c>
      <c r="C43" s="425">
        <v>1</v>
      </c>
    </row>
    <row r="44" spans="1:3" x14ac:dyDescent="0.3">
      <c r="A44" s="423">
        <f>장기양수시험!D23</f>
        <v>50</v>
      </c>
      <c r="B44" s="427">
        <f>장기양수시험!G23</f>
        <v>6.7544042209532211</v>
      </c>
      <c r="C44" s="425">
        <v>1</v>
      </c>
    </row>
    <row r="45" spans="1:3" x14ac:dyDescent="0.3">
      <c r="A45" s="423">
        <f>장기양수시험!D24</f>
        <v>55</v>
      </c>
      <c r="B45" s="427">
        <f>장기양수시험!G24</f>
        <v>6.85966018346324</v>
      </c>
      <c r="C45" s="425">
        <v>1</v>
      </c>
    </row>
    <row r="46" spans="1:3" x14ac:dyDescent="0.3">
      <c r="A46" s="423">
        <f>장기양수시험!D25</f>
        <v>60</v>
      </c>
      <c r="B46" s="427">
        <f>장기양수시험!G25</f>
        <v>7.015836432042601</v>
      </c>
      <c r="C46" s="425">
        <v>1</v>
      </c>
    </row>
    <row r="47" spans="1:3" x14ac:dyDescent="0.3">
      <c r="A47" s="423">
        <f>장기양수시험!D26</f>
        <v>75</v>
      </c>
      <c r="B47" s="427">
        <f>장기양수시험!G26</f>
        <v>7.3358035990427126</v>
      </c>
      <c r="C47" s="425">
        <v>1</v>
      </c>
    </row>
    <row r="48" spans="1:3" x14ac:dyDescent="0.3">
      <c r="A48" s="423">
        <f>장기양수시험!D27</f>
        <v>90</v>
      </c>
      <c r="B48" s="427">
        <f>장기양수시험!G27</f>
        <v>7.5972358101320925</v>
      </c>
      <c r="C48" s="425">
        <v>1</v>
      </c>
    </row>
    <row r="49" spans="1:3" x14ac:dyDescent="0.3">
      <c r="A49" s="423">
        <f>장기양수시험!D28</f>
        <v>105</v>
      </c>
      <c r="B49" s="427">
        <f>장기양수시험!G28</f>
        <v>7.8182735951139097</v>
      </c>
      <c r="C49" s="425">
        <v>1</v>
      </c>
    </row>
    <row r="50" spans="1:3" x14ac:dyDescent="0.3">
      <c r="A50" s="423">
        <f>장기양수시험!D29</f>
        <v>120</v>
      </c>
      <c r="B50" s="427">
        <f>장기양수시험!G29</f>
        <v>8.0097452336712998</v>
      </c>
      <c r="C50" s="425">
        <v>1</v>
      </c>
    </row>
    <row r="51" spans="1:3" x14ac:dyDescent="0.3">
      <c r="A51" s="423">
        <f>장기양수시험!D30</f>
        <v>140</v>
      </c>
      <c r="B51" s="427">
        <f>장기양수시험!G30</f>
        <v>8.230783018653117</v>
      </c>
      <c r="C51" s="425">
        <v>1</v>
      </c>
    </row>
    <row r="52" spans="1:3" x14ac:dyDescent="0.3">
      <c r="A52" s="423">
        <f>장기양수시험!D31</f>
        <v>160</v>
      </c>
      <c r="B52" s="427">
        <f>장기양수시험!G31</f>
        <v>8.4222546572105088</v>
      </c>
      <c r="C52" s="425">
        <v>1</v>
      </c>
    </row>
    <row r="53" spans="1:3" x14ac:dyDescent="0.3">
      <c r="A53" s="423">
        <f>장기양수시험!D32</f>
        <v>180</v>
      </c>
      <c r="B53" s="427">
        <f>장기양수시험!G32</f>
        <v>8.591144611760793</v>
      </c>
      <c r="C53" s="425">
        <v>1</v>
      </c>
    </row>
    <row r="54" spans="1:3" x14ac:dyDescent="0.3">
      <c r="A54" s="423">
        <f>장기양수시험!D33</f>
        <v>240</v>
      </c>
      <c r="B54" s="427">
        <f>장기양수시험!G33</f>
        <v>9.0036540352999985</v>
      </c>
      <c r="C54" s="425">
        <v>1</v>
      </c>
    </row>
    <row r="55" spans="1:3" x14ac:dyDescent="0.3">
      <c r="A55" s="423">
        <f>장기양수시험!D34</f>
        <v>300</v>
      </c>
      <c r="B55" s="427">
        <f>장기양수시험!G34</f>
        <v>9.3236212023001066</v>
      </c>
      <c r="C55" s="425">
        <v>1</v>
      </c>
    </row>
    <row r="56" spans="1:3" x14ac:dyDescent="0.3">
      <c r="A56" s="423">
        <f>장기양수시험!D35</f>
        <v>360</v>
      </c>
      <c r="B56" s="427">
        <f>장기양수시험!G35</f>
        <v>9.5850534133894918</v>
      </c>
      <c r="C56" s="425">
        <v>1</v>
      </c>
    </row>
    <row r="57" spans="1:3" x14ac:dyDescent="0.3">
      <c r="A57" s="423">
        <f>장기양수시험!D36</f>
        <v>420</v>
      </c>
      <c r="B57" s="427">
        <f>장기양수시험!G36</f>
        <v>9.8060911983713055</v>
      </c>
      <c r="C57" s="425">
        <v>1</v>
      </c>
    </row>
    <row r="58" spans="1:3" x14ac:dyDescent="0.3">
      <c r="A58" s="423">
        <f>장기양수시험!D37</f>
        <v>480</v>
      </c>
      <c r="B58" s="427">
        <f>장기양수시험!G37</f>
        <v>9.9975628369286973</v>
      </c>
      <c r="C58" s="425">
        <v>1</v>
      </c>
    </row>
    <row r="59" spans="1:3" x14ac:dyDescent="0.3">
      <c r="A59" s="423">
        <f>장기양수시험!D38</f>
        <v>540</v>
      </c>
      <c r="B59" s="427">
        <f>장기양수시험!G38</f>
        <v>10.166452791478982</v>
      </c>
      <c r="C59" s="425">
        <v>1</v>
      </c>
    </row>
    <row r="60" spans="1:3" x14ac:dyDescent="0.3">
      <c r="A60" s="423">
        <f>장기양수시험!D39</f>
        <v>600</v>
      </c>
      <c r="B60" s="427">
        <f>장기양수시험!G39</f>
        <v>10.317530003928805</v>
      </c>
      <c r="C60" s="425">
        <v>1</v>
      </c>
    </row>
    <row r="61" spans="1:3" x14ac:dyDescent="0.3">
      <c r="A61" s="423">
        <f>장기양수시험!D40</f>
        <v>660</v>
      </c>
      <c r="B61" s="427">
        <f>장기양수시험!G40</f>
        <v>10.454195966438828</v>
      </c>
      <c r="C61" s="425">
        <v>1</v>
      </c>
    </row>
    <row r="62" spans="1:3" x14ac:dyDescent="0.3">
      <c r="A62" s="423">
        <f>장기양수시험!D41</f>
        <v>720</v>
      </c>
      <c r="B62" s="427">
        <f>장기양수시험!G41</f>
        <v>10.578962215018191</v>
      </c>
      <c r="C62" s="425">
        <v>1</v>
      </c>
    </row>
    <row r="63" spans="1:3" x14ac:dyDescent="0.3">
      <c r="A63" s="423">
        <f>장기양수시험!D42</f>
        <v>780</v>
      </c>
      <c r="B63" s="427">
        <f>장기양수시험!G42</f>
        <v>10.693736037799454</v>
      </c>
      <c r="C63" s="425">
        <v>1</v>
      </c>
    </row>
    <row r="64" spans="1:3" x14ac:dyDescent="0.3">
      <c r="A64" s="423">
        <f>장기양수시험!D43</f>
        <v>840</v>
      </c>
      <c r="B64" s="427">
        <f>장기양수시험!G43</f>
        <v>10.800000000000004</v>
      </c>
      <c r="C64" s="425">
        <v>1</v>
      </c>
    </row>
    <row r="65" spans="1:3" x14ac:dyDescent="0.3">
      <c r="A65" s="423">
        <f>장기양수시험!D44</f>
        <v>900</v>
      </c>
      <c r="B65" s="427">
        <f>장기양수시험!G44</f>
        <v>10.800000000000004</v>
      </c>
      <c r="C65" s="425">
        <v>1</v>
      </c>
    </row>
    <row r="66" spans="1:3" x14ac:dyDescent="0.3">
      <c r="A66" s="423">
        <f>장기양수시험!D45</f>
        <v>960</v>
      </c>
      <c r="B66" s="427">
        <f>장기양수시험!G45</f>
        <v>10.800000000000004</v>
      </c>
      <c r="C66" s="425">
        <v>1</v>
      </c>
    </row>
    <row r="67" spans="1:3" x14ac:dyDescent="0.3">
      <c r="A67" s="423">
        <f>장기양수시험!D46</f>
        <v>1020</v>
      </c>
      <c r="B67" s="427">
        <f>장기양수시험!G46</f>
        <v>10.800000000000004</v>
      </c>
      <c r="C67" s="425">
        <v>1</v>
      </c>
    </row>
    <row r="68" spans="1:3" x14ac:dyDescent="0.3">
      <c r="A68" s="423">
        <f>장기양수시험!D47</f>
        <v>1080</v>
      </c>
      <c r="B68" s="427">
        <f>장기양수시험!G47</f>
        <v>10.800000000000004</v>
      </c>
      <c r="C68" s="425">
        <v>1</v>
      </c>
    </row>
    <row r="69" spans="1:3" x14ac:dyDescent="0.3">
      <c r="A69" s="423">
        <f>장기양수시험!D48</f>
        <v>1140</v>
      </c>
      <c r="B69" s="427">
        <f>장기양수시험!G48</f>
        <v>10.800000000000004</v>
      </c>
      <c r="C69" s="425">
        <v>1</v>
      </c>
    </row>
    <row r="70" spans="1:3" x14ac:dyDescent="0.3">
      <c r="A70" s="423">
        <f>장기양수시험!D49</f>
        <v>1200</v>
      </c>
      <c r="B70" s="427">
        <f>장기양수시험!G49</f>
        <v>10.800000000000004</v>
      </c>
      <c r="C70" s="425">
        <v>1</v>
      </c>
    </row>
    <row r="71" spans="1:3" x14ac:dyDescent="0.3">
      <c r="A71" s="423">
        <f>장기양수시험!D50</f>
        <v>1260</v>
      </c>
      <c r="B71" s="427">
        <f>장기양수시험!G50</f>
        <v>10.800000000000004</v>
      </c>
      <c r="C71" s="425">
        <v>1</v>
      </c>
    </row>
    <row r="72" spans="1:3" x14ac:dyDescent="0.3">
      <c r="A72" s="423">
        <f>장기양수시험!D51</f>
        <v>1320</v>
      </c>
      <c r="B72" s="427">
        <f>장기양수시험!G51</f>
        <v>10.800000000000004</v>
      </c>
      <c r="C72" s="425">
        <v>1</v>
      </c>
    </row>
    <row r="73" spans="1:3" x14ac:dyDescent="0.3">
      <c r="A73" s="423">
        <f>장기양수시험!D52</f>
        <v>1380</v>
      </c>
      <c r="B73" s="427">
        <f>장기양수시험!G52</f>
        <v>10.800000000000004</v>
      </c>
      <c r="C73" s="425">
        <v>1</v>
      </c>
    </row>
    <row r="74" spans="1:3" x14ac:dyDescent="0.3">
      <c r="A74" s="423">
        <f>장기양수시험!D53</f>
        <v>1440</v>
      </c>
      <c r="B74" s="427">
        <f>장기양수시험!G53</f>
        <v>10.800000000000004</v>
      </c>
      <c r="C74" s="425">
        <v>1</v>
      </c>
    </row>
    <row r="75" spans="1:3" x14ac:dyDescent="0.3">
      <c r="A75" s="423">
        <f>장기양수시험!D54</f>
        <v>1500</v>
      </c>
      <c r="B75" s="427">
        <f>장기양수시험!G54</f>
        <v>10.800000000000004</v>
      </c>
      <c r="C75" s="425">
        <v>1</v>
      </c>
    </row>
    <row r="76" spans="1:3" x14ac:dyDescent="0.3">
      <c r="A76" s="423">
        <f>장기양수시험!D55</f>
        <v>1560</v>
      </c>
      <c r="B76" s="427">
        <f>장기양수시험!G55</f>
        <v>10.800000000000004</v>
      </c>
      <c r="C76" s="425">
        <v>1</v>
      </c>
    </row>
    <row r="77" spans="1:3" x14ac:dyDescent="0.3">
      <c r="A77" s="423">
        <f>장기양수시험!D56</f>
        <v>1620</v>
      </c>
      <c r="B77" s="427">
        <f>장기양수시험!G56</f>
        <v>10.800000000000004</v>
      </c>
      <c r="C77" s="425">
        <v>1</v>
      </c>
    </row>
    <row r="78" spans="1:3" x14ac:dyDescent="0.3">
      <c r="A78" s="423">
        <f>장기양수시험!D57</f>
        <v>1680</v>
      </c>
      <c r="B78" s="427">
        <f>장기양수시험!G57</f>
        <v>10.800000000000004</v>
      </c>
      <c r="C78" s="425">
        <v>1</v>
      </c>
    </row>
    <row r="79" spans="1:3" x14ac:dyDescent="0.3">
      <c r="A79" s="423">
        <f>장기양수시험!D58</f>
        <v>1740</v>
      </c>
      <c r="B79" s="427">
        <f>장기양수시험!G58</f>
        <v>10.800000000000004</v>
      </c>
      <c r="C79" s="425">
        <v>1</v>
      </c>
    </row>
    <row r="80" spans="1:3" x14ac:dyDescent="0.3">
      <c r="A80" s="423">
        <f>장기양수시험!D59</f>
        <v>1800</v>
      </c>
      <c r="B80" s="427">
        <f>장기양수시험!G59</f>
        <v>10.800000000000004</v>
      </c>
      <c r="C80" s="425">
        <v>1</v>
      </c>
    </row>
    <row r="81" spans="1:3" x14ac:dyDescent="0.3">
      <c r="A81" s="423">
        <f>장기양수시험!D60</f>
        <v>1860</v>
      </c>
      <c r="B81" s="427">
        <f>장기양수시험!G60</f>
        <v>10.800000000000004</v>
      </c>
      <c r="C81" s="425">
        <v>1</v>
      </c>
    </row>
    <row r="82" spans="1:3" x14ac:dyDescent="0.3">
      <c r="A82" s="423">
        <f>장기양수시험!D61</f>
        <v>1920</v>
      </c>
      <c r="B82" s="427">
        <f>장기양수시험!G61</f>
        <v>10.800000000000004</v>
      </c>
      <c r="C82" s="425">
        <v>1</v>
      </c>
    </row>
    <row r="83" spans="1:3" x14ac:dyDescent="0.3">
      <c r="A83" s="423">
        <f>장기양수시험!D62</f>
        <v>1980</v>
      </c>
      <c r="B83" s="427">
        <f>장기양수시험!G62</f>
        <v>10.800000000000004</v>
      </c>
      <c r="C83" s="425">
        <v>1</v>
      </c>
    </row>
    <row r="84" spans="1:3" x14ac:dyDescent="0.3">
      <c r="A84" s="423">
        <f>장기양수시험!D63</f>
        <v>2040</v>
      </c>
      <c r="B84" s="427">
        <f>장기양수시험!G63</f>
        <v>10.800000000000004</v>
      </c>
      <c r="C84" s="425">
        <v>1</v>
      </c>
    </row>
    <row r="85" spans="1:3" x14ac:dyDescent="0.3">
      <c r="A85" s="423">
        <f>장기양수시험!D64</f>
        <v>2100</v>
      </c>
      <c r="B85" s="427">
        <f>장기양수시험!G64</f>
        <v>10.800000000000004</v>
      </c>
      <c r="C85" s="425">
        <v>1</v>
      </c>
    </row>
    <row r="86" spans="1:3" x14ac:dyDescent="0.3">
      <c r="A86" s="423">
        <f>장기양수시험!D65</f>
        <v>2160</v>
      </c>
      <c r="B86" s="427">
        <f>장기양수시험!G65</f>
        <v>10.800000000000004</v>
      </c>
      <c r="C86" s="425">
        <v>1</v>
      </c>
    </row>
    <row r="87" spans="1:3" x14ac:dyDescent="0.3">
      <c r="A87" s="423">
        <f>장기양수시험!D66</f>
        <v>2220</v>
      </c>
      <c r="B87" s="427">
        <f>장기양수시험!G66</f>
        <v>10.800000000000004</v>
      </c>
      <c r="C87" s="425">
        <v>1</v>
      </c>
    </row>
    <row r="88" spans="1:3" x14ac:dyDescent="0.3">
      <c r="A88" s="423">
        <f>장기양수시험!D67</f>
        <v>2280</v>
      </c>
      <c r="B88" s="427">
        <f>장기양수시험!G67</f>
        <v>10.800000000000004</v>
      </c>
      <c r="C88" s="425">
        <v>1</v>
      </c>
    </row>
    <row r="89" spans="1:3" x14ac:dyDescent="0.3">
      <c r="A89" s="423">
        <f>장기양수시험!D68</f>
        <v>2340</v>
      </c>
      <c r="B89" s="427">
        <f>장기양수시험!G68</f>
        <v>10.800000000000004</v>
      </c>
      <c r="C89" s="425">
        <v>1</v>
      </c>
    </row>
    <row r="90" spans="1:3" x14ac:dyDescent="0.3">
      <c r="A90" s="423">
        <f>장기양수시험!D69</f>
        <v>2400</v>
      </c>
      <c r="B90" s="427">
        <f>장기양수시험!G69</f>
        <v>10.800000000000004</v>
      </c>
      <c r="C90" s="425">
        <v>1</v>
      </c>
    </row>
    <row r="91" spans="1:3" x14ac:dyDescent="0.3">
      <c r="A91" s="423">
        <f>장기양수시험!D70</f>
        <v>2460</v>
      </c>
      <c r="B91" s="427">
        <f>장기양수시험!G70</f>
        <v>10.800000000000004</v>
      </c>
      <c r="C91" s="425">
        <v>1</v>
      </c>
    </row>
    <row r="92" spans="1:3" x14ac:dyDescent="0.3">
      <c r="A92" s="423">
        <f>장기양수시험!D71</f>
        <v>2520</v>
      </c>
      <c r="B92" s="427">
        <f>장기양수시험!G71</f>
        <v>10.800000000000004</v>
      </c>
      <c r="C92" s="425">
        <v>1</v>
      </c>
    </row>
    <row r="93" spans="1:3" x14ac:dyDescent="0.3">
      <c r="A93" s="423">
        <f>장기양수시험!D72</f>
        <v>2580</v>
      </c>
      <c r="B93" s="427">
        <f>장기양수시험!G72</f>
        <v>10.800000000000004</v>
      </c>
      <c r="C93" s="425">
        <v>1</v>
      </c>
    </row>
    <row r="94" spans="1:3" x14ac:dyDescent="0.3">
      <c r="A94" s="423">
        <f>장기양수시험!D73</f>
        <v>2640</v>
      </c>
      <c r="B94" s="427">
        <f>장기양수시험!G73</f>
        <v>10.800000000000004</v>
      </c>
      <c r="C94" s="425">
        <v>1</v>
      </c>
    </row>
    <row r="95" spans="1:3" x14ac:dyDescent="0.3">
      <c r="A95" s="423">
        <f>장기양수시험!D74</f>
        <v>2700</v>
      </c>
      <c r="B95" s="427">
        <f>장기양수시험!G74</f>
        <v>10.800000000000004</v>
      </c>
      <c r="C95" s="425">
        <v>1</v>
      </c>
    </row>
    <row r="96" spans="1:3" x14ac:dyDescent="0.3">
      <c r="A96" s="423">
        <f>장기양수시험!D75</f>
        <v>2760</v>
      </c>
      <c r="B96" s="427">
        <f>장기양수시험!G75</f>
        <v>10.800000000000004</v>
      </c>
      <c r="C96" s="425">
        <v>1</v>
      </c>
    </row>
    <row r="97" spans="1:3" x14ac:dyDescent="0.3">
      <c r="A97" s="423">
        <f>장기양수시험!D76</f>
        <v>2820</v>
      </c>
      <c r="B97" s="427">
        <f>장기양수시험!G76</f>
        <v>10.800000000000004</v>
      </c>
      <c r="C97" s="425">
        <v>1</v>
      </c>
    </row>
    <row r="98" spans="1:3" x14ac:dyDescent="0.3">
      <c r="A98" s="423">
        <f>장기양수시험!D77</f>
        <v>2880</v>
      </c>
      <c r="B98" s="427">
        <f>장기양수시험!G77</f>
        <v>10.800000000000004</v>
      </c>
      <c r="C98" s="425">
        <v>1</v>
      </c>
    </row>
    <row r="99" spans="1:3" x14ac:dyDescent="0.3">
      <c r="A99" s="423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>
      <selection activeCell="K27" sqref="K27"/>
    </sheetView>
  </sheetViews>
  <sheetFormatPr defaultRowHeight="16.5" x14ac:dyDescent="0.3"/>
  <cols>
    <col min="1" max="1" width="8.88671875" style="423"/>
    <col min="2" max="3" width="8.88671875" style="424"/>
    <col min="4" max="16384" width="8.88671875" style="423"/>
  </cols>
  <sheetData>
    <row r="1" spans="1:2" x14ac:dyDescent="0.3">
      <c r="B1" s="423"/>
    </row>
    <row r="2" spans="1:2" x14ac:dyDescent="0.3">
      <c r="A2" s="423" t="s">
        <v>98</v>
      </c>
      <c r="B2" s="423"/>
    </row>
    <row r="3" spans="1:2" x14ac:dyDescent="0.3">
      <c r="A3" s="423">
        <v>2</v>
      </c>
      <c r="B3" s="423"/>
    </row>
    <row r="4" spans="1:2" x14ac:dyDescent="0.3">
      <c r="A4" s="423">
        <v>1</v>
      </c>
      <c r="B4" s="423"/>
    </row>
    <row r="5" spans="1:2" x14ac:dyDescent="0.3">
      <c r="A5" s="423">
        <v>6</v>
      </c>
      <c r="B5" s="423"/>
    </row>
    <row r="6" spans="1:2" x14ac:dyDescent="0.3">
      <c r="A6" s="423" t="s">
        <v>99</v>
      </c>
      <c r="B6" s="423"/>
    </row>
    <row r="7" spans="1:2" x14ac:dyDescent="0.3">
      <c r="A7" s="423">
        <f>m1_step_01!A7</f>
        <v>337</v>
      </c>
      <c r="B7" s="423"/>
    </row>
    <row r="8" spans="1:2" x14ac:dyDescent="0.3">
      <c r="A8" s="423" t="s">
        <v>100</v>
      </c>
      <c r="B8" s="423"/>
    </row>
    <row r="9" spans="1:2" x14ac:dyDescent="0.3">
      <c r="A9" s="423">
        <v>1</v>
      </c>
      <c r="B9" s="423"/>
    </row>
    <row r="10" spans="1:2" x14ac:dyDescent="0.3">
      <c r="A10" s="423" t="s">
        <v>101</v>
      </c>
      <c r="B10" s="423"/>
    </row>
    <row r="11" spans="1:2" x14ac:dyDescent="0.3">
      <c r="A11" s="423">
        <v>1</v>
      </c>
      <c r="B11" s="423"/>
    </row>
    <row r="12" spans="1:2" x14ac:dyDescent="0.3">
      <c r="A12" s="423" t="s">
        <v>102</v>
      </c>
      <c r="B12" s="423"/>
    </row>
    <row r="13" spans="1:2" x14ac:dyDescent="0.3">
      <c r="A13" s="423">
        <v>1</v>
      </c>
      <c r="B13" s="423"/>
    </row>
    <row r="14" spans="1:2" x14ac:dyDescent="0.3">
      <c r="A14" s="423" t="s">
        <v>103</v>
      </c>
      <c r="B14" s="423"/>
    </row>
    <row r="15" spans="1:2" x14ac:dyDescent="0.3">
      <c r="A15" s="423" t="str">
        <f>입력표!I54</f>
        <v>W-1</v>
      </c>
      <c r="B15" s="423"/>
    </row>
    <row r="16" spans="1:2" x14ac:dyDescent="0.3">
      <c r="A16" s="423">
        <v>0</v>
      </c>
      <c r="B16" s="423"/>
    </row>
    <row r="17" spans="1:3" x14ac:dyDescent="0.3">
      <c r="A17" s="423">
        <v>0</v>
      </c>
      <c r="B17" s="423"/>
    </row>
    <row r="18" spans="1:3" x14ac:dyDescent="0.3">
      <c r="A18" s="423">
        <f>m1_step_01!A18</f>
        <v>0.1</v>
      </c>
      <c r="B18" s="423"/>
    </row>
    <row r="19" spans="1:3" x14ac:dyDescent="0.3">
      <c r="A19" s="423">
        <f>m1_step_01!A19</f>
        <v>0.1</v>
      </c>
      <c r="B19" s="423"/>
    </row>
    <row r="20" spans="1:3" x14ac:dyDescent="0.3">
      <c r="A20" s="423">
        <v>0</v>
      </c>
      <c r="B20" s="423"/>
    </row>
    <row r="21" spans="1:3" x14ac:dyDescent="0.3">
      <c r="A21" s="423">
        <v>0</v>
      </c>
      <c r="B21" s="423"/>
    </row>
    <row r="22" spans="1:3" x14ac:dyDescent="0.3">
      <c r="A22" s="423">
        <v>1</v>
      </c>
      <c r="B22" s="423"/>
    </row>
    <row r="23" spans="1:3" x14ac:dyDescent="0.3">
      <c r="A23" s="423">
        <v>2</v>
      </c>
      <c r="B23" s="423"/>
    </row>
    <row r="24" spans="1:3" x14ac:dyDescent="0.3">
      <c r="A24" s="425">
        <v>0</v>
      </c>
      <c r="B24" s="425">
        <f>입력표!M51</f>
        <v>52</v>
      </c>
    </row>
    <row r="25" spans="1:3" x14ac:dyDescent="0.3">
      <c r="A25" s="425">
        <v>2880</v>
      </c>
      <c r="B25" s="425">
        <v>0</v>
      </c>
    </row>
    <row r="26" spans="1:3" x14ac:dyDescent="0.3">
      <c r="A26" s="423" t="s">
        <v>104</v>
      </c>
      <c r="B26" s="423"/>
    </row>
    <row r="27" spans="1:3" x14ac:dyDescent="0.3">
      <c r="A27" s="423" t="str">
        <f>A15</f>
        <v>W-1</v>
      </c>
      <c r="B27" s="423"/>
    </row>
    <row r="28" spans="1:3" x14ac:dyDescent="0.3">
      <c r="A28" s="426">
        <f>스킨팩터!C8</f>
        <v>2.0169999999999999</v>
      </c>
      <c r="B28" s="423"/>
    </row>
    <row r="29" spans="1:3" x14ac:dyDescent="0.3">
      <c r="A29" s="423">
        <v>0</v>
      </c>
      <c r="B29" s="423"/>
    </row>
    <row r="30" spans="1:3" x14ac:dyDescent="0.3">
      <c r="A30" s="423">
        <v>0</v>
      </c>
      <c r="B30" s="423"/>
    </row>
    <row r="31" spans="1:3" x14ac:dyDescent="0.3">
      <c r="A31" s="425">
        <f>SUM(C32:C56)</f>
        <v>25</v>
      </c>
      <c r="B31" s="423"/>
    </row>
    <row r="32" spans="1:3" x14ac:dyDescent="0.3">
      <c r="A32" s="423">
        <f>장기양수시험!D77</f>
        <v>2880</v>
      </c>
      <c r="B32" s="424">
        <f>장기양수시험!G77</f>
        <v>10.800000000000004</v>
      </c>
      <c r="C32" s="425">
        <v>1</v>
      </c>
    </row>
    <row r="33" spans="1:3" x14ac:dyDescent="0.3">
      <c r="A33" s="423">
        <f>$A$32+장기양수시험!D78</f>
        <v>2881</v>
      </c>
      <c r="B33" s="424">
        <f>장기양수시험!G78</f>
        <v>7.7400618254343554</v>
      </c>
      <c r="C33" s="425">
        <v>1</v>
      </c>
    </row>
    <row r="34" spans="1:3" x14ac:dyDescent="0.3">
      <c r="A34" s="423">
        <f>$A$32+장기양수시험!D79</f>
        <v>2882</v>
      </c>
      <c r="B34" s="424">
        <f>장기양수시험!G79</f>
        <v>7.2067875075176788</v>
      </c>
      <c r="C34" s="425">
        <v>1</v>
      </c>
    </row>
    <row r="35" spans="1:3" x14ac:dyDescent="0.3">
      <c r="A35" s="423">
        <f>$A$32+장기양수시험!D80</f>
        <v>2883</v>
      </c>
      <c r="B35" s="424">
        <f>장기양수시험!G80</f>
        <v>6.7102546917444359</v>
      </c>
      <c r="C35" s="425">
        <v>1</v>
      </c>
    </row>
    <row r="36" spans="1:3" x14ac:dyDescent="0.3">
      <c r="A36" s="423">
        <f>$A$32+장기양수시험!D81</f>
        <v>2884</v>
      </c>
      <c r="B36" s="424">
        <f>장기양수시험!G81</f>
        <v>6.2479319642917543</v>
      </c>
      <c r="C36" s="425">
        <v>1</v>
      </c>
    </row>
    <row r="37" spans="1:3" x14ac:dyDescent="0.3">
      <c r="A37" s="423">
        <f>$A$32+장기양수시험!D82</f>
        <v>2885</v>
      </c>
      <c r="B37" s="424">
        <f>장기양수시험!G82</f>
        <v>5.8174623205353218</v>
      </c>
      <c r="C37" s="425">
        <v>1</v>
      </c>
    </row>
    <row r="38" spans="1:3" x14ac:dyDescent="0.3">
      <c r="A38" s="423">
        <f>$A$32+장기양수시험!D83</f>
        <v>2890</v>
      </c>
      <c r="B38" s="424">
        <f>장기양수시험!G83</f>
        <v>4.6959713763650459</v>
      </c>
      <c r="C38" s="425">
        <v>1</v>
      </c>
    </row>
    <row r="39" spans="1:3" x14ac:dyDescent="0.3">
      <c r="A39" s="423">
        <f>$A$32+장기양수시험!D84</f>
        <v>2895</v>
      </c>
      <c r="B39" s="424">
        <f>장기양수시험!G84</f>
        <v>4.4777203411783031</v>
      </c>
      <c r="C39" s="425">
        <v>1</v>
      </c>
    </row>
    <row r="40" spans="1:3" x14ac:dyDescent="0.3">
      <c r="A40" s="423">
        <f>$A$32+장기양수시험!D85</f>
        <v>2900</v>
      </c>
      <c r="B40" s="424">
        <f>장기양수시험!G85</f>
        <v>3.8819643312119205</v>
      </c>
      <c r="C40" s="425">
        <v>1</v>
      </c>
    </row>
    <row r="41" spans="1:3" x14ac:dyDescent="0.3">
      <c r="A41" s="423">
        <f>$A$32+장기양수시험!D86</f>
        <v>2905</v>
      </c>
      <c r="B41" s="424">
        <f>장기양수시험!G86</f>
        <v>3.6145049842980184</v>
      </c>
      <c r="C41" s="425">
        <v>1</v>
      </c>
    </row>
    <row r="42" spans="1:3" x14ac:dyDescent="0.3">
      <c r="A42" s="423">
        <f>$A$32+장기양수시험!D87</f>
        <v>2910</v>
      </c>
      <c r="B42" s="424">
        <f>장기양수시험!G87</f>
        <v>3.3654730355125464</v>
      </c>
      <c r="C42" s="425">
        <v>1</v>
      </c>
    </row>
    <row r="43" spans="1:3" x14ac:dyDescent="0.3">
      <c r="A43" s="423">
        <f>$A$32+장기양수시험!D88</f>
        <v>2915</v>
      </c>
      <c r="B43" s="424">
        <f>장기양수시험!G88</f>
        <v>3.2863353450309973</v>
      </c>
      <c r="C43" s="425">
        <v>1</v>
      </c>
    </row>
    <row r="44" spans="1:3" x14ac:dyDescent="0.3">
      <c r="A44" s="423">
        <f>$A$32+장기양수시험!D89</f>
        <v>2920</v>
      </c>
      <c r="B44" s="424">
        <f>장기양수시험!G89</f>
        <v>3.2090585442338013</v>
      </c>
      <c r="C44" s="425">
        <v>1</v>
      </c>
    </row>
    <row r="45" spans="1:3" x14ac:dyDescent="0.3">
      <c r="A45" s="423">
        <f>$A$32+장기양수시험!D90</f>
        <v>2925</v>
      </c>
      <c r="B45" s="424">
        <f>장기양수시험!G90</f>
        <v>3.1335988750785364</v>
      </c>
      <c r="C45" s="425">
        <v>1</v>
      </c>
    </row>
    <row r="46" spans="1:3" x14ac:dyDescent="0.3">
      <c r="A46" s="423">
        <f>$A$32+장기양수시험!D91</f>
        <v>2930</v>
      </c>
      <c r="B46" s="424">
        <f>장기양수시험!G91</f>
        <v>3.0599136084748397</v>
      </c>
      <c r="C46" s="425">
        <v>1</v>
      </c>
    </row>
    <row r="47" spans="1:3" x14ac:dyDescent="0.3">
      <c r="A47" s="423">
        <f>$A$32+장기양수시험!D92</f>
        <v>2935</v>
      </c>
      <c r="B47" s="424">
        <f>장기양수시험!G92</f>
        <v>2.9879610200890347</v>
      </c>
      <c r="C47" s="425">
        <v>1</v>
      </c>
    </row>
    <row r="48" spans="1:3" x14ac:dyDescent="0.3">
      <c r="A48" s="423">
        <f>$A$32+장기양수시험!D93</f>
        <v>2940</v>
      </c>
      <c r="B48" s="424">
        <f>장기양수시험!G93</f>
        <v>2.9177003667176944</v>
      </c>
      <c r="C48" s="425">
        <v>1</v>
      </c>
    </row>
    <row r="49" spans="1:3" x14ac:dyDescent="0.3">
      <c r="A49" s="423">
        <f>$A$32+장기양수시험!D94</f>
        <v>2955</v>
      </c>
      <c r="B49" s="424">
        <f>장기양수시험!G94</f>
        <v>2.8490918632167777</v>
      </c>
      <c r="C49" s="425">
        <v>1</v>
      </c>
    </row>
    <row r="50" spans="1:3" x14ac:dyDescent="0.3">
      <c r="A50" s="423">
        <f>$A$32+장기양수시험!D95</f>
        <v>2970</v>
      </c>
      <c r="B50" s="424">
        <f>장기양수시험!G95</f>
        <v>2.7820966599732575</v>
      </c>
      <c r="C50" s="425">
        <v>1</v>
      </c>
    </row>
    <row r="51" spans="1:3" x14ac:dyDescent="0.3">
      <c r="A51" s="423">
        <f>$A$32+장기양수시험!D96</f>
        <v>2985</v>
      </c>
      <c r="B51" s="424">
        <f>장기양수시험!G96</f>
        <v>2.7166768209065082</v>
      </c>
      <c r="C51" s="425">
        <v>1</v>
      </c>
    </row>
    <row r="52" spans="1:3" x14ac:dyDescent="0.3">
      <c r="A52" s="423">
        <f>$A$32+장기양수시험!D97</f>
        <v>3000</v>
      </c>
      <c r="B52" s="424">
        <f>장기양수시험!G97</f>
        <v>2.5295033833625955</v>
      </c>
      <c r="C52" s="425">
        <v>1</v>
      </c>
    </row>
    <row r="53" spans="1:3" x14ac:dyDescent="0.3">
      <c r="A53" s="423">
        <f>$A$32+장기양수시험!D98</f>
        <v>3060</v>
      </c>
      <c r="B53" s="424">
        <f>장기양수시험!G98</f>
        <v>2.4700231695227326</v>
      </c>
      <c r="C53" s="425">
        <v>1</v>
      </c>
    </row>
    <row r="54" spans="1:3" x14ac:dyDescent="0.3">
      <c r="A54" s="423">
        <f>$A$32+장기양수시험!D99</f>
        <v>3120</v>
      </c>
      <c r="B54" s="424">
        <f>장기양수시험!G99</f>
        <v>2.1413891692108353</v>
      </c>
      <c r="C54" s="425">
        <v>1</v>
      </c>
    </row>
    <row r="55" spans="1:3" x14ac:dyDescent="0.3">
      <c r="A55" s="423">
        <f>$A$32+장기양수시험!D100</f>
        <v>3180</v>
      </c>
      <c r="B55" s="424">
        <f>장기양수시험!G100</f>
        <v>1.8564795790557336</v>
      </c>
      <c r="C55" s="425">
        <v>1</v>
      </c>
    </row>
    <row r="56" spans="1:3" x14ac:dyDescent="0.3">
      <c r="A56" s="423">
        <f>$A$32+장기양수시험!D101</f>
        <v>3240</v>
      </c>
      <c r="B56" s="424">
        <f>장기양수시험!G101</f>
        <v>1.6094769119996513</v>
      </c>
      <c r="C56" s="425">
        <v>1</v>
      </c>
    </row>
    <row r="57" spans="1:3" x14ac:dyDescent="0.3">
      <c r="A57" s="423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C6" sqref="C6"/>
    </sheetView>
  </sheetViews>
  <sheetFormatPr defaultColWidth="8.88671875" defaultRowHeight="16.5" x14ac:dyDescent="0.3"/>
  <cols>
    <col min="1" max="1" width="8.88671875" style="345"/>
    <col min="2" max="2" width="16.6640625" style="345" customWidth="1"/>
    <col min="3" max="4" width="14.6640625" style="345" customWidth="1"/>
    <col min="5" max="5" width="12" style="422" customWidth="1"/>
    <col min="6" max="6" width="12.33203125" style="422" customWidth="1"/>
    <col min="7" max="7" width="8.88671875" style="345"/>
    <col min="8" max="8" width="10.33203125" style="345" customWidth="1"/>
    <col min="9" max="9" width="9.44140625" style="345" customWidth="1"/>
    <col min="10" max="10" width="10.21875" style="345" customWidth="1"/>
    <col min="11" max="11" width="8.88671875" style="345"/>
    <col min="12" max="12" width="10" style="345" customWidth="1"/>
    <col min="13" max="15" width="8.88671875" style="345"/>
    <col min="16" max="16" width="10" style="345" customWidth="1"/>
    <col min="17" max="16384" width="8.88671875" style="345"/>
  </cols>
  <sheetData>
    <row r="1" spans="2:16" s="388" customFormat="1" ht="18" customHeight="1" x14ac:dyDescent="0.15">
      <c r="E1" s="389"/>
      <c r="F1" s="389"/>
    </row>
    <row r="2" spans="2:16" s="388" customFormat="1" ht="18" customHeight="1" x14ac:dyDescent="0.15">
      <c r="B2" s="388" t="s">
        <v>252</v>
      </c>
      <c r="E2" s="389"/>
      <c r="F2" s="389"/>
    </row>
    <row r="3" spans="2:16" s="388" customFormat="1" ht="18" customHeight="1" x14ac:dyDescent="0.15">
      <c r="E3" s="389"/>
      <c r="F3" s="389"/>
    </row>
    <row r="4" spans="2:16" s="392" customFormat="1" ht="26.25" customHeight="1" x14ac:dyDescent="0.15">
      <c r="B4" s="390" t="s">
        <v>253</v>
      </c>
      <c r="C4" s="391" t="s">
        <v>237</v>
      </c>
      <c r="E4" s="391"/>
      <c r="F4" s="391"/>
    </row>
    <row r="5" spans="2:16" s="388" customFormat="1" ht="18" customHeight="1" thickBot="1" x14ac:dyDescent="0.2">
      <c r="E5" s="389"/>
      <c r="F5" s="389"/>
    </row>
    <row r="6" spans="2:16" s="388" customFormat="1" ht="26.1" customHeight="1" thickBot="1" x14ac:dyDescent="0.2">
      <c r="B6" s="393" t="s">
        <v>254</v>
      </c>
      <c r="C6" s="394">
        <f>장기양수시험!C10</f>
        <v>44291.402777777781</v>
      </c>
      <c r="D6" s="395"/>
      <c r="E6" s="389"/>
      <c r="F6" s="389"/>
    </row>
    <row r="7" spans="2:16" s="388" customFormat="1" ht="26.1" customHeight="1" thickBot="1" x14ac:dyDescent="0.2">
      <c r="B7" s="393" t="s">
        <v>255</v>
      </c>
      <c r="C7" s="396">
        <v>14.8</v>
      </c>
      <c r="D7" s="395"/>
      <c r="E7" s="389"/>
      <c r="F7" s="389"/>
    </row>
    <row r="8" spans="2:16" s="388" customFormat="1" ht="26.1" customHeight="1" x14ac:dyDescent="0.15">
      <c r="B8" s="397" t="s">
        <v>256</v>
      </c>
      <c r="C8" s="398">
        <v>215</v>
      </c>
      <c r="D8" s="395"/>
      <c r="E8" s="389"/>
      <c r="F8" s="389"/>
    </row>
    <row r="9" spans="2:16" s="388" customFormat="1" ht="26.1" customHeight="1" x14ac:dyDescent="0.15">
      <c r="B9" s="397" t="s">
        <v>257</v>
      </c>
      <c r="C9" s="399">
        <v>8</v>
      </c>
      <c r="D9" s="395"/>
      <c r="E9" s="389"/>
      <c r="F9" s="389"/>
    </row>
    <row r="10" spans="2:16" s="388" customFormat="1" ht="26.1" customHeight="1" x14ac:dyDescent="0.15">
      <c r="B10" s="397"/>
      <c r="C10" s="398"/>
      <c r="D10" s="395"/>
      <c r="E10" s="389"/>
      <c r="F10" s="389"/>
    </row>
    <row r="11" spans="2:16" s="388" customFormat="1" ht="18" customHeight="1" thickBot="1" x14ac:dyDescent="0.2">
      <c r="E11" s="389"/>
      <c r="F11" s="389"/>
      <c r="L11"/>
      <c r="M11"/>
      <c r="N11"/>
      <c r="O11"/>
      <c r="P11"/>
    </row>
    <row r="12" spans="2:16" s="389" customFormat="1" ht="26.1" customHeight="1" x14ac:dyDescent="0.15">
      <c r="B12" s="538" t="s">
        <v>258</v>
      </c>
      <c r="C12" s="539"/>
      <c r="D12" s="540" t="s">
        <v>237</v>
      </c>
      <c r="E12" s="541"/>
      <c r="F12" s="539"/>
      <c r="H12" s="538" t="s">
        <v>237</v>
      </c>
      <c r="I12" s="541"/>
      <c r="J12" s="539"/>
      <c r="L12" s="533" t="s">
        <v>237</v>
      </c>
      <c r="M12" s="534"/>
      <c r="N12" s="535"/>
      <c r="O12"/>
      <c r="P12"/>
    </row>
    <row r="13" spans="2:16" s="389" customFormat="1" ht="26.1" customHeight="1" x14ac:dyDescent="0.15">
      <c r="B13" s="400" t="s">
        <v>254</v>
      </c>
      <c r="C13" s="401" t="s">
        <v>259</v>
      </c>
      <c r="D13" s="402" t="s">
        <v>260</v>
      </c>
      <c r="E13" s="403" t="s">
        <v>261</v>
      </c>
      <c r="F13" s="401" t="s">
        <v>262</v>
      </c>
      <c r="H13" s="469" t="s">
        <v>260</v>
      </c>
      <c r="I13" s="403" t="s">
        <v>261</v>
      </c>
      <c r="J13" s="470" t="s">
        <v>262</v>
      </c>
      <c r="L13" s="472" t="s">
        <v>260</v>
      </c>
      <c r="M13" s="473" t="s">
        <v>261</v>
      </c>
      <c r="N13" s="474" t="s">
        <v>262</v>
      </c>
      <c r="O13"/>
      <c r="P13"/>
    </row>
    <row r="14" spans="2:16" s="389" customFormat="1" ht="26.1" customHeight="1" x14ac:dyDescent="0.15">
      <c r="B14" s="404">
        <f>$C$6+C14/1440</f>
        <v>44291.40625</v>
      </c>
      <c r="C14" s="405">
        <v>5</v>
      </c>
      <c r="D14" s="406">
        <f t="shared" ref="D14:D23" si="0">baseTemp+H14</f>
        <v>14.700000000000001</v>
      </c>
      <c r="E14" s="407">
        <f>$C$8+I14</f>
        <v>218</v>
      </c>
      <c r="F14" s="408">
        <f>$C$9+J14</f>
        <v>8.08</v>
      </c>
      <c r="H14" s="409">
        <v>-0.1</v>
      </c>
      <c r="I14" s="410">
        <v>3</v>
      </c>
      <c r="J14" s="411">
        <v>0.08</v>
      </c>
      <c r="L14" s="472">
        <f ca="1">ROUND(myRandBetween(1,3,10), 1)</f>
        <v>-0.1</v>
      </c>
      <c r="M14" s="473">
        <f ca="1">myRandBetween(1,3,1)</f>
        <v>3</v>
      </c>
      <c r="N14" s="474">
        <f ca="1">ROUND(myRandBetween(7,12,100), 2)</f>
        <v>-0.08</v>
      </c>
      <c r="O14"/>
      <c r="P14"/>
    </row>
    <row r="15" spans="2:16" s="389" customFormat="1" ht="26.1" customHeight="1" x14ac:dyDescent="0.15">
      <c r="B15" s="412">
        <f t="shared" ref="B15:B23" si="1">$C$6+C15/1440</f>
        <v>44291.423611111117</v>
      </c>
      <c r="C15" s="411">
        <v>30</v>
      </c>
      <c r="D15" s="413">
        <f t="shared" si="0"/>
        <v>14.600000000000001</v>
      </c>
      <c r="E15" s="414">
        <f t="shared" ref="E15:E23" si="2">$C$8+I15</f>
        <v>218</v>
      </c>
      <c r="F15" s="415">
        <f t="shared" ref="F15:F23" si="3">$C$9+J15</f>
        <v>7.89</v>
      </c>
      <c r="H15" s="409">
        <v>-0.2</v>
      </c>
      <c r="I15" s="410">
        <v>3</v>
      </c>
      <c r="J15" s="411">
        <v>-0.11</v>
      </c>
      <c r="L15" s="472">
        <f t="shared" ref="L15:L23" ca="1" si="4">ROUND(myRandBetween(1,3,10), 1)</f>
        <v>-0.3</v>
      </c>
      <c r="M15" s="473">
        <f t="shared" ref="M15:M23" ca="1" si="5">myRandBetween(1,3,1)</f>
        <v>-1</v>
      </c>
      <c r="N15" s="474">
        <f t="shared" ref="N15:N23" ca="1" si="6">ROUND(myRandBetween(7,12,100), 2)</f>
        <v>0.1</v>
      </c>
      <c r="O15"/>
      <c r="P15"/>
    </row>
    <row r="16" spans="2:16" s="389" customFormat="1" ht="26.1" customHeight="1" x14ac:dyDescent="0.15">
      <c r="B16" s="412">
        <f t="shared" si="1"/>
        <v>44291.444444444445</v>
      </c>
      <c r="C16" s="411">
        <v>60</v>
      </c>
      <c r="D16" s="413">
        <f t="shared" si="0"/>
        <v>14.5</v>
      </c>
      <c r="E16" s="414">
        <f t="shared" si="2"/>
        <v>217</v>
      </c>
      <c r="F16" s="415">
        <f t="shared" si="3"/>
        <v>8.08</v>
      </c>
      <c r="H16" s="409">
        <v>-0.3</v>
      </c>
      <c r="I16" s="410">
        <v>2</v>
      </c>
      <c r="J16" s="411">
        <v>0.08</v>
      </c>
      <c r="L16" s="472">
        <f t="shared" ca="1" si="4"/>
        <v>-0.2</v>
      </c>
      <c r="M16" s="473">
        <f t="shared" ca="1" si="5"/>
        <v>3</v>
      </c>
      <c r="N16" s="474">
        <f t="shared" ca="1" si="6"/>
        <v>-0.08</v>
      </c>
      <c r="O16"/>
      <c r="P16"/>
    </row>
    <row r="17" spans="2:16" s="389" customFormat="1" ht="26.1" customHeight="1" x14ac:dyDescent="0.15">
      <c r="B17" s="412">
        <f t="shared" si="1"/>
        <v>44291.486111111117</v>
      </c>
      <c r="C17" s="411">
        <v>120</v>
      </c>
      <c r="D17" s="413">
        <f t="shared" si="0"/>
        <v>14.700000000000001</v>
      </c>
      <c r="E17" s="414">
        <f t="shared" si="2"/>
        <v>217</v>
      </c>
      <c r="F17" s="415">
        <f t="shared" si="3"/>
        <v>7.89</v>
      </c>
      <c r="H17" s="409">
        <v>-0.1</v>
      </c>
      <c r="I17" s="410">
        <v>2</v>
      </c>
      <c r="J17" s="411">
        <v>-0.11</v>
      </c>
      <c r="L17" s="472">
        <f t="shared" ca="1" si="4"/>
        <v>-0.1</v>
      </c>
      <c r="M17" s="473">
        <f t="shared" ca="1" si="5"/>
        <v>3</v>
      </c>
      <c r="N17" s="474">
        <f t="shared" ca="1" si="6"/>
        <v>-0.11</v>
      </c>
      <c r="O17"/>
      <c r="P17"/>
    </row>
    <row r="18" spans="2:16" s="389" customFormat="1" ht="26.1" customHeight="1" x14ac:dyDescent="0.15">
      <c r="B18" s="412">
        <f t="shared" si="1"/>
        <v>44291.569444444445</v>
      </c>
      <c r="C18" s="411">
        <v>240</v>
      </c>
      <c r="D18" s="413">
        <f t="shared" si="0"/>
        <v>15</v>
      </c>
      <c r="E18" s="414">
        <f t="shared" si="2"/>
        <v>217</v>
      </c>
      <c r="F18" s="415">
        <f t="shared" si="3"/>
        <v>8.07</v>
      </c>
      <c r="H18" s="409">
        <v>0.2</v>
      </c>
      <c r="I18" s="410">
        <v>2</v>
      </c>
      <c r="J18" s="411">
        <v>7.0000000000000007E-2</v>
      </c>
      <c r="L18" s="472">
        <f t="shared" ca="1" si="4"/>
        <v>0.3</v>
      </c>
      <c r="M18" s="473">
        <f t="shared" ca="1" si="5"/>
        <v>-2</v>
      </c>
      <c r="N18" s="474">
        <f t="shared" ca="1" si="6"/>
        <v>0.11</v>
      </c>
      <c r="O18"/>
      <c r="P18"/>
    </row>
    <row r="19" spans="2:16" s="389" customFormat="1" ht="26.1" customHeight="1" x14ac:dyDescent="0.15">
      <c r="B19" s="412">
        <f t="shared" si="1"/>
        <v>44291.736111111117</v>
      </c>
      <c r="C19" s="411">
        <v>480</v>
      </c>
      <c r="D19" s="416">
        <f t="shared" si="0"/>
        <v>14.700000000000001</v>
      </c>
      <c r="E19" s="414">
        <f t="shared" si="2"/>
        <v>212</v>
      </c>
      <c r="F19" s="415">
        <f t="shared" si="3"/>
        <v>7.9</v>
      </c>
      <c r="H19" s="409">
        <v>-0.1</v>
      </c>
      <c r="I19" s="410">
        <v>-3</v>
      </c>
      <c r="J19" s="411">
        <v>-0.1</v>
      </c>
      <c r="L19" s="472">
        <f t="shared" ca="1" si="4"/>
        <v>0.2</v>
      </c>
      <c r="M19" s="473">
        <f t="shared" ca="1" si="5"/>
        <v>2</v>
      </c>
      <c r="N19" s="474">
        <f t="shared" ca="1" si="6"/>
        <v>-0.1</v>
      </c>
      <c r="O19"/>
      <c r="P19"/>
    </row>
    <row r="20" spans="2:16" s="388" customFormat="1" ht="26.1" customHeight="1" x14ac:dyDescent="0.15">
      <c r="B20" s="412">
        <f t="shared" si="1"/>
        <v>44292.402777777781</v>
      </c>
      <c r="C20" s="411">
        <v>1440</v>
      </c>
      <c r="D20" s="413">
        <f t="shared" si="0"/>
        <v>15.100000000000001</v>
      </c>
      <c r="E20" s="414">
        <f t="shared" si="2"/>
        <v>216</v>
      </c>
      <c r="F20" s="415">
        <f t="shared" si="3"/>
        <v>7.89</v>
      </c>
      <c r="H20" s="409">
        <v>0.3</v>
      </c>
      <c r="I20" s="410">
        <v>1</v>
      </c>
      <c r="J20" s="411">
        <v>-0.11</v>
      </c>
      <c r="L20" s="472">
        <f t="shared" ca="1" si="4"/>
        <v>-0.2</v>
      </c>
      <c r="M20" s="473">
        <f t="shared" ca="1" si="5"/>
        <v>-2</v>
      </c>
      <c r="N20" s="474">
        <f t="shared" ca="1" si="6"/>
        <v>0.11</v>
      </c>
      <c r="O20"/>
      <c r="P20"/>
    </row>
    <row r="21" spans="2:16" s="388" customFormat="1" ht="26.1" customHeight="1" x14ac:dyDescent="0.15">
      <c r="B21" s="412">
        <f t="shared" si="1"/>
        <v>44292.569444444445</v>
      </c>
      <c r="C21" s="411">
        <v>1680</v>
      </c>
      <c r="D21" s="413">
        <f t="shared" si="0"/>
        <v>15</v>
      </c>
      <c r="E21" s="414">
        <f t="shared" si="2"/>
        <v>217</v>
      </c>
      <c r="F21" s="415">
        <f t="shared" si="3"/>
        <v>8.1</v>
      </c>
      <c r="H21" s="409">
        <v>0.2</v>
      </c>
      <c r="I21" s="410">
        <v>2</v>
      </c>
      <c r="J21" s="411">
        <v>0.1</v>
      </c>
      <c r="L21" s="472">
        <f t="shared" ca="1" si="4"/>
        <v>0.3</v>
      </c>
      <c r="M21" s="473">
        <f t="shared" ca="1" si="5"/>
        <v>3</v>
      </c>
      <c r="N21" s="474">
        <f t="shared" ca="1" si="6"/>
        <v>-7.0000000000000007E-2</v>
      </c>
      <c r="O21"/>
      <c r="P21"/>
    </row>
    <row r="22" spans="2:16" s="388" customFormat="1" ht="26.1" customHeight="1" x14ac:dyDescent="0.15">
      <c r="B22" s="412">
        <f t="shared" si="1"/>
        <v>44292.736111111117</v>
      </c>
      <c r="C22" s="411">
        <v>1920</v>
      </c>
      <c r="D22" s="413">
        <f t="shared" si="0"/>
        <v>14.5</v>
      </c>
      <c r="E22" s="414">
        <f t="shared" si="2"/>
        <v>218</v>
      </c>
      <c r="F22" s="415">
        <f t="shared" si="3"/>
        <v>8.1199999999999992</v>
      </c>
      <c r="H22" s="409">
        <v>-0.3</v>
      </c>
      <c r="I22" s="410">
        <v>3</v>
      </c>
      <c r="J22" s="411">
        <v>0.12</v>
      </c>
      <c r="L22" s="472">
        <f t="shared" ca="1" si="4"/>
        <v>-0.2</v>
      </c>
      <c r="M22" s="473">
        <f t="shared" ca="1" si="5"/>
        <v>2</v>
      </c>
      <c r="N22" s="474">
        <f t="shared" ca="1" si="6"/>
        <v>0.12</v>
      </c>
      <c r="O22"/>
      <c r="P22"/>
    </row>
    <row r="23" spans="2:16" s="388" customFormat="1" ht="26.1" customHeight="1" thickBot="1" x14ac:dyDescent="0.2">
      <c r="B23" s="412">
        <f t="shared" si="1"/>
        <v>44293.402777777781</v>
      </c>
      <c r="C23" s="411">
        <v>2880</v>
      </c>
      <c r="D23" s="413">
        <f t="shared" si="0"/>
        <v>14.600000000000001</v>
      </c>
      <c r="E23" s="414">
        <f t="shared" si="2"/>
        <v>216</v>
      </c>
      <c r="F23" s="415">
        <f t="shared" si="3"/>
        <v>7.93</v>
      </c>
      <c r="H23" s="417">
        <v>-0.2</v>
      </c>
      <c r="I23" s="471">
        <v>1</v>
      </c>
      <c r="J23" s="418">
        <v>-7.0000000000000007E-2</v>
      </c>
      <c r="L23" s="475">
        <f t="shared" ca="1" si="4"/>
        <v>-0.2</v>
      </c>
      <c r="M23" s="476">
        <f t="shared" ca="1" si="5"/>
        <v>3</v>
      </c>
      <c r="N23" s="477">
        <f t="shared" ca="1" si="6"/>
        <v>-0.08</v>
      </c>
      <c r="O23"/>
      <c r="P23"/>
    </row>
    <row r="24" spans="2:16" s="388" customFormat="1" ht="26.1" customHeight="1" x14ac:dyDescent="0.15">
      <c r="B24" s="542" t="s">
        <v>178</v>
      </c>
      <c r="C24" s="543"/>
      <c r="D24" s="402">
        <f>MAX(D14:D23)</f>
        <v>15.100000000000001</v>
      </c>
      <c r="E24" s="403">
        <f t="shared" ref="E24:F24" si="7">MAX(E14:E23)</f>
        <v>218</v>
      </c>
      <c r="F24" s="401">
        <f t="shared" si="7"/>
        <v>8.1199999999999992</v>
      </c>
      <c r="H24" s="389"/>
      <c r="I24" s="389"/>
      <c r="J24" s="389"/>
      <c r="L24"/>
      <c r="M24"/>
      <c r="N24"/>
      <c r="O24"/>
      <c r="P24"/>
    </row>
    <row r="25" spans="2:16" s="388" customFormat="1" ht="26.1" customHeight="1" x14ac:dyDescent="0.15">
      <c r="B25" s="542" t="s">
        <v>263</v>
      </c>
      <c r="C25" s="543"/>
      <c r="D25" s="402">
        <f>MIN(D14:D23)</f>
        <v>14.5</v>
      </c>
      <c r="E25" s="403">
        <f t="shared" ref="E25:F25" si="8">MIN(E14:E23)</f>
        <v>212</v>
      </c>
      <c r="F25" s="401">
        <f t="shared" si="8"/>
        <v>7.89</v>
      </c>
      <c r="H25" s="389"/>
      <c r="I25" s="389"/>
      <c r="J25" s="389"/>
      <c r="L25"/>
      <c r="M25"/>
      <c r="N25"/>
      <c r="O25"/>
      <c r="P25"/>
    </row>
    <row r="26" spans="2:16" s="388" customFormat="1" ht="26.1" customHeight="1" thickBot="1" x14ac:dyDescent="0.2">
      <c r="B26" s="536" t="s">
        <v>264</v>
      </c>
      <c r="C26" s="537"/>
      <c r="D26" s="419">
        <f>D24-D25</f>
        <v>0.60000000000000142</v>
      </c>
      <c r="E26" s="420">
        <f t="shared" ref="E26:F26" si="9">E24-E25</f>
        <v>6</v>
      </c>
      <c r="F26" s="421">
        <f t="shared" si="9"/>
        <v>0.22999999999999954</v>
      </c>
      <c r="H26" s="389"/>
      <c r="I26" s="389"/>
      <c r="J26" s="389"/>
      <c r="L26"/>
      <c r="M26"/>
      <c r="N26"/>
      <c r="O26"/>
      <c r="P26"/>
    </row>
    <row r="27" spans="2:16" s="388" customFormat="1" ht="18" customHeight="1" x14ac:dyDescent="0.15">
      <c r="E27" s="389"/>
      <c r="F27" s="389"/>
      <c r="L27"/>
      <c r="M27"/>
      <c r="N27"/>
      <c r="O27"/>
      <c r="P27"/>
    </row>
    <row r="28" spans="2:16" s="388" customFormat="1" ht="18" customHeight="1" x14ac:dyDescent="0.15">
      <c r="E28" s="389"/>
      <c r="F28" s="389"/>
      <c r="L28"/>
      <c r="M28"/>
      <c r="N28"/>
      <c r="O28"/>
      <c r="P28"/>
    </row>
    <row r="29" spans="2:16" s="388" customFormat="1" ht="18" customHeight="1" x14ac:dyDescent="0.15">
      <c r="E29" s="389"/>
      <c r="F29" s="389"/>
    </row>
    <row r="30" spans="2:16" s="388" customFormat="1" ht="18" customHeight="1" x14ac:dyDescent="0.15">
      <c r="E30" s="389"/>
      <c r="F30" s="389"/>
    </row>
    <row r="31" spans="2:16" s="388" customFormat="1" ht="18" customHeight="1" x14ac:dyDescent="0.15">
      <c r="E31" s="389"/>
      <c r="F31" s="389"/>
    </row>
    <row r="32" spans="2:16" s="388" customFormat="1" ht="18" customHeight="1" x14ac:dyDescent="0.15">
      <c r="E32" s="389"/>
      <c r="F32" s="389"/>
    </row>
    <row r="33" spans="5:6" s="388" customFormat="1" ht="18" customHeight="1" x14ac:dyDescent="0.15">
      <c r="E33" s="389"/>
      <c r="F33" s="389"/>
    </row>
    <row r="34" spans="5:6" s="388" customFormat="1" ht="18" customHeight="1" x14ac:dyDescent="0.15">
      <c r="E34" s="389"/>
      <c r="F34" s="389"/>
    </row>
    <row r="35" spans="5:6" s="388" customFormat="1" ht="18" customHeight="1" x14ac:dyDescent="0.15">
      <c r="E35" s="389"/>
      <c r="F35" s="389"/>
    </row>
    <row r="36" spans="5:6" s="388" customFormat="1" ht="18" customHeight="1" x14ac:dyDescent="0.15">
      <c r="E36" s="389"/>
      <c r="F36" s="389"/>
    </row>
    <row r="37" spans="5:6" s="388" customFormat="1" ht="18" customHeight="1" x14ac:dyDescent="0.15">
      <c r="E37" s="389"/>
      <c r="F37" s="389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44" t="s">
        <v>152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m1_step_01</vt:lpstr>
      <vt:lpstr>m1_janggi_02</vt:lpstr>
      <vt:lpstr>m1_recover_01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2021-03-30T00:18:38Z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