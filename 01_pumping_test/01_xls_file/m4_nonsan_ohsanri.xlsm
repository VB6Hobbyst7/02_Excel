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12_연산신양외 농업용관정 영향조사 용역 - 마인지오\m4_양촌면 오산리 142\"/>
    </mc:Choice>
  </mc:AlternateContent>
  <xr:revisionPtr revIDLastSave="0" documentId="13_ncr:1_{50DBF2AC-BD8A-4678-B1F5-DDE065288F49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42" i="10"/>
  <c r="K38" i="8"/>
  <c r="K40" i="10"/>
  <c r="K37" i="10"/>
  <c r="K29" i="10"/>
  <c r="K28" i="10"/>
  <c r="K26" i="10"/>
  <c r="K34" i="10"/>
  <c r="K38" i="10"/>
  <c r="K31" i="10"/>
  <c r="K32" i="10"/>
  <c r="K27" i="10"/>
  <c r="K39" i="10"/>
  <c r="K25" i="10"/>
  <c r="K36" i="10"/>
  <c r="K30" i="10"/>
  <c r="K35" i="10"/>
  <c r="K33" i="10"/>
  <c r="K43" i="10"/>
  <c r="K41" i="10"/>
  <c r="K3" i="8"/>
  <c r="K15" i="8"/>
  <c r="K27" i="8"/>
  <c r="K26" i="8"/>
  <c r="K4" i="8"/>
  <c r="K16" i="8"/>
  <c r="K28" i="8"/>
  <c r="K31" i="8"/>
  <c r="K5" i="8"/>
  <c r="K17" i="8"/>
  <c r="K29" i="8"/>
  <c r="K19" i="8"/>
  <c r="K6" i="8"/>
  <c r="K18" i="8"/>
  <c r="K30" i="8"/>
  <c r="K7" i="8"/>
  <c r="K8" i="8"/>
  <c r="K20" i="8"/>
  <c r="K32" i="8"/>
  <c r="K25" i="8"/>
  <c r="K9" i="8"/>
  <c r="K21" i="8"/>
  <c r="K37" i="8"/>
  <c r="K10" i="8"/>
  <c r="K22" i="8"/>
  <c r="K34" i="8"/>
  <c r="K13" i="8"/>
  <c r="K11" i="8"/>
  <c r="K23" i="8"/>
  <c r="K35" i="8"/>
  <c r="K36" i="8"/>
  <c r="K12" i="8"/>
  <c r="K24" i="8"/>
  <c r="K14" i="8"/>
  <c r="K8" i="10" l="1"/>
  <c r="L18" i="8"/>
  <c r="K23" i="10"/>
  <c r="K10" i="10"/>
  <c r="K5" i="11"/>
  <c r="L3" i="11"/>
  <c r="L14" i="10"/>
  <c r="L22" i="10"/>
  <c r="L23" i="10"/>
  <c r="L24" i="10"/>
  <c r="K22" i="10"/>
  <c r="K2" i="10"/>
  <c r="K18" i="10"/>
  <c r="K9" i="10"/>
  <c r="K14" i="10"/>
  <c r="K17" i="10"/>
  <c r="K19" i="10"/>
  <c r="K2" i="8"/>
  <c r="C49" i="8" l="1"/>
  <c r="C48" i="8"/>
  <c r="C43" i="8"/>
  <c r="C44" i="8"/>
  <c r="C47" i="10"/>
  <c r="C46" i="10"/>
  <c r="K6" i="10"/>
  <c r="K12" i="10"/>
  <c r="K3" i="10"/>
  <c r="K24" i="10"/>
  <c r="K4" i="10"/>
  <c r="K20" i="10"/>
  <c r="K16" i="10"/>
  <c r="K15" i="10"/>
  <c r="K7" i="10"/>
  <c r="K11" i="10"/>
  <c r="K5" i="10"/>
  <c r="K13" i="10"/>
  <c r="K21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<sst xmlns="http://schemas.openxmlformats.org/spreadsheetml/2006/main" count="1412" uniqueCount="327">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</sst>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33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31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4" customFormat="1" ht="21.95" customHeight="1" x14ac:dyDescent="0.3">
      <c r="A1" s="24" t="s">
        <v>5</v>
      </c>
      <c r="B1" s="24" t="s">
        <v>71</v>
      </c>
      <c r="C1" s="24" t="s">
        <v>72</v>
      </c>
      <c r="D1" s="24" t="s">
        <v>73</v>
      </c>
      <c r="E1" s="24" t="s">
        <v>74</v>
      </c>
      <c r="F1" s="24" t="s">
        <v>75</v>
      </c>
      <c r="G1" s="24" t="s">
        <v>76</v>
      </c>
      <c r="H1" s="24" t="s">
        <v>77</v>
      </c>
      <c r="I1" s="24" t="s">
        <v>78</v>
      </c>
      <c r="J1" s="24" t="s">
        <v>79</v>
      </c>
      <c r="K1" s="24" t="s">
        <v>80</v>
      </c>
      <c r="L1" s="24" t="s">
        <v>81</v>
      </c>
      <c r="M1" s="24" t="s">
        <v>82</v>
      </c>
      <c r="N1" s="24" t="s">
        <v>49</v>
      </c>
      <c r="O1" s="24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topLeftCell="A31" workbookViewId="0">
      <selection activeCell="L49" sqref="L49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>ss_water(I2,J2)</f>
        <v>0.73</v>
      </c>
      <c r="L2" s="2" t="str">
        <f t="shared" ref="L2:L38" si="0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ref="K3:K38" si="1">ss_water(I3,J3)</f>
        <v>0.73</v>
      </c>
      <c r="L3" s="2" t="str">
        <f t="shared" si="0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1"/>
        <v>0.73</v>
      </c>
      <c r="L4" s="2" t="str">
        <f t="shared" si="0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1"/>
        <v>0.73</v>
      </c>
      <c r="L5" s="2" t="str">
        <f t="shared" si="0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1"/>
        <v>3.61</v>
      </c>
      <c r="L6" s="2" t="str">
        <f t="shared" si="0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1"/>
        <v>0.73</v>
      </c>
      <c r="L7" s="2" t="str">
        <f t="shared" si="0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1"/>
        <v>0.73</v>
      </c>
      <c r="L8" s="2" t="str">
        <f t="shared" si="0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1"/>
        <v>0.73</v>
      </c>
      <c r="L9" s="2" t="str">
        <f t="shared" si="0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1"/>
        <v>0.73</v>
      </c>
      <c r="L10" s="2" t="str">
        <f t="shared" si="0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1"/>
        <v>0.73</v>
      </c>
      <c r="L11" s="2" t="str">
        <f t="shared" si="0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1"/>
        <v>0.73</v>
      </c>
      <c r="L12" s="2" t="str">
        <f t="shared" si="0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1"/>
        <v>0.73</v>
      </c>
      <c r="L13" s="2" t="str">
        <f t="shared" si="0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1"/>
        <v>7.16</v>
      </c>
      <c r="L14" s="2" t="str">
        <f t="shared" si="0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1"/>
        <v>0.73</v>
      </c>
      <c r="L15" s="2" t="str">
        <f t="shared" si="0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1"/>
        <v>0.73</v>
      </c>
      <c r="L16" s="2" t="str">
        <f t="shared" si="0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1"/>
        <v>0.73</v>
      </c>
      <c r="L17" s="2" t="str">
        <f t="shared" si="0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1"/>
        <v>0.73</v>
      </c>
      <c r="L18" s="2" t="str">
        <f t="shared" si="0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1"/>
        <v>0.73</v>
      </c>
      <c r="L19" s="2" t="str">
        <f t="shared" si="0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1"/>
        <v>0.73</v>
      </c>
      <c r="L20" s="2" t="str">
        <f t="shared" si="0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1"/>
        <v>0.73</v>
      </c>
      <c r="L21" s="2" t="str">
        <f t="shared" si="0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1"/>
        <v>0.73</v>
      </c>
      <c r="L22" s="2" t="str">
        <f t="shared" si="0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1"/>
        <v>0.73</v>
      </c>
      <c r="L23" s="2" t="str">
        <f t="shared" si="0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1"/>
        <v>0.73</v>
      </c>
      <c r="L24" s="2" t="str">
        <f t="shared" si="0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1"/>
        <v>0.73</v>
      </c>
      <c r="L25" s="2" t="str">
        <f t="shared" si="0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1"/>
        <v>0.73</v>
      </c>
      <c r="L26" s="2" t="str">
        <f t="shared" si="0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1"/>
        <v>0.73</v>
      </c>
      <c r="L27" s="2" t="str">
        <f t="shared" si="0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1"/>
        <v>0.73</v>
      </c>
      <c r="L28" s="2" t="str">
        <f t="shared" si="0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1"/>
        <v>0.73</v>
      </c>
      <c r="L29" s="2" t="str">
        <f t="shared" si="0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1"/>
        <v>0.73</v>
      </c>
      <c r="L30" s="2" t="str">
        <f t="shared" si="0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1"/>
        <v>0.73</v>
      </c>
      <c r="L31" s="2" t="str">
        <f t="shared" si="0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1"/>
        <v>4.58</v>
      </c>
      <c r="L32" s="2" t="str">
        <f t="shared" si="0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v>0.73</v>
      </c>
      <c r="L33" s="2" t="str">
        <f t="shared" si="0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1"/>
        <v>0.73</v>
      </c>
      <c r="L34" s="2" t="str">
        <f t="shared" si="0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1"/>
        <v>0.73</v>
      </c>
      <c r="L35" s="2" t="str">
        <f t="shared" si="0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1"/>
        <v>0.73</v>
      </c>
      <c r="L36" s="2" t="str">
        <f t="shared" si="0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 t="shared" si="1"/>
        <v>7.16</v>
      </c>
      <c r="L37" s="2" t="str">
        <f t="shared" si="0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1"/>
        <v>0.73</v>
      </c>
      <c r="L38" s="2" t="str">
        <f t="shared" si="0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259.56000000000006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24.150000000000002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22.450000000000006</v>
      </c>
    </row>
    <row r="45" spans="1:18" ht="21.75" customHeight="1" x14ac:dyDescent="0.3">
      <c r="B45" s="17"/>
      <c r="C45" s="18"/>
      <c r="D45" s="19">
        <f ca="1">SUM(D43:D44)</f>
        <v>46.600000000000009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101.46000000000002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203.10000000000002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16">
        <f ca="1">D43+D48+H48</f>
        <v>125.78999999999999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123.91000000000003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31" workbookViewId="0">
      <selection activeCell="H48" sqref="H48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>aa_water(I2,J2)</f>
        <v>9.58</v>
      </c>
      <c r="L2" s="2" t="str">
        <f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>aa_water(I3,J3)</f>
        <v>10.98</v>
      </c>
      <c r="L3" s="2" t="str">
        <f>D3&amp;" "&amp;E3&amp;" 번지"</f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>aa_water(I4,J4)</f>
        <v>10.78</v>
      </c>
      <c r="L4" s="2" t="str">
        <f>D4&amp;" "&amp;E4&amp;" 번지"</f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>aa_water(I5,J5)</f>
        <v>10.78</v>
      </c>
      <c r="L5" s="2" t="str">
        <f>D5&amp;" "&amp;E5&amp;" 번지"</f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>aa_water(I6,J6)</f>
        <v>9.1999999999999993</v>
      </c>
      <c r="L6" s="2" t="str">
        <f>D6&amp;" "&amp;E6&amp;" 번지"</f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>aa_water(I7,J7)</f>
        <v>5.94</v>
      </c>
      <c r="L7" s="2" t="str">
        <f>D7&amp;" "&amp;E7&amp;" 번지"</f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>ROUND(5.492+100*0.041,2)</f>
        <v>9.59</v>
      </c>
      <c r="L8" s="2" t="str">
        <f>D8&amp;" "&amp;E8&amp;" 번지"</f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>aa_water(I9,J9)</f>
        <v>3.08</v>
      </c>
      <c r="L9" s="2" t="str">
        <f>D9&amp;" "&amp;E9&amp;" 번지"</f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>3.48+30*0.009</f>
        <v>3.75</v>
      </c>
      <c r="L10" s="2" t="str">
        <f>D10&amp;" "&amp;E10&amp;" 번지"</f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>aa_water(I11,J11)</f>
        <v>3.3</v>
      </c>
      <c r="L11" s="2" t="str">
        <f>D11&amp;" "&amp;E11&amp;" 번지"</f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>aa_water(I12,J12)</f>
        <v>3.74</v>
      </c>
      <c r="L12" s="2" t="str">
        <f>D12&amp;" "&amp;E12&amp;" 번지"</f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>aa_water(I13,J13)</f>
        <v>3.23</v>
      </c>
      <c r="L13" s="2" t="str">
        <f>D13&amp;" "&amp;E13&amp;" 번지"</f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>aa_water(I14,J14)</f>
        <v>1.98</v>
      </c>
      <c r="L14" s="2" t="str">
        <f>D14&amp;" "&amp;E14&amp;" 번지"</f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>aa_water(I15,J15)</f>
        <v>6.22</v>
      </c>
      <c r="L15" s="2" t="str">
        <f>D15&amp;" "&amp;E15&amp;" 번지"</f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>aa_water(I16,J16)</f>
        <v>3.12</v>
      </c>
      <c r="L16" s="2" t="str">
        <f>D16&amp;" "&amp;E16&amp;" 번지"</f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>aa_water(I17,J17)</f>
        <v>1.98</v>
      </c>
      <c r="L17" s="2" t="str">
        <f>D17&amp;" "&amp;E17&amp;" 번지"</f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>aa_water(I18,J18)</f>
        <v>6.22</v>
      </c>
      <c r="L18" s="2" t="str">
        <f>D18&amp;" "&amp;E18&amp;" 번지"</f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>aa_water(I19,J19)</f>
        <v>1.98</v>
      </c>
      <c r="L19" s="2" t="str">
        <f>D19&amp;" "&amp;E19&amp;" 번지"</f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>aa_water(I20,J20)</f>
        <v>1.98</v>
      </c>
      <c r="L20" s="2" t="str">
        <f>D20&amp;" "&amp;E20&amp;" 번지"</f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>aa_water(I21,J21)</f>
        <v>3.23</v>
      </c>
      <c r="L21" s="2" t="str">
        <f>D21&amp;" "&amp;E21&amp;" 번지"</f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>aa_water(I22,J22)</f>
        <v>6.11</v>
      </c>
      <c r="L22" s="2" t="str">
        <f>D22&amp;" "&amp;E22&amp;" 번지"</f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>3.48+30*0.009</f>
        <v>3.75</v>
      </c>
      <c r="L23" s="2" t="str">
        <f>D23&amp;" "&amp;E23&amp;" 번지"</f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>aa_water(I24,J24)</f>
        <v>3.67</v>
      </c>
      <c r="L24" s="2" t="str">
        <f>D24&amp;" "&amp;E24&amp;" 번지"</f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>aa_water(I25,J25)</f>
        <v>3.87</v>
      </c>
      <c r="L25" s="2" t="str">
        <f>D25&amp;" "&amp;E25&amp;" 번지"</f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>aa_water(I26,J26)</f>
        <v>2.64</v>
      </c>
      <c r="L26" s="2" t="str">
        <f>D26&amp;" "&amp;E26&amp;" 번지"</f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>aa_water(I27,J27)</f>
        <v>3.74</v>
      </c>
      <c r="L27" s="2" t="str">
        <f>D27&amp;" "&amp;E27&amp;" 번지"</f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>aa_water(I28,J28)</f>
        <v>3.12</v>
      </c>
      <c r="L28" s="2" t="str">
        <f>D28&amp;" "&amp;E28&amp;" 번지"</f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>aa_water(I29,J29)</f>
        <v>1.98</v>
      </c>
      <c r="L29" s="2" t="str">
        <f>D29&amp;" "&amp;E29&amp;" 번지"</f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>aa_water(I30,J30)</f>
        <v>3.08</v>
      </c>
      <c r="L30" s="2" t="str">
        <f>D30&amp;" "&amp;E30&amp;" 번지"</f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>aa_water(I31,J31)</f>
        <v>6.36</v>
      </c>
      <c r="L31" s="2" t="str">
        <f>D31&amp;" "&amp;E31&amp;" 번지"</f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>aa_water(I32,J32)</f>
        <v>6.78</v>
      </c>
      <c r="L32" s="2" t="str">
        <f>D32&amp;" "&amp;E32&amp;" 번지"</f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>aa_water(I33,J33)</f>
        <v>5.94</v>
      </c>
      <c r="L33" s="2" t="str">
        <f>D33&amp;" "&amp;E33&amp;" 번지"</f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>aa_water(I34,J34)</f>
        <v>3.74</v>
      </c>
      <c r="L34" s="2" t="str">
        <f>D34&amp;" "&amp;E34&amp;" 번지"</f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>aa_water(I35,J35)</f>
        <v>6.22</v>
      </c>
      <c r="L35" s="2" t="str">
        <f>D35&amp;" "&amp;E35&amp;" 번지"</f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>aa_water(I36,J36)</f>
        <v>6.22</v>
      </c>
      <c r="L36" s="2" t="str">
        <f>D36&amp;" "&amp;E36&amp;" 번지"</f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>aa_water(I37,J37)</f>
        <v>5.94</v>
      </c>
      <c r="L37" s="2" t="str">
        <f>D37&amp;" "&amp;E37&amp;" 번지"</f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>aa_water(I38,J38)</f>
        <v>3.74</v>
      </c>
      <c r="L38" s="2" t="str">
        <f>D38&amp;" "&amp;E38&amp;" 번지"</f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>aa_water(I39,J39)</f>
        <v>2.86</v>
      </c>
      <c r="L39" s="2" t="str">
        <f>D39&amp;" "&amp;E39&amp;" 번지"</f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>aa_water(I40,J40)</f>
        <v>6.07</v>
      </c>
      <c r="L40" s="2" t="str">
        <f>D40&amp;" "&amp;E40&amp;" 번지"</f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>aa_water(I41,J41)</f>
        <v>6.07</v>
      </c>
      <c r="L41" s="2" t="str">
        <f>D41&amp;" "&amp;E41&amp;" 번지"</f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>aa_water(I42,J42)</f>
        <v>4.18</v>
      </c>
      <c r="L42" s="2" t="str">
        <f>ss!D38&amp;" "&amp;ss!E38&amp;" 번지"</f>
        <v>오산리 '62-1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>aa_water(I43,J43)</f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3">
        <f>SUM(K2:K44)</f>
        <v>212.96000000000006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101.46000000000002</v>
      </c>
    </row>
    <row r="48" spans="1:18" ht="21.75" customHeight="1" x14ac:dyDescent="0.3">
      <c r="B48" s="22"/>
      <c r="C48" s="18"/>
      <c r="D48" s="19">
        <f ca="1">D46+D47</f>
        <v>203.10000000000002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2020-06-11T10:42:39Z</dcterms:modified>
</cp:coreProperties>
</file>