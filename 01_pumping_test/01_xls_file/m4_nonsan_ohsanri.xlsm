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45C56BCE-FF94-4CBA-8268-EDCB0BB49F03}" xr6:coauthVersionLast="45" xr6:coauthVersionMax="45" xr10:uidLastSave="{00000000-0000-0000-0000-000000000000}"/>
  <bookViews>
    <workbookView xWindow="28680" yWindow="-120" windowWidth="29040" windowHeight="15840" activeTab="2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2" i="8"/>
  <c r="K2" i="10"/>
  <c r="K39" i="10"/>
  <c r="K4" i="10"/>
  <c r="K16" i="10"/>
  <c r="K28" i="10"/>
  <c r="K40" i="10"/>
  <c r="K5" i="10"/>
  <c r="K17" i="10"/>
  <c r="K42" i="10"/>
  <c r="K29" i="10"/>
  <c r="K6" i="10"/>
  <c r="K7" i="10"/>
  <c r="K19" i="10"/>
  <c r="K31" i="10"/>
  <c r="K43" i="10"/>
  <c r="K11" i="10"/>
  <c r="K8" i="10"/>
  <c r="K20" i="10"/>
  <c r="K32" i="10"/>
  <c r="K22" i="10"/>
  <c r="K23" i="10"/>
  <c r="K30" i="10"/>
  <c r="K9" i="10"/>
  <c r="K21" i="10"/>
  <c r="K33" i="10"/>
  <c r="K10" i="10"/>
  <c r="K34" i="10"/>
  <c r="K35" i="10"/>
  <c r="K18" i="10"/>
  <c r="K12" i="10"/>
  <c r="K24" i="10"/>
  <c r="K36" i="10"/>
  <c r="K13" i="10"/>
  <c r="K25" i="10"/>
  <c r="K37" i="10"/>
  <c r="K14" i="10"/>
  <c r="K26" i="10"/>
  <c r="K38" i="10"/>
  <c r="K3" i="10"/>
  <c r="K15" i="10"/>
  <c r="K27" i="10"/>
  <c r="K41" i="10"/>
  <c r="K37" i="8"/>
  <c r="K3" i="8"/>
  <c r="K15" i="8"/>
  <c r="K27" i="8"/>
  <c r="K4" i="8"/>
  <c r="K16" i="8"/>
  <c r="K28" i="8"/>
  <c r="K5" i="8"/>
  <c r="K17" i="8"/>
  <c r="K29" i="8"/>
  <c r="K6" i="8"/>
  <c r="K18" i="8"/>
  <c r="K30" i="8"/>
  <c r="K7" i="8"/>
  <c r="K19" i="8"/>
  <c r="K31" i="8"/>
  <c r="K32" i="8"/>
  <c r="K22" i="8"/>
  <c r="K35" i="8"/>
  <c r="K26" i="8"/>
  <c r="K8" i="8"/>
  <c r="K20" i="8"/>
  <c r="K33" i="8"/>
  <c r="K23" i="8"/>
  <c r="K38" i="8"/>
  <c r="K9" i="8"/>
  <c r="K21" i="8"/>
  <c r="K11" i="8"/>
  <c r="K25" i="8"/>
  <c r="K10" i="8"/>
  <c r="K34" i="8"/>
  <c r="K36" i="8"/>
  <c r="K12" i="8"/>
  <c r="K24" i="8"/>
  <c r="K14" i="8"/>
  <c r="K13" i="8"/>
  <c r="L18" i="8" l="1"/>
  <c r="K5" i="11"/>
  <c r="L3" i="11"/>
  <c r="L14" i="10"/>
  <c r="L22" i="10"/>
  <c r="L23" i="10"/>
  <c r="L24" i="10"/>
  <c r="C49" i="8" l="1"/>
  <c r="C48" i="8"/>
  <c r="C43" i="8"/>
  <c r="C44" i="8"/>
  <c r="C47" i="10"/>
  <c r="C46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2" i="11" l="1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<sst xmlns="http://schemas.openxmlformats.org/spreadsheetml/2006/main" count="1412" uniqueCount="327">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</sst>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2"/>
      <color rgb="FFFF0000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22" zoomScale="90" zoomScaleNormal="90" workbookViewId="0">
      <selection activeCell="N2" sqref="N2:N43"/>
    </sheetView>
  </sheetViews>
  <sheetFormatPr defaultRowHeight="21.95" customHeight="1" x14ac:dyDescent="0.3"/>
  <cols>
    <col min="1" max="3" width="9" style="2"/>
    <col min="4" max="4" width="4.125" style="2" customWidth="1"/>
    <col min="5" max="5" width="6.375" style="2" hidden="1" customWidth="1"/>
    <col min="6" max="6" width="4.125" style="2" hidden="1" customWidth="1"/>
    <col min="7" max="7" width="11.875" style="2" customWidth="1"/>
    <col min="8" max="16384" width="9" style="2"/>
  </cols>
  <sheetData>
    <row r="1" spans="1:15" s="23" customFormat="1" ht="21.95" customHeight="1" x14ac:dyDescent="0.3">
      <c r="A1" s="23" t="s">
        <v>5</v>
      </c>
      <c r="B1" s="23" t="s">
        <v>71</v>
      </c>
      <c r="C1" s="23" t="s">
        <v>72</v>
      </c>
      <c r="D1" s="23" t="s">
        <v>73</v>
      </c>
      <c r="E1" s="23" t="s">
        <v>74</v>
      </c>
      <c r="F1" s="23" t="s">
        <v>75</v>
      </c>
      <c r="G1" s="23" t="s">
        <v>76</v>
      </c>
      <c r="H1" s="23" t="s">
        <v>77</v>
      </c>
      <c r="I1" s="23" t="s">
        <v>78</v>
      </c>
      <c r="J1" s="23" t="s">
        <v>79</v>
      </c>
      <c r="K1" s="23" t="s">
        <v>80</v>
      </c>
      <c r="L1" s="23" t="s">
        <v>81</v>
      </c>
      <c r="M1" s="23" t="s">
        <v>82</v>
      </c>
      <c r="N1" s="23" t="s">
        <v>49</v>
      </c>
      <c r="O1" s="23" t="s">
        <v>48</v>
      </c>
    </row>
    <row r="2" spans="1:15" ht="21.95" customHeight="1" x14ac:dyDescent="0.3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 x14ac:dyDescent="0.3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 x14ac:dyDescent="0.3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 x14ac:dyDescent="0.3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 x14ac:dyDescent="0.3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 x14ac:dyDescent="0.3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 x14ac:dyDescent="0.3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 x14ac:dyDescent="0.3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 x14ac:dyDescent="0.3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 x14ac:dyDescent="0.3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 x14ac:dyDescent="0.3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 x14ac:dyDescent="0.3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 x14ac:dyDescent="0.3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 x14ac:dyDescent="0.3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 x14ac:dyDescent="0.3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 x14ac:dyDescent="0.3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 x14ac:dyDescent="0.3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 x14ac:dyDescent="0.3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 x14ac:dyDescent="0.3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 x14ac:dyDescent="0.3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 x14ac:dyDescent="0.3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 x14ac:dyDescent="0.3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 x14ac:dyDescent="0.3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 x14ac:dyDescent="0.3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 x14ac:dyDescent="0.3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 x14ac:dyDescent="0.3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 x14ac:dyDescent="0.3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 x14ac:dyDescent="0.3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 x14ac:dyDescent="0.3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 x14ac:dyDescent="0.3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 x14ac:dyDescent="0.3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 x14ac:dyDescent="0.3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 x14ac:dyDescent="0.3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 x14ac:dyDescent="0.3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 x14ac:dyDescent="0.3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 x14ac:dyDescent="0.3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 x14ac:dyDescent="0.3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 x14ac:dyDescent="0.3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 x14ac:dyDescent="0.3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 x14ac:dyDescent="0.3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 x14ac:dyDescent="0.3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 x14ac:dyDescent="0.3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 x14ac:dyDescent="0.3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 x14ac:dyDescent="0.3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 x14ac:dyDescent="0.3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 x14ac:dyDescent="0.3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 x14ac:dyDescent="0.3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 x14ac:dyDescent="0.3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 x14ac:dyDescent="0.3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 x14ac:dyDescent="0.3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 x14ac:dyDescent="0.3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 x14ac:dyDescent="0.3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 x14ac:dyDescent="0.3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 x14ac:dyDescent="0.3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 x14ac:dyDescent="0.3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 x14ac:dyDescent="0.3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 x14ac:dyDescent="0.3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 x14ac:dyDescent="0.3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 x14ac:dyDescent="0.3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 x14ac:dyDescent="0.3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 x14ac:dyDescent="0.3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 x14ac:dyDescent="0.3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 x14ac:dyDescent="0.3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 x14ac:dyDescent="0.3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 x14ac:dyDescent="0.3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 x14ac:dyDescent="0.3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 x14ac:dyDescent="0.3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 x14ac:dyDescent="0.3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 x14ac:dyDescent="0.3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 x14ac:dyDescent="0.3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 x14ac:dyDescent="0.3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 x14ac:dyDescent="0.3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 x14ac:dyDescent="0.3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 x14ac:dyDescent="0.3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 x14ac:dyDescent="0.3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 x14ac:dyDescent="0.3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 x14ac:dyDescent="0.3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 x14ac:dyDescent="0.3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 x14ac:dyDescent="0.3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workbookViewId="0">
      <selection activeCell="K38" sqref="K38"/>
    </sheetView>
  </sheetViews>
  <sheetFormatPr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2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 x14ac:dyDescent="0.3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 t="shared" ref="K2:K38" si="0">ss_water(I2,J2)</f>
        <v>0.73</v>
      </c>
      <c r="L2" s="2" t="str">
        <f t="shared" ref="L2:L38" si="1">D2&amp;" "&amp;E2&amp;" 번지"</f>
        <v>오산리 '452 번지</v>
      </c>
      <c r="M2" s="3"/>
      <c r="N2" s="3"/>
      <c r="O2" s="3"/>
      <c r="R2" s="2" t="s">
        <v>144</v>
      </c>
    </row>
    <row r="3" spans="1:18" ht="21.75" customHeight="1" x14ac:dyDescent="0.3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si="0"/>
        <v>0.73</v>
      </c>
      <c r="L3" s="2" t="str">
        <f t="shared" si="1"/>
        <v>오산리 '451 번지</v>
      </c>
      <c r="M3" s="3"/>
      <c r="N3" s="3"/>
      <c r="O3" s="3"/>
      <c r="R3" s="2" t="s">
        <v>144</v>
      </c>
    </row>
    <row r="4" spans="1:18" ht="21.75" customHeight="1" x14ac:dyDescent="0.3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0"/>
        <v>0.73</v>
      </c>
      <c r="L4" s="2" t="str">
        <f t="shared" si="1"/>
        <v>오산리 '133-2 번지</v>
      </c>
      <c r="M4" s="3"/>
      <c r="N4" s="3"/>
      <c r="O4" s="3"/>
      <c r="R4" s="2" t="s">
        <v>144</v>
      </c>
    </row>
    <row r="5" spans="1:18" ht="21.75" customHeight="1" x14ac:dyDescent="0.3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0"/>
        <v>0.73</v>
      </c>
      <c r="L5" s="2" t="str">
        <f t="shared" si="1"/>
        <v>오산리 '439 번지</v>
      </c>
      <c r="M5" s="3"/>
      <c r="N5" s="3"/>
      <c r="O5" s="3"/>
      <c r="R5" s="2" t="s">
        <v>144</v>
      </c>
    </row>
    <row r="6" spans="1:18" ht="21.75" customHeight="1" x14ac:dyDescent="0.3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0"/>
        <v>3.61</v>
      </c>
      <c r="L6" s="2" t="str">
        <f t="shared" si="1"/>
        <v>오산리 '430 번지</v>
      </c>
      <c r="M6" s="3"/>
      <c r="N6" s="3"/>
      <c r="O6" s="3"/>
      <c r="R6" s="2" t="s">
        <v>144</v>
      </c>
    </row>
    <row r="7" spans="1:18" ht="21.75" customHeight="1" x14ac:dyDescent="0.3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0"/>
        <v>0.73</v>
      </c>
      <c r="L7" s="2" t="str">
        <f t="shared" si="1"/>
        <v>오산리 '427 번지</v>
      </c>
      <c r="M7" s="3"/>
      <c r="N7" s="3"/>
      <c r="O7" s="3"/>
      <c r="R7" s="2" t="s">
        <v>144</v>
      </c>
    </row>
    <row r="8" spans="1:18" ht="21.75" customHeight="1" x14ac:dyDescent="0.3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0"/>
        <v>0.73</v>
      </c>
      <c r="L8" s="2" t="str">
        <f t="shared" si="1"/>
        <v>오산리 '416 번지</v>
      </c>
      <c r="M8" s="3"/>
      <c r="N8" s="3"/>
      <c r="O8" s="3"/>
      <c r="R8" s="2" t="s">
        <v>144</v>
      </c>
    </row>
    <row r="9" spans="1:18" ht="21.75" customHeight="1" x14ac:dyDescent="0.3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0"/>
        <v>0.73</v>
      </c>
      <c r="L9" s="2" t="str">
        <f t="shared" si="1"/>
        <v>오산리 '415 번지</v>
      </c>
      <c r="M9" s="3"/>
      <c r="N9" s="3"/>
      <c r="O9" s="3"/>
      <c r="R9" s="2" t="s">
        <v>144</v>
      </c>
    </row>
    <row r="10" spans="1:18" ht="21.75" customHeight="1" x14ac:dyDescent="0.3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0"/>
        <v>0.73</v>
      </c>
      <c r="L10" s="2" t="str">
        <f t="shared" si="1"/>
        <v>오산리 '409 번지</v>
      </c>
      <c r="M10" s="3"/>
      <c r="N10" s="3"/>
      <c r="O10" s="3"/>
      <c r="R10" s="2" t="s">
        <v>144</v>
      </c>
    </row>
    <row r="11" spans="1:18" ht="21.75" customHeight="1" x14ac:dyDescent="0.3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0"/>
        <v>0.73</v>
      </c>
      <c r="L11" s="2" t="str">
        <f t="shared" si="1"/>
        <v>오산리 '396 번지</v>
      </c>
      <c r="M11" s="3"/>
      <c r="N11" s="3"/>
      <c r="O11" s="3"/>
      <c r="R11" s="2" t="s">
        <v>144</v>
      </c>
    </row>
    <row r="12" spans="1:18" ht="21.75" customHeight="1" x14ac:dyDescent="0.3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0"/>
        <v>0.73</v>
      </c>
      <c r="L12" s="2" t="str">
        <f t="shared" si="1"/>
        <v>오산리 '407 번지</v>
      </c>
      <c r="M12" s="3"/>
      <c r="N12" s="3"/>
      <c r="O12" s="3"/>
      <c r="R12" s="2" t="s">
        <v>144</v>
      </c>
    </row>
    <row r="13" spans="1:18" ht="21.75" customHeight="1" x14ac:dyDescent="0.3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0"/>
        <v>0.73</v>
      </c>
      <c r="L13" s="2" t="str">
        <f t="shared" si="1"/>
        <v>오산리 '315 번지</v>
      </c>
      <c r="M13" s="3"/>
      <c r="N13" s="3"/>
      <c r="O13" s="3"/>
      <c r="R13" s="2" t="s">
        <v>144</v>
      </c>
    </row>
    <row r="14" spans="1:18" ht="21.75" customHeight="1" x14ac:dyDescent="0.3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0"/>
        <v>7.19</v>
      </c>
      <c r="L14" s="2" t="str">
        <f t="shared" si="1"/>
        <v>오산리 '312-3 번지</v>
      </c>
      <c r="M14" s="3"/>
      <c r="N14" s="3"/>
      <c r="O14" s="3"/>
      <c r="R14" s="2" t="s">
        <v>144</v>
      </c>
    </row>
    <row r="15" spans="1:18" ht="21.75" customHeight="1" x14ac:dyDescent="0.3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0"/>
        <v>0.73</v>
      </c>
      <c r="L15" s="2" t="str">
        <f t="shared" si="1"/>
        <v>오산리 '343 번지</v>
      </c>
      <c r="M15" s="3"/>
      <c r="N15" s="3"/>
      <c r="O15" s="3"/>
      <c r="R15" s="2" t="s">
        <v>144</v>
      </c>
    </row>
    <row r="16" spans="1:18" ht="21.75" customHeight="1" x14ac:dyDescent="0.3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0"/>
        <v>0.73</v>
      </c>
      <c r="L16" s="2" t="str">
        <f t="shared" si="1"/>
        <v>오산리 '300 번지</v>
      </c>
      <c r="M16" s="3"/>
      <c r="N16" s="3"/>
      <c r="O16" s="3"/>
      <c r="R16" s="2" t="s">
        <v>144</v>
      </c>
    </row>
    <row r="17" spans="1:18" ht="21.75" customHeight="1" x14ac:dyDescent="0.3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0"/>
        <v>0.73</v>
      </c>
      <c r="L17" s="2" t="str">
        <f t="shared" si="1"/>
        <v>오산리 '283-1 번지</v>
      </c>
      <c r="M17" s="3"/>
      <c r="N17" s="3"/>
      <c r="O17" s="3"/>
      <c r="R17" s="2" t="s">
        <v>144</v>
      </c>
    </row>
    <row r="18" spans="1:18" ht="21.75" customHeight="1" x14ac:dyDescent="0.3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0"/>
        <v>0.73</v>
      </c>
      <c r="L18" s="2" t="str">
        <f t="shared" si="1"/>
        <v>오산리 '297-5 번지</v>
      </c>
      <c r="M18" s="3"/>
      <c r="N18" s="3"/>
      <c r="O18" s="3"/>
      <c r="R18" s="2" t="s">
        <v>144</v>
      </c>
    </row>
    <row r="19" spans="1:18" ht="21.75" customHeight="1" x14ac:dyDescent="0.3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0"/>
        <v>0.73</v>
      </c>
      <c r="L19" s="2" t="str">
        <f t="shared" si="1"/>
        <v>오산리 '224 번지</v>
      </c>
      <c r="M19" s="3"/>
      <c r="N19" s="3"/>
      <c r="O19" s="3"/>
      <c r="R19" s="2" t="s">
        <v>144</v>
      </c>
    </row>
    <row r="20" spans="1:18" ht="21.75" customHeight="1" x14ac:dyDescent="0.3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0"/>
        <v>0.73</v>
      </c>
      <c r="L20" s="2" t="str">
        <f t="shared" si="1"/>
        <v>오산리 '162-2 번지</v>
      </c>
      <c r="M20" s="3"/>
      <c r="N20" s="3"/>
      <c r="O20" s="3"/>
      <c r="R20" s="2" t="s">
        <v>52</v>
      </c>
    </row>
    <row r="21" spans="1:18" ht="21.75" customHeight="1" x14ac:dyDescent="0.3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0"/>
        <v>0.73</v>
      </c>
      <c r="L21" s="2" t="str">
        <f t="shared" si="1"/>
        <v>오산리 '150 번지</v>
      </c>
      <c r="M21" s="3"/>
      <c r="N21" s="3"/>
      <c r="O21" s="3"/>
      <c r="R21" s="2" t="s">
        <v>52</v>
      </c>
    </row>
    <row r="22" spans="1:18" ht="21.75" customHeight="1" x14ac:dyDescent="0.3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0"/>
        <v>0.73</v>
      </c>
      <c r="L22" s="2" t="str">
        <f t="shared" si="1"/>
        <v>오산리 '151-2 번지</v>
      </c>
      <c r="M22" s="3"/>
      <c r="N22" s="3"/>
      <c r="O22" s="3"/>
      <c r="R22" s="2" t="s">
        <v>52</v>
      </c>
    </row>
    <row r="23" spans="1:18" ht="21.75" customHeight="1" x14ac:dyDescent="0.3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0"/>
        <v>0.73</v>
      </c>
      <c r="L23" s="2" t="str">
        <f t="shared" si="1"/>
        <v>오산리 '151-1 번지</v>
      </c>
      <c r="M23" s="3"/>
      <c r="N23" s="3"/>
      <c r="O23" s="3"/>
      <c r="R23" s="2" t="s">
        <v>52</v>
      </c>
    </row>
    <row r="24" spans="1:18" ht="21.75" customHeight="1" x14ac:dyDescent="0.3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0"/>
        <v>0.73</v>
      </c>
      <c r="L24" s="2" t="str">
        <f t="shared" si="1"/>
        <v>오산리 '176-1 번지</v>
      </c>
      <c r="M24" s="3"/>
      <c r="N24" s="3"/>
      <c r="O24" s="3"/>
      <c r="R24" s="2" t="s">
        <v>52</v>
      </c>
    </row>
    <row r="25" spans="1:18" ht="21.75" customHeight="1" x14ac:dyDescent="0.3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0"/>
        <v>0.73</v>
      </c>
      <c r="L25" s="2" t="str">
        <f t="shared" si="1"/>
        <v>오산리 '173-3 번지</v>
      </c>
      <c r="M25" s="3"/>
      <c r="N25" s="3"/>
      <c r="O25" s="3"/>
      <c r="R25" s="2" t="s">
        <v>52</v>
      </c>
    </row>
    <row r="26" spans="1:18" ht="21.75" customHeight="1" x14ac:dyDescent="0.3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0"/>
        <v>0.73</v>
      </c>
      <c r="L26" s="2" t="str">
        <f t="shared" si="1"/>
        <v>오산리 '174 번지</v>
      </c>
      <c r="M26" s="3"/>
      <c r="N26" s="3"/>
      <c r="O26" s="3"/>
      <c r="R26" s="2" t="s">
        <v>52</v>
      </c>
    </row>
    <row r="27" spans="1:18" ht="21.75" customHeight="1" x14ac:dyDescent="0.3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0"/>
        <v>0.73</v>
      </c>
      <c r="L27" s="2" t="str">
        <f t="shared" si="1"/>
        <v>오산리 '184 번지</v>
      </c>
      <c r="M27" s="3"/>
      <c r="N27" s="3"/>
      <c r="O27" s="3"/>
      <c r="R27" s="2" t="s">
        <v>52</v>
      </c>
    </row>
    <row r="28" spans="1:18" ht="21.75" customHeight="1" x14ac:dyDescent="0.3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0"/>
        <v>0.73</v>
      </c>
      <c r="L28" s="2" t="str">
        <f t="shared" si="1"/>
        <v>오산리 '188 번지</v>
      </c>
      <c r="M28" s="3"/>
      <c r="N28" s="3"/>
      <c r="O28" s="3"/>
      <c r="R28" s="2" t="s">
        <v>52</v>
      </c>
    </row>
    <row r="29" spans="1:18" ht="21.75" customHeight="1" x14ac:dyDescent="0.3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0"/>
        <v>0.73</v>
      </c>
      <c r="L29" s="2" t="str">
        <f t="shared" si="1"/>
        <v>오산리 '212-1 번지</v>
      </c>
      <c r="M29" s="3"/>
      <c r="N29" s="3"/>
      <c r="O29" s="3"/>
      <c r="R29" s="2" t="s">
        <v>52</v>
      </c>
    </row>
    <row r="30" spans="1:18" ht="21.75" customHeight="1" x14ac:dyDescent="0.3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0"/>
        <v>0.73</v>
      </c>
      <c r="L30" s="2" t="str">
        <f t="shared" si="1"/>
        <v>오산리 '210 번지</v>
      </c>
      <c r="M30" s="3"/>
      <c r="N30" s="3"/>
      <c r="O30" s="3"/>
      <c r="R30" s="2" t="s">
        <v>52</v>
      </c>
    </row>
    <row r="31" spans="1:18" ht="21.75" customHeight="1" x14ac:dyDescent="0.3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0"/>
        <v>0.73</v>
      </c>
      <c r="L31" s="2" t="str">
        <f t="shared" si="1"/>
        <v>오산리 '213 번지</v>
      </c>
      <c r="M31" s="3"/>
      <c r="N31" s="3"/>
      <c r="O31" s="3"/>
      <c r="R31" s="2" t="s">
        <v>52</v>
      </c>
    </row>
    <row r="32" spans="1:18" ht="21.75" customHeight="1" x14ac:dyDescent="0.3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0"/>
        <v>4.58</v>
      </c>
      <c r="L32" s="2" t="str">
        <f t="shared" si="1"/>
        <v>오산리 '44-1 번지</v>
      </c>
      <c r="M32" s="3"/>
      <c r="N32" s="3"/>
      <c r="O32" s="3"/>
      <c r="R32" s="2" t="s">
        <v>52</v>
      </c>
    </row>
    <row r="33" spans="1:18" ht="21.75" customHeight="1" x14ac:dyDescent="0.3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f t="shared" si="0"/>
        <v>0.73</v>
      </c>
      <c r="L33" s="2" t="str">
        <f t="shared" si="1"/>
        <v>오산리 '55-3 번지</v>
      </c>
      <c r="M33" s="3"/>
      <c r="N33" s="3"/>
      <c r="O33" s="3"/>
      <c r="R33" s="2" t="s">
        <v>52</v>
      </c>
    </row>
    <row r="34" spans="1:18" ht="21.75" customHeight="1" x14ac:dyDescent="0.3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0"/>
        <v>0.73</v>
      </c>
      <c r="L34" s="2" t="str">
        <f t="shared" si="1"/>
        <v>오산리 '123-2 번지</v>
      </c>
      <c r="M34" s="3"/>
      <c r="N34" s="3"/>
      <c r="O34" s="3"/>
      <c r="R34" s="2" t="s">
        <v>52</v>
      </c>
    </row>
    <row r="35" spans="1:18" ht="21.75" customHeight="1" x14ac:dyDescent="0.3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0"/>
        <v>0.73</v>
      </c>
      <c r="L35" s="2" t="str">
        <f t="shared" si="1"/>
        <v>오산리 '123-3 번지</v>
      </c>
      <c r="M35" s="3"/>
      <c r="N35" s="3"/>
      <c r="O35" s="3"/>
      <c r="R35" s="2" t="s">
        <v>52</v>
      </c>
    </row>
    <row r="36" spans="1:18" ht="21.75" customHeight="1" x14ac:dyDescent="0.3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0"/>
        <v>0.73</v>
      </c>
      <c r="L36" s="2" t="str">
        <f t="shared" si="1"/>
        <v>오산리 '70 번지</v>
      </c>
      <c r="M36" s="3"/>
      <c r="N36" s="3"/>
      <c r="O36" s="3"/>
      <c r="R36" s="2" t="s">
        <v>52</v>
      </c>
    </row>
    <row r="37" spans="1:18" ht="21.75" customHeight="1" x14ac:dyDescent="0.3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>ss_water(I37,J37,100)</f>
        <v>7.23</v>
      </c>
      <c r="L37" s="2" t="str">
        <f t="shared" si="1"/>
        <v>오산리 '51 번지</v>
      </c>
      <c r="M37" s="3"/>
      <c r="N37" s="3"/>
      <c r="O37" s="3"/>
      <c r="R37" s="2" t="s">
        <v>52</v>
      </c>
    </row>
    <row r="38" spans="1:18" ht="21.75" customHeight="1" x14ac:dyDescent="0.3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0"/>
        <v>0.73</v>
      </c>
      <c r="L38" s="2" t="str">
        <f t="shared" si="1"/>
        <v>오산리 '62-1 번지</v>
      </c>
      <c r="M38" s="3"/>
      <c r="N38" s="3"/>
      <c r="O38" s="3"/>
      <c r="R38" s="2" t="s">
        <v>52</v>
      </c>
    </row>
    <row r="40" spans="1:18" ht="21.75" customHeight="1" x14ac:dyDescent="0.3">
      <c r="K40" s="2">
        <f>SUM(K2:K39)</f>
        <v>46.699999999999996</v>
      </c>
    </row>
    <row r="42" spans="1:18" ht="21.75" customHeight="1" x14ac:dyDescent="0.3">
      <c r="B42" s="11" t="s">
        <v>67</v>
      </c>
      <c r="C42" s="12" t="s">
        <v>65</v>
      </c>
      <c r="D42" s="13" t="s">
        <v>12</v>
      </c>
      <c r="K42" s="4">
        <f>K40+aa!K45+ii!K5</f>
        <v>254.89000000000004</v>
      </c>
    </row>
    <row r="43" spans="1:18" ht="21.75" customHeight="1" x14ac:dyDescent="0.3">
      <c r="B43" s="14" t="s">
        <v>63</v>
      </c>
      <c r="C43" s="15">
        <f ca="1">COUNTIF(SS_INSIDE_AREA,"O")</f>
        <v>19</v>
      </c>
      <c r="D43" s="16">
        <f ca="1">SUMIF(SS_INSIDE_AREA,"O",K2:K17)</f>
        <v>24.220000000000002</v>
      </c>
    </row>
    <row r="44" spans="1:18" ht="21.75" customHeight="1" x14ac:dyDescent="0.3">
      <c r="B44" s="14" t="s">
        <v>64</v>
      </c>
      <c r="C44" s="15">
        <f ca="1">COUNTIF(SS_INSIDE_AREA,"X")</f>
        <v>18</v>
      </c>
      <c r="D44" s="16">
        <f ca="1">SUMIF(SS_INSIDE_AREA,"X",K2:K17)</f>
        <v>22.480000000000004</v>
      </c>
    </row>
    <row r="45" spans="1:18" ht="21.75" customHeight="1" x14ac:dyDescent="0.3">
      <c r="B45" s="17"/>
      <c r="C45" s="18"/>
      <c r="D45" s="19">
        <f ca="1">SUM(D43:D44)</f>
        <v>46.7</v>
      </c>
    </row>
    <row r="47" spans="1:18" ht="21.75" customHeight="1" x14ac:dyDescent="0.3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 x14ac:dyDescent="0.3">
      <c r="B48" s="14" t="s">
        <v>63</v>
      </c>
      <c r="C48" s="15">
        <f ca="1">COUNTIF(AA_INSIDE_AREA,"O")</f>
        <v>21</v>
      </c>
      <c r="D48" s="16">
        <f ca="1">aa!D46</f>
        <v>101.63999999999999</v>
      </c>
      <c r="F48" s="14" t="s">
        <v>63</v>
      </c>
      <c r="G48" s="15">
        <v>0</v>
      </c>
      <c r="H48" s="16">
        <v>0</v>
      </c>
    </row>
    <row r="49" spans="2:8" ht="21.75" customHeight="1" x14ac:dyDescent="0.3">
      <c r="B49" s="14" t="s">
        <v>64</v>
      </c>
      <c r="C49" s="15">
        <f ca="1">COUNTIF(AA_INSIDE_AREA,"X")</f>
        <v>21</v>
      </c>
      <c r="D49" s="16">
        <f>aa!D47</f>
        <v>94.500000000000014</v>
      </c>
      <c r="F49" s="14" t="s">
        <v>64</v>
      </c>
      <c r="G49" s="15">
        <v>0</v>
      </c>
      <c r="H49" s="16">
        <v>0</v>
      </c>
    </row>
    <row r="50" spans="2:8" ht="21.75" customHeight="1" x14ac:dyDescent="0.3">
      <c r="B50" s="17"/>
      <c r="C50" s="18"/>
      <c r="D50" s="19">
        <f ca="1">SUM(D48:D49)</f>
        <v>196.14</v>
      </c>
      <c r="F50" s="17"/>
      <c r="G50" s="18"/>
      <c r="H50" s="19"/>
    </row>
    <row r="52" spans="2:8" ht="21.75" customHeight="1" x14ac:dyDescent="0.3">
      <c r="B52" s="11" t="s">
        <v>68</v>
      </c>
      <c r="C52" s="12" t="s">
        <v>65</v>
      </c>
      <c r="D52" s="13" t="s">
        <v>12</v>
      </c>
    </row>
    <row r="53" spans="2:8" ht="21.75" customHeight="1" x14ac:dyDescent="0.3">
      <c r="B53" s="14" t="s">
        <v>63</v>
      </c>
      <c r="C53" s="15">
        <f ca="1">C43+C48+G48</f>
        <v>40</v>
      </c>
      <c r="D53" s="16">
        <f ca="1">D43+D48+H48</f>
        <v>125.85999999999999</v>
      </c>
    </row>
    <row r="54" spans="2:8" ht="21.75" customHeight="1" x14ac:dyDescent="0.3">
      <c r="B54" s="17" t="s">
        <v>64</v>
      </c>
      <c r="C54" s="18">
        <f ca="1">C44+C49+G49</f>
        <v>39</v>
      </c>
      <c r="D54" s="19">
        <f ca="1">D44+D49+H49</f>
        <v>116.98000000000002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abSelected="1" topLeftCell="A19" workbookViewId="0">
      <selection activeCell="J26" sqref="J26"/>
    </sheetView>
  </sheetViews>
  <sheetFormatPr defaultRowHeight="21.75" customHeight="1" x14ac:dyDescent="0.3"/>
  <cols>
    <col min="1" max="1" width="9" style="2"/>
    <col min="2" max="2" width="7.75" style="9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 x14ac:dyDescent="0.3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 t="shared" ref="K2:K43" si="0">aa_water(I2,J2)</f>
        <v>9.58</v>
      </c>
      <c r="L2" s="2" t="str">
        <f t="shared" ref="L2:L41" si="1"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 x14ac:dyDescent="0.3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 t="shared" si="0"/>
        <v>10.98</v>
      </c>
      <c r="L3" s="2" t="str">
        <f t="shared" si="1"/>
        <v>오산리 '450-6 번지</v>
      </c>
      <c r="N3" s="3"/>
      <c r="O3" s="3"/>
      <c r="P3" s="3"/>
      <c r="R3" s="2" t="s">
        <v>144</v>
      </c>
    </row>
    <row r="4" spans="1:18" ht="21.75" customHeight="1" x14ac:dyDescent="0.3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 t="shared" si="0"/>
        <v>10.78</v>
      </c>
      <c r="L4" s="2" t="str">
        <f t="shared" si="1"/>
        <v>오산리 '111-1 번지</v>
      </c>
      <c r="N4" s="3"/>
      <c r="O4" s="3"/>
      <c r="P4" s="3"/>
      <c r="R4" s="2" t="s">
        <v>144</v>
      </c>
    </row>
    <row r="5" spans="1:18" ht="21.75" customHeight="1" x14ac:dyDescent="0.3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 t="shared" si="0"/>
        <v>10.78</v>
      </c>
      <c r="L5" s="2" t="str">
        <f t="shared" si="1"/>
        <v>오산리 '133-20 번지</v>
      </c>
      <c r="N5" s="3"/>
      <c r="O5" s="3"/>
      <c r="P5" s="3"/>
      <c r="R5" s="2" t="s">
        <v>144</v>
      </c>
    </row>
    <row r="6" spans="1:18" ht="21.75" customHeight="1" x14ac:dyDescent="0.3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 t="shared" si="0"/>
        <v>9.1999999999999993</v>
      </c>
      <c r="L6" s="2" t="str">
        <f t="shared" si="1"/>
        <v>오산리 '129-4 번지</v>
      </c>
      <c r="N6" s="3"/>
      <c r="O6" s="3"/>
      <c r="P6" s="3"/>
      <c r="R6" s="2" t="s">
        <v>52</v>
      </c>
    </row>
    <row r="7" spans="1:18" ht="21.75" customHeight="1" x14ac:dyDescent="0.3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 t="shared" si="0"/>
        <v>5.94</v>
      </c>
      <c r="L7" s="2" t="str">
        <f t="shared" si="1"/>
        <v>오산리 '417 번지</v>
      </c>
      <c r="N7" s="3"/>
      <c r="O7" s="3"/>
      <c r="P7" s="3"/>
      <c r="R7" s="2" t="s">
        <v>144</v>
      </c>
    </row>
    <row r="8" spans="1:18" ht="21.75" customHeight="1" x14ac:dyDescent="0.3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 t="shared" si="0"/>
        <v>3.08</v>
      </c>
      <c r="L8" s="2" t="str">
        <f t="shared" si="1"/>
        <v>오산리 '424-4 번지</v>
      </c>
      <c r="N8" s="3"/>
      <c r="O8" s="3"/>
      <c r="P8" s="3"/>
      <c r="R8" s="2" t="s">
        <v>144</v>
      </c>
    </row>
    <row r="9" spans="1:18" ht="21.75" customHeight="1" x14ac:dyDescent="0.3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 t="shared" si="0"/>
        <v>3.08</v>
      </c>
      <c r="L9" s="2" t="str">
        <f t="shared" si="1"/>
        <v>오산리 '424-3 번지</v>
      </c>
      <c r="N9" s="3"/>
      <c r="O9" s="3"/>
      <c r="P9" s="3"/>
      <c r="R9" s="2" t="s">
        <v>144</v>
      </c>
    </row>
    <row r="10" spans="1:18" ht="21.75" customHeight="1" x14ac:dyDescent="0.3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 t="shared" si="0"/>
        <v>3.3</v>
      </c>
      <c r="L10" s="2" t="str">
        <f t="shared" si="1"/>
        <v>오산리 '424-1 번지</v>
      </c>
      <c r="N10" s="3"/>
      <c r="O10" s="3"/>
      <c r="P10" s="3"/>
      <c r="R10" s="2" t="s">
        <v>144</v>
      </c>
    </row>
    <row r="11" spans="1:18" ht="21.75" customHeight="1" x14ac:dyDescent="0.3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 t="shared" si="0"/>
        <v>3.3</v>
      </c>
      <c r="L11" s="2" t="str">
        <f t="shared" si="1"/>
        <v>오산리 '449 번지</v>
      </c>
      <c r="N11" s="3"/>
      <c r="O11" s="3"/>
      <c r="P11" s="3"/>
      <c r="R11" s="2" t="s">
        <v>144</v>
      </c>
    </row>
    <row r="12" spans="1:18" ht="21.75" customHeight="1" x14ac:dyDescent="0.3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 t="shared" si="0"/>
        <v>3.74</v>
      </c>
      <c r="L12" s="2" t="str">
        <f t="shared" si="1"/>
        <v>오산리 '448-4 번지</v>
      </c>
      <c r="N12" s="3"/>
      <c r="O12" s="3"/>
      <c r="P12" s="3"/>
      <c r="R12" s="2" t="s">
        <v>144</v>
      </c>
    </row>
    <row r="13" spans="1:18" ht="21.75" customHeight="1" x14ac:dyDescent="0.3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 t="shared" si="0"/>
        <v>3.23</v>
      </c>
      <c r="L13" s="2" t="str">
        <f t="shared" si="1"/>
        <v>오산리 '441-4 번지</v>
      </c>
      <c r="N13" s="3"/>
      <c r="O13" s="3"/>
      <c r="P13" s="3"/>
      <c r="R13" s="2" t="s">
        <v>144</v>
      </c>
    </row>
    <row r="14" spans="1:18" ht="21.75" customHeight="1" x14ac:dyDescent="0.3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 t="shared" si="0"/>
        <v>1.98</v>
      </c>
      <c r="L14" s="2" t="str">
        <f t="shared" si="1"/>
        <v>오산리 '441-3 번지</v>
      </c>
      <c r="N14" s="3"/>
      <c r="O14" s="3"/>
      <c r="P14" s="3"/>
      <c r="R14" s="2" t="s">
        <v>144</v>
      </c>
    </row>
    <row r="15" spans="1:18" ht="21.75" customHeight="1" x14ac:dyDescent="0.3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 t="shared" si="0"/>
        <v>6.22</v>
      </c>
      <c r="L15" s="2" t="str">
        <f t="shared" si="1"/>
        <v>오산리 '441-1 번지</v>
      </c>
      <c r="N15" s="3"/>
      <c r="O15" s="3"/>
      <c r="P15" s="3"/>
      <c r="R15" s="2" t="s">
        <v>144</v>
      </c>
    </row>
    <row r="16" spans="1:18" ht="21.75" customHeight="1" x14ac:dyDescent="0.3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 t="shared" si="0"/>
        <v>3.12</v>
      </c>
      <c r="L16" s="2" t="str">
        <f t="shared" si="1"/>
        <v>오산리 '443-1 번지</v>
      </c>
      <c r="N16" s="3"/>
      <c r="O16" s="3"/>
      <c r="P16" s="3"/>
      <c r="R16" s="2" t="s">
        <v>144</v>
      </c>
    </row>
    <row r="17" spans="1:18" ht="21.75" customHeight="1" x14ac:dyDescent="0.3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 t="shared" si="0"/>
        <v>1.98</v>
      </c>
      <c r="L17" s="2" t="str">
        <f t="shared" si="1"/>
        <v>오산리 '132-1 번지</v>
      </c>
      <c r="N17" s="3"/>
      <c r="O17" s="3"/>
      <c r="P17" s="3"/>
      <c r="R17" s="2" t="s">
        <v>144</v>
      </c>
    </row>
    <row r="18" spans="1:18" ht="21.75" customHeight="1" x14ac:dyDescent="0.3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 t="shared" si="0"/>
        <v>6.22</v>
      </c>
      <c r="L18" s="2" t="str">
        <f t="shared" si="1"/>
        <v>오산리 '133-12 번지</v>
      </c>
      <c r="N18" s="3"/>
      <c r="O18" s="3"/>
      <c r="P18" s="3"/>
      <c r="R18" s="2" t="s">
        <v>144</v>
      </c>
    </row>
    <row r="19" spans="1:18" ht="21.75" customHeight="1" x14ac:dyDescent="0.3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 t="shared" si="0"/>
        <v>1.98</v>
      </c>
      <c r="L19" s="2" t="str">
        <f t="shared" si="1"/>
        <v>오산리 '133-1 번지</v>
      </c>
      <c r="N19" s="3"/>
      <c r="O19" s="3"/>
      <c r="P19" s="3"/>
      <c r="R19" s="2" t="s">
        <v>144</v>
      </c>
    </row>
    <row r="20" spans="1:18" ht="21.75" customHeight="1" x14ac:dyDescent="0.3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 t="shared" si="0"/>
        <v>1.98</v>
      </c>
      <c r="L20" s="2" t="str">
        <f t="shared" si="1"/>
        <v>오산리 '426 번지</v>
      </c>
      <c r="N20" s="3"/>
      <c r="O20" s="3"/>
      <c r="P20" s="3"/>
      <c r="R20" s="2" t="s">
        <v>144</v>
      </c>
    </row>
    <row r="21" spans="1:18" ht="21.75" customHeight="1" x14ac:dyDescent="0.3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 t="shared" si="0"/>
        <v>3.23</v>
      </c>
      <c r="L21" s="2" t="str">
        <f t="shared" si="1"/>
        <v>오산리 '314-3 번지</v>
      </c>
      <c r="N21" s="3"/>
      <c r="O21" s="3"/>
      <c r="P21" s="3"/>
      <c r="R21" s="2" t="s">
        <v>144</v>
      </c>
    </row>
    <row r="22" spans="1:18" ht="21.75" customHeight="1" x14ac:dyDescent="0.3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 t="shared" si="0"/>
        <v>6.11</v>
      </c>
      <c r="L22" s="2" t="str">
        <f t="shared" si="1"/>
        <v>오산리 '314-4 번지</v>
      </c>
      <c r="N22" s="3"/>
      <c r="O22" s="3"/>
      <c r="P22" s="3"/>
      <c r="R22" s="2" t="s">
        <v>144</v>
      </c>
    </row>
    <row r="23" spans="1:18" ht="21.75" customHeight="1" x14ac:dyDescent="0.3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 t="shared" si="0"/>
        <v>5.94</v>
      </c>
      <c r="L23" s="2" t="str">
        <f t="shared" si="1"/>
        <v>오산리 '344 번지</v>
      </c>
      <c r="N23" s="3"/>
      <c r="O23" s="3"/>
      <c r="P23" s="3"/>
      <c r="R23" s="2" t="s">
        <v>144</v>
      </c>
    </row>
    <row r="24" spans="1:18" ht="21.75" customHeight="1" x14ac:dyDescent="0.3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 t="shared" si="0"/>
        <v>3.67</v>
      </c>
      <c r="L24" s="2" t="str">
        <f t="shared" si="1"/>
        <v>오산리 '311 번지</v>
      </c>
      <c r="N24" s="3"/>
      <c r="O24" s="3"/>
      <c r="P24" s="3"/>
      <c r="R24" s="2" t="s">
        <v>52</v>
      </c>
    </row>
    <row r="25" spans="1:18" ht="21.75" customHeight="1" x14ac:dyDescent="0.3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 t="shared" si="0"/>
        <v>3.87</v>
      </c>
      <c r="L25" s="2" t="str">
        <f t="shared" si="1"/>
        <v>오산리 '137-1 번지</v>
      </c>
      <c r="N25" s="3"/>
      <c r="O25" s="3"/>
      <c r="P25" s="3"/>
      <c r="R25" s="2" t="s">
        <v>52</v>
      </c>
    </row>
    <row r="26" spans="1:18" ht="21.75" customHeight="1" x14ac:dyDescent="0.3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 t="shared" si="0"/>
        <v>2.64</v>
      </c>
      <c r="L26" s="2" t="str">
        <f t="shared" si="1"/>
        <v>오산리 '138 번지</v>
      </c>
      <c r="N26" s="3"/>
      <c r="O26" s="3"/>
      <c r="P26" s="3"/>
      <c r="R26" s="2" t="s">
        <v>52</v>
      </c>
    </row>
    <row r="27" spans="1:18" ht="21.75" customHeight="1" x14ac:dyDescent="0.3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 t="shared" si="0"/>
        <v>3.74</v>
      </c>
      <c r="L27" s="2" t="str">
        <f t="shared" si="1"/>
        <v>오산리 '522 번지</v>
      </c>
      <c r="N27" s="3"/>
      <c r="O27" s="3"/>
      <c r="P27" s="3"/>
      <c r="R27" s="2" t="s">
        <v>52</v>
      </c>
    </row>
    <row r="28" spans="1:18" ht="21.75" customHeight="1" x14ac:dyDescent="0.3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 t="shared" si="0"/>
        <v>3.12</v>
      </c>
      <c r="L28" s="2" t="str">
        <f t="shared" si="1"/>
        <v>오산리 '136 번지</v>
      </c>
      <c r="N28" s="3"/>
      <c r="O28" s="3"/>
      <c r="P28" s="3"/>
      <c r="R28" s="2" t="s">
        <v>52</v>
      </c>
    </row>
    <row r="29" spans="1:18" ht="21.75" customHeight="1" x14ac:dyDescent="0.3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 t="shared" si="0"/>
        <v>1.98</v>
      </c>
      <c r="L29" s="2" t="str">
        <f t="shared" si="1"/>
        <v>오산리 '141 번지</v>
      </c>
      <c r="N29" s="3"/>
      <c r="O29" s="3"/>
      <c r="P29" s="3"/>
      <c r="R29" s="2" t="s">
        <v>52</v>
      </c>
    </row>
    <row r="30" spans="1:18" ht="21.75" customHeight="1" x14ac:dyDescent="0.3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 t="shared" si="0"/>
        <v>3.08</v>
      </c>
      <c r="L30" s="2" t="str">
        <f t="shared" si="1"/>
        <v>오산리 '146 번지</v>
      </c>
      <c r="N30" s="3"/>
      <c r="O30" s="3"/>
      <c r="P30" s="3"/>
      <c r="R30" s="2" t="s">
        <v>52</v>
      </c>
    </row>
    <row r="31" spans="1:18" ht="21.75" customHeight="1" x14ac:dyDescent="0.3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 t="shared" si="0"/>
        <v>6.36</v>
      </c>
      <c r="L31" s="2" t="str">
        <f t="shared" si="1"/>
        <v>오산리 '162-1 번지</v>
      </c>
      <c r="N31" s="3"/>
      <c r="O31" s="3"/>
      <c r="P31" s="3"/>
      <c r="R31" s="2" t="s">
        <v>52</v>
      </c>
    </row>
    <row r="32" spans="1:18" ht="21.75" customHeight="1" x14ac:dyDescent="0.3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 t="shared" si="0"/>
        <v>6.78</v>
      </c>
      <c r="L32" s="2" t="str">
        <f t="shared" si="1"/>
        <v>오산리 '163 번지</v>
      </c>
      <c r="N32" s="3"/>
      <c r="O32" s="3"/>
      <c r="P32" s="3"/>
      <c r="R32" s="2" t="s">
        <v>52</v>
      </c>
    </row>
    <row r="33" spans="1:18" ht="21.75" customHeight="1" x14ac:dyDescent="0.3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 t="shared" si="0"/>
        <v>5.94</v>
      </c>
      <c r="L33" s="2" t="str">
        <f t="shared" si="1"/>
        <v>오산리 '155-3 번지</v>
      </c>
      <c r="N33" s="3"/>
      <c r="O33" s="3"/>
      <c r="P33" s="3"/>
      <c r="R33" s="2" t="s">
        <v>52</v>
      </c>
    </row>
    <row r="34" spans="1:18" ht="21.75" customHeight="1" x14ac:dyDescent="0.3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 t="shared" si="0"/>
        <v>3.74</v>
      </c>
      <c r="L34" s="2" t="str">
        <f t="shared" si="1"/>
        <v>오산리 '197-1 번지</v>
      </c>
      <c r="N34" s="3"/>
      <c r="O34" s="3"/>
      <c r="P34" s="3"/>
      <c r="R34" s="2" t="s">
        <v>52</v>
      </c>
    </row>
    <row r="35" spans="1:18" ht="21.75" customHeight="1" x14ac:dyDescent="0.3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 t="shared" si="0"/>
        <v>6.22</v>
      </c>
      <c r="L35" s="2" t="str">
        <f t="shared" si="1"/>
        <v>오산리 '179 번지</v>
      </c>
      <c r="N35" s="3"/>
      <c r="O35" s="3"/>
      <c r="P35" s="3"/>
      <c r="R35" s="2" t="s">
        <v>52</v>
      </c>
    </row>
    <row r="36" spans="1:18" ht="21.75" customHeight="1" x14ac:dyDescent="0.3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 t="shared" si="0"/>
        <v>6.22</v>
      </c>
      <c r="L36" s="2" t="str">
        <f t="shared" si="1"/>
        <v>오산리 '177-2 번지</v>
      </c>
      <c r="N36" s="3"/>
      <c r="O36" s="3"/>
      <c r="P36" s="3"/>
      <c r="R36" s="2" t="s">
        <v>52</v>
      </c>
    </row>
    <row r="37" spans="1:18" ht="21.75" customHeight="1" x14ac:dyDescent="0.3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 t="shared" si="0"/>
        <v>5.94</v>
      </c>
      <c r="L37" s="2" t="str">
        <f t="shared" si="1"/>
        <v>오산리 '219-1 번지</v>
      </c>
      <c r="N37" s="3"/>
      <c r="O37" s="3"/>
      <c r="P37" s="3"/>
      <c r="R37" s="2" t="s">
        <v>52</v>
      </c>
    </row>
    <row r="38" spans="1:18" ht="21.75" customHeight="1" x14ac:dyDescent="0.3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 t="shared" si="0"/>
        <v>3.74</v>
      </c>
      <c r="L38" s="2" t="str">
        <f t="shared" si="1"/>
        <v>오산리 '189-8 번지</v>
      </c>
      <c r="N38" s="3"/>
      <c r="O38" s="3"/>
      <c r="P38" s="3"/>
      <c r="R38" s="2" t="s">
        <v>52</v>
      </c>
    </row>
    <row r="39" spans="1:18" ht="21.75" customHeight="1" x14ac:dyDescent="0.3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 t="shared" si="0"/>
        <v>2.86</v>
      </c>
      <c r="L39" s="2" t="str">
        <f t="shared" si="1"/>
        <v>오산리 '34-3 번지</v>
      </c>
      <c r="N39" s="3"/>
      <c r="O39" s="3"/>
      <c r="P39" s="3"/>
      <c r="R39" s="2" t="s">
        <v>52</v>
      </c>
    </row>
    <row r="40" spans="1:18" ht="21.75" customHeight="1" x14ac:dyDescent="0.3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 t="shared" si="0"/>
        <v>6.07</v>
      </c>
      <c r="L40" s="2" t="str">
        <f t="shared" si="1"/>
        <v>오산리 '55-1 번지</v>
      </c>
      <c r="N40" s="3"/>
      <c r="O40" s="3"/>
      <c r="P40" s="3"/>
      <c r="R40" s="2" t="s">
        <v>52</v>
      </c>
    </row>
    <row r="41" spans="1:18" ht="21.75" customHeight="1" x14ac:dyDescent="0.3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 t="shared" si="0"/>
        <v>6.07</v>
      </c>
      <c r="L41" s="2" t="str">
        <f t="shared" si="1"/>
        <v>오산리 '55-10 번지</v>
      </c>
      <c r="N41" s="3"/>
      <c r="O41" s="3"/>
      <c r="P41" s="3"/>
      <c r="R41" s="2" t="s">
        <v>52</v>
      </c>
    </row>
    <row r="42" spans="1:18" ht="21.75" customHeight="1" x14ac:dyDescent="0.3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 t="shared" si="0"/>
        <v>4.18</v>
      </c>
      <c r="L42" s="2" t="str">
        <f>ss!D38&amp;" "&amp;ss!E38&amp;" 번지"</f>
        <v>오산리 '62-1 번지</v>
      </c>
      <c r="N42" s="3"/>
      <c r="O42" s="3"/>
      <c r="P42" s="3"/>
      <c r="R42" s="2" t="s">
        <v>52</v>
      </c>
    </row>
    <row r="43" spans="1:18" ht="21.75" customHeight="1" x14ac:dyDescent="0.3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 t="shared" si="0"/>
        <v>6.22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 x14ac:dyDescent="0.3">
      <c r="K44" s="5"/>
    </row>
    <row r="45" spans="1:18" ht="21.75" customHeight="1" x14ac:dyDescent="0.3">
      <c r="B45" s="20" t="s">
        <v>66</v>
      </c>
      <c r="C45" s="12" t="s">
        <v>65</v>
      </c>
      <c r="D45" s="13" t="s">
        <v>12</v>
      </c>
      <c r="K45" s="24">
        <f>SUM(K2:K44)</f>
        <v>208.19000000000005</v>
      </c>
      <c r="L45" s="10"/>
    </row>
    <row r="46" spans="1:18" ht="21.75" customHeight="1" x14ac:dyDescent="0.3">
      <c r="B46" s="21" t="s">
        <v>63</v>
      </c>
      <c r="C46" s="15">
        <f ca="1">COUNTIF(AA_INSIDE_AREA,"O")</f>
        <v>21</v>
      </c>
      <c r="D46" s="16">
        <f ca="1">SUMIF(AA_INSIDE_AREA,"O",$K$2:$K$24)</f>
        <v>101.63999999999999</v>
      </c>
    </row>
    <row r="47" spans="1:18" ht="21.75" customHeight="1" x14ac:dyDescent="0.3">
      <c r="B47" s="21" t="s">
        <v>64</v>
      </c>
      <c r="C47" s="15">
        <f ca="1">COUNTIF(AA_INSIDE_AREA,"X")</f>
        <v>21</v>
      </c>
      <c r="D47" s="16">
        <f>SUMIF($R$2:$R$21,"X",$K$2:$K$21)</f>
        <v>94.500000000000014</v>
      </c>
    </row>
    <row r="48" spans="1:18" ht="21.75" customHeight="1" x14ac:dyDescent="0.3">
      <c r="B48" s="22"/>
      <c r="C48" s="18"/>
      <c r="D48" s="19">
        <f ca="1">D46+D47</f>
        <v>196.14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K5" sqref="K5"/>
    </sheetView>
  </sheetViews>
  <sheetFormatPr defaultRowHeight="13.5" x14ac:dyDescent="0.3"/>
  <cols>
    <col min="1" max="4" width="9" style="2"/>
    <col min="5" max="5" width="9" style="7"/>
    <col min="6" max="9" width="9" style="2"/>
    <col min="10" max="10" width="11.375" style="2" bestFit="1" customWidth="1"/>
    <col min="11" max="11" width="9" style="2"/>
    <col min="12" max="12" width="19.87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 x14ac:dyDescent="0.3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 x14ac:dyDescent="0.3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52</v>
      </c>
    </row>
    <row r="4" spans="1:18" ht="18.75" customHeight="1" x14ac:dyDescent="0.3"/>
    <row r="5" spans="1:18" ht="18.75" customHeight="1" x14ac:dyDescent="0.3">
      <c r="K5" s="2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2020-06-12T04:53:37Z</dcterms:modified>
</cp:coreProperties>
</file>