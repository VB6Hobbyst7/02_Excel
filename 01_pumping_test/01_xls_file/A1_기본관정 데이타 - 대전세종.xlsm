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4106642C-B18D-4449-B9EE-10ADEB14E11B}" xr6:coauthVersionLast="44" xr6:coauthVersionMax="45" xr10:uidLastSave="{00000000-0000-0000-0000-000000000000}"/>
  <bookViews>
    <workbookView xWindow="-120" yWindow="-120" windowWidth="29040" windowHeight="15840" tabRatio="579" activeTab="5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Q1" sheetId="100" r:id="rId9"/>
    <sheet name="w1" sheetId="89" r:id="rId10"/>
  </sheets>
  <functionGroups builtInGroupCount="19"/>
  <externalReferences>
    <externalReference r:id="rId11"/>
    <externalReference r:id="rId12"/>
    <externalReference r:id="rId13"/>
  </externalReferences>
  <definedNames>
    <definedName name="baseTemp" localSheetId="0">#REF!</definedName>
    <definedName name="baseTemp" localSheetId="2">#REF!</definedName>
    <definedName name="baseTemp" localSheetId="8">'Q1'!$C$7</definedName>
    <definedName name="baseTemp" localSheetId="9">'w1'!$C$7</definedName>
    <definedName name="baseTemp" localSheetId="1">#REF!</definedName>
    <definedName name="baseTemp">#REF!</definedName>
    <definedName name="max" localSheetId="0">[1]지하수함양량!$C$26</definedName>
    <definedName name="max" localSheetId="2">[1]지하수함양량!$C$26</definedName>
    <definedName name="max" localSheetId="8">[2]지하수함양량!$C$27</definedName>
    <definedName name="max" localSheetId="9">[3]지하수함양량!$C$30</definedName>
    <definedName name="max" localSheetId="1">[1]지하수함양량!$C$26</definedName>
    <definedName name="max">Recharge!$C$27</definedName>
    <definedName name="min" localSheetId="0">[1]지하수함양량!$C$25</definedName>
    <definedName name="min" localSheetId="2">[1]지하수함양량!$C$25</definedName>
    <definedName name="min" localSheetId="8">[2]지하수함양량!$C$26</definedName>
    <definedName name="min" localSheetId="9">[3]지하수함양량!$C$29</definedName>
    <definedName name="min" localSheetId="1">[1]지하수함양량!$C$25</definedName>
    <definedName name="min">Recharge!$C$26</definedName>
    <definedName name="rf_1" localSheetId="0">[1]지하수함양량!$C$28</definedName>
    <definedName name="rf_1" localSheetId="2">[1]지하수함양량!$C$28</definedName>
    <definedName name="rf_1" localSheetId="8">[2]지하수함양량!$C$29</definedName>
    <definedName name="rf_1" localSheetId="9">[3]지하수함양량!$C$32</definedName>
    <definedName name="rf_1" localSheetId="1">[1]지하수함양량!$C$28</definedName>
    <definedName name="rf_1">Recharge!$C$29</definedName>
    <definedName name="rf_2" localSheetId="0">[1]지하수함양량!$D$28</definedName>
    <definedName name="rf_2" localSheetId="2">[1]지하수함양량!$D$28</definedName>
    <definedName name="rf_2" localSheetId="8">[2]지하수함양량!$D$29</definedName>
    <definedName name="rf_2" localSheetId="9">[3]지하수함양량!$D$32</definedName>
    <definedName name="rf_2" localSheetId="1">[1]지하수함양량!$D$28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9" i="55" l="1"/>
  <c r="F19" i="55"/>
  <c r="G17" i="55"/>
  <c r="F17" i="55"/>
  <c r="G19" i="101"/>
  <c r="F19" i="101"/>
  <c r="G17" i="101"/>
  <c r="F17" i="101"/>
  <c r="C5" i="23" l="1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C6" i="23"/>
  <c r="D6" i="23"/>
  <c r="E6" i="23"/>
  <c r="F6" i="23"/>
  <c r="G6" i="23"/>
  <c r="H6" i="23"/>
  <c r="I6" i="23"/>
  <c r="J6" i="23"/>
  <c r="K6" i="23"/>
  <c r="L6" i="23"/>
  <c r="M6" i="23"/>
  <c r="N6" i="23"/>
  <c r="O6" i="23"/>
  <c r="P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C9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C15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C16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C17" i="23"/>
  <c r="D17" i="23"/>
  <c r="E17" i="23"/>
  <c r="F17" i="23"/>
  <c r="G17" i="23"/>
  <c r="H17" i="23"/>
  <c r="D22" i="23" s="1"/>
  <c r="D24" i="23" s="1"/>
  <c r="I17" i="23"/>
  <c r="J17" i="23"/>
  <c r="K17" i="23"/>
  <c r="L17" i="23"/>
  <c r="M17" i="23"/>
  <c r="N17" i="23"/>
  <c r="O17" i="23"/>
  <c r="P17" i="23"/>
  <c r="C18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D23" i="23"/>
  <c r="C26" i="23"/>
  <c r="C36" i="23" s="1"/>
  <c r="C37" i="23" s="1"/>
  <c r="C38" i="23" s="1"/>
  <c r="C27" i="23"/>
  <c r="C31" i="23" s="1"/>
  <c r="C28" i="23"/>
  <c r="C33" i="23" s="1"/>
  <c r="C34" i="23" s="1"/>
  <c r="C62" i="23"/>
  <c r="C66" i="23" s="1"/>
  <c r="C67" i="23" s="1"/>
  <c r="D31" i="23" l="1"/>
  <c r="D40" i="100"/>
  <c r="I35" i="100"/>
  <c r="E38" i="100"/>
  <c r="I21" i="89"/>
  <c r="E36" i="100"/>
  <c r="H31" i="100"/>
  <c r="J35" i="100"/>
  <c r="H21" i="89"/>
  <c r="J20" i="89"/>
  <c r="H40" i="100"/>
  <c r="J39" i="100"/>
  <c r="H19" i="89"/>
  <c r="J14" i="89"/>
  <c r="H32" i="100"/>
  <c r="D33" i="100"/>
  <c r="F39" i="100"/>
  <c r="J33" i="100"/>
  <c r="I14" i="89"/>
  <c r="H39" i="100"/>
  <c r="H36" i="100"/>
  <c r="H17" i="89"/>
  <c r="I31" i="100"/>
  <c r="I23" i="89"/>
  <c r="E31" i="100"/>
  <c r="F31" i="100"/>
  <c r="F32" i="100"/>
  <c r="H22" i="89"/>
  <c r="E37" i="100"/>
  <c r="J37" i="100"/>
  <c r="F40" i="100"/>
  <c r="D37" i="100"/>
  <c r="I33" i="100"/>
  <c r="J23" i="89"/>
  <c r="I38" i="100"/>
  <c r="F34" i="100"/>
  <c r="H38" i="100"/>
  <c r="F36" i="100"/>
  <c r="J38" i="100"/>
  <c r="J18" i="89"/>
  <c r="E35" i="100"/>
  <c r="F35" i="100"/>
  <c r="I19" i="89"/>
  <c r="H20" i="89"/>
  <c r="D31" i="100"/>
  <c r="F37" i="100"/>
  <c r="H35" i="100"/>
  <c r="F33" i="100"/>
  <c r="J16" i="89"/>
  <c r="J34" i="100"/>
  <c r="I20" i="89"/>
  <c r="E32" i="100"/>
  <c r="H37" i="100"/>
  <c r="H18" i="89"/>
  <c r="J15" i="89"/>
  <c r="J40" i="100"/>
  <c r="H15" i="89"/>
  <c r="D35" i="100"/>
  <c r="D34" i="100"/>
  <c r="J19" i="89"/>
  <c r="D39" i="100"/>
  <c r="I22" i="89"/>
  <c r="H23" i="89"/>
  <c r="D38" i="100"/>
  <c r="J22" i="89"/>
  <c r="J17" i="89"/>
  <c r="J32" i="100"/>
  <c r="J21" i="89"/>
  <c r="I40" i="100"/>
  <c r="I32" i="100"/>
  <c r="H34" i="100"/>
  <c r="I39" i="100"/>
  <c r="E33" i="100"/>
  <c r="J36" i="100"/>
  <c r="E34" i="100"/>
  <c r="I36" i="100"/>
  <c r="I15" i="89"/>
  <c r="H16" i="89"/>
  <c r="F38" i="100"/>
  <c r="I18" i="89"/>
  <c r="E40" i="100"/>
  <c r="I17" i="89"/>
  <c r="J31" i="100"/>
  <c r="H33" i="100"/>
  <c r="D32" i="100"/>
  <c r="I16" i="89"/>
  <c r="I34" i="100"/>
  <c r="I37" i="100"/>
  <c r="D36" i="100"/>
  <c r="E39" i="100"/>
  <c r="H14" i="89" l="1"/>
  <c r="I6" i="52" l="1"/>
  <c r="C15" i="101" l="1"/>
  <c r="F21" i="101" l="1"/>
  <c r="E17" i="101"/>
  <c r="E19" i="101" s="1"/>
  <c r="C19" i="101"/>
  <c r="C18" i="101"/>
  <c r="C17" i="101"/>
  <c r="C16" i="101"/>
  <c r="C8" i="101"/>
  <c r="C7" i="101"/>
  <c r="C6" i="101"/>
  <c r="C5" i="101"/>
  <c r="C4" i="101"/>
  <c r="C3" i="101"/>
  <c r="C2" i="101"/>
  <c r="J29" i="10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C12" i="101" s="1"/>
  <c r="A13" i="101" s="1"/>
  <c r="A12" i="101" s="1"/>
  <c r="G7" i="101"/>
  <c r="E7" i="101"/>
  <c r="K29" i="101" l="1"/>
  <c r="C14" i="101"/>
  <c r="J26" i="101" s="1"/>
  <c r="F5" i="101" l="1"/>
  <c r="F6" i="101"/>
  <c r="F7" i="101"/>
  <c r="J7" i="101" s="1"/>
  <c r="J8" i="101" s="1"/>
  <c r="I23" i="100"/>
  <c r="I22" i="100"/>
  <c r="I21" i="100"/>
  <c r="I20" i="100"/>
  <c r="I19" i="100"/>
  <c r="I18" i="100"/>
  <c r="I17" i="100"/>
  <c r="I16" i="100"/>
  <c r="I15" i="100"/>
  <c r="I14" i="100"/>
  <c r="H23" i="100" l="1"/>
  <c r="G23" i="100"/>
  <c r="F23" i="100"/>
  <c r="E23" i="100"/>
  <c r="D23" i="100"/>
  <c r="B23" i="100"/>
  <c r="H22" i="100"/>
  <c r="G22" i="100"/>
  <c r="F22" i="100"/>
  <c r="E22" i="100"/>
  <c r="D22" i="100"/>
  <c r="B22" i="100"/>
  <c r="H21" i="100"/>
  <c r="G21" i="100"/>
  <c r="F21" i="100"/>
  <c r="E21" i="100"/>
  <c r="D21" i="100"/>
  <c r="B21" i="100"/>
  <c r="H20" i="100"/>
  <c r="G20" i="100"/>
  <c r="F20" i="100"/>
  <c r="E20" i="100"/>
  <c r="D20" i="100"/>
  <c r="B20" i="100"/>
  <c r="H19" i="100"/>
  <c r="G19" i="100"/>
  <c r="F19" i="100"/>
  <c r="E19" i="100"/>
  <c r="D19" i="100"/>
  <c r="B19" i="100"/>
  <c r="H18" i="100"/>
  <c r="G18" i="100"/>
  <c r="F18" i="100"/>
  <c r="E18" i="100"/>
  <c r="D18" i="100"/>
  <c r="B18" i="100"/>
  <c r="H17" i="100"/>
  <c r="G17" i="100"/>
  <c r="F17" i="100"/>
  <c r="E17" i="100"/>
  <c r="D17" i="100"/>
  <c r="B17" i="100"/>
  <c r="H16" i="100"/>
  <c r="G16" i="100"/>
  <c r="F16" i="100"/>
  <c r="E16" i="100"/>
  <c r="D16" i="100"/>
  <c r="B16" i="100"/>
  <c r="H15" i="100"/>
  <c r="G15" i="100"/>
  <c r="F15" i="100"/>
  <c r="E15" i="100"/>
  <c r="D15" i="100"/>
  <c r="B15" i="100"/>
  <c r="H14" i="100"/>
  <c r="G14" i="100"/>
  <c r="F14" i="100"/>
  <c r="E14" i="100"/>
  <c r="D14" i="100"/>
  <c r="B14" i="100"/>
  <c r="F25" i="100" l="1"/>
  <c r="I24" i="100"/>
  <c r="F24" i="100"/>
  <c r="H25" i="100"/>
  <c r="H24" i="100"/>
  <c r="E24" i="100"/>
  <c r="G25" i="100"/>
  <c r="D24" i="100"/>
  <c r="D25" i="100"/>
  <c r="G24" i="100"/>
  <c r="I25" i="100"/>
  <c r="E25" i="100"/>
  <c r="I26" i="100" l="1"/>
  <c r="H26" i="100"/>
  <c r="F26" i="100"/>
  <c r="G26" i="100"/>
  <c r="E26" i="100"/>
  <c r="D26" i="100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1" i="101"/>
  <c r="E21" i="55" l="1"/>
  <c r="D56" i="92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C56" i="92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G18" i="97" l="1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F23" i="89"/>
  <c r="E23" i="89"/>
  <c r="D23" i="89"/>
  <c r="B23" i="89"/>
  <c r="F22" i="89"/>
  <c r="E22" i="89"/>
  <c r="D22" i="89"/>
  <c r="B22" i="89"/>
  <c r="F21" i="89"/>
  <c r="E21" i="89"/>
  <c r="D21" i="89"/>
  <c r="B21" i="89"/>
  <c r="F20" i="89"/>
  <c r="E20" i="89"/>
  <c r="D20" i="89"/>
  <c r="B20" i="89"/>
  <c r="F19" i="89"/>
  <c r="E19" i="89"/>
  <c r="D19" i="89"/>
  <c r="B19" i="89"/>
  <c r="F18" i="89"/>
  <c r="E18" i="89"/>
  <c r="D18" i="89"/>
  <c r="B18" i="89"/>
  <c r="F17" i="89"/>
  <c r="E17" i="89"/>
  <c r="D17" i="89"/>
  <c r="B17" i="89"/>
  <c r="F16" i="89"/>
  <c r="E16" i="89"/>
  <c r="D16" i="89"/>
  <c r="B16" i="89"/>
  <c r="F15" i="89"/>
  <c r="E15" i="89"/>
  <c r="D15" i="89"/>
  <c r="B15" i="89"/>
  <c r="F14" i="89"/>
  <c r="E14" i="89"/>
  <c r="D14" i="89"/>
  <c r="B14" i="89"/>
  <c r="F25" i="89" l="1"/>
  <c r="E25" i="89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E24" i="89"/>
  <c r="D24" i="89"/>
  <c r="F24" i="89"/>
  <c r="D25" i="89"/>
  <c r="E26" i="89" l="1"/>
  <c r="F26" i="89"/>
  <c r="O4" i="98"/>
  <c r="P18" i="97"/>
  <c r="P19" i="97"/>
  <c r="D26" i="89"/>
  <c r="E11" i="55" l="1"/>
  <c r="I20" i="55" l="1"/>
  <c r="B62" i="23" l="1"/>
  <c r="B66" i="23" s="1"/>
  <c r="B67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<sst xmlns="http://schemas.openxmlformats.org/spreadsheetml/2006/main" count="391" uniqueCount="226">
  <si>
    <t>순번</t>
    <phoneticPr fontId="17" type="noConversion"/>
  </si>
  <si>
    <t>착정구경
(㎜)</t>
    <phoneticPr fontId="17" type="noConversion"/>
  </si>
  <si>
    <t>착정심도
(m)</t>
    <phoneticPr fontId="17" type="noConversion"/>
  </si>
  <si>
    <t>수중모터
(HP)</t>
    <phoneticPr fontId="17" type="noConversion"/>
  </si>
  <si>
    <t>설치심도
(m)</t>
    <phoneticPr fontId="17" type="noConversion"/>
  </si>
  <si>
    <t>토출경
(㎜)</t>
    <phoneticPr fontId="17" type="noConversion"/>
  </si>
  <si>
    <t>허가번호</t>
    <phoneticPr fontId="17" type="noConversion"/>
  </si>
  <si>
    <t>조사지역의 월평균 강수량 (2007-2016)</t>
    <phoneticPr fontId="24" type="noConversion"/>
  </si>
  <si>
    <t>1월</t>
    <phoneticPr fontId="24" type="noConversion"/>
  </si>
  <si>
    <t>2월</t>
    <phoneticPr fontId="24" type="noConversion"/>
  </si>
  <si>
    <t>3월</t>
    <phoneticPr fontId="24" type="noConversion"/>
  </si>
  <si>
    <t>4월</t>
    <phoneticPr fontId="24" type="noConversion"/>
  </si>
  <si>
    <t>5월</t>
    <phoneticPr fontId="2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</si>
  <si>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</si>
  <si>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</si>
  <si>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</si>
  <si>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</si>
  <si>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</si>
  <si>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</si>
  <si>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</si>
  <si>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4" type="noConversion"/>
  </si>
  <si>
    <t>평균</t>
    <phoneticPr fontId="24" type="noConversion"/>
  </si>
  <si>
    <t>30년평균</t>
    <phoneticPr fontId="24" type="noConversion"/>
  </si>
  <si>
    <t>5월 ~ 9월 강수량</t>
    <phoneticPr fontId="24" type="noConversion"/>
  </si>
  <si>
    <t>지하수함양량</t>
    <phoneticPr fontId="24" type="noConversion"/>
  </si>
  <si>
    <t>지하수개발가능량</t>
    <phoneticPr fontId="24" type="noConversion"/>
  </si>
  <si>
    <t>30년 평균강우량</t>
    <phoneticPr fontId="17" type="noConversion"/>
  </si>
  <si>
    <t>유역면적</t>
    <phoneticPr fontId="17" type="noConversion"/>
  </si>
  <si>
    <t>mm/year</t>
    <phoneticPr fontId="17" type="noConversion"/>
  </si>
  <si>
    <t>mm/year</t>
    <phoneticPr fontId="17" type="noConversion"/>
  </si>
  <si>
    <t>㎡</t>
    <phoneticPr fontId="17" type="noConversion"/>
  </si>
  <si>
    <t>적용함양계수</t>
    <phoneticPr fontId="17" type="noConversion"/>
  </si>
  <si>
    <t>㎥/day</t>
    <phoneticPr fontId="24" type="noConversion"/>
  </si>
  <si>
    <t>㎥/year</t>
    <phoneticPr fontId="24" type="noConversion"/>
  </si>
  <si>
    <t>㎥/day</t>
    <phoneticPr fontId="24" type="noConversion"/>
  </si>
  <si>
    <t>㎥/year</t>
    <phoneticPr fontId="24" type="noConversion"/>
  </si>
  <si>
    <t>조사지역 년도별 강수량 변화</t>
    <phoneticPr fontId="24" type="noConversion"/>
  </si>
  <si>
    <t>강우량(mm)</t>
    <phoneticPr fontId="24" type="noConversion"/>
  </si>
  <si>
    <t>년도</t>
    <phoneticPr fontId="24" type="noConversion"/>
  </si>
  <si>
    <t>평균</t>
  </si>
  <si>
    <t>조사지역 월별 강우량 변화</t>
    <phoneticPr fontId="24" type="noConversion"/>
  </si>
  <si>
    <t>1월</t>
  </si>
  <si>
    <t>2월</t>
  </si>
  <si>
    <t>3월</t>
  </si>
  <si>
    <t>4월</t>
  </si>
  <si>
    <t>5월</t>
  </si>
  <si>
    <t>최대</t>
    <phoneticPr fontId="17" type="noConversion"/>
  </si>
  <si>
    <t>최소</t>
    <phoneticPr fontId="17" type="noConversion"/>
  </si>
  <si>
    <t>주소</t>
    <phoneticPr fontId="17" type="noConversion"/>
  </si>
  <si>
    <t>공사명</t>
    <phoneticPr fontId="17" type="noConversion"/>
  </si>
  <si>
    <t>회사명</t>
    <phoneticPr fontId="17" type="noConversion"/>
  </si>
  <si>
    <t>유역면적 (㎡)</t>
    <phoneticPr fontId="17" type="noConversion"/>
  </si>
  <si>
    <t>연도</t>
  </si>
  <si>
    <t>연도</t>
    <phoneticPr fontId="17" type="noConversion"/>
  </si>
  <si>
    <t>1월</t>
    <phoneticPr fontId="17" type="noConversion"/>
  </si>
  <si>
    <t>전년</t>
  </si>
  <si>
    <t>전년</t>
    <phoneticPr fontId="17" type="noConversion"/>
  </si>
  <si>
    <t>평균</t>
    <phoneticPr fontId="17" type="noConversion"/>
  </si>
  <si>
    <t>최대</t>
  </si>
  <si>
    <t>최소</t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</si>
  <si>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7" type="noConversion"/>
  </si>
  <si>
    <t>%</t>
    <phoneticPr fontId="17" type="noConversion"/>
  </si>
  <si>
    <t>허가번호</t>
    <phoneticPr fontId="17" type="noConversion"/>
  </si>
  <si>
    <t>W-1</t>
    <phoneticPr fontId="24" type="noConversion"/>
  </si>
  <si>
    <t>S</t>
    <phoneticPr fontId="24" type="noConversion"/>
  </si>
  <si>
    <t>동경</t>
    <phoneticPr fontId="24" type="noConversion"/>
  </si>
  <si>
    <t>단 계</t>
  </si>
  <si>
    <t>북위</t>
    <phoneticPr fontId="24" type="noConversion"/>
  </si>
  <si>
    <t>장 기</t>
  </si>
  <si>
    <t>주소</t>
    <phoneticPr fontId="24" type="noConversion"/>
  </si>
  <si>
    <t>심도</t>
    <phoneticPr fontId="24" type="noConversion"/>
  </si>
  <si>
    <t>회 복</t>
  </si>
  <si>
    <t>-</t>
  </si>
  <si>
    <t>굴착지름(정호경)</t>
    <phoneticPr fontId="24" type="noConversion"/>
  </si>
  <si>
    <t>평 균</t>
  </si>
  <si>
    <t>케이싱</t>
    <phoneticPr fontId="24" type="noConversion"/>
  </si>
  <si>
    <t>토사</t>
    <phoneticPr fontId="24" type="noConversion"/>
  </si>
  <si>
    <t>영향반경</t>
    <phoneticPr fontId="24" type="noConversion"/>
  </si>
  <si>
    <t>풍화암</t>
    <phoneticPr fontId="24" type="noConversion"/>
  </si>
  <si>
    <t>평균영향반경</t>
    <phoneticPr fontId="17" type="noConversion"/>
  </si>
  <si>
    <t>연암</t>
    <phoneticPr fontId="24" type="noConversion"/>
  </si>
  <si>
    <t>경암</t>
    <phoneticPr fontId="24" type="noConversion"/>
  </si>
  <si>
    <t>대수층 두께</t>
    <phoneticPr fontId="17" type="noConversion"/>
  </si>
  <si>
    <t>허가량(채수계획량)</t>
    <phoneticPr fontId="24" type="noConversion"/>
  </si>
  <si>
    <t>양수량</t>
    <phoneticPr fontId="24" type="noConversion"/>
  </si>
  <si>
    <t>마력</t>
    <phoneticPr fontId="24" type="noConversion"/>
  </si>
  <si>
    <t>수중모터 설치심도</t>
    <phoneticPr fontId="24" type="noConversion"/>
  </si>
  <si>
    <t>유역면적(㎡)</t>
    <phoneticPr fontId="24" type="noConversion"/>
  </si>
  <si>
    <t>함양량(㎥/day)</t>
    <phoneticPr fontId="24" type="noConversion"/>
  </si>
  <si>
    <t>개발가능량(㎥/day)</t>
    <phoneticPr fontId="17" type="noConversion"/>
  </si>
  <si>
    <t>토출관</t>
    <phoneticPr fontId="24" type="noConversion"/>
  </si>
  <si>
    <t>자연수위</t>
    <phoneticPr fontId="24" type="noConversion"/>
  </si>
  <si>
    <t>기사용량(㎥/day)</t>
    <phoneticPr fontId="24" type="noConversion"/>
  </si>
  <si>
    <t>잔량(㎥/day)</t>
    <phoneticPr fontId="24" type="noConversion"/>
  </si>
  <si>
    <t>안정수위</t>
    <phoneticPr fontId="24" type="noConversion"/>
  </si>
  <si>
    <t>양수정의 수질 변화기록</t>
    <phoneticPr fontId="17" type="noConversion"/>
  </si>
  <si>
    <t>측정일시</t>
    <phoneticPr fontId="17" type="noConversion"/>
  </si>
  <si>
    <t>기본 온도</t>
    <phoneticPr fontId="17" type="noConversion"/>
  </si>
  <si>
    <t>기본 EC</t>
    <phoneticPr fontId="17" type="noConversion"/>
  </si>
  <si>
    <t>기본 PH</t>
    <phoneticPr fontId="17" type="noConversion"/>
  </si>
  <si>
    <t>항목</t>
    <phoneticPr fontId="17" type="noConversion"/>
  </si>
  <si>
    <t>W-1</t>
    <phoneticPr fontId="17" type="noConversion"/>
  </si>
  <si>
    <t>경과</t>
    <phoneticPr fontId="17" type="noConversion"/>
  </si>
  <si>
    <t>온도( ℃ )</t>
    <phoneticPr fontId="17" type="noConversion"/>
  </si>
  <si>
    <t>EC (μs/㎝)</t>
    <phoneticPr fontId="17" type="noConversion"/>
  </si>
  <si>
    <t>pH</t>
    <phoneticPr fontId="17" type="noConversion"/>
  </si>
  <si>
    <t>변화량</t>
    <phoneticPr fontId="17" type="noConversion"/>
  </si>
  <si>
    <t>위도</t>
    <phoneticPr fontId="17" type="noConversion"/>
  </si>
  <si>
    <t>경도</t>
    <phoneticPr fontId="17" type="noConversion"/>
  </si>
  <si>
    <t>수질 1번</t>
    <phoneticPr fontId="17" type="noConversion"/>
  </si>
  <si>
    <t>금회채수계획(㎥/day)</t>
    <phoneticPr fontId="24" type="noConversion"/>
  </si>
  <si>
    <t>10년빈도시최소강수량</t>
    <phoneticPr fontId="17" type="noConversion"/>
  </si>
  <si>
    <t>개발가능량(㎥/year)</t>
    <phoneticPr fontId="17" type="noConversion"/>
  </si>
  <si>
    <t>년함양량(㎥/year)</t>
    <phoneticPr fontId="24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</si>
  <si>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7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</si>
  <si>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7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</si>
  <si>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7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</si>
  <si>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</si>
  <si>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7" type="noConversion"/>
  </si>
  <si>
    <t>1, 2, 3, 5, 7.5 마력</t>
    <phoneticPr fontId="17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</si>
  <si>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7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</si>
  <si>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7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</si>
  <si>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</t>
    </r>
    <phoneticPr fontId="17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</si>
  <si>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7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</si>
  <si>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7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</si>
  <si>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</si>
  <si>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7" type="noConversion"/>
  </si>
  <si>
    <t>양수능력(㎥/일)</t>
    <phoneticPr fontId="17" type="noConversion"/>
  </si>
  <si>
    <t>기사용량(㎥/일)</t>
    <phoneticPr fontId="17" type="noConversion"/>
  </si>
  <si>
    <t>굴착심도</t>
    <phoneticPr fontId="17" type="noConversion"/>
  </si>
  <si>
    <t>채수계획
(㎥/일)</t>
    <phoneticPr fontId="17" type="noConversion"/>
  </si>
  <si>
    <t>양수량(㎥/일)</t>
    <phoneticPr fontId="17" type="noConversion"/>
  </si>
  <si>
    <t>cm/year</t>
    <phoneticPr fontId="17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</si>
  <si>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7" type="noConversion"/>
  </si>
  <si>
    <t>구분</t>
    <phoneticPr fontId="24" type="noConversion"/>
  </si>
  <si>
    <t>Aquifer media
(대수층두께)</t>
    <phoneticPr fontId="24" type="noConversion"/>
  </si>
  <si>
    <t>Soil Media
(토질)</t>
    <phoneticPr fontId="24" type="noConversion"/>
  </si>
  <si>
    <t>Impact of the vadose zone media
(비포화대의구성물질)</t>
    <phoneticPr fontId="24" type="noConversion"/>
  </si>
  <si>
    <t>Hydraulic
Conductivity
of Acquifer
(수리전도도)</t>
    <phoneticPr fontId="24" type="noConversion"/>
  </si>
  <si>
    <t>Drastic Index</t>
    <phoneticPr fontId="24" type="noConversion"/>
  </si>
  <si>
    <t>W-1</t>
    <phoneticPr fontId="24" type="noConversion"/>
  </si>
  <si>
    <t>Range</t>
    <phoneticPr fontId="24" type="noConversion"/>
  </si>
  <si>
    <t>Rating</t>
    <phoneticPr fontId="24" type="noConversion"/>
  </si>
  <si>
    <t>Weight</t>
    <phoneticPr fontId="24" type="noConversion"/>
  </si>
  <si>
    <t>Index</t>
    <phoneticPr fontId="24" type="noConversion"/>
  </si>
  <si>
    <t>Depth of water
(자연수위, m)</t>
    <phoneticPr fontId="24" type="noConversion"/>
  </si>
  <si>
    <t>Net Recharge
(함양량,cm/year)</t>
    <phoneticPr fontId="24" type="noConversion"/>
  </si>
  <si>
    <t>K(m/day)</t>
    <phoneticPr fontId="24" type="noConversion"/>
  </si>
  <si>
    <t>Shultze</t>
    <phoneticPr fontId="17" type="noConversion"/>
  </si>
  <si>
    <t>Webber</t>
    <phoneticPr fontId="17" type="noConversion"/>
  </si>
  <si>
    <t>Jacob</t>
    <phoneticPr fontId="17" type="noConversion"/>
  </si>
  <si>
    <t>거리</t>
    <phoneticPr fontId="17" type="noConversion"/>
  </si>
  <si>
    <t>관정높이</t>
    <phoneticPr fontId="17" type="noConversion"/>
  </si>
  <si>
    <t>지표수표고</t>
    <phoneticPr fontId="17" type="noConversion"/>
  </si>
  <si>
    <t xml:space="preserve">높이차 </t>
    <phoneticPr fontId="17" type="noConversion"/>
  </si>
  <si>
    <t>동수구배</t>
    <phoneticPr fontId="17" type="noConversion"/>
  </si>
  <si>
    <t>지형구배</t>
    <phoneticPr fontId="17" type="noConversion"/>
  </si>
  <si>
    <t>시설명</t>
    <phoneticPr fontId="17" type="noConversion"/>
  </si>
  <si>
    <t>T(㎡/day)</t>
    <phoneticPr fontId="24" type="noConversion"/>
  </si>
  <si>
    <t>유향</t>
    <phoneticPr fontId="17" type="noConversion"/>
  </si>
  <si>
    <t>자연수위높이</t>
    <phoneticPr fontId="17" type="noConversion"/>
  </si>
  <si>
    <t>Topography
(지형구배 %)</t>
    <phoneticPr fontId="24" type="noConversion"/>
  </si>
  <si>
    <t xml:space="preserve"> </t>
    <phoneticPr fontId="17" type="noConversion"/>
  </si>
  <si>
    <t>Shale</t>
    <phoneticPr fontId="17" type="noConversion"/>
  </si>
  <si>
    <t>Metamorphic/Igneous</t>
    <phoneticPr fontId="17" type="noConversion"/>
  </si>
  <si>
    <t>Weathered Metamorphic / Igneous</t>
    <phoneticPr fontId="17" type="noConversion"/>
  </si>
  <si>
    <t>Glacial Till</t>
    <phoneticPr fontId="17" type="noConversion"/>
  </si>
  <si>
    <t>Bedded SandStone</t>
    <phoneticPr fontId="17" type="noConversion"/>
  </si>
  <si>
    <t>Limestone</t>
    <phoneticPr fontId="17" type="noConversion"/>
  </si>
  <si>
    <t>Sand and Gravel</t>
    <phoneticPr fontId="17" type="noConversion"/>
  </si>
  <si>
    <t>Basalt</t>
    <phoneticPr fontId="17" type="noConversion"/>
  </si>
  <si>
    <t>Karst Limestone</t>
    <phoneticPr fontId="17" type="noConversion"/>
  </si>
  <si>
    <t>Massive Limestone</t>
    <phoneticPr fontId="17" type="noConversion"/>
  </si>
  <si>
    <t>Massive Shale</t>
    <phoneticPr fontId="17" type="noConversion"/>
  </si>
  <si>
    <t>Massive Sandstone</t>
    <phoneticPr fontId="17" type="noConversion"/>
  </si>
  <si>
    <t>Thin or Absecnt</t>
    <phoneticPr fontId="17" type="noConversion"/>
  </si>
  <si>
    <t>Gravel</t>
    <phoneticPr fontId="17" type="noConversion"/>
  </si>
  <si>
    <t>Sand</t>
    <phoneticPr fontId="17" type="noConversion"/>
  </si>
  <si>
    <t>Peat</t>
    <phoneticPr fontId="17" type="noConversion"/>
  </si>
  <si>
    <t>Shringing or Aggregated Clay</t>
    <phoneticPr fontId="17" type="noConversion"/>
  </si>
  <si>
    <t>Sandy Loam</t>
    <phoneticPr fontId="17" type="noConversion"/>
  </si>
  <si>
    <t>Loam</t>
    <phoneticPr fontId="17" type="noConversion"/>
  </si>
  <si>
    <t>Silty Loam</t>
    <phoneticPr fontId="17" type="noConversion"/>
  </si>
  <si>
    <t>Clay Loam</t>
    <phoneticPr fontId="17" type="noConversion"/>
  </si>
  <si>
    <t>Mud</t>
    <phoneticPr fontId="17" type="noConversion"/>
  </si>
  <si>
    <t>Nonshrinking and Nonaggregated Clay</t>
    <phoneticPr fontId="17" type="noConversion"/>
  </si>
  <si>
    <t>Typical Rating</t>
    <phoneticPr fontId="17" type="noConversion"/>
  </si>
  <si>
    <t>Rating</t>
    <phoneticPr fontId="17" type="noConversion"/>
  </si>
  <si>
    <t>비포화대의 영향에 대한 등급 (Ir)</t>
    <phoneticPr fontId="17" type="noConversion"/>
  </si>
  <si>
    <t>토양특성에 대한 등급 Sr</t>
    <phoneticPr fontId="17" type="noConversion"/>
  </si>
  <si>
    <t>대수층 특성에 대한 등급 Ar</t>
    <phoneticPr fontId="17" type="noConversion"/>
  </si>
  <si>
    <t>Confining Layer</t>
    <phoneticPr fontId="17" type="noConversion"/>
  </si>
  <si>
    <t>Silt/Clay</t>
    <phoneticPr fontId="17" type="noConversion"/>
  </si>
  <si>
    <t>Sandstone</t>
    <phoneticPr fontId="17" type="noConversion"/>
  </si>
  <si>
    <t>Bedded Limestone, Sandstone, Shale</t>
    <phoneticPr fontId="17" type="noConversion"/>
  </si>
  <si>
    <t>Sand and Gravel with Significant Silt and Clay</t>
    <phoneticPr fontId="17" type="noConversion"/>
  </si>
  <si>
    <t>펌프용량산정</t>
    <phoneticPr fontId="17" type="noConversion"/>
  </si>
  <si>
    <t>Metamorphic/Igneous</t>
  </si>
  <si>
    <t>W1</t>
    <phoneticPr fontId="17" type="noConversion"/>
  </si>
  <si>
    <t>W-1</t>
    <phoneticPr fontId="17" type="noConversion"/>
  </si>
  <si>
    <t>총채수계획</t>
    <phoneticPr fontId="17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</si>
  <si>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4" type="noConversion"/>
  </si>
  <si>
    <t>양수능력의산정</t>
    <phoneticPr fontId="17" type="noConversion"/>
  </si>
  <si>
    <t>양수능력</t>
    <phoneticPr fontId="17" type="noConversion"/>
  </si>
  <si>
    <t>모터마력</t>
    <phoneticPr fontId="17" type="noConversion"/>
  </si>
  <si>
    <t>조사지역의 월평균 강수량 (2009-2017)</t>
    <phoneticPr fontId="24" type="noConversion"/>
  </si>
  <si>
    <t>30년 대전데이터, 2019/4/3  일날, 기상청 기상자료를 바탕으로 데이터 획득</t>
    <phoneticPr fontId="17" type="noConversion"/>
  </si>
  <si>
    <t>금강/갑천</t>
    <phoneticPr fontId="24" type="noConversion"/>
  </si>
  <si>
    <t>W2</t>
    <phoneticPr fontId="24" type="noConversion"/>
  </si>
  <si>
    <t>W-2</t>
    <phoneticPr fontId="17" type="noConversion"/>
  </si>
  <si>
    <t xml:space="preserve">갑천 </t>
    <phoneticPr fontId="24" type="noConversion"/>
  </si>
  <si>
    <t>대청댐</t>
    <phoneticPr fontId="24" type="noConversion"/>
  </si>
  <si>
    <t>대청댐하류</t>
    <phoneticPr fontId="24" type="noConversion"/>
  </si>
  <si>
    <t>동해엔지니어링</t>
    <phoneticPr fontId="17" type="noConversion"/>
  </si>
  <si>
    <t>W2</t>
    <phoneticPr fontId="17" type="noConversion"/>
  </si>
  <si>
    <t>금고동 480-1</t>
    <phoneticPr fontId="17" type="noConversion"/>
  </si>
  <si>
    <t>금고동 491</t>
    <phoneticPr fontId="17" type="noConversion"/>
  </si>
  <si>
    <t>한밭수목원</t>
    <phoneticPr fontId="17" type="noConversion"/>
  </si>
  <si>
    <t>36, 27, 31.2</t>
    <phoneticPr fontId="17" type="noConversion"/>
  </si>
  <si>
    <t>127, 23, 29.2</t>
    <phoneticPr fontId="17" type="noConversion"/>
  </si>
  <si>
    <t>36, 27, 28</t>
    <phoneticPr fontId="17" type="noConversion"/>
  </si>
  <si>
    <t>127, 23, 30.7</t>
    <phoneticPr fontId="17" type="noConversion"/>
  </si>
  <si>
    <t>Silty Loam</t>
  </si>
  <si>
    <t>라운드업</t>
    <phoneticPr fontId="24" type="noConversion"/>
  </si>
  <si>
    <t>]</t>
    <phoneticPr fontId="17" type="noConversion"/>
  </si>
  <si>
    <t>강우량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</si>
</sst>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_-* #,##0.0_-;\-* #,##0.0_-;_-* &quot;-&quot;_-;_-@_-"/>
    <numFmt numFmtId="200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rgb="FF9C5700"/>
      <name val="맑은 고딕"/>
      <family val="2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i/>
      <sz val="14"/>
      <color theme="1"/>
      <name val="맑은 고딕"/>
      <family val="3"/>
      <charset val="129"/>
      <scheme val="minor"/>
    </font>
    <font>
      <b/>
      <i/>
      <sz val="11"/>
      <color rgb="FF9C5700"/>
      <name val="맑은 고딕"/>
      <family val="3"/>
      <charset val="129"/>
      <scheme val="minor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26">
    <xf numFmtId="0" fontId="0" fillId="0" borderId="0"/>
    <xf numFmtId="24" fontId="18" fillId="0" borderId="0" applyFont="0" applyFill="0" applyBorder="0" applyAlignment="0" applyProtection="0"/>
    <xf numFmtId="179" fontId="16" fillId="0" borderId="0" applyNumberFormat="0" applyFont="0" applyFill="0" applyBorder="0" applyAlignment="0" applyProtection="0"/>
    <xf numFmtId="180" fontId="19" fillId="0" borderId="0" applyNumberFormat="0" applyFont="0" applyFill="0" applyBorder="0" applyAlignment="0" applyProtection="0"/>
    <xf numFmtId="179" fontId="16" fillId="0" borderId="0" applyNumberFormat="0" applyFont="0" applyFill="0" applyBorder="0" applyAlignment="0" applyProtection="0"/>
    <xf numFmtId="180" fontId="19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181" fontId="19" fillId="0" borderId="0" applyFont="0" applyFill="0" applyBorder="0" applyAlignment="0" applyProtection="0"/>
    <xf numFmtId="184" fontId="21" fillId="0" borderId="0" applyFont="0" applyFill="0" applyBorder="0" applyAlignment="0" applyProtection="0"/>
    <xf numFmtId="183" fontId="16" fillId="0" borderId="0" applyFont="0" applyFill="0" applyBorder="0" applyAlignment="0" applyProtection="0"/>
    <xf numFmtId="49" fontId="22" fillId="0" borderId="1" applyNumberFormat="0" applyAlignment="0"/>
    <xf numFmtId="0" fontId="19" fillId="0" borderId="0"/>
    <xf numFmtId="178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0" fontId="23" fillId="0" borderId="2" applyNumberFormat="0" applyAlignment="0" applyProtection="0">
      <alignment horizontal="left" vertical="center"/>
    </xf>
    <xf numFmtId="0" fontId="23" fillId="0" borderId="3">
      <alignment horizontal="left" vertical="center"/>
    </xf>
    <xf numFmtId="0" fontId="15" fillId="2" borderId="0" applyNumberFormat="0" applyBorder="0" applyAlignment="0" applyProtection="0">
      <alignment vertical="center"/>
    </xf>
    <xf numFmtId="0" fontId="15" fillId="0" borderId="0">
      <alignment vertical="center"/>
    </xf>
    <xf numFmtId="43" fontId="16" fillId="0" borderId="0" applyFont="0" applyFill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" borderId="0" applyNumberFormat="0" applyBorder="0" applyAlignment="0" applyProtection="0">
      <alignment vertical="center"/>
    </xf>
    <xf numFmtId="176" fontId="16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0" borderId="0">
      <alignment vertical="center"/>
    </xf>
  </cellStyleXfs>
  <cellXfs count="383">
    <xf numFmtId="0" fontId="0" fillId="0" borderId="0" xfId="0"/>
    <xf numFmtId="0" fontId="15" fillId="0" borderId="0" xfId="17">
      <alignment vertical="center"/>
    </xf>
    <xf numFmtId="10" fontId="15" fillId="0" borderId="0" xfId="17" applyNumberFormat="1">
      <alignment vertical="center"/>
    </xf>
    <xf numFmtId="0" fontId="15" fillId="0" borderId="19" xfId="17" applyBorder="1">
      <alignment vertical="center"/>
    </xf>
    <xf numFmtId="0" fontId="15" fillId="0" borderId="21" xfId="17" applyBorder="1">
      <alignment vertical="center"/>
    </xf>
    <xf numFmtId="0" fontId="15" fillId="0" borderId="23" xfId="17" applyBorder="1">
      <alignment vertical="center"/>
    </xf>
    <xf numFmtId="188" fontId="15" fillId="4" borderId="18" xfId="17" applyNumberFormat="1" applyFill="1" applyBorder="1">
      <alignment vertical="center"/>
    </xf>
    <xf numFmtId="185" fontId="15" fillId="6" borderId="24" xfId="17" applyNumberFormat="1" applyFill="1" applyBorder="1">
      <alignment vertical="center"/>
    </xf>
    <xf numFmtId="186" fontId="15" fillId="5" borderId="18" xfId="17" applyNumberFormat="1" applyFill="1" applyBorder="1">
      <alignment vertical="center"/>
    </xf>
    <xf numFmtId="189" fontId="15" fillId="7" borderId="25" xfId="17" applyNumberFormat="1" applyFill="1" applyBorder="1">
      <alignment vertical="center"/>
    </xf>
    <xf numFmtId="0" fontId="27" fillId="0" borderId="0" xfId="0" applyFont="1" applyAlignment="1">
      <alignment horizontal="center" vertical="center"/>
    </xf>
    <xf numFmtId="0" fontId="15" fillId="4" borderId="11" xfId="17" applyFill="1" applyBorder="1">
      <alignment vertical="center"/>
    </xf>
    <xf numFmtId="0" fontId="0" fillId="0" borderId="0" xfId="0" applyAlignment="1">
      <alignment vertical="center"/>
    </xf>
    <xf numFmtId="0" fontId="28" fillId="0" borderId="0" xfId="0" applyFont="1" applyAlignment="1">
      <alignment horizontal="center" vertical="center"/>
    </xf>
    <xf numFmtId="0" fontId="15" fillId="0" borderId="30" xfId="17" applyBorder="1">
      <alignment vertical="center"/>
    </xf>
    <xf numFmtId="0" fontId="15" fillId="3" borderId="30" xfId="17" applyFill="1" applyBorder="1">
      <alignment vertical="center"/>
    </xf>
    <xf numFmtId="0" fontId="25" fillId="0" borderId="30" xfId="0" applyFont="1" applyBorder="1" applyAlignment="1">
      <alignment horizontal="center" vertical="center" wrapText="1"/>
    </xf>
    <xf numFmtId="0" fontId="15" fillId="3" borderId="33" xfId="17" applyFill="1" applyBorder="1">
      <alignment vertical="center"/>
    </xf>
    <xf numFmtId="0" fontId="15" fillId="0" borderId="32" xfId="17" applyBorder="1">
      <alignment vertical="center"/>
    </xf>
    <xf numFmtId="0" fontId="15" fillId="0" borderId="27" xfId="17" applyBorder="1">
      <alignment vertical="center"/>
    </xf>
    <xf numFmtId="0" fontId="15" fillId="0" borderId="28" xfId="17" applyBorder="1">
      <alignment vertical="center"/>
    </xf>
    <xf numFmtId="0" fontId="15" fillId="0" borderId="38" xfId="17" applyBorder="1">
      <alignment vertical="center"/>
    </xf>
    <xf numFmtId="0" fontId="15" fillId="0" borderId="36" xfId="17" applyBorder="1">
      <alignment vertical="center"/>
    </xf>
    <xf numFmtId="0" fontId="15" fillId="8" borderId="40" xfId="17" applyFill="1" applyBorder="1">
      <alignment vertical="center"/>
    </xf>
    <xf numFmtId="0" fontId="15" fillId="0" borderId="40" xfId="17" applyBorder="1">
      <alignment vertical="center"/>
    </xf>
    <xf numFmtId="0" fontId="15" fillId="0" borderId="41" xfId="17" applyBorder="1">
      <alignment vertical="center"/>
    </xf>
    <xf numFmtId="0" fontId="15" fillId="4" borderId="12" xfId="17" applyFill="1" applyBorder="1">
      <alignment vertical="center"/>
    </xf>
    <xf numFmtId="0" fontId="15" fillId="4" borderId="13" xfId="17" applyFill="1" applyBorder="1">
      <alignment vertical="center"/>
    </xf>
    <xf numFmtId="190" fontId="15" fillId="9" borderId="43" xfId="17" applyNumberFormat="1" applyFill="1" applyBorder="1">
      <alignment vertical="center"/>
    </xf>
    <xf numFmtId="0" fontId="14" fillId="9" borderId="29" xfId="17" applyFont="1" applyFill="1" applyBorder="1">
      <alignment vertical="center"/>
    </xf>
    <xf numFmtId="186" fontId="15" fillId="0" borderId="0" xfId="17" applyNumberFormat="1">
      <alignment vertical="center"/>
    </xf>
    <xf numFmtId="0" fontId="15" fillId="4" borderId="11" xfId="16" applyFill="1" applyBorder="1">
      <alignment vertical="center"/>
    </xf>
    <xf numFmtId="0" fontId="15" fillId="4" borderId="44" xfId="16" applyFill="1" applyBorder="1">
      <alignment vertical="center"/>
    </xf>
    <xf numFmtId="0" fontId="15" fillId="4" borderId="46" xfId="16" applyFill="1" applyBorder="1">
      <alignment vertical="center"/>
    </xf>
    <xf numFmtId="185" fontId="15" fillId="0" borderId="28" xfId="17" applyNumberFormat="1" applyBorder="1">
      <alignment vertical="center"/>
    </xf>
    <xf numFmtId="185" fontId="15" fillId="0" borderId="48" xfId="17" applyNumberFormat="1" applyBorder="1">
      <alignment vertical="center"/>
    </xf>
    <xf numFmtId="0" fontId="15" fillId="0" borderId="49" xfId="17" applyBorder="1">
      <alignment vertical="center"/>
    </xf>
    <xf numFmtId="0" fontId="15" fillId="0" borderId="50" xfId="17" applyBorder="1">
      <alignment vertical="center"/>
    </xf>
    <xf numFmtId="10" fontId="15" fillId="0" borderId="51" xfId="17" applyNumberFormat="1" applyBorder="1">
      <alignment vertical="center"/>
    </xf>
    <xf numFmtId="191" fontId="15" fillId="0" borderId="0" xfId="17" applyNumberFormat="1">
      <alignment vertical="center"/>
    </xf>
    <xf numFmtId="0" fontId="15" fillId="0" borderId="20" xfId="17" applyBorder="1" applyAlignment="1">
      <alignment horizontal="center" vertical="center"/>
    </xf>
    <xf numFmtId="0" fontId="15" fillId="0" borderId="22" xfId="17" applyBorder="1" applyAlignment="1">
      <alignment horizontal="center" vertical="center"/>
    </xf>
    <xf numFmtId="0" fontId="14" fillId="9" borderId="42" xfId="17" applyFont="1" applyFill="1" applyBorder="1" applyAlignment="1">
      <alignment horizontal="center" vertical="center"/>
    </xf>
    <xf numFmtId="0" fontId="15" fillId="0" borderId="26" xfId="17" applyBorder="1" applyAlignment="1">
      <alignment horizontal="center" vertical="center"/>
    </xf>
    <xf numFmtId="186" fontId="31" fillId="4" borderId="10" xfId="16" applyNumberFormat="1" applyFont="1" applyFill="1" applyBorder="1">
      <alignment vertical="center"/>
    </xf>
    <xf numFmtId="186" fontId="31" fillId="4" borderId="10" xfId="17" applyNumberFormat="1" applyFont="1" applyFill="1" applyBorder="1">
      <alignment vertical="center"/>
    </xf>
    <xf numFmtId="186" fontId="31" fillId="4" borderId="5" xfId="17" applyNumberFormat="1" applyFont="1" applyFill="1" applyBorder="1">
      <alignment vertical="center"/>
    </xf>
    <xf numFmtId="187" fontId="31" fillId="4" borderId="45" xfId="16" applyNumberFormat="1" applyFont="1" applyFill="1" applyBorder="1">
      <alignment vertical="center"/>
    </xf>
    <xf numFmtId="0" fontId="32" fillId="0" borderId="0" xfId="20" applyFont="1">
      <alignment vertical="center"/>
    </xf>
    <xf numFmtId="0" fontId="32" fillId="0" borderId="52" xfId="20" applyFont="1" applyBorder="1" applyAlignment="1">
      <alignment horizontal="center" vertical="center"/>
    </xf>
    <xf numFmtId="0" fontId="32" fillId="3" borderId="52" xfId="20" applyFont="1" applyFill="1" applyBorder="1" applyAlignment="1">
      <alignment horizontal="center" vertical="center"/>
    </xf>
    <xf numFmtId="0" fontId="32" fillId="0" borderId="53" xfId="20" applyFont="1" applyBorder="1" applyAlignment="1">
      <alignment horizontal="center" vertical="center"/>
    </xf>
    <xf numFmtId="0" fontId="32" fillId="0" borderId="54" xfId="20" applyFont="1" applyBorder="1" applyAlignment="1">
      <alignment horizontal="center" vertical="center"/>
    </xf>
    <xf numFmtId="192" fontId="32" fillId="0" borderId="15" xfId="20" applyNumberFormat="1" applyFont="1" applyBorder="1" applyAlignment="1">
      <alignment horizontal="center" vertical="center"/>
    </xf>
    <xf numFmtId="0" fontId="32" fillId="0" borderId="55" xfId="20" applyFont="1" applyBorder="1" applyAlignment="1">
      <alignment horizontal="center" vertical="center"/>
    </xf>
    <xf numFmtId="0" fontId="32" fillId="3" borderId="55" xfId="20" applyFont="1" applyFill="1" applyBorder="1" applyAlignment="1">
      <alignment horizontal="center" vertical="center"/>
    </xf>
    <xf numFmtId="0" fontId="33" fillId="0" borderId="56" xfId="20" applyFont="1" applyBorder="1" applyAlignment="1">
      <alignment horizontal="center" vertical="center" wrapText="1"/>
    </xf>
    <xf numFmtId="0" fontId="33" fillId="0" borderId="14" xfId="20" applyFont="1" applyBorder="1" applyAlignment="1">
      <alignment horizontal="center" vertical="center" wrapText="1"/>
    </xf>
    <xf numFmtId="0" fontId="33" fillId="0" borderId="8" xfId="20" applyFont="1" applyBorder="1" applyAlignment="1">
      <alignment horizontal="center" vertical="center" wrapText="1"/>
    </xf>
    <xf numFmtId="0" fontId="33" fillId="0" borderId="55" xfId="20" applyFont="1" applyBorder="1" applyAlignment="1">
      <alignment horizontal="center" vertical="center" wrapText="1"/>
    </xf>
    <xf numFmtId="0" fontId="32" fillId="0" borderId="57" xfId="20" applyFont="1" applyBorder="1">
      <alignment vertical="center"/>
    </xf>
    <xf numFmtId="0" fontId="34" fillId="11" borderId="58" xfId="20" applyFont="1" applyFill="1" applyBorder="1" applyAlignment="1">
      <alignment horizontal="center" vertical="center" wrapText="1"/>
    </xf>
    <xf numFmtId="0" fontId="34" fillId="11" borderId="60" xfId="20" applyFont="1" applyFill="1" applyBorder="1" applyAlignment="1">
      <alignment horizontal="center" vertical="center" wrapText="1"/>
    </xf>
    <xf numFmtId="0" fontId="33" fillId="12" borderId="61" xfId="20" applyFont="1" applyFill="1" applyBorder="1" applyAlignment="1">
      <alignment horizontal="center" vertical="center" wrapText="1"/>
    </xf>
    <xf numFmtId="0" fontId="35" fillId="12" borderId="62" xfId="20" applyFont="1" applyFill="1" applyBorder="1" applyAlignment="1">
      <alignment horizontal="center" vertical="center" wrapText="1"/>
    </xf>
    <xf numFmtId="0" fontId="35" fillId="12" borderId="59" xfId="20" applyFont="1" applyFill="1" applyBorder="1" applyAlignment="1">
      <alignment horizontal="center" vertical="center" wrapText="1"/>
    </xf>
    <xf numFmtId="0" fontId="35" fillId="12" borderId="60" xfId="20" applyFont="1" applyFill="1" applyBorder="1" applyAlignment="1">
      <alignment horizontal="center" vertical="center" wrapText="1"/>
    </xf>
    <xf numFmtId="186" fontId="32" fillId="0" borderId="0" xfId="21" applyNumberFormat="1" applyFont="1" applyFill="1">
      <alignment vertical="center"/>
    </xf>
    <xf numFmtId="0" fontId="32" fillId="0" borderId="0" xfId="21" applyFont="1" applyFill="1">
      <alignment vertical="center"/>
    </xf>
    <xf numFmtId="0" fontId="32" fillId="0" borderId="0" xfId="20" applyFont="1" applyAlignment="1">
      <alignment horizontal="center" vertical="center"/>
    </xf>
    <xf numFmtId="0" fontId="36" fillId="0" borderId="0" xfId="20" applyFont="1">
      <alignment vertical="center"/>
    </xf>
    <xf numFmtId="185" fontId="32" fillId="0" borderId="0" xfId="20" applyNumberFormat="1" applyFont="1">
      <alignment vertical="center"/>
    </xf>
    <xf numFmtId="186" fontId="32" fillId="0" borderId="0" xfId="20" applyNumberFormat="1" applyFont="1">
      <alignment vertical="center"/>
    </xf>
    <xf numFmtId="0" fontId="33" fillId="0" borderId="0" xfId="20" applyFont="1" applyAlignment="1">
      <alignment horizontal="center" vertical="center" wrapText="1"/>
    </xf>
    <xf numFmtId="0" fontId="32" fillId="0" borderId="63" xfId="20" applyFont="1" applyBorder="1" applyAlignment="1">
      <alignment horizontal="center" vertical="center"/>
    </xf>
    <xf numFmtId="188" fontId="37" fillId="3" borderId="63" xfId="20" applyNumberFormat="1" applyFont="1" applyFill="1" applyBorder="1">
      <alignment vertical="center"/>
    </xf>
    <xf numFmtId="0" fontId="32" fillId="0" borderId="64" xfId="20" applyFont="1" applyBorder="1" applyAlignment="1">
      <alignment horizontal="center" vertical="center"/>
    </xf>
    <xf numFmtId="0" fontId="32" fillId="3" borderId="64" xfId="20" applyFont="1" applyFill="1" applyBorder="1" applyAlignment="1">
      <alignment horizontal="center" vertical="center"/>
    </xf>
    <xf numFmtId="0" fontId="32" fillId="3" borderId="63" xfId="20" applyFont="1" applyFill="1" applyBorder="1" applyAlignment="1">
      <alignment horizontal="center" vertical="center"/>
    </xf>
    <xf numFmtId="0" fontId="37" fillId="3" borderId="44" xfId="20" applyFont="1" applyFill="1" applyBorder="1">
      <alignment vertical="center"/>
    </xf>
    <xf numFmtId="0" fontId="37" fillId="3" borderId="45" xfId="20" applyFont="1" applyFill="1" applyBorder="1">
      <alignment vertical="center"/>
    </xf>
    <xf numFmtId="0" fontId="34" fillId="0" borderId="0" xfId="20" applyFont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4" borderId="65" xfId="0" applyFont="1" applyFill="1" applyBorder="1" applyAlignment="1">
      <alignment horizontal="center" vertical="center"/>
    </xf>
    <xf numFmtId="193" fontId="27" fillId="4" borderId="0" xfId="0" applyNumberFormat="1" applyFont="1" applyFill="1" applyAlignment="1">
      <alignment horizontal="center" vertical="center"/>
    </xf>
    <xf numFmtId="185" fontId="27" fillId="4" borderId="61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85" fontId="27" fillId="4" borderId="0" xfId="0" applyNumberFormat="1" applyFont="1" applyFill="1" applyAlignment="1">
      <alignment horizontal="center" vertical="center"/>
    </xf>
    <xf numFmtId="194" fontId="27" fillId="0" borderId="21" xfId="0" applyNumberFormat="1" applyFont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0" borderId="0" xfId="0" applyFont="1"/>
    <xf numFmtId="0" fontId="39" fillId="0" borderId="0" xfId="20" applyFont="1" applyAlignment="1">
      <alignment horizontal="center" vertical="center"/>
    </xf>
    <xf numFmtId="0" fontId="32" fillId="0" borderId="11" xfId="20" applyFont="1" applyBorder="1" applyAlignment="1">
      <alignment horizontal="center" vertical="center"/>
    </xf>
    <xf numFmtId="0" fontId="32" fillId="0" borderId="9" xfId="20" applyFont="1" applyBorder="1" applyAlignment="1">
      <alignment horizontal="center" vertical="center"/>
    </xf>
    <xf numFmtId="0" fontId="32" fillId="0" borderId="10" xfId="20" applyFont="1" applyBorder="1" applyAlignment="1">
      <alignment horizontal="center" vertical="center"/>
    </xf>
    <xf numFmtId="0" fontId="38" fillId="3" borderId="55" xfId="20" applyFont="1" applyFill="1" applyBorder="1" applyAlignment="1">
      <alignment horizontal="center" vertical="center"/>
    </xf>
    <xf numFmtId="182" fontId="32" fillId="0" borderId="0" xfId="13" applyFont="1" applyAlignment="1">
      <alignment vertical="center"/>
    </xf>
    <xf numFmtId="0" fontId="26" fillId="4" borderId="9" xfId="16" applyFont="1" applyFill="1" applyBorder="1" applyAlignment="1">
      <alignment horizontal="center" vertical="center"/>
    </xf>
    <xf numFmtId="0" fontId="26" fillId="4" borderId="9" xfId="17" applyFont="1" applyFill="1" applyBorder="1" applyAlignment="1">
      <alignment horizontal="center" vertical="center"/>
    </xf>
    <xf numFmtId="0" fontId="26" fillId="0" borderId="20" xfId="17" applyFont="1" applyBorder="1" applyAlignment="1">
      <alignment horizontal="center" vertical="center"/>
    </xf>
    <xf numFmtId="0" fontId="26" fillId="0" borderId="16" xfId="17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186" fontId="37" fillId="13" borderId="46" xfId="20" applyNumberFormat="1" applyFont="1" applyFill="1" applyBorder="1">
      <alignment vertical="center"/>
    </xf>
    <xf numFmtId="0" fontId="32" fillId="13" borderId="11" xfId="20" applyFont="1" applyFill="1" applyBorder="1" applyAlignment="1">
      <alignment horizontal="center" vertical="center"/>
    </xf>
    <xf numFmtId="186" fontId="42" fillId="13" borderId="46" xfId="20" applyNumberFormat="1" applyFont="1" applyFill="1" applyBorder="1">
      <alignment vertical="center"/>
    </xf>
    <xf numFmtId="0" fontId="32" fillId="14" borderId="11" xfId="20" applyFont="1" applyFill="1" applyBorder="1" applyAlignment="1">
      <alignment horizontal="center" vertical="center"/>
    </xf>
    <xf numFmtId="186" fontId="42" fillId="14" borderId="46" xfId="20" applyNumberFormat="1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12" fillId="0" borderId="0" xfId="17" applyFont="1">
      <alignment vertical="center"/>
    </xf>
    <xf numFmtId="0" fontId="12" fillId="0" borderId="38" xfId="17" applyFont="1" applyBorder="1">
      <alignment vertical="center"/>
    </xf>
    <xf numFmtId="0" fontId="12" fillId="13" borderId="37" xfId="17" applyFont="1" applyFill="1" applyBorder="1">
      <alignment vertical="center"/>
    </xf>
    <xf numFmtId="0" fontId="15" fillId="15" borderId="30" xfId="17" applyFill="1" applyBorder="1">
      <alignment vertical="center"/>
    </xf>
    <xf numFmtId="0" fontId="12" fillId="15" borderId="38" xfId="17" applyFont="1" applyFill="1" applyBorder="1">
      <alignment vertical="center"/>
    </xf>
    <xf numFmtId="0" fontId="15" fillId="0" borderId="72" xfId="17" applyBorder="1">
      <alignment vertical="center"/>
    </xf>
    <xf numFmtId="0" fontId="12" fillId="0" borderId="70" xfId="17" applyFont="1" applyBorder="1">
      <alignment vertical="center"/>
    </xf>
    <xf numFmtId="0" fontId="43" fillId="0" borderId="71" xfId="17" applyFont="1" applyBorder="1" applyAlignment="1">
      <alignment horizontal="right" vertical="center"/>
    </xf>
    <xf numFmtId="0" fontId="43" fillId="0" borderId="72" xfId="17" applyFont="1" applyBorder="1" applyAlignment="1">
      <alignment horizontal="right" vertical="center"/>
    </xf>
    <xf numFmtId="0" fontId="31" fillId="0" borderId="31" xfId="17" applyFont="1" applyBorder="1">
      <alignment vertical="center"/>
    </xf>
    <xf numFmtId="0" fontId="15" fillId="0" borderId="73" xfId="17" applyBorder="1">
      <alignment vertical="center"/>
    </xf>
    <xf numFmtId="0" fontId="15" fillId="0" borderId="75" xfId="17" applyBorder="1">
      <alignment vertical="center"/>
    </xf>
    <xf numFmtId="0" fontId="15" fillId="3" borderId="74" xfId="17" applyFill="1" applyBorder="1">
      <alignment vertical="center"/>
    </xf>
    <xf numFmtId="0" fontId="15" fillId="15" borderId="36" xfId="17" applyFill="1" applyBorder="1">
      <alignment vertical="center"/>
    </xf>
    <xf numFmtId="0" fontId="32" fillId="0" borderId="60" xfId="20" applyFont="1" applyBorder="1" applyAlignment="1">
      <alignment horizontal="center" vertical="center"/>
    </xf>
    <xf numFmtId="0" fontId="44" fillId="3" borderId="31" xfId="17" applyFont="1" applyFill="1" applyBorder="1">
      <alignment vertical="center"/>
    </xf>
    <xf numFmtId="0" fontId="44" fillId="3" borderId="30" xfId="17" applyFont="1" applyFill="1" applyBorder="1">
      <alignment vertical="center"/>
    </xf>
    <xf numFmtId="0" fontId="44" fillId="15" borderId="31" xfId="17" applyFont="1" applyFill="1" applyBorder="1">
      <alignment vertical="center"/>
    </xf>
    <xf numFmtId="0" fontId="44" fillId="15" borderId="30" xfId="17" applyFont="1" applyFill="1" applyBorder="1">
      <alignment vertical="center"/>
    </xf>
    <xf numFmtId="0" fontId="44" fillId="0" borderId="31" xfId="17" applyFont="1" applyBorder="1">
      <alignment vertical="center"/>
    </xf>
    <xf numFmtId="0" fontId="44" fillId="0" borderId="30" xfId="17" applyFont="1" applyBorder="1">
      <alignment vertical="center"/>
    </xf>
    <xf numFmtId="0" fontId="44" fillId="8" borderId="39" xfId="17" applyFont="1" applyFill="1" applyBorder="1">
      <alignment vertical="center"/>
    </xf>
    <xf numFmtId="0" fontId="44" fillId="8" borderId="40" xfId="17" applyFont="1" applyFill="1" applyBorder="1">
      <alignment vertical="center"/>
    </xf>
    <xf numFmtId="0" fontId="45" fillId="0" borderId="27" xfId="17" applyFont="1" applyBorder="1">
      <alignment vertical="center"/>
    </xf>
    <xf numFmtId="0" fontId="45" fillId="0" borderId="35" xfId="17" applyFont="1" applyBorder="1">
      <alignment vertical="center"/>
    </xf>
    <xf numFmtId="0" fontId="45" fillId="0" borderId="34" xfId="17" applyFont="1" applyBorder="1" applyAlignment="1">
      <alignment horizontal="right" vertical="center"/>
    </xf>
    <xf numFmtId="0" fontId="45" fillId="0" borderId="32" xfId="17" applyFont="1" applyBorder="1" applyAlignment="1">
      <alignment horizontal="right" vertical="center"/>
    </xf>
    <xf numFmtId="0" fontId="11" fillId="0" borderId="4" xfId="17" applyFont="1" applyBorder="1">
      <alignment vertical="center"/>
    </xf>
    <xf numFmtId="190" fontId="15" fillId="0" borderId="4" xfId="17" applyNumberFormat="1" applyBorder="1" applyAlignment="1">
      <alignment horizontal="center" vertical="center"/>
    </xf>
    <xf numFmtId="0" fontId="11" fillId="0" borderId="4" xfId="17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 wrapText="1"/>
    </xf>
    <xf numFmtId="0" fontId="27" fillId="0" borderId="60" xfId="0" applyFont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6" fillId="13" borderId="60" xfId="0" applyFont="1" applyFill="1" applyBorder="1" applyAlignment="1">
      <alignment horizontal="center" vertical="center"/>
    </xf>
    <xf numFmtId="190" fontId="46" fillId="14" borderId="60" xfId="0" applyNumberFormat="1" applyFont="1" applyFill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 wrapText="1"/>
    </xf>
    <xf numFmtId="0" fontId="34" fillId="0" borderId="63" xfId="20" applyFont="1" applyBorder="1" applyAlignment="1">
      <alignment horizontal="center" vertical="center" wrapText="1"/>
    </xf>
    <xf numFmtId="0" fontId="34" fillId="0" borderId="76" xfId="20" applyFont="1" applyBorder="1" applyAlignment="1">
      <alignment horizontal="center" vertical="center" wrapText="1"/>
    </xf>
    <xf numFmtId="0" fontId="33" fillId="3" borderId="14" xfId="20" applyFont="1" applyFill="1" applyBorder="1" applyAlignment="1">
      <alignment horizontal="center" vertical="center" wrapText="1"/>
    </xf>
    <xf numFmtId="195" fontId="33" fillId="0" borderId="8" xfId="20" applyNumberFormat="1" applyFont="1" applyBorder="1" applyAlignment="1">
      <alignment horizontal="center" vertical="center" wrapText="1"/>
    </xf>
    <xf numFmtId="195" fontId="34" fillId="0" borderId="77" xfId="20" applyNumberFormat="1" applyFont="1" applyBorder="1" applyAlignment="1">
      <alignment horizontal="center" vertical="center" wrapText="1"/>
    </xf>
    <xf numFmtId="0" fontId="32" fillId="13" borderId="55" xfId="20" applyFont="1" applyFill="1" applyBorder="1" applyAlignment="1">
      <alignment horizontal="center" vertical="center"/>
    </xf>
    <xf numFmtId="0" fontId="32" fillId="14" borderId="55" xfId="20" applyFont="1" applyFill="1" applyBorder="1" applyAlignment="1">
      <alignment horizontal="center" vertical="center"/>
    </xf>
    <xf numFmtId="0" fontId="34" fillId="11" borderId="59" xfId="20" applyFont="1" applyFill="1" applyBorder="1" applyAlignment="1">
      <alignment horizontal="center" vertical="center" wrapText="1"/>
    </xf>
    <xf numFmtId="0" fontId="50" fillId="0" borderId="24" xfId="17" applyFont="1" applyBorder="1">
      <alignment vertical="center"/>
    </xf>
    <xf numFmtId="0" fontId="50" fillId="14" borderId="19" xfId="17" applyFont="1" applyFill="1" applyBorder="1">
      <alignment vertical="center"/>
    </xf>
    <xf numFmtId="0" fontId="50" fillId="0" borderId="18" xfId="17" applyFont="1" applyBorder="1">
      <alignment vertical="center"/>
    </xf>
    <xf numFmtId="0" fontId="50" fillId="14" borderId="21" xfId="17" applyFont="1" applyFill="1" applyBorder="1">
      <alignment vertical="center"/>
    </xf>
    <xf numFmtId="196" fontId="50" fillId="0" borderId="21" xfId="17" applyNumberFormat="1" applyFont="1" applyBorder="1">
      <alignment vertical="center"/>
    </xf>
    <xf numFmtId="0" fontId="50" fillId="0" borderId="25" xfId="17" applyFont="1" applyBorder="1">
      <alignment vertical="center"/>
    </xf>
    <xf numFmtId="0" fontId="50" fillId="0" borderId="23" xfId="17" applyFont="1" applyBorder="1">
      <alignment vertical="center"/>
    </xf>
    <xf numFmtId="0" fontId="27" fillId="3" borderId="60" xfId="0" applyFont="1" applyFill="1" applyBorder="1" applyAlignment="1">
      <alignment horizontal="center" vertical="center"/>
    </xf>
    <xf numFmtId="0" fontId="46" fillId="3" borderId="6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vertical="center"/>
    </xf>
    <xf numFmtId="176" fontId="50" fillId="0" borderId="0" xfId="22" applyFont="1" applyAlignment="1">
      <alignment horizontal="center" vertical="center"/>
    </xf>
    <xf numFmtId="176" fontId="50" fillId="0" borderId="4" xfId="22" applyFont="1" applyBorder="1" applyAlignment="1">
      <alignment horizontal="center" vertical="center"/>
    </xf>
    <xf numFmtId="190" fontId="36" fillId="0" borderId="60" xfId="20" applyNumberFormat="1" applyFont="1" applyBorder="1" applyAlignment="1">
      <alignment horizontal="center" vertical="center"/>
    </xf>
    <xf numFmtId="0" fontId="52" fillId="0" borderId="0" xfId="20" applyFont="1">
      <alignment vertical="center"/>
    </xf>
    <xf numFmtId="0" fontId="50" fillId="0" borderId="60" xfId="17" applyFont="1" applyBorder="1">
      <alignment vertical="center"/>
    </xf>
    <xf numFmtId="0" fontId="50" fillId="0" borderId="0" xfId="17" applyFont="1">
      <alignment vertical="center"/>
    </xf>
    <xf numFmtId="198" fontId="50" fillId="0" borderId="0" xfId="17" applyNumberFormat="1" applyFont="1">
      <alignment vertical="center"/>
    </xf>
    <xf numFmtId="198" fontId="46" fillId="14" borderId="60" xfId="0" applyNumberFormat="1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center"/>
    </xf>
    <xf numFmtId="0" fontId="50" fillId="0" borderId="78" xfId="0" applyFont="1" applyBorder="1"/>
    <xf numFmtId="0" fontId="50" fillId="0" borderId="80" xfId="0" applyFont="1" applyBorder="1"/>
    <xf numFmtId="0" fontId="50" fillId="14" borderId="1" xfId="0" applyFont="1" applyFill="1" applyBorder="1"/>
    <xf numFmtId="0" fontId="50" fillId="14" borderId="0" xfId="0" applyFont="1" applyFill="1"/>
    <xf numFmtId="0" fontId="50" fillId="14" borderId="78" xfId="0" applyFont="1" applyFill="1" applyBorder="1"/>
    <xf numFmtId="0" fontId="50" fillId="14" borderId="0" xfId="0" applyFont="1" applyFill="1" applyAlignment="1">
      <alignment horizontal="center" vertical="center"/>
    </xf>
    <xf numFmtId="0" fontId="50" fillId="14" borderId="80" xfId="0" applyFont="1" applyFill="1" applyBorder="1"/>
    <xf numFmtId="0" fontId="53" fillId="0" borderId="0" xfId="0" applyFont="1"/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53" fillId="14" borderId="6" xfId="0" applyFont="1" applyFill="1" applyBorder="1" applyAlignment="1">
      <alignment horizontal="center" vertical="center"/>
    </xf>
    <xf numFmtId="0" fontId="53" fillId="0" borderId="79" xfId="0" applyFont="1" applyBorder="1" applyAlignment="1">
      <alignment horizontal="center" vertical="center"/>
    </xf>
    <xf numFmtId="0" fontId="53" fillId="14" borderId="79" xfId="0" applyFont="1" applyFill="1" applyBorder="1" applyAlignment="1">
      <alignment horizontal="center" vertical="center"/>
    </xf>
    <xf numFmtId="0" fontId="53" fillId="0" borderId="17" xfId="0" applyFont="1" applyBorder="1" applyAlignment="1">
      <alignment horizontal="center" vertical="center"/>
    </xf>
    <xf numFmtId="0" fontId="53" fillId="14" borderId="6" xfId="0" applyFont="1" applyFill="1" applyBorder="1" applyAlignment="1">
      <alignment horizontal="center"/>
    </xf>
    <xf numFmtId="0" fontId="53" fillId="0" borderId="79" xfId="0" applyFont="1" applyBorder="1" applyAlignment="1">
      <alignment horizontal="center"/>
    </xf>
    <xf numFmtId="0" fontId="53" fillId="14" borderId="79" xfId="0" applyFont="1" applyFill="1" applyBorder="1" applyAlignment="1">
      <alignment horizontal="center"/>
    </xf>
    <xf numFmtId="0" fontId="53" fillId="14" borderId="17" xfId="0" applyFont="1" applyFill="1" applyBorder="1" applyAlignment="1">
      <alignment horizontal="center"/>
    </xf>
    <xf numFmtId="0" fontId="53" fillId="14" borderId="6" xfId="0" applyFont="1" applyFill="1" applyBorder="1"/>
    <xf numFmtId="0" fontId="53" fillId="0" borderId="79" xfId="0" applyFont="1" applyBorder="1"/>
    <xf numFmtId="0" fontId="53" fillId="14" borderId="79" xfId="0" applyFont="1" applyFill="1" applyBorder="1"/>
    <xf numFmtId="0" fontId="53" fillId="14" borderId="17" xfId="0" applyFont="1" applyFill="1" applyBorder="1"/>
    <xf numFmtId="177" fontId="0" fillId="0" borderId="0" xfId="0" applyNumberFormat="1" applyAlignment="1">
      <alignment vertical="center"/>
    </xf>
    <xf numFmtId="0" fontId="27" fillId="0" borderId="0" xfId="0" applyFont="1" applyAlignment="1">
      <alignment horizontal="left" vertical="center"/>
    </xf>
    <xf numFmtId="0" fontId="10" fillId="0" borderId="47" xfId="17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9" fillId="0" borderId="38" xfId="17" applyFont="1" applyBorder="1">
      <alignment vertical="center"/>
    </xf>
    <xf numFmtId="0" fontId="9" fillId="15" borderId="38" xfId="17" applyFont="1" applyFill="1" applyBorder="1">
      <alignment vertical="center"/>
    </xf>
    <xf numFmtId="0" fontId="30" fillId="10" borderId="0" xfId="19" applyAlignment="1">
      <alignment horizontal="center" vertical="center"/>
    </xf>
    <xf numFmtId="199" fontId="36" fillId="0" borderId="4" xfId="22" applyNumberFormat="1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vertical="center"/>
    </xf>
    <xf numFmtId="193" fontId="27" fillId="4" borderId="61" xfId="0" applyNumberFormat="1" applyFont="1" applyFill="1" applyBorder="1" applyAlignment="1">
      <alignment horizontal="center" vertical="center"/>
    </xf>
    <xf numFmtId="40" fontId="27" fillId="4" borderId="0" xfId="0" applyNumberFormat="1" applyFont="1" applyFill="1" applyAlignment="1">
      <alignment horizontal="center" vertical="center"/>
    </xf>
    <xf numFmtId="200" fontId="27" fillId="0" borderId="20" xfId="0" applyNumberFormat="1" applyFont="1" applyBorder="1" applyAlignment="1">
      <alignment horizontal="center" vertical="center"/>
    </xf>
    <xf numFmtId="38" fontId="27" fillId="0" borderId="0" xfId="0" applyNumberFormat="1" applyFont="1" applyAlignment="1">
      <alignment horizontal="center" vertical="center"/>
    </xf>
    <xf numFmtId="190" fontId="27" fillId="0" borderId="0" xfId="0" applyNumberFormat="1" applyFont="1" applyAlignment="1">
      <alignment horizontal="center" vertical="center"/>
    </xf>
    <xf numFmtId="0" fontId="8" fillId="0" borderId="0" xfId="25">
      <alignment vertical="center"/>
    </xf>
    <xf numFmtId="0" fontId="8" fillId="0" borderId="0" xfId="25" applyAlignment="1">
      <alignment horizontal="left" vertical="center"/>
    </xf>
    <xf numFmtId="0" fontId="8" fillId="0" borderId="0" xfId="25" applyAlignment="1">
      <alignment horizontal="center" vertical="center"/>
    </xf>
    <xf numFmtId="0" fontId="7" fillId="0" borderId="0" xfId="17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4" xfId="0" applyBorder="1" applyAlignment="1">
      <alignment vertical="center"/>
    </xf>
    <xf numFmtId="0" fontId="6" fillId="0" borderId="0" xfId="17" applyFont="1">
      <alignment vertical="center"/>
    </xf>
    <xf numFmtId="0" fontId="29" fillId="0" borderId="0" xfId="0" applyFont="1" applyAlignment="1">
      <alignment horizontal="center" vertical="center"/>
    </xf>
    <xf numFmtId="0" fontId="58" fillId="4" borderId="65" xfId="0" applyFont="1" applyFill="1" applyBorder="1" applyAlignment="1">
      <alignment horizontal="center" vertical="center"/>
    </xf>
    <xf numFmtId="193" fontId="58" fillId="4" borderId="61" xfId="0" applyNumberFormat="1" applyFont="1" applyFill="1" applyBorder="1" applyAlignment="1">
      <alignment horizontal="center" vertical="center"/>
    </xf>
    <xf numFmtId="185" fontId="27" fillId="0" borderId="0" xfId="0" applyNumberFormat="1" applyFont="1" applyAlignment="1">
      <alignment horizontal="center" vertical="center"/>
    </xf>
    <xf numFmtId="0" fontId="27" fillId="4" borderId="0" xfId="0" applyNumberFormat="1" applyFont="1" applyFill="1" applyAlignment="1">
      <alignment horizontal="center" vertical="center"/>
    </xf>
    <xf numFmtId="0" fontId="4" fillId="0" borderId="0" xfId="17" applyFont="1">
      <alignment vertical="center"/>
    </xf>
    <xf numFmtId="0" fontId="3" fillId="0" borderId="0" xfId="17" applyFont="1">
      <alignment vertical="center"/>
    </xf>
    <xf numFmtId="0" fontId="50" fillId="0" borderId="4" xfId="0" applyFont="1" applyBorder="1" applyAlignment="1">
      <alignment horizontal="center" vertical="center"/>
    </xf>
    <xf numFmtId="176" fontId="50" fillId="0" borderId="4" xfId="22" applyFont="1" applyBorder="1" applyAlignment="1">
      <alignment horizontal="right" vertical="center" wrapText="1"/>
    </xf>
    <xf numFmtId="0" fontId="32" fillId="0" borderId="55" xfId="20" applyNumberFormat="1" applyFont="1" applyBorder="1" applyAlignment="1">
      <alignment horizontal="center" vertical="center"/>
    </xf>
    <xf numFmtId="0" fontId="32" fillId="0" borderId="55" xfId="22" applyNumberFormat="1" applyFont="1" applyBorder="1" applyAlignment="1">
      <alignment horizontal="center" vertical="center"/>
    </xf>
    <xf numFmtId="0" fontId="32" fillId="14" borderId="55" xfId="22" applyNumberFormat="1" applyFont="1" applyFill="1" applyBorder="1" applyAlignment="1">
      <alignment horizontal="center" vertical="center"/>
    </xf>
    <xf numFmtId="0" fontId="32" fillId="0" borderId="63" xfId="22" applyNumberFormat="1" applyFont="1" applyBorder="1" applyAlignment="1">
      <alignment horizontal="center" vertical="center"/>
    </xf>
    <xf numFmtId="176" fontId="55" fillId="10" borderId="0" xfId="19" applyNumberFormat="1" applyFont="1" applyAlignment="1">
      <alignment horizontal="center" vertical="center"/>
    </xf>
    <xf numFmtId="197" fontId="50" fillId="14" borderId="61" xfId="17" applyNumberFormat="1" applyFont="1" applyFill="1" applyBorder="1">
      <alignment vertical="center"/>
    </xf>
    <xf numFmtId="197" fontId="59" fillId="0" borderId="0" xfId="17" applyNumberFormat="1" applyFont="1">
      <alignment vertical="center"/>
    </xf>
    <xf numFmtId="0" fontId="32" fillId="0" borderId="0" xfId="20" applyFont="1" applyBorder="1">
      <alignment vertical="center"/>
    </xf>
    <xf numFmtId="0" fontId="15" fillId="0" borderId="0" xfId="17" applyBorder="1">
      <alignment vertical="center"/>
    </xf>
    <xf numFmtId="0" fontId="5" fillId="0" borderId="0" xfId="17" applyFont="1" applyBorder="1">
      <alignment vertical="center"/>
    </xf>
    <xf numFmtId="0" fontId="15" fillId="0" borderId="0" xfId="17" applyBorder="1" applyAlignment="1">
      <alignment vertical="center"/>
    </xf>
    <xf numFmtId="0" fontId="2" fillId="0" borderId="83" xfId="17" applyFont="1" applyBorder="1">
      <alignment vertical="center"/>
    </xf>
    <xf numFmtId="0" fontId="27" fillId="0" borderId="20" xfId="0" applyFont="1" applyBorder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2" fontId="27" fillId="0" borderId="21" xfId="0" applyNumberFormat="1" applyFont="1" applyBorder="1" applyAlignment="1">
      <alignment horizontal="center" vertical="center"/>
    </xf>
    <xf numFmtId="190" fontId="27" fillId="0" borderId="20" xfId="0" applyNumberFormat="1" applyFont="1" applyBorder="1" applyAlignment="1">
      <alignment horizontal="center" vertical="center"/>
    </xf>
    <xf numFmtId="190" fontId="27" fillId="0" borderId="66" xfId="0" applyNumberFormat="1" applyFont="1" applyBorder="1" applyAlignment="1">
      <alignment horizontal="center" vertical="center"/>
    </xf>
    <xf numFmtId="40" fontId="27" fillId="0" borderId="0" xfId="0" applyNumberFormat="1" applyFont="1" applyAlignment="1">
      <alignment vertical="center"/>
    </xf>
    <xf numFmtId="38" fontId="27" fillId="0" borderId="0" xfId="0" applyNumberFormat="1" applyFont="1" applyAlignment="1">
      <alignment vertical="center"/>
    </xf>
    <xf numFmtId="0" fontId="15" fillId="0" borderId="60" xfId="17" applyBorder="1">
      <alignment vertical="center"/>
    </xf>
    <xf numFmtId="0" fontId="8" fillId="0" borderId="30" xfId="25" applyNumberFormat="1" applyBorder="1" applyAlignment="1">
      <alignment horizontal="center" vertical="center"/>
    </xf>
    <xf numFmtId="0" fontId="8" fillId="18" borderId="30" xfId="25" applyNumberFormat="1" applyFill="1" applyBorder="1" applyAlignment="1">
      <alignment horizontal="center" vertical="center"/>
    </xf>
    <xf numFmtId="191" fontId="27" fillId="0" borderId="84" xfId="18" applyNumberFormat="1" applyFont="1" applyBorder="1">
      <alignment vertical="center"/>
    </xf>
    <xf numFmtId="191" fontId="27" fillId="0" borderId="30" xfId="18" applyNumberFormat="1" applyFont="1" applyBorder="1">
      <alignment vertical="center"/>
    </xf>
    <xf numFmtId="191" fontId="27" fillId="0" borderId="30" xfId="0" applyNumberFormat="1" applyFont="1" applyBorder="1" applyAlignment="1">
      <alignment vertical="center"/>
    </xf>
    <xf numFmtId="191" fontId="27" fillId="0" borderId="31" xfId="18" applyNumberFormat="1" applyFont="1" applyBorder="1">
      <alignment vertical="center"/>
    </xf>
    <xf numFmtId="0" fontId="29" fillId="18" borderId="9" xfId="0" applyFont="1" applyFill="1" applyBorder="1" applyAlignment="1">
      <alignment horizontal="center" vertical="center"/>
    </xf>
    <xf numFmtId="0" fontId="29" fillId="18" borderId="10" xfId="0" applyFont="1" applyFill="1" applyBorder="1" applyAlignment="1">
      <alignment horizontal="center" vertical="center"/>
    </xf>
    <xf numFmtId="0" fontId="29" fillId="18" borderId="11" xfId="0" applyFont="1" applyFill="1" applyBorder="1" applyAlignment="1">
      <alignment horizontal="center" vertical="center"/>
    </xf>
    <xf numFmtId="0" fontId="27" fillId="0" borderId="85" xfId="0" applyFont="1" applyBorder="1" applyAlignment="1">
      <alignment horizontal="center" vertical="center"/>
    </xf>
    <xf numFmtId="191" fontId="27" fillId="0" borderId="86" xfId="18" applyNumberFormat="1" applyFont="1" applyBorder="1">
      <alignment vertical="center"/>
    </xf>
    <xf numFmtId="0" fontId="27" fillId="0" borderId="87" xfId="0" applyFont="1" applyBorder="1" applyAlignment="1">
      <alignment horizontal="center" vertical="center"/>
    </xf>
    <xf numFmtId="191" fontId="27" fillId="0" borderId="88" xfId="18" applyNumberFormat="1" applyFont="1" applyBorder="1">
      <alignment vertical="center"/>
    </xf>
    <xf numFmtId="191" fontId="27" fillId="0" borderId="88" xfId="0" applyNumberFormat="1" applyFont="1" applyBorder="1" applyAlignment="1">
      <alignment vertical="center"/>
    </xf>
    <xf numFmtId="0" fontId="27" fillId="0" borderId="89" xfId="0" applyFont="1" applyBorder="1" applyAlignment="1">
      <alignment horizontal="center" vertical="center"/>
    </xf>
    <xf numFmtId="191" fontId="27" fillId="0" borderId="32" xfId="0" applyNumberFormat="1" applyFont="1" applyBorder="1" applyAlignment="1">
      <alignment vertical="center"/>
    </xf>
    <xf numFmtId="191" fontId="27" fillId="0" borderId="90" xfId="0" applyNumberFormat="1" applyFont="1" applyBorder="1" applyAlignment="1">
      <alignment vertical="center"/>
    </xf>
    <xf numFmtId="191" fontId="27" fillId="0" borderId="85" xfId="0" applyNumberFormat="1" applyFont="1" applyBorder="1" applyAlignment="1">
      <alignment vertical="center"/>
    </xf>
    <xf numFmtId="191" fontId="27" fillId="0" borderId="86" xfId="0" applyNumberFormat="1" applyFont="1" applyBorder="1" applyAlignment="1">
      <alignment vertical="center"/>
    </xf>
    <xf numFmtId="191" fontId="27" fillId="0" borderId="87" xfId="0" applyNumberFormat="1" applyFont="1" applyBorder="1" applyAlignment="1">
      <alignment vertical="center"/>
    </xf>
    <xf numFmtId="191" fontId="27" fillId="0" borderId="87" xfId="18" applyNumberFormat="1" applyFont="1" applyBorder="1">
      <alignment vertical="center"/>
    </xf>
    <xf numFmtId="191" fontId="27" fillId="0" borderId="89" xfId="18" applyNumberFormat="1" applyFont="1" applyBorder="1">
      <alignment vertical="center"/>
    </xf>
    <xf numFmtId="191" fontId="27" fillId="0" borderId="90" xfId="18" applyNumberFormat="1" applyFont="1" applyBorder="1">
      <alignment vertical="center"/>
    </xf>
    <xf numFmtId="0" fontId="27" fillId="0" borderId="91" xfId="0" applyFont="1" applyBorder="1" applyAlignment="1">
      <alignment horizontal="center" vertical="center"/>
    </xf>
    <xf numFmtId="191" fontId="27" fillId="0" borderId="92" xfId="18" applyNumberFormat="1" applyFont="1" applyBorder="1">
      <alignment vertical="center"/>
    </xf>
    <xf numFmtId="191" fontId="27" fillId="0" borderId="93" xfId="18" applyNumberFormat="1" applyFont="1" applyBorder="1">
      <alignment vertical="center"/>
    </xf>
    <xf numFmtId="191" fontId="27" fillId="0" borderId="91" xfId="0" applyNumberFormat="1" applyFont="1" applyBorder="1" applyAlignment="1">
      <alignment vertical="center"/>
    </xf>
    <xf numFmtId="191" fontId="27" fillId="0" borderId="93" xfId="0" applyNumberFormat="1" applyFont="1" applyBorder="1" applyAlignment="1">
      <alignment vertical="center"/>
    </xf>
    <xf numFmtId="0" fontId="27" fillId="0" borderId="94" xfId="0" applyFont="1" applyBorder="1" applyAlignment="1">
      <alignment horizontal="center" vertical="center"/>
    </xf>
    <xf numFmtId="191" fontId="27" fillId="0" borderId="95" xfId="0" applyNumberFormat="1" applyFont="1" applyBorder="1" applyAlignment="1">
      <alignment vertical="center"/>
    </xf>
    <xf numFmtId="191" fontId="27" fillId="0" borderId="96" xfId="0" applyNumberFormat="1" applyFont="1" applyBorder="1" applyAlignment="1">
      <alignment vertical="center"/>
    </xf>
    <xf numFmtId="191" fontId="27" fillId="0" borderId="94" xfId="18" applyNumberFormat="1" applyFont="1" applyBorder="1">
      <alignment vertical="center"/>
    </xf>
    <xf numFmtId="191" fontId="27" fillId="0" borderId="96" xfId="18" applyNumberFormat="1" applyFont="1" applyBorder="1">
      <alignment vertical="center"/>
    </xf>
    <xf numFmtId="191" fontId="27" fillId="18" borderId="94" xfId="18" applyNumberFormat="1" applyFont="1" applyFill="1" applyBorder="1" applyAlignment="1">
      <alignment horizontal="center" vertical="center"/>
    </xf>
    <xf numFmtId="191" fontId="27" fillId="18" borderId="95" xfId="18" applyNumberFormat="1" applyFont="1" applyFill="1" applyBorder="1" applyAlignment="1">
      <alignment horizontal="center" vertical="center"/>
    </xf>
    <xf numFmtId="191" fontId="27" fillId="18" borderId="96" xfId="18" applyNumberFormat="1" applyFont="1" applyFill="1" applyBorder="1" applyAlignment="1">
      <alignment horizontal="center" vertical="center"/>
    </xf>
    <xf numFmtId="0" fontId="27" fillId="0" borderId="87" xfId="18" applyNumberFormat="1" applyFont="1" applyBorder="1" applyAlignment="1">
      <alignment horizontal="center" vertical="center"/>
    </xf>
    <xf numFmtId="191" fontId="27" fillId="0" borderId="87" xfId="18" applyNumberFormat="1" applyFont="1" applyBorder="1" applyAlignment="1">
      <alignment horizontal="center" vertical="center"/>
    </xf>
    <xf numFmtId="191" fontId="27" fillId="0" borderId="89" xfId="18" applyNumberFormat="1" applyFont="1" applyBorder="1" applyAlignment="1">
      <alignment horizontal="center" vertical="center"/>
    </xf>
    <xf numFmtId="191" fontId="27" fillId="0" borderId="32" xfId="18" applyNumberFormat="1" applyFont="1" applyBorder="1">
      <alignment vertical="center"/>
    </xf>
    <xf numFmtId="191" fontId="27" fillId="0" borderId="94" xfId="18" applyNumberFormat="1" applyFont="1" applyBorder="1" applyAlignment="1">
      <alignment horizontal="center" vertical="center"/>
    </xf>
    <xf numFmtId="191" fontId="27" fillId="0" borderId="95" xfId="18" applyNumberFormat="1" applyFont="1" applyBorder="1">
      <alignment vertical="center"/>
    </xf>
    <xf numFmtId="191" fontId="27" fillId="18" borderId="97" xfId="18" applyNumberFormat="1" applyFont="1" applyFill="1" applyBorder="1" applyAlignment="1">
      <alignment horizontal="center" vertical="center"/>
    </xf>
    <xf numFmtId="191" fontId="27" fillId="0" borderId="98" xfId="18" applyNumberFormat="1" applyFont="1" applyBorder="1">
      <alignment vertical="center"/>
    </xf>
    <xf numFmtId="191" fontId="27" fillId="0" borderId="97" xfId="18" applyNumberFormat="1" applyFont="1" applyBorder="1">
      <alignment vertical="center"/>
    </xf>
    <xf numFmtId="191" fontId="27" fillId="0" borderId="34" xfId="18" applyNumberFormat="1" applyFont="1" applyBorder="1">
      <alignment vertical="center"/>
    </xf>
    <xf numFmtId="0" fontId="40" fillId="0" borderId="30" xfId="17" applyFont="1" applyBorder="1" applyAlignment="1">
      <alignment horizontal="center" vertical="center"/>
    </xf>
    <xf numFmtId="0" fontId="40" fillId="18" borderId="95" xfId="17" applyFont="1" applyFill="1" applyBorder="1" applyAlignment="1">
      <alignment horizontal="center" vertical="center"/>
    </xf>
    <xf numFmtId="0" fontId="40" fillId="18" borderId="96" xfId="17" applyFont="1" applyFill="1" applyBorder="1" applyAlignment="1">
      <alignment horizontal="center" vertical="center"/>
    </xf>
    <xf numFmtId="0" fontId="40" fillId="0" borderId="88" xfId="17" applyFont="1" applyBorder="1" applyAlignment="1">
      <alignment horizontal="center" vertical="center"/>
    </xf>
    <xf numFmtId="0" fontId="40" fillId="0" borderId="32" xfId="17" applyFont="1" applyBorder="1" applyAlignment="1">
      <alignment horizontal="center" vertical="center"/>
    </xf>
    <xf numFmtId="0" fontId="40" fillId="0" borderId="90" xfId="17" applyFont="1" applyBorder="1" applyAlignment="1">
      <alignment horizontal="center" vertical="center"/>
    </xf>
    <xf numFmtId="0" fontId="40" fillId="0" borderId="92" xfId="17" applyFont="1" applyBorder="1" applyAlignment="1">
      <alignment horizontal="center" vertical="center"/>
    </xf>
    <xf numFmtId="0" fontId="40" fillId="0" borderId="93" xfId="17" applyFont="1" applyBorder="1" applyAlignment="1">
      <alignment horizontal="center" vertical="center"/>
    </xf>
    <xf numFmtId="186" fontId="40" fillId="0" borderId="99" xfId="17" applyNumberFormat="1" applyFont="1" applyBorder="1" applyAlignment="1">
      <alignment horizontal="center" vertical="center"/>
    </xf>
    <xf numFmtId="0" fontId="40" fillId="0" borderId="99" xfId="17" applyFont="1" applyBorder="1" applyAlignment="1">
      <alignment horizontal="center" vertical="center"/>
    </xf>
    <xf numFmtId="0" fontId="40" fillId="0" borderId="100" xfId="17" applyFont="1" applyBorder="1" applyAlignment="1">
      <alignment horizontal="center" vertical="center"/>
    </xf>
    <xf numFmtId="0" fontId="40" fillId="0" borderId="95" xfId="17" applyFont="1" applyBorder="1" applyAlignment="1">
      <alignment horizontal="center" vertical="center"/>
    </xf>
    <xf numFmtId="0" fontId="40" fillId="0" borderId="96" xfId="17" applyFont="1" applyBorder="1" applyAlignment="1">
      <alignment horizontal="center" vertical="center"/>
    </xf>
    <xf numFmtId="0" fontId="8" fillId="17" borderId="32" xfId="24" applyBorder="1" applyAlignment="1">
      <alignment horizontal="center" vertical="center"/>
    </xf>
    <xf numFmtId="0" fontId="40" fillId="18" borderId="97" xfId="17" applyFont="1" applyFill="1" applyBorder="1" applyAlignment="1">
      <alignment horizontal="center" vertical="center"/>
    </xf>
    <xf numFmtId="0" fontId="40" fillId="0" borderId="31" xfId="17" applyFont="1" applyBorder="1" applyAlignment="1">
      <alignment horizontal="center" vertical="center"/>
    </xf>
    <xf numFmtId="0" fontId="40" fillId="0" borderId="98" xfId="17" applyFont="1" applyBorder="1" applyAlignment="1">
      <alignment horizontal="center" vertical="center"/>
    </xf>
    <xf numFmtId="0" fontId="40" fillId="0" borderId="97" xfId="17" applyFont="1" applyBorder="1" applyAlignment="1">
      <alignment horizontal="center" vertical="center"/>
    </xf>
    <xf numFmtId="0" fontId="40" fillId="0" borderId="34" xfId="17" applyFont="1" applyBorder="1" applyAlignment="1">
      <alignment horizontal="center" vertical="center"/>
    </xf>
    <xf numFmtId="186" fontId="40" fillId="0" borderId="101" xfId="17" applyNumberFormat="1" applyFont="1" applyBorder="1" applyAlignment="1">
      <alignment horizontal="center" vertical="center"/>
    </xf>
    <xf numFmtId="0" fontId="41" fillId="18" borderId="102" xfId="17" applyFont="1" applyFill="1" applyBorder="1" applyAlignment="1">
      <alignment horizontal="center" vertical="center"/>
    </xf>
    <xf numFmtId="0" fontId="40" fillId="18" borderId="103" xfId="17" applyFont="1" applyFill="1" applyBorder="1" applyAlignment="1">
      <alignment horizontal="center" vertical="center"/>
    </xf>
    <xf numFmtId="0" fontId="40" fillId="18" borderId="104" xfId="17" applyFont="1" applyFill="1" applyBorder="1" applyAlignment="1">
      <alignment horizontal="center" vertical="center"/>
    </xf>
    <xf numFmtId="0" fontId="40" fillId="18" borderId="102" xfId="17" applyFont="1" applyFill="1" applyBorder="1" applyAlignment="1">
      <alignment horizontal="center" vertical="center"/>
    </xf>
    <xf numFmtId="0" fontId="40" fillId="18" borderId="105" xfId="17" applyFont="1" applyFill="1" applyBorder="1" applyAlignment="1">
      <alignment horizontal="center" vertical="center"/>
    </xf>
    <xf numFmtId="0" fontId="40" fillId="18" borderId="25" xfId="17" applyFont="1" applyFill="1" applyBorder="1" applyAlignment="1">
      <alignment horizontal="center" vertical="center"/>
    </xf>
    <xf numFmtId="0" fontId="8" fillId="17" borderId="31" xfId="24" applyBorder="1" applyAlignment="1">
      <alignment horizontal="center" vertical="center"/>
    </xf>
    <xf numFmtId="0" fontId="8" fillId="16" borderId="101" xfId="23" applyBorder="1" applyAlignment="1">
      <alignment horizontal="center" vertical="center"/>
    </xf>
    <xf numFmtId="0" fontId="15" fillId="0" borderId="82" xfId="17" applyBorder="1">
      <alignment vertical="center"/>
    </xf>
    <xf numFmtId="0" fontId="8" fillId="18" borderId="94" xfId="25" applyFill="1" applyBorder="1" applyAlignment="1">
      <alignment horizontal="center" vertical="center"/>
    </xf>
    <xf numFmtId="0" fontId="1" fillId="18" borderId="96" xfId="25" applyFont="1" applyFill="1" applyBorder="1" applyAlignment="1">
      <alignment horizontal="center" vertical="center"/>
    </xf>
    <xf numFmtId="0" fontId="8" fillId="0" borderId="87" xfId="25" applyBorder="1" applyAlignment="1">
      <alignment horizontal="center" vertical="center"/>
    </xf>
    <xf numFmtId="0" fontId="8" fillId="0" borderId="88" xfId="25" applyNumberFormat="1" applyBorder="1" applyAlignment="1">
      <alignment horizontal="center" vertical="center"/>
    </xf>
    <xf numFmtId="0" fontId="8" fillId="0" borderId="89" xfId="25" applyBorder="1" applyAlignment="1">
      <alignment horizontal="center" vertical="center"/>
    </xf>
    <xf numFmtId="0" fontId="8" fillId="0" borderId="90" xfId="25" applyNumberFormat="1" applyBorder="1" applyAlignment="1">
      <alignment horizontal="center" vertical="center"/>
    </xf>
    <xf numFmtId="0" fontId="8" fillId="18" borderId="95" xfId="25" applyFill="1" applyBorder="1" applyAlignment="1">
      <alignment horizontal="center" vertical="center"/>
    </xf>
    <xf numFmtId="0" fontId="8" fillId="18" borderId="96" xfId="25" applyFill="1" applyBorder="1" applyAlignment="1">
      <alignment horizontal="center" vertical="center"/>
    </xf>
    <xf numFmtId="0" fontId="8" fillId="0" borderId="89" xfId="25" applyNumberFormat="1" applyBorder="1" applyAlignment="1">
      <alignment horizontal="center" vertical="center"/>
    </xf>
    <xf numFmtId="0" fontId="8" fillId="0" borderId="32" xfId="18" applyNumberFormat="1" applyFont="1" applyBorder="1" applyAlignment="1">
      <alignment horizontal="center" vertical="center"/>
    </xf>
    <xf numFmtId="0" fontId="8" fillId="0" borderId="90" xfId="18" applyNumberFormat="1" applyFont="1" applyBorder="1" applyAlignment="1">
      <alignment horizontal="center" vertical="center"/>
    </xf>
    <xf numFmtId="0" fontId="8" fillId="18" borderId="87" xfId="25" applyFill="1" applyBorder="1" applyAlignment="1">
      <alignment horizontal="center" vertical="center"/>
    </xf>
    <xf numFmtId="0" fontId="8" fillId="18" borderId="88" xfId="25" applyNumberFormat="1" applyFill="1" applyBorder="1" applyAlignment="1">
      <alignment horizontal="center" vertical="center"/>
    </xf>
    <xf numFmtId="0" fontId="8" fillId="18" borderId="89" xfId="25" applyFill="1" applyBorder="1">
      <alignment vertical="center"/>
    </xf>
    <xf numFmtId="0" fontId="8" fillId="18" borderId="32" xfId="25" applyNumberFormat="1" applyFill="1" applyBorder="1" applyAlignment="1">
      <alignment horizontal="center" vertical="center"/>
    </xf>
    <xf numFmtId="0" fontId="8" fillId="18" borderId="90" xfId="25" applyNumberFormat="1" applyFill="1" applyBorder="1" applyAlignment="1">
      <alignment horizontal="center" vertical="center"/>
    </xf>
    <xf numFmtId="0" fontId="54" fillId="0" borderId="26" xfId="17" applyFont="1" applyBorder="1" applyAlignment="1">
      <alignment horizontal="center" vertical="center"/>
    </xf>
    <xf numFmtId="0" fontId="54" fillId="0" borderId="27" xfId="17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0" borderId="78" xfId="0" applyFont="1" applyBorder="1" applyAlignment="1">
      <alignment horizontal="center" vertical="center"/>
    </xf>
    <xf numFmtId="0" fontId="50" fillId="0" borderId="81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/>
    </xf>
    <xf numFmtId="0" fontId="50" fillId="0" borderId="79" xfId="0" applyFont="1" applyBorder="1" applyAlignment="1">
      <alignment horizontal="center" vertical="center"/>
    </xf>
    <xf numFmtId="176" fontId="50" fillId="0" borderId="4" xfId="22" applyFont="1" applyBorder="1" applyAlignment="1">
      <alignment horizontal="center" vertical="center" wrapText="1"/>
    </xf>
    <xf numFmtId="176" fontId="50" fillId="0" borderId="5" xfId="22" applyFont="1" applyBorder="1" applyAlignment="1">
      <alignment horizontal="center" vertical="center" wrapText="1"/>
    </xf>
    <xf numFmtId="0" fontId="50" fillId="0" borderId="4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 wrapText="1"/>
    </xf>
    <xf numFmtId="0" fontId="50" fillId="0" borderId="79" xfId="0" applyFont="1" applyBorder="1" applyAlignment="1">
      <alignment horizontal="center" vertical="center" wrapText="1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50" fillId="0" borderId="65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0" fontId="27" fillId="0" borderId="67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42</xdr:row>
      <xdr:rowOff>19050</xdr:rowOff>
    </xdr:from>
    <xdr:to>
      <xdr:col>13</xdr:col>
      <xdr:colOff>400050</xdr:colOff>
      <xdr:row>50</xdr:row>
      <xdr:rowOff>38100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57</xdr:row>
      <xdr:rowOff>0</xdr:rowOff>
    </xdr:from>
    <xdr:to>
      <xdr:col>9</xdr:col>
      <xdr:colOff>304800</xdr:colOff>
      <xdr:row>64</xdr:row>
      <xdr:rowOff>85725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51</xdr:row>
          <xdr:rowOff>180975</xdr:rowOff>
        </xdr:from>
        <xdr:to>
          <xdr:col>4</xdr:col>
          <xdr:colOff>542925</xdr:colOff>
          <xdr:row>54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771525</xdr:colOff>
          <xdr:row>0</xdr:row>
          <xdr:rowOff>542925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12.%20&#48372;&#47161;%20LNG%20Terminal%20&#51648;&#54616;&#49688;%20&#44288;&#51221;&#44060;&#48156;%20-%20&#44305;&#51652;/02.&#48372;&#47161;%20LNG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4"/>
      <sheetName val="수질1"/>
      <sheetName val="수질2"/>
    </sheetNames>
    <sheetDataSet>
      <sheetData sheetId="0" refreshError="1"/>
      <sheetData sheetId="1" refreshError="1"/>
      <sheetData sheetId="2" refreshError="1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0.1535</v>
          </cell>
          <cell r="D29">
            <v>0.1535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10" Type="http://schemas.openxmlformats.org/officeDocument/2006/relationships/comments" Target="../comments2.xml"/><Relationship Id="rId4" Type="http://schemas.openxmlformats.org/officeDocument/2006/relationships/control" Target="../activeX/activeX4.xml"/><Relationship Id="rId9" Type="http://schemas.openxmlformats.org/officeDocument/2006/relationships/image" Target="../media/image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topLeftCell="A19" zoomScaleNormal="100" workbookViewId="0">
      <selection activeCell="S12" sqref="S12"/>
    </sheetView>
  </sheetViews>
  <sheetFormatPr defaultRowHeight="16.5"/>
  <cols>
    <col min="1" max="1" width="8.88671875" style="12"/>
    <col min="2" max="2" width="5.88671875" style="10" customWidth="1"/>
    <col min="3" max="14" width="5.77734375" style="12" customWidth="1"/>
    <col min="15" max="15" width="8.109375" style="12" customWidth="1"/>
    <col min="16" max="16" width="6.44140625" style="12" customWidth="1"/>
    <col min="17" max="17" width="12.21875" style="12" bestFit="1" customWidth="1"/>
    <col min="18" max="16384" width="8.88671875" style="12"/>
  </cols>
  <sheetData>
    <row r="2" spans="2:17">
      <c r="B2" s="202" t="s">
        <v>206</v>
      </c>
    </row>
    <row r="4" spans="2:17" ht="17.25" thickBot="1"/>
    <row r="5" spans="2:17" s="13" customFormat="1" ht="21.95" customHeight="1">
      <c r="B5" s="266" t="s">
        <v>53</v>
      </c>
      <c r="C5" s="267" t="s">
        <v>54</v>
      </c>
      <c r="D5" s="267" t="s">
        <v>42</v>
      </c>
      <c r="E5" s="267" t="s">
        <v>43</v>
      </c>
      <c r="F5" s="267" t="s">
        <v>44</v>
      </c>
      <c r="G5" s="267" t="s">
        <v>45</v>
      </c>
      <c r="H5" s="267" t="s">
        <v>13</v>
      </c>
      <c r="I5" s="267" t="s">
        <v>14</v>
      </c>
      <c r="J5" s="267" t="s">
        <v>15</v>
      </c>
      <c r="K5" s="267" t="s">
        <v>16</v>
      </c>
      <c r="L5" s="267" t="s">
        <v>17</v>
      </c>
      <c r="M5" s="267" t="s">
        <v>18</v>
      </c>
      <c r="N5" s="268" t="s">
        <v>19</v>
      </c>
      <c r="O5" s="266" t="s">
        <v>56</v>
      </c>
      <c r="P5" s="268" t="s">
        <v>57</v>
      </c>
    </row>
    <row r="6" spans="2:17" ht="21.95" customHeight="1">
      <c r="B6" s="269">
        <v>1989</v>
      </c>
      <c r="C6" s="262">
        <v>90.4</v>
      </c>
      <c r="D6" s="262">
        <v>82.1</v>
      </c>
      <c r="E6" s="262">
        <v>76.900000000000006</v>
      </c>
      <c r="F6" s="262">
        <v>21.9</v>
      </c>
      <c r="G6" s="262">
        <v>51.6</v>
      </c>
      <c r="H6" s="262">
        <v>170.3</v>
      </c>
      <c r="I6" s="262">
        <v>511.6</v>
      </c>
      <c r="J6" s="262">
        <v>105.5</v>
      </c>
      <c r="K6" s="262">
        <v>323.60000000000002</v>
      </c>
      <c r="L6" s="262">
        <v>35.299999999999997</v>
      </c>
      <c r="M6" s="262">
        <v>51</v>
      </c>
      <c r="N6" s="270">
        <v>17.8</v>
      </c>
      <c r="O6" s="277">
        <f>ROUND(SUM(C6:N6),1)</f>
        <v>1538</v>
      </c>
      <c r="P6" s="278">
        <f>ROUND(O6/12,1)</f>
        <v>128.19999999999999</v>
      </c>
      <c r="Q6" s="201"/>
    </row>
    <row r="7" spans="2:17" ht="21.95" customHeight="1">
      <c r="B7" s="271">
        <v>1990</v>
      </c>
      <c r="C7" s="263">
        <v>73.400000000000006</v>
      </c>
      <c r="D7" s="263">
        <v>111.1</v>
      </c>
      <c r="E7" s="263">
        <v>58.9</v>
      </c>
      <c r="F7" s="263">
        <v>88.4</v>
      </c>
      <c r="G7" s="263">
        <v>113.4</v>
      </c>
      <c r="H7" s="263">
        <v>277.8</v>
      </c>
      <c r="I7" s="263">
        <v>334.6</v>
      </c>
      <c r="J7" s="263">
        <v>215</v>
      </c>
      <c r="K7" s="263">
        <v>151.6</v>
      </c>
      <c r="L7" s="263">
        <v>4.2</v>
      </c>
      <c r="M7" s="263">
        <v>48.8</v>
      </c>
      <c r="N7" s="272">
        <v>19.2</v>
      </c>
      <c r="O7" s="279">
        <f t="shared" ref="O7:O35" si="0">ROUND(SUM(C7:N7),1)</f>
        <v>1496.4</v>
      </c>
      <c r="P7" s="273">
        <f t="shared" ref="P7:P35" si="1">ROUND(O7/12,1)</f>
        <v>124.7</v>
      </c>
      <c r="Q7" s="201"/>
    </row>
    <row r="8" spans="2:17" ht="21.95" customHeight="1">
      <c r="B8" s="271">
        <v>1991</v>
      </c>
      <c r="C8" s="263">
        <v>23.2</v>
      </c>
      <c r="D8" s="263">
        <v>56.9</v>
      </c>
      <c r="E8" s="263">
        <v>89.4</v>
      </c>
      <c r="F8" s="263">
        <v>69.400000000000006</v>
      </c>
      <c r="G8" s="263">
        <v>50.2</v>
      </c>
      <c r="H8" s="263">
        <v>169</v>
      </c>
      <c r="I8" s="263">
        <v>275</v>
      </c>
      <c r="J8" s="263">
        <v>139</v>
      </c>
      <c r="K8" s="263">
        <v>218.3</v>
      </c>
      <c r="L8" s="263">
        <v>16.100000000000001</v>
      </c>
      <c r="M8" s="263">
        <v>18.600000000000001</v>
      </c>
      <c r="N8" s="272">
        <v>57</v>
      </c>
      <c r="O8" s="279">
        <f t="shared" si="0"/>
        <v>1182.0999999999999</v>
      </c>
      <c r="P8" s="273">
        <f t="shared" si="1"/>
        <v>98.5</v>
      </c>
      <c r="Q8" s="201"/>
    </row>
    <row r="9" spans="2:17" ht="21.95" customHeight="1">
      <c r="B9" s="271">
        <v>1992</v>
      </c>
      <c r="C9" s="263">
        <v>12.6</v>
      </c>
      <c r="D9" s="263">
        <v>27</v>
      </c>
      <c r="E9" s="263">
        <v>46.5</v>
      </c>
      <c r="F9" s="263">
        <v>119.9</v>
      </c>
      <c r="G9" s="263">
        <v>92.3</v>
      </c>
      <c r="H9" s="263">
        <v>24.4</v>
      </c>
      <c r="I9" s="263">
        <v>187.7</v>
      </c>
      <c r="J9" s="263">
        <v>232.1</v>
      </c>
      <c r="K9" s="263">
        <v>163.6</v>
      </c>
      <c r="L9" s="263">
        <v>34.200000000000003</v>
      </c>
      <c r="M9" s="263">
        <v>47.4</v>
      </c>
      <c r="N9" s="272">
        <v>49.2</v>
      </c>
      <c r="O9" s="279">
        <f t="shared" si="0"/>
        <v>1036.9000000000001</v>
      </c>
      <c r="P9" s="273">
        <f t="shared" si="1"/>
        <v>86.4</v>
      </c>
      <c r="Q9" s="201"/>
    </row>
    <row r="10" spans="2:17" ht="21.95" customHeight="1">
      <c r="B10" s="271">
        <v>1993</v>
      </c>
      <c r="C10" s="263">
        <v>8</v>
      </c>
      <c r="D10" s="263">
        <v>82.9</v>
      </c>
      <c r="E10" s="263">
        <v>40.1</v>
      </c>
      <c r="F10" s="263">
        <v>64.8</v>
      </c>
      <c r="G10" s="263">
        <v>154.9</v>
      </c>
      <c r="H10" s="263">
        <v>222.4</v>
      </c>
      <c r="I10" s="263">
        <v>295.60000000000002</v>
      </c>
      <c r="J10" s="263">
        <v>364.3</v>
      </c>
      <c r="K10" s="263">
        <v>142.4</v>
      </c>
      <c r="L10" s="263">
        <v>39.299999999999997</v>
      </c>
      <c r="M10" s="263">
        <v>93.7</v>
      </c>
      <c r="N10" s="272">
        <v>24.7</v>
      </c>
      <c r="O10" s="279">
        <f t="shared" si="0"/>
        <v>1533.1</v>
      </c>
      <c r="P10" s="273">
        <f t="shared" si="1"/>
        <v>127.8</v>
      </c>
      <c r="Q10" s="201"/>
    </row>
    <row r="11" spans="2:17" ht="21.95" customHeight="1">
      <c r="B11" s="271">
        <v>1994</v>
      </c>
      <c r="C11" s="263">
        <v>17.899999999999999</v>
      </c>
      <c r="D11" s="263">
        <v>16.8</v>
      </c>
      <c r="E11" s="263">
        <v>46.5</v>
      </c>
      <c r="F11" s="263">
        <v>38.700000000000003</v>
      </c>
      <c r="G11" s="263">
        <v>138.4</v>
      </c>
      <c r="H11" s="263">
        <v>115.1</v>
      </c>
      <c r="I11" s="263">
        <v>105.3</v>
      </c>
      <c r="J11" s="263">
        <v>145.9</v>
      </c>
      <c r="K11" s="263">
        <v>37.9</v>
      </c>
      <c r="L11" s="263">
        <v>145.30000000000001</v>
      </c>
      <c r="M11" s="263">
        <v>24.3</v>
      </c>
      <c r="N11" s="272">
        <v>25.8</v>
      </c>
      <c r="O11" s="279">
        <f t="shared" si="0"/>
        <v>857.9</v>
      </c>
      <c r="P11" s="273">
        <f t="shared" si="1"/>
        <v>71.5</v>
      </c>
      <c r="Q11" s="201"/>
    </row>
    <row r="12" spans="2:17" ht="21.95" customHeight="1">
      <c r="B12" s="271">
        <v>1995</v>
      </c>
      <c r="C12" s="263">
        <v>23.5</v>
      </c>
      <c r="D12" s="263">
        <v>16.899999999999999</v>
      </c>
      <c r="E12" s="263">
        <v>33.799999999999997</v>
      </c>
      <c r="F12" s="263">
        <v>54.7</v>
      </c>
      <c r="G12" s="263">
        <v>62.2</v>
      </c>
      <c r="H12" s="263">
        <v>33.6</v>
      </c>
      <c r="I12" s="263">
        <v>155.4</v>
      </c>
      <c r="J12" s="263">
        <v>641.9</v>
      </c>
      <c r="K12" s="263">
        <v>53.4</v>
      </c>
      <c r="L12" s="263">
        <v>36</v>
      </c>
      <c r="M12" s="263">
        <v>17.5</v>
      </c>
      <c r="N12" s="272">
        <v>7.3</v>
      </c>
      <c r="O12" s="279">
        <f t="shared" si="0"/>
        <v>1136.2</v>
      </c>
      <c r="P12" s="273">
        <f t="shared" si="1"/>
        <v>94.7</v>
      </c>
    </row>
    <row r="13" spans="2:17" ht="21.95" customHeight="1">
      <c r="B13" s="271">
        <v>1996</v>
      </c>
      <c r="C13" s="263">
        <v>32.700000000000003</v>
      </c>
      <c r="D13" s="263">
        <v>4.4000000000000004</v>
      </c>
      <c r="E13" s="263">
        <v>138</v>
      </c>
      <c r="F13" s="263">
        <v>49.8</v>
      </c>
      <c r="G13" s="263">
        <v>62.9</v>
      </c>
      <c r="H13" s="263">
        <v>411.4</v>
      </c>
      <c r="I13" s="263">
        <v>257.7</v>
      </c>
      <c r="J13" s="263">
        <v>114.4</v>
      </c>
      <c r="K13" s="263">
        <v>11.4</v>
      </c>
      <c r="L13" s="263">
        <v>90.8</v>
      </c>
      <c r="M13" s="263">
        <v>77.099999999999994</v>
      </c>
      <c r="N13" s="272">
        <v>28.6</v>
      </c>
      <c r="O13" s="279">
        <f t="shared" si="0"/>
        <v>1279.2</v>
      </c>
      <c r="P13" s="273">
        <f t="shared" si="1"/>
        <v>106.6</v>
      </c>
    </row>
    <row r="14" spans="2:17" ht="21.95" customHeight="1">
      <c r="B14" s="271">
        <v>1997</v>
      </c>
      <c r="C14" s="263">
        <v>15.6</v>
      </c>
      <c r="D14" s="263">
        <v>51.1</v>
      </c>
      <c r="E14" s="263">
        <v>37.1</v>
      </c>
      <c r="F14" s="263">
        <v>55.4</v>
      </c>
      <c r="G14" s="263">
        <v>200.9</v>
      </c>
      <c r="H14" s="263">
        <v>267.5</v>
      </c>
      <c r="I14" s="263">
        <v>424.2</v>
      </c>
      <c r="J14" s="263">
        <v>463.5</v>
      </c>
      <c r="K14" s="263">
        <v>30.2</v>
      </c>
      <c r="L14" s="263">
        <v>7.7</v>
      </c>
      <c r="M14" s="263">
        <v>168.2</v>
      </c>
      <c r="N14" s="272">
        <v>44.5</v>
      </c>
      <c r="O14" s="279">
        <f t="shared" si="0"/>
        <v>1765.9</v>
      </c>
      <c r="P14" s="273">
        <f t="shared" si="1"/>
        <v>147.19999999999999</v>
      </c>
    </row>
    <row r="15" spans="2:17" ht="21.95" customHeight="1">
      <c r="B15" s="271">
        <v>1998</v>
      </c>
      <c r="C15" s="263">
        <v>33.299999999999997</v>
      </c>
      <c r="D15" s="263">
        <v>36.299999999999997</v>
      </c>
      <c r="E15" s="263">
        <v>31.1</v>
      </c>
      <c r="F15" s="263">
        <v>154.30000000000001</v>
      </c>
      <c r="G15" s="263">
        <v>119.5</v>
      </c>
      <c r="H15" s="263">
        <v>297.2</v>
      </c>
      <c r="I15" s="263">
        <v>256.10000000000002</v>
      </c>
      <c r="J15" s="263">
        <v>781.7</v>
      </c>
      <c r="K15" s="263">
        <v>254.7</v>
      </c>
      <c r="L15" s="263">
        <v>71.5</v>
      </c>
      <c r="M15" s="263">
        <v>31.6</v>
      </c>
      <c r="N15" s="272">
        <v>2.7</v>
      </c>
      <c r="O15" s="279">
        <f t="shared" si="0"/>
        <v>2070</v>
      </c>
      <c r="P15" s="273">
        <f t="shared" si="1"/>
        <v>172.5</v>
      </c>
    </row>
    <row r="16" spans="2:17" ht="21.95" customHeight="1">
      <c r="B16" s="271">
        <v>1999</v>
      </c>
      <c r="C16" s="263">
        <v>1.8</v>
      </c>
      <c r="D16" s="263">
        <v>12.2</v>
      </c>
      <c r="E16" s="263">
        <v>79.400000000000006</v>
      </c>
      <c r="F16" s="263">
        <v>103</v>
      </c>
      <c r="G16" s="263">
        <v>116.8</v>
      </c>
      <c r="H16" s="263">
        <v>245.7</v>
      </c>
      <c r="I16" s="263">
        <v>137.80000000000001</v>
      </c>
      <c r="J16" s="263">
        <v>203</v>
      </c>
      <c r="K16" s="263">
        <v>359.5</v>
      </c>
      <c r="L16" s="263">
        <v>171.6</v>
      </c>
      <c r="M16" s="263">
        <v>16.5</v>
      </c>
      <c r="N16" s="272">
        <v>7.9</v>
      </c>
      <c r="O16" s="279">
        <f t="shared" si="0"/>
        <v>1455.2</v>
      </c>
      <c r="P16" s="273">
        <f t="shared" si="1"/>
        <v>121.3</v>
      </c>
    </row>
    <row r="17" spans="2:16" ht="21.95" customHeight="1">
      <c r="B17" s="271">
        <v>2000</v>
      </c>
      <c r="C17" s="263">
        <v>27.5</v>
      </c>
      <c r="D17" s="263">
        <v>4.0999999999999996</v>
      </c>
      <c r="E17" s="263">
        <v>17.8</v>
      </c>
      <c r="F17" s="263">
        <v>67.8</v>
      </c>
      <c r="G17" s="263">
        <v>54.3</v>
      </c>
      <c r="H17" s="263">
        <v>238.3</v>
      </c>
      <c r="I17" s="263">
        <v>470.1</v>
      </c>
      <c r="J17" s="263">
        <v>473.6</v>
      </c>
      <c r="K17" s="263">
        <v>263.2</v>
      </c>
      <c r="L17" s="263">
        <v>24.6</v>
      </c>
      <c r="M17" s="263">
        <v>44.6</v>
      </c>
      <c r="N17" s="272">
        <v>21.6</v>
      </c>
      <c r="O17" s="279">
        <f t="shared" si="0"/>
        <v>1707.5</v>
      </c>
      <c r="P17" s="273">
        <f t="shared" si="1"/>
        <v>142.30000000000001</v>
      </c>
    </row>
    <row r="18" spans="2:16" ht="21.95" customHeight="1">
      <c r="B18" s="271">
        <v>2001</v>
      </c>
      <c r="C18" s="263">
        <v>61.2</v>
      </c>
      <c r="D18" s="263">
        <v>70</v>
      </c>
      <c r="E18" s="263">
        <v>16</v>
      </c>
      <c r="F18" s="263">
        <v>20.399999999999999</v>
      </c>
      <c r="G18" s="263">
        <v>30.2</v>
      </c>
      <c r="H18" s="263">
        <v>234.2</v>
      </c>
      <c r="I18" s="263">
        <v>171</v>
      </c>
      <c r="J18" s="263">
        <v>78.099999999999994</v>
      </c>
      <c r="K18" s="263">
        <v>25.2</v>
      </c>
      <c r="L18" s="263">
        <v>91.2</v>
      </c>
      <c r="M18" s="263">
        <v>10.8</v>
      </c>
      <c r="N18" s="272">
        <v>20.399999999999999</v>
      </c>
      <c r="O18" s="279">
        <f t="shared" si="0"/>
        <v>828.7</v>
      </c>
      <c r="P18" s="273">
        <f t="shared" si="1"/>
        <v>69.099999999999994</v>
      </c>
    </row>
    <row r="19" spans="2:16" ht="21.95" customHeight="1">
      <c r="B19" s="271">
        <v>2002</v>
      </c>
      <c r="C19" s="263">
        <v>92.1</v>
      </c>
      <c r="D19" s="263">
        <v>12</v>
      </c>
      <c r="E19" s="263">
        <v>33.5</v>
      </c>
      <c r="F19" s="263">
        <v>155.5</v>
      </c>
      <c r="G19" s="263">
        <v>130.5</v>
      </c>
      <c r="H19" s="263">
        <v>55.4</v>
      </c>
      <c r="I19" s="263">
        <v>149.1</v>
      </c>
      <c r="J19" s="263">
        <v>538.79999999999995</v>
      </c>
      <c r="K19" s="263">
        <v>77</v>
      </c>
      <c r="L19" s="263">
        <v>67.8</v>
      </c>
      <c r="M19" s="263">
        <v>24</v>
      </c>
      <c r="N19" s="272">
        <v>43</v>
      </c>
      <c r="O19" s="279">
        <f t="shared" si="0"/>
        <v>1378.7</v>
      </c>
      <c r="P19" s="273">
        <f t="shared" si="1"/>
        <v>114.9</v>
      </c>
    </row>
    <row r="20" spans="2:16" ht="21.95" customHeight="1">
      <c r="B20" s="271">
        <v>2003</v>
      </c>
      <c r="C20" s="263">
        <v>11.2</v>
      </c>
      <c r="D20" s="263">
        <v>59.2</v>
      </c>
      <c r="E20" s="263">
        <v>44.2</v>
      </c>
      <c r="F20" s="263">
        <v>217.5</v>
      </c>
      <c r="G20" s="263">
        <v>119.5</v>
      </c>
      <c r="H20" s="263">
        <v>186.4</v>
      </c>
      <c r="I20" s="263">
        <v>576.29999999999995</v>
      </c>
      <c r="J20" s="263">
        <v>254.9</v>
      </c>
      <c r="K20" s="263">
        <v>208.5</v>
      </c>
      <c r="L20" s="263">
        <v>21.5</v>
      </c>
      <c r="M20" s="263">
        <v>32.6</v>
      </c>
      <c r="N20" s="272">
        <v>17.100000000000001</v>
      </c>
      <c r="O20" s="279">
        <f t="shared" si="0"/>
        <v>1748.9</v>
      </c>
      <c r="P20" s="273">
        <f t="shared" si="1"/>
        <v>145.69999999999999</v>
      </c>
    </row>
    <row r="21" spans="2:16" ht="21.95" customHeight="1">
      <c r="B21" s="271">
        <v>2004</v>
      </c>
      <c r="C21" s="263">
        <v>10.9</v>
      </c>
      <c r="D21" s="263">
        <v>30.6</v>
      </c>
      <c r="E21" s="263">
        <v>83.2</v>
      </c>
      <c r="F21" s="263">
        <v>73.099999999999994</v>
      </c>
      <c r="G21" s="263">
        <v>109</v>
      </c>
      <c r="H21" s="263">
        <v>383.5</v>
      </c>
      <c r="I21" s="263">
        <v>391</v>
      </c>
      <c r="J21" s="263">
        <v>198.3</v>
      </c>
      <c r="K21" s="263">
        <v>133.69999999999999</v>
      </c>
      <c r="L21" s="263">
        <v>5</v>
      </c>
      <c r="M21" s="263">
        <v>37.1</v>
      </c>
      <c r="N21" s="272">
        <v>41.1</v>
      </c>
      <c r="O21" s="279">
        <f t="shared" si="0"/>
        <v>1496.5</v>
      </c>
      <c r="P21" s="273">
        <f t="shared" si="1"/>
        <v>124.7</v>
      </c>
    </row>
    <row r="22" spans="2:16" ht="21.95" customHeight="1">
      <c r="B22" s="271">
        <v>2005</v>
      </c>
      <c r="C22" s="263">
        <v>6</v>
      </c>
      <c r="D22" s="263">
        <v>37.5</v>
      </c>
      <c r="E22" s="263">
        <v>38.799999999999997</v>
      </c>
      <c r="F22" s="263">
        <v>48.5</v>
      </c>
      <c r="G22" s="263">
        <v>60.5</v>
      </c>
      <c r="H22" s="263">
        <v>209.6</v>
      </c>
      <c r="I22" s="263">
        <v>463.3</v>
      </c>
      <c r="J22" s="263">
        <v>499.5</v>
      </c>
      <c r="K22" s="263">
        <v>226.4</v>
      </c>
      <c r="L22" s="263">
        <v>30.5</v>
      </c>
      <c r="M22" s="263">
        <v>20.3</v>
      </c>
      <c r="N22" s="272">
        <v>15.2</v>
      </c>
      <c r="O22" s="279">
        <f t="shared" si="0"/>
        <v>1656.1</v>
      </c>
      <c r="P22" s="273">
        <f t="shared" si="1"/>
        <v>138</v>
      </c>
    </row>
    <row r="23" spans="2:16" ht="21.95" customHeight="1">
      <c r="B23" s="271">
        <v>2006</v>
      </c>
      <c r="C23" s="263">
        <v>31.2</v>
      </c>
      <c r="D23" s="263">
        <v>33.1</v>
      </c>
      <c r="E23" s="263">
        <v>8.1</v>
      </c>
      <c r="F23" s="263">
        <v>94.2</v>
      </c>
      <c r="G23" s="263">
        <v>119.7</v>
      </c>
      <c r="H23" s="263">
        <v>131</v>
      </c>
      <c r="I23" s="263">
        <v>531</v>
      </c>
      <c r="J23" s="263">
        <v>113.6</v>
      </c>
      <c r="K23" s="263">
        <v>24.1</v>
      </c>
      <c r="L23" s="263">
        <v>19.3</v>
      </c>
      <c r="M23" s="263">
        <v>60</v>
      </c>
      <c r="N23" s="272">
        <v>29.9</v>
      </c>
      <c r="O23" s="279">
        <f t="shared" si="0"/>
        <v>1195.2</v>
      </c>
      <c r="P23" s="273">
        <f t="shared" si="1"/>
        <v>99.6</v>
      </c>
    </row>
    <row r="24" spans="2:16" ht="21.95" customHeight="1">
      <c r="B24" s="271">
        <v>2007</v>
      </c>
      <c r="C24" s="263">
        <v>14</v>
      </c>
      <c r="D24" s="263">
        <v>45</v>
      </c>
      <c r="E24" s="263">
        <v>117.5</v>
      </c>
      <c r="F24" s="263">
        <v>28.6</v>
      </c>
      <c r="G24" s="263">
        <v>130.1</v>
      </c>
      <c r="H24" s="263">
        <v>133</v>
      </c>
      <c r="I24" s="263">
        <v>275.7</v>
      </c>
      <c r="J24" s="263">
        <v>373</v>
      </c>
      <c r="K24" s="263">
        <v>549.9</v>
      </c>
      <c r="L24" s="263">
        <v>47.4</v>
      </c>
      <c r="M24" s="263">
        <v>9.8000000000000007</v>
      </c>
      <c r="N24" s="272">
        <v>26.9</v>
      </c>
      <c r="O24" s="279">
        <f t="shared" si="0"/>
        <v>1750.9</v>
      </c>
      <c r="P24" s="273">
        <f t="shared" si="1"/>
        <v>145.9</v>
      </c>
    </row>
    <row r="25" spans="2:16" ht="21.95" customHeight="1">
      <c r="B25" s="271">
        <v>2008</v>
      </c>
      <c r="C25" s="263">
        <v>45.3</v>
      </c>
      <c r="D25" s="263">
        <v>9.1</v>
      </c>
      <c r="E25" s="263">
        <v>29.1</v>
      </c>
      <c r="F25" s="263">
        <v>34.4</v>
      </c>
      <c r="G25" s="263">
        <v>59.2</v>
      </c>
      <c r="H25" s="263">
        <v>148.30000000000001</v>
      </c>
      <c r="I25" s="263">
        <v>253.4</v>
      </c>
      <c r="J25" s="263">
        <v>325.2</v>
      </c>
      <c r="K25" s="263">
        <v>85.5</v>
      </c>
      <c r="L25" s="263">
        <v>19.600000000000001</v>
      </c>
      <c r="M25" s="263">
        <v>12.1</v>
      </c>
      <c r="N25" s="272">
        <v>16.399999999999999</v>
      </c>
      <c r="O25" s="279">
        <f t="shared" si="0"/>
        <v>1037.5999999999999</v>
      </c>
      <c r="P25" s="273">
        <f t="shared" si="1"/>
        <v>86.5</v>
      </c>
    </row>
    <row r="26" spans="2:16" ht="21.95" customHeight="1">
      <c r="B26" s="271">
        <v>2009</v>
      </c>
      <c r="C26" s="263">
        <v>15.4</v>
      </c>
      <c r="D26" s="263">
        <v>27.5</v>
      </c>
      <c r="E26" s="263">
        <v>60.3</v>
      </c>
      <c r="F26" s="263">
        <v>34.5</v>
      </c>
      <c r="G26" s="263">
        <v>124.3</v>
      </c>
      <c r="H26" s="263">
        <v>87.3</v>
      </c>
      <c r="I26" s="263">
        <v>429.2</v>
      </c>
      <c r="J26" s="263">
        <v>148.30000000000001</v>
      </c>
      <c r="K26" s="263">
        <v>46</v>
      </c>
      <c r="L26" s="263">
        <v>24.7</v>
      </c>
      <c r="M26" s="263">
        <v>54.7</v>
      </c>
      <c r="N26" s="272">
        <v>38.200000000000003</v>
      </c>
      <c r="O26" s="279">
        <f t="shared" si="0"/>
        <v>1090.4000000000001</v>
      </c>
      <c r="P26" s="273">
        <f t="shared" si="1"/>
        <v>90.9</v>
      </c>
    </row>
    <row r="27" spans="2:16" ht="21.95" customHeight="1">
      <c r="B27" s="271">
        <v>2010</v>
      </c>
      <c r="C27" s="263">
        <v>46.4</v>
      </c>
      <c r="D27" s="263">
        <v>81.5</v>
      </c>
      <c r="E27" s="263">
        <v>100.1</v>
      </c>
      <c r="F27" s="263">
        <v>88.5</v>
      </c>
      <c r="G27" s="263">
        <v>117.6</v>
      </c>
      <c r="H27" s="263">
        <v>65.599999999999994</v>
      </c>
      <c r="I27" s="263">
        <v>223.1</v>
      </c>
      <c r="J27" s="263">
        <v>376.4</v>
      </c>
      <c r="K27" s="263">
        <v>250.5</v>
      </c>
      <c r="L27" s="263">
        <v>17.899999999999999</v>
      </c>
      <c r="M27" s="263">
        <v>16.399999999999999</v>
      </c>
      <c r="N27" s="272">
        <v>35.700000000000003</v>
      </c>
      <c r="O27" s="279">
        <f t="shared" si="0"/>
        <v>1419.7</v>
      </c>
      <c r="P27" s="273">
        <f t="shared" si="1"/>
        <v>118.3</v>
      </c>
    </row>
    <row r="28" spans="2:16" ht="21.95" customHeight="1">
      <c r="B28" s="271">
        <v>2011</v>
      </c>
      <c r="C28" s="263">
        <v>4</v>
      </c>
      <c r="D28" s="263">
        <v>44.8</v>
      </c>
      <c r="E28" s="263">
        <v>19</v>
      </c>
      <c r="F28" s="263">
        <v>71</v>
      </c>
      <c r="G28" s="263">
        <v>162</v>
      </c>
      <c r="H28" s="263">
        <v>391.6</v>
      </c>
      <c r="I28" s="263">
        <v>587.29999999999995</v>
      </c>
      <c r="J28" s="263">
        <v>420.3</v>
      </c>
      <c r="K28" s="263">
        <v>91.7</v>
      </c>
      <c r="L28" s="263">
        <v>37</v>
      </c>
      <c r="M28" s="263">
        <v>103.2</v>
      </c>
      <c r="N28" s="272">
        <v>11.5</v>
      </c>
      <c r="O28" s="279">
        <f t="shared" si="0"/>
        <v>1943.4</v>
      </c>
      <c r="P28" s="273">
        <f t="shared" si="1"/>
        <v>162</v>
      </c>
    </row>
    <row r="29" spans="2:16" ht="21.95" customHeight="1">
      <c r="B29" s="271">
        <v>2012</v>
      </c>
      <c r="C29" s="263">
        <v>16.399999999999999</v>
      </c>
      <c r="D29" s="263">
        <v>2.5</v>
      </c>
      <c r="E29" s="263">
        <v>54.6</v>
      </c>
      <c r="F29" s="263">
        <v>66.2</v>
      </c>
      <c r="G29" s="263">
        <v>24</v>
      </c>
      <c r="H29" s="263">
        <v>57.8</v>
      </c>
      <c r="I29" s="263">
        <v>277.60000000000002</v>
      </c>
      <c r="J29" s="263">
        <v>463.6</v>
      </c>
      <c r="K29" s="263">
        <v>242.5</v>
      </c>
      <c r="L29" s="263">
        <v>81.3</v>
      </c>
      <c r="M29" s="263">
        <v>58.4</v>
      </c>
      <c r="N29" s="272">
        <v>64.599999999999994</v>
      </c>
      <c r="O29" s="279">
        <f t="shared" si="0"/>
        <v>1409.5</v>
      </c>
      <c r="P29" s="273">
        <f t="shared" si="1"/>
        <v>117.5</v>
      </c>
    </row>
    <row r="30" spans="2:16" ht="21.95" customHeight="1">
      <c r="B30" s="271">
        <v>2013</v>
      </c>
      <c r="C30" s="263">
        <v>46.2</v>
      </c>
      <c r="D30" s="263">
        <v>54.2</v>
      </c>
      <c r="E30" s="263">
        <v>52.8</v>
      </c>
      <c r="F30" s="263">
        <v>86.8</v>
      </c>
      <c r="G30" s="263">
        <v>110.4</v>
      </c>
      <c r="H30" s="263">
        <v>162.6</v>
      </c>
      <c r="I30" s="263">
        <v>218.7</v>
      </c>
      <c r="J30" s="263">
        <v>126.6</v>
      </c>
      <c r="K30" s="263">
        <v>146.4</v>
      </c>
      <c r="L30" s="263">
        <v>19.899999999999999</v>
      </c>
      <c r="M30" s="263">
        <v>63.5</v>
      </c>
      <c r="N30" s="272">
        <v>32.799999999999997</v>
      </c>
      <c r="O30" s="279">
        <f t="shared" si="0"/>
        <v>1120.9000000000001</v>
      </c>
      <c r="P30" s="273">
        <f t="shared" si="1"/>
        <v>93.4</v>
      </c>
    </row>
    <row r="31" spans="2:16" ht="21.95" customHeight="1">
      <c r="B31" s="271">
        <v>2014</v>
      </c>
      <c r="C31" s="263">
        <v>6.5</v>
      </c>
      <c r="D31" s="263">
        <v>8.5</v>
      </c>
      <c r="E31" s="263">
        <v>67.2</v>
      </c>
      <c r="F31" s="263">
        <v>59.4</v>
      </c>
      <c r="G31" s="263">
        <v>49.7</v>
      </c>
      <c r="H31" s="263">
        <v>143.69999999999999</v>
      </c>
      <c r="I31" s="263">
        <v>177.2</v>
      </c>
      <c r="J31" s="263">
        <v>240.9</v>
      </c>
      <c r="K31" s="263">
        <v>118</v>
      </c>
      <c r="L31" s="263">
        <v>169.4</v>
      </c>
      <c r="M31" s="263">
        <v>40.700000000000003</v>
      </c>
      <c r="N31" s="272">
        <v>36.700000000000003</v>
      </c>
      <c r="O31" s="279">
        <f t="shared" si="0"/>
        <v>1117.9000000000001</v>
      </c>
      <c r="P31" s="273">
        <f t="shared" si="1"/>
        <v>93.2</v>
      </c>
    </row>
    <row r="32" spans="2:16" ht="21.95" customHeight="1">
      <c r="B32" s="271">
        <v>2015</v>
      </c>
      <c r="C32" s="263">
        <v>31.5</v>
      </c>
      <c r="D32" s="263">
        <v>27</v>
      </c>
      <c r="E32" s="263">
        <v>44.7</v>
      </c>
      <c r="F32" s="263">
        <v>95.2</v>
      </c>
      <c r="G32" s="263">
        <v>28.9</v>
      </c>
      <c r="H32" s="263">
        <v>119.8</v>
      </c>
      <c r="I32" s="263">
        <v>145.6</v>
      </c>
      <c r="J32" s="263">
        <v>51.6</v>
      </c>
      <c r="K32" s="263">
        <v>18.5</v>
      </c>
      <c r="L32" s="263">
        <v>94.1</v>
      </c>
      <c r="M32" s="263">
        <v>126</v>
      </c>
      <c r="N32" s="272">
        <v>39.700000000000003</v>
      </c>
      <c r="O32" s="279">
        <f t="shared" si="0"/>
        <v>822.6</v>
      </c>
      <c r="P32" s="273">
        <f t="shared" si="1"/>
        <v>68.599999999999994</v>
      </c>
    </row>
    <row r="33" spans="2:16" ht="21.95" customHeight="1">
      <c r="B33" s="271">
        <v>2016</v>
      </c>
      <c r="C33" s="263">
        <v>11.6</v>
      </c>
      <c r="D33" s="263">
        <v>45.8</v>
      </c>
      <c r="E33" s="263">
        <v>40.299999999999997</v>
      </c>
      <c r="F33" s="263">
        <v>154.9</v>
      </c>
      <c r="G33" s="263">
        <v>85.1</v>
      </c>
      <c r="H33" s="263">
        <v>62.5</v>
      </c>
      <c r="I33" s="263">
        <v>367.9</v>
      </c>
      <c r="J33" s="263">
        <v>57.4</v>
      </c>
      <c r="K33" s="263">
        <v>196</v>
      </c>
      <c r="L33" s="263">
        <v>122.6</v>
      </c>
      <c r="M33" s="263">
        <v>29.5</v>
      </c>
      <c r="N33" s="272">
        <v>54.8</v>
      </c>
      <c r="O33" s="279">
        <f t="shared" si="0"/>
        <v>1228.4000000000001</v>
      </c>
      <c r="P33" s="273">
        <f t="shared" si="1"/>
        <v>102.4</v>
      </c>
    </row>
    <row r="34" spans="2:16" ht="21.95" customHeight="1">
      <c r="B34" s="271">
        <v>2017</v>
      </c>
      <c r="C34" s="263">
        <v>15</v>
      </c>
      <c r="D34" s="263">
        <v>42</v>
      </c>
      <c r="E34" s="263">
        <v>11.6</v>
      </c>
      <c r="F34" s="263">
        <v>77.7</v>
      </c>
      <c r="G34" s="263">
        <v>29.3</v>
      </c>
      <c r="H34" s="263">
        <v>35.299999999999997</v>
      </c>
      <c r="I34" s="263">
        <v>434.5</v>
      </c>
      <c r="J34" s="263">
        <v>293.8</v>
      </c>
      <c r="K34" s="263">
        <v>111.4</v>
      </c>
      <c r="L34" s="263">
        <v>28.3</v>
      </c>
      <c r="M34" s="263">
        <v>15.1</v>
      </c>
      <c r="N34" s="272">
        <v>33.5</v>
      </c>
      <c r="O34" s="279">
        <f t="shared" si="0"/>
        <v>1127.5</v>
      </c>
      <c r="P34" s="273">
        <f t="shared" si="1"/>
        <v>94</v>
      </c>
    </row>
    <row r="35" spans="2:16" ht="21.95" customHeight="1" thickBot="1">
      <c r="B35" s="283">
        <v>2018</v>
      </c>
      <c r="C35" s="284">
        <v>23.9</v>
      </c>
      <c r="D35" s="284">
        <v>40.5</v>
      </c>
      <c r="E35" s="284">
        <v>108.4</v>
      </c>
      <c r="F35" s="284">
        <v>155.30000000000001</v>
      </c>
      <c r="G35" s="284">
        <v>95.9</v>
      </c>
      <c r="H35" s="284">
        <v>115.8</v>
      </c>
      <c r="I35" s="284">
        <v>226.9</v>
      </c>
      <c r="J35" s="284">
        <v>408.6</v>
      </c>
      <c r="K35" s="284">
        <v>149.4</v>
      </c>
      <c r="L35" s="284">
        <v>133.9</v>
      </c>
      <c r="M35" s="284">
        <v>49.8</v>
      </c>
      <c r="N35" s="285">
        <v>33.700000000000003</v>
      </c>
      <c r="O35" s="286">
        <f t="shared" si="0"/>
        <v>1542.1</v>
      </c>
      <c r="P35" s="287">
        <f t="shared" si="1"/>
        <v>128.5</v>
      </c>
    </row>
    <row r="36" spans="2:16" ht="21.95" customHeight="1">
      <c r="B36" s="288" t="s">
        <v>46</v>
      </c>
      <c r="C36" s="289">
        <f>ROUND(MAX(C6:C35),1)</f>
        <v>92.1</v>
      </c>
      <c r="D36" s="289">
        <f t="shared" ref="D36:N36" si="2">ROUND(MAX(D6:D35),1)</f>
        <v>111.1</v>
      </c>
      <c r="E36" s="289">
        <f t="shared" si="2"/>
        <v>138</v>
      </c>
      <c r="F36" s="289">
        <f t="shared" si="2"/>
        <v>217.5</v>
      </c>
      <c r="G36" s="289">
        <f t="shared" si="2"/>
        <v>200.9</v>
      </c>
      <c r="H36" s="289">
        <f t="shared" si="2"/>
        <v>411.4</v>
      </c>
      <c r="I36" s="289">
        <f t="shared" si="2"/>
        <v>587.29999999999995</v>
      </c>
      <c r="J36" s="289">
        <f t="shared" si="2"/>
        <v>781.7</v>
      </c>
      <c r="K36" s="289">
        <f t="shared" si="2"/>
        <v>549.9</v>
      </c>
      <c r="L36" s="289">
        <f t="shared" si="2"/>
        <v>171.6</v>
      </c>
      <c r="M36" s="289">
        <f t="shared" si="2"/>
        <v>168.2</v>
      </c>
      <c r="N36" s="290">
        <f t="shared" si="2"/>
        <v>64.599999999999994</v>
      </c>
      <c r="O36" s="291">
        <f>ROUND(MAX(O6:O35),1)</f>
        <v>2070</v>
      </c>
      <c r="P36" s="292">
        <f>ROUND(MAX(P6:P35),1)</f>
        <v>172.5</v>
      </c>
    </row>
    <row r="37" spans="2:16" ht="21.95" customHeight="1">
      <c r="B37" s="271" t="s">
        <v>47</v>
      </c>
      <c r="C37" s="264">
        <f>ROUND(MIN(C6:C35),1)</f>
        <v>1.8</v>
      </c>
      <c r="D37" s="264">
        <f t="shared" ref="D37:N37" si="3">ROUND(MIN(D6:D35),1)</f>
        <v>2.5</v>
      </c>
      <c r="E37" s="264">
        <f t="shared" si="3"/>
        <v>8.1</v>
      </c>
      <c r="F37" s="264">
        <f t="shared" si="3"/>
        <v>20.399999999999999</v>
      </c>
      <c r="G37" s="264">
        <f t="shared" si="3"/>
        <v>24</v>
      </c>
      <c r="H37" s="264">
        <f t="shared" si="3"/>
        <v>24.4</v>
      </c>
      <c r="I37" s="264">
        <f t="shared" si="3"/>
        <v>105.3</v>
      </c>
      <c r="J37" s="264">
        <f t="shared" si="3"/>
        <v>51.6</v>
      </c>
      <c r="K37" s="264">
        <f t="shared" si="3"/>
        <v>11.4</v>
      </c>
      <c r="L37" s="264">
        <f t="shared" si="3"/>
        <v>4.2</v>
      </c>
      <c r="M37" s="264">
        <f t="shared" si="3"/>
        <v>9.8000000000000007</v>
      </c>
      <c r="N37" s="273">
        <f t="shared" si="3"/>
        <v>2.7</v>
      </c>
      <c r="O37" s="280">
        <f>ROUND(MIN(O6:O35),1)</f>
        <v>822.6</v>
      </c>
      <c r="P37" s="272">
        <f>ROUND(MIN(P6:P35),1)</f>
        <v>68.599999999999994</v>
      </c>
    </row>
    <row r="38" spans="2:16" ht="21.95" customHeight="1" thickBot="1">
      <c r="B38" s="274" t="s">
        <v>57</v>
      </c>
      <c r="C38" s="275">
        <f>ROUND(AVERAGE(C6:C35),1)</f>
        <v>28.3</v>
      </c>
      <c r="D38" s="275">
        <f t="shared" ref="D38:N38" si="4">ROUND(AVERAGE(D6:D35),1)</f>
        <v>39.1</v>
      </c>
      <c r="E38" s="275">
        <f t="shared" si="4"/>
        <v>54.2</v>
      </c>
      <c r="F38" s="275">
        <f t="shared" si="4"/>
        <v>81.7</v>
      </c>
      <c r="G38" s="275">
        <f t="shared" si="4"/>
        <v>93.4</v>
      </c>
      <c r="H38" s="275">
        <f t="shared" si="4"/>
        <v>173.2</v>
      </c>
      <c r="I38" s="275">
        <f t="shared" si="4"/>
        <v>310.3</v>
      </c>
      <c r="J38" s="275">
        <f t="shared" si="4"/>
        <v>295</v>
      </c>
      <c r="K38" s="275">
        <f t="shared" si="4"/>
        <v>157</v>
      </c>
      <c r="L38" s="275">
        <f t="shared" si="4"/>
        <v>56.9</v>
      </c>
      <c r="M38" s="275">
        <f t="shared" si="4"/>
        <v>46.8</v>
      </c>
      <c r="N38" s="276">
        <f t="shared" si="4"/>
        <v>29.9</v>
      </c>
      <c r="O38" s="281">
        <f>ROUND(AVERAGE(O6:O35),1)</f>
        <v>1365.8</v>
      </c>
      <c r="P38" s="282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227" customFormat="1" ht="21.95" customHeight="1">
      <c r="B43" s="293" t="s">
        <v>52</v>
      </c>
      <c r="C43" s="294" t="s">
        <v>41</v>
      </c>
      <c r="D43" s="294" t="s">
        <v>42</v>
      </c>
      <c r="E43" s="294" t="s">
        <v>43</v>
      </c>
      <c r="F43" s="294" t="s">
        <v>44</v>
      </c>
      <c r="G43" s="294" t="s">
        <v>45</v>
      </c>
      <c r="H43" s="294" t="s">
        <v>13</v>
      </c>
      <c r="I43" s="294" t="s">
        <v>14</v>
      </c>
      <c r="J43" s="294" t="s">
        <v>15</v>
      </c>
      <c r="K43" s="294" t="s">
        <v>16</v>
      </c>
      <c r="L43" s="294" t="s">
        <v>17</v>
      </c>
      <c r="M43" s="294" t="s">
        <v>18</v>
      </c>
      <c r="N43" s="295" t="s">
        <v>19</v>
      </c>
      <c r="O43" s="302" t="s">
        <v>55</v>
      </c>
      <c r="P43" s="295" t="s">
        <v>39</v>
      </c>
    </row>
    <row r="44" spans="2:16" ht="21.95" customHeight="1">
      <c r="B44" s="296">
        <v>2009</v>
      </c>
      <c r="C44" s="263">
        <v>15.4</v>
      </c>
      <c r="D44" s="263">
        <v>27.5</v>
      </c>
      <c r="E44" s="263">
        <v>60.3</v>
      </c>
      <c r="F44" s="263">
        <v>34.5</v>
      </c>
      <c r="G44" s="263">
        <v>124.3</v>
      </c>
      <c r="H44" s="263">
        <v>87.3</v>
      </c>
      <c r="I44" s="263">
        <v>429.2</v>
      </c>
      <c r="J44" s="263">
        <v>148.30000000000001</v>
      </c>
      <c r="K44" s="263">
        <v>46</v>
      </c>
      <c r="L44" s="263">
        <v>24.7</v>
      </c>
      <c r="M44" s="263">
        <v>54.7</v>
      </c>
      <c r="N44" s="272">
        <v>38.200000000000003</v>
      </c>
      <c r="O44" s="265">
        <f>ROUND(SUM(C44:N44),1)</f>
        <v>1090.4000000000001</v>
      </c>
      <c r="P44" s="272">
        <f>ROUND(O44/12,1)</f>
        <v>90.9</v>
      </c>
    </row>
    <row r="45" spans="2:16" ht="21.95" customHeight="1">
      <c r="B45" s="296">
        <v>2010</v>
      </c>
      <c r="C45" s="263">
        <v>46.4</v>
      </c>
      <c r="D45" s="263">
        <v>81.5</v>
      </c>
      <c r="E45" s="263">
        <v>100.1</v>
      </c>
      <c r="F45" s="263">
        <v>88.5</v>
      </c>
      <c r="G45" s="263">
        <v>117.6</v>
      </c>
      <c r="H45" s="263">
        <v>65.599999999999994</v>
      </c>
      <c r="I45" s="263">
        <v>223.1</v>
      </c>
      <c r="J45" s="263">
        <v>376.4</v>
      </c>
      <c r="K45" s="263">
        <v>250.5</v>
      </c>
      <c r="L45" s="263">
        <v>17.899999999999999</v>
      </c>
      <c r="M45" s="263">
        <v>16.399999999999999</v>
      </c>
      <c r="N45" s="272">
        <v>35.700000000000003</v>
      </c>
      <c r="O45" s="265">
        <f t="shared" ref="O45:O53" si="5">ROUND(SUM(C45:N45),1)</f>
        <v>1419.7</v>
      </c>
      <c r="P45" s="272">
        <f t="shared" ref="P45:P53" si="6">ROUND(O45/12,1)</f>
        <v>118.3</v>
      </c>
    </row>
    <row r="46" spans="2:16" ht="21.95" customHeight="1">
      <c r="B46" s="296">
        <v>2011</v>
      </c>
      <c r="C46" s="263">
        <v>4</v>
      </c>
      <c r="D46" s="263">
        <v>44.8</v>
      </c>
      <c r="E46" s="263">
        <v>19</v>
      </c>
      <c r="F46" s="263">
        <v>71</v>
      </c>
      <c r="G46" s="263">
        <v>162</v>
      </c>
      <c r="H46" s="263">
        <v>391.6</v>
      </c>
      <c r="I46" s="263">
        <v>587.29999999999995</v>
      </c>
      <c r="J46" s="263">
        <v>420.3</v>
      </c>
      <c r="K46" s="263">
        <v>91.7</v>
      </c>
      <c r="L46" s="263">
        <v>37</v>
      </c>
      <c r="M46" s="263">
        <v>103.2</v>
      </c>
      <c r="N46" s="272">
        <v>11.5</v>
      </c>
      <c r="O46" s="265">
        <f t="shared" si="5"/>
        <v>1943.4</v>
      </c>
      <c r="P46" s="272">
        <f t="shared" si="6"/>
        <v>162</v>
      </c>
    </row>
    <row r="47" spans="2:16" ht="21.95" customHeight="1">
      <c r="B47" s="296">
        <v>2012</v>
      </c>
      <c r="C47" s="263">
        <v>16.399999999999999</v>
      </c>
      <c r="D47" s="263">
        <v>2.5</v>
      </c>
      <c r="E47" s="263">
        <v>54.6</v>
      </c>
      <c r="F47" s="263">
        <v>66.2</v>
      </c>
      <c r="G47" s="263">
        <v>24</v>
      </c>
      <c r="H47" s="263">
        <v>57.8</v>
      </c>
      <c r="I47" s="263">
        <v>277.60000000000002</v>
      </c>
      <c r="J47" s="263">
        <v>463.6</v>
      </c>
      <c r="K47" s="263">
        <v>242.5</v>
      </c>
      <c r="L47" s="263">
        <v>81.3</v>
      </c>
      <c r="M47" s="263">
        <v>58.4</v>
      </c>
      <c r="N47" s="272">
        <v>64.599999999999994</v>
      </c>
      <c r="O47" s="265">
        <f t="shared" si="5"/>
        <v>1409.5</v>
      </c>
      <c r="P47" s="272">
        <f t="shared" si="6"/>
        <v>117.5</v>
      </c>
    </row>
    <row r="48" spans="2:16" ht="21.95" customHeight="1">
      <c r="B48" s="296">
        <v>2013</v>
      </c>
      <c r="C48" s="263">
        <v>46.2</v>
      </c>
      <c r="D48" s="263">
        <v>54.2</v>
      </c>
      <c r="E48" s="263">
        <v>52.8</v>
      </c>
      <c r="F48" s="263">
        <v>86.8</v>
      </c>
      <c r="G48" s="263">
        <v>110.4</v>
      </c>
      <c r="H48" s="263">
        <v>162.6</v>
      </c>
      <c r="I48" s="263">
        <v>218.7</v>
      </c>
      <c r="J48" s="263">
        <v>126.6</v>
      </c>
      <c r="K48" s="263">
        <v>146.4</v>
      </c>
      <c r="L48" s="263">
        <v>19.899999999999999</v>
      </c>
      <c r="M48" s="263">
        <v>63.5</v>
      </c>
      <c r="N48" s="272">
        <v>32.799999999999997</v>
      </c>
      <c r="O48" s="265">
        <f t="shared" si="5"/>
        <v>1120.9000000000001</v>
      </c>
      <c r="P48" s="272">
        <f t="shared" si="6"/>
        <v>93.4</v>
      </c>
    </row>
    <row r="49" spans="2:17" ht="21.95" customHeight="1">
      <c r="B49" s="296">
        <v>2014</v>
      </c>
      <c r="C49" s="263">
        <v>6.5</v>
      </c>
      <c r="D49" s="263">
        <v>8.5</v>
      </c>
      <c r="E49" s="263">
        <v>67.2</v>
      </c>
      <c r="F49" s="263">
        <v>59.4</v>
      </c>
      <c r="G49" s="263">
        <v>49.7</v>
      </c>
      <c r="H49" s="263">
        <v>143.69999999999999</v>
      </c>
      <c r="I49" s="263">
        <v>177.2</v>
      </c>
      <c r="J49" s="263">
        <v>240.9</v>
      </c>
      <c r="K49" s="263">
        <v>118</v>
      </c>
      <c r="L49" s="263">
        <v>169.4</v>
      </c>
      <c r="M49" s="263">
        <v>40.700000000000003</v>
      </c>
      <c r="N49" s="272">
        <v>36.700000000000003</v>
      </c>
      <c r="O49" s="265">
        <f t="shared" si="5"/>
        <v>1117.9000000000001</v>
      </c>
      <c r="P49" s="272">
        <f t="shared" si="6"/>
        <v>93.2</v>
      </c>
    </row>
    <row r="50" spans="2:17" ht="21.95" customHeight="1">
      <c r="B50" s="296">
        <v>2015</v>
      </c>
      <c r="C50" s="263">
        <v>31.5</v>
      </c>
      <c r="D50" s="263">
        <v>27</v>
      </c>
      <c r="E50" s="263">
        <v>44.7</v>
      </c>
      <c r="F50" s="263">
        <v>95.2</v>
      </c>
      <c r="G50" s="263">
        <v>28.9</v>
      </c>
      <c r="H50" s="263">
        <v>119.8</v>
      </c>
      <c r="I50" s="263">
        <v>145.6</v>
      </c>
      <c r="J50" s="263">
        <v>51.6</v>
      </c>
      <c r="K50" s="263">
        <v>18.5</v>
      </c>
      <c r="L50" s="263">
        <v>94.1</v>
      </c>
      <c r="M50" s="263">
        <v>126</v>
      </c>
      <c r="N50" s="272">
        <v>39.700000000000003</v>
      </c>
      <c r="O50" s="265">
        <f t="shared" si="5"/>
        <v>822.6</v>
      </c>
      <c r="P50" s="272">
        <f t="shared" si="6"/>
        <v>68.599999999999994</v>
      </c>
    </row>
    <row r="51" spans="2:17" ht="21.95" customHeight="1">
      <c r="B51" s="296">
        <v>2016</v>
      </c>
      <c r="C51" s="263">
        <v>11.6</v>
      </c>
      <c r="D51" s="263">
        <v>45.8</v>
      </c>
      <c r="E51" s="263">
        <v>40.299999999999997</v>
      </c>
      <c r="F51" s="263">
        <v>154.9</v>
      </c>
      <c r="G51" s="263">
        <v>85.1</v>
      </c>
      <c r="H51" s="263">
        <v>62.5</v>
      </c>
      <c r="I51" s="263">
        <v>367.9</v>
      </c>
      <c r="J51" s="263">
        <v>57.4</v>
      </c>
      <c r="K51" s="263">
        <v>196</v>
      </c>
      <c r="L51" s="263">
        <v>122.6</v>
      </c>
      <c r="M51" s="263">
        <v>29.5</v>
      </c>
      <c r="N51" s="272">
        <v>54.8</v>
      </c>
      <c r="O51" s="265">
        <f t="shared" si="5"/>
        <v>1228.4000000000001</v>
      </c>
      <c r="P51" s="272">
        <f t="shared" si="6"/>
        <v>102.4</v>
      </c>
    </row>
    <row r="52" spans="2:17" ht="21.95" customHeight="1">
      <c r="B52" s="296">
        <v>2017</v>
      </c>
      <c r="C52" s="263">
        <v>15</v>
      </c>
      <c r="D52" s="263">
        <v>42</v>
      </c>
      <c r="E52" s="263">
        <v>11.6</v>
      </c>
      <c r="F52" s="263">
        <v>77.7</v>
      </c>
      <c r="G52" s="263">
        <v>29.3</v>
      </c>
      <c r="H52" s="263">
        <v>35.299999999999997</v>
      </c>
      <c r="I52" s="263">
        <v>434.5</v>
      </c>
      <c r="J52" s="263">
        <v>293.8</v>
      </c>
      <c r="K52" s="263">
        <v>111.4</v>
      </c>
      <c r="L52" s="263">
        <v>28.3</v>
      </c>
      <c r="M52" s="263">
        <v>15.1</v>
      </c>
      <c r="N52" s="272">
        <v>33.5</v>
      </c>
      <c r="O52" s="265">
        <f t="shared" si="5"/>
        <v>1127.5</v>
      </c>
      <c r="P52" s="272">
        <f t="shared" si="6"/>
        <v>94</v>
      </c>
    </row>
    <row r="53" spans="2:17" ht="21.95" customHeight="1" thickBot="1">
      <c r="B53" s="283">
        <v>2018</v>
      </c>
      <c r="C53" s="284">
        <v>23.9</v>
      </c>
      <c r="D53" s="284">
        <v>40.5</v>
      </c>
      <c r="E53" s="284">
        <v>108.4</v>
      </c>
      <c r="F53" s="284">
        <v>155.30000000000001</v>
      </c>
      <c r="G53" s="284">
        <v>95.9</v>
      </c>
      <c r="H53" s="284">
        <v>115.8</v>
      </c>
      <c r="I53" s="284">
        <v>226.9</v>
      </c>
      <c r="J53" s="284">
        <v>408.6</v>
      </c>
      <c r="K53" s="284">
        <v>149.4</v>
      </c>
      <c r="L53" s="284">
        <v>133.9</v>
      </c>
      <c r="M53" s="284">
        <v>49.8</v>
      </c>
      <c r="N53" s="285">
        <v>33.700000000000003</v>
      </c>
      <c r="O53" s="303">
        <f t="shared" si="5"/>
        <v>1542.1</v>
      </c>
      <c r="P53" s="285">
        <f t="shared" si="6"/>
        <v>128.5</v>
      </c>
    </row>
    <row r="54" spans="2:17" ht="21.95" customHeight="1">
      <c r="B54" s="300" t="s">
        <v>58</v>
      </c>
      <c r="C54" s="301">
        <f>MAX(C44:C53)</f>
        <v>46.4</v>
      </c>
      <c r="D54" s="301">
        <f t="shared" ref="D54:P54" si="7">MAX(D44:D53)</f>
        <v>81.5</v>
      </c>
      <c r="E54" s="301">
        <f t="shared" si="7"/>
        <v>108.4</v>
      </c>
      <c r="F54" s="301">
        <f t="shared" si="7"/>
        <v>155.30000000000001</v>
      </c>
      <c r="G54" s="301">
        <f t="shared" si="7"/>
        <v>162</v>
      </c>
      <c r="H54" s="301">
        <f t="shared" si="7"/>
        <v>391.6</v>
      </c>
      <c r="I54" s="301">
        <f t="shared" si="7"/>
        <v>587.29999999999995</v>
      </c>
      <c r="J54" s="301">
        <f t="shared" si="7"/>
        <v>463.6</v>
      </c>
      <c r="K54" s="301">
        <f t="shared" si="7"/>
        <v>250.5</v>
      </c>
      <c r="L54" s="301">
        <f t="shared" si="7"/>
        <v>169.4</v>
      </c>
      <c r="M54" s="301">
        <f t="shared" si="7"/>
        <v>126</v>
      </c>
      <c r="N54" s="292">
        <f t="shared" si="7"/>
        <v>64.599999999999994</v>
      </c>
      <c r="O54" s="304">
        <f t="shared" si="7"/>
        <v>1943.4</v>
      </c>
      <c r="P54" s="292">
        <f t="shared" si="7"/>
        <v>162</v>
      </c>
    </row>
    <row r="55" spans="2:17" ht="21.95" customHeight="1">
      <c r="B55" s="297" t="s">
        <v>59</v>
      </c>
      <c r="C55" s="263">
        <f>MIN(C44:C53)</f>
        <v>4</v>
      </c>
      <c r="D55" s="263">
        <f t="shared" ref="D55:P55" si="8">MIN(D44:D53)</f>
        <v>2.5</v>
      </c>
      <c r="E55" s="263">
        <f t="shared" si="8"/>
        <v>11.6</v>
      </c>
      <c r="F55" s="263">
        <f t="shared" si="8"/>
        <v>34.5</v>
      </c>
      <c r="G55" s="263">
        <f t="shared" si="8"/>
        <v>24</v>
      </c>
      <c r="H55" s="263">
        <f t="shared" si="8"/>
        <v>35.299999999999997</v>
      </c>
      <c r="I55" s="263">
        <f t="shared" si="8"/>
        <v>145.6</v>
      </c>
      <c r="J55" s="263">
        <f t="shared" si="8"/>
        <v>51.6</v>
      </c>
      <c r="K55" s="263">
        <f t="shared" si="8"/>
        <v>18.5</v>
      </c>
      <c r="L55" s="263">
        <f t="shared" si="8"/>
        <v>17.899999999999999</v>
      </c>
      <c r="M55" s="263">
        <f t="shared" si="8"/>
        <v>15.1</v>
      </c>
      <c r="N55" s="272">
        <f t="shared" si="8"/>
        <v>11.5</v>
      </c>
      <c r="O55" s="265">
        <f>MIN(O44:O53)</f>
        <v>822.6</v>
      </c>
      <c r="P55" s="272">
        <f t="shared" si="8"/>
        <v>68.599999999999994</v>
      </c>
    </row>
    <row r="56" spans="2:17" ht="21.95" customHeight="1" thickBot="1">
      <c r="B56" s="298" t="s">
        <v>39</v>
      </c>
      <c r="C56" s="299">
        <f>ROUND(AVERAGE(C44:C53),1)</f>
        <v>21.7</v>
      </c>
      <c r="D56" s="299">
        <f t="shared" ref="D56:N56" si="9">ROUND(AVERAGE(D44:D53),1)</f>
        <v>37.4</v>
      </c>
      <c r="E56" s="299">
        <f t="shared" si="9"/>
        <v>55.9</v>
      </c>
      <c r="F56" s="299">
        <f t="shared" si="9"/>
        <v>89</v>
      </c>
      <c r="G56" s="299">
        <f t="shared" si="9"/>
        <v>82.7</v>
      </c>
      <c r="H56" s="299">
        <f t="shared" si="9"/>
        <v>124.2</v>
      </c>
      <c r="I56" s="299">
        <f t="shared" si="9"/>
        <v>308.8</v>
      </c>
      <c r="J56" s="299">
        <f t="shared" si="9"/>
        <v>258.8</v>
      </c>
      <c r="K56" s="299">
        <f t="shared" si="9"/>
        <v>137</v>
      </c>
      <c r="L56" s="299">
        <f t="shared" si="9"/>
        <v>72.900000000000006</v>
      </c>
      <c r="M56" s="299">
        <f t="shared" si="9"/>
        <v>55.7</v>
      </c>
      <c r="N56" s="282">
        <f t="shared" si="9"/>
        <v>38.1</v>
      </c>
      <c r="O56" s="305">
        <f>ROUND(AVERAGE(O44:O53),1)</f>
        <v>1282.2</v>
      </c>
      <c r="P56" s="282">
        <f>ROUND(AVERAGE(P44:P53),1)</f>
        <v>106.9</v>
      </c>
    </row>
    <row r="57" spans="2:17" ht="24" customHeight="1"/>
    <row r="62" spans="2:17">
      <c r="P62" s="228"/>
      <c r="Q62" s="229"/>
    </row>
  </sheetData>
  <phoneticPr fontId="17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U19" sqref="U19"/>
    </sheetView>
  </sheetViews>
  <sheetFormatPr defaultColWidth="8.88671875" defaultRowHeight="16.5"/>
  <cols>
    <col min="1" max="2" width="8.88671875" style="223"/>
    <col min="3" max="3" width="8" style="223" customWidth="1"/>
    <col min="4" max="16384" width="8.88671875" style="223"/>
  </cols>
  <sheetData>
    <row r="2" spans="2:16">
      <c r="B2" s="223" t="s">
        <v>36</v>
      </c>
    </row>
    <row r="4" spans="2:16">
      <c r="B4" s="224" t="s">
        <v>7</v>
      </c>
    </row>
    <row r="6" spans="2:16" ht="17.25" thickBot="1">
      <c r="O6" s="223" t="s">
        <v>37</v>
      </c>
    </row>
    <row r="7" spans="2:16" ht="18" customHeight="1">
      <c r="B7" s="335"/>
      <c r="C7" s="341" t="s">
        <v>8</v>
      </c>
      <c r="D7" s="341" t="s">
        <v>9</v>
      </c>
      <c r="E7" s="341" t="s">
        <v>10</v>
      </c>
      <c r="F7" s="341" t="s">
        <v>11</v>
      </c>
      <c r="G7" s="341" t="s">
        <v>12</v>
      </c>
      <c r="H7" s="341" t="s">
        <v>13</v>
      </c>
      <c r="I7" s="341" t="s">
        <v>14</v>
      </c>
      <c r="J7" s="341" t="s">
        <v>15</v>
      </c>
      <c r="K7" s="341" t="s">
        <v>16</v>
      </c>
      <c r="L7" s="341" t="s">
        <v>17</v>
      </c>
      <c r="M7" s="341" t="s">
        <v>18</v>
      </c>
      <c r="N7" s="341" t="s">
        <v>19</v>
      </c>
      <c r="O7" s="341" t="s">
        <v>37</v>
      </c>
      <c r="P7" s="342" t="s">
        <v>21</v>
      </c>
    </row>
    <row r="8" spans="2:16" ht="18" customHeight="1">
      <c r="B8" s="337">
        <f>'30Year'!B44</f>
        <v>2009</v>
      </c>
      <c r="C8" s="260">
        <f>'30Year'!C44</f>
        <v>15.4</v>
      </c>
      <c r="D8" s="260">
        <f>'30Year'!D44</f>
        <v>27.5</v>
      </c>
      <c r="E8" s="260">
        <f>'30Year'!E44</f>
        <v>60.3</v>
      </c>
      <c r="F8" s="260">
        <f>'30Year'!F44</f>
        <v>34.5</v>
      </c>
      <c r="G8" s="260">
        <f>'30Year'!G44</f>
        <v>124.3</v>
      </c>
      <c r="H8" s="260">
        <f>'30Year'!H44</f>
        <v>87.3</v>
      </c>
      <c r="I8" s="260">
        <f>'30Year'!I44</f>
        <v>429.2</v>
      </c>
      <c r="J8" s="260">
        <f>'30Year'!J44</f>
        <v>148.30000000000001</v>
      </c>
      <c r="K8" s="260">
        <f>'30Year'!K44</f>
        <v>46</v>
      </c>
      <c r="L8" s="260">
        <f>'30Year'!L44</f>
        <v>24.7</v>
      </c>
      <c r="M8" s="260">
        <f>'30Year'!M44</f>
        <v>54.7</v>
      </c>
      <c r="N8" s="260">
        <f>'30Year'!N44</f>
        <v>38.200000000000003</v>
      </c>
      <c r="O8" s="260">
        <f>'30Year'!O44</f>
        <v>1090.4000000000001</v>
      </c>
      <c r="P8" s="338">
        <f>'30Year'!P44</f>
        <v>90.9</v>
      </c>
    </row>
    <row r="9" spans="2:16" ht="18" customHeight="1">
      <c r="B9" s="337">
        <f>'30Year'!B45</f>
        <v>2010</v>
      </c>
      <c r="C9" s="260">
        <f>'30Year'!C45</f>
        <v>46.4</v>
      </c>
      <c r="D9" s="260">
        <f>'30Year'!D45</f>
        <v>81.5</v>
      </c>
      <c r="E9" s="260">
        <f>'30Year'!E45</f>
        <v>100.1</v>
      </c>
      <c r="F9" s="260">
        <f>'30Year'!F45</f>
        <v>88.5</v>
      </c>
      <c r="G9" s="260">
        <f>'30Year'!G45</f>
        <v>117.6</v>
      </c>
      <c r="H9" s="260">
        <f>'30Year'!H45</f>
        <v>65.599999999999994</v>
      </c>
      <c r="I9" s="260">
        <f>'30Year'!I45</f>
        <v>223.1</v>
      </c>
      <c r="J9" s="260">
        <f>'30Year'!J45</f>
        <v>376.4</v>
      </c>
      <c r="K9" s="260">
        <f>'30Year'!K45</f>
        <v>250.5</v>
      </c>
      <c r="L9" s="260">
        <f>'30Year'!L45</f>
        <v>17.899999999999999</v>
      </c>
      <c r="M9" s="260">
        <f>'30Year'!M45</f>
        <v>16.399999999999999</v>
      </c>
      <c r="N9" s="260">
        <f>'30Year'!N45</f>
        <v>35.700000000000003</v>
      </c>
      <c r="O9" s="260">
        <f>'30Year'!O45</f>
        <v>1419.7</v>
      </c>
      <c r="P9" s="338">
        <f>'30Year'!P45</f>
        <v>118.3</v>
      </c>
    </row>
    <row r="10" spans="2:16" ht="18" customHeight="1">
      <c r="B10" s="337">
        <f>'30Year'!B46</f>
        <v>2011</v>
      </c>
      <c r="C10" s="260">
        <f>'30Year'!C46</f>
        <v>4</v>
      </c>
      <c r="D10" s="260">
        <f>'30Year'!D46</f>
        <v>44.8</v>
      </c>
      <c r="E10" s="260">
        <f>'30Year'!E46</f>
        <v>19</v>
      </c>
      <c r="F10" s="260">
        <f>'30Year'!F46</f>
        <v>71</v>
      </c>
      <c r="G10" s="260">
        <f>'30Year'!G46</f>
        <v>162</v>
      </c>
      <c r="H10" s="260">
        <f>'30Year'!H46</f>
        <v>391.6</v>
      </c>
      <c r="I10" s="260">
        <f>'30Year'!I46</f>
        <v>587.29999999999995</v>
      </c>
      <c r="J10" s="260">
        <f>'30Year'!J46</f>
        <v>420.3</v>
      </c>
      <c r="K10" s="260">
        <f>'30Year'!K46</f>
        <v>91.7</v>
      </c>
      <c r="L10" s="260">
        <f>'30Year'!L46</f>
        <v>37</v>
      </c>
      <c r="M10" s="260">
        <f>'30Year'!M46</f>
        <v>103.2</v>
      </c>
      <c r="N10" s="260">
        <f>'30Year'!N46</f>
        <v>11.5</v>
      </c>
      <c r="O10" s="260">
        <f>'30Year'!O46</f>
        <v>1943.4</v>
      </c>
      <c r="P10" s="338">
        <f>'30Year'!P46</f>
        <v>162</v>
      </c>
    </row>
    <row r="11" spans="2:16" ht="18" customHeight="1">
      <c r="B11" s="337">
        <f>'30Year'!B47</f>
        <v>2012</v>
      </c>
      <c r="C11" s="260">
        <f>'30Year'!C47</f>
        <v>16.399999999999999</v>
      </c>
      <c r="D11" s="260">
        <f>'30Year'!D47</f>
        <v>2.5</v>
      </c>
      <c r="E11" s="260">
        <f>'30Year'!E47</f>
        <v>54.6</v>
      </c>
      <c r="F11" s="260">
        <f>'30Year'!F47</f>
        <v>66.2</v>
      </c>
      <c r="G11" s="260">
        <f>'30Year'!G47</f>
        <v>24</v>
      </c>
      <c r="H11" s="260">
        <f>'30Year'!H47</f>
        <v>57.8</v>
      </c>
      <c r="I11" s="260">
        <f>'30Year'!I47</f>
        <v>277.60000000000002</v>
      </c>
      <c r="J11" s="260">
        <f>'30Year'!J47</f>
        <v>463.6</v>
      </c>
      <c r="K11" s="260">
        <f>'30Year'!K47</f>
        <v>242.5</v>
      </c>
      <c r="L11" s="260">
        <f>'30Year'!L47</f>
        <v>81.3</v>
      </c>
      <c r="M11" s="260">
        <f>'30Year'!M47</f>
        <v>58.4</v>
      </c>
      <c r="N11" s="260">
        <f>'30Year'!N47</f>
        <v>64.599999999999994</v>
      </c>
      <c r="O11" s="260">
        <f>'30Year'!O47</f>
        <v>1409.5</v>
      </c>
      <c r="P11" s="338">
        <f>'30Year'!P47</f>
        <v>117.5</v>
      </c>
    </row>
    <row r="12" spans="2:16" ht="18" customHeight="1">
      <c r="B12" s="337">
        <f>'30Year'!B48</f>
        <v>2013</v>
      </c>
      <c r="C12" s="260">
        <f>'30Year'!C48</f>
        <v>46.2</v>
      </c>
      <c r="D12" s="260">
        <f>'30Year'!D48</f>
        <v>54.2</v>
      </c>
      <c r="E12" s="260">
        <f>'30Year'!E48</f>
        <v>52.8</v>
      </c>
      <c r="F12" s="260">
        <f>'30Year'!F48</f>
        <v>86.8</v>
      </c>
      <c r="G12" s="260">
        <f>'30Year'!G48</f>
        <v>110.4</v>
      </c>
      <c r="H12" s="260">
        <f>'30Year'!H48</f>
        <v>162.6</v>
      </c>
      <c r="I12" s="260">
        <f>'30Year'!I48</f>
        <v>218.7</v>
      </c>
      <c r="J12" s="260">
        <f>'30Year'!J48</f>
        <v>126.6</v>
      </c>
      <c r="K12" s="260">
        <f>'30Year'!K48</f>
        <v>146.4</v>
      </c>
      <c r="L12" s="260">
        <f>'30Year'!L48</f>
        <v>19.899999999999999</v>
      </c>
      <c r="M12" s="260">
        <f>'30Year'!M48</f>
        <v>63.5</v>
      </c>
      <c r="N12" s="260">
        <f>'30Year'!N48</f>
        <v>32.799999999999997</v>
      </c>
      <c r="O12" s="260">
        <f>'30Year'!O48</f>
        <v>1120.9000000000001</v>
      </c>
      <c r="P12" s="338">
        <f>'30Year'!P48</f>
        <v>93.4</v>
      </c>
    </row>
    <row r="13" spans="2:16" ht="18" customHeight="1">
      <c r="B13" s="337">
        <f>'30Year'!B49</f>
        <v>2014</v>
      </c>
      <c r="C13" s="260">
        <f>'30Year'!C49</f>
        <v>6.5</v>
      </c>
      <c r="D13" s="260">
        <f>'30Year'!D49</f>
        <v>8.5</v>
      </c>
      <c r="E13" s="260">
        <f>'30Year'!E49</f>
        <v>67.2</v>
      </c>
      <c r="F13" s="260">
        <f>'30Year'!F49</f>
        <v>59.4</v>
      </c>
      <c r="G13" s="260">
        <f>'30Year'!G49</f>
        <v>49.7</v>
      </c>
      <c r="H13" s="260">
        <f>'30Year'!H49</f>
        <v>143.69999999999999</v>
      </c>
      <c r="I13" s="260">
        <f>'30Year'!I49</f>
        <v>177.2</v>
      </c>
      <c r="J13" s="260">
        <f>'30Year'!J49</f>
        <v>240.9</v>
      </c>
      <c r="K13" s="260">
        <f>'30Year'!K49</f>
        <v>118</v>
      </c>
      <c r="L13" s="260">
        <f>'30Year'!L49</f>
        <v>169.4</v>
      </c>
      <c r="M13" s="260">
        <f>'30Year'!M49</f>
        <v>40.700000000000003</v>
      </c>
      <c r="N13" s="260">
        <f>'30Year'!N49</f>
        <v>36.700000000000003</v>
      </c>
      <c r="O13" s="260">
        <f>'30Year'!O49</f>
        <v>1117.9000000000001</v>
      </c>
      <c r="P13" s="338">
        <f>'30Year'!P49</f>
        <v>93.2</v>
      </c>
    </row>
    <row r="14" spans="2:16" ht="18" customHeight="1">
      <c r="B14" s="337">
        <f>'30Year'!B50</f>
        <v>2015</v>
      </c>
      <c r="C14" s="260">
        <f>'30Year'!C50</f>
        <v>31.5</v>
      </c>
      <c r="D14" s="260">
        <f>'30Year'!D50</f>
        <v>27</v>
      </c>
      <c r="E14" s="260">
        <f>'30Year'!E50</f>
        <v>44.7</v>
      </c>
      <c r="F14" s="260">
        <f>'30Year'!F50</f>
        <v>95.2</v>
      </c>
      <c r="G14" s="260">
        <f>'30Year'!G50</f>
        <v>28.9</v>
      </c>
      <c r="H14" s="260">
        <f>'30Year'!H50</f>
        <v>119.8</v>
      </c>
      <c r="I14" s="260">
        <f>'30Year'!I50</f>
        <v>145.6</v>
      </c>
      <c r="J14" s="260">
        <f>'30Year'!J50</f>
        <v>51.6</v>
      </c>
      <c r="K14" s="260">
        <f>'30Year'!K50</f>
        <v>18.5</v>
      </c>
      <c r="L14" s="260">
        <f>'30Year'!L50</f>
        <v>94.1</v>
      </c>
      <c r="M14" s="260">
        <f>'30Year'!M50</f>
        <v>126</v>
      </c>
      <c r="N14" s="260">
        <f>'30Year'!N50</f>
        <v>39.700000000000003</v>
      </c>
      <c r="O14" s="260">
        <f>'30Year'!O50</f>
        <v>822.6</v>
      </c>
      <c r="P14" s="338">
        <f>'30Year'!P50</f>
        <v>68.599999999999994</v>
      </c>
    </row>
    <row r="15" spans="2:16" ht="18" customHeight="1">
      <c r="B15" s="337">
        <f>'30Year'!B51</f>
        <v>2016</v>
      </c>
      <c r="C15" s="260">
        <f>'30Year'!C51</f>
        <v>11.6</v>
      </c>
      <c r="D15" s="260">
        <f>'30Year'!D51</f>
        <v>45.8</v>
      </c>
      <c r="E15" s="260">
        <f>'30Year'!E51</f>
        <v>40.299999999999997</v>
      </c>
      <c r="F15" s="260">
        <f>'30Year'!F51</f>
        <v>154.9</v>
      </c>
      <c r="G15" s="260">
        <f>'30Year'!G51</f>
        <v>85.1</v>
      </c>
      <c r="H15" s="260">
        <f>'30Year'!H51</f>
        <v>62.5</v>
      </c>
      <c r="I15" s="260">
        <f>'30Year'!I51</f>
        <v>367.9</v>
      </c>
      <c r="J15" s="260">
        <f>'30Year'!J51</f>
        <v>57.4</v>
      </c>
      <c r="K15" s="260">
        <f>'30Year'!K51</f>
        <v>196</v>
      </c>
      <c r="L15" s="260">
        <f>'30Year'!L51</f>
        <v>122.6</v>
      </c>
      <c r="M15" s="260">
        <f>'30Year'!M51</f>
        <v>29.5</v>
      </c>
      <c r="N15" s="260">
        <f>'30Year'!N51</f>
        <v>54.8</v>
      </c>
      <c r="O15" s="260">
        <f>'30Year'!O51</f>
        <v>1228.4000000000001</v>
      </c>
      <c r="P15" s="338">
        <f>'30Year'!P51</f>
        <v>102.4</v>
      </c>
    </row>
    <row r="16" spans="2:16" ht="18" customHeight="1">
      <c r="B16" s="337">
        <f>'30Year'!B52</f>
        <v>2017</v>
      </c>
      <c r="C16" s="260">
        <f>'30Year'!C52</f>
        <v>15</v>
      </c>
      <c r="D16" s="260">
        <f>'30Year'!D52</f>
        <v>42</v>
      </c>
      <c r="E16" s="260">
        <f>'30Year'!E52</f>
        <v>11.6</v>
      </c>
      <c r="F16" s="260">
        <f>'30Year'!F52</f>
        <v>77.7</v>
      </c>
      <c r="G16" s="260">
        <f>'30Year'!G52</f>
        <v>29.3</v>
      </c>
      <c r="H16" s="260">
        <f>'30Year'!H52</f>
        <v>35.299999999999997</v>
      </c>
      <c r="I16" s="260">
        <f>'30Year'!I52</f>
        <v>434.5</v>
      </c>
      <c r="J16" s="260">
        <f>'30Year'!J52</f>
        <v>293.8</v>
      </c>
      <c r="K16" s="260">
        <f>'30Year'!K52</f>
        <v>111.4</v>
      </c>
      <c r="L16" s="260">
        <f>'30Year'!L52</f>
        <v>28.3</v>
      </c>
      <c r="M16" s="260">
        <f>'30Year'!M52</f>
        <v>15.1</v>
      </c>
      <c r="N16" s="260">
        <f>'30Year'!N52</f>
        <v>33.5</v>
      </c>
      <c r="O16" s="260">
        <f>'30Year'!O52</f>
        <v>1127.5</v>
      </c>
      <c r="P16" s="338">
        <f>'30Year'!P52</f>
        <v>94</v>
      </c>
    </row>
    <row r="17" spans="2:16" ht="18" customHeight="1">
      <c r="B17" s="337">
        <f>'30Year'!B53</f>
        <v>2018</v>
      </c>
      <c r="C17" s="260">
        <f>'30Year'!C53</f>
        <v>23.9</v>
      </c>
      <c r="D17" s="260">
        <f>'30Year'!D53</f>
        <v>40.5</v>
      </c>
      <c r="E17" s="260">
        <f>'30Year'!E53</f>
        <v>108.4</v>
      </c>
      <c r="F17" s="260">
        <f>'30Year'!F53</f>
        <v>155.30000000000001</v>
      </c>
      <c r="G17" s="260">
        <f>'30Year'!G53</f>
        <v>95.9</v>
      </c>
      <c r="H17" s="260">
        <f>'30Year'!H53</f>
        <v>115.8</v>
      </c>
      <c r="I17" s="260">
        <f>'30Year'!I53</f>
        <v>226.9</v>
      </c>
      <c r="J17" s="260">
        <f>'30Year'!J53</f>
        <v>408.6</v>
      </c>
      <c r="K17" s="260">
        <f>'30Year'!K53</f>
        <v>149.4</v>
      </c>
      <c r="L17" s="260">
        <f>'30Year'!L53</f>
        <v>133.9</v>
      </c>
      <c r="M17" s="260">
        <f>'30Year'!M53</f>
        <v>49.8</v>
      </c>
      <c r="N17" s="260">
        <f>'30Year'!N53</f>
        <v>33.700000000000003</v>
      </c>
      <c r="O17" s="260">
        <f>'30Year'!O53</f>
        <v>1542.1</v>
      </c>
      <c r="P17" s="338">
        <f>'30Year'!P53</f>
        <v>128.5</v>
      </c>
    </row>
    <row r="18" spans="2:16" ht="18" customHeight="1">
      <c r="B18" s="346" t="s">
        <v>21</v>
      </c>
      <c r="C18" s="261">
        <f>'30Year'!C56</f>
        <v>21.7</v>
      </c>
      <c r="D18" s="261">
        <f>'30Year'!D56</f>
        <v>37.4</v>
      </c>
      <c r="E18" s="261">
        <f>'30Year'!E56</f>
        <v>55.9</v>
      </c>
      <c r="F18" s="261">
        <f>'30Year'!F56</f>
        <v>89</v>
      </c>
      <c r="G18" s="261">
        <f>'30Year'!G56</f>
        <v>82.7</v>
      </c>
      <c r="H18" s="261">
        <f>'30Year'!H56</f>
        <v>124.2</v>
      </c>
      <c r="I18" s="261">
        <f>'30Year'!I56</f>
        <v>308.8</v>
      </c>
      <c r="J18" s="261">
        <f>'30Year'!J56</f>
        <v>258.8</v>
      </c>
      <c r="K18" s="261">
        <f>'30Year'!K56</f>
        <v>137</v>
      </c>
      <c r="L18" s="261">
        <f>'30Year'!L56</f>
        <v>72.900000000000006</v>
      </c>
      <c r="M18" s="261">
        <f>'30Year'!M56</f>
        <v>55.7</v>
      </c>
      <c r="N18" s="261">
        <f>'30Year'!N56</f>
        <v>38.1</v>
      </c>
      <c r="O18" s="261">
        <f>'30Year'!O56</f>
        <v>1282.2</v>
      </c>
      <c r="P18" s="347">
        <f>'30Year'!P56</f>
        <v>106.9</v>
      </c>
    </row>
    <row r="19" spans="2:16" ht="18" customHeight="1" thickBot="1">
      <c r="B19" s="348" t="s">
        <v>22</v>
      </c>
      <c r="C19" s="349">
        <f>'30Year'!C38</f>
        <v>28.3</v>
      </c>
      <c r="D19" s="349">
        <f>'30Year'!D38</f>
        <v>39.1</v>
      </c>
      <c r="E19" s="349">
        <f>'30Year'!E38</f>
        <v>54.2</v>
      </c>
      <c r="F19" s="349">
        <f>'30Year'!F38</f>
        <v>81.7</v>
      </c>
      <c r="G19" s="349">
        <f>'30Year'!G38</f>
        <v>93.4</v>
      </c>
      <c r="H19" s="349">
        <f>'30Year'!H38</f>
        <v>173.2</v>
      </c>
      <c r="I19" s="349">
        <f>'30Year'!I38</f>
        <v>310.3</v>
      </c>
      <c r="J19" s="349">
        <f>'30Year'!J38</f>
        <v>295</v>
      </c>
      <c r="K19" s="349">
        <f>'30Year'!K38</f>
        <v>157</v>
      </c>
      <c r="L19" s="349">
        <f>'30Year'!L38</f>
        <v>56.9</v>
      </c>
      <c r="M19" s="349">
        <f>'30Year'!M38</f>
        <v>46.8</v>
      </c>
      <c r="N19" s="349">
        <f>'30Year'!N38</f>
        <v>29.9</v>
      </c>
      <c r="O19" s="349">
        <f>'30Year'!O38</f>
        <v>1365.8</v>
      </c>
      <c r="P19" s="350">
        <f>'30Year'!P38</f>
        <v>113.8</v>
      </c>
    </row>
    <row r="20" spans="2:16" ht="18" customHeight="1"/>
    <row r="21" spans="2:16" ht="18" customHeight="1" thickBot="1"/>
    <row r="22" spans="2:16" ht="18" customHeight="1">
      <c r="B22" s="335" t="s">
        <v>38</v>
      </c>
      <c r="C22" s="336" t="s">
        <v>225</v>
      </c>
    </row>
    <row r="23" spans="2:16" ht="18" customHeight="1">
      <c r="B23" s="337">
        <f>B8</f>
        <v>2009</v>
      </c>
      <c r="C23" s="338">
        <f>O8</f>
        <v>1090.4000000000001</v>
      </c>
    </row>
    <row r="24" spans="2:16" ht="18" customHeight="1">
      <c r="B24" s="337">
        <f t="shared" ref="B24:B32" si="0">B9</f>
        <v>2010</v>
      </c>
      <c r="C24" s="338">
        <f t="shared" ref="C24:C32" si="1">O9</f>
        <v>1419.7</v>
      </c>
    </row>
    <row r="25" spans="2:16" ht="18" customHeight="1">
      <c r="B25" s="337">
        <f t="shared" si="0"/>
        <v>2011</v>
      </c>
      <c r="C25" s="338">
        <f t="shared" si="1"/>
        <v>1943.4</v>
      </c>
    </row>
    <row r="26" spans="2:16" ht="18" customHeight="1">
      <c r="B26" s="337">
        <f t="shared" si="0"/>
        <v>2012</v>
      </c>
      <c r="C26" s="338">
        <f t="shared" si="1"/>
        <v>1409.5</v>
      </c>
    </row>
    <row r="27" spans="2:16" ht="18" customHeight="1">
      <c r="B27" s="337">
        <f t="shared" si="0"/>
        <v>2013</v>
      </c>
      <c r="C27" s="338">
        <f t="shared" si="1"/>
        <v>1120.9000000000001</v>
      </c>
    </row>
    <row r="28" spans="2:16" ht="18" customHeight="1">
      <c r="B28" s="337">
        <f t="shared" si="0"/>
        <v>2014</v>
      </c>
      <c r="C28" s="338">
        <f t="shared" si="1"/>
        <v>1117.9000000000001</v>
      </c>
    </row>
    <row r="29" spans="2:16" ht="18" customHeight="1">
      <c r="B29" s="337">
        <f t="shared" si="0"/>
        <v>2015</v>
      </c>
      <c r="C29" s="338">
        <f t="shared" si="1"/>
        <v>822.6</v>
      </c>
    </row>
    <row r="30" spans="2:16" ht="18" customHeight="1">
      <c r="B30" s="337">
        <f t="shared" si="0"/>
        <v>2016</v>
      </c>
      <c r="C30" s="338">
        <f t="shared" si="1"/>
        <v>1228.4000000000001</v>
      </c>
    </row>
    <row r="31" spans="2:16" ht="18" customHeight="1">
      <c r="B31" s="337">
        <f t="shared" si="0"/>
        <v>2017</v>
      </c>
      <c r="C31" s="338">
        <f t="shared" si="1"/>
        <v>1127.5</v>
      </c>
    </row>
    <row r="32" spans="2:16" ht="18" customHeight="1">
      <c r="B32" s="337">
        <f t="shared" si="0"/>
        <v>2018</v>
      </c>
      <c r="C32" s="338">
        <f t="shared" si="1"/>
        <v>1542.1</v>
      </c>
    </row>
    <row r="33" spans="2:3" ht="18" customHeight="1" thickBot="1">
      <c r="B33" s="339" t="s">
        <v>39</v>
      </c>
      <c r="C33" s="340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1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S11" sqref="S11"/>
    </sheetView>
  </sheetViews>
  <sheetFormatPr defaultColWidth="8.88671875" defaultRowHeight="16.5"/>
  <cols>
    <col min="1" max="2" width="8.88671875" style="223"/>
    <col min="3" max="14" width="9" style="223" bestFit="1" customWidth="1"/>
    <col min="15" max="15" width="9.33203125" style="223" bestFit="1" customWidth="1"/>
    <col min="16" max="16" width="9" style="223" bestFit="1" customWidth="1"/>
    <col min="17" max="16384" width="8.88671875" style="223"/>
  </cols>
  <sheetData>
    <row r="1" spans="2:15">
      <c r="B1" s="223" t="s">
        <v>40</v>
      </c>
    </row>
    <row r="2" spans="2:15" ht="17.25" thickBot="1"/>
    <row r="3" spans="2:15" s="225" customFormat="1">
      <c r="B3" s="335"/>
      <c r="C3" s="341" t="s">
        <v>41</v>
      </c>
      <c r="D3" s="341" t="s">
        <v>42</v>
      </c>
      <c r="E3" s="341" t="s">
        <v>43</v>
      </c>
      <c r="F3" s="341" t="s">
        <v>44</v>
      </c>
      <c r="G3" s="341" t="s">
        <v>45</v>
      </c>
      <c r="H3" s="341" t="s">
        <v>13</v>
      </c>
      <c r="I3" s="341" t="s">
        <v>14</v>
      </c>
      <c r="J3" s="341" t="s">
        <v>15</v>
      </c>
      <c r="K3" s="341" t="s">
        <v>16</v>
      </c>
      <c r="L3" s="341" t="s">
        <v>17</v>
      </c>
      <c r="M3" s="341" t="s">
        <v>18</v>
      </c>
      <c r="N3" s="341" t="s">
        <v>19</v>
      </c>
      <c r="O3" s="342" t="s">
        <v>39</v>
      </c>
    </row>
    <row r="4" spans="2:15" ht="17.25" thickBot="1">
      <c r="B4" s="343" t="s">
        <v>39</v>
      </c>
      <c r="C4" s="344">
        <f>'30Year'!C56</f>
        <v>21.7</v>
      </c>
      <c r="D4" s="344">
        <f>'30Year'!D56</f>
        <v>37.4</v>
      </c>
      <c r="E4" s="344">
        <f>'30Year'!E56</f>
        <v>55.9</v>
      </c>
      <c r="F4" s="344">
        <f>'30Year'!F56</f>
        <v>89</v>
      </c>
      <c r="G4" s="344">
        <f>'30Year'!G56</f>
        <v>82.7</v>
      </c>
      <c r="H4" s="344">
        <f>'30Year'!H56</f>
        <v>124.2</v>
      </c>
      <c r="I4" s="344">
        <f>'30Year'!I56</f>
        <v>308.8</v>
      </c>
      <c r="J4" s="344">
        <f>'30Year'!J56</f>
        <v>258.8</v>
      </c>
      <c r="K4" s="344">
        <f>'30Year'!K56</f>
        <v>137</v>
      </c>
      <c r="L4" s="344">
        <f>'30Year'!L56</f>
        <v>72.900000000000006</v>
      </c>
      <c r="M4" s="344">
        <f>'30Year'!M56</f>
        <v>55.7</v>
      </c>
      <c r="N4" s="344">
        <f>'30Year'!N56</f>
        <v>38.1</v>
      </c>
      <c r="O4" s="345">
        <f>'30Year'!P56</f>
        <v>106.9</v>
      </c>
    </row>
  </sheetData>
  <phoneticPr fontId="1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0"/>
  <sheetViews>
    <sheetView zoomScaleNormal="100" workbookViewId="0">
      <selection activeCell="S15" sqref="S15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26" t="s">
        <v>205</v>
      </c>
    </row>
    <row r="3" spans="2:16" ht="17.25" thickBot="1"/>
    <row r="4" spans="2:16" ht="23.25" customHeight="1">
      <c r="B4" s="326"/>
      <c r="C4" s="320" t="s">
        <v>8</v>
      </c>
      <c r="D4" s="307" t="s">
        <v>9</v>
      </c>
      <c r="E4" s="307" t="s">
        <v>10</v>
      </c>
      <c r="F4" s="307" t="s">
        <v>11</v>
      </c>
      <c r="G4" s="307" t="s">
        <v>12</v>
      </c>
      <c r="H4" s="307" t="s">
        <v>13</v>
      </c>
      <c r="I4" s="307" t="s">
        <v>14</v>
      </c>
      <c r="J4" s="307" t="s">
        <v>15</v>
      </c>
      <c r="K4" s="307" t="s">
        <v>16</v>
      </c>
      <c r="L4" s="307" t="s">
        <v>17</v>
      </c>
      <c r="M4" s="307" t="s">
        <v>18</v>
      </c>
      <c r="N4" s="308" t="s">
        <v>19</v>
      </c>
      <c r="O4" s="320" t="s">
        <v>20</v>
      </c>
      <c r="P4" s="308" t="s">
        <v>21</v>
      </c>
    </row>
    <row r="5" spans="2:16" ht="22.15" customHeight="1">
      <c r="B5" s="327">
        <f>'30Year'!B44</f>
        <v>2009</v>
      </c>
      <c r="C5" s="321">
        <f>'30Year'!C44</f>
        <v>15.4</v>
      </c>
      <c r="D5" s="306">
        <f>'30Year'!D44</f>
        <v>27.5</v>
      </c>
      <c r="E5" s="306">
        <f>'30Year'!E44</f>
        <v>60.3</v>
      </c>
      <c r="F5" s="306">
        <f>'30Year'!F44</f>
        <v>34.5</v>
      </c>
      <c r="G5" s="306">
        <f>'30Year'!G44</f>
        <v>124.3</v>
      </c>
      <c r="H5" s="306">
        <f>'30Year'!H44</f>
        <v>87.3</v>
      </c>
      <c r="I5" s="306">
        <f>'30Year'!I44</f>
        <v>429.2</v>
      </c>
      <c r="J5" s="306">
        <f>'30Year'!J44</f>
        <v>148.30000000000001</v>
      </c>
      <c r="K5" s="306">
        <f>'30Year'!K44</f>
        <v>46</v>
      </c>
      <c r="L5" s="306">
        <f>'30Year'!L44</f>
        <v>24.7</v>
      </c>
      <c r="M5" s="306">
        <f>'30Year'!M44</f>
        <v>54.7</v>
      </c>
      <c r="N5" s="309">
        <f>'30Year'!N44</f>
        <v>38.200000000000003</v>
      </c>
      <c r="O5" s="321">
        <f>'30Year'!O44</f>
        <v>1090.4000000000001</v>
      </c>
      <c r="P5" s="309">
        <f>'30Year'!P44</f>
        <v>90.9</v>
      </c>
    </row>
    <row r="6" spans="2:16" ht="22.15" customHeight="1">
      <c r="B6" s="327">
        <f>'30Year'!B45</f>
        <v>2010</v>
      </c>
      <c r="C6" s="321">
        <f>'30Year'!C45</f>
        <v>46.4</v>
      </c>
      <c r="D6" s="306">
        <f>'30Year'!D45</f>
        <v>81.5</v>
      </c>
      <c r="E6" s="306">
        <f>'30Year'!E45</f>
        <v>100.1</v>
      </c>
      <c r="F6" s="306">
        <f>'30Year'!F45</f>
        <v>88.5</v>
      </c>
      <c r="G6" s="306">
        <f>'30Year'!G45</f>
        <v>117.6</v>
      </c>
      <c r="H6" s="306">
        <f>'30Year'!H45</f>
        <v>65.599999999999994</v>
      </c>
      <c r="I6" s="306">
        <f>'30Year'!I45</f>
        <v>223.1</v>
      </c>
      <c r="J6" s="306">
        <f>'30Year'!J45</f>
        <v>376.4</v>
      </c>
      <c r="K6" s="306">
        <f>'30Year'!K45</f>
        <v>250.5</v>
      </c>
      <c r="L6" s="306">
        <f>'30Year'!L45</f>
        <v>17.899999999999999</v>
      </c>
      <c r="M6" s="306">
        <f>'30Year'!M45</f>
        <v>16.399999999999999</v>
      </c>
      <c r="N6" s="309">
        <f>'30Year'!N45</f>
        <v>35.700000000000003</v>
      </c>
      <c r="O6" s="321">
        <f>'30Year'!O45</f>
        <v>1419.7</v>
      </c>
      <c r="P6" s="309">
        <f>'30Year'!P45</f>
        <v>118.3</v>
      </c>
    </row>
    <row r="7" spans="2:16" ht="22.15" customHeight="1">
      <c r="B7" s="327">
        <f>'30Year'!B46</f>
        <v>2011</v>
      </c>
      <c r="C7" s="321">
        <f>'30Year'!C46</f>
        <v>4</v>
      </c>
      <c r="D7" s="306">
        <f>'30Year'!D46</f>
        <v>44.8</v>
      </c>
      <c r="E7" s="306">
        <f>'30Year'!E46</f>
        <v>19</v>
      </c>
      <c r="F7" s="306">
        <f>'30Year'!F46</f>
        <v>71</v>
      </c>
      <c r="G7" s="306">
        <f>'30Year'!G46</f>
        <v>162</v>
      </c>
      <c r="H7" s="306">
        <f>'30Year'!H46</f>
        <v>391.6</v>
      </c>
      <c r="I7" s="306">
        <f>'30Year'!I46</f>
        <v>587.29999999999995</v>
      </c>
      <c r="J7" s="306">
        <f>'30Year'!J46</f>
        <v>420.3</v>
      </c>
      <c r="K7" s="306">
        <f>'30Year'!K46</f>
        <v>91.7</v>
      </c>
      <c r="L7" s="306">
        <f>'30Year'!L46</f>
        <v>37</v>
      </c>
      <c r="M7" s="306">
        <f>'30Year'!M46</f>
        <v>103.2</v>
      </c>
      <c r="N7" s="309">
        <f>'30Year'!N46</f>
        <v>11.5</v>
      </c>
      <c r="O7" s="321">
        <f>'30Year'!O46</f>
        <v>1943.4</v>
      </c>
      <c r="P7" s="309">
        <f>'30Year'!P46</f>
        <v>162</v>
      </c>
    </row>
    <row r="8" spans="2:16" ht="22.15" customHeight="1">
      <c r="B8" s="327">
        <f>'30Year'!B47</f>
        <v>2012</v>
      </c>
      <c r="C8" s="321">
        <f>'30Year'!C47</f>
        <v>16.399999999999999</v>
      </c>
      <c r="D8" s="306">
        <f>'30Year'!D47</f>
        <v>2.5</v>
      </c>
      <c r="E8" s="306">
        <f>'30Year'!E47</f>
        <v>54.6</v>
      </c>
      <c r="F8" s="306">
        <f>'30Year'!F47</f>
        <v>66.2</v>
      </c>
      <c r="G8" s="306">
        <f>'30Year'!G47</f>
        <v>24</v>
      </c>
      <c r="H8" s="306">
        <f>'30Year'!H47</f>
        <v>57.8</v>
      </c>
      <c r="I8" s="306">
        <f>'30Year'!I47</f>
        <v>277.60000000000002</v>
      </c>
      <c r="J8" s="306">
        <f>'30Year'!J47</f>
        <v>463.6</v>
      </c>
      <c r="K8" s="306">
        <f>'30Year'!K47</f>
        <v>242.5</v>
      </c>
      <c r="L8" s="306">
        <f>'30Year'!L47</f>
        <v>81.3</v>
      </c>
      <c r="M8" s="306">
        <f>'30Year'!M47</f>
        <v>58.4</v>
      </c>
      <c r="N8" s="309">
        <f>'30Year'!N47</f>
        <v>64.599999999999994</v>
      </c>
      <c r="O8" s="321">
        <f>'30Year'!O47</f>
        <v>1409.5</v>
      </c>
      <c r="P8" s="309">
        <f>'30Year'!P47</f>
        <v>117.5</v>
      </c>
    </row>
    <row r="9" spans="2:16" ht="22.15" customHeight="1">
      <c r="B9" s="327">
        <f>'30Year'!B48</f>
        <v>2013</v>
      </c>
      <c r="C9" s="321">
        <f>'30Year'!C48</f>
        <v>46.2</v>
      </c>
      <c r="D9" s="306">
        <f>'30Year'!D48</f>
        <v>54.2</v>
      </c>
      <c r="E9" s="306">
        <f>'30Year'!E48</f>
        <v>52.8</v>
      </c>
      <c r="F9" s="306">
        <f>'30Year'!F48</f>
        <v>86.8</v>
      </c>
      <c r="G9" s="306">
        <f>'30Year'!G48</f>
        <v>110.4</v>
      </c>
      <c r="H9" s="306">
        <f>'30Year'!H48</f>
        <v>162.6</v>
      </c>
      <c r="I9" s="306">
        <f>'30Year'!I48</f>
        <v>218.7</v>
      </c>
      <c r="J9" s="306">
        <f>'30Year'!J48</f>
        <v>126.6</v>
      </c>
      <c r="K9" s="306">
        <f>'30Year'!K48</f>
        <v>146.4</v>
      </c>
      <c r="L9" s="306">
        <f>'30Year'!L48</f>
        <v>19.899999999999999</v>
      </c>
      <c r="M9" s="306">
        <f>'30Year'!M48</f>
        <v>63.5</v>
      </c>
      <c r="N9" s="309">
        <f>'30Year'!N48</f>
        <v>32.799999999999997</v>
      </c>
      <c r="O9" s="321">
        <f>'30Year'!O48</f>
        <v>1120.9000000000001</v>
      </c>
      <c r="P9" s="309">
        <f>'30Year'!P48</f>
        <v>93.4</v>
      </c>
    </row>
    <row r="10" spans="2:16" ht="22.15" customHeight="1">
      <c r="B10" s="327">
        <f>'30Year'!B49</f>
        <v>2014</v>
      </c>
      <c r="C10" s="321">
        <f>'30Year'!C49</f>
        <v>6.5</v>
      </c>
      <c r="D10" s="306">
        <f>'30Year'!D49</f>
        <v>8.5</v>
      </c>
      <c r="E10" s="306">
        <f>'30Year'!E49</f>
        <v>67.2</v>
      </c>
      <c r="F10" s="306">
        <f>'30Year'!F49</f>
        <v>59.4</v>
      </c>
      <c r="G10" s="306">
        <f>'30Year'!G49</f>
        <v>49.7</v>
      </c>
      <c r="H10" s="306">
        <f>'30Year'!H49</f>
        <v>143.69999999999999</v>
      </c>
      <c r="I10" s="306">
        <f>'30Year'!I49</f>
        <v>177.2</v>
      </c>
      <c r="J10" s="306">
        <f>'30Year'!J49</f>
        <v>240.9</v>
      </c>
      <c r="K10" s="306">
        <f>'30Year'!K49</f>
        <v>118</v>
      </c>
      <c r="L10" s="306">
        <f>'30Year'!L49</f>
        <v>169.4</v>
      </c>
      <c r="M10" s="306">
        <f>'30Year'!M49</f>
        <v>40.700000000000003</v>
      </c>
      <c r="N10" s="309">
        <f>'30Year'!N49</f>
        <v>36.700000000000003</v>
      </c>
      <c r="O10" s="321">
        <f>'30Year'!O49</f>
        <v>1117.9000000000001</v>
      </c>
      <c r="P10" s="309">
        <f>'30Year'!P49</f>
        <v>93.2</v>
      </c>
    </row>
    <row r="11" spans="2:16" ht="22.15" customHeight="1">
      <c r="B11" s="327">
        <f>'30Year'!B50</f>
        <v>2015</v>
      </c>
      <c r="C11" s="321">
        <f>'30Year'!C50</f>
        <v>31.5</v>
      </c>
      <c r="D11" s="306">
        <f>'30Year'!D50</f>
        <v>27</v>
      </c>
      <c r="E11" s="306">
        <f>'30Year'!E50</f>
        <v>44.7</v>
      </c>
      <c r="F11" s="306">
        <f>'30Year'!F50</f>
        <v>95.2</v>
      </c>
      <c r="G11" s="306">
        <f>'30Year'!G50</f>
        <v>28.9</v>
      </c>
      <c r="H11" s="306">
        <f>'30Year'!H50</f>
        <v>119.8</v>
      </c>
      <c r="I11" s="306">
        <f>'30Year'!I50</f>
        <v>145.6</v>
      </c>
      <c r="J11" s="306">
        <f>'30Year'!J50</f>
        <v>51.6</v>
      </c>
      <c r="K11" s="306">
        <f>'30Year'!K50</f>
        <v>18.5</v>
      </c>
      <c r="L11" s="306">
        <f>'30Year'!L50</f>
        <v>94.1</v>
      </c>
      <c r="M11" s="306">
        <f>'30Year'!M50</f>
        <v>126</v>
      </c>
      <c r="N11" s="309">
        <f>'30Year'!N50</f>
        <v>39.700000000000003</v>
      </c>
      <c r="O11" s="321">
        <f>'30Year'!O50</f>
        <v>822.6</v>
      </c>
      <c r="P11" s="309">
        <f>'30Year'!P50</f>
        <v>68.599999999999994</v>
      </c>
    </row>
    <row r="12" spans="2:16" ht="22.15" customHeight="1">
      <c r="B12" s="327">
        <f>'30Year'!B51</f>
        <v>2016</v>
      </c>
      <c r="C12" s="321">
        <f>'30Year'!C51</f>
        <v>11.6</v>
      </c>
      <c r="D12" s="306">
        <f>'30Year'!D51</f>
        <v>45.8</v>
      </c>
      <c r="E12" s="306">
        <f>'30Year'!E51</f>
        <v>40.299999999999997</v>
      </c>
      <c r="F12" s="306">
        <f>'30Year'!F51</f>
        <v>154.9</v>
      </c>
      <c r="G12" s="306">
        <f>'30Year'!G51</f>
        <v>85.1</v>
      </c>
      <c r="H12" s="306">
        <f>'30Year'!H51</f>
        <v>62.5</v>
      </c>
      <c r="I12" s="306">
        <f>'30Year'!I51</f>
        <v>367.9</v>
      </c>
      <c r="J12" s="306">
        <f>'30Year'!J51</f>
        <v>57.4</v>
      </c>
      <c r="K12" s="306">
        <f>'30Year'!K51</f>
        <v>196</v>
      </c>
      <c r="L12" s="306">
        <f>'30Year'!L51</f>
        <v>122.6</v>
      </c>
      <c r="M12" s="306">
        <f>'30Year'!M51</f>
        <v>29.5</v>
      </c>
      <c r="N12" s="309">
        <f>'30Year'!N51</f>
        <v>54.8</v>
      </c>
      <c r="O12" s="321">
        <f>'30Year'!O51</f>
        <v>1228.4000000000001</v>
      </c>
      <c r="P12" s="309">
        <f>'30Year'!P51</f>
        <v>102.4</v>
      </c>
    </row>
    <row r="13" spans="2:16" ht="22.15" customHeight="1">
      <c r="B13" s="327">
        <f>'30Year'!B52</f>
        <v>2017</v>
      </c>
      <c r="C13" s="321">
        <f>'30Year'!C52</f>
        <v>15</v>
      </c>
      <c r="D13" s="306">
        <f>'30Year'!D52</f>
        <v>42</v>
      </c>
      <c r="E13" s="306">
        <f>'30Year'!E52</f>
        <v>11.6</v>
      </c>
      <c r="F13" s="306">
        <f>'30Year'!F52</f>
        <v>77.7</v>
      </c>
      <c r="G13" s="306">
        <f>'30Year'!G52</f>
        <v>29.3</v>
      </c>
      <c r="H13" s="306">
        <f>'30Year'!H52</f>
        <v>35.299999999999997</v>
      </c>
      <c r="I13" s="306">
        <f>'30Year'!I52</f>
        <v>434.5</v>
      </c>
      <c r="J13" s="306">
        <f>'30Year'!J52</f>
        <v>293.8</v>
      </c>
      <c r="K13" s="306">
        <f>'30Year'!K52</f>
        <v>111.4</v>
      </c>
      <c r="L13" s="306">
        <f>'30Year'!L52</f>
        <v>28.3</v>
      </c>
      <c r="M13" s="306">
        <f>'30Year'!M52</f>
        <v>15.1</v>
      </c>
      <c r="N13" s="309">
        <f>'30Year'!N52</f>
        <v>33.5</v>
      </c>
      <c r="O13" s="321">
        <f>'30Year'!O52</f>
        <v>1127.5</v>
      </c>
      <c r="P13" s="309">
        <f>'30Year'!P52</f>
        <v>94</v>
      </c>
    </row>
    <row r="14" spans="2:16" ht="22.15" customHeight="1" thickBot="1">
      <c r="B14" s="328">
        <f>'30Year'!B53</f>
        <v>2018</v>
      </c>
      <c r="C14" s="322">
        <f>'30Year'!C53</f>
        <v>23.9</v>
      </c>
      <c r="D14" s="312">
        <f>'30Year'!D53</f>
        <v>40.5</v>
      </c>
      <c r="E14" s="312">
        <f>'30Year'!E53</f>
        <v>108.4</v>
      </c>
      <c r="F14" s="312">
        <f>'30Year'!F53</f>
        <v>155.30000000000001</v>
      </c>
      <c r="G14" s="312">
        <f>'30Year'!G53</f>
        <v>95.9</v>
      </c>
      <c r="H14" s="312">
        <f>'30Year'!H53</f>
        <v>115.8</v>
      </c>
      <c r="I14" s="312">
        <f>'30Year'!I53</f>
        <v>226.9</v>
      </c>
      <c r="J14" s="312">
        <f>'30Year'!J53</f>
        <v>408.6</v>
      </c>
      <c r="K14" s="312">
        <f>'30Year'!K53</f>
        <v>149.4</v>
      </c>
      <c r="L14" s="312">
        <f>'30Year'!L53</f>
        <v>133.9</v>
      </c>
      <c r="M14" s="312">
        <f>'30Year'!M53</f>
        <v>49.8</v>
      </c>
      <c r="N14" s="313">
        <f>'30Year'!N53</f>
        <v>33.700000000000003</v>
      </c>
      <c r="O14" s="322">
        <f>'30Year'!O53</f>
        <v>1542.1</v>
      </c>
      <c r="P14" s="313">
        <f>'30Year'!P53</f>
        <v>128.5</v>
      </c>
    </row>
    <row r="15" spans="2:16" ht="22.15" customHeight="1">
      <c r="B15" s="329" t="str">
        <f>'30Year'!B54</f>
        <v>최대</v>
      </c>
      <c r="C15" s="323">
        <f>'30Year'!C54</f>
        <v>46.4</v>
      </c>
      <c r="D15" s="317">
        <f>'30Year'!D54</f>
        <v>81.5</v>
      </c>
      <c r="E15" s="317">
        <f>'30Year'!E54</f>
        <v>108.4</v>
      </c>
      <c r="F15" s="317">
        <f>'30Year'!F54</f>
        <v>155.30000000000001</v>
      </c>
      <c r="G15" s="317">
        <f>'30Year'!G54</f>
        <v>162</v>
      </c>
      <c r="H15" s="317">
        <f>'30Year'!H54</f>
        <v>391.6</v>
      </c>
      <c r="I15" s="317">
        <f>'30Year'!I54</f>
        <v>587.29999999999995</v>
      </c>
      <c r="J15" s="317">
        <f>'30Year'!J54</f>
        <v>463.6</v>
      </c>
      <c r="K15" s="317">
        <f>'30Year'!K54</f>
        <v>250.5</v>
      </c>
      <c r="L15" s="317">
        <f>'30Year'!L54</f>
        <v>169.4</v>
      </c>
      <c r="M15" s="317">
        <f>'30Year'!M54</f>
        <v>126</v>
      </c>
      <c r="N15" s="318">
        <f>'30Year'!N54</f>
        <v>64.599999999999994</v>
      </c>
      <c r="O15" s="323">
        <f>'30Year'!O54</f>
        <v>1943.4</v>
      </c>
      <c r="P15" s="318">
        <f>'30Year'!P54</f>
        <v>162</v>
      </c>
    </row>
    <row r="16" spans="2:16" ht="22.15" customHeight="1">
      <c r="B16" s="327" t="str">
        <f>'30Year'!B55</f>
        <v>최소</v>
      </c>
      <c r="C16" s="321">
        <f>'30Year'!C55</f>
        <v>4</v>
      </c>
      <c r="D16" s="306">
        <f>'30Year'!D55</f>
        <v>2.5</v>
      </c>
      <c r="E16" s="306">
        <f>'30Year'!E55</f>
        <v>11.6</v>
      </c>
      <c r="F16" s="306">
        <f>'30Year'!F55</f>
        <v>34.5</v>
      </c>
      <c r="G16" s="306">
        <f>'30Year'!G55</f>
        <v>24</v>
      </c>
      <c r="H16" s="306">
        <f>'30Year'!H55</f>
        <v>35.299999999999997</v>
      </c>
      <c r="I16" s="306">
        <f>'30Year'!I55</f>
        <v>145.6</v>
      </c>
      <c r="J16" s="306">
        <f>'30Year'!J55</f>
        <v>51.6</v>
      </c>
      <c r="K16" s="306">
        <f>'30Year'!K55</f>
        <v>18.5</v>
      </c>
      <c r="L16" s="306">
        <f>'30Year'!L55</f>
        <v>17.899999999999999</v>
      </c>
      <c r="M16" s="306">
        <f>'30Year'!M55</f>
        <v>15.1</v>
      </c>
      <c r="N16" s="309">
        <f>'30Year'!N55</f>
        <v>11.5</v>
      </c>
      <c r="O16" s="332">
        <f>'30Year'!O55</f>
        <v>822.6</v>
      </c>
      <c r="P16" s="309">
        <f>'30Year'!P55</f>
        <v>68.599999999999994</v>
      </c>
    </row>
    <row r="17" spans="2:16" ht="22.15" customHeight="1" thickBot="1">
      <c r="B17" s="330" t="str">
        <f>'30Year'!B56</f>
        <v>평균</v>
      </c>
      <c r="C17" s="324">
        <f>'30Year'!C56</f>
        <v>21.7</v>
      </c>
      <c r="D17" s="310">
        <f>'30Year'!D56</f>
        <v>37.4</v>
      </c>
      <c r="E17" s="310">
        <f>'30Year'!E56</f>
        <v>55.9</v>
      </c>
      <c r="F17" s="310">
        <f>'30Year'!F56</f>
        <v>89</v>
      </c>
      <c r="G17" s="319">
        <f>'30Year'!G56</f>
        <v>82.7</v>
      </c>
      <c r="H17" s="319">
        <f>'30Year'!H56</f>
        <v>124.2</v>
      </c>
      <c r="I17" s="319">
        <f>'30Year'!I56</f>
        <v>308.8</v>
      </c>
      <c r="J17" s="319">
        <f>'30Year'!J56</f>
        <v>258.8</v>
      </c>
      <c r="K17" s="319">
        <f>'30Year'!K56</f>
        <v>137</v>
      </c>
      <c r="L17" s="310">
        <f>'30Year'!L56</f>
        <v>72.900000000000006</v>
      </c>
      <c r="M17" s="310">
        <f>'30Year'!M56</f>
        <v>55.7</v>
      </c>
      <c r="N17" s="311">
        <f>'30Year'!N56</f>
        <v>38.1</v>
      </c>
      <c r="O17" s="324">
        <f>'30Year'!O56</f>
        <v>1282.2</v>
      </c>
      <c r="P17" s="311">
        <f>'30Year'!P56</f>
        <v>106.9</v>
      </c>
    </row>
    <row r="18" spans="2:16" ht="22.15" customHeight="1" thickBot="1">
      <c r="B18" s="331" t="s">
        <v>22</v>
      </c>
      <c r="C18" s="325">
        <f>'30Year'!C38</f>
        <v>28.3</v>
      </c>
      <c r="D18" s="314">
        <f>'30Year'!D38</f>
        <v>39.1</v>
      </c>
      <c r="E18" s="314">
        <f>'30Year'!E38</f>
        <v>54.2</v>
      </c>
      <c r="F18" s="314">
        <f>'30Year'!F38</f>
        <v>81.7</v>
      </c>
      <c r="G18" s="314">
        <f>'30Year'!G38</f>
        <v>93.4</v>
      </c>
      <c r="H18" s="314">
        <f>'30Year'!H38</f>
        <v>173.2</v>
      </c>
      <c r="I18" s="315">
        <f>'30Year'!I38</f>
        <v>310.3</v>
      </c>
      <c r="J18" s="315">
        <f>'30Year'!J38</f>
        <v>295</v>
      </c>
      <c r="K18" s="315">
        <f>'30Year'!K38</f>
        <v>157</v>
      </c>
      <c r="L18" s="315">
        <f>'30Year'!L38</f>
        <v>56.9</v>
      </c>
      <c r="M18" s="315">
        <f>'30Year'!M38</f>
        <v>46.8</v>
      </c>
      <c r="N18" s="316">
        <f>'30Year'!N38</f>
        <v>29.9</v>
      </c>
      <c r="O18" s="333">
        <f>'30Year'!O38</f>
        <v>1365.8</v>
      </c>
      <c r="P18" s="316">
        <f>'30Year'!P38</f>
        <v>113.8</v>
      </c>
    </row>
    <row r="19" spans="2:16" ht="22.15" customHeight="1"/>
    <row r="20" spans="2:16" ht="22.15" customHeight="1"/>
    <row r="21" spans="2:16" ht="17.25" thickBot="1"/>
    <row r="22" spans="2:16" ht="17.25" thickTop="1">
      <c r="B22" s="43" t="s">
        <v>23</v>
      </c>
      <c r="C22" s="19"/>
      <c r="D22" s="34">
        <f>SUM(G17:K17)</f>
        <v>911.5</v>
      </c>
      <c r="F22" s="39"/>
      <c r="G22" s="230" t="s">
        <v>207</v>
      </c>
    </row>
    <row r="23" spans="2:16">
      <c r="B23" s="203" t="s">
        <v>201</v>
      </c>
      <c r="D23" s="35">
        <f>O17</f>
        <v>1282.2</v>
      </c>
    </row>
    <row r="24" spans="2:16" ht="17.25" thickBot="1">
      <c r="B24" s="36"/>
      <c r="C24" s="37"/>
      <c r="D24" s="38">
        <f>D22/D23</f>
        <v>0.71088753704570262</v>
      </c>
    </row>
    <row r="25" spans="2:16" ht="18" thickTop="1" thickBot="1">
      <c r="D25" s="2"/>
    </row>
    <row r="26" spans="2:16">
      <c r="B26" s="102" t="s">
        <v>111</v>
      </c>
      <c r="C26" s="7">
        <f>O16</f>
        <v>822.6</v>
      </c>
      <c r="D26" s="3" t="s">
        <v>29</v>
      </c>
      <c r="G26" s="236" t="s">
        <v>210</v>
      </c>
      <c r="H26" s="1">
        <v>0.151</v>
      </c>
    </row>
    <row r="27" spans="2:16">
      <c r="B27" s="101" t="s">
        <v>26</v>
      </c>
      <c r="C27" s="8">
        <f>O18</f>
        <v>1365.8</v>
      </c>
      <c r="D27" s="4" t="s">
        <v>28</v>
      </c>
      <c r="G27" s="236" t="s">
        <v>211</v>
      </c>
      <c r="H27" s="1">
        <v>0.13600000000000001</v>
      </c>
    </row>
    <row r="28" spans="2:16">
      <c r="B28" s="40" t="s">
        <v>27</v>
      </c>
      <c r="C28" s="6">
        <f>Well!P4</f>
        <v>1736630</v>
      </c>
      <c r="D28" s="4" t="s">
        <v>30</v>
      </c>
      <c r="G28" s="237" t="s">
        <v>212</v>
      </c>
      <c r="H28" s="1">
        <v>0.16700000000000001</v>
      </c>
    </row>
    <row r="29" spans="2:16" ht="16.5" customHeight="1" thickBot="1">
      <c r="B29" s="41" t="s">
        <v>31</v>
      </c>
      <c r="C29" s="9">
        <v>0.16700000000000001</v>
      </c>
      <c r="D29" s="5">
        <v>0.16700000000000001</v>
      </c>
    </row>
    <row r="30" spans="2:16">
      <c r="E30" s="2"/>
    </row>
    <row r="31" spans="2:16" ht="22.15" customHeight="1">
      <c r="B31" s="140" t="s">
        <v>133</v>
      </c>
      <c r="C31" s="139">
        <f>max*rf_1/10</f>
        <v>22.808860000000003</v>
      </c>
      <c r="D31" s="139">
        <f>max*rf_2/10</f>
        <v>22.808860000000003</v>
      </c>
      <c r="E31" s="138" t="s">
        <v>132</v>
      </c>
    </row>
    <row r="32" spans="2:16" ht="22.15" customHeight="1" thickBot="1">
      <c r="E32" s="2"/>
    </row>
    <row r="33" spans="1:6" ht="22.15" customHeight="1">
      <c r="B33" s="99" t="s">
        <v>24</v>
      </c>
      <c r="C33" s="44">
        <f>(C27*C28*C29)/1000</f>
        <v>396105.50541800004</v>
      </c>
      <c r="D33" s="31" t="s">
        <v>35</v>
      </c>
      <c r="F33" s="30"/>
    </row>
    <row r="34" spans="1:6" ht="22.15" customHeight="1" thickBot="1">
      <c r="B34" s="32"/>
      <c r="C34" s="47">
        <f>C33/365</f>
        <v>1085.2205627890412</v>
      </c>
      <c r="D34" s="33" t="s">
        <v>32</v>
      </c>
    </row>
    <row r="35" spans="1:6" ht="22.15" customHeight="1" thickBot="1"/>
    <row r="36" spans="1:6" ht="22.15" customHeight="1">
      <c r="B36" s="100" t="s">
        <v>25</v>
      </c>
      <c r="C36" s="45">
        <f>C26*C28*C29/1000</f>
        <v>238568.156946</v>
      </c>
      <c r="D36" s="11" t="s">
        <v>33</v>
      </c>
    </row>
    <row r="37" spans="1:6" ht="22.15" customHeight="1" thickBot="1">
      <c r="B37" s="26"/>
      <c r="C37" s="46">
        <f>C36/365</f>
        <v>653.61138889315066</v>
      </c>
      <c r="D37" s="27" t="s">
        <v>34</v>
      </c>
    </row>
    <row r="38" spans="1:6" ht="18" thickTop="1" thickBot="1">
      <c r="B38" s="42" t="s">
        <v>60</v>
      </c>
      <c r="C38" s="28">
        <f>(C37/C34)*100</f>
        <v>60.228437545760713</v>
      </c>
      <c r="D38" s="29" t="s">
        <v>61</v>
      </c>
    </row>
    <row r="39" spans="1:6" ht="17.25" thickTop="1"/>
    <row r="43" spans="1:6" ht="16.5" customHeight="1">
      <c r="B43" s="1">
        <v>15</v>
      </c>
      <c r="C43" s="1">
        <v>10</v>
      </c>
      <c r="D43" s="1">
        <v>5</v>
      </c>
    </row>
    <row r="45" spans="1:6">
      <c r="A45" s="111" t="s">
        <v>114</v>
      </c>
      <c r="C45" s="109">
        <v>115</v>
      </c>
      <c r="D45" s="110">
        <v>120</v>
      </c>
    </row>
    <row r="46" spans="1:6">
      <c r="A46" s="111" t="s">
        <v>115</v>
      </c>
      <c r="C46" s="103">
        <v>75</v>
      </c>
      <c r="D46" s="103">
        <v>80</v>
      </c>
    </row>
    <row r="47" spans="1:6">
      <c r="A47" s="111" t="s">
        <v>116</v>
      </c>
      <c r="C47" s="109">
        <v>95</v>
      </c>
      <c r="D47" s="110">
        <v>100</v>
      </c>
    </row>
    <row r="48" spans="1:6">
      <c r="A48" s="111" t="s">
        <v>117</v>
      </c>
      <c r="C48" s="109">
        <v>90</v>
      </c>
      <c r="D48" s="110">
        <v>95</v>
      </c>
    </row>
    <row r="49" spans="1:12">
      <c r="A49" s="111" t="s">
        <v>118</v>
      </c>
    </row>
    <row r="51" spans="1:12">
      <c r="A51" s="111" t="s">
        <v>119</v>
      </c>
    </row>
    <row r="53" spans="1:12">
      <c r="A53" s="111" t="s">
        <v>120</v>
      </c>
    </row>
    <row r="54" spans="1:12">
      <c r="A54" s="111" t="s">
        <v>121</v>
      </c>
    </row>
    <row r="55" spans="1:12" ht="17.25" thickBot="1"/>
    <row r="56" spans="1:12" ht="31.5" customHeight="1" thickTop="1">
      <c r="A56" s="351" t="s">
        <v>202</v>
      </c>
      <c r="B56" s="352"/>
      <c r="C56" s="134"/>
      <c r="D56" s="134"/>
      <c r="E56" s="134"/>
      <c r="F56" s="19"/>
      <c r="G56" s="19"/>
      <c r="H56" s="19"/>
      <c r="I56" s="19"/>
      <c r="J56" s="19"/>
      <c r="K56" s="19"/>
      <c r="L56" s="20"/>
    </row>
    <row r="57" spans="1:12" ht="18" thickBot="1">
      <c r="A57" s="135"/>
      <c r="B57" s="136" t="s">
        <v>198</v>
      </c>
      <c r="C57" s="137" t="s">
        <v>208</v>
      </c>
      <c r="D57" s="137"/>
      <c r="E57" s="137"/>
      <c r="F57" s="18"/>
      <c r="G57" s="18"/>
      <c r="H57" s="18"/>
      <c r="I57" s="18"/>
      <c r="J57" s="18"/>
      <c r="K57" s="18"/>
      <c r="L57" s="121"/>
    </row>
    <row r="58" spans="1:12">
      <c r="A58" s="117" t="s">
        <v>129</v>
      </c>
      <c r="B58" s="118">
        <v>100</v>
      </c>
      <c r="C58" s="119">
        <v>100</v>
      </c>
      <c r="D58" s="119"/>
      <c r="E58" s="119"/>
      <c r="F58" s="116"/>
      <c r="G58" s="116"/>
      <c r="H58" s="116"/>
      <c r="I58" s="116"/>
      <c r="J58" s="116"/>
      <c r="K58" s="116"/>
      <c r="L58" s="122"/>
    </row>
    <row r="59" spans="1:12">
      <c r="A59" s="113" t="s">
        <v>122</v>
      </c>
      <c r="B59" s="120">
        <v>210</v>
      </c>
      <c r="C59" s="120">
        <v>40</v>
      </c>
      <c r="D59" s="120"/>
      <c r="E59" s="120"/>
      <c r="F59" s="17"/>
      <c r="G59" s="17"/>
      <c r="H59" s="17"/>
      <c r="I59" s="17"/>
      <c r="J59" s="17"/>
      <c r="K59" s="17"/>
      <c r="L59" s="123"/>
    </row>
    <row r="60" spans="1:12" ht="17.25">
      <c r="A60" s="113" t="s">
        <v>123</v>
      </c>
      <c r="B60" s="126">
        <v>60</v>
      </c>
      <c r="C60" s="127">
        <v>60</v>
      </c>
      <c r="D60" s="127"/>
      <c r="E60" s="127"/>
      <c r="F60" s="17"/>
      <c r="G60" s="15"/>
      <c r="H60" s="15"/>
      <c r="I60" s="17"/>
      <c r="J60" s="17"/>
      <c r="K60" s="17"/>
      <c r="L60" s="123"/>
    </row>
    <row r="61" spans="1:12" ht="17.25">
      <c r="A61" s="115" t="s">
        <v>124</v>
      </c>
      <c r="B61" s="128">
        <v>5</v>
      </c>
      <c r="C61" s="129">
        <v>0</v>
      </c>
      <c r="D61" s="129"/>
      <c r="E61" s="129"/>
      <c r="F61" s="114"/>
      <c r="G61" s="114"/>
      <c r="H61" s="114"/>
      <c r="I61" s="114"/>
      <c r="J61" s="114"/>
      <c r="K61" s="114"/>
      <c r="L61" s="124"/>
    </row>
    <row r="62" spans="1:12">
      <c r="A62" s="112" t="s">
        <v>125</v>
      </c>
      <c r="B62" s="120">
        <f>B60+B61</f>
        <v>65</v>
      </c>
      <c r="C62" s="120">
        <f>C60+C61</f>
        <v>60</v>
      </c>
      <c r="D62" s="120"/>
      <c r="E62" s="120"/>
      <c r="F62" s="14"/>
      <c r="G62" s="14"/>
      <c r="H62" s="14"/>
      <c r="I62" s="14"/>
      <c r="J62" s="14"/>
      <c r="K62" s="14"/>
      <c r="L62" s="22"/>
    </row>
    <row r="63" spans="1:12" ht="17.25">
      <c r="A63" s="115" t="s">
        <v>126</v>
      </c>
      <c r="B63" s="128">
        <v>0.5</v>
      </c>
      <c r="C63" s="129">
        <v>0.4</v>
      </c>
      <c r="D63" s="129"/>
      <c r="E63" s="129"/>
      <c r="F63" s="114"/>
      <c r="G63" s="114"/>
      <c r="H63" s="114"/>
      <c r="I63" s="114"/>
      <c r="J63" s="114"/>
      <c r="K63" s="114"/>
      <c r="L63" s="124"/>
    </row>
    <row r="64" spans="1:12" ht="17.25" thickBot="1">
      <c r="A64" s="206" t="s">
        <v>204</v>
      </c>
      <c r="B64" s="118">
        <v>5</v>
      </c>
      <c r="C64" s="118">
        <v>1</v>
      </c>
      <c r="D64" s="118"/>
      <c r="E64" s="118"/>
      <c r="F64" s="114"/>
      <c r="G64" s="114"/>
      <c r="H64" s="114"/>
      <c r="I64" s="114"/>
      <c r="J64" s="114"/>
      <c r="K64" s="114"/>
      <c r="L64" s="124"/>
    </row>
    <row r="65" spans="1:15" ht="18" thickBot="1">
      <c r="A65" s="21"/>
      <c r="B65" s="130"/>
      <c r="C65" s="131"/>
      <c r="D65" s="131"/>
      <c r="E65" s="131"/>
      <c r="F65" s="14"/>
      <c r="G65" s="14"/>
      <c r="H65" s="14"/>
      <c r="I65" s="14"/>
      <c r="J65" s="14"/>
      <c r="K65" s="14"/>
      <c r="L65" s="22"/>
      <c r="O65" s="259"/>
    </row>
    <row r="66" spans="1:15" ht="17.25">
      <c r="A66" s="205" t="s">
        <v>203</v>
      </c>
      <c r="B66" s="130">
        <f>(B59*B62)/(6572.5*B63)</f>
        <v>4.1536705971852417</v>
      </c>
      <c r="C66" s="130">
        <f>(C59*C62)/(6572.5*C63)</f>
        <v>0.91289463674400917</v>
      </c>
      <c r="D66" s="130"/>
      <c r="E66" s="130"/>
      <c r="F66" s="14"/>
      <c r="G66" s="14"/>
      <c r="H66" s="14"/>
      <c r="I66" s="16"/>
      <c r="J66" s="14"/>
      <c r="K66" s="14"/>
      <c r="L66" s="22"/>
    </row>
    <row r="67" spans="1:15" ht="18" thickBot="1">
      <c r="A67" s="251" t="s">
        <v>223</v>
      </c>
      <c r="B67" s="132">
        <f>ROUNDUP(B66,0)</f>
        <v>5</v>
      </c>
      <c r="C67" s="132">
        <f>ROUNDUP(C66,0)</f>
        <v>1</v>
      </c>
      <c r="D67" s="133"/>
      <c r="E67" s="133"/>
      <c r="F67" s="23"/>
      <c r="G67" s="23"/>
      <c r="H67" s="23"/>
      <c r="I67" s="24"/>
      <c r="J67" s="24"/>
      <c r="K67" s="24"/>
      <c r="L67" s="25"/>
    </row>
    <row r="68" spans="1:15" ht="17.25" thickTop="1">
      <c r="A68" s="334"/>
    </row>
    <row r="69" spans="1:15" ht="20.100000000000001" customHeight="1">
      <c r="A69" s="250"/>
      <c r="B69" s="250"/>
      <c r="C69" s="249"/>
      <c r="D69" s="248"/>
    </row>
    <row r="70" spans="1:15" customFormat="1" ht="20.100000000000001" customHeight="1"/>
    <row r="71" spans="1:15" customFormat="1" ht="20.100000000000001" customHeight="1"/>
    <row r="72" spans="1:15" customFormat="1" ht="20.100000000000001" customHeight="1"/>
    <row r="73" spans="1:15" customFormat="1" ht="20.100000000000001" customHeight="1"/>
    <row r="74" spans="1:15" customFormat="1" ht="20.100000000000001" customHeight="1"/>
    <row r="75" spans="1:15" customFormat="1" ht="20.100000000000001" customHeight="1"/>
    <row r="76" spans="1:15" customFormat="1" ht="20.100000000000001" customHeight="1"/>
    <row r="77" spans="1:15" customFormat="1" ht="20.100000000000001" customHeight="1"/>
    <row r="78" spans="1:15" customFormat="1" ht="20.100000000000001" customHeight="1"/>
    <row r="79" spans="1:15" customFormat="1" ht="20.100000000000001" customHeight="1"/>
    <row r="80" spans="1:15" customFormat="1" ht="20.100000000000001" customHeight="1"/>
    <row r="81" customFormat="1" ht="20.100000000000001" customHeight="1"/>
    <row r="82" customFormat="1" ht="20.100000000000001" customHeight="1"/>
    <row r="83" customFormat="1" ht="20.100000000000001" customHeight="1"/>
    <row r="84" customFormat="1" ht="20.100000000000001" customHeight="1"/>
    <row r="85" customFormat="1" ht="20.100000000000001" customHeight="1"/>
    <row r="86" customFormat="1" ht="13.5"/>
    <row r="87" customFormat="1" ht="13.5"/>
    <row r="88" customFormat="1" ht="13.5"/>
    <row r="89" customFormat="1" ht="13.5"/>
    <row r="90" customFormat="1" ht="13.5"/>
    <row r="91" customFormat="1" ht="13.5"/>
    <row r="92" customFormat="1" ht="13.5"/>
    <row r="93" customFormat="1" ht="13.5"/>
    <row r="94" customFormat="1" ht="13.5"/>
    <row r="95" customFormat="1" ht="13.5"/>
    <row r="96" customFormat="1" ht="13.5"/>
    <row r="97" spans="1:6" customFormat="1" ht="13.5"/>
    <row r="98" spans="1:6" customFormat="1" ht="13.5"/>
    <row r="99" spans="1:6" customFormat="1" ht="13.5"/>
    <row r="100" spans="1:6" customFormat="1" ht="13.5"/>
    <row r="101" spans="1:6" customFormat="1" ht="13.5"/>
    <row r="102" spans="1:6" customFormat="1" ht="13.5"/>
    <row r="103" spans="1:6" customFormat="1" ht="13.5"/>
    <row r="104" spans="1:6" customFormat="1" ht="13.5"/>
    <row r="105" spans="1:6" customFormat="1" ht="13.5"/>
    <row r="106" spans="1:6" customFormat="1" ht="13.5"/>
    <row r="107" spans="1:6" customFormat="1" ht="13.5"/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</sheetData>
  <mergeCells count="1">
    <mergeCell ref="A56:B56"/>
  </mergeCells>
  <phoneticPr fontId="2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51</xdr:row>
                <xdr:rowOff>180975</xdr:rowOff>
              </from>
              <to>
                <xdr:col>4</xdr:col>
                <xdr:colOff>542925</xdr:colOff>
                <xdr:row>54</xdr:row>
                <xdr:rowOff>66675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77" customWidth="1"/>
    <col min="2" max="2" width="14.5546875" style="165" customWidth="1"/>
    <col min="3" max="3" width="4.77734375" style="177" customWidth="1"/>
    <col min="4" max="4" width="31.5546875" style="177" customWidth="1"/>
    <col min="5" max="5" width="8.88671875" style="178"/>
    <col min="6" max="6" width="8.88671875" style="177"/>
    <col min="7" max="7" width="36" style="177" customWidth="1"/>
    <col min="8" max="16384" width="8.88671875" style="177"/>
  </cols>
  <sheetData>
    <row r="2" spans="1:8" s="186" customFormat="1">
      <c r="A2" s="186" t="s">
        <v>190</v>
      </c>
      <c r="B2" s="187" t="s">
        <v>186</v>
      </c>
      <c r="D2" s="186" t="s">
        <v>189</v>
      </c>
      <c r="E2" s="188" t="s">
        <v>187</v>
      </c>
      <c r="G2" s="186" t="s">
        <v>188</v>
      </c>
    </row>
    <row r="3" spans="1:8">
      <c r="A3" s="177" t="s">
        <v>162</v>
      </c>
    </row>
    <row r="4" spans="1:8" s="182" customFormat="1">
      <c r="A4" s="181" t="s">
        <v>173</v>
      </c>
      <c r="B4" s="189">
        <v>2</v>
      </c>
      <c r="D4" s="181" t="s">
        <v>175</v>
      </c>
      <c r="E4" s="193">
        <v>10</v>
      </c>
      <c r="G4" s="181" t="s">
        <v>191</v>
      </c>
      <c r="H4" s="197">
        <v>1</v>
      </c>
    </row>
    <row r="5" spans="1:8">
      <c r="A5" s="179" t="s">
        <v>164</v>
      </c>
      <c r="B5" s="190">
        <v>3</v>
      </c>
      <c r="D5" s="179" t="s">
        <v>176</v>
      </c>
      <c r="E5" s="194">
        <v>10</v>
      </c>
      <c r="G5" s="179" t="s">
        <v>192</v>
      </c>
      <c r="H5" s="198">
        <v>3</v>
      </c>
    </row>
    <row r="6" spans="1:8" s="182" customFormat="1">
      <c r="A6" s="183" t="s">
        <v>165</v>
      </c>
      <c r="B6" s="191">
        <v>4</v>
      </c>
      <c r="D6" s="183" t="s">
        <v>177</v>
      </c>
      <c r="E6" s="195">
        <v>9</v>
      </c>
      <c r="G6" s="183" t="s">
        <v>163</v>
      </c>
      <c r="H6" s="199">
        <v>3</v>
      </c>
    </row>
    <row r="7" spans="1:8">
      <c r="A7" s="179" t="s">
        <v>166</v>
      </c>
      <c r="B7" s="190">
        <v>5</v>
      </c>
      <c r="D7" s="179" t="s">
        <v>178</v>
      </c>
      <c r="E7" s="194">
        <v>8</v>
      </c>
      <c r="G7" s="179" t="s">
        <v>168</v>
      </c>
      <c r="H7" s="198">
        <v>6</v>
      </c>
    </row>
    <row r="8" spans="1:8" s="182" customFormat="1">
      <c r="A8" s="183" t="s">
        <v>167</v>
      </c>
      <c r="B8" s="191">
        <v>6</v>
      </c>
      <c r="D8" s="183" t="s">
        <v>179</v>
      </c>
      <c r="E8" s="195">
        <v>7</v>
      </c>
      <c r="G8" s="183" t="s">
        <v>193</v>
      </c>
      <c r="H8" s="199">
        <v>6</v>
      </c>
    </row>
    <row r="9" spans="1:8">
      <c r="A9" s="179" t="s">
        <v>174</v>
      </c>
      <c r="B9" s="190">
        <v>6</v>
      </c>
      <c r="D9" s="179" t="s">
        <v>180</v>
      </c>
      <c r="E9" s="194">
        <v>6</v>
      </c>
      <c r="G9" s="179" t="s">
        <v>194</v>
      </c>
      <c r="H9" s="198">
        <v>6</v>
      </c>
    </row>
    <row r="10" spans="1:8" s="182" customFormat="1">
      <c r="A10" s="183" t="s">
        <v>172</v>
      </c>
      <c r="B10" s="191">
        <v>6</v>
      </c>
      <c r="D10" s="183" t="s">
        <v>181</v>
      </c>
      <c r="E10" s="195">
        <v>5</v>
      </c>
      <c r="G10" s="183" t="s">
        <v>195</v>
      </c>
      <c r="H10" s="199">
        <v>6</v>
      </c>
    </row>
    <row r="11" spans="1:8">
      <c r="A11" s="179" t="s">
        <v>169</v>
      </c>
      <c r="B11" s="190">
        <v>8</v>
      </c>
      <c r="D11" s="179" t="s">
        <v>182</v>
      </c>
      <c r="E11" s="194">
        <v>4</v>
      </c>
      <c r="G11" s="179" t="s">
        <v>164</v>
      </c>
      <c r="H11" s="198">
        <v>4</v>
      </c>
    </row>
    <row r="12" spans="1:8" s="182" customFormat="1">
      <c r="A12" s="183" t="s">
        <v>170</v>
      </c>
      <c r="B12" s="191">
        <v>9</v>
      </c>
      <c r="D12" s="183" t="s">
        <v>183</v>
      </c>
      <c r="E12" s="195">
        <v>3</v>
      </c>
      <c r="G12" s="183" t="s">
        <v>169</v>
      </c>
      <c r="H12" s="199">
        <v>8</v>
      </c>
    </row>
    <row r="13" spans="1:8">
      <c r="A13" s="180" t="s">
        <v>171</v>
      </c>
      <c r="B13" s="192">
        <v>10</v>
      </c>
      <c r="D13" s="179" t="s">
        <v>184</v>
      </c>
      <c r="E13" s="194">
        <v>2</v>
      </c>
      <c r="G13" s="179" t="s">
        <v>170</v>
      </c>
      <c r="H13" s="198">
        <v>9</v>
      </c>
    </row>
    <row r="14" spans="1:8" s="182" customFormat="1">
      <c r="B14" s="184"/>
      <c r="D14" s="185" t="s">
        <v>185</v>
      </c>
      <c r="E14" s="196">
        <v>1</v>
      </c>
      <c r="G14" s="185" t="s">
        <v>171</v>
      </c>
      <c r="H14" s="200">
        <v>10</v>
      </c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18"/>
  <sheetViews>
    <sheetView tabSelected="1" workbookViewId="0">
      <selection activeCell="F17" sqref="F17"/>
    </sheetView>
  </sheetViews>
  <sheetFormatPr defaultColWidth="8.88671875" defaultRowHeight="16.5"/>
  <cols>
    <col min="1" max="1" width="5.21875" style="166" customWidth="1"/>
    <col min="2" max="2" width="16.44140625" style="165" customWidth="1"/>
    <col min="3" max="3" width="12.33203125" style="165" customWidth="1"/>
    <col min="4" max="4" width="16.33203125" style="166" customWidth="1"/>
    <col min="5" max="5" width="11.5546875" style="165" customWidth="1"/>
    <col min="6" max="15" width="8.77734375" style="165" customWidth="1"/>
    <col min="16" max="16" width="11.5546875" style="169" customWidth="1"/>
    <col min="17" max="17" width="13.21875" style="165" customWidth="1"/>
    <col min="18" max="18" width="12.44140625" style="165" customWidth="1"/>
    <col min="19" max="16384" width="8.88671875" style="166"/>
  </cols>
  <sheetData>
    <row r="1" spans="1:18" ht="49.5" customHeight="1">
      <c r="D1" s="168"/>
      <c r="E1" s="204"/>
      <c r="F1" s="167" t="s">
        <v>217</v>
      </c>
    </row>
    <row r="2" spans="1:18" s="165" customFormat="1" ht="30" customHeight="1">
      <c r="A2" s="353" t="s">
        <v>0</v>
      </c>
      <c r="B2" s="355" t="s">
        <v>50</v>
      </c>
      <c r="C2" s="355" t="s">
        <v>6</v>
      </c>
      <c r="D2" s="354" t="s">
        <v>48</v>
      </c>
      <c r="E2" s="360" t="s">
        <v>157</v>
      </c>
      <c r="F2" s="354" t="s">
        <v>49</v>
      </c>
      <c r="G2" s="365" t="s">
        <v>1</v>
      </c>
      <c r="H2" s="358" t="s">
        <v>2</v>
      </c>
      <c r="I2" s="364" t="s">
        <v>130</v>
      </c>
      <c r="J2" s="358" t="s">
        <v>131</v>
      </c>
      <c r="K2" s="364" t="s">
        <v>127</v>
      </c>
      <c r="L2" s="358" t="s">
        <v>3</v>
      </c>
      <c r="M2" s="358" t="s">
        <v>4</v>
      </c>
      <c r="N2" s="358" t="s">
        <v>5</v>
      </c>
      <c r="O2" s="358" t="s">
        <v>128</v>
      </c>
      <c r="P2" s="362" t="s">
        <v>51</v>
      </c>
      <c r="Q2" s="353" t="s">
        <v>107</v>
      </c>
      <c r="R2" s="353" t="s">
        <v>108</v>
      </c>
    </row>
    <row r="3" spans="1:18" s="165" customFormat="1" ht="30" customHeight="1">
      <c r="A3" s="354"/>
      <c r="B3" s="356"/>
      <c r="C3" s="356"/>
      <c r="D3" s="357"/>
      <c r="E3" s="361"/>
      <c r="F3" s="357"/>
      <c r="G3" s="366"/>
      <c r="H3" s="359"/>
      <c r="I3" s="358"/>
      <c r="J3" s="359"/>
      <c r="K3" s="358"/>
      <c r="L3" s="359"/>
      <c r="M3" s="359"/>
      <c r="N3" s="359"/>
      <c r="O3" s="359"/>
      <c r="P3" s="363"/>
      <c r="Q3" s="354"/>
      <c r="R3" s="354"/>
    </row>
    <row r="4" spans="1:18" s="165" customFormat="1" ht="42.75" customHeight="1">
      <c r="A4" s="238" t="s">
        <v>198</v>
      </c>
      <c r="B4" s="238" t="s">
        <v>213</v>
      </c>
      <c r="C4" s="238">
        <v>1200900003</v>
      </c>
      <c r="D4" s="238" t="s">
        <v>216</v>
      </c>
      <c r="E4" s="238" t="s">
        <v>217</v>
      </c>
      <c r="F4" s="238"/>
      <c r="G4" s="170">
        <v>200</v>
      </c>
      <c r="H4" s="170">
        <v>100</v>
      </c>
      <c r="I4" s="170">
        <v>200</v>
      </c>
      <c r="J4" s="170">
        <v>210</v>
      </c>
      <c r="K4" s="170">
        <v>300</v>
      </c>
      <c r="L4" s="170">
        <v>5</v>
      </c>
      <c r="M4" s="170">
        <v>60</v>
      </c>
      <c r="N4" s="170">
        <v>50</v>
      </c>
      <c r="O4" s="208">
        <v>164.3</v>
      </c>
      <c r="P4" s="239">
        <v>1736630</v>
      </c>
      <c r="Q4" s="238" t="s">
        <v>220</v>
      </c>
      <c r="R4" s="238" t="s">
        <v>221</v>
      </c>
    </row>
    <row r="5" spans="1:18" s="165" customFormat="1" ht="42.75" customHeight="1">
      <c r="A5" s="238" t="s">
        <v>214</v>
      </c>
      <c r="B5" s="238" t="s">
        <v>213</v>
      </c>
      <c r="C5" s="238">
        <v>1200900004</v>
      </c>
      <c r="D5" s="238" t="s">
        <v>215</v>
      </c>
      <c r="E5" s="238" t="s">
        <v>217</v>
      </c>
      <c r="F5" s="238"/>
      <c r="G5" s="170">
        <v>200</v>
      </c>
      <c r="H5" s="170">
        <v>100</v>
      </c>
      <c r="I5" s="170">
        <v>30</v>
      </c>
      <c r="J5" s="170">
        <v>40</v>
      </c>
      <c r="K5" s="170">
        <v>50</v>
      </c>
      <c r="L5" s="170">
        <v>1</v>
      </c>
      <c r="M5" s="170">
        <v>60</v>
      </c>
      <c r="N5" s="170">
        <v>32</v>
      </c>
      <c r="O5" s="208">
        <v>164.3</v>
      </c>
      <c r="P5" s="239">
        <v>1736630</v>
      </c>
      <c r="Q5" s="238" t="s">
        <v>218</v>
      </c>
      <c r="R5" s="238" t="s">
        <v>219</v>
      </c>
    </row>
    <row r="6" spans="1:18" ht="30.75" customHeight="1">
      <c r="H6" s="207" t="s">
        <v>200</v>
      </c>
      <c r="I6" s="244">
        <f>SUM(I4:I5)</f>
        <v>230</v>
      </c>
    </row>
    <row r="18" spans="8:8">
      <c r="H18" s="165" t="s">
        <v>224</v>
      </c>
    </row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1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771525</xdr:colOff>
                <xdr:row>0</xdr:row>
                <xdr:rowOff>542925</xdr:rowOff>
              </to>
            </anchor>
          </controlPr>
        </control>
      </mc:Choice>
      <mc:Fallback>
        <control shapeId="5939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zoomScaleNormal="100" workbookViewId="0">
      <selection activeCell="G14" sqref="G14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199</v>
      </c>
      <c r="C2" s="69" t="str">
        <f>Well!D4</f>
        <v>금고동 491</v>
      </c>
      <c r="H2" s="247"/>
      <c r="I2"/>
      <c r="J2"/>
      <c r="K2"/>
    </row>
    <row r="3" spans="1:12" ht="26.1" customHeight="1">
      <c r="B3" s="49" t="s">
        <v>62</v>
      </c>
      <c r="C3" s="50">
        <f>Well!C4</f>
        <v>1200900003</v>
      </c>
      <c r="D3" s="49" t="s">
        <v>63</v>
      </c>
      <c r="E3" s="52" t="s">
        <v>158</v>
      </c>
      <c r="F3" s="53" t="s">
        <v>147</v>
      </c>
      <c r="G3" s="49" t="s">
        <v>64</v>
      </c>
      <c r="H3" s="247"/>
      <c r="I3"/>
      <c r="J3"/>
      <c r="K3"/>
    </row>
    <row r="4" spans="1:12" ht="26.1" customHeight="1">
      <c r="B4" s="54" t="s">
        <v>65</v>
      </c>
      <c r="C4" s="55" t="str">
        <f>Well!R4</f>
        <v>127, 23, 30.7</v>
      </c>
      <c r="D4" s="59" t="s">
        <v>66</v>
      </c>
      <c r="E4" s="57">
        <v>0</v>
      </c>
      <c r="F4" s="58"/>
      <c r="G4" s="59"/>
      <c r="H4" s="247"/>
      <c r="I4"/>
      <c r="J4"/>
      <c r="K4"/>
    </row>
    <row r="5" spans="1:12" ht="26.1" customHeight="1">
      <c r="B5" s="54" t="s">
        <v>67</v>
      </c>
      <c r="C5" s="55" t="str">
        <f>Well!Q4</f>
        <v>36, 27, 28</v>
      </c>
      <c r="D5" s="59" t="s">
        <v>68</v>
      </c>
      <c r="E5" s="150">
        <v>3.0859999999999999</v>
      </c>
      <c r="F5" s="151">
        <f>$E$5/$C$14</f>
        <v>3.4674157303370784E-2</v>
      </c>
      <c r="G5" s="59">
        <v>5.7779999999999995E-4</v>
      </c>
      <c r="H5" s="247"/>
      <c r="I5"/>
      <c r="J5"/>
      <c r="K5"/>
    </row>
    <row r="6" spans="1:12" ht="26.1" customHeight="1">
      <c r="B6" s="54" t="s">
        <v>69</v>
      </c>
      <c r="C6" s="97" t="str">
        <f>Well!D4</f>
        <v>금고동 491</v>
      </c>
      <c r="D6" s="59" t="s">
        <v>71</v>
      </c>
      <c r="E6" s="57">
        <v>2.819</v>
      </c>
      <c r="F6" s="151">
        <f>$E$6/$C$14</f>
        <v>3.1674157303370788E-2</v>
      </c>
      <c r="G6" s="59" t="s">
        <v>72</v>
      </c>
      <c r="H6" s="247"/>
      <c r="I6"/>
      <c r="J6"/>
      <c r="K6"/>
    </row>
    <row r="7" spans="1:12" ht="26.1" customHeight="1" thickBot="1">
      <c r="B7" s="54" t="s">
        <v>70</v>
      </c>
      <c r="C7" s="54">
        <f>Well!H4</f>
        <v>100</v>
      </c>
      <c r="D7" s="148" t="s">
        <v>74</v>
      </c>
      <c r="E7" s="149">
        <f>(E5+E6)/2</f>
        <v>2.9524999999999997</v>
      </c>
      <c r="F7" s="152">
        <f>$E$7/$C$14</f>
        <v>3.3174157303370783E-2</v>
      </c>
      <c r="G7" s="148">
        <f>G5</f>
        <v>5.7779999999999995E-4</v>
      </c>
    </row>
    <row r="8" spans="1:12" ht="26.1" customHeight="1" thickBot="1">
      <c r="B8" s="54" t="s">
        <v>73</v>
      </c>
      <c r="C8" s="54">
        <f>Well!G4</f>
        <v>200</v>
      </c>
    </row>
    <row r="9" spans="1:12" ht="26.1" customHeight="1" thickBot="1">
      <c r="B9" s="54" t="s">
        <v>75</v>
      </c>
      <c r="C9" s="54">
        <f>C10+C11</f>
        <v>11</v>
      </c>
      <c r="D9" s="60"/>
      <c r="E9" s="61" t="s">
        <v>148</v>
      </c>
      <c r="F9" s="155" t="s">
        <v>149</v>
      </c>
      <c r="G9" s="62" t="s">
        <v>150</v>
      </c>
    </row>
    <row r="10" spans="1:12" ht="26.1" customHeight="1" thickBot="1">
      <c r="B10" s="54" t="s">
        <v>76</v>
      </c>
      <c r="C10" s="55">
        <v>3</v>
      </c>
      <c r="D10" s="63" t="s">
        <v>77</v>
      </c>
      <c r="E10" s="64">
        <v>118.6</v>
      </c>
      <c r="F10" s="65">
        <v>145.30000000000001</v>
      </c>
      <c r="G10" s="66">
        <v>105</v>
      </c>
      <c r="H10" s="67"/>
      <c r="I10" s="68"/>
    </row>
    <row r="11" spans="1:12" ht="26.1" customHeight="1" thickBot="1">
      <c r="B11" s="54" t="s">
        <v>78</v>
      </c>
      <c r="C11" s="55">
        <v>8</v>
      </c>
      <c r="D11" s="125" t="s">
        <v>79</v>
      </c>
      <c r="E11" s="171">
        <f>ROUND(AVERAGE(E10:G10),1)</f>
        <v>123</v>
      </c>
      <c r="F11" s="70"/>
      <c r="G11" s="70"/>
      <c r="H11" s="67"/>
      <c r="I11" s="68"/>
      <c r="J11" s="372" t="s">
        <v>156</v>
      </c>
      <c r="K11" s="373"/>
    </row>
    <row r="12" spans="1:12" ht="26.1" customHeight="1" thickBot="1">
      <c r="A12" s="69" t="str">
        <f>IF(A13&lt;&gt;C7,"CHECK","OK")</f>
        <v>OK</v>
      </c>
      <c r="B12" s="54" t="s">
        <v>80</v>
      </c>
      <c r="C12" s="55">
        <f>C7-C9</f>
        <v>89</v>
      </c>
      <c r="H12" s="71"/>
      <c r="J12" s="173" t="s">
        <v>159</v>
      </c>
      <c r="K12" s="245">
        <v>158</v>
      </c>
      <c r="L12" s="246">
        <f>K12+180</f>
        <v>338</v>
      </c>
    </row>
    <row r="13" spans="1:12" ht="26.1" customHeight="1">
      <c r="A13" s="69">
        <f>C10+C11+C12+C13</f>
        <v>100</v>
      </c>
      <c r="B13" s="54" t="s">
        <v>81</v>
      </c>
      <c r="C13" s="55"/>
      <c r="H13" s="72"/>
      <c r="J13" s="156" t="s">
        <v>151</v>
      </c>
      <c r="K13" s="157">
        <v>1171</v>
      </c>
      <c r="L13" s="174"/>
    </row>
    <row r="14" spans="1:12" ht="26.1" customHeight="1">
      <c r="B14" s="54" t="s">
        <v>82</v>
      </c>
      <c r="C14" s="153">
        <f>C7-IF(C20&gt;C9,C20,C9)</f>
        <v>89</v>
      </c>
      <c r="H14" s="72"/>
      <c r="J14" s="158" t="s">
        <v>152</v>
      </c>
      <c r="K14" s="159">
        <v>70</v>
      </c>
      <c r="L14" s="174"/>
    </row>
    <row r="15" spans="1:12" ht="26.1" customHeight="1" thickBot="1">
      <c r="B15" s="54" t="s">
        <v>83</v>
      </c>
      <c r="C15" s="54">
        <f>Well!I4</f>
        <v>200</v>
      </c>
      <c r="E15" s="172">
        <v>1</v>
      </c>
      <c r="J15" s="158" t="s">
        <v>153</v>
      </c>
      <c r="K15" s="159">
        <v>30</v>
      </c>
      <c r="L15" s="174"/>
    </row>
    <row r="16" spans="1:12" ht="26.1" customHeight="1">
      <c r="B16" s="54" t="s">
        <v>84</v>
      </c>
      <c r="C16" s="154">
        <f>Well!J4</f>
        <v>210</v>
      </c>
      <c r="E16" s="49" t="s">
        <v>87</v>
      </c>
      <c r="F16" s="107" t="s">
        <v>113</v>
      </c>
      <c r="G16" s="105" t="s">
        <v>112</v>
      </c>
      <c r="H16" s="72"/>
      <c r="J16" s="158" t="s">
        <v>160</v>
      </c>
      <c r="K16" s="160">
        <f>K14-C20</f>
        <v>64.260000000000005</v>
      </c>
      <c r="L16" s="174"/>
    </row>
    <row r="17" spans="2:12" ht="26.1" customHeight="1" thickBot="1">
      <c r="B17" s="54" t="s">
        <v>85</v>
      </c>
      <c r="C17" s="54">
        <f>Well!L4</f>
        <v>5</v>
      </c>
      <c r="E17" s="75">
        <f>Well!P4</f>
        <v>1736630</v>
      </c>
      <c r="F17" s="108">
        <f>(max*rf_1*E17/1000)</f>
        <v>396105.50541800004</v>
      </c>
      <c r="G17" s="106">
        <f>(E17*rf_1*min/1000)</f>
        <v>238568.156946</v>
      </c>
      <c r="J17" s="158" t="s">
        <v>154</v>
      </c>
      <c r="K17" s="160">
        <f>K16-K15</f>
        <v>34.260000000000005</v>
      </c>
      <c r="L17" s="174"/>
    </row>
    <row r="18" spans="2:12" ht="26.1" customHeight="1" thickBot="1">
      <c r="B18" s="54" t="s">
        <v>86</v>
      </c>
      <c r="C18" s="54">
        <f>Well!M4</f>
        <v>60</v>
      </c>
      <c r="E18" s="49" t="s">
        <v>87</v>
      </c>
      <c r="F18" s="107" t="s">
        <v>88</v>
      </c>
      <c r="G18" s="105" t="s">
        <v>89</v>
      </c>
      <c r="I18" s="98"/>
      <c r="J18" s="161" t="s">
        <v>155</v>
      </c>
      <c r="K18" s="162">
        <f>(K17/K13)</f>
        <v>2.9257045260461148E-2</v>
      </c>
      <c r="L18" s="175">
        <f>K18*100</f>
        <v>2.9257045260461148</v>
      </c>
    </row>
    <row r="19" spans="2:12" ht="26.1" customHeight="1" thickBot="1">
      <c r="B19" s="74" t="s">
        <v>90</v>
      </c>
      <c r="C19" s="74">
        <f>Well!N4</f>
        <v>50</v>
      </c>
      <c r="E19" s="75">
        <f>E17</f>
        <v>1736630</v>
      </c>
      <c r="F19" s="108">
        <f>(max*rf_1*E19/1000)/365</f>
        <v>1085.2205627890412</v>
      </c>
      <c r="G19" s="106">
        <f>(E19*rf_1*min/1000)/365</f>
        <v>653.61138889315066</v>
      </c>
    </row>
    <row r="20" spans="2:12" ht="26.1" customHeight="1">
      <c r="B20" s="76" t="s">
        <v>91</v>
      </c>
      <c r="C20" s="77">
        <v>5.74</v>
      </c>
      <c r="D20" s="69"/>
      <c r="E20" s="95" t="s">
        <v>110</v>
      </c>
      <c r="F20" s="96" t="s">
        <v>92</v>
      </c>
      <c r="G20" s="94" t="s">
        <v>93</v>
      </c>
      <c r="I20" s="48">
        <f>209.8+300</f>
        <v>509.8</v>
      </c>
    </row>
    <row r="21" spans="2:12" ht="26.1" customHeight="1" thickBot="1">
      <c r="B21" s="74" t="s">
        <v>94</v>
      </c>
      <c r="C21" s="78">
        <v>48.37</v>
      </c>
      <c r="D21" s="69"/>
      <c r="E21" s="79">
        <f>Well!I6</f>
        <v>230</v>
      </c>
      <c r="F21" s="80">
        <f>Well!O4</f>
        <v>164.3</v>
      </c>
      <c r="G21" s="104">
        <f>G19-E21-F21</f>
        <v>259.31138889315065</v>
      </c>
    </row>
    <row r="22" spans="2:12"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7" t="s">
        <v>134</v>
      </c>
      <c r="C25" s="368"/>
      <c r="D25" s="141" t="s">
        <v>145</v>
      </c>
      <c r="E25" s="141" t="s">
        <v>146</v>
      </c>
      <c r="F25" s="141" t="s">
        <v>135</v>
      </c>
      <c r="G25" s="141" t="s">
        <v>136</v>
      </c>
      <c r="H25" s="141" t="s">
        <v>161</v>
      </c>
      <c r="I25" s="141" t="s">
        <v>137</v>
      </c>
      <c r="J25" s="141" t="s">
        <v>138</v>
      </c>
      <c r="K25" s="141" t="s">
        <v>139</v>
      </c>
    </row>
    <row r="26" spans="2:12" ht="55.5" customHeight="1" thickBot="1">
      <c r="B26" s="369" t="s">
        <v>140</v>
      </c>
      <c r="C26" s="142" t="s">
        <v>141</v>
      </c>
      <c r="D26" s="143">
        <f>C20</f>
        <v>5.74</v>
      </c>
      <c r="E26" s="146">
        <f>Recharge!C31</f>
        <v>22.808860000000003</v>
      </c>
      <c r="F26" s="147" t="s">
        <v>197</v>
      </c>
      <c r="G26" s="143" t="s">
        <v>222</v>
      </c>
      <c r="H26" s="176">
        <f>ABS(L18)</f>
        <v>2.9257045260461148</v>
      </c>
      <c r="I26" s="143" t="s">
        <v>197</v>
      </c>
      <c r="J26" s="143">
        <f>(E7/C14)/864</f>
        <v>3.8396015397419887E-5</v>
      </c>
      <c r="K26" s="143"/>
    </row>
    <row r="27" spans="2:12" ht="36.75" customHeight="1" thickBot="1">
      <c r="B27" s="370"/>
      <c r="C27" s="142" t="s">
        <v>142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0"/>
      <c r="C28" s="163" t="s">
        <v>143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1"/>
      <c r="C29" s="142" t="s">
        <v>144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3" r:id="rId8" name="CommandButton2">
          <controlPr defaultSize="0" autoLine="0" r:id="rId9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topLeftCell="C10" zoomScaleNormal="100" workbookViewId="0">
      <selection activeCell="F13" sqref="F13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209</v>
      </c>
      <c r="C2" s="69" t="str">
        <f>Well!D5</f>
        <v>금고동 480-1</v>
      </c>
    </row>
    <row r="3" spans="1:12" ht="26.1" customHeight="1">
      <c r="B3" s="49" t="s">
        <v>6</v>
      </c>
      <c r="C3" s="50">
        <f>Well!C5</f>
        <v>1200900004</v>
      </c>
      <c r="D3" s="51" t="s">
        <v>63</v>
      </c>
      <c r="E3" s="52" t="s">
        <v>158</v>
      </c>
      <c r="F3" s="53" t="s">
        <v>147</v>
      </c>
      <c r="G3" s="49" t="s">
        <v>64</v>
      </c>
    </row>
    <row r="4" spans="1:12" ht="26.1" customHeight="1">
      <c r="B4" s="54" t="s">
        <v>65</v>
      </c>
      <c r="C4" s="55" t="str">
        <f>Well!R5</f>
        <v>127, 23, 29.2</v>
      </c>
      <c r="D4" s="56" t="s">
        <v>66</v>
      </c>
      <c r="E4" s="57">
        <v>0</v>
      </c>
      <c r="F4" s="58"/>
      <c r="G4" s="59"/>
    </row>
    <row r="5" spans="1:12" ht="26.1" customHeight="1">
      <c r="B5" s="54" t="s">
        <v>67</v>
      </c>
      <c r="C5" s="55" t="str">
        <f>Well!Q5</f>
        <v>36, 27, 31.2</v>
      </c>
      <c r="D5" s="56" t="s">
        <v>68</v>
      </c>
      <c r="E5" s="150">
        <v>0.51590000000000003</v>
      </c>
      <c r="F5" s="151">
        <f>$E$5/$C$14</f>
        <v>5.7966292134831463E-3</v>
      </c>
      <c r="G5" s="59">
        <v>8.6640000000000003E-4</v>
      </c>
    </row>
    <row r="6" spans="1:12" ht="26.1" customHeight="1">
      <c r="B6" s="54" t="s">
        <v>69</v>
      </c>
      <c r="C6" s="97" t="str">
        <f>Well!D5</f>
        <v>금고동 480-1</v>
      </c>
      <c r="D6" s="56" t="s">
        <v>71</v>
      </c>
      <c r="E6" s="57">
        <v>0.53510000000000002</v>
      </c>
      <c r="F6" s="151">
        <f>$E$6/$C$14</f>
        <v>6.0123595505617976E-3</v>
      </c>
      <c r="G6" s="59" t="s">
        <v>72</v>
      </c>
    </row>
    <row r="7" spans="1:12" ht="26.1" customHeight="1" thickBot="1">
      <c r="B7" s="54" t="s">
        <v>70</v>
      </c>
      <c r="C7" s="240">
        <f>Well!H5</f>
        <v>100</v>
      </c>
      <c r="D7" s="148" t="s">
        <v>74</v>
      </c>
      <c r="E7" s="149">
        <f>(E5+E6)/2</f>
        <v>0.52550000000000008</v>
      </c>
      <c r="F7" s="152">
        <f>$E$7/$C$14</f>
        <v>5.9044943820224724E-3</v>
      </c>
      <c r="G7" s="148">
        <f>G5</f>
        <v>8.6640000000000003E-4</v>
      </c>
      <c r="J7" s="48">
        <f>F7*100</f>
        <v>0.59044943820224727</v>
      </c>
    </row>
    <row r="8" spans="1:12" ht="26.1" customHeight="1" thickBot="1">
      <c r="B8" s="54" t="s">
        <v>73</v>
      </c>
      <c r="C8" s="240">
        <f>Well!G5</f>
        <v>200</v>
      </c>
      <c r="J8" s="48">
        <f>J7/24/60/60</f>
        <v>6.8339055347482315E-6</v>
      </c>
    </row>
    <row r="9" spans="1:12" ht="26.1" customHeight="1" thickBot="1">
      <c r="B9" s="54" t="s">
        <v>75</v>
      </c>
      <c r="C9" s="54">
        <f>C10+C11</f>
        <v>11</v>
      </c>
      <c r="D9" s="60"/>
      <c r="E9" s="61" t="s">
        <v>148</v>
      </c>
      <c r="F9" s="155" t="s">
        <v>149</v>
      </c>
      <c r="G9" s="62" t="s">
        <v>150</v>
      </c>
    </row>
    <row r="10" spans="1:12" ht="26.1" customHeight="1" thickBot="1">
      <c r="B10" s="54" t="s">
        <v>76</v>
      </c>
      <c r="C10" s="55">
        <v>3</v>
      </c>
      <c r="D10" s="63" t="s">
        <v>77</v>
      </c>
      <c r="E10" s="64">
        <v>39.9</v>
      </c>
      <c r="F10" s="65">
        <v>48.8</v>
      </c>
      <c r="G10" s="66">
        <v>35.4</v>
      </c>
      <c r="H10" s="67"/>
      <c r="I10" s="68"/>
    </row>
    <row r="11" spans="1:12" ht="26.1" customHeight="1" thickBot="1">
      <c r="B11" s="54" t="s">
        <v>78</v>
      </c>
      <c r="C11" s="55">
        <v>8</v>
      </c>
      <c r="D11" s="125" t="s">
        <v>79</v>
      </c>
      <c r="E11" s="171">
        <f>ROUND(AVERAGE(E10:G10),1)</f>
        <v>41.4</v>
      </c>
      <c r="F11" s="70"/>
      <c r="G11" s="70"/>
      <c r="H11" s="67"/>
      <c r="I11" s="68"/>
      <c r="J11" s="372" t="s">
        <v>156</v>
      </c>
      <c r="K11" s="373"/>
    </row>
    <row r="12" spans="1:12" ht="26.1" customHeight="1" thickBot="1">
      <c r="A12" s="69" t="str">
        <f>IF(A13&lt;&gt;C7,"CHECK","OK")</f>
        <v>OK</v>
      </c>
      <c r="B12" s="54" t="s">
        <v>80</v>
      </c>
      <c r="C12" s="55">
        <f>C7-C9</f>
        <v>89</v>
      </c>
      <c r="H12" s="71"/>
      <c r="J12" s="173" t="s">
        <v>159</v>
      </c>
      <c r="K12" s="245">
        <v>154</v>
      </c>
      <c r="L12" s="246">
        <f>K12+180</f>
        <v>334</v>
      </c>
    </row>
    <row r="13" spans="1:12" ht="26.1" customHeight="1">
      <c r="A13" s="69">
        <f>C10+C11+C12+C13</f>
        <v>100</v>
      </c>
      <c r="B13" s="54" t="s">
        <v>81</v>
      </c>
      <c r="C13" s="55"/>
      <c r="H13" s="72"/>
      <c r="J13" s="156" t="s">
        <v>151</v>
      </c>
      <c r="K13" s="157">
        <v>1195</v>
      </c>
      <c r="L13" s="174"/>
    </row>
    <row r="14" spans="1:12" ht="26.1" customHeight="1">
      <c r="B14" s="54" t="s">
        <v>82</v>
      </c>
      <c r="C14" s="153">
        <f>C7-IF(C20&gt;C9,C20,C9)</f>
        <v>89</v>
      </c>
      <c r="H14" s="72"/>
      <c r="J14" s="158" t="s">
        <v>152</v>
      </c>
      <c r="K14" s="159">
        <v>70</v>
      </c>
      <c r="L14" s="174"/>
    </row>
    <row r="15" spans="1:12" ht="26.1" customHeight="1" thickBot="1">
      <c r="B15" s="54" t="s">
        <v>83</v>
      </c>
      <c r="C15" s="241">
        <f>Well!I5</f>
        <v>30</v>
      </c>
      <c r="E15" s="172">
        <v>1</v>
      </c>
      <c r="J15" s="158" t="s">
        <v>153</v>
      </c>
      <c r="K15" s="159">
        <v>30</v>
      </c>
      <c r="L15" s="174"/>
    </row>
    <row r="16" spans="1:12" ht="26.1" customHeight="1">
      <c r="B16" s="54" t="s">
        <v>84</v>
      </c>
      <c r="C16" s="242">
        <f>Well!J5</f>
        <v>40</v>
      </c>
      <c r="E16" s="49" t="s">
        <v>87</v>
      </c>
      <c r="F16" s="107" t="s">
        <v>113</v>
      </c>
      <c r="G16" s="105" t="s">
        <v>112</v>
      </c>
      <c r="H16" s="72"/>
      <c r="J16" s="158" t="s">
        <v>160</v>
      </c>
      <c r="K16" s="160">
        <f>K14-C20</f>
        <v>65.17</v>
      </c>
      <c r="L16" s="174"/>
    </row>
    <row r="17" spans="2:12" ht="26.1" customHeight="1" thickBot="1">
      <c r="B17" s="54" t="s">
        <v>85</v>
      </c>
      <c r="C17" s="241">
        <f>Well!L5</f>
        <v>1</v>
      </c>
      <c r="E17" s="75">
        <f>Well!P5</f>
        <v>1736630</v>
      </c>
      <c r="F17" s="108">
        <f>(max*rf_1*E17/1000)</f>
        <v>396105.50541800004</v>
      </c>
      <c r="G17" s="106">
        <f>(E17*rf_1*min/1000)</f>
        <v>238568.156946</v>
      </c>
      <c r="J17" s="158" t="s">
        <v>154</v>
      </c>
      <c r="K17" s="160">
        <f>K16-K15</f>
        <v>35.17</v>
      </c>
      <c r="L17" s="174"/>
    </row>
    <row r="18" spans="2:12" ht="26.1" customHeight="1" thickBot="1">
      <c r="B18" s="54" t="s">
        <v>86</v>
      </c>
      <c r="C18" s="241">
        <f>Well!M5</f>
        <v>60</v>
      </c>
      <c r="E18" s="49" t="s">
        <v>87</v>
      </c>
      <c r="F18" s="107" t="s">
        <v>88</v>
      </c>
      <c r="G18" s="105" t="s">
        <v>89</v>
      </c>
      <c r="I18" s="98"/>
      <c r="J18" s="161" t="s">
        <v>155</v>
      </c>
      <c r="K18" s="162">
        <f>(K17/K13)</f>
        <v>2.9430962343096237E-2</v>
      </c>
      <c r="L18" s="175">
        <f>K18*100</f>
        <v>2.9430962343096239</v>
      </c>
    </row>
    <row r="19" spans="2:12" ht="26.1" customHeight="1" thickBot="1">
      <c r="B19" s="74" t="s">
        <v>90</v>
      </c>
      <c r="C19" s="243">
        <f>Well!N5</f>
        <v>32</v>
      </c>
      <c r="E19" s="75">
        <f>E17</f>
        <v>1736630</v>
      </c>
      <c r="F19" s="108">
        <f>(max*rf_1*E19/1000)/365</f>
        <v>1085.2205627890412</v>
      </c>
      <c r="G19" s="106">
        <f>(E19*rf_1*min/1000)/365</f>
        <v>653.61138889315066</v>
      </c>
    </row>
    <row r="20" spans="2:12" ht="26.1" customHeight="1">
      <c r="B20" s="76" t="s">
        <v>91</v>
      </c>
      <c r="C20" s="77">
        <v>4.83</v>
      </c>
      <c r="D20" s="69"/>
      <c r="E20" s="95" t="s">
        <v>110</v>
      </c>
      <c r="F20" s="96" t="s">
        <v>92</v>
      </c>
      <c r="G20" s="94" t="s">
        <v>93</v>
      </c>
      <c r="I20" s="48">
        <f>209.8+300</f>
        <v>509.8</v>
      </c>
    </row>
    <row r="21" spans="2:12" ht="26.1" customHeight="1" thickBot="1">
      <c r="B21" s="74" t="s">
        <v>94</v>
      </c>
      <c r="C21" s="78">
        <v>47.24</v>
      </c>
      <c r="D21" s="69"/>
      <c r="E21" s="79">
        <f>Well!I6</f>
        <v>230</v>
      </c>
      <c r="F21" s="80">
        <f>Well!O5</f>
        <v>164.3</v>
      </c>
      <c r="G21" s="104">
        <f>G19-E21-F21</f>
        <v>259.31138889315065</v>
      </c>
    </row>
    <row r="22" spans="2:12"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7" t="s">
        <v>134</v>
      </c>
      <c r="C25" s="368"/>
      <c r="D25" s="141" t="s">
        <v>145</v>
      </c>
      <c r="E25" s="141" t="s">
        <v>146</v>
      </c>
      <c r="F25" s="141" t="s">
        <v>135</v>
      </c>
      <c r="G25" s="141" t="s">
        <v>136</v>
      </c>
      <c r="H25" s="141" t="s">
        <v>161</v>
      </c>
      <c r="I25" s="141" t="s">
        <v>137</v>
      </c>
      <c r="J25" s="141" t="s">
        <v>138</v>
      </c>
      <c r="K25" s="141" t="s">
        <v>139</v>
      </c>
    </row>
    <row r="26" spans="2:12" ht="55.5" customHeight="1" thickBot="1">
      <c r="B26" s="369" t="s">
        <v>63</v>
      </c>
      <c r="C26" s="142" t="s">
        <v>141</v>
      </c>
      <c r="D26" s="143">
        <f>C20</f>
        <v>4.83</v>
      </c>
      <c r="E26" s="146">
        <f>Recharge!C31</f>
        <v>22.808860000000003</v>
      </c>
      <c r="F26" s="147" t="s">
        <v>197</v>
      </c>
      <c r="G26" s="143" t="s">
        <v>222</v>
      </c>
      <c r="H26" s="176">
        <f>ABS(L18)</f>
        <v>2.9430962343096239</v>
      </c>
      <c r="I26" s="143" t="s">
        <v>197</v>
      </c>
      <c r="J26" s="143">
        <f>(E7/C14)/864</f>
        <v>6.8339055347482324E-6</v>
      </c>
      <c r="K26" s="143"/>
    </row>
    <row r="27" spans="2:12" ht="36.75" customHeight="1" thickBot="1">
      <c r="B27" s="370"/>
      <c r="C27" s="142" t="s">
        <v>142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0"/>
      <c r="C28" s="163" t="s">
        <v>143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1"/>
      <c r="C29" s="142" t="s">
        <v>144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C096-7E5A-4A2E-B631-38AF96640847}">
  <sheetPr codeName="Sheet11"/>
  <dimension ref="B1:P44"/>
  <sheetViews>
    <sheetView topLeftCell="A22" workbookViewId="0">
      <selection activeCell="F18" sqref="F18"/>
    </sheetView>
  </sheetViews>
  <sheetFormatPr defaultColWidth="8.88671875" defaultRowHeight="16.5"/>
  <cols>
    <col min="1" max="1" width="8.88671875" style="92"/>
    <col min="2" max="2" width="15.6640625" style="92" customWidth="1"/>
    <col min="3" max="3" width="11.6640625" style="92" bestFit="1" customWidth="1"/>
    <col min="4" max="4" width="9.44140625" style="92" customWidth="1"/>
    <col min="5" max="6" width="8.77734375" style="91" customWidth="1"/>
    <col min="7" max="9" width="8.77734375" style="92" customWidth="1"/>
    <col min="10" max="10" width="12.44140625" style="92" customWidth="1"/>
    <col min="11" max="16384" width="8.88671875" style="92"/>
  </cols>
  <sheetData>
    <row r="1" spans="2:14" s="82" customFormat="1" ht="18" customHeight="1">
      <c r="E1" s="10"/>
      <c r="F1" s="10"/>
    </row>
    <row r="2" spans="2:14" s="82" customFormat="1" ht="18" customHeight="1">
      <c r="B2" s="82" t="s">
        <v>95</v>
      </c>
      <c r="E2" s="10"/>
      <c r="F2" s="10"/>
    </row>
    <row r="3" spans="2:14" s="82" customFormat="1" ht="18" customHeight="1">
      <c r="E3" s="10"/>
      <c r="F3" s="10"/>
    </row>
    <row r="4" spans="2:14" s="82" customFormat="1" ht="18" customHeight="1">
      <c r="B4" s="231" t="s">
        <v>109</v>
      </c>
      <c r="E4" s="10"/>
      <c r="F4" s="10"/>
    </row>
    <row r="5" spans="2:14" s="82" customFormat="1" ht="18" customHeight="1" thickBot="1">
      <c r="E5" s="10"/>
      <c r="F5" s="10"/>
    </row>
    <row r="6" spans="2:14" s="82" customFormat="1" ht="26.1" customHeight="1" thickBot="1">
      <c r="B6" s="232" t="s">
        <v>96</v>
      </c>
      <c r="C6" s="233">
        <v>43781.375</v>
      </c>
      <c r="D6" s="84"/>
      <c r="E6" s="10"/>
      <c r="F6" s="10"/>
    </row>
    <row r="7" spans="2:14" s="82" customFormat="1" ht="26.1" customHeight="1" thickBot="1">
      <c r="B7" s="83" t="s">
        <v>97</v>
      </c>
      <c r="C7" s="85">
        <v>14.6</v>
      </c>
      <c r="D7" s="84"/>
      <c r="E7" s="10"/>
      <c r="F7" s="10"/>
    </row>
    <row r="8" spans="2:14" s="82" customFormat="1" ht="26.1" customHeight="1">
      <c r="B8" s="86" t="s">
        <v>98</v>
      </c>
      <c r="C8" s="87">
        <v>236</v>
      </c>
      <c r="D8" s="84"/>
      <c r="E8" s="10"/>
      <c r="F8" s="10"/>
    </row>
    <row r="9" spans="2:14" s="82" customFormat="1" ht="26.1" customHeight="1">
      <c r="B9" s="86" t="s">
        <v>99</v>
      </c>
      <c r="C9" s="87">
        <v>6.5</v>
      </c>
      <c r="D9" s="235">
        <v>6.8</v>
      </c>
      <c r="E9" s="10"/>
      <c r="F9" s="10"/>
    </row>
    <row r="10" spans="2:14" s="82" customFormat="1" ht="26.1" customHeight="1">
      <c r="B10" s="86"/>
      <c r="C10" s="87"/>
      <c r="D10" s="84"/>
      <c r="E10" s="10"/>
      <c r="F10" s="10"/>
    </row>
    <row r="11" spans="2:14" s="82" customFormat="1" ht="18" customHeight="1" thickBot="1">
      <c r="E11" s="10"/>
      <c r="F11" s="10"/>
    </row>
    <row r="12" spans="2:14" s="10" customFormat="1" ht="26.1" customHeight="1" thickBot="1">
      <c r="B12" s="375" t="s">
        <v>100</v>
      </c>
      <c r="C12" s="376"/>
      <c r="D12" s="367" t="s">
        <v>101</v>
      </c>
      <c r="E12" s="374"/>
      <c r="F12" s="368"/>
      <c r="G12" s="367" t="s">
        <v>209</v>
      </c>
      <c r="H12" s="374"/>
      <c r="I12" s="368"/>
    </row>
    <row r="13" spans="2:14" s="10" customFormat="1" ht="26.1" customHeight="1" thickBot="1">
      <c r="B13" s="209" t="s">
        <v>96</v>
      </c>
      <c r="C13" s="210" t="s">
        <v>102</v>
      </c>
      <c r="D13" s="209" t="s">
        <v>103</v>
      </c>
      <c r="E13" s="211" t="s">
        <v>104</v>
      </c>
      <c r="F13" s="210" t="s">
        <v>105</v>
      </c>
      <c r="G13" s="209" t="s">
        <v>103</v>
      </c>
      <c r="H13" s="211" t="s">
        <v>104</v>
      </c>
      <c r="I13" s="210" t="s">
        <v>105</v>
      </c>
    </row>
    <row r="14" spans="2:14" s="10" customFormat="1" ht="26.1" customHeight="1">
      <c r="B14" s="220">
        <f>$C$6+C14/1440</f>
        <v>43781.378472222219</v>
      </c>
      <c r="C14" s="214">
        <v>5</v>
      </c>
      <c r="D14" s="10">
        <f t="shared" ref="D14:D23" ca="1" si="0">baseTemp+D31</f>
        <v>14.4</v>
      </c>
      <c r="E14" s="234">
        <f t="shared" ref="E14:E23" ca="1" si="1">$C$8+E31</f>
        <v>239</v>
      </c>
      <c r="F14" s="88">
        <f t="shared" ref="F14:F23" ca="1" si="2">$C$9+F31</f>
        <v>6.61</v>
      </c>
      <c r="G14" s="222">
        <f t="shared" ref="G14:G23" ca="1" si="3">baseTemp+H31-0.2</f>
        <v>14.200000000000001</v>
      </c>
      <c r="H14" s="234">
        <f ca="1">$C$8+I31+3</f>
        <v>240</v>
      </c>
      <c r="I14" s="88">
        <f t="shared" ref="I14:I23" ca="1" si="4">$D$9+J31-0.02</f>
        <v>6.67</v>
      </c>
      <c r="M14" s="253"/>
      <c r="N14" s="253"/>
    </row>
    <row r="15" spans="2:14" s="10" customFormat="1" ht="26.1" customHeight="1">
      <c r="B15" s="220">
        <f t="shared" ref="B15:B23" si="5">$C$6+C15/1440</f>
        <v>43781.395833333336</v>
      </c>
      <c r="C15" s="214">
        <v>30</v>
      </c>
      <c r="D15" s="222">
        <f t="shared" ca="1" si="0"/>
        <v>14.7</v>
      </c>
      <c r="E15" s="234">
        <f t="shared" ca="1" si="1"/>
        <v>235</v>
      </c>
      <c r="F15" s="88">
        <f t="shared" ca="1" si="2"/>
        <v>6.38</v>
      </c>
      <c r="G15" s="10">
        <f t="shared" ca="1" si="3"/>
        <v>14.200000000000001</v>
      </c>
      <c r="H15" s="234">
        <f t="shared" ref="H15:H23" ca="1" si="6">$C$8+I32+3</f>
        <v>241</v>
      </c>
      <c r="I15" s="88">
        <f t="shared" ca="1" si="4"/>
        <v>6.8500000000000005</v>
      </c>
      <c r="J15" s="253"/>
      <c r="M15" s="253"/>
      <c r="N15" s="253"/>
    </row>
    <row r="16" spans="2:14" s="10" customFormat="1" ht="26.1" customHeight="1">
      <c r="B16" s="220">
        <f t="shared" si="5"/>
        <v>43781.416666666664</v>
      </c>
      <c r="C16" s="214">
        <v>60</v>
      </c>
      <c r="D16" s="10">
        <f t="shared" ca="1" si="0"/>
        <v>14.4</v>
      </c>
      <c r="E16" s="234">
        <f t="shared" ca="1" si="1"/>
        <v>239</v>
      </c>
      <c r="F16" s="88">
        <f t="shared" ca="1" si="2"/>
        <v>6.61</v>
      </c>
      <c r="G16" s="222">
        <f t="shared" ca="1" si="3"/>
        <v>14.700000000000001</v>
      </c>
      <c r="H16" s="234">
        <f t="shared" ca="1" si="6"/>
        <v>241</v>
      </c>
      <c r="I16" s="88">
        <f t="shared" ca="1" si="4"/>
        <v>6.67</v>
      </c>
      <c r="M16" s="253"/>
      <c r="N16" s="253"/>
    </row>
    <row r="17" spans="2:16" s="10" customFormat="1" ht="26.1" customHeight="1">
      <c r="B17" s="220">
        <f t="shared" si="5"/>
        <v>43781.458333333336</v>
      </c>
      <c r="C17" s="214">
        <v>120</v>
      </c>
      <c r="D17" s="10">
        <f t="shared" ca="1" si="0"/>
        <v>14.5</v>
      </c>
      <c r="E17" s="234">
        <f t="shared" ca="1" si="1"/>
        <v>238</v>
      </c>
      <c r="F17" s="88">
        <f t="shared" ca="1" si="2"/>
        <v>6.61</v>
      </c>
      <c r="G17" s="10">
        <f t="shared" ca="1" si="3"/>
        <v>14.6</v>
      </c>
      <c r="H17" s="234">
        <f t="shared" ca="1" si="6"/>
        <v>237</v>
      </c>
      <c r="I17" s="88">
        <f t="shared" ca="1" si="4"/>
        <v>6.8500000000000005</v>
      </c>
      <c r="M17" s="253"/>
      <c r="N17" s="253"/>
    </row>
    <row r="18" spans="2:16" s="10" customFormat="1" ht="26.1" customHeight="1">
      <c r="B18" s="220">
        <f t="shared" si="5"/>
        <v>43781.541666666664</v>
      </c>
      <c r="C18" s="214">
        <v>240</v>
      </c>
      <c r="D18" s="222">
        <f t="shared" ca="1" si="0"/>
        <v>14.9</v>
      </c>
      <c r="E18" s="234">
        <f t="shared" ca="1" si="1"/>
        <v>234</v>
      </c>
      <c r="F18" s="88">
        <f t="shared" ca="1" si="2"/>
        <v>6.42</v>
      </c>
      <c r="G18" s="10">
        <f t="shared" ca="1" si="3"/>
        <v>14.5</v>
      </c>
      <c r="H18" s="234">
        <f t="shared" ca="1" si="6"/>
        <v>237</v>
      </c>
      <c r="I18" s="88">
        <f t="shared" ca="1" si="4"/>
        <v>6.69</v>
      </c>
      <c r="M18" s="253"/>
      <c r="N18" s="253"/>
    </row>
    <row r="19" spans="2:16" s="10" customFormat="1" ht="26.1" customHeight="1">
      <c r="B19" s="220">
        <f t="shared" si="5"/>
        <v>43781.708333333336</v>
      </c>
      <c r="C19" s="214">
        <v>480</v>
      </c>
      <c r="D19" s="10">
        <f t="shared" ca="1" si="0"/>
        <v>14.7</v>
      </c>
      <c r="E19" s="234">
        <f t="shared" ca="1" si="1"/>
        <v>234</v>
      </c>
      <c r="F19" s="88">
        <f t="shared" ca="1" si="2"/>
        <v>6.42</v>
      </c>
      <c r="G19" s="10">
        <f t="shared" ca="1" si="3"/>
        <v>14.200000000000001</v>
      </c>
      <c r="H19" s="234">
        <f t="shared" ca="1" si="6"/>
        <v>238</v>
      </c>
      <c r="I19" s="88">
        <f t="shared" ca="1" si="4"/>
        <v>6.66</v>
      </c>
      <c r="M19" s="253"/>
      <c r="N19" s="253"/>
    </row>
    <row r="20" spans="2:16" s="82" customFormat="1" ht="26.1" customHeight="1">
      <c r="B20" s="220">
        <f t="shared" si="5"/>
        <v>43782.375</v>
      </c>
      <c r="C20" s="214">
        <v>1440</v>
      </c>
      <c r="D20" s="10">
        <f t="shared" ca="1" si="0"/>
        <v>14.5</v>
      </c>
      <c r="E20" s="234">
        <f t="shared" ca="1" si="1"/>
        <v>239</v>
      </c>
      <c r="F20" s="88">
        <f t="shared" ca="1" si="2"/>
        <v>6.61</v>
      </c>
      <c r="G20" s="10">
        <f t="shared" ca="1" si="3"/>
        <v>14.3</v>
      </c>
      <c r="H20" s="234">
        <f t="shared" ca="1" si="6"/>
        <v>238</v>
      </c>
      <c r="I20" s="88">
        <f t="shared" ca="1" si="4"/>
        <v>6.6800000000000006</v>
      </c>
      <c r="M20" s="253"/>
      <c r="N20" s="253"/>
      <c r="O20" s="10"/>
      <c r="P20" s="10"/>
    </row>
    <row r="21" spans="2:16" s="82" customFormat="1" ht="26.1" customHeight="1">
      <c r="B21" s="220">
        <f t="shared" si="5"/>
        <v>43782.541666666664</v>
      </c>
      <c r="C21" s="214">
        <v>1680</v>
      </c>
      <c r="D21" s="222">
        <f t="shared" ca="1" si="0"/>
        <v>14.5</v>
      </c>
      <c r="E21" s="234">
        <f t="shared" ca="1" si="1"/>
        <v>237</v>
      </c>
      <c r="F21" s="88">
        <f t="shared" ca="1" si="2"/>
        <v>6.4</v>
      </c>
      <c r="G21" s="10">
        <f t="shared" ca="1" si="3"/>
        <v>14.5</v>
      </c>
      <c r="H21" s="234">
        <f t="shared" ca="1" si="6"/>
        <v>238</v>
      </c>
      <c r="I21" s="88">
        <f t="shared" ca="1" si="4"/>
        <v>6.87</v>
      </c>
      <c r="M21" s="253"/>
      <c r="N21" s="253"/>
      <c r="O21" s="10"/>
      <c r="P21" s="10"/>
    </row>
    <row r="22" spans="2:16" s="82" customFormat="1" ht="26.1" customHeight="1">
      <c r="B22" s="220">
        <f t="shared" si="5"/>
        <v>43782.708333333336</v>
      </c>
      <c r="C22" s="214">
        <v>1920</v>
      </c>
      <c r="D22" s="10">
        <f t="shared" ca="1" si="0"/>
        <v>14.799999999999999</v>
      </c>
      <c r="E22" s="234">
        <f t="shared" ca="1" si="1"/>
        <v>238</v>
      </c>
      <c r="F22" s="88">
        <f t="shared" ca="1" si="2"/>
        <v>6.41</v>
      </c>
      <c r="G22" s="10">
        <f t="shared" ca="1" si="3"/>
        <v>14.1</v>
      </c>
      <c r="H22" s="234">
        <f t="shared" ca="1" si="6"/>
        <v>237</v>
      </c>
      <c r="I22" s="88">
        <f t="shared" ca="1" si="4"/>
        <v>6.6800000000000006</v>
      </c>
      <c r="M22" s="253"/>
      <c r="N22" s="253"/>
      <c r="O22" s="10"/>
      <c r="P22" s="10"/>
    </row>
    <row r="23" spans="2:16" s="82" customFormat="1" ht="26.1" customHeight="1" thickBot="1">
      <c r="B23" s="220">
        <f t="shared" si="5"/>
        <v>43783.375</v>
      </c>
      <c r="C23" s="214">
        <v>2880</v>
      </c>
      <c r="D23" s="222">
        <f t="shared" ca="1" si="0"/>
        <v>14.799999999999999</v>
      </c>
      <c r="E23" s="234">
        <f t="shared" ca="1" si="1"/>
        <v>238</v>
      </c>
      <c r="F23" s="88">
        <f t="shared" ca="1" si="2"/>
        <v>6.59</v>
      </c>
      <c r="G23" s="10">
        <f t="shared" ca="1" si="3"/>
        <v>14.5</v>
      </c>
      <c r="H23" s="234">
        <f t="shared" ca="1" si="6"/>
        <v>240</v>
      </c>
      <c r="I23" s="88">
        <f t="shared" ca="1" si="4"/>
        <v>6.71</v>
      </c>
      <c r="N23" s="253"/>
      <c r="O23" s="10"/>
      <c r="P23" s="10"/>
    </row>
    <row r="24" spans="2:16" s="82" customFormat="1" ht="26.1" customHeight="1" thickTop="1">
      <c r="B24" s="377" t="s">
        <v>46</v>
      </c>
      <c r="C24" s="378"/>
      <c r="D24" s="90">
        <f ca="1">MAX(D14:D23)</f>
        <v>14.9</v>
      </c>
      <c r="E24" s="90">
        <f t="shared" ref="E24:F24" ca="1" si="7">MAX(E14:E23)</f>
        <v>239</v>
      </c>
      <c r="F24" s="213">
        <f t="shared" ca="1" si="7"/>
        <v>6.61</v>
      </c>
      <c r="G24" s="90">
        <f ca="1">MAX(G14:G23)</f>
        <v>14.700000000000001</v>
      </c>
      <c r="H24" s="90">
        <f t="shared" ref="H24:I24" ca="1" si="8">MAX(H14:H23)</f>
        <v>241</v>
      </c>
      <c r="I24" s="213">
        <f t="shared" ca="1" si="8"/>
        <v>6.87</v>
      </c>
      <c r="J24" s="10"/>
      <c r="N24" s="253"/>
      <c r="O24" s="10"/>
      <c r="P24" s="10"/>
    </row>
    <row r="25" spans="2:16" s="82" customFormat="1" ht="26.1" customHeight="1">
      <c r="B25" s="379" t="s">
        <v>47</v>
      </c>
      <c r="C25" s="380"/>
      <c r="D25" s="10">
        <f ca="1">MIN(D14:D23)</f>
        <v>14.4</v>
      </c>
      <c r="E25" s="10">
        <f t="shared" ref="E25:F25" ca="1" si="9">MIN(E14:E23)</f>
        <v>234</v>
      </c>
      <c r="F25" s="214">
        <f t="shared" ca="1" si="9"/>
        <v>6.38</v>
      </c>
      <c r="G25" s="10">
        <f ca="1">MIN(G14:G23)</f>
        <v>14.1</v>
      </c>
      <c r="H25" s="10">
        <f t="shared" ref="H25:I25" ca="1" si="10">MIN(H14:H23)</f>
        <v>237</v>
      </c>
      <c r="I25" s="214">
        <f t="shared" ca="1" si="10"/>
        <v>6.66</v>
      </c>
      <c r="J25" s="10"/>
      <c r="N25" s="253"/>
    </row>
    <row r="26" spans="2:16" s="82" customFormat="1" ht="26.1" customHeight="1" thickBot="1">
      <c r="B26" s="381" t="s">
        <v>106</v>
      </c>
      <c r="C26" s="382"/>
      <c r="D26" s="256">
        <f ca="1">D24-D25</f>
        <v>0.5</v>
      </c>
      <c r="E26" s="89">
        <f t="shared" ref="E26:F26" ca="1" si="11">E24-E25</f>
        <v>5</v>
      </c>
      <c r="F26" s="212">
        <f t="shared" ca="1" si="11"/>
        <v>0.23000000000000043</v>
      </c>
      <c r="G26" s="89">
        <f ca="1">G24-G25</f>
        <v>0.60000000000000142</v>
      </c>
      <c r="H26" s="89">
        <f t="shared" ref="H26:I26" ca="1" si="12">H24-H25</f>
        <v>4</v>
      </c>
      <c r="I26" s="212">
        <f t="shared" ca="1" si="12"/>
        <v>0.20999999999999996</v>
      </c>
      <c r="J26" s="10"/>
    </row>
    <row r="27" spans="2:16" s="82" customFormat="1" ht="18" customHeight="1">
      <c r="E27" s="10"/>
      <c r="F27" s="10"/>
    </row>
    <row r="28" spans="2:16" s="82" customFormat="1" ht="18" customHeight="1" thickBot="1">
      <c r="E28" s="10"/>
      <c r="F28" s="10"/>
    </row>
    <row r="29" spans="2:16" s="82" customFormat="1" ht="18" customHeight="1" thickBot="1">
      <c r="D29" s="367" t="s">
        <v>101</v>
      </c>
      <c r="E29" s="374"/>
      <c r="F29" s="368"/>
      <c r="H29" s="367" t="s">
        <v>209</v>
      </c>
      <c r="I29" s="374"/>
      <c r="J29" s="368"/>
    </row>
    <row r="30" spans="2:16" s="82" customFormat="1" ht="18" customHeight="1" thickBot="1">
      <c r="D30" s="209" t="s">
        <v>103</v>
      </c>
      <c r="E30" s="211" t="s">
        <v>104</v>
      </c>
      <c r="F30" s="210" t="s">
        <v>105</v>
      </c>
      <c r="H30" s="209" t="s">
        <v>103</v>
      </c>
      <c r="I30" s="211" t="s">
        <v>104</v>
      </c>
      <c r="J30" s="210" t="s">
        <v>105</v>
      </c>
    </row>
    <row r="31" spans="2:16" s="82" customFormat="1" ht="18" customHeight="1">
      <c r="D31" s="255">
        <f ca="1">ROUND(myRandBetween(1,3,10),1)</f>
        <v>-0.2</v>
      </c>
      <c r="E31" s="10">
        <f ca="1">myRandBetween(1,3,1)</f>
        <v>3</v>
      </c>
      <c r="F31" s="254">
        <f ca="1">ROUND(myRandBetween(7,12),2)</f>
        <v>0.11</v>
      </c>
      <c r="H31" s="255">
        <f ca="1">ROUND(myRandBetween(1,3,10),1)</f>
        <v>-0.2</v>
      </c>
      <c r="I31" s="10">
        <f ca="1">myRandBetween(1,2,1)</f>
        <v>1</v>
      </c>
      <c r="J31" s="254">
        <f ca="1">ROUND(myRandBetween(7,12),2)</f>
        <v>-0.11</v>
      </c>
      <c r="M31" s="258"/>
    </row>
    <row r="32" spans="2:16" s="82" customFormat="1" ht="18" customHeight="1">
      <c r="D32" s="255">
        <f t="shared" ref="D32:D40" ca="1" si="13">ROUND(myRandBetween(1,3,10),1)</f>
        <v>0.1</v>
      </c>
      <c r="E32" s="10">
        <f t="shared" ref="E32:E40" ca="1" si="14">myRandBetween(1,3,1)</f>
        <v>-1</v>
      </c>
      <c r="F32" s="254">
        <f t="shared" ref="F32:F40" ca="1" si="15">ROUND(myRandBetween(7,12),2)</f>
        <v>-0.12</v>
      </c>
      <c r="H32" s="255">
        <f t="shared" ref="H32:H40" ca="1" si="16">ROUND(myRandBetween(1,3,10),1)</f>
        <v>-0.2</v>
      </c>
      <c r="I32" s="10">
        <f t="shared" ref="I32:I40" ca="1" si="17">myRandBetween(1,2,1)</f>
        <v>2</v>
      </c>
      <c r="J32" s="254">
        <f t="shared" ref="J32:J40" ca="1" si="18">ROUND(myRandBetween(7,12),2)</f>
        <v>7.0000000000000007E-2</v>
      </c>
      <c r="M32" s="257"/>
    </row>
    <row r="33" spans="4:10" s="82" customFormat="1" ht="18" customHeight="1">
      <c r="D33" s="255">
        <f t="shared" ca="1" si="13"/>
        <v>-0.2</v>
      </c>
      <c r="E33" s="10">
        <f t="shared" ca="1" si="14"/>
        <v>3</v>
      </c>
      <c r="F33" s="254">
        <f t="shared" ca="1" si="15"/>
        <v>0.11</v>
      </c>
      <c r="H33" s="255">
        <f t="shared" ca="1" si="16"/>
        <v>0.3</v>
      </c>
      <c r="I33" s="10">
        <f t="shared" ca="1" si="17"/>
        <v>2</v>
      </c>
      <c r="J33" s="254">
        <f t="shared" ca="1" si="18"/>
        <v>-0.11</v>
      </c>
    </row>
    <row r="34" spans="4:10" s="82" customFormat="1" ht="18" customHeight="1">
      <c r="D34" s="255">
        <f t="shared" ca="1" si="13"/>
        <v>-0.1</v>
      </c>
      <c r="E34" s="10">
        <f t="shared" ca="1" si="14"/>
        <v>2</v>
      </c>
      <c r="F34" s="254">
        <f t="shared" ca="1" si="15"/>
        <v>0.11</v>
      </c>
      <c r="H34" s="255">
        <f t="shared" ca="1" si="16"/>
        <v>0.2</v>
      </c>
      <c r="I34" s="10">
        <f t="shared" ca="1" si="17"/>
        <v>-2</v>
      </c>
      <c r="J34" s="254">
        <f t="shared" ca="1" si="18"/>
        <v>7.0000000000000007E-2</v>
      </c>
    </row>
    <row r="35" spans="4:10" s="82" customFormat="1" ht="18" customHeight="1">
      <c r="D35" s="255">
        <f t="shared" ca="1" si="13"/>
        <v>0.3</v>
      </c>
      <c r="E35" s="10">
        <f t="shared" ca="1" si="14"/>
        <v>-2</v>
      </c>
      <c r="F35" s="254">
        <f t="shared" ca="1" si="15"/>
        <v>-0.08</v>
      </c>
      <c r="H35" s="255">
        <f t="shared" ca="1" si="16"/>
        <v>0.1</v>
      </c>
      <c r="I35" s="10">
        <f t="shared" ca="1" si="17"/>
        <v>-2</v>
      </c>
      <c r="J35" s="254">
        <f t="shared" ca="1" si="18"/>
        <v>-0.09</v>
      </c>
    </row>
    <row r="36" spans="4:10" s="82" customFormat="1" ht="18" customHeight="1">
      <c r="D36" s="255">
        <f t="shared" ca="1" si="13"/>
        <v>0.1</v>
      </c>
      <c r="E36" s="10">
        <f t="shared" ca="1" si="14"/>
        <v>-2</v>
      </c>
      <c r="F36" s="254">
        <f t="shared" ca="1" si="15"/>
        <v>-0.08</v>
      </c>
      <c r="H36" s="255">
        <f t="shared" ca="1" si="16"/>
        <v>-0.2</v>
      </c>
      <c r="I36" s="10">
        <f t="shared" ca="1" si="17"/>
        <v>-1</v>
      </c>
      <c r="J36" s="254">
        <f t="shared" ca="1" si="18"/>
        <v>-0.12</v>
      </c>
    </row>
    <row r="37" spans="4:10" s="82" customFormat="1" ht="18" customHeight="1">
      <c r="D37" s="255">
        <f t="shared" ca="1" si="13"/>
        <v>-0.1</v>
      </c>
      <c r="E37" s="10">
        <f t="shared" ca="1" si="14"/>
        <v>3</v>
      </c>
      <c r="F37" s="254">
        <f t="shared" ca="1" si="15"/>
        <v>0.11</v>
      </c>
      <c r="H37" s="255">
        <f t="shared" ca="1" si="16"/>
        <v>-0.1</v>
      </c>
      <c r="I37" s="10">
        <f t="shared" ca="1" si="17"/>
        <v>-1</v>
      </c>
      <c r="J37" s="254">
        <f t="shared" ca="1" si="18"/>
        <v>-0.1</v>
      </c>
    </row>
    <row r="38" spans="4:10" ht="18" customHeight="1">
      <c r="D38" s="255">
        <f t="shared" ca="1" si="13"/>
        <v>-0.1</v>
      </c>
      <c r="E38" s="10">
        <f t="shared" ca="1" si="14"/>
        <v>1</v>
      </c>
      <c r="F38" s="254">
        <f t="shared" ca="1" si="15"/>
        <v>-0.1</v>
      </c>
      <c r="H38" s="255">
        <f t="shared" ca="1" si="16"/>
        <v>0.1</v>
      </c>
      <c r="I38" s="10">
        <f t="shared" ca="1" si="17"/>
        <v>-1</v>
      </c>
      <c r="J38" s="254">
        <f t="shared" ca="1" si="18"/>
        <v>0.09</v>
      </c>
    </row>
    <row r="39" spans="4:10" ht="18" customHeight="1">
      <c r="D39" s="255">
        <f t="shared" ca="1" si="13"/>
        <v>0.2</v>
      </c>
      <c r="E39" s="10">
        <f t="shared" ca="1" si="14"/>
        <v>2</v>
      </c>
      <c r="F39" s="254">
        <f t="shared" ca="1" si="15"/>
        <v>-0.09</v>
      </c>
      <c r="H39" s="255">
        <f t="shared" ca="1" si="16"/>
        <v>-0.3</v>
      </c>
      <c r="I39" s="10">
        <f t="shared" ca="1" si="17"/>
        <v>-2</v>
      </c>
      <c r="J39" s="254">
        <f t="shared" ca="1" si="18"/>
        <v>-0.1</v>
      </c>
    </row>
    <row r="40" spans="4:10" ht="18" customHeight="1">
      <c r="D40" s="255">
        <f t="shared" ca="1" si="13"/>
        <v>0.2</v>
      </c>
      <c r="E40" s="10">
        <f t="shared" ca="1" si="14"/>
        <v>2</v>
      </c>
      <c r="F40" s="254">
        <f t="shared" ca="1" si="15"/>
        <v>0.09</v>
      </c>
      <c r="H40" s="255">
        <f t="shared" ca="1" si="16"/>
        <v>0.1</v>
      </c>
      <c r="I40" s="10">
        <f t="shared" ca="1" si="17"/>
        <v>1</v>
      </c>
      <c r="J40" s="254">
        <f t="shared" ca="1" si="18"/>
        <v>-7.0000000000000007E-2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7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16C33-14FD-4AE5-87E8-7807FBB3D182}">
  <sheetPr codeName="Sheet15"/>
  <dimension ref="B1:J44"/>
  <sheetViews>
    <sheetView topLeftCell="A4" workbookViewId="0">
      <selection activeCell="K6" sqref="K6"/>
    </sheetView>
  </sheetViews>
  <sheetFormatPr defaultColWidth="8.88671875" defaultRowHeight="16.5"/>
  <cols>
    <col min="1" max="1" width="8.88671875" style="92"/>
    <col min="2" max="2" width="16.6640625" style="92" customWidth="1"/>
    <col min="3" max="4" width="14.6640625" style="92" customWidth="1"/>
    <col min="5" max="5" width="12" style="91" customWidth="1"/>
    <col min="6" max="6" width="12.33203125" style="91" customWidth="1"/>
    <col min="7" max="7" width="8.88671875" style="92"/>
    <col min="8" max="10" width="12.44140625" style="92" customWidth="1"/>
    <col min="11" max="16384" width="8.88671875" style="92"/>
  </cols>
  <sheetData>
    <row r="1" spans="2:10" s="82" customFormat="1" ht="18" customHeight="1">
      <c r="E1" s="10"/>
      <c r="F1" s="10"/>
    </row>
    <row r="2" spans="2:10" s="82" customFormat="1" ht="18" customHeight="1">
      <c r="B2" s="202" t="s">
        <v>95</v>
      </c>
      <c r="E2" s="10"/>
      <c r="F2" s="10"/>
    </row>
    <row r="3" spans="2:10" s="82" customFormat="1" ht="18" customHeight="1">
      <c r="E3" s="10"/>
      <c r="F3" s="10"/>
    </row>
    <row r="4" spans="2:10" s="217" customFormat="1" ht="26.25" customHeight="1">
      <c r="B4" s="215" t="s">
        <v>109</v>
      </c>
      <c r="C4" s="216" t="s">
        <v>101</v>
      </c>
      <c r="E4" s="216"/>
      <c r="F4" s="216"/>
    </row>
    <row r="5" spans="2:10" s="82" customFormat="1" ht="18" customHeight="1" thickBot="1">
      <c r="E5" s="10"/>
      <c r="F5" s="10"/>
    </row>
    <row r="6" spans="2:10" s="82" customFormat="1" ht="26.1" customHeight="1" thickBot="1">
      <c r="B6" s="83" t="s">
        <v>96</v>
      </c>
      <c r="C6" s="218">
        <v>43614.375</v>
      </c>
      <c r="D6" s="84"/>
      <c r="E6" s="10"/>
      <c r="F6" s="10"/>
    </row>
    <row r="7" spans="2:10" s="82" customFormat="1" ht="26.1" customHeight="1" thickBot="1">
      <c r="B7" s="83" t="s">
        <v>97</v>
      </c>
      <c r="C7" s="85">
        <v>14.4</v>
      </c>
      <c r="D7" s="84"/>
      <c r="E7" s="10"/>
      <c r="F7" s="10"/>
    </row>
    <row r="8" spans="2:10" s="82" customFormat="1" ht="26.1" customHeight="1">
      <c r="B8" s="86" t="s">
        <v>98</v>
      </c>
      <c r="C8" s="87">
        <v>223</v>
      </c>
      <c r="D8" s="84"/>
      <c r="E8" s="10"/>
      <c r="F8" s="10"/>
    </row>
    <row r="9" spans="2:10" s="82" customFormat="1" ht="26.1" customHeight="1">
      <c r="B9" s="86" t="s">
        <v>99</v>
      </c>
      <c r="C9" s="219">
        <v>6.8</v>
      </c>
      <c r="D9" s="84"/>
      <c r="E9" s="10"/>
      <c r="F9" s="10"/>
    </row>
    <row r="10" spans="2:10" s="82" customFormat="1" ht="26.1" customHeight="1">
      <c r="B10" s="86"/>
      <c r="C10" s="87"/>
      <c r="D10" s="84"/>
      <c r="E10" s="10"/>
      <c r="F10" s="10"/>
    </row>
    <row r="11" spans="2:10" s="82" customFormat="1" ht="18" customHeight="1" thickBot="1">
      <c r="E11" s="10"/>
      <c r="F11" s="10"/>
    </row>
    <row r="12" spans="2:10" s="10" customFormat="1" ht="26.1" customHeight="1" thickBot="1">
      <c r="B12" s="375" t="s">
        <v>100</v>
      </c>
      <c r="C12" s="376"/>
      <c r="D12" s="367" t="s">
        <v>101</v>
      </c>
      <c r="E12" s="374"/>
      <c r="F12" s="368"/>
      <c r="H12" s="367" t="s">
        <v>101</v>
      </c>
      <c r="I12" s="374"/>
      <c r="J12" s="368"/>
    </row>
    <row r="13" spans="2:10" s="10" customFormat="1" ht="26.1" customHeight="1" thickBot="1">
      <c r="B13" s="209" t="s">
        <v>96</v>
      </c>
      <c r="C13" s="210" t="s">
        <v>102</v>
      </c>
      <c r="D13" s="209" t="s">
        <v>103</v>
      </c>
      <c r="E13" s="211" t="s">
        <v>104</v>
      </c>
      <c r="F13" s="210" t="s">
        <v>105</v>
      </c>
      <c r="H13" s="209" t="s">
        <v>103</v>
      </c>
      <c r="I13" s="211" t="s">
        <v>104</v>
      </c>
      <c r="J13" s="210" t="s">
        <v>105</v>
      </c>
    </row>
    <row r="14" spans="2:10" s="10" customFormat="1" ht="26.1" customHeight="1">
      <c r="B14" s="220">
        <f>$C$6+C14/1440</f>
        <v>43614.378472222219</v>
      </c>
      <c r="C14" s="214">
        <v>5</v>
      </c>
      <c r="D14" s="222">
        <f t="shared" ref="D14:D23" ca="1" si="0">baseTemp+H14</f>
        <v>14.200000000000001</v>
      </c>
      <c r="E14" s="221">
        <f ca="1">$C$8+I14</f>
        <v>221</v>
      </c>
      <c r="F14" s="88">
        <f ca="1">$C$9+J14</f>
        <v>6.92</v>
      </c>
      <c r="H14" s="255">
        <f ca="1">'Q1'!D31</f>
        <v>-0.2</v>
      </c>
      <c r="I14" s="10">
        <f ca="1">myRandBetween(1,3,1)</f>
        <v>-2</v>
      </c>
      <c r="J14" s="254">
        <f ca="1">ROUND(myRandBetween(10,13,100),2)</f>
        <v>0.12</v>
      </c>
    </row>
    <row r="15" spans="2:10" s="10" customFormat="1" ht="26.1" customHeight="1">
      <c r="B15" s="220">
        <f t="shared" ref="B15:B23" si="1">$C$6+C15/1440</f>
        <v>43614.395833333336</v>
      </c>
      <c r="C15" s="214">
        <v>30</v>
      </c>
      <c r="D15" s="10">
        <f t="shared" ca="1" si="0"/>
        <v>14.700000000000001</v>
      </c>
      <c r="E15" s="221">
        <f t="shared" ref="E15:E23" ca="1" si="2">$C$8+I15</f>
        <v>224</v>
      </c>
      <c r="F15" s="88">
        <f t="shared" ref="F15:F23" ca="1" si="3">$C$9+J15</f>
        <v>6.8999999999999995</v>
      </c>
      <c r="H15" s="252">
        <f t="shared" ref="H15:H23" ca="1" si="4">ROUND(myRandBetween(1,3,10),1)</f>
        <v>0.3</v>
      </c>
      <c r="I15" s="10">
        <f t="shared" ref="I15:I23" ca="1" si="5">myRandBetween(1,3,1)</f>
        <v>1</v>
      </c>
      <c r="J15" s="254">
        <f t="shared" ref="J15:J22" ca="1" si="6">ROUND(myRandBetween(10,13,100),2)</f>
        <v>0.1</v>
      </c>
    </row>
    <row r="16" spans="2:10" s="10" customFormat="1" ht="26.1" customHeight="1">
      <c r="B16" s="220">
        <f t="shared" si="1"/>
        <v>43614.416666666664</v>
      </c>
      <c r="C16" s="214">
        <v>60</v>
      </c>
      <c r="D16" s="10">
        <f t="shared" ca="1" si="0"/>
        <v>14.700000000000001</v>
      </c>
      <c r="E16" s="221">
        <f t="shared" ca="1" si="2"/>
        <v>226</v>
      </c>
      <c r="F16" s="88">
        <f t="shared" ca="1" si="3"/>
        <v>6.67</v>
      </c>
      <c r="H16" s="252">
        <f t="shared" ca="1" si="4"/>
        <v>0.3</v>
      </c>
      <c r="I16" s="10">
        <f t="shared" ca="1" si="5"/>
        <v>3</v>
      </c>
      <c r="J16" s="254">
        <f t="shared" ca="1" si="6"/>
        <v>-0.13</v>
      </c>
    </row>
    <row r="17" spans="2:10" s="10" customFormat="1" ht="26.1" customHeight="1">
      <c r="B17" s="220">
        <f t="shared" si="1"/>
        <v>43614.458333333336</v>
      </c>
      <c r="C17" s="214">
        <v>120</v>
      </c>
      <c r="D17" s="10">
        <f t="shared" ca="1" si="0"/>
        <v>14.5</v>
      </c>
      <c r="E17" s="221">
        <f t="shared" ca="1" si="2"/>
        <v>224</v>
      </c>
      <c r="F17" s="88">
        <f t="shared" ca="1" si="3"/>
        <v>6.91</v>
      </c>
      <c r="H17" s="252">
        <f t="shared" ca="1" si="4"/>
        <v>0.1</v>
      </c>
      <c r="I17" s="10">
        <f t="shared" ca="1" si="5"/>
        <v>1</v>
      </c>
      <c r="J17" s="254">
        <f t="shared" ca="1" si="6"/>
        <v>0.11</v>
      </c>
    </row>
    <row r="18" spans="2:10" s="10" customFormat="1" ht="26.1" customHeight="1">
      <c r="B18" s="220">
        <f t="shared" si="1"/>
        <v>43614.541666666664</v>
      </c>
      <c r="C18" s="214">
        <v>240</v>
      </c>
      <c r="D18" s="222">
        <f t="shared" ca="1" si="0"/>
        <v>14.6</v>
      </c>
      <c r="E18" s="221">
        <f t="shared" ca="1" si="2"/>
        <v>225</v>
      </c>
      <c r="F18" s="88">
        <f t="shared" ca="1" si="3"/>
        <v>6.8999999999999995</v>
      </c>
      <c r="H18" s="252">
        <f t="shared" ca="1" si="4"/>
        <v>0.2</v>
      </c>
      <c r="I18" s="10">
        <f t="shared" ca="1" si="5"/>
        <v>2</v>
      </c>
      <c r="J18" s="254">
        <f t="shared" ca="1" si="6"/>
        <v>0.1</v>
      </c>
    </row>
    <row r="19" spans="2:10" s="10" customFormat="1" ht="26.1" customHeight="1">
      <c r="B19" s="220">
        <f t="shared" si="1"/>
        <v>43614.708333333336</v>
      </c>
      <c r="C19" s="214">
        <v>480</v>
      </c>
      <c r="D19" s="10">
        <f t="shared" ca="1" si="0"/>
        <v>14.6</v>
      </c>
      <c r="E19" s="221">
        <f t="shared" ca="1" si="2"/>
        <v>226</v>
      </c>
      <c r="F19" s="88">
        <f t="shared" ca="1" si="3"/>
        <v>6.92</v>
      </c>
      <c r="H19" s="252">
        <f t="shared" ca="1" si="4"/>
        <v>0.2</v>
      </c>
      <c r="I19" s="10">
        <f t="shared" ca="1" si="5"/>
        <v>3</v>
      </c>
      <c r="J19" s="254">
        <f t="shared" ca="1" si="6"/>
        <v>0.12</v>
      </c>
    </row>
    <row r="20" spans="2:10" s="82" customFormat="1" ht="26.1" customHeight="1">
      <c r="B20" s="220">
        <f t="shared" si="1"/>
        <v>43615.375</v>
      </c>
      <c r="C20" s="214">
        <v>1440</v>
      </c>
      <c r="D20" s="10">
        <f t="shared" ca="1" si="0"/>
        <v>14.1</v>
      </c>
      <c r="E20" s="221">
        <f t="shared" ca="1" si="2"/>
        <v>222</v>
      </c>
      <c r="F20" s="88">
        <f t="shared" ca="1" si="3"/>
        <v>6.91</v>
      </c>
      <c r="H20" s="252">
        <f t="shared" ca="1" si="4"/>
        <v>-0.3</v>
      </c>
      <c r="I20" s="10">
        <f t="shared" ca="1" si="5"/>
        <v>-1</v>
      </c>
      <c r="J20" s="254">
        <f t="shared" ca="1" si="6"/>
        <v>0.11</v>
      </c>
    </row>
    <row r="21" spans="2:10" s="82" customFormat="1" ht="26.1" customHeight="1">
      <c r="B21" s="220">
        <f t="shared" si="1"/>
        <v>43615.541666666664</v>
      </c>
      <c r="C21" s="214">
        <v>1680</v>
      </c>
      <c r="D21" s="10">
        <f t="shared" ca="1" si="0"/>
        <v>14.700000000000001</v>
      </c>
      <c r="E21" s="221">
        <f t="shared" ca="1" si="2"/>
        <v>224</v>
      </c>
      <c r="F21" s="88">
        <f t="shared" ca="1" si="3"/>
        <v>6.93</v>
      </c>
      <c r="H21" s="252">
        <f t="shared" ca="1" si="4"/>
        <v>0.3</v>
      </c>
      <c r="I21" s="10">
        <f t="shared" ca="1" si="5"/>
        <v>1</v>
      </c>
      <c r="J21" s="254">
        <f t="shared" ca="1" si="6"/>
        <v>0.13</v>
      </c>
    </row>
    <row r="22" spans="2:10" s="82" customFormat="1" ht="26.1" customHeight="1">
      <c r="B22" s="220">
        <f t="shared" si="1"/>
        <v>43615.708333333336</v>
      </c>
      <c r="C22" s="214">
        <v>1920</v>
      </c>
      <c r="D22" s="10">
        <f t="shared" ca="1" si="0"/>
        <v>14.1</v>
      </c>
      <c r="E22" s="221">
        <f t="shared" ca="1" si="2"/>
        <v>226</v>
      </c>
      <c r="F22" s="88">
        <f t="shared" ca="1" si="3"/>
        <v>6.91</v>
      </c>
      <c r="H22" s="252">
        <f t="shared" ca="1" si="4"/>
        <v>-0.3</v>
      </c>
      <c r="I22" s="10">
        <f t="shared" ca="1" si="5"/>
        <v>3</v>
      </c>
      <c r="J22" s="254">
        <f t="shared" ca="1" si="6"/>
        <v>0.11</v>
      </c>
    </row>
    <row r="23" spans="2:10" s="82" customFormat="1" ht="26.1" customHeight="1" thickBot="1">
      <c r="B23" s="220">
        <f t="shared" si="1"/>
        <v>43616.375</v>
      </c>
      <c r="C23" s="214">
        <v>2880</v>
      </c>
      <c r="D23" s="10">
        <f t="shared" ca="1" si="0"/>
        <v>14.6</v>
      </c>
      <c r="E23" s="221">
        <f t="shared" ca="1" si="2"/>
        <v>222</v>
      </c>
      <c r="F23" s="88">
        <f t="shared" ca="1" si="3"/>
        <v>6.68</v>
      </c>
      <c r="H23" s="252">
        <f t="shared" ca="1" si="4"/>
        <v>0.2</v>
      </c>
      <c r="I23" s="10">
        <f t="shared" ca="1" si="5"/>
        <v>-1</v>
      </c>
      <c r="J23" s="254">
        <f ca="1">ROUND(myRandBetween(10,13,100),2)</f>
        <v>-0.12</v>
      </c>
    </row>
    <row r="24" spans="2:10" s="82" customFormat="1" ht="26.1" customHeight="1" thickTop="1">
      <c r="B24" s="377" t="s">
        <v>46</v>
      </c>
      <c r="C24" s="378"/>
      <c r="D24" s="90">
        <f ca="1">MAX(D14:D23)</f>
        <v>14.700000000000001</v>
      </c>
      <c r="E24" s="90">
        <f t="shared" ref="E24:F24" ca="1" si="7">MAX(E14:E23)</f>
        <v>226</v>
      </c>
      <c r="F24" s="213">
        <f t="shared" ca="1" si="7"/>
        <v>6.93</v>
      </c>
      <c r="H24" s="10"/>
      <c r="I24" s="10"/>
      <c r="J24" s="10"/>
    </row>
    <row r="25" spans="2:10" s="82" customFormat="1" ht="26.1" customHeight="1">
      <c r="B25" s="379" t="s">
        <v>47</v>
      </c>
      <c r="C25" s="380"/>
      <c r="D25" s="10">
        <f ca="1">MIN(D14:D23)</f>
        <v>14.1</v>
      </c>
      <c r="E25" s="10">
        <f t="shared" ref="E25:F25" ca="1" si="8">MIN(E14:E23)</f>
        <v>221</v>
      </c>
      <c r="F25" s="214">
        <f t="shared" ca="1" si="8"/>
        <v>6.67</v>
      </c>
      <c r="H25" s="10"/>
      <c r="I25" s="10"/>
      <c r="J25" s="10"/>
    </row>
    <row r="26" spans="2:10" s="82" customFormat="1" ht="26.1" customHeight="1" thickBot="1">
      <c r="B26" s="381" t="s">
        <v>106</v>
      </c>
      <c r="C26" s="382"/>
      <c r="D26" s="89">
        <f ca="1">D24-D25</f>
        <v>0.60000000000000142</v>
      </c>
      <c r="E26" s="89">
        <f t="shared" ref="E26:F26" ca="1" si="9">E24-E25</f>
        <v>5</v>
      </c>
      <c r="F26" s="212">
        <f t="shared" ca="1" si="9"/>
        <v>0.25999999999999979</v>
      </c>
      <c r="H26" s="10"/>
      <c r="I26" s="10"/>
      <c r="J26" s="10"/>
    </row>
    <row r="27" spans="2:10" s="82" customFormat="1" ht="18" customHeight="1">
      <c r="E27" s="10"/>
      <c r="F27" s="10"/>
    </row>
    <row r="28" spans="2:10" s="82" customFormat="1" ht="18" customHeight="1">
      <c r="E28" s="10"/>
      <c r="F28" s="10"/>
    </row>
    <row r="29" spans="2:10" s="82" customFormat="1" ht="18" customHeight="1">
      <c r="E29" s="10"/>
      <c r="F29" s="10"/>
    </row>
    <row r="30" spans="2:10" s="82" customFormat="1" ht="18" customHeight="1">
      <c r="E30" s="10"/>
      <c r="F30" s="10"/>
    </row>
    <row r="31" spans="2:10" s="82" customFormat="1" ht="18" customHeight="1">
      <c r="E31" s="10"/>
      <c r="F31" s="10"/>
    </row>
    <row r="32" spans="2:10" s="82" customFormat="1" ht="18" customHeight="1">
      <c r="E32" s="10"/>
      <c r="F32" s="10"/>
    </row>
    <row r="33" spans="5:6" s="82" customFormat="1" ht="18" customHeight="1">
      <c r="E33" s="10"/>
      <c r="F33" s="10"/>
    </row>
    <row r="34" spans="5:6" s="82" customFormat="1" ht="18" customHeight="1">
      <c r="E34" s="10"/>
      <c r="F34" s="10"/>
    </row>
    <row r="35" spans="5:6" s="82" customFormat="1" ht="18" customHeight="1">
      <c r="E35" s="10"/>
      <c r="F35" s="10"/>
    </row>
    <row r="36" spans="5:6" s="82" customFormat="1" ht="18" customHeight="1">
      <c r="E36" s="10"/>
      <c r="F36" s="10"/>
    </row>
    <row r="37" spans="5:6" s="82" customFormat="1" ht="18" customHeight="1">
      <c r="E37" s="10"/>
      <c r="F37" s="10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Q1</vt:lpstr>
      <vt:lpstr>w1</vt:lpstr>
      <vt:lpstr>'Q1'!baseTemp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2020-02-03T06:21:19Z</dcterms:modified>
</cp:coreProperties>
</file>